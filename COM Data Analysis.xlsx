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cd089068972272aa/Desktop/Project Jayce/CIHR/"/>
    </mc:Choice>
  </mc:AlternateContent>
  <xr:revisionPtr revIDLastSave="0" documentId="8_{A2C54FA6-DB67-4425-B12F-62E8FA171A8C}" xr6:coauthVersionLast="47" xr6:coauthVersionMax="47" xr10:uidLastSave="{00000000-0000-0000-0000-000000000000}"/>
  <bookViews>
    <workbookView xWindow="-120" yWindow="-120" windowWidth="29040" windowHeight="15720" activeTab="1" xr2:uid="{D2B731DC-6A49-AD4E-9892-13ADCABAC1D1}"/>
  </bookViews>
  <sheets>
    <sheet name="COM" sheetId="1" r:id="rId1"/>
    <sheet name="COM - Companies" sheetId="5" r:id="rId2"/>
    <sheet name="COM - Data Analysis" sheetId="2" r:id="rId3"/>
    <sheet name="PPT Tables" sheetId="4" r:id="rId4"/>
  </sheets>
  <calcPr calcId="191028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  <c r="S4" i="2"/>
  <c r="S2" i="5" l="1"/>
  <c r="T2" i="5" s="1"/>
  <c r="S25" i="5"/>
  <c r="T25" i="5" s="1"/>
  <c r="S21" i="5"/>
  <c r="T21" i="5" s="1"/>
  <c r="S22" i="5"/>
  <c r="S24" i="5"/>
  <c r="T24" i="5" s="1"/>
  <c r="S23" i="5"/>
  <c r="T23" i="5" s="1"/>
  <c r="S18" i="5"/>
  <c r="T18" i="5" s="1"/>
  <c r="S6" i="5"/>
  <c r="T6" i="5" s="1"/>
  <c r="S9" i="5"/>
  <c r="T9" i="5" s="1"/>
  <c r="S5" i="5"/>
  <c r="T5" i="5" s="1"/>
  <c r="S8" i="5"/>
  <c r="T8" i="5" s="1"/>
  <c r="S10" i="5"/>
  <c r="T10" i="5" s="1"/>
  <c r="S13" i="5"/>
  <c r="T13" i="5" s="1"/>
  <c r="S12" i="5"/>
  <c r="T12" i="5" s="1"/>
  <c r="S11" i="5"/>
  <c r="T11" i="5" s="1"/>
  <c r="S14" i="5"/>
  <c r="T14" i="5" s="1"/>
  <c r="S7" i="5"/>
  <c r="T7" i="5" s="1"/>
  <c r="S17" i="5"/>
  <c r="T17" i="5" s="1"/>
  <c r="S16" i="5"/>
  <c r="T16" i="5" s="1"/>
  <c r="S15" i="5"/>
  <c r="T15" i="5" s="1"/>
  <c r="S19" i="5"/>
  <c r="T19" i="5" s="1"/>
  <c r="S20" i="5"/>
  <c r="T20" i="5" s="1"/>
  <c r="S4" i="5"/>
  <c r="T4" i="5" s="1"/>
  <c r="S3" i="5"/>
  <c r="T3" i="5" s="1"/>
  <c r="S26" i="5"/>
  <c r="T26" i="5" s="1"/>
  <c r="F79" i="2"/>
  <c r="F80" i="2"/>
  <c r="G80" i="2" s="1"/>
  <c r="F78" i="2"/>
  <c r="F55" i="2"/>
  <c r="I16" i="4"/>
  <c r="I19" i="4"/>
  <c r="I25" i="4"/>
  <c r="I20" i="4"/>
  <c r="I26" i="4"/>
  <c r="I23" i="4"/>
  <c r="I28" i="4"/>
  <c r="I18" i="4"/>
  <c r="I21" i="4"/>
  <c r="I17" i="4"/>
  <c r="I22" i="4"/>
  <c r="I27" i="4"/>
  <c r="I29" i="4"/>
  <c r="I24" i="4"/>
  <c r="I5" i="4"/>
  <c r="I7" i="4"/>
  <c r="I11" i="4"/>
  <c r="I10" i="4"/>
  <c r="I8" i="4"/>
  <c r="I3" i="4"/>
  <c r="I12" i="4"/>
  <c r="I4" i="4"/>
  <c r="I9" i="4"/>
  <c r="I13" i="4"/>
  <c r="I6" i="4"/>
  <c r="T64" i="2"/>
  <c r="T65" i="2"/>
  <c r="T66" i="2"/>
  <c r="T67" i="2"/>
  <c r="T68" i="2"/>
  <c r="T69" i="2"/>
  <c r="T70" i="2"/>
  <c r="T71" i="2"/>
  <c r="T63" i="2"/>
  <c r="T52" i="2"/>
  <c r="T53" i="2"/>
  <c r="T54" i="2"/>
  <c r="T55" i="2"/>
  <c r="T56" i="2"/>
  <c r="T57" i="2"/>
  <c r="T58" i="2"/>
  <c r="T59" i="2"/>
  <c r="T60" i="2"/>
  <c r="T61" i="2"/>
  <c r="T51" i="2"/>
  <c r="M64" i="2"/>
  <c r="M65" i="2"/>
  <c r="M66" i="2"/>
  <c r="M67" i="2"/>
  <c r="M68" i="2"/>
  <c r="M69" i="2"/>
  <c r="M70" i="2"/>
  <c r="M71" i="2"/>
  <c r="M63" i="2"/>
  <c r="M52" i="2"/>
  <c r="M53" i="2"/>
  <c r="M54" i="2"/>
  <c r="M55" i="2"/>
  <c r="M56" i="2"/>
  <c r="M57" i="2"/>
  <c r="M58" i="2"/>
  <c r="M59" i="2"/>
  <c r="M60" i="2"/>
  <c r="M51" i="2"/>
  <c r="G30" i="2"/>
  <c r="G31" i="2"/>
  <c r="G32" i="2"/>
  <c r="G33" i="2"/>
  <c r="G34" i="2"/>
  <c r="G35" i="2"/>
  <c r="G36" i="2"/>
  <c r="G37" i="2"/>
  <c r="G38" i="2"/>
  <c r="G39" i="2"/>
  <c r="G40" i="2"/>
  <c r="G41" i="2"/>
  <c r="G29" i="2"/>
  <c r="C30" i="2"/>
  <c r="C31" i="2"/>
  <c r="C32" i="2"/>
  <c r="C33" i="2"/>
  <c r="C34" i="2"/>
  <c r="C35" i="2"/>
  <c r="C36" i="2"/>
  <c r="C29" i="2"/>
  <c r="C14" i="2"/>
  <c r="C15" i="2"/>
  <c r="C16" i="2"/>
  <c r="C17" i="2"/>
  <c r="C18" i="2"/>
  <c r="C19" i="2"/>
  <c r="C20" i="2"/>
  <c r="C21" i="2"/>
  <c r="C22" i="2"/>
  <c r="C23" i="2"/>
  <c r="C24" i="2"/>
  <c r="C25" i="2"/>
  <c r="C13" i="2"/>
  <c r="C4" i="2"/>
  <c r="C5" i="2"/>
  <c r="C6" i="2"/>
  <c r="C7" i="2"/>
  <c r="C8" i="2"/>
  <c r="C9" i="2"/>
  <c r="C10" i="2"/>
  <c r="C3" i="2"/>
  <c r="T22" i="5" l="1"/>
  <c r="S7" i="2"/>
  <c r="G78" i="2"/>
  <c r="G79" i="2"/>
  <c r="E74" i="2"/>
  <c r="F74" i="2"/>
  <c r="F75" i="2" s="1"/>
  <c r="U51" i="2"/>
  <c r="T47" i="2"/>
  <c r="M47" i="2"/>
  <c r="F52" i="2"/>
  <c r="F53" i="2"/>
  <c r="F54" i="2"/>
  <c r="F56" i="2"/>
  <c r="F57" i="2"/>
  <c r="F58" i="2"/>
  <c r="F59" i="2"/>
  <c r="F60" i="2"/>
  <c r="F63" i="2"/>
  <c r="F64" i="2"/>
  <c r="F65" i="2"/>
  <c r="F66" i="2"/>
  <c r="F67" i="2"/>
  <c r="F68" i="2"/>
  <c r="F69" i="2"/>
  <c r="F70" i="2"/>
  <c r="F71" i="2"/>
  <c r="F51" i="2"/>
  <c r="F47" i="2" s="1"/>
  <c r="H14" i="2"/>
  <c r="H15" i="2"/>
  <c r="H16" i="2"/>
  <c r="H17" i="2"/>
  <c r="H18" i="2"/>
  <c r="H19" i="2"/>
  <c r="H20" i="2"/>
  <c r="H21" i="2"/>
  <c r="H22" i="2"/>
  <c r="H23" i="2"/>
  <c r="H24" i="2"/>
  <c r="H25" i="2"/>
  <c r="I25" i="2" s="1"/>
  <c r="H13" i="2"/>
  <c r="H4" i="2"/>
  <c r="H5" i="2"/>
  <c r="H6" i="2"/>
  <c r="H7" i="2"/>
  <c r="H8" i="2"/>
  <c r="H9" i="2"/>
  <c r="H10" i="2"/>
  <c r="I10" i="2" s="1"/>
  <c r="H3" i="2"/>
  <c r="E75" i="2" l="1"/>
  <c r="I8" i="2"/>
  <c r="I6" i="2"/>
  <c r="I5" i="2"/>
  <c r="I4" i="2"/>
  <c r="U53" i="2"/>
  <c r="U57" i="2"/>
  <c r="U56" i="2"/>
  <c r="M61" i="2"/>
  <c r="I3" i="2"/>
  <c r="I7" i="2"/>
  <c r="I17" i="2"/>
  <c r="I13" i="2"/>
  <c r="I16" i="2"/>
  <c r="I9" i="2"/>
  <c r="I22" i="2"/>
  <c r="I23" i="2"/>
  <c r="I15" i="2"/>
  <c r="I24" i="2"/>
  <c r="I14" i="2"/>
  <c r="I19" i="2"/>
  <c r="I21" i="2"/>
  <c r="I20" i="2"/>
  <c r="I18" i="2"/>
  <c r="F61" i="2"/>
  <c r="G61" i="2" s="1"/>
  <c r="L47" i="2" l="1"/>
  <c r="N51" i="2"/>
  <c r="E47" i="2"/>
  <c r="N60" i="2"/>
  <c r="U58" i="2"/>
  <c r="N52" i="2"/>
  <c r="N53" i="2"/>
  <c r="N58" i="2"/>
  <c r="N61" i="2"/>
  <c r="U61" i="2"/>
  <c r="U59" i="2"/>
  <c r="U60" i="2"/>
  <c r="N55" i="2"/>
  <c r="U54" i="2"/>
  <c r="U55" i="2"/>
  <c r="N59" i="2"/>
  <c r="N57" i="2"/>
  <c r="U52" i="2"/>
  <c r="S47" i="2"/>
  <c r="N56" i="2"/>
  <c r="N54" i="2"/>
  <c r="G55" i="2"/>
  <c r="G59" i="2"/>
  <c r="G58" i="2"/>
  <c r="G52" i="2"/>
  <c r="G56" i="2"/>
  <c r="G53" i="2"/>
  <c r="G57" i="2"/>
  <c r="G54" i="2"/>
  <c r="G51" i="2"/>
  <c r="G60" i="2"/>
  <c r="S48" i="2" l="1"/>
  <c r="T48" i="2"/>
  <c r="E48" i="2"/>
  <c r="F48" i="2"/>
  <c r="L48" i="2"/>
  <c r="M48" i="2"/>
</calcChain>
</file>

<file path=xl/sharedStrings.xml><?xml version="1.0" encoding="utf-8"?>
<sst xmlns="http://schemas.openxmlformats.org/spreadsheetml/2006/main" count="4615" uniqueCount="1151">
  <si>
    <t>Name</t>
  </si>
  <si>
    <t>IPO</t>
  </si>
  <si>
    <t>Institution_Paid</t>
  </si>
  <si>
    <t>Province</t>
  </si>
  <si>
    <t>Program_Name</t>
  </si>
  <si>
    <t>Competition_CD</t>
  </si>
  <si>
    <t>PRC_Name</t>
  </si>
  <si>
    <t>Project_Title</t>
  </si>
  <si>
    <t>CIHR_Contribution</t>
  </si>
  <si>
    <t>CIHR_Equipment</t>
  </si>
  <si>
    <t>Term_Years</t>
  </si>
  <si>
    <t>Primary_Institute</t>
  </si>
  <si>
    <t>Funding_Start</t>
  </si>
  <si>
    <t>title_keywords</t>
  </si>
  <si>
    <t>Patents</t>
  </si>
  <si>
    <t>Reiner, Neil E</t>
  </si>
  <si>
    <t>University of British Columbia</t>
  </si>
  <si>
    <t>British Columbia</t>
  </si>
  <si>
    <t>Proof of Principle Program - Phase II</t>
  </si>
  <si>
    <t>200810PP2</t>
  </si>
  <si>
    <t>Proof of Principle</t>
  </si>
  <si>
    <t>INDEL therapeutics for the treatment of infectious disease.</t>
  </si>
  <si>
    <t>Infection and Immunity</t>
  </si>
  <si>
    <t>INDEL, therapeutics, infectious disease</t>
  </si>
  <si>
    <t>Banerjee, Diponkar</t>
  </si>
  <si>
    <t>Proof of Principle Program - Phase I</t>
  </si>
  <si>
    <t>200810PPP</t>
  </si>
  <si>
    <t>Validation of Tissue and Cytology Microarray Spotter (TCMS) for Simultaneous Multiple Biomarker Detection in Cells</t>
  </si>
  <si>
    <t>Cancer Research</t>
  </si>
  <si>
    <t>Tissue, Cytology, Microarray</t>
  </si>
  <si>
    <t>Burns, David H</t>
  </si>
  <si>
    <t>McGill University</t>
  </si>
  <si>
    <t>Quebec</t>
  </si>
  <si>
    <t>Smart Ultrasonic Hydrogel Sensors for Point of Care Analysis</t>
  </si>
  <si>
    <t>Circulatory and Respiratory Health</t>
  </si>
  <si>
    <t>Ultrasonic, Hydrogel, Sensors</t>
  </si>
  <si>
    <t>Fraser, Paul E</t>
  </si>
  <si>
    <t>University of Toronto</t>
  </si>
  <si>
    <t>Ontario</t>
  </si>
  <si>
    <t>Amyloid-Based Therapies for Type 2 Diabetes</t>
  </si>
  <si>
    <t>Nutrition, Metabolism and Diabetes</t>
  </si>
  <si>
    <t>Amyloid, Therapies, Diabetes</t>
  </si>
  <si>
    <t>Hess, Robert F</t>
  </si>
  <si>
    <t>Assessment and Treatment of Binocular Vision in Amblyopia</t>
  </si>
  <si>
    <t>Neurosciences, Mental Health and Addiction</t>
  </si>
  <si>
    <t>Binocular vision, Amblyopia</t>
  </si>
  <si>
    <t>Kelley, Shana O</t>
  </si>
  <si>
    <t>Clinical validation of low-cost ultrasensitive electronic molecular  diagnostics</t>
  </si>
  <si>
    <t>Genetics</t>
  </si>
  <si>
    <t>ultrasensitive, electronic, diagnostics</t>
  </si>
  <si>
    <t>Ndao, Momar</t>
  </si>
  <si>
    <t>Research Institute of the McGill University Health Centre</t>
  </si>
  <si>
    <t>Bridging the Gap Between Mass Spectrometric Profiling and Practical Diagnostic Tests for Commercialization: Case of Chagas Disease</t>
  </si>
  <si>
    <t>Mass spectrometry, diagnostics, Chagas disease</t>
  </si>
  <si>
    <t>Ostrowski, Mario A</t>
  </si>
  <si>
    <t>Bioreactor-based large scale production of a Tim-3 pathway inhibitor as a novel immunotherapy against HIV-1 and other chronic viral infections</t>
  </si>
  <si>
    <t>Bioreactor, Tim-3 pathway, immunotherapy</t>
  </si>
  <si>
    <t>Pinto, Mario</t>
  </si>
  <si>
    <t>Simon Fraser University (Burnaby, B.C.)</t>
  </si>
  <si>
    <t>An Enzyme Inhibitor for Treating Type-2 Diabetes</t>
  </si>
  <si>
    <t>enzyme, inhibitor, diabetes</t>
  </si>
  <si>
    <t>Rak, Janusz</t>
  </si>
  <si>
    <t>Monitoring progression of malignant tumors by detection of blood-borne oncogenic epidermal growth factor receptor circulating as cargo of tumor-derived microvesicles</t>
  </si>
  <si>
    <t>malignant tumors, blood-borne, epidermal growth factor receptor</t>
  </si>
  <si>
    <t>Santamaria, Pere</t>
  </si>
  <si>
    <t>University of Calgary</t>
  </si>
  <si>
    <t>Alberta</t>
  </si>
  <si>
    <t>Evaluation of Nanoparticles for the Treatment of Autoimmune Conditions</t>
  </si>
  <si>
    <t>Nanoparticles, Autoimmune</t>
  </si>
  <si>
    <t>Schweizer, Frank</t>
  </si>
  <si>
    <t>University of Manitoba</t>
  </si>
  <si>
    <t>Manitoba</t>
  </si>
  <si>
    <t>Preclinical evaluation of antimicrobial ultrashort aminoglycoside- peptide conjugates</t>
  </si>
  <si>
    <t>antimicrobial, aminoglycoside, peptide</t>
  </si>
  <si>
    <t>Sonenberg, Nahum</t>
  </si>
  <si>
    <t>Identification of novel compounds inhibiting viral infections</t>
  </si>
  <si>
    <t>compounds, inhibiting, viral infections</t>
  </si>
  <si>
    <t>Foster, Leonard J</t>
  </si>
  <si>
    <t>Project Grant - PA: Pandemic Preparedness and Health Emergencies Research</t>
  </si>
  <si>
    <t>202403PPE</t>
  </si>
  <si>
    <t>Commercialization</t>
  </si>
  <si>
    <t>Development and Commercialization of a Safe and Effective Mpox Subunit Vaccine witheGlobaleImpact</t>
  </si>
  <si>
    <t>Population and Public Health</t>
  </si>
  <si>
    <t>Mpox, Subunit, Vaccine</t>
  </si>
  <si>
    <t>Macaulay, Calum E</t>
  </si>
  <si>
    <t>Proof of Principle - PA: Cancer Early Detection, Imaging/Trans Therapeutics</t>
  </si>
  <si>
    <t>200904PCA</t>
  </si>
  <si>
    <t>A platform enabling personalized medicine through the detection of cells with specific genetic characterization</t>
  </si>
  <si>
    <t>personalized medicine, genetic characterization, cell detection</t>
  </si>
  <si>
    <t>Rennie, Paul S</t>
  </si>
  <si>
    <t>Androgen receptor inhibitors</t>
  </si>
  <si>
    <t>Androgen receptor, inhibitors</t>
  </si>
  <si>
    <t>Dmitrienko, Gary I</t>
  </si>
  <si>
    <t>University of Waterloo (Ontario)</t>
  </si>
  <si>
    <t>Proof of Principle Program Phase I - Drug Development</t>
  </si>
  <si>
    <t>200904PDD</t>
  </si>
  <si>
    <t>Novel beta lactamase inhibitors to combat antibiotic resistance</t>
  </si>
  <si>
    <t>beta lactamase, antibiotics, resistance</t>
  </si>
  <si>
    <t>Schang, Luis M</t>
  </si>
  <si>
    <t>University of Alberta</t>
  </si>
  <si>
    <t>Novel Inhibitors of Viral Infectivity</t>
  </si>
  <si>
    <t>Viral, Inhibitors, Infectivity</t>
  </si>
  <si>
    <t>Turvey, Stuart E</t>
  </si>
  <si>
    <t>Development of a TLR5 antagonist as a novel anti-inflammatory therapy for cystic fibrosis</t>
  </si>
  <si>
    <t>TLR5, antagonist, cystic fibrosis</t>
  </si>
  <si>
    <t>Glogauer, Michael</t>
  </si>
  <si>
    <t>200904PP2</t>
  </si>
  <si>
    <t>Clinical Evaluation of a Chair-side In Vitro Rinse Test for Predicting Onset and Recurrent Adult Periodontitis</t>
  </si>
  <si>
    <t>Musculoskeletal Health and Arthritis</t>
  </si>
  <si>
    <t>Chair-side, In Vitro, Periodontitis</t>
  </si>
  <si>
    <t>Martin, Ruth E</t>
  </si>
  <si>
    <t>Western University (Ontario)</t>
  </si>
  <si>
    <t>Swallowing Air-Pulse Therapy (SWAPT): Design Specification, Testing, Regulatory Approval, and Pre-launch Market Analysis</t>
  </si>
  <si>
    <t>Aging</t>
  </si>
  <si>
    <t>Air-Pulse, Swallowing, Therapy</t>
  </si>
  <si>
    <t>Moreau, Alain</t>
  </si>
  <si>
    <t>Centre hospitalier universitaire Sainte-Justine (Montreal, Quebec)</t>
  </si>
  <si>
    <t>Methods of Diagnosing Idiopathic Scoliosis and related Spinal Disorders</t>
  </si>
  <si>
    <t>Diagnosing, Scoliosis, Spinal Disorders</t>
  </si>
  <si>
    <t>Park, Morag</t>
  </si>
  <si>
    <t>Generation of a gene expression-based breast cancer prognostic device</t>
  </si>
  <si>
    <t>gene expression, breast cancer, prognostic</t>
  </si>
  <si>
    <t>Allard, Michael F</t>
  </si>
  <si>
    <t>200904PPP</t>
  </si>
  <si>
    <t>Modulation of heart metabolism by hydrophobically modified hyperbranched polyglycerols</t>
  </si>
  <si>
    <t>heart, metabolism, polyglycerols</t>
  </si>
  <si>
    <t>Arthur, Gilbert</t>
  </si>
  <si>
    <t>Preclinical development of glycerophosphocarbamates as prostate-selective anticancer drugs</t>
  </si>
  <si>
    <t>glycerophosphocarbamates, prostate, anticancer</t>
  </si>
  <si>
    <t>Cripton, Peter A</t>
  </si>
  <si>
    <t>Pro-Neck-Tor: A helmet to prevent spinal cord injuries occuring during sports and transportation</t>
  </si>
  <si>
    <t>helmet, spinal cord, injuries</t>
  </si>
  <si>
    <t>Hunter, Graeme K</t>
  </si>
  <si>
    <t>Crystal-binding peptides for prevention of kidney stone disease</t>
  </si>
  <si>
    <t>crystal-binding, peptides, kidney stone</t>
  </si>
  <si>
    <t>Powell, William S</t>
  </si>
  <si>
    <t>Development of novel OXE receptor antagonists for asthma</t>
  </si>
  <si>
    <t>OXE receptor, antagonists, asthma</t>
  </si>
  <si>
    <t>Tessier, Philippe A</t>
  </si>
  <si>
    <t>Universite Laval</t>
  </si>
  <si>
    <t>Development of anti-S100 proteins for the treatment of arthritis</t>
  </si>
  <si>
    <t>S100 proteins, arthritis</t>
  </si>
  <si>
    <t>Verma, Subodh S</t>
  </si>
  <si>
    <t>Unity Health Toronto</t>
  </si>
  <si>
    <t>Evaluation of BRCA1 as a Novel Therapeutic Strategy for Endothelial Dysfunction and Atherosclerosis</t>
  </si>
  <si>
    <t>BRCA1, Endothelial Dysfunction, Atherosclerosis</t>
  </si>
  <si>
    <t>201309PP2</t>
  </si>
  <si>
    <t>Wasan, Kishor M</t>
  </si>
  <si>
    <t>Development of a Novel Oral Amphotericin B Formulation for the Treatment of Systemic Fungal Infections</t>
  </si>
  <si>
    <t>Amphotericin B, oral formulation, fungal infections</t>
  </si>
  <si>
    <t>Granville, David J</t>
  </si>
  <si>
    <t>200910PP2</t>
  </si>
  <si>
    <t>Therapeutic antibody development towards granzyme B</t>
  </si>
  <si>
    <t>antibody, granzyme B</t>
  </si>
  <si>
    <t>Saragovi, Horacio U</t>
  </si>
  <si>
    <t>CIUSSS de Centre-Ouest-de-l'Ile-de-Montreal-Jewish General</t>
  </si>
  <si>
    <t>Neuroprotection Rescue Strategies for Retinal Degeneration Diseases</t>
  </si>
  <si>
    <t>Neuroprotection, Retinal, Degeneration</t>
  </si>
  <si>
    <t>Boivin, Guy</t>
  </si>
  <si>
    <t>200910PPP</t>
  </si>
  <si>
    <t>New antiviral agents against herpes simplex viruses</t>
  </si>
  <si>
    <t>antiviral, herpes simplex, viruses</t>
  </si>
  <si>
    <t>Crystal, Eugene</t>
  </si>
  <si>
    <t>Sunnybrook Health Sciences Centre (Toronto, Ontario)</t>
  </si>
  <si>
    <t>Three-dimensional Catheter Tracking using a Single Two-dimensional Image</t>
  </si>
  <si>
    <t>catheter, tracking, imaging</t>
  </si>
  <si>
    <t>Huntsman, David G</t>
  </si>
  <si>
    <t>A Diagnostic Test for Granulosa Cell Tumours of the Ovary</t>
  </si>
  <si>
    <t>Diagnostic, Granulosa Cells, Tumours</t>
  </si>
  <si>
    <t>Jarzem, Peter F</t>
  </si>
  <si>
    <t>Minimally Invasive Ready, Highly Expandable Vertebral Body Replacement Device</t>
  </si>
  <si>
    <t>Vertebral, Expandable, Device</t>
  </si>
  <si>
    <t>Juncker, David</t>
  </si>
  <si>
    <t>Clinical validation of an innovative multiplex antibody microarray platform</t>
  </si>
  <si>
    <t>antibody, microarray, platform</t>
  </si>
  <si>
    <t>Liu, Fang</t>
  </si>
  <si>
    <t>Centre for Addiction and Mental Health (Toronto)</t>
  </si>
  <si>
    <t>Therapeutics targeting receptor-receptor interactions for Addiction</t>
  </si>
  <si>
    <t>receptor, interactions, addiction</t>
  </si>
  <si>
    <t>Liu, Fei-Fei</t>
  </si>
  <si>
    <t>University Health Network (Toronto)</t>
  </si>
  <si>
    <t>Targeting UROD As A Novel Anti-Cancer Therapeutic Strategy</t>
  </si>
  <si>
    <t>UROD, Anti-Cancer, Therapeutic</t>
  </si>
  <si>
    <t>Philip, Anie</t>
  </si>
  <si>
    <t>Identification of a low molecular weight peptide of CD109 as an anti-scarring agent</t>
  </si>
  <si>
    <t>peptide, CD109, anti-scarring</t>
  </si>
  <si>
    <t>Poirier, Donald</t>
  </si>
  <si>
    <t>L'evaluation du potentiel therapeutique in vivo d'une nouvelle famille d'aminosteroides comme agents anticancereux selectifs</t>
  </si>
  <si>
    <t>aminosteroides, anticancereux, in vivo</t>
  </si>
  <si>
    <t>Roberge, Michel</t>
  </si>
  <si>
    <t>Evaluation of the anticancer activity of a new autophagy-inhibitory drug</t>
  </si>
  <si>
    <t>autophagy, anticancer, inhibitor</t>
  </si>
  <si>
    <t>Rogers, Ian M</t>
  </si>
  <si>
    <t>Sinai Health System (Toronto)</t>
  </si>
  <si>
    <t>Cell therapy for the treatment of type 1 Diabetes</t>
  </si>
  <si>
    <t>Cell, therapy, Diabetes</t>
  </si>
  <si>
    <t>Sadar, Marianne D</t>
  </si>
  <si>
    <t>Preclinical evaluation of sintokamides as agents for treatment of advanced prostate cancer</t>
  </si>
  <si>
    <t>sintokamides, prostate cancer, preclinical</t>
  </si>
  <si>
    <t>Waldman, Stephen D</t>
  </si>
  <si>
    <t>Queen's University (Kingston, Ontario)</t>
  </si>
  <si>
    <t>Tissue engineered cartilage suitable for the repair of clinically-relevant sized defects</t>
  </si>
  <si>
    <t>tissue engineering, cartilage, repair</t>
  </si>
  <si>
    <t>Weaver, Donald F</t>
  </si>
  <si>
    <t>IWK Health Centre (Halifax)</t>
  </si>
  <si>
    <t>Nova Scotia</t>
  </si>
  <si>
    <t>Contact Optical Microscopy</t>
  </si>
  <si>
    <t>Contact, Optical, Microscopy</t>
  </si>
  <si>
    <t>Pharmacokinetic Optimization of a New Drug for Alzheimer's Disease</t>
  </si>
  <si>
    <t>Pharmacokinetic, Drug, Alzheimer's</t>
  </si>
  <si>
    <t>Weinfeld, Michael</t>
  </si>
  <si>
    <t>Small molecule inhibitor of polynucleotide kinase/phosphatase and uses thereof in cancer treatment.</t>
  </si>
  <si>
    <t>small molecule, polynucleotide kinase, cancer</t>
  </si>
  <si>
    <t>Withers, Stephen G</t>
  </si>
  <si>
    <t>Novel mechanism-based inhibitors of influenza neuraminidase as potential anti-viral agents</t>
  </si>
  <si>
    <t>neuraminidase, inhibitors, influenza</t>
  </si>
  <si>
    <t>Yang, Victor X</t>
  </si>
  <si>
    <t>Toronto Metropolitan University</t>
  </si>
  <si>
    <t>Doppler Optical Coherence Tomography for Intraoperative Imaging During Skull Base Neurosurgical Procedures</t>
  </si>
  <si>
    <t>Doppler, Optical Coherence Tomography, Neurosurgical</t>
  </si>
  <si>
    <t>Doschak, Michael R</t>
  </si>
  <si>
    <t>201003PDD</t>
  </si>
  <si>
    <t>Bisphosphonate-conjugated Calcitonin</t>
  </si>
  <si>
    <t>Bisphosphonate, Calcitonin</t>
  </si>
  <si>
    <t>Tremblay, Michel L</t>
  </si>
  <si>
    <t>Kanyr Pharma Inc.</t>
  </si>
  <si>
    <t>Discovery and uses of a new class of small molecule inhibitors of tyrosine phosphatases.</t>
  </si>
  <si>
    <t>small molecule, tyrosine phosphatases, inhibitors</t>
  </si>
  <si>
    <t>Wu, Jian Hui</t>
  </si>
  <si>
    <t>Novel bifunctional antiandrogens that suppress oncogenic activation of the androgen receptor in castration-resistant prostate cancer</t>
  </si>
  <si>
    <t>antiandrogens, androgen receptor, prostate cancer</t>
  </si>
  <si>
    <t>Chemtob, Sylvain</t>
  </si>
  <si>
    <t>201003PP2</t>
  </si>
  <si>
    <t>IL-1  Allosteramers to treat diabetes and its complications</t>
  </si>
  <si>
    <t>IL-1, Allosteramers, diabetes</t>
  </si>
  <si>
    <t>Alman, Benjamin A</t>
  </si>
  <si>
    <t>Hospital for Sick Children (Toronto)</t>
  </si>
  <si>
    <t>201003PPP</t>
  </si>
  <si>
    <t>Nefopam as an agent to prevent and treat hyperplastic scars</t>
  </si>
  <si>
    <t>Nefopam, hyperplastic scars</t>
  </si>
  <si>
    <t>Andersen, Raymond J</t>
  </si>
  <si>
    <t>Latonduine A, A Potent delF508-CFTR Trafficking Defect Corrector With Potential for Treating Cystic Fibrosis</t>
  </si>
  <si>
    <t>Latonduine, CFTR, Cystic Fibrosis</t>
  </si>
  <si>
    <t>Brown, Jeremy A</t>
  </si>
  <si>
    <t>Dalhousie University (Nova Scotia)</t>
  </si>
  <si>
    <t>A High-Resolution Ultrasonic Endoscope for the Auditory System</t>
  </si>
  <si>
    <t>Ultrasonic, Endoscope, Auditory</t>
  </si>
  <si>
    <t>Cunningham, Charles H</t>
  </si>
  <si>
    <t>Wire for MRI-Guided Interventions</t>
  </si>
  <si>
    <t>Wire, MRI, Interventions</t>
  </si>
  <si>
    <t>Kouassi, Edouard</t>
  </si>
  <si>
    <t>CIUSSS Est-de-l'Ile-de- Montreal-Maisonneuve Rosemont</t>
  </si>
  <si>
    <t>Novel methods and compounds for increasing red blood cell survival</t>
  </si>
  <si>
    <t>red blood cell, survival, compounds</t>
  </si>
  <si>
    <t>Lam, Stephen</t>
  </si>
  <si>
    <t>CTAP III for detection of early lung cancer and monitoring treatment outcome</t>
  </si>
  <si>
    <t>CTAP, lung cancer, detection</t>
  </si>
  <si>
    <t>Lerouge, Sophie</t>
  </si>
  <si>
    <t>ecole de technologie superieure (Montreal)</t>
  </si>
  <si>
    <t>A new therapeutic agent for the treatment and prevention of endoleaks after endovascular aneurysm repair</t>
  </si>
  <si>
    <t>therapeutic agent, endoleaks, aneurysm repair</t>
  </si>
  <si>
    <t>McNagny, Kelly M</t>
  </si>
  <si>
    <t>CD34 as a therapeutic target for allergic asthma</t>
  </si>
  <si>
    <t>CD34, allergic asthma, therapeutic</t>
  </si>
  <si>
    <t>Mes-Masson, Anne-Marie</t>
  </si>
  <si>
    <t>Centre hospitalier de l'Universite de Montreal (CHUM)</t>
  </si>
  <si>
    <t>Development and validation of a multiplex blood-based assay for the early detection of ovarian cancer.</t>
  </si>
  <si>
    <t>multiplex, blood-based, ovarian cancer</t>
  </si>
  <si>
    <t>Shoichet, Molly S</t>
  </si>
  <si>
    <t>Commercial Development of Bioengineered Therapeutic Strategy for Spinal Cord Injury</t>
  </si>
  <si>
    <t>Bioengineered, Therapeutic, Spinal Cord Injury</t>
  </si>
  <si>
    <t>Webb, John R</t>
  </si>
  <si>
    <t>University of Victoria (British Columbia)</t>
  </si>
  <si>
    <t>Pre-clinical development of Pentarix: a therapeutic vaccine for HPV-associated cancers</t>
  </si>
  <si>
    <t>Pentarix, vaccine, HPV</t>
  </si>
  <si>
    <t>201009PP2</t>
  </si>
  <si>
    <t>New drugs for antibiotic resistant bacterial infections</t>
  </si>
  <si>
    <t>antibiotic, resistant bacteria, infections</t>
  </si>
  <si>
    <t>Finlay, Barton B</t>
  </si>
  <si>
    <t>A sub-unit based vaccine for Salmonella</t>
  </si>
  <si>
    <t>sub-unit, vaccine, Salmonella</t>
  </si>
  <si>
    <t>Zeng, Haishan</t>
  </si>
  <si>
    <t>Development of a laser Raman spectroscopy system for melanoma detection</t>
  </si>
  <si>
    <t>laser, Raman spectroscopy, melanoma</t>
  </si>
  <si>
    <t>Bell, John C</t>
  </si>
  <si>
    <t>Ottawa Hospital Research Institute</t>
  </si>
  <si>
    <t>201009PPP</t>
  </si>
  <si>
    <t>Increasing vaccine manufacturing output using viral sensitizer technology</t>
  </si>
  <si>
    <t>vaccine, manufacturing, viral sensitizer</t>
  </si>
  <si>
    <t>Booth, Valerie K</t>
  </si>
  <si>
    <t>Memorial University of Newfoundland</t>
  </si>
  <si>
    <t>Newfoundland and Labrador</t>
  </si>
  <si>
    <t>HLA Peptide Development as a Therapeutic for Psoriasis</t>
  </si>
  <si>
    <t>HLA, Peptide, Psoriasis</t>
  </si>
  <si>
    <t>Chopra, Rajiv</t>
  </si>
  <si>
    <t>Development of endorectal MR elastography for prostate cancer detection</t>
  </si>
  <si>
    <t>MR elastography, prostate cancer, detection</t>
  </si>
  <si>
    <t>Gratzer, Paul F</t>
  </si>
  <si>
    <t>Decellularization of Human Skin</t>
  </si>
  <si>
    <t>Decellularization, Human Skin</t>
  </si>
  <si>
    <t>Grynpas, Marc D</t>
  </si>
  <si>
    <t>"Calcium Polyphosphate Bone Substitutes"</t>
  </si>
  <si>
    <t>Calcium, Polyphosphate, Bone</t>
  </si>
  <si>
    <t>Houde, Daniel</t>
  </si>
  <si>
    <t>Universite de Sherbrooke</t>
  </si>
  <si>
    <t>Radiotherapie par filamentation laser femtoseconde</t>
  </si>
  <si>
    <t>radiotherapie, laser, femtoseconde</t>
  </si>
  <si>
    <t>Jarvi, Keith A</t>
  </si>
  <si>
    <t>Novel semen biomarkers to identify sperm production in men with infertility: A non-invasive method to characterize men with azoospermia or no sperm in the semen, into those with and without testicular sperm production</t>
  </si>
  <si>
    <t>Human Development, Child and Youth Health</t>
  </si>
  <si>
    <t>semen biomarkers, azoospermia, sperm production</t>
  </si>
  <si>
    <t>Martineau, Paul A</t>
  </si>
  <si>
    <t>POROUS COMPRESSION SCREW for FRACTURE FIXATION</t>
  </si>
  <si>
    <t>porous, compression, screw</t>
  </si>
  <si>
    <t>Meloche, Sylvain</t>
  </si>
  <si>
    <t>Universite de Montreal</t>
  </si>
  <si>
    <t>Targeting the degradation of the cyclin-dependent kinase inhibitor p21 as a novel approach to cancer therapy</t>
  </si>
  <si>
    <t>cyclin-dependent kinase, p21, cancer</t>
  </si>
  <si>
    <t>Methods of Diagnosing Primary Osteoarthritis</t>
  </si>
  <si>
    <t>diagnosing, osteoarthritis, primary</t>
  </si>
  <si>
    <t>Nepveu, Alain</t>
  </si>
  <si>
    <t>Validation of the CUX1 Expression Signature as an RT-PCR-Based Prognostic Tool</t>
  </si>
  <si>
    <t>CUX1, RT-PCR, Prognostic</t>
  </si>
  <si>
    <t>Petrecca, Kevin</t>
  </si>
  <si>
    <t>Identification of Novel Compounds Inhibiting Brain Cancer Invasion</t>
  </si>
  <si>
    <t>Compounds, Brain Cancer, Invasion</t>
  </si>
  <si>
    <t>The Use of Multipotential Stem Cells for the Treatment of Peripheral Vascular Disease</t>
  </si>
  <si>
    <t>Stem cells, Vascular disease, Peripheral</t>
  </si>
  <si>
    <t>Schimmer, Aaron D</t>
  </si>
  <si>
    <t>Repositioning tigecycline for the treatment of leukemia</t>
  </si>
  <si>
    <t>tigecycline, leukemia, repositioning</t>
  </si>
  <si>
    <t>Schrader, John W</t>
  </si>
  <si>
    <t>Preclinical evaluation of a truly human monoclonal antibody for the therapy of infections with a broad spectrum of influenza viruses</t>
  </si>
  <si>
    <t>monoclonal antibody, influenza viruses, infections</t>
  </si>
  <si>
    <t>Underhill, Michael</t>
  </si>
  <si>
    <t>Novel Applications of Potassium Channel Blockers in Arthritis</t>
  </si>
  <si>
    <t>Potassium Channel, Blockers, Arthritis</t>
  </si>
  <si>
    <t>Hancock, Robert Ernest W</t>
  </si>
  <si>
    <t>201102PDD</t>
  </si>
  <si>
    <t>Novel anti-inflammatory treatment for Amyotrophic Lateral Sclerosis</t>
  </si>
  <si>
    <t>anti-inflammatory, Amyotrophic Lateral Sclerosis</t>
  </si>
  <si>
    <t>Riddell, Michael C</t>
  </si>
  <si>
    <t>York University (Toronto, Ontario)</t>
  </si>
  <si>
    <t>Pharmaceutical intervention to decrease the threat of hypoglycemia in insulin-treated diabetics</t>
  </si>
  <si>
    <t>pharmaceutical, hypoglycemia, insulin</t>
  </si>
  <si>
    <t>Sipione, Simonetta</t>
  </si>
  <si>
    <t>Development of ganglioside-based therapies for Huntington's disease</t>
  </si>
  <si>
    <t>ganglioside, Huntington's disease, therapies</t>
  </si>
  <si>
    <t>201102PP2</t>
  </si>
  <si>
    <t>Evaluation of MRI-controlled interstitial ultrasound therapy for the treatment of cerebral neoplasms</t>
  </si>
  <si>
    <t>MRI, ultrasound, neoplasms</t>
  </si>
  <si>
    <t>Translational Development Program For Analogues of EPI-001 (PNG01-185) Compounds For the Treatment of Advanced Prostate Cancer</t>
  </si>
  <si>
    <t>EPI-001, Prostate Cancer, Analogues</t>
  </si>
  <si>
    <t>Alaoui-Jamali, Moulay A</t>
  </si>
  <si>
    <t>201102PPP</t>
  </si>
  <si>
    <t>Triple Targeted Kinase Inhibitors Capable of Inhibiting Breast Cancer Metastases</t>
  </si>
  <si>
    <t>Kinase inhibitors, breast cancer, metastases</t>
  </si>
  <si>
    <t>Boerkoel, Cornelius F</t>
  </si>
  <si>
    <t>Development of Tdp1 inhibitors for treating cancer</t>
  </si>
  <si>
    <t>Tdp1, inhibitors, cancer</t>
  </si>
  <si>
    <t>C.-Gaudreault, Rene</t>
  </si>
  <si>
    <t>Optimization and Validation of Highly Cytocidal Substituted Phenyl Imidazolidin-2-one as Antimicrotubule Agents for Cancer Chemotherapy</t>
  </si>
  <si>
    <t>Cytocidal, Phenyl Imidazolidin-2-one, Antimicrotubule</t>
  </si>
  <si>
    <t>Dacosta, Ralph S</t>
  </si>
  <si>
    <t>Development of PRODIGI, a Handheld Optical Imaging Technology for Real-time Intraoperative-guidance of Breast Tumour Resection</t>
  </si>
  <si>
    <t>Optical imaging, Intraoperative guidance, Breast tumor</t>
  </si>
  <si>
    <t>Frost, Eric H</t>
  </si>
  <si>
    <t>Simultaneous Influenza A detection, subtyping, and oseltamivir resistance determination</t>
  </si>
  <si>
    <t>Influenza, detection, resistance</t>
  </si>
  <si>
    <t>Graham, Simon J</t>
  </si>
  <si>
    <t>Tablet Technology for Assessing Dementia</t>
  </si>
  <si>
    <t>Tablet, Dementia, Assessing</t>
  </si>
  <si>
    <t>Mishra, Ram K</t>
  </si>
  <si>
    <t>McMaster University</t>
  </si>
  <si>
    <t>A novel dopamine D2 receptor allosteric modulator: Development and commercialization of a safer more effective generation of antipsychotic drugs</t>
  </si>
  <si>
    <t>dopamine D2 receptor, allosteric modulator, antipsychotic</t>
  </si>
  <si>
    <t>Pelletier, Jerry M</t>
  </si>
  <si>
    <t>Chemotherapeutic Agents for Inhibiting Protein Synthesis</t>
  </si>
  <si>
    <t>Chemotherapeutic, Protein Synthesis, Inhibition</t>
  </si>
  <si>
    <t>Prentki, Marc</t>
  </si>
  <si>
    <t>Validation of a glycerolipid/ free fatty acid cycling enzyme as a novel therapeutic target for type-2 diabetes</t>
  </si>
  <si>
    <t>glycerolipid, fatty acid, enzyme</t>
  </si>
  <si>
    <t>Yudin, Andrei</t>
  </si>
  <si>
    <t>Arrays of constrained histone tail mimetics for the development of epigenetic anticancer drugs</t>
  </si>
  <si>
    <t>histone, mimetics, epigenetic</t>
  </si>
  <si>
    <t>Chan, Tak Hang</t>
  </si>
  <si>
    <t>201109PP2</t>
  </si>
  <si>
    <t>Evaluation of novel flavonoids in models of hematological cancer</t>
  </si>
  <si>
    <t>flavonoids, hematological cancer, models</t>
  </si>
  <si>
    <t>Burt, Helen M</t>
  </si>
  <si>
    <t>201109PPP</t>
  </si>
  <si>
    <t>Intravesical Taxanes</t>
  </si>
  <si>
    <t>Intravesical, Taxanes</t>
  </si>
  <si>
    <t>Cynader, Max S</t>
  </si>
  <si>
    <t>Novel peptide as potential therapeutic for treatment of ischemic stroke</t>
  </si>
  <si>
    <t>peptide, ischemic stroke</t>
  </si>
  <si>
    <t>Ghahary, Aziz</t>
  </si>
  <si>
    <t>Discovery of a Novel Anti-fibrogenic factor and its Therapeutic evaluation</t>
  </si>
  <si>
    <t>Anti-fibrogenic, factor, therapeutic</t>
  </si>
  <si>
    <t>Gobeil, Fernand J</t>
  </si>
  <si>
    <t>Agonistes synthetiques de kinines : Optimiser la livraison et l'efficacite des chimiotherapies des tumeurs cerebrales</t>
  </si>
  <si>
    <t>kinines, livraison, chimiotherapies</t>
  </si>
  <si>
    <t>Guertin, Pierre</t>
  </si>
  <si>
    <t>First-in-class Therapeutic Against Urinary Retention (Continence) in Patients with Chronic Spinal Cord Injury and Related Disorders</t>
  </si>
  <si>
    <t>Urinary retention, spinal cord injury, continence</t>
  </si>
  <si>
    <t>Hassell, John A</t>
  </si>
  <si>
    <t>Characterization of small molecule sensitizers to chemotherapy</t>
  </si>
  <si>
    <t>small molecule, sensitizers, chemotherapy</t>
  </si>
  <si>
    <t>Preclinical testing of a mitochondrially-targeted anticancer agent</t>
  </si>
  <si>
    <t>mitochondrially-targeted, anticancer, agent</t>
  </si>
  <si>
    <t>Kubow, Stanley</t>
  </si>
  <si>
    <t>Protective Effects of Potato Polyphenol-Rich Extracts Against Lung Damage Caused by Air Pollutants</t>
  </si>
  <si>
    <t>potato polyphenols, lung damage, air pollutants</t>
  </si>
  <si>
    <t>Development of peptide therapeutics via nasal delivery for major depression disorder</t>
  </si>
  <si>
    <t>peptide, nasal delivery, depression</t>
  </si>
  <si>
    <t>Mahuran, Don J</t>
  </si>
  <si>
    <t>Treating Parkinson's Disease with Drugs that Increase Lysosomal B-Glucocerebrosidase Activity</t>
  </si>
  <si>
    <t>Parkinson's, Lysosomal, B-Glucocerebrosidase</t>
  </si>
  <si>
    <t>Petkovich, Martin</t>
  </si>
  <si>
    <t>Blocking RA Metabolism: A safer approach to retinoid therapy in skin disease</t>
  </si>
  <si>
    <t>RA, metabolism, skin disease</t>
  </si>
  <si>
    <t>Richter, Martin</t>
  </si>
  <si>
    <t>Matriptase Inhibitors as a Novel Class of Influenza Antivirals</t>
  </si>
  <si>
    <t>Matriptase, Inhibitors, Influenza</t>
  </si>
  <si>
    <t>Optimization and preclinical studies on amphiphilic aminoglycoside antimicrobials (AAAs)</t>
  </si>
  <si>
    <t>amphiphilic, aminoglycoside, antimicrobials</t>
  </si>
  <si>
    <t>Husain, Mansoor</t>
  </si>
  <si>
    <t>201202PP2</t>
  </si>
  <si>
    <t>Development of an anti-proliferative therapeutic that disrupts CaM-cyclin E interactions in vivo.</t>
  </si>
  <si>
    <t>anti-proliferative, CaM-cyclin E, interactions</t>
  </si>
  <si>
    <t>Novel Influenza Neuraminidase Inhibitors - Development of Orally Bioavailable Agents</t>
  </si>
  <si>
    <t>Influenza, Neuraminidase, Inhibitors</t>
  </si>
  <si>
    <t>Agrawal, Babita</t>
  </si>
  <si>
    <t>201202PPP</t>
  </si>
  <si>
    <t>Novel cross-protective (universal) vaccine for influenza infections</t>
  </si>
  <si>
    <t>cross-protective, influenza, vaccine</t>
  </si>
  <si>
    <t>Boyd, Daniel</t>
  </si>
  <si>
    <t>Commercialization of a Radiopaque Spherical Embolic Agent.</t>
  </si>
  <si>
    <t>Radiopaque, Embolic, Agent</t>
  </si>
  <si>
    <t>Coderre, Terence J</t>
  </si>
  <si>
    <t>Synergistic topical combinations for chronic pain aimed at treating microvascular dysfunction.</t>
  </si>
  <si>
    <t>topical, microvascular, pain</t>
  </si>
  <si>
    <t>Hansen, Carl L</t>
  </si>
  <si>
    <t>Pre-commercial development of single cell antibody selection process</t>
  </si>
  <si>
    <t>single cell, antibody, selection</t>
  </si>
  <si>
    <t>Kizhakkedathu, Jayachandran N</t>
  </si>
  <si>
    <t>Novel Polymer Based Glucose-sparing Peritoneal Dialysis Solutions for End-stage Renal Disease</t>
  </si>
  <si>
    <t>Polymer, Glucose-sparing, Dialysis</t>
  </si>
  <si>
    <t>Legault, Pascale</t>
  </si>
  <si>
    <t>The ARiBo technology for isolation of ribonucleoprotein complexes</t>
  </si>
  <si>
    <t>ARiBo, ribonucleoprotein, complexes</t>
  </si>
  <si>
    <t>Li, Shyh-Dar</t>
  </si>
  <si>
    <t>Ontario Institute for Cancer Research (Toronto, Ontario)</t>
  </si>
  <si>
    <t>Benchmark Cellax, a proprietary nanoparticle formulation for docetaxel, against Taxotere to treat metastatic castration resistant prostate cancer</t>
  </si>
  <si>
    <t>nanoparticle, docetaxel, prostate cancer</t>
  </si>
  <si>
    <t>evaluation du potentiel therapeutique in vivo d'un nouvel inhibiteur de la 17beta-HSD3 e bloquer la croissance de tumeurs xenogreffees du cancer de la prostate</t>
  </si>
  <si>
    <t>17beta-HSD3, inhibiteur, prostate</t>
  </si>
  <si>
    <t>Pratt, Christine M</t>
  </si>
  <si>
    <t>University of Ottawa</t>
  </si>
  <si>
    <t>A-CD estrogens as alternatives to Estrogen-based hormone replacement therapy</t>
  </si>
  <si>
    <t>Gender and Health</t>
  </si>
  <si>
    <t>A-CD estrogens, hormone replacement</t>
  </si>
  <si>
    <t>Sanche, Leon</t>
  </si>
  <si>
    <t>Developpement de composes antineoplasiques radiosensibilisants achemines par nano transporteur liposomal.</t>
  </si>
  <si>
    <t>antineoplasiques, radiosensibilisants, liposomal</t>
  </si>
  <si>
    <t>Cancer vaccines targeting the ganglioside tumor-marker GD2</t>
  </si>
  <si>
    <t>cancer, vaccines, GD2</t>
  </si>
  <si>
    <t>Slim, Rima</t>
  </si>
  <si>
    <t>NLRP7-based diagnosis of female reproduction wastage</t>
  </si>
  <si>
    <t>NLRP7, diagnosis, female reproduction</t>
  </si>
  <si>
    <t>Walti, Herve</t>
  </si>
  <si>
    <t>Total liquid ventilation improves respiratory and neurological outcomes in newborn lambs with severe respiratory failure</t>
  </si>
  <si>
    <t>liquid ventilation, respiratory failure, neurological outcomes</t>
  </si>
  <si>
    <t>Zhou, Youwen</t>
  </si>
  <si>
    <t>A diagnostic test for cutaneous T cell lymphomas</t>
  </si>
  <si>
    <t>diagnostic, T cell lymphomas, cutaneous</t>
  </si>
  <si>
    <t>Cashman, Neil R</t>
  </si>
  <si>
    <t>201209PP2</t>
  </si>
  <si>
    <t>A defined cyclic peptide epitope specific to Abeta oligomers:   Active and passive vaccination in mouse models of Alzheimer's disease</t>
  </si>
  <si>
    <t>cyclic peptide, Abeta oligomers, vaccination</t>
  </si>
  <si>
    <t>Rosenberg, Lawrence</t>
  </si>
  <si>
    <t>A Novel Regenerative Drug Therapy to Restore Natural Insulin Secretion in Diabetes Mellitus</t>
  </si>
  <si>
    <t>Regenerative, Insulin, Diabetes</t>
  </si>
  <si>
    <t>Seidah, Nabil G</t>
  </si>
  <si>
    <t>Institut de recherches cliniques de Montreal</t>
  </si>
  <si>
    <t>Validation of PCSK9 single domain antibodies in cholesterol regulation in humanized mice</t>
  </si>
  <si>
    <t>PCSK9, antibodies, cholesterol</t>
  </si>
  <si>
    <t>Afilalo, Jonathan</t>
  </si>
  <si>
    <t>201209PPP</t>
  </si>
  <si>
    <t>Buccal Lamin A as a Novel Biomarker for Frailty</t>
  </si>
  <si>
    <t>Buccal, Lamin A, Biomarker</t>
  </si>
  <si>
    <t>Bernatchez, Pascal N</t>
  </si>
  <si>
    <t>Novel compounds for treatment of pulmonary hypertension</t>
  </si>
  <si>
    <t>compounds,pulmonary hypertension</t>
  </si>
  <si>
    <t>Anti-Biofilm Therapy</t>
  </si>
  <si>
    <t>Anti-biofilm, Therapy</t>
  </si>
  <si>
    <t>PrOTYPE: An Enabling Technology to Improve Ovarian Cancer Care</t>
  </si>
  <si>
    <t>Ovarian cancer, Enabling technology</t>
  </si>
  <si>
    <t>Kumar, Rakesh</t>
  </si>
  <si>
    <t>Development of new class of antiviral drugs for influenza A virus infections</t>
  </si>
  <si>
    <t>antiviral, influenza, virus</t>
  </si>
  <si>
    <t>Malouin, Franeois</t>
  </si>
  <si>
    <t>Riboswitch ligand inhibitors for MRSA and staphylococci / Ligands de riboregulateurs agissant comme antibiotiques contre le SARM et les staphylocoques</t>
  </si>
  <si>
    <t>riboswitch, ligands, antibiotics</t>
  </si>
  <si>
    <t>Nazhat, Showan N</t>
  </si>
  <si>
    <t>Injectable dense collagen-silk fibroin derived polypeptide hydrogels for bone regenerative therapy</t>
  </si>
  <si>
    <t>collagen, fibroin, hydrogels</t>
  </si>
  <si>
    <t>Reynolds, Steven C</t>
  </si>
  <si>
    <t>Fraser Health Authority (Surrey, BC)</t>
  </si>
  <si>
    <t>Phase 1 Trial of a novel transvenous phrenic nerve pacer for diaphragm activation in mechanically ventilated critically ill patients.</t>
  </si>
  <si>
    <t>phrenic nerve, pacer, diaphragm</t>
  </si>
  <si>
    <t>Ross, Ruth A</t>
  </si>
  <si>
    <t>Development and Testing of Small Molecule Allosteric Modulators for the Treatment of Pain.</t>
  </si>
  <si>
    <t>Small Molecule, Allosteric Modulators, Pain</t>
  </si>
  <si>
    <t>Salcudean, Septimiu E</t>
  </si>
  <si>
    <t>Real-time Ultrasound Quantitative Elastography of the Prostate</t>
  </si>
  <si>
    <t>Ultrasound, Elastography, Prostate</t>
  </si>
  <si>
    <t>Sherar, Michael D</t>
  </si>
  <si>
    <t>Treatment Planning and Guidance Software Platform for Minimally Invasive Ablation Therapies</t>
  </si>
  <si>
    <t>Ablation, Guidance, Software</t>
  </si>
  <si>
    <t>Stagljar, Igor</t>
  </si>
  <si>
    <t>Development of the Mammalian Membrane Two-Hybrid (MaMTH) technology, a novel protein interaction and drug discovery tool</t>
  </si>
  <si>
    <t>Membrane, Two-Hybrid, Protein interaction</t>
  </si>
  <si>
    <t>Tamimi, Faleh</t>
  </si>
  <si>
    <t>Biocompatible inorganic nanogel system for medical applications</t>
  </si>
  <si>
    <t>Biocompatible, nanogel, inorganic</t>
  </si>
  <si>
    <t>Tremblay, Jacques P</t>
  </si>
  <si>
    <t>Development of a treatment for Friedreich ataxia based on the administration of TALE proteins targeting the frataxin promoter.</t>
  </si>
  <si>
    <t>Friedreich ataxia, TALE proteins, frataxin</t>
  </si>
  <si>
    <t>201302PP2</t>
  </si>
  <si>
    <t>Intravesical Docetaxel Formulation for the Treatment of Ta/T1 Stage Bladder Cancer</t>
  </si>
  <si>
    <t>Docetaxel, Bladder Cancer, Intravesical</t>
  </si>
  <si>
    <t>Meek, Robert N</t>
  </si>
  <si>
    <t>Minimally Invasive Curved Intramedullary Fixation (MICIF) for pelvic bone fractures</t>
  </si>
  <si>
    <t>Health Services and Policy Research</t>
  </si>
  <si>
    <t>Intramedullary, Fixation, Pelvic</t>
  </si>
  <si>
    <t>201302PPP</t>
  </si>
  <si>
    <t>New dual-mode antiviral agents for the treatment of hepatitis C virus infection</t>
  </si>
  <si>
    <t>antiviral agents, hepatitis C virus, infection</t>
  </si>
  <si>
    <t>Beaulieu, Martin</t>
  </si>
  <si>
    <t>Cells lines for screening GPCR/Nav signaling compound</t>
  </si>
  <si>
    <t>cells, GPCR, signaling</t>
  </si>
  <si>
    <t>Bosse, Yohan</t>
  </si>
  <si>
    <t>Prognostic gene signature for stage I lung adenocarcinoma</t>
  </si>
  <si>
    <t>gene signature, lung adenocarcinoma, prognostic</t>
  </si>
  <si>
    <t>Brouillette, Martin</t>
  </si>
  <si>
    <t>Device for recanalization of peripheral and coronary arteries</t>
  </si>
  <si>
    <t>recanalization, arteries, device</t>
  </si>
  <si>
    <t>A Novel Class of Drug Treatment Against Chronic Constipation in Spinal Cord-Injured People</t>
  </si>
  <si>
    <t>Drug, Constipation, Spinal Cord</t>
  </si>
  <si>
    <t>Prediction of successful sperm retrieval in patients with non-obstructive azoospermia using a panel of protein biomarkers measured in seminal plasma</t>
  </si>
  <si>
    <t>sperm retrieval, azoospermia, protein biomarkers</t>
  </si>
  <si>
    <t>Heat-triggered Chemotherapy to Treat Refractory Breast Cancer at the Chest Wall</t>
  </si>
  <si>
    <t>Heat, Chemotherapy, Breast Cancer</t>
  </si>
  <si>
    <t>Stojdl, David F</t>
  </si>
  <si>
    <t>Children's Hospital of Eastern Ontario Research Institute Inc</t>
  </si>
  <si>
    <t>Chimeric Oncolytic Virus for Brain Cancer Treatment</t>
  </si>
  <si>
    <t>Chimeric, Oncolytic Virus, Brain Cancer</t>
  </si>
  <si>
    <t>Integrated Surgical Lighting and Navigation System</t>
  </si>
  <si>
    <t>Surgical lighting, Navigation system</t>
  </si>
  <si>
    <t>Williams, Jason</t>
  </si>
  <si>
    <t>Nova Scotia Health Authority (Halifax)</t>
  </si>
  <si>
    <t>The Production of Decellularized Human Skin to Treat Chronic Diabetic Ulcers</t>
  </si>
  <si>
    <t>Decellularized, Human Skin, Diabetic Ulcers</t>
  </si>
  <si>
    <t>Yanow, Stephanie K</t>
  </si>
  <si>
    <t>A field-deployable malaria and fever diagnostic system</t>
  </si>
  <si>
    <t>malaria, diagnostic, fever</t>
  </si>
  <si>
    <t>Beaulieu, Jean-Franeois</t>
  </si>
  <si>
    <t>201309PPP</t>
  </si>
  <si>
    <t>Improving the diagnosis of colorectal cancer using fecal mRNA and protein markers: The integrin alpha 6A subunit</t>
  </si>
  <si>
    <t>colorectal cancer, fecal mRNA, integrin alpha 6A</t>
  </si>
  <si>
    <t>Biological Viral Sensitizers for GMP Manufacturing</t>
  </si>
  <si>
    <t>Viral, Sensitizers, Manufacturing</t>
  </si>
  <si>
    <t>Charron, Thierry</t>
  </si>
  <si>
    <t>CIUSSS du Nord-de-l'Ile-de Montreal - Hepital Sacre Coeur</t>
  </si>
  <si>
    <t>Innovative device to reduce myocardial infarct size and no-reflow : Proof of concepts in humans</t>
  </si>
  <si>
    <t>myocardial infarct, no-reflow, device</t>
  </si>
  <si>
    <t>Cummins, Carolyn L</t>
  </si>
  <si>
    <t>Developing a Novel Therapeutic for Cushing's Syndrome</t>
  </si>
  <si>
    <t>Cushing's Syndrome, Therapeutic</t>
  </si>
  <si>
    <t>Fenster, Aaron</t>
  </si>
  <si>
    <t>3D Ultrasound Scanner System For Management Of Intraventricular Hemorrhage In Preterm Neonates</t>
  </si>
  <si>
    <t>3D Ultrasound, Intraventricular Hemorrhage, Neonates</t>
  </si>
  <si>
    <t>Gatignol, Anne</t>
  </si>
  <si>
    <t>Development of antisense-based small RNA agents targeting the GAG open reading frame of HIV-1 RNA for use in gene and drug therapy against HIV-1 infection.</t>
  </si>
  <si>
    <t>antisense, RNA, HIV-1</t>
  </si>
  <si>
    <t>Re -constitutable skin substitute powder kit</t>
  </si>
  <si>
    <t>skin, substitute, powder</t>
  </si>
  <si>
    <t>Hebert, Marc</t>
  </si>
  <si>
    <t>Diagnostic differentiel de la schizophrenie, la depression bipolaire et la depression majeure e l'aide de l'electroretinographie</t>
  </si>
  <si>
    <t>diagnostic, electroretinography, schizophrenia</t>
  </si>
  <si>
    <t>Development of novel chemotherapeutics for tuberculosis</t>
  </si>
  <si>
    <t>chemotherapeutics, tuberculosis</t>
  </si>
  <si>
    <t>Nanthakumar, Kumaraswamy</t>
  </si>
  <si>
    <t>Novel Mapping Methodology for Identifying Arrhythmia Circuit.</t>
  </si>
  <si>
    <t>Mapping, Arrhythmia, Circuit</t>
  </si>
  <si>
    <t>evaluation du potentiel therapeutique in vivo d'un nouvel inhibiteur de la steroede sulfatase combinant des proprietes osteogenique et antiestrogenique pour le traitement des cancers du sein et de la prostate</t>
  </si>
  <si>
    <t>steroide sulfatase, osteogenique, cancer</t>
  </si>
  <si>
    <t>Preclinical Development of a novel M2 Channel Inhibitor for the Treatment and Prevention of Influenza</t>
  </si>
  <si>
    <t>M2 Channel, Inhibitor, Influenza</t>
  </si>
  <si>
    <t>Wu, Xiao Yu S</t>
  </si>
  <si>
    <t>Preclinical evaluation of multifunctional polymer nanoparticles for targeted brain cancer therapy</t>
  </si>
  <si>
    <t>polymer nanoparticles, brain cancer, targeted</t>
  </si>
  <si>
    <t>Diallo, Jean-Simon</t>
  </si>
  <si>
    <t>201402PP2</t>
  </si>
  <si>
    <t>Evaluation of viral sensitizer technology in improving egg-based influenza vaccine manufacturing processes</t>
  </si>
  <si>
    <t>viral, sensitizer, influenza</t>
  </si>
  <si>
    <t>Preclinical Development of a Glucose-Free Peritoneal Dialysis Solution</t>
  </si>
  <si>
    <t>Glucose-Free, Peritoneal Dialysis, Solution</t>
  </si>
  <si>
    <t>Alfieri, Carolina</t>
  </si>
  <si>
    <t>201402PPP</t>
  </si>
  <si>
    <t>Development of a peptide mimetic vaccine for prevention of Epstein-Barr virus infectious mononucleosis and related cancers.</t>
  </si>
  <si>
    <t>peptide, vaccine, Epstein-Barr virus</t>
  </si>
  <si>
    <t>Bohbot, Veronique</t>
  </si>
  <si>
    <t>CIUSSS de l'Ouest-de-l'Ile-de-Montreal-Douglas Hospital</t>
  </si>
  <si>
    <t>Validation of a fully automated virtual reality based spatial memory improvement program that promotes healthy aging</t>
  </si>
  <si>
    <t>virtual reality, spatial memory, aging</t>
  </si>
  <si>
    <t>Cherkasov, Artem</t>
  </si>
  <si>
    <t>First-in-Class Small-molecule Inhibitors Selectively Targeting the DNA-binding Domain of Human Androgen Receptor and Its Splice Variants for the Treatment of Resistant Prostate Cancer</t>
  </si>
  <si>
    <t>small-molecule, androgen receptor, prostate cancer</t>
  </si>
  <si>
    <t>Conway, Edward M</t>
  </si>
  <si>
    <t>Novel therapeutic approach for 'wet' and 'dry' age-related macular degeneration</t>
  </si>
  <si>
    <t>age-related macular degeneration, therapeutic, dry wet</t>
  </si>
  <si>
    <t>Fon, Edward A</t>
  </si>
  <si>
    <t>Targeting Alpha-Synuclein Propagation in the Treatment of Parkinson's Disease and Other Synucleinopathies</t>
  </si>
  <si>
    <t>Alpha-Synuclein, Propagation, Parkinson's Disease</t>
  </si>
  <si>
    <t>Hanrahan, John W</t>
  </si>
  <si>
    <t>CFTR modulators as a potential new therapeutic paradigm to treat individuals with COPD</t>
  </si>
  <si>
    <t>CFTR, modulators, COPD</t>
  </si>
  <si>
    <t>Jaffray, David A</t>
  </si>
  <si>
    <t>Advanced Handheld SPECT System for Intraoperative Guidance</t>
  </si>
  <si>
    <t>Handheld, SPECT, Guidance</t>
  </si>
  <si>
    <t>Kastrup, Christian J</t>
  </si>
  <si>
    <t>Self-Propelling Hemostatic Particles that Treat Severe Bleeding</t>
  </si>
  <si>
    <t>Self-Propelling, Hemostatic, Bleeding</t>
  </si>
  <si>
    <t>The xViva CTC capture chip: a device for tumor cell sorting and classification</t>
  </si>
  <si>
    <t>CTC, capture, sorting</t>
  </si>
  <si>
    <t>Kotra, Lakshmi P</t>
  </si>
  <si>
    <t>In vivo efficacy studies on KP-218 as a potential MS therapeutic agent</t>
  </si>
  <si>
    <t>in vivo, MS, therapeutic</t>
  </si>
  <si>
    <t>Mahony, James B</t>
  </si>
  <si>
    <t>Evaluation of a Novel Chlamydia Vaccine Based on Type III Secretion Proteins</t>
  </si>
  <si>
    <t>Chlamydia, Vaccine, Secretion Proteins</t>
  </si>
  <si>
    <t>Putnins, Edward E</t>
  </si>
  <si>
    <t>Development of Novel Polar MAO B Inhibitors for the Treatment of Epithelial Barrier Diseases</t>
  </si>
  <si>
    <t>MAO B, Inhibitors, Epithelial Barrier</t>
  </si>
  <si>
    <t>Steinberg, Gregory R</t>
  </si>
  <si>
    <t>Development of a new therapy targeting adipose tissue metabolism for the treatment of obesity</t>
  </si>
  <si>
    <t>adipose tissue, metabolism, obesity</t>
  </si>
  <si>
    <t>Tabrizian, Maryam</t>
  </si>
  <si>
    <t>A Novel Injectable Chitosan Sponge Containing BMP-7 as a Therapeutic Intervention for Accelerated Bone Formation in a Critical Size Defect Rat Model</t>
  </si>
  <si>
    <t>Chitosan, BMP-7, Bone Formation</t>
  </si>
  <si>
    <t>201409PP2</t>
  </si>
  <si>
    <t>Development of a novel, temporary, transcutaneously placed, transvenous phrenic nerve pacer for diaphragm activation in critically ill patients</t>
  </si>
  <si>
    <t>phrenic nerve, transvenous, diaphragm</t>
  </si>
  <si>
    <t>Development and Commercialisation of Allosteric Modulators for the Treatment of Pain</t>
  </si>
  <si>
    <t>Allosteric, Modulators, Pain</t>
  </si>
  <si>
    <t>Bergeron, Michel G</t>
  </si>
  <si>
    <t>201409PPP</t>
  </si>
  <si>
    <t>Developpement, optimisation et multiplexage d'un oligonucleotide synthetique permettant l'amplification d'ADN et l'hybridation sur support solide en une seule etape. PDP PhaseI</t>
  </si>
  <si>
    <t>oligonucleotide, amplification, hybridation</t>
  </si>
  <si>
    <t>Chauhan, Vijay S</t>
  </si>
  <si>
    <t>Rotor Mapping in Human Atrial Fibrillation</t>
  </si>
  <si>
    <t>Rotor, Mapping, Atrial Fibrillation</t>
  </si>
  <si>
    <t>Du, Caigan</t>
  </si>
  <si>
    <t>Preclinical Development of a Novel Organ Transplant Solution</t>
  </si>
  <si>
    <t>organ transplant, solution</t>
  </si>
  <si>
    <t>Dyck, Jason R</t>
  </si>
  <si>
    <t>Preclinical Development and Optimization of Small Molecules for the Treatment of Atrial Fibrillation</t>
  </si>
  <si>
    <t>Small Molecules, Atrial Fibrillation, Preclinical</t>
  </si>
  <si>
    <t>Flynn, Lauren E</t>
  </si>
  <si>
    <t>Development of novel porous extracellular matrix-derived bioscaffolds for cutaneous wound healing</t>
  </si>
  <si>
    <t>porous, extracellular matrix, bioscaffolds</t>
  </si>
  <si>
    <t>Grierson, David S</t>
  </si>
  <si>
    <t>Development of Specific Inhibitors of HIV pre-mRNA Alternative Splicing: A New Anti-HIV/AIDS Strategy</t>
  </si>
  <si>
    <t>HIV, pre-mRNA, splicing</t>
  </si>
  <si>
    <t>Koeberle, Paulo D</t>
  </si>
  <si>
    <t>Peptide therapeutics for preventing retinal ganglion cell apoptosis</t>
  </si>
  <si>
    <t>peptide, retinal ganglion cell, apoptosis</t>
  </si>
  <si>
    <t>Logsetty, Sarvesh</t>
  </si>
  <si>
    <t>The effects of a novel hydrogel coating on commercial antimicrobial dressings.</t>
  </si>
  <si>
    <t>hydrogel, antimicrobial, dressings</t>
  </si>
  <si>
    <t>Preclinical Validation of a Disease-Modifying Osteoarthritis Drug</t>
  </si>
  <si>
    <t>Osteoarthritis, Drug, Validation</t>
  </si>
  <si>
    <t>Sinton, David A</t>
  </si>
  <si>
    <t>High Quality Sperm Selection for Assisted Reproductive Technology</t>
  </si>
  <si>
    <t>Sperm, Selection, Reproductive</t>
  </si>
  <si>
    <t>Trifiro, Mark A</t>
  </si>
  <si>
    <t>Targeting novel BioNanofluids for prostate cancer therapy</t>
  </si>
  <si>
    <t>BioNanofluids, prostate cancer, targeting</t>
  </si>
  <si>
    <t>Tsao, Ming-Sound</t>
  </si>
  <si>
    <t>Development of a monoclonal antibody for integrin alpha-11 to treat lung cancer</t>
  </si>
  <si>
    <t>monoclonal antibody, integrin alpha-11, lung cancer</t>
  </si>
  <si>
    <t>Extending circulation time of protein therapeutics by capping glycan structures with 7F-Sialic acids</t>
  </si>
  <si>
    <t>protein, glycan, sialic acids</t>
  </si>
  <si>
    <t>Long-term preservation of a whole parasite malaria vaccine for storage and delivery in the tropics</t>
  </si>
  <si>
    <t>parasite, malaria, vaccine</t>
  </si>
  <si>
    <t>Young, Robert N</t>
  </si>
  <si>
    <t>Development of a novel conjugate drug for local delivery in bone grafts: Efficacy study on vascularization and osteogenesis after local delivery in a dental implant jaw model</t>
  </si>
  <si>
    <t>conjugate drug, bone grafts, osteogenesis</t>
  </si>
  <si>
    <t>Brodt, Pnina</t>
  </si>
  <si>
    <t>201502PP2</t>
  </si>
  <si>
    <t>An IGF-Trap for the treatment of breast cancer: consolidation of the pre-clinical profile and commercialization.</t>
  </si>
  <si>
    <t>IGF, breast cancer, trap</t>
  </si>
  <si>
    <t>Greer, John J</t>
  </si>
  <si>
    <t>Ampakine Therapy for Alleviating Respiratory Depression</t>
  </si>
  <si>
    <t>Ampakine, Respiratory Depression, Therapy</t>
  </si>
  <si>
    <t>Zhang, Li</t>
  </si>
  <si>
    <t>A new cellular immunotherapy to treat acute myeloid leukemia</t>
  </si>
  <si>
    <t>cellular, immunotherapy, leukemia</t>
  </si>
  <si>
    <t>Benard, Francois</t>
  </si>
  <si>
    <t>201502PPP</t>
  </si>
  <si>
    <t>Advancing the clinical development of [18F]AMBF3-TATE, a novel imaging probe for neuroendocrine tumours</t>
  </si>
  <si>
    <t>[18F], imaging, neuroendocrine</t>
  </si>
  <si>
    <t>Brukner, Ivan</t>
  </si>
  <si>
    <t>A new qPCR method for the assessment of total/relative bacterial load from stool samples: C difficile show case</t>
  </si>
  <si>
    <t>qPCR, bacterial load, stool samples</t>
  </si>
  <si>
    <t>de Rezende, Joao B</t>
  </si>
  <si>
    <t>A Non-Traumatic Binder for Temporary Abdominal Wall Closure</t>
  </si>
  <si>
    <t>Binder, Abdominal Wall, Closure</t>
  </si>
  <si>
    <t>Dumont, Guy A</t>
  </si>
  <si>
    <t>Certifiably safe closed-loop control of anesthesia</t>
  </si>
  <si>
    <t>closed-loop, control, anesthesia</t>
  </si>
  <si>
    <t>Gibbings, Derrick J</t>
  </si>
  <si>
    <t>Technology to build a drug delivery platform for silencing RNAs using exosomes</t>
  </si>
  <si>
    <t>drug delivery, exosomes, RNAs</t>
  </si>
  <si>
    <t>Kim, Peter K</t>
  </si>
  <si>
    <t>A novel therapeutic treatment for Zellweger Spectrum Disorder</t>
  </si>
  <si>
    <t>Zellweger, Spectrum, Disorder</t>
  </si>
  <si>
    <t>Ma, Hongshen</t>
  </si>
  <si>
    <t>Pre-commercial Development of Microfluidic Technology for Deformability based Separation of Circulating Tumor Cells</t>
  </si>
  <si>
    <t>microfluidic, deformability, tumor cells</t>
  </si>
  <si>
    <t>Optically-Guided Biopsy for Improved Diagnosis of Peripheral Pulmonary Nodules</t>
  </si>
  <si>
    <t>Optically-Guided, Biopsy, Pulmonary</t>
  </si>
  <si>
    <t>Sheppard, Donald C</t>
  </si>
  <si>
    <t>Recombinant hydrolases as anti-biofilm therapies for Aspergillus infections</t>
  </si>
  <si>
    <t>recombinant hydrolases, anti-biofilm, Aspergillus</t>
  </si>
  <si>
    <t>Sidhu, Sachdev S</t>
  </si>
  <si>
    <t>Highly specific therapeutic-grade anti-FGFR1 antibodies with anti-proliferative effects</t>
  </si>
  <si>
    <t>anti-FGFR1, antibodies, anti-proliferative</t>
  </si>
  <si>
    <t>Alzheimer treatment based on the editing of the Amyloid Precursor Protein gene</t>
  </si>
  <si>
    <t>Alzheimer, gene editing, Amyloid Precursor Protein</t>
  </si>
  <si>
    <t>Weksberg, Rosanna</t>
  </si>
  <si>
    <t>Implementation and Commercialization of a Novel DNA Methylation-Based Diagnostic Tool</t>
  </si>
  <si>
    <t>DNA methylation, diagnostic, tool</t>
  </si>
  <si>
    <t>Development of novel pan-inhibitors of the androgen receptor variants as effective therapeutics for castration-resistant prostate cancer</t>
  </si>
  <si>
    <t>androgen receptor, pan-inhibitors, prostate cancer</t>
  </si>
  <si>
    <t>Yoo, Paul</t>
  </si>
  <si>
    <t>Minimally-Invasive Method of Selectively Activating Posterior Tibial Nerve Afferents for Treating Overactive Bladder</t>
  </si>
  <si>
    <t>Minimally-Invasive, Posterior Tibial Nerve, Overactive Bladder</t>
  </si>
  <si>
    <t>201509PP2</t>
  </si>
  <si>
    <t>Development and commercialisation of a novel treatment for multiple sclerosis</t>
  </si>
  <si>
    <t>multiple sclerosis, treatment</t>
  </si>
  <si>
    <t>Therapy for motor neuron degeneration diseases targeting the opposing ligand-dependent signals of two TrkC receptor isoforms</t>
  </si>
  <si>
    <t>motor neuron, TrkC, receptor</t>
  </si>
  <si>
    <t>201509PPP</t>
  </si>
  <si>
    <t>Bone-Seeking Iron Oxide Nanoparticles for Imaging Bone Metabolism</t>
  </si>
  <si>
    <t>Iron oxide, nanoparticles, imaging</t>
  </si>
  <si>
    <t>Dutta, Tilak</t>
  </si>
  <si>
    <t>Pressure ulcer prevention: a novel prompting system for patient repositioning</t>
  </si>
  <si>
    <t>pressure ulcer, prompting system, repositioning</t>
  </si>
  <si>
    <t>MR-Guided Focal Ablation of Prostate Cancer</t>
  </si>
  <si>
    <t>MR, Ablation, Prostate Cancer</t>
  </si>
  <si>
    <t>Gobbi, Gabriella</t>
  </si>
  <si>
    <t>Novel first-in-class MT2 melatonin receptor partial agonists for neuropathic pain</t>
  </si>
  <si>
    <t>MT2, melatonin receptor, neuropathic pain</t>
  </si>
  <si>
    <t>Prediction of successful sperm retrieval in patients with non-obstructive azoospermia using TEX101 protein measured in seminal plasma by ELISA</t>
  </si>
  <si>
    <t>sperm retrieval, TEX101, azoospermia</t>
  </si>
  <si>
    <t>Injectable thermosensitive hydrogel as delivery vehicle of lymphocytes for cancer immunotherapy</t>
  </si>
  <si>
    <t>injectable, hydrogel, lymphocytes</t>
  </si>
  <si>
    <t>Mcalpine, Jessica N</t>
  </si>
  <si>
    <t>PROMISE: A Proactive Molecular-Based Classification Tool to Improve Endometrial Cancer Management</t>
  </si>
  <si>
    <t>Molecular, Classification, Endometrial Cancer</t>
  </si>
  <si>
    <t>Optimisation du potentiel therapeutique de derives aminosteroedes contre le cancer de l'ovaire</t>
  </si>
  <si>
    <t>aminosteroids, ovarian cancer, therapeutic potential</t>
  </si>
  <si>
    <t>Preclinical evaluation of a gentamicin analog as a treatment for genetic diseases and cancer due to a premature termination codon.</t>
  </si>
  <si>
    <t>gentamicin, genetic diseases, cancer</t>
  </si>
  <si>
    <t>Development and therapeutic validation of GPR55 modulators for the treatment of osteoclast-mediated disorders</t>
  </si>
  <si>
    <t>GPR55, modulators, osteoclast</t>
  </si>
  <si>
    <t>Shapiro, James</t>
  </si>
  <si>
    <t>Preclinical Development of Novel Biomaterials for the Creation of a Deviceless Pre-Vascularized Site for Islet and Cellular Transplantation</t>
  </si>
  <si>
    <t>Biomaterials, Prevascularized site, Transplantation</t>
  </si>
  <si>
    <t>Snutch, Terrance P</t>
  </si>
  <si>
    <t>Identification of SLC26A11 blockers to prevent neuronal swelling and cell death</t>
  </si>
  <si>
    <t>SLC26A11, blockers, neuronal swelling</t>
  </si>
  <si>
    <t>Whyne, Cari M</t>
  </si>
  <si>
    <t>"Bone Tape": Optimization of a novel method for reconstructing the craniomaxillofacial skeleton</t>
  </si>
  <si>
    <t>bone, craniomaxillofacial, reconstruction</t>
  </si>
  <si>
    <t>Wither, Joan E</t>
  </si>
  <si>
    <t>Development of a test for the early diagnosis and monitoring of lupus nephritis</t>
  </si>
  <si>
    <t>lupus, nephritis, diagnosis</t>
  </si>
  <si>
    <t>Project Grant</t>
  </si>
  <si>
    <t>201709PJT</t>
  </si>
  <si>
    <t>Validation of Highly Potent Substituted Phenyl Alkylureas as Antipsoriatic Agents</t>
  </si>
  <si>
    <t>Potent, Phenyl Alkylureas, Antipsoriatic</t>
  </si>
  <si>
    <t>Coles, John G</t>
  </si>
  <si>
    <t>Integrin Linked Kinase as a Novel Therapeutic Target for Heart Failure</t>
  </si>
  <si>
    <t>Integrin, Kinase, Heart Failure</t>
  </si>
  <si>
    <t>Gleave, Martin E</t>
  </si>
  <si>
    <t>Preclinical development of a novel androgen receptor antagonist to treat castration-resistant prostate cancer</t>
  </si>
  <si>
    <t>androgen receptor, prostate cancer, antagonist</t>
  </si>
  <si>
    <t>Demonstration de l'efficacite du premier inhibiteur irreversible et selectif de la  17beta-HSD1 pour le traitement des cancers du sein sensibles aux estrogenes</t>
  </si>
  <si>
    <t>17beta-HSD1, inhibitor, breast cancer</t>
  </si>
  <si>
    <t>Sutherland, Garnette R</t>
  </si>
  <si>
    <t>The SmartForceps System: An intelligent and innovative tool technology for recording surgical performance and skill</t>
  </si>
  <si>
    <t>SmartForceps, surgical, recording</t>
  </si>
  <si>
    <t>Design and Development of Brain Permeant Indoleamine-2,3-Dioxygenase Inhibitors</t>
  </si>
  <si>
    <t>brain, indoleamine-2,3-dioxygenase, inhibitors</t>
  </si>
  <si>
    <t>Real-time Endoscopic Raman Spectroscopy for Improving Dysplasia/Colorectal Cancer Detection in Patients with Inflammatory Bowel Diseases</t>
  </si>
  <si>
    <t>Raman Spectroscopy, Endoscopic, Colorectal Cancer</t>
  </si>
  <si>
    <t>Kazem-Moussavi, Zahra M</t>
  </si>
  <si>
    <t>201803PJT</t>
  </si>
  <si>
    <t>Acoustical Device for Obstructive Sleep Apnea Severity Prediction during Wakefulness</t>
  </si>
  <si>
    <t>Acoustical, Sleep Apnea, Prediction</t>
  </si>
  <si>
    <t>Sibille, Etienne</t>
  </si>
  <si>
    <t>Novel therapeutic targeting for cognitive deficits in depression and aging</t>
  </si>
  <si>
    <t>therapeutic, cognitive deficits, depression</t>
  </si>
  <si>
    <t>Towler, Mark R</t>
  </si>
  <si>
    <t>Development of a Proprietary, Glass-Based Adhesive for Sternal Fixation and Stabilisation.</t>
  </si>
  <si>
    <t>Glass, Adhesive, Sternal</t>
  </si>
  <si>
    <t>Garnis, Cathie</t>
  </si>
  <si>
    <t>201809PJT</t>
  </si>
  <si>
    <t>Blood based biomarker for the early detection of recurrent head and neck cancer</t>
  </si>
  <si>
    <t>blood, biomarker, cancer</t>
  </si>
  <si>
    <t>Paganelli, Massimiliano</t>
  </si>
  <si>
    <t>Morphocell Technologies Inc.</t>
  </si>
  <si>
    <t>Stem cell-derived Encapsulated Liver Tissue to treat liver failure without immunosuppression: technology maturation towards clinical translation</t>
  </si>
  <si>
    <t>stem cells, encapsulation, liver tissue</t>
  </si>
  <si>
    <t>Sarunic, Marinko V</t>
  </si>
  <si>
    <t>Sensorless Adaptive Optics Optical Coherence Tomography for Clinical Ophthalmology</t>
  </si>
  <si>
    <t>Adaptive optics, Optical coherence tomography, Ophthalmology</t>
  </si>
  <si>
    <t>St-Pierre, Yves</t>
  </si>
  <si>
    <t>INRS - (Quebec, QC)</t>
  </si>
  <si>
    <t>GAL-7-specific nanobodies for treatment of triple-negative breast cancer</t>
  </si>
  <si>
    <t>GAL-7, nanobodies, breast cancer</t>
  </si>
  <si>
    <t>Development of a Smart Tumor-Activated Nanodiagnostic System for Sensitive Detection of Solid Tumors and Metastases</t>
  </si>
  <si>
    <t>Nanodiagnostic, Tumor-Activated, Detection</t>
  </si>
  <si>
    <t>Yousef, George M</t>
  </si>
  <si>
    <t>Development of the first pre-operative serum exosomal miRNA test to guide treatment decision in prostate cancer</t>
  </si>
  <si>
    <t>exosomal, miRNA, prostate cancer</t>
  </si>
  <si>
    <t>201903PJT</t>
  </si>
  <si>
    <t>Development of a novel universal (cross-protective) vaccine technology for influenza viruses</t>
  </si>
  <si>
    <t>vaccine, influenza, cross-protective</t>
  </si>
  <si>
    <t>Minchinton, Andrew I</t>
  </si>
  <si>
    <t>Hypoxia-activated DNA repair inhibitors to improve cancer therapy</t>
  </si>
  <si>
    <t>hypoxia, DNA repair, inhibitors</t>
  </si>
  <si>
    <t>Developing a platform for "off-the-shelf" CAR-T cell therapies for cancer using double negative T cells</t>
  </si>
  <si>
    <t>CAR-T, T cells, cancer</t>
  </si>
  <si>
    <t>Project Grant - Priority Announcement: Infection and Immunity</t>
  </si>
  <si>
    <t>201909PJ4</t>
  </si>
  <si>
    <t>Rescuing beta-lactam antibiotic/beta-lactamase inhibitor combinations from resistance against multidrug-resistant Gram-negative pathogens</t>
  </si>
  <si>
    <t>beta-lactam, beta-lactamase, antibiotic</t>
  </si>
  <si>
    <t>202003PJT</t>
  </si>
  <si>
    <t>Biddiss, Elaine A</t>
  </si>
  <si>
    <t>Holland Bloorview Kids Rehabilitation Hospital (Toronto)</t>
  </si>
  <si>
    <t>201909PJT</t>
  </si>
  <si>
    <t>BootleBlast, a movement tracking video game for home-based motor therapy - Navigating gaps to market readiness</t>
  </si>
  <si>
    <t>movement tracking, video game, motor therapy</t>
  </si>
  <si>
    <t>Brinkman, Ryan</t>
  </si>
  <si>
    <t>Machine Learning for Flow Cytometry Clinical Data and Trial Analysis</t>
  </si>
  <si>
    <t>Machine Learning, Flow Cytometry, Clinical Data</t>
  </si>
  <si>
    <t>Validation and commercialization of an innovative analgesic for chronic pain</t>
  </si>
  <si>
    <t>analgesic, chronic pain</t>
  </si>
  <si>
    <t>Non-contact screening technology to expedite cell line development for antibody production</t>
  </si>
  <si>
    <t>non-contact, screening, antibody</t>
  </si>
  <si>
    <t>Boisselier Mailfait, Elodie</t>
  </si>
  <si>
    <t>Un nouveau vecteur de medicaments ophtalmiques e base de nanoparticules d'or</t>
  </si>
  <si>
    <t>vecteur, nanoparticules, ophtalmiques</t>
  </si>
  <si>
    <t>Kushki, Azadeh</t>
  </si>
  <si>
    <t>A wearable technology approach to managing challenging behaviours in children with autism spectrum disorder (ASD)</t>
  </si>
  <si>
    <t>wearable, autism, behaviors</t>
  </si>
  <si>
    <t>Olson, David M</t>
  </si>
  <si>
    <t>Integrated discovery studies and commercialization for a preterm birth diagnostic and a therapeutic</t>
  </si>
  <si>
    <t>preterm birth, diagnostic, therapeutic</t>
  </si>
  <si>
    <t>Drangova, Maria</t>
  </si>
  <si>
    <t>202010PJT</t>
  </si>
  <si>
    <t>Contact-force controller to eliminate the effects of motion during cardiac radiofrequency ablation</t>
  </si>
  <si>
    <t>contact-force, radiofrequency, ablation</t>
  </si>
  <si>
    <t>Novel Infection Resistant Coating in an Era of Drug Resistant Bacteria for the Treatment and Prevention of Medical Device Infection</t>
  </si>
  <si>
    <t>Infection, Coating, Bacteria</t>
  </si>
  <si>
    <t>Project Grant - PA: Cancer Research - Cancer Prevention</t>
  </si>
  <si>
    <t>202010PXX</t>
  </si>
  <si>
    <t>Innovation of Proprietary Liquid Biopsy Assays for Diagnosis of Early Stage Ovarian Cancer</t>
  </si>
  <si>
    <t>Liquid biopsy, ovarian cancer, diagnosis</t>
  </si>
  <si>
    <t>Mossman, Karen L</t>
  </si>
  <si>
    <t>202104PJT</t>
  </si>
  <si>
    <t>Clinical development of oncolytic BHV-1 for cancer therapy</t>
  </si>
  <si>
    <t>oncolytic, BHV-1, cancer</t>
  </si>
  <si>
    <t>Willerth, Stephanie M</t>
  </si>
  <si>
    <t>3D bioprinting next generation brain organoids for identifying drug targets for Alzheimer's disease</t>
  </si>
  <si>
    <t>bioprinting, brain organoids, Alzheimer's</t>
  </si>
  <si>
    <t>Autofluorescence Imaging Guided Laser Raman Spectroscopy for Non-invasive Oral Cancer Detection</t>
  </si>
  <si>
    <t>Autofluorescence, Raman Spectroscopy, Oral Cancer</t>
  </si>
  <si>
    <t>Leavitt, Blair R</t>
  </si>
  <si>
    <t>Operating Grant - PA: Genetics (Bridge Funding: Research Priorities)</t>
  </si>
  <si>
    <t>202109OGB</t>
  </si>
  <si>
    <t>Lipid Nanoparticle-Mediated Delivery of CRISPR/Cas9 Gene Editing for Neurological Disorders.</t>
  </si>
  <si>
    <t>Lipid Nanoparticle, CRISPR, Gene Editing</t>
  </si>
  <si>
    <t>Haddad, Elie</t>
  </si>
  <si>
    <t>Project Grant - PA: Breast Cancer Research</t>
  </si>
  <si>
    <t>202109PLL</t>
  </si>
  <si>
    <t>Platform of synthetic specific promoters for immunotherapies and regenerative medicine</t>
  </si>
  <si>
    <t>synthetic promoters, immunotherapies, regenerative medicine</t>
  </si>
  <si>
    <t>Qadura, Mohammad</t>
  </si>
  <si>
    <t>202109PJT</t>
  </si>
  <si>
    <t>Artery Alert - Revolutionizing the Diagnosis of Peripheral Arterial Disease</t>
  </si>
  <si>
    <t>artery, diagnosis, peripheral arterial disease</t>
  </si>
  <si>
    <t>Sheardown, Heather D</t>
  </si>
  <si>
    <t>A novel eye drop platform to improve ocular therapies</t>
  </si>
  <si>
    <t>eye drop, ocular, therapies</t>
  </si>
  <si>
    <t>Wang, Yuzhuo</t>
  </si>
  <si>
    <t>Optimization and Validation of MCT4-targeting Small Molecule Inhibitors for Treatment of Advanced Cancers</t>
  </si>
  <si>
    <t>MCT4, small molecule, inhibitors</t>
  </si>
  <si>
    <t>Diamandis, Eleftherios P</t>
  </si>
  <si>
    <t>202203PJT</t>
  </si>
  <si>
    <t>KaliDerm Therapeutics: A research/commercialization plan to validate, better define and add value to our proprietary dual KLK5/7 inhibitor as a novel topical therapeutic for Netherton Syndrome.</t>
  </si>
  <si>
    <t>KLK5, KLK7, Netherton Syndrome</t>
  </si>
  <si>
    <t>Gong, Siew-Ging</t>
  </si>
  <si>
    <t>Streptococcus salivarius Probiotics Against Dental Caries Pathogens</t>
  </si>
  <si>
    <t>Streptococcus salivarius, Probiotics, Dental Caries</t>
  </si>
  <si>
    <t>Gross, Peter L</t>
  </si>
  <si>
    <t>Benchmarking a point-of-care test kit for detection of direct-oral anticoagulants</t>
  </si>
  <si>
    <t>point-of-care, anticoagulants, detection</t>
  </si>
  <si>
    <t>Yokota, Toshifumi</t>
  </si>
  <si>
    <t>Commercializing a novel platform for delivery of antisense oligonucleotide-mediated therapy</t>
  </si>
  <si>
    <t>antisense, oligonucleotide, delivery</t>
  </si>
  <si>
    <t>Beg, Mirza Faisal</t>
  </si>
  <si>
    <t>Project Grant - Priority Announcement: Cancer Research</t>
  </si>
  <si>
    <t>202209PJS</t>
  </si>
  <si>
    <t>Novel end-to-end platform for extraction of body composition measurements from CT images for research and integration into clinical workflows for precision medicine</t>
  </si>
  <si>
    <t>body composition, CT images, precision medicine</t>
  </si>
  <si>
    <t>DeWitte-Orr, Stephanie</t>
  </si>
  <si>
    <t>Wilfrid Laurier University (Waterloo, Ontario)</t>
  </si>
  <si>
    <t>202209PPE</t>
  </si>
  <si>
    <t>Developing intranasal dsRNA molecules as broadly effective therapeutics against highly pathogenic coronaviruses</t>
  </si>
  <si>
    <t>intranasal, dsRNA, coronaviruses</t>
  </si>
  <si>
    <t>Braverman, Nancy E</t>
  </si>
  <si>
    <t>202209PJT</t>
  </si>
  <si>
    <t>Enabling commercialization of retinal gene therapy for Zellweger Spectrum Disorder</t>
  </si>
  <si>
    <t>retinal gene therapy, Zellweger Spectrum Disorder</t>
  </si>
  <si>
    <t>Empowering innovative hematopoietic stem cells (HSC)-based cancer immunotherapy through the creation of synthetic specific promoters</t>
  </si>
  <si>
    <t>hematopoietic stem cells, immunotherapy, synthetic promoters</t>
  </si>
  <si>
    <t>Localized immuno-cloaking organ engineering approach to prevent transplant rejection without immunosuppressants</t>
  </si>
  <si>
    <t>immuno-cloaking, organ engineering, transplant rejection</t>
  </si>
  <si>
    <t>Kremer, Richard B</t>
  </si>
  <si>
    <t>Anti-parathyroid hormone-related protein (PTHrP) monoclonal antibodies against metastatic cancer</t>
  </si>
  <si>
    <t>parathyroid hormone, monoclonal antibodies, metastatic cancer</t>
  </si>
  <si>
    <t>Lubell, William D</t>
  </si>
  <si>
    <t>Treating Age-Related Macular Degeneration by Mitigating Inflammation, Oxidative Stress, and Lipid Accumulation through CD36 Modulation</t>
  </si>
  <si>
    <t>Age-Related Macular Degeneration, Inflammation, CD36</t>
  </si>
  <si>
    <t>Mueller, Christopher R</t>
  </si>
  <si>
    <t>Using a Liquid Biopsy to Optimize Metastatic Breast Cancer Treatment</t>
  </si>
  <si>
    <t>Liquid biopsy, metastatic breast cancer</t>
  </si>
  <si>
    <t>Uludag, Hasan</t>
  </si>
  <si>
    <t>202210PJT</t>
  </si>
  <si>
    <t>New Treatment of Blood Cancers with Improved Delivery of Nucleic Acids</t>
  </si>
  <si>
    <t>Blood cancers, Nucleic acids, Delivery</t>
  </si>
  <si>
    <t>Unrau, Peter J</t>
  </si>
  <si>
    <t>Commercialization of RNA Mango fluorogenic aptamers: RNA Pulldown and Imaging Tools for Therapeutic and Diagnostic pipelines</t>
  </si>
  <si>
    <t>RNA, Fluorogenic, Imaging</t>
  </si>
  <si>
    <t>Akbari, Mohsen</t>
  </si>
  <si>
    <t>202303PJT</t>
  </si>
  <si>
    <t>Towards commercialization of GelDerm-a smart dressing for continuous wound monitoring</t>
  </si>
  <si>
    <t>GelDerm, smart dressing, wound monitoring</t>
  </si>
  <si>
    <t>Staging the host in Cancer: AI-based automated comprehensive body composition assessment for Precision Medicine</t>
  </si>
  <si>
    <t>AI, body composition, cancer</t>
  </si>
  <si>
    <t>Interleukin-1 Receptor Modulating Therapy for Treating Macular Degeneration</t>
  </si>
  <si>
    <t>Interleukin-1, Receptor, Macular Degeneration</t>
  </si>
  <si>
    <t>Shlien, Adam</t>
  </si>
  <si>
    <t>Development of an RNA-based test for diagnosing and monitoring bone and soft tissue cancers</t>
  </si>
  <si>
    <t>RNA, diagnosis, cancers</t>
  </si>
  <si>
    <t>An Intelligent Workstation for Robot-Assisted Microsurgery &amp; Tele-Operations</t>
  </si>
  <si>
    <t>Robot-assisted, Microsurgery, Tele-operations</t>
  </si>
  <si>
    <t>Vanner, Stephen J</t>
  </si>
  <si>
    <t>Developing a potent non-addictive analgesic as an alternative to conventional opioids</t>
  </si>
  <si>
    <t>analgesic, opioids, non-addictive</t>
  </si>
  <si>
    <t>Zaugg, Michael</t>
  </si>
  <si>
    <t>Vegaven, a novel lipid emulsion with unique superior biological actions designed for parenteral nutrition</t>
  </si>
  <si>
    <t>lipid emulsion, parenteral nutrition, biological actions</t>
  </si>
  <si>
    <t>Chen, Yen-I</t>
  </si>
  <si>
    <t>202309PJT</t>
  </si>
  <si>
    <t>A novel through-the-scope exchangeable double balloon catheter to guide endoscopic bypass:  a practice-changing technology in the management of malignant gastric outlet obstruction</t>
  </si>
  <si>
    <t>double balloon, endoscopic, gastric outlet obstruction</t>
  </si>
  <si>
    <t>Lin, Sheng-Xiang</t>
  </si>
  <si>
    <t>202309PLL</t>
  </si>
  <si>
    <t>Pre-clinical pharmacokinetic and efficacy assays with an efficient 17beta-hydroxysteroid dehydrogenase type 7 inhibitor for breast cancer therapy</t>
  </si>
  <si>
    <t>pharmacokinetic, 17beta-hydroxysteroid dehydrogenase, breast cancer</t>
  </si>
  <si>
    <t>202309PPE</t>
  </si>
  <si>
    <t>Blood based biomarker for the early detection of recurrent oropharyngeal cancer</t>
  </si>
  <si>
    <t>blood, biomarker, oropharyngeal cancer</t>
  </si>
  <si>
    <t>Leonardi, Mathew</t>
  </si>
  <si>
    <t>Commercialization of a diagnostic test for endometriosis</t>
  </si>
  <si>
    <t>diagnostic test, endometriosis</t>
  </si>
  <si>
    <t>Development of clinical candidate hypoxia-activated DNA-PK inhibitors</t>
  </si>
  <si>
    <t>hypoxia, DNA-PK, inhibitors</t>
  </si>
  <si>
    <t>Pearson, Christopher E</t>
  </si>
  <si>
    <t>Pre-clinical studies of a small-molecule to reverse neurodegenerative disease-causing mutations for its commercialization and application</t>
  </si>
  <si>
    <t>small-molecule, neurodegenerative, mutations</t>
  </si>
  <si>
    <t>Alain, Tommy</t>
  </si>
  <si>
    <t>Viralyzing transgenes to improve oncolytic immunotherapy.</t>
  </si>
  <si>
    <t>Viralyzing, transgenes, immunotherapy</t>
  </si>
  <si>
    <t>Bear, Christine E</t>
  </si>
  <si>
    <t>202403PJT</t>
  </si>
  <si>
    <t>Preclinical studies of a novel CFTR potentiator for commercialization as a therapy for chronic obstructive pulmonary disease.</t>
  </si>
  <si>
    <t>CFTR, potentiator, pulmonary disease</t>
  </si>
  <si>
    <t>Daugaard, Mads</t>
  </si>
  <si>
    <t>An integrated AI-powered platform for cell analytics</t>
  </si>
  <si>
    <t>AI, cell, analytics</t>
  </si>
  <si>
    <t>Hysi, Eno</t>
  </si>
  <si>
    <t>Commercialization of H-scan: a new tool for imaging kidney fibrosis</t>
  </si>
  <si>
    <t>H-scan, imaging, kidney fibrosis</t>
  </si>
  <si>
    <t>Tavallaei, Mohammad A</t>
  </si>
  <si>
    <t>Design Revisions and Validations of a Catheter Steering and Navigation System For Peripheral Endovascular Revascularization</t>
  </si>
  <si>
    <t>Catheter, Steering, Revascularization</t>
  </si>
  <si>
    <t>Walker, Gilbert C</t>
  </si>
  <si>
    <t>Development of preclinical data for a phase one clinical trial of a micro-RNA-based formulation to treat early sepsis</t>
  </si>
  <si>
    <t>micro-RNA, sepsis, formulation</t>
  </si>
  <si>
    <t>202403PLL</t>
  </si>
  <si>
    <t>Row Labels</t>
  </si>
  <si>
    <t>Count of Name</t>
  </si>
  <si>
    <t>Sum of CIHR_Contribution</t>
  </si>
  <si>
    <t>Sum of CIHR_Equipment</t>
  </si>
  <si>
    <t>Grand Total</t>
  </si>
  <si>
    <t>2009</t>
  </si>
  <si>
    <t>2010</t>
  </si>
  <si>
    <t>2011</t>
  </si>
  <si>
    <t>2012</t>
  </si>
  <si>
    <t>2013</t>
  </si>
  <si>
    <t>2014</t>
  </si>
  <si>
    <t>2015</t>
  </si>
  <si>
    <t>2016</t>
  </si>
  <si>
    <t>2018</t>
  </si>
  <si>
    <t>2019</t>
  </si>
  <si>
    <t>2020</t>
  </si>
  <si>
    <t>2021</t>
  </si>
  <si>
    <t>2022</t>
  </si>
  <si>
    <t>2023</t>
  </si>
  <si>
    <t>2024</t>
  </si>
  <si>
    <t>Sum of Patents</t>
  </si>
  <si>
    <t>10+</t>
  </si>
  <si>
    <t>Indigenous Peoples’ Health</t>
  </si>
  <si>
    <t>companies</t>
  </si>
  <si>
    <t>companies_count</t>
  </si>
  <si>
    <t>company_position</t>
  </si>
  <si>
    <t>Resolvex Pharmaceuticals Inc.</t>
  </si>
  <si>
    <t>C-suite</t>
  </si>
  <si>
    <t>Alpha-9 Oncology Inc.</t>
  </si>
  <si>
    <t>Miramab Bioscience Inc.</t>
  </si>
  <si>
    <t>Turnstone Limited Partnership (Turnstone Biologics inc.)</t>
  </si>
  <si>
    <t>Realist Pharma Inc.</t>
  </si>
  <si>
    <t>Turnstone Limited Partnership (Turnstone Biologics Corp.)</t>
  </si>
  <si>
    <t>Nomic Bio Inc. (nplex biosciences inc.)</t>
  </si>
  <si>
    <t>Xagenic Inc.</t>
  </si>
  <si>
    <t>Abk Biomedical Inc</t>
  </si>
  <si>
    <t>Decell Technologies Inc.</t>
  </si>
  <si>
    <t>Skymount Medical Inc.; Amphotericin B Technologies Inc. (AmpB Tech)</t>
  </si>
  <si>
    <t>Immunorx Pharma Inc.</t>
  </si>
  <si>
    <t>SBI ALApharma Canada inc.; Moleculight Inc.</t>
  </si>
  <si>
    <t>Soundbite Medical Solutions Inc.</t>
  </si>
  <si>
    <t>Laser Depth Dynamics Inc.</t>
  </si>
  <si>
    <t>Lucid Psycheceuticals Inc.</t>
  </si>
  <si>
    <t>Incisive Genetics, Inc.</t>
  </si>
  <si>
    <t>Ebt Medical Inc.</t>
  </si>
  <si>
    <t>Polyamyna Nanotech Inc.</t>
  </si>
  <si>
    <t>Essa Pharma Inc.</t>
  </si>
  <si>
    <t>Researcher_ID</t>
  </si>
  <si>
    <t>grant_ID</t>
  </si>
  <si>
    <t>company</t>
  </si>
  <si>
    <t>series_a</t>
  </si>
  <si>
    <t>series_a_investment</t>
  </si>
  <si>
    <t>series_b</t>
  </si>
  <si>
    <t>series_b_investment</t>
  </si>
  <si>
    <t>series_c</t>
  </si>
  <si>
    <t>series_c_investment</t>
  </si>
  <si>
    <t>series_d</t>
  </si>
  <si>
    <t>series_d_investment</t>
  </si>
  <si>
    <t>series_e</t>
  </si>
  <si>
    <t>series_e_investment</t>
  </si>
  <si>
    <t>series_other</t>
  </si>
  <si>
    <t>series_other_investment</t>
  </si>
  <si>
    <t>Exits</t>
  </si>
  <si>
    <t>Exits_Amount</t>
  </si>
  <si>
    <t>Investors</t>
  </si>
  <si>
    <t>Investor_location</t>
  </si>
  <si>
    <t>Venture</t>
  </si>
  <si>
    <t>Santé Ventures, F-Prime Capital, Eight Roads Ventures, Varian Medical Systems, Wilmington Investor Network</t>
  </si>
  <si>
    <t>US</t>
  </si>
  <si>
    <t>Longitude Capital, BVF Partners LP, Nextech Invest, Frazier Life Sciences, Samsara BioCapital, Quark Venture, Lightspeed Venture Partners, Ascenta Capital, General Catalyst, a16z Bio + Health, RA Capital Management, Janus Henderson Investors, Delos Capital, Digitalis Ventures, Lumira Ventures, abrdn Inc. healthcare fund</t>
  </si>
  <si>
    <t>Amphotericin B Technologies Inc. (AmpB Tech)</t>
  </si>
  <si>
    <t>Canada</t>
  </si>
  <si>
    <t>SV Health</t>
  </si>
  <si>
    <t>ACQ</t>
  </si>
  <si>
    <t>Espervita Therapeutics Inc.</t>
  </si>
  <si>
    <t>Undisclosed</t>
  </si>
  <si>
    <t>Clarus Lifesciences, Deerfield Management,</t>
  </si>
  <si>
    <t>Haig Farris</t>
  </si>
  <si>
    <t>Queens University</t>
  </si>
  <si>
    <t>FSD Pharma</t>
  </si>
  <si>
    <t>Moleculight Inc.</t>
  </si>
  <si>
    <t>Venture, Debt Financing</t>
  </si>
  <si>
    <t>iGan Partners, BDC Capital Corporation, SWK Holdings,Oxford Finance LLC, LVL1 Group</t>
  </si>
  <si>
    <t>Amplitude Ventures, Avant Bio, Lux Capital, Real Ventures, and SR One</t>
  </si>
  <si>
    <t>Opko Health inc.</t>
  </si>
  <si>
    <t>SBI ALApharma Canada inc.</t>
  </si>
  <si>
    <t>Financing</t>
  </si>
  <si>
    <t>Skymount Medical Inc.</t>
  </si>
  <si>
    <t>Versant Ventures, OrbiMed, Takeda, PFM Health Sciences, Point72</t>
  </si>
  <si>
    <t>California</t>
  </si>
  <si>
    <t>Proportion %</t>
  </si>
  <si>
    <t>All Recipients</t>
  </si>
  <si>
    <t>Filed Patent Count</t>
  </si>
  <si>
    <t>Did Not File Patents Count</t>
  </si>
  <si>
    <t>Grant Demographic Data</t>
  </si>
  <si>
    <t>Patent Data</t>
  </si>
  <si>
    <t>Sum of CIHR Funding (millions CAD)</t>
  </si>
  <si>
    <t>Patent Counts</t>
  </si>
  <si>
    <t>Recipient Counts</t>
  </si>
  <si>
    <t>Proportion of Recipients</t>
  </si>
  <si>
    <t>Proportion of Cancer Research Recipients</t>
  </si>
  <si>
    <t>Proportion of Ontario Recipients</t>
  </si>
  <si>
    <r>
      <rPr>
        <sz val="1"/>
        <color theme="0"/>
        <rFont val="Aptos Narrow (Body)"/>
      </rPr>
      <t>z</t>
    </r>
    <r>
      <rPr>
        <sz val="12"/>
        <color theme="1"/>
        <rFont val="Aptos Narrow (Body)"/>
      </rPr>
      <t>N/A</t>
    </r>
  </si>
  <si>
    <t>Sum of companies_count</t>
  </si>
  <si>
    <t>Quebec Only</t>
  </si>
  <si>
    <t>Circulatory and Respiratory Health Only</t>
  </si>
  <si>
    <t>Number of Grants</t>
  </si>
  <si>
    <t>% of Group</t>
  </si>
  <si>
    <t>Saskatchewan</t>
  </si>
  <si>
    <t>New Brunswick</t>
  </si>
  <si>
    <t>Prince Edward Island</t>
  </si>
  <si>
    <t>Total</t>
  </si>
  <si>
    <t>Proportion of all</t>
  </si>
  <si>
    <t>Primary Institute</t>
  </si>
  <si>
    <t>Recipients that Formed Companies</t>
  </si>
  <si>
    <t>Did not form companies</t>
  </si>
  <si>
    <t>Company Count</t>
  </si>
  <si>
    <t>Recipient Count</t>
  </si>
  <si>
    <t>Proportion of Recipient</t>
  </si>
  <si>
    <t>Total_investment</t>
  </si>
  <si>
    <t>TRUE (Undisclosed)</t>
  </si>
  <si>
    <t>ACQ (Undisclosed)</t>
  </si>
  <si>
    <t>Disclosed?</t>
  </si>
  <si>
    <t>Series Round Investment Data</t>
  </si>
  <si>
    <t>Number of companies with series A investment or above:</t>
  </si>
  <si>
    <t>Proportion:</t>
  </si>
  <si>
    <t>Number of companies with exits</t>
  </si>
  <si>
    <t>Efficiency Ratio</t>
  </si>
  <si>
    <t>Efficiency Ratio Log</t>
  </si>
  <si>
    <t>CIHR Contribution</t>
  </si>
  <si>
    <t>Average amount of investment in COM companies</t>
  </si>
  <si>
    <t>Total number of recipients</t>
  </si>
  <si>
    <t>Stojdl, David F; Bell, John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</si>
</sst>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0.000000"/>
    <numFmt numFmtId="166" formatCode="_(&quot;$&quot;* #,##0_);_(&quot;$&quot;* \(#,##0\);_(&quot;$&quot;* &quot;-&quot;??_);_(@_)"/>
    <numFmt numFmtId="167" formatCode="0.0"/>
    <numFmt numFmtId="168" formatCode="0.0000%"/>
    <numFmt numFmtId="169" formatCode="0.0000"/>
  </numFmts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 (Body)"/>
    </font>
    <font>
      <b/>
      <sz val="16"/>
      <color theme="1"/>
      <name val="Aptos Narrow"/>
      <scheme val="minor"/>
    </font>
    <font>
      <sz val="1"/>
      <color theme="0"/>
      <name val="Aptos Narrow (Body)"/>
    </font>
    <font>
      <sz val="12"/>
      <color theme="1"/>
      <name val="Aptos Narrow (Body)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name val="Aptos Narrow"/>
      <family val="2"/>
      <scheme val="minor"/>
    </font>
    <font>
      <sz val="12"/>
      <color theme="1"/>
      <name val="Apto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42" applyNumberFormat="1" applyFont="1"/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14" fontId="0" fillId="0" borderId="0" xfId="0" applyNumberFormat="1"/>
    <xf numFmtId="6" fontId="0" fillId="0" borderId="0" xfId="0" applyNumberFormat="1"/>
    <xf numFmtId="165" fontId="0" fillId="0" borderId="0" xfId="0" applyNumberFormat="1"/>
    <xf numFmtId="0" fontId="18" fillId="0" borderId="0" xfId="0" applyFont="1" applyAlignment="1">
      <alignment horizontal="center"/>
    </xf>
    <xf numFmtId="164" fontId="0" fillId="0" borderId="0" xfId="0" applyNumberFormat="1"/>
    <xf numFmtId="0" fontId="19" fillId="0" borderId="0" xfId="0" applyFont="1"/>
    <xf numFmtId="0" fontId="20" fillId="0" borderId="0" xfId="0" applyFont="1" applyAlignment="1">
      <alignment horizontal="left"/>
    </xf>
    <xf numFmtId="166" fontId="0" fillId="0" borderId="0" xfId="43" applyNumberFormat="1" applyFont="1"/>
    <xf numFmtId="0" fontId="22" fillId="0" borderId="0" xfId="0" applyFont="1"/>
    <xf numFmtId="0" fontId="18" fillId="0" borderId="0" xfId="0" applyFont="1"/>
    <xf numFmtId="0" fontId="20" fillId="0" borderId="0" xfId="0" applyFont="1"/>
    <xf numFmtId="0" fontId="18" fillId="0" borderId="0" xfId="0" applyFont="1" applyAlignment="1">
      <alignment horizontal="left"/>
    </xf>
    <xf numFmtId="0" fontId="23" fillId="33" borderId="12" xfId="0" applyFont="1" applyFill="1" applyBorder="1" applyAlignment="1">
      <alignment horizontal="left" vertical="center" wrapText="1" readingOrder="1"/>
    </xf>
    <xf numFmtId="0" fontId="0" fillId="33" borderId="12" xfId="0" applyFill="1" applyBorder="1" applyAlignment="1">
      <alignment horizontal="left" vertical="center" wrapText="1" readingOrder="1"/>
    </xf>
    <xf numFmtId="0" fontId="24" fillId="34" borderId="13" xfId="0" applyFont="1" applyFill="1" applyBorder="1" applyAlignment="1">
      <alignment horizontal="left" vertical="center" wrapText="1" readingOrder="1"/>
    </xf>
    <xf numFmtId="10" fontId="0" fillId="0" borderId="0" xfId="0" applyNumberFormat="1"/>
    <xf numFmtId="10" fontId="25" fillId="34" borderId="0" xfId="0" applyNumberFormat="1" applyFont="1" applyFill="1" applyAlignment="1">
      <alignment horizontal="left" wrapText="1" readingOrder="1"/>
    </xf>
    <xf numFmtId="10" fontId="25" fillId="34" borderId="10" xfId="0" applyNumberFormat="1" applyFont="1" applyFill="1" applyBorder="1" applyAlignment="1">
      <alignment horizontal="left" wrapText="1" readingOrder="1"/>
    </xf>
    <xf numFmtId="0" fontId="25" fillId="34" borderId="12" xfId="0" applyFont="1" applyFill="1" applyBorder="1" applyAlignment="1">
      <alignment horizontal="left" vertical="center" wrapText="1" readingOrder="1"/>
    </xf>
    <xf numFmtId="0" fontId="25" fillId="34" borderId="0" xfId="0" applyFont="1" applyFill="1" applyAlignment="1">
      <alignment horizontal="left" vertical="center" wrapText="1" readingOrder="1"/>
    </xf>
    <xf numFmtId="0" fontId="25" fillId="34" borderId="10" xfId="0" applyFont="1" applyFill="1" applyBorder="1" applyAlignment="1">
      <alignment horizontal="left" vertical="center" wrapText="1" readingOrder="1"/>
    </xf>
    <xf numFmtId="0" fontId="25" fillId="34" borderId="11" xfId="0" applyFont="1" applyFill="1" applyBorder="1" applyAlignment="1">
      <alignment horizontal="left" vertical="center" wrapText="1" readingOrder="1"/>
    </xf>
    <xf numFmtId="0" fontId="25" fillId="34" borderId="14" xfId="0" applyFont="1" applyFill="1" applyBorder="1" applyAlignment="1">
      <alignment horizontal="left" vertical="center" wrapText="1" readingOrder="1"/>
    </xf>
    <xf numFmtId="0" fontId="23" fillId="33" borderId="13" xfId="0" applyFont="1" applyFill="1" applyBorder="1" applyAlignment="1">
      <alignment horizontal="left" vertical="center" wrapText="1" readingOrder="1"/>
    </xf>
    <xf numFmtId="164" fontId="25" fillId="34" borderId="0" xfId="0" applyNumberFormat="1" applyFont="1" applyFill="1" applyAlignment="1">
      <alignment horizontal="left" vertical="center" wrapText="1" readingOrder="1"/>
    </xf>
    <xf numFmtId="164" fontId="25" fillId="34" borderId="11" xfId="0" applyNumberFormat="1" applyFont="1" applyFill="1" applyBorder="1" applyAlignment="1">
      <alignment horizontal="left" vertical="center" wrapText="1" readingOrder="1"/>
    </xf>
    <xf numFmtId="164" fontId="25" fillId="34" borderId="10" xfId="0" applyNumberFormat="1" applyFont="1" applyFill="1" applyBorder="1" applyAlignment="1">
      <alignment horizontal="left" vertical="center" wrapText="1" readingOrder="1"/>
    </xf>
    <xf numFmtId="164" fontId="25" fillId="34" borderId="11" xfId="0" applyNumberFormat="1" applyFont="1" applyFill="1" applyBorder="1" applyAlignment="1">
      <alignment horizontal="left" wrapText="1" readingOrder="1"/>
    </xf>
    <xf numFmtId="164" fontId="25" fillId="34" borderId="0" xfId="0" applyNumberFormat="1" applyFont="1" applyFill="1" applyAlignment="1">
      <alignment horizontal="left" wrapText="1" readingOrder="1"/>
    </xf>
    <xf numFmtId="164" fontId="25" fillId="34" borderId="10" xfId="0" applyNumberFormat="1" applyFont="1" applyFill="1" applyBorder="1" applyAlignment="1">
      <alignment horizontal="left" wrapText="1" readingOrder="1"/>
    </xf>
    <xf numFmtId="164" fontId="25" fillId="34" borderId="14" xfId="0" applyNumberFormat="1" applyFont="1" applyFill="1" applyBorder="1" applyAlignment="1">
      <alignment horizontal="left" wrapText="1" readingOrder="1"/>
    </xf>
    <xf numFmtId="0" fontId="25" fillId="34" borderId="16" xfId="0" applyFont="1" applyFill="1" applyBorder="1" applyAlignment="1">
      <alignment horizontal="left" vertical="center" wrapText="1" readingOrder="1"/>
    </xf>
    <xf numFmtId="164" fontId="25" fillId="34" borderId="15" xfId="0" applyNumberFormat="1" applyFont="1" applyFill="1" applyBorder="1" applyAlignment="1">
      <alignment horizontal="left" wrapText="1" readingOrder="1"/>
    </xf>
    <xf numFmtId="164" fontId="25" fillId="34" borderId="16" xfId="0" applyNumberFormat="1" applyFont="1" applyFill="1" applyBorder="1" applyAlignment="1">
      <alignment horizontal="left" wrapText="1" readingOrder="1"/>
    </xf>
    <xf numFmtId="167" fontId="25" fillId="34" borderId="15" xfId="0" applyNumberFormat="1" applyFont="1" applyFill="1" applyBorder="1" applyAlignment="1">
      <alignment horizontal="left" wrapText="1" readingOrder="1"/>
    </xf>
    <xf numFmtId="167" fontId="25" fillId="34" borderId="16" xfId="0" applyNumberFormat="1" applyFont="1" applyFill="1" applyBorder="1" applyAlignment="1">
      <alignment horizontal="left" wrapText="1" readingOrder="1"/>
    </xf>
    <xf numFmtId="167" fontId="25" fillId="34" borderId="0" xfId="0" applyNumberFormat="1" applyFont="1" applyFill="1" applyAlignment="1">
      <alignment horizontal="left" wrapText="1" readingOrder="1"/>
    </xf>
    <xf numFmtId="167" fontId="25" fillId="34" borderId="10" xfId="0" applyNumberFormat="1" applyFont="1" applyFill="1" applyBorder="1" applyAlignment="1">
      <alignment horizontal="left" wrapText="1" readingOrder="1"/>
    </xf>
    <xf numFmtId="167" fontId="25" fillId="34" borderId="12" xfId="0" applyNumberFormat="1" applyFont="1" applyFill="1" applyBorder="1" applyAlignment="1">
      <alignment horizontal="left" wrapText="1" readingOrder="1"/>
    </xf>
    <xf numFmtId="164" fontId="25" fillId="34" borderId="12" xfId="0" applyNumberFormat="1" applyFont="1" applyFill="1" applyBorder="1" applyAlignment="1">
      <alignment horizontal="left" wrapText="1" readingOrder="1"/>
    </xf>
    <xf numFmtId="0" fontId="25" fillId="0" borderId="15" xfId="0" applyFont="1" applyBorder="1" applyAlignment="1">
      <alignment horizontal="left" vertical="center" wrapText="1" readingOrder="1"/>
    </xf>
    <xf numFmtId="167" fontId="25" fillId="0" borderId="16" xfId="0" applyNumberFormat="1" applyFont="1" applyBorder="1" applyAlignment="1">
      <alignment horizontal="left" wrapText="1" readingOrder="1"/>
    </xf>
    <xf numFmtId="164" fontId="25" fillId="0" borderId="16" xfId="0" applyNumberFormat="1" applyFont="1" applyBorder="1" applyAlignment="1">
      <alignment horizontal="left" wrapText="1" readingOrder="1"/>
    </xf>
    <xf numFmtId="167" fontId="25" fillId="0" borderId="15" xfId="0" applyNumberFormat="1" applyFont="1" applyBorder="1" applyAlignment="1">
      <alignment horizontal="left" wrapText="1" readingOrder="1"/>
    </xf>
    <xf numFmtId="164" fontId="25" fillId="0" borderId="15" xfId="0" applyNumberFormat="1" applyFont="1" applyBorder="1" applyAlignment="1">
      <alignment horizontal="left" wrapText="1" readingOrder="1"/>
    </xf>
    <xf numFmtId="167" fontId="25" fillId="34" borderId="11" xfId="0" applyNumberFormat="1" applyFont="1" applyFill="1" applyBorder="1" applyAlignment="1">
      <alignment horizontal="left" vertical="center" wrapText="1" readingOrder="1"/>
    </xf>
    <xf numFmtId="167" fontId="25" fillId="34" borderId="0" xfId="0" applyNumberFormat="1" applyFont="1" applyFill="1" applyAlignment="1">
      <alignment horizontal="left" vertical="center" wrapText="1" readingOrder="1"/>
    </xf>
    <xf numFmtId="167" fontId="25" fillId="34" borderId="11" xfId="0" applyNumberFormat="1" applyFont="1" applyFill="1" applyBorder="1" applyAlignment="1">
      <alignment horizontal="left" wrapText="1" readingOrder="1"/>
    </xf>
    <xf numFmtId="167" fontId="25" fillId="34" borderId="14" xfId="0" applyNumberFormat="1" applyFont="1" applyFill="1" applyBorder="1" applyAlignment="1">
      <alignment horizontal="left" wrapText="1" readingOrder="1"/>
    </xf>
    <xf numFmtId="167" fontId="25" fillId="34" borderId="10" xfId="0" applyNumberFormat="1" applyFont="1" applyFill="1" applyBorder="1" applyAlignment="1">
      <alignment horizontal="left" vertical="center" wrapText="1" readingOrder="1"/>
    </xf>
    <xf numFmtId="168" fontId="0" fillId="0" borderId="0" xfId="42" applyNumberFormat="1" applyFont="1"/>
    <xf numFmtId="166" fontId="0" fillId="0" borderId="0" xfId="0" applyNumberFormat="1"/>
    <xf numFmtId="2" fontId="0" fillId="0" borderId="0" xfId="0" applyNumberFormat="1"/>
    <xf numFmtId="0" fontId="26" fillId="0" borderId="0" xfId="0" applyFont="1"/>
    <xf numFmtId="166" fontId="0" fillId="0" borderId="0" xfId="43" applyNumberFormat="1" applyFont="1" applyFill="1"/>
    <xf numFmtId="2" fontId="0" fillId="0" borderId="0" xfId="42" applyNumberFormat="1" applyFont="1" applyFill="1"/>
    <xf numFmtId="169" fontId="0" fillId="0" borderId="0" xfId="43" applyNumberFormat="1" applyFont="1" applyFill="1"/>
    <xf numFmtId="3" fontId="0" fillId="0" borderId="0" xfId="0" applyNumberFormat="1"/>
    <xf numFmtId="0" fontId="27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Choi" refreshedDate="45871.640996875001" createdVersion="8" refreshedVersion="8" minRefreshableVersion="3" recordCount="316" xr:uid="{562B7648-C5E8-1047-BE4A-8EBD9DA672EB}">
  <cacheSource type="worksheet">
    <worksheetSource ref="A1:N317" sheet="COM"/>
  </cacheSource>
  <cacheFields count="17">
    <cacheField name="Name" numFmtId="0">
      <sharedItems count="246">
        <s v="Boyd, Daniel"/>
        <s v="Benard, Francois"/>
        <s v="Gratzer, Paul F"/>
        <s v="Yoo, Paul"/>
        <s v="Steinberg, Gregory R"/>
        <s v="Sadar, Marianne D"/>
        <s v="Tessier, Philippe A"/>
        <s v="Leavitt, Blair R"/>
        <s v="Tremblay, Michel L"/>
        <s v="Yang, Victor X"/>
        <s v="Kotra, Lakshmi P"/>
        <s v="Kremer, Richard B"/>
        <s v="Paganelli, Massimiliano"/>
        <s v="Juncker, David"/>
        <s v="Petkovich, Martin"/>
        <s v="Schweizer, Frank"/>
        <s v="Saragovi, Horacio U"/>
        <s v="Zhou, Youwen"/>
        <s v="Dacosta, Ralph S"/>
        <s v="Wasan, Kishor M"/>
        <s v="Brouillette, Martin"/>
        <s v="Stojdl, David F"/>
        <s v="Bell, John C"/>
        <s v="Kelley, Shana O"/>
        <s v="Park, Morag"/>
        <s v="Afilalo, Jonathan"/>
        <s v="Agrawal, Babita"/>
        <s v="Akbari, Mohsen"/>
        <s v="Alain, Tommy"/>
        <s v="Alaoui-Jamali, Moulay A"/>
        <s v="Alfieri, Carolina"/>
        <s v="Allard, Michael F"/>
        <s v="Alman, Benjamin A"/>
        <s v="Andersen, Raymond J"/>
        <s v="Arthur, Gilbert"/>
        <s v="Banerjee, Diponkar"/>
        <s v="Bear, Christine E"/>
        <s v="Beaulieu, Jean-Franeois"/>
        <s v="Beaulieu, Martin"/>
        <s v="Beg, Mirza Faisal"/>
        <s v="Bergeron, Michel G"/>
        <s v="Bernatchez, Pascal N"/>
        <s v="Biddiss, Elaine A"/>
        <s v="Boerkoel, Cornelius F"/>
        <s v="Bohbot, Veronique"/>
        <s v="Boisselier Mailfait, Elodie"/>
        <s v="Boivin, Guy"/>
        <s v="Booth, Valerie K"/>
        <s v="Bosse, Yohan"/>
        <s v="Braverman, Nancy E"/>
        <s v="Brinkman, Ryan"/>
        <s v="Brodt, Pnina"/>
        <s v="Brown, Jeremy A"/>
        <s v="Brukner, Ivan"/>
        <s v="Burns, David H"/>
        <s v="Burt, Helen M"/>
        <s v="C.-Gaudreault, Rene"/>
        <s v="Cashman, Neil R"/>
        <s v="Chan, Tak Hang"/>
        <s v="Charron, Thierry"/>
        <s v="Chauhan, Vijay S"/>
        <s v="Chemtob, Sylvain"/>
        <s v="Chen, Yen-I"/>
        <s v="Cherkasov, Artem"/>
        <s v="Chopra, Rajiv"/>
        <s v="Coderre, Terence J"/>
        <s v="Coles, John G"/>
        <s v="Conway, Edward M"/>
        <s v="Cripton, Peter A"/>
        <s v="Crystal, Eugene"/>
        <s v="Cummins, Carolyn L"/>
        <s v="Cunningham, Charles H"/>
        <s v="Cynader, Max S"/>
        <s v="Daugaard, Mads"/>
        <s v="de Rezende, Joao B"/>
        <s v="DeWitte-Orr, Stephanie"/>
        <s v="Diallo, Jean-Simon"/>
        <s v="Diamandis, Eleftherios P"/>
        <s v="Dmitrienko, Gary I"/>
        <s v="Doschak, Michael R"/>
        <s v="Drangova, Maria"/>
        <s v="Du, Caigan"/>
        <s v="Dumont, Guy A"/>
        <s v="Dutta, Tilak"/>
        <s v="Dyck, Jason R"/>
        <s v="Fenster, Aaron"/>
        <s v="Finlay, Barton B"/>
        <s v="Flynn, Lauren E"/>
        <s v="Fon, Edward A"/>
        <s v="Foster, Leonard J"/>
        <s v="Fraser, Paul E"/>
        <s v="Frost, Eric H"/>
        <s v="Garnis, Cathie"/>
        <s v="Gatignol, Anne"/>
        <s v="Ghahary, Aziz"/>
        <s v="Gibbings, Derrick J"/>
        <s v="Gleave, Martin E"/>
        <s v="Glogauer, Michael"/>
        <s v="Gobbi, Gabriella"/>
        <s v="Gobeil, Fernand J"/>
        <s v="Gong, Siew-Ging"/>
        <s v="Graham, Simon J"/>
        <s v="Granville, David J"/>
        <s v="Greer, John J"/>
        <s v="Grierson, David S"/>
        <s v="Gross, Peter L"/>
        <s v="Grynpas, Marc D"/>
        <s v="Guertin, Pierre"/>
        <s v="Haddad, Elie"/>
        <s v="Hancock, Robert Ernest W"/>
        <s v="Hanrahan, John W"/>
        <s v="Hansen, Carl L"/>
        <s v="Hassell, John A"/>
        <s v="Hebert, Marc"/>
        <s v="Hess, Robert F"/>
        <s v="Houde, Daniel"/>
        <s v="Hunter, Graeme K"/>
        <s v="Huntsman, David G"/>
        <s v="Husain, Mansoor"/>
        <s v="Hysi, Eno"/>
        <s v="Jaffray, David A"/>
        <s v="Jarvi, Keith A"/>
        <s v="Jarzem, Peter F"/>
        <s v="Kastrup, Christian J"/>
        <s v="Kazem-Moussavi, Zahra M"/>
        <s v="Kim, Peter K"/>
        <s v="Kizhakkedathu, Jayachandran N"/>
        <s v="Koeberle, Paulo D"/>
        <s v="Kouassi, Edouard"/>
        <s v="Kubow, Stanley"/>
        <s v="Kumar, Rakesh"/>
        <s v="Kushki, Azadeh"/>
        <s v="Lam, Stephen"/>
        <s v="Legault, Pascale"/>
        <s v="Leonardi, Mathew"/>
        <s v="Lerouge, Sophie"/>
        <s v="Li, Shyh-Dar"/>
        <s v="Lin, Sheng-Xiang"/>
        <s v="Liu, Fang"/>
        <s v="Liu, Fei-Fei"/>
        <s v="Logsetty, Sarvesh"/>
        <s v="Lubell, William D"/>
        <s v="Ma, Hongshen"/>
        <s v="Macaulay, Calum E"/>
        <s v="Mahony, James B"/>
        <s v="Mahuran, Don J"/>
        <s v="Malouin, Franeois"/>
        <s v="Martin, Ruth E"/>
        <s v="Martineau, Paul A"/>
        <s v="Mcalpine, Jessica N"/>
        <s v="McNagny, Kelly M"/>
        <s v="Meek, Robert N"/>
        <s v="Meloche, Sylvain"/>
        <s v="Mes-Masson, Anne-Marie"/>
        <s v="Minchinton, Andrew I"/>
        <s v="Mishra, Ram K"/>
        <s v="Moreau, Alain"/>
        <s v="Mossman, Karen L"/>
        <s v="Mueller, Christopher R"/>
        <s v="Nanthakumar, Kumaraswamy"/>
        <s v="Nazhat, Showan N"/>
        <s v="Ndao, Momar"/>
        <s v="Nepveu, Alain"/>
        <s v="Olson, David M"/>
        <s v="Ostrowski, Mario A"/>
        <s v="Pearson, Christopher E"/>
        <s v="Pelletier, Jerry M"/>
        <s v="Petrecca, Kevin"/>
        <s v="Philip, Anie"/>
        <s v="Pinto, Mario"/>
        <s v="Poirier, Donald"/>
        <s v="Powell, William S"/>
        <s v="Pratt, Christine M"/>
        <s v="Prentki, Marc"/>
        <s v="Putnins, Edward E"/>
        <s v="Qadura, Mohammad"/>
        <s v="Rak, Janusz"/>
        <s v="Reiner, Neil E"/>
        <s v="Rennie, Paul S"/>
        <s v="Reynolds, Steven C"/>
        <s v="Richter, Martin"/>
        <s v="Riddell, Michael C"/>
        <s v="Roberge, Michel"/>
        <s v="Rogers, Ian M"/>
        <s v="Rosenberg, Lawrence"/>
        <s v="Ross, Ruth A"/>
        <s v="Salcudean, Septimiu E"/>
        <s v="Sanche, Leon"/>
        <s v="Santamaria, Pere"/>
        <s v="Sarunic, Marinko V"/>
        <s v="Schang, Luis M"/>
        <s v="Schimmer, Aaron D"/>
        <s v="Schrader, John W"/>
        <s v="Seidah, Nabil G"/>
        <s v="Shapiro, James"/>
        <s v="Sheardown, Heather D"/>
        <s v="Sheppard, Donald C"/>
        <s v="Sherar, Michael D"/>
        <s v="Shlien, Adam"/>
        <s v="Shoichet, Molly S"/>
        <s v="Sibille, Etienne"/>
        <s v="Sidhu, Sachdev S"/>
        <s v="Sinton, David A"/>
        <s v="Sipione, Simonetta"/>
        <s v="Slim, Rima"/>
        <s v="Snutch, Terrance P"/>
        <s v="Sonenberg, Nahum"/>
        <s v="St-Pierre, Yves"/>
        <s v="Stagljar, Igor"/>
        <s v="Sutherland, Garnette R"/>
        <s v="Tabrizian, Maryam"/>
        <s v="Tamimi, Faleh"/>
        <s v="Tavallaei, Mohammad A"/>
        <s v="Towler, Mark R"/>
        <s v="Tremblay, Jacques P"/>
        <s v="Trifiro, Mark A"/>
        <s v="Tsao, Ming-Sound"/>
        <s v="Turvey, Stuart E"/>
        <s v="Uludag, Hasan"/>
        <s v="Underhill, Michael"/>
        <s v="Unrau, Peter J"/>
        <s v="Vanner, Stephen J"/>
        <s v="Verma, Subodh S"/>
        <s v="Waldman, Stephen D"/>
        <s v="Walker, Gilbert C"/>
        <s v="Walti, Herve"/>
        <s v="Wang, Yuzhuo"/>
        <s v="Weaver, Donald F"/>
        <s v="Webb, John R"/>
        <s v="Weinfeld, Michael"/>
        <s v="Weksberg, Rosanna"/>
        <s v="Whyne, Cari M"/>
        <s v="Willerth, Stephanie M"/>
        <s v="Williams, Jason"/>
        <s v="Wither, Joan E"/>
        <s v="Withers, Stephen G"/>
        <s v="Wu, Jian Hui"/>
        <s v="Wu, Xiao Yu S"/>
        <s v="Yanow, Stephanie K"/>
        <s v="Yokota, Toshifumi"/>
        <s v="Young, Robert N"/>
        <s v="Yousef, George M"/>
        <s v="Yudin, Andrei"/>
        <s v="Zaugg, Michael"/>
        <s v="Zeng, Haishan"/>
        <s v="Zhang, Li"/>
      </sharedItems>
    </cacheField>
    <cacheField name="Institution_Paid" numFmtId="0">
      <sharedItems/>
    </cacheField>
    <cacheField name="Province" numFmtId="0">
      <sharedItems count="7">
        <s v="Nova Scotia"/>
        <s v="British Columbia"/>
        <s v="Ontario"/>
        <s v="Quebec"/>
        <s v="Manitoba"/>
        <s v="Alberta"/>
        <s v="Newfoundland and Labrador"/>
      </sharedItems>
    </cacheField>
    <cacheField name="Program_Name" numFmtId="0">
      <sharedItems count="11">
        <s v="Proof of Principle Program - Phase I"/>
        <s v="Proof of Principle Program - Phase II"/>
        <s v="Project Grant"/>
        <s v="Proof of Principle Program Phase I - Drug Development"/>
        <s v="Project Grant - PA: Breast Cancer Research"/>
        <s v="Project Grant - Priority Announcement: Cancer Research"/>
        <s v="Project Grant - PA: Pandemic Preparedness and Health Emergencies Research"/>
        <s v="Operating Grant - PA: Genetics (Bridge Funding: Research Priorities)"/>
        <s v="Proof of Principle - PA: Cancer Early Detection, Imaging/Trans Therapeutics"/>
        <s v="Project Grant - PA: Cancer Research - Cancer Prevention"/>
        <s v="Project Grant - Priority Announcement: Infection and Immunity"/>
      </sharedItems>
    </cacheField>
    <cacheField name="Competition_CD" numFmtId="0">
      <sharedItems/>
    </cacheField>
    <cacheField name="PRC_Name" numFmtId="0">
      <sharedItems count="2">
        <s v="Proof of Principle"/>
        <s v="Commercialization"/>
      </sharedItems>
    </cacheField>
    <cacheField name="Project_Title" numFmtId="0">
      <sharedItems/>
    </cacheField>
    <cacheField name="CIHR_Contribution" numFmtId="166">
      <sharedItems containsSemiMixedTypes="0" containsString="0" containsNumber="1" containsInteger="1" minValue="73500" maxValue="1503225"/>
    </cacheField>
    <cacheField name="CIHR_Equipment" numFmtId="166">
      <sharedItems containsSemiMixedTypes="0" containsString="0" containsNumber="1" containsInteger="1" minValue="0" maxValue="77857"/>
    </cacheField>
    <cacheField name="Term_Years" numFmtId="0">
      <sharedItems containsSemiMixedTypes="0" containsString="0" containsNumber="1" minValue="1" maxValue="5"/>
    </cacheField>
    <cacheField name="Primary_Institute" numFmtId="0">
      <sharedItems count="12">
        <s v="Human Development, Child and Youth Health"/>
        <s v="Cancer Research"/>
        <s v="Musculoskeletal Health and Arthritis"/>
        <s v="Aging"/>
        <s v="Nutrition, Metabolism and Diabetes"/>
        <s v="Genetics"/>
        <s v="Neurosciences, Mental Health and Addiction"/>
        <s v="Infection and Immunity"/>
        <s v="Circulatory and Respiratory Health"/>
        <s v="Population and Public Health"/>
        <s v="Gender and Health"/>
        <s v="Health Services and Policy Research"/>
      </sharedItems>
    </cacheField>
    <cacheField name="Funding_Start" numFmtId="14">
      <sharedItems containsSemiMixedTypes="0" containsNonDate="0" containsDate="1" containsString="0" minDate="2009-01-01T00:00:00" maxDate="2024-10-02T00:00:00" count="34">
        <d v="2012-10-01T00:00:00"/>
        <d v="2015-10-01T00:00:00"/>
        <d v="2011-04-01T00:00:00"/>
        <d v="2014-10-01T00:00:00"/>
        <d v="2011-10-01T00:00:00"/>
        <d v="2009-07-01T00:00:00"/>
        <d v="2022-10-01T00:00:00"/>
        <d v="2010-10-01T00:00:00"/>
        <d v="2010-04-01T00:00:00"/>
        <d v="2023-04-01T00:00:00"/>
        <d v="2019-04-01T00:00:00"/>
        <d v="2012-04-01T00:00:00"/>
        <d v="2010-01-01T00:00:00"/>
        <d v="2013-10-01T00:00:00"/>
        <d v="2014-04-01T00:00:00"/>
        <d v="2009-01-01T00:00:00"/>
        <d v="2013-04-01T00:00:00"/>
        <d v="2019-10-01T00:00:00"/>
        <d v="2023-10-01T00:00:00"/>
        <d v="2024-04-01T00:00:00"/>
        <d v="2024-10-01T00:00:00"/>
        <d v="2023-03-01T00:00:00"/>
        <d v="2015-04-01T00:00:00"/>
        <d v="2020-04-01T00:00:00"/>
        <d v="2020-10-01T00:00:00"/>
        <d v="2018-04-01T00:00:00"/>
        <d v="2024-03-01T00:00:00"/>
        <d v="2016-04-01T00:00:00"/>
        <d v="2021-04-01T00:00:00"/>
        <d v="2022-03-01T00:00:00"/>
        <d v="2018-10-01T00:00:00"/>
        <d v="2021-10-01T00:00:00"/>
        <d v="2022-04-01T00:00:00"/>
        <d v="2020-03-01T00:00:00"/>
      </sharedItems>
      <fieldGroup par="16"/>
    </cacheField>
    <cacheField name="title_keywords" numFmtId="0">
      <sharedItems/>
    </cacheField>
    <cacheField name="Patents" numFmtId="0">
      <sharedItems containsSemiMixedTypes="0" containsString="0" containsNumber="1" containsInteger="1" minValue="0" maxValue="21"/>
    </cacheField>
    <cacheField name="Months (Funding_Start)" numFmtId="0" databaseField="0">
      <fieldGroup base="11">
        <rangePr groupBy="months" startDate="2009-01-01T00:00:00" endDate="2024-10-02T00:00:00"/>
        <groupItems count="14">
          <s v="&lt;2009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0-02"/>
        </groupItems>
      </fieldGroup>
    </cacheField>
    <cacheField name="Quarters (Funding_Start)" numFmtId="0" databaseField="0">
      <fieldGroup base="11">
        <rangePr groupBy="quarters" startDate="2009-01-01T00:00:00" endDate="2024-10-02T00:00:00"/>
        <groupItems count="6">
          <s v="&lt;2009-01-01"/>
          <s v="Qtr1"/>
          <s v="Qtr2"/>
          <s v="Qtr3"/>
          <s v="Qtr4"/>
          <s v="&gt;2024-10-02"/>
        </groupItems>
      </fieldGroup>
    </cacheField>
    <cacheField name="Years (Funding_Start)" numFmtId="0" databaseField="0">
      <fieldGroup base="11">
        <rangePr groupBy="years" startDate="2009-01-01T00:00:00" endDate="2024-10-02T00:00:00"/>
        <groupItems count="18">
          <s v="&lt;2009-01-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-10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Choi" refreshedDate="45872.964920833336" createdVersion="8" refreshedVersion="8" minRefreshableVersion="3" recordCount="316" xr:uid="{4C0BC703-7BEE-4744-9148-0E97127F573D}">
  <cacheSource type="worksheet">
    <worksheetSource ref="A1:Q317" sheet="COM"/>
  </cacheSource>
  <cacheFields count="20">
    <cacheField name="Name" numFmtId="0">
      <sharedItems count="246">
        <s v="Boyd, Daniel"/>
        <s v="Benard, Francois"/>
        <s v="Gratzer, Paul F"/>
        <s v="Yoo, Paul"/>
        <s v="Steinberg, Gregory R"/>
        <s v="Sadar, Marianne D"/>
        <s v="Tessier, Philippe A"/>
        <s v="Leavitt, Blair R"/>
        <s v="Tremblay, Michel L"/>
        <s v="Yang, Victor X"/>
        <s v="Kotra, Lakshmi P"/>
        <s v="Kremer, Richard B"/>
        <s v="Paganelli, Massimiliano"/>
        <s v="Juncker, David"/>
        <s v="Petkovich, Martin"/>
        <s v="Schweizer, Frank"/>
        <s v="Saragovi, Horacio U"/>
        <s v="Zhou, Youwen"/>
        <s v="Dacosta, Ralph S"/>
        <s v="Wasan, Kishor M"/>
        <s v="Brouillette, Martin"/>
        <s v="Stojdl, David F"/>
        <s v="Bell, John C"/>
        <s v="Kelley, Shana O"/>
        <s v="Park, Morag"/>
        <s v="Afilalo, Jonathan"/>
        <s v="Agrawal, Babita"/>
        <s v="Akbari, Mohsen"/>
        <s v="Alain, Tommy"/>
        <s v="Alaoui-Jamali, Moulay A"/>
        <s v="Alfieri, Carolina"/>
        <s v="Allard, Michael F"/>
        <s v="Alman, Benjamin A"/>
        <s v="Andersen, Raymond J"/>
        <s v="Arthur, Gilbert"/>
        <s v="Banerjee, Diponkar"/>
        <s v="Bear, Christine E"/>
        <s v="Beaulieu, Jean-Franeois"/>
        <s v="Beaulieu, Martin"/>
        <s v="Beg, Mirza Faisal"/>
        <s v="Bergeron, Michel G"/>
        <s v="Bernatchez, Pascal N"/>
        <s v="Biddiss, Elaine A"/>
        <s v="Boerkoel, Cornelius F"/>
        <s v="Bohbot, Veronique"/>
        <s v="Boisselier Mailfait, Elodie"/>
        <s v="Boivin, Guy"/>
        <s v="Booth, Valerie K"/>
        <s v="Bosse, Yohan"/>
        <s v="Braverman, Nancy E"/>
        <s v="Brinkman, Ryan"/>
        <s v="Brodt, Pnina"/>
        <s v="Brown, Jeremy A"/>
        <s v="Brukner, Ivan"/>
        <s v="Burns, David H"/>
        <s v="Burt, Helen M"/>
        <s v="C.-Gaudreault, Rene"/>
        <s v="Cashman, Neil R"/>
        <s v="Chan, Tak Hang"/>
        <s v="Charron, Thierry"/>
        <s v="Chauhan, Vijay S"/>
        <s v="Chemtob, Sylvain"/>
        <s v="Chen, Yen-I"/>
        <s v="Cherkasov, Artem"/>
        <s v="Chopra, Rajiv"/>
        <s v="Coderre, Terence J"/>
        <s v="Coles, John G"/>
        <s v="Conway, Edward M"/>
        <s v="Cripton, Peter A"/>
        <s v="Crystal, Eugene"/>
        <s v="Cummins, Carolyn L"/>
        <s v="Cunningham, Charles H"/>
        <s v="Cynader, Max S"/>
        <s v="Daugaard, Mads"/>
        <s v="de Rezende, Joao B"/>
        <s v="DeWitte-Orr, Stephanie"/>
        <s v="Diallo, Jean-Simon"/>
        <s v="Diamandis, Eleftherios P"/>
        <s v="Dmitrienko, Gary I"/>
        <s v="Doschak, Michael R"/>
        <s v="Drangova, Maria"/>
        <s v="Du, Caigan"/>
        <s v="Dumont, Guy A"/>
        <s v="Dutta, Tilak"/>
        <s v="Dyck, Jason R"/>
        <s v="Fenster, Aaron"/>
        <s v="Finlay, Barton B"/>
        <s v="Flynn, Lauren E"/>
        <s v="Fon, Edward A"/>
        <s v="Foster, Leonard J"/>
        <s v="Fraser, Paul E"/>
        <s v="Frost, Eric H"/>
        <s v="Garnis, Cathie"/>
        <s v="Gatignol, Anne"/>
        <s v="Ghahary, Aziz"/>
        <s v="Gibbings, Derrick J"/>
        <s v="Gleave, Martin E"/>
        <s v="Glogauer, Michael"/>
        <s v="Gobbi, Gabriella"/>
        <s v="Gobeil, Fernand J"/>
        <s v="Gong, Siew-Ging"/>
        <s v="Graham, Simon J"/>
        <s v="Granville, David J"/>
        <s v="Greer, John J"/>
        <s v="Grierson, David S"/>
        <s v="Gross, Peter L"/>
        <s v="Grynpas, Marc D"/>
        <s v="Guertin, Pierre"/>
        <s v="Haddad, Elie"/>
        <s v="Hancock, Robert Ernest W"/>
        <s v="Hanrahan, John W"/>
        <s v="Hansen, Carl L"/>
        <s v="Hassell, John A"/>
        <s v="Hebert, Marc"/>
        <s v="Hess, Robert F"/>
        <s v="Houde, Daniel"/>
        <s v="Hunter, Graeme K"/>
        <s v="Huntsman, David G"/>
        <s v="Husain, Mansoor"/>
        <s v="Hysi, Eno"/>
        <s v="Jaffray, David A"/>
        <s v="Jarvi, Keith A"/>
        <s v="Jarzem, Peter F"/>
        <s v="Kastrup, Christian J"/>
        <s v="Kazem-Moussavi, Zahra M"/>
        <s v="Kim, Peter K"/>
        <s v="Kizhakkedathu, Jayachandran N"/>
        <s v="Koeberle, Paulo D"/>
        <s v="Kouassi, Edouard"/>
        <s v="Kubow, Stanley"/>
        <s v="Kumar, Rakesh"/>
        <s v="Kushki, Azadeh"/>
        <s v="Lam, Stephen"/>
        <s v="Legault, Pascale"/>
        <s v="Leonardi, Mathew"/>
        <s v="Lerouge, Sophie"/>
        <s v="Li, Shyh-Dar"/>
        <s v="Lin, Sheng-Xiang"/>
        <s v="Liu, Fang"/>
        <s v="Liu, Fei-Fei"/>
        <s v="Logsetty, Sarvesh"/>
        <s v="Lubell, William D"/>
        <s v="Ma, Hongshen"/>
        <s v="Macaulay, Calum E"/>
        <s v="Mahony, James B"/>
        <s v="Mahuran, Don J"/>
        <s v="Malouin, Franeois"/>
        <s v="Martin, Ruth E"/>
        <s v="Martineau, Paul A"/>
        <s v="Mcalpine, Jessica N"/>
        <s v="McNagny, Kelly M"/>
        <s v="Meek, Robert N"/>
        <s v="Meloche, Sylvain"/>
        <s v="Mes-Masson, Anne-Marie"/>
        <s v="Minchinton, Andrew I"/>
        <s v="Mishra, Ram K"/>
        <s v="Moreau, Alain"/>
        <s v="Mossman, Karen L"/>
        <s v="Mueller, Christopher R"/>
        <s v="Nanthakumar, Kumaraswamy"/>
        <s v="Nazhat, Showan N"/>
        <s v="Ndao, Momar"/>
        <s v="Nepveu, Alain"/>
        <s v="Olson, David M"/>
        <s v="Ostrowski, Mario A"/>
        <s v="Pearson, Christopher E"/>
        <s v="Pelletier, Jerry M"/>
        <s v="Petrecca, Kevin"/>
        <s v="Philip, Anie"/>
        <s v="Pinto, Mario"/>
        <s v="Poirier, Donald"/>
        <s v="Powell, William S"/>
        <s v="Pratt, Christine M"/>
        <s v="Prentki, Marc"/>
        <s v="Putnins, Edward E"/>
        <s v="Qadura, Mohammad"/>
        <s v="Rak, Janusz"/>
        <s v="Reiner, Neil E"/>
        <s v="Rennie, Paul S"/>
        <s v="Reynolds, Steven C"/>
        <s v="Richter, Martin"/>
        <s v="Riddell, Michael C"/>
        <s v="Roberge, Michel"/>
        <s v="Rogers, Ian M"/>
        <s v="Rosenberg, Lawrence"/>
        <s v="Ross, Ruth A"/>
        <s v="Salcudean, Septimiu E"/>
        <s v="Sanche, Leon"/>
        <s v="Santamaria, Pere"/>
        <s v="Sarunic, Marinko V"/>
        <s v="Schang, Luis M"/>
        <s v="Schimmer, Aaron D"/>
        <s v="Schrader, John W"/>
        <s v="Seidah, Nabil G"/>
        <s v="Shapiro, James"/>
        <s v="Sheardown, Heather D"/>
        <s v="Sheppard, Donald C"/>
        <s v="Sherar, Michael D"/>
        <s v="Shlien, Adam"/>
        <s v="Shoichet, Molly S"/>
        <s v="Sibille, Etienne"/>
        <s v="Sidhu, Sachdev S"/>
        <s v="Sinton, David A"/>
        <s v="Sipione, Simonetta"/>
        <s v="Slim, Rima"/>
        <s v="Snutch, Terrance P"/>
        <s v="Sonenberg, Nahum"/>
        <s v="St-Pierre, Yves"/>
        <s v="Stagljar, Igor"/>
        <s v="Sutherland, Garnette R"/>
        <s v="Tabrizian, Maryam"/>
        <s v="Tamimi, Faleh"/>
        <s v="Tavallaei, Mohammad A"/>
        <s v="Towler, Mark R"/>
        <s v="Tremblay, Jacques P"/>
        <s v="Trifiro, Mark A"/>
        <s v="Tsao, Ming-Sound"/>
        <s v="Turvey, Stuart E"/>
        <s v="Uludag, Hasan"/>
        <s v="Underhill, Michael"/>
        <s v="Unrau, Peter J"/>
        <s v="Vanner, Stephen J"/>
        <s v="Verma, Subodh S"/>
        <s v="Waldman, Stephen D"/>
        <s v="Walker, Gilbert C"/>
        <s v="Walti, Herve"/>
        <s v="Wang, Yuzhuo"/>
        <s v="Weaver, Donald F"/>
        <s v="Webb, John R"/>
        <s v="Weinfeld, Michael"/>
        <s v="Weksberg, Rosanna"/>
        <s v="Whyne, Cari M"/>
        <s v="Willerth, Stephanie M"/>
        <s v="Williams, Jason"/>
        <s v="Wither, Joan E"/>
        <s v="Withers, Stephen G"/>
        <s v="Wu, Jian Hui"/>
        <s v="Wu, Xiao Yu S"/>
        <s v="Yanow, Stephanie K"/>
        <s v="Yokota, Toshifumi"/>
        <s v="Young, Robert N"/>
        <s v="Yousef, George M"/>
        <s v="Yudin, Andrei"/>
        <s v="Zaugg, Michael"/>
        <s v="Zeng, Haishan"/>
        <s v="Zhang, Li"/>
      </sharedItems>
    </cacheField>
    <cacheField name="Institution_Paid" numFmtId="0">
      <sharedItems/>
    </cacheField>
    <cacheField name="Province" numFmtId="0">
      <sharedItems/>
    </cacheField>
    <cacheField name="Program_Name" numFmtId="0">
      <sharedItems/>
    </cacheField>
    <cacheField name="Competition_CD" numFmtId="0">
      <sharedItems/>
    </cacheField>
    <cacheField name="PRC_Name" numFmtId="0">
      <sharedItems/>
    </cacheField>
    <cacheField name="Project_Title" numFmtId="0">
      <sharedItems/>
    </cacheField>
    <cacheField name="CIHR_Contribution" numFmtId="166">
      <sharedItems containsSemiMixedTypes="0" containsString="0" containsNumber="1" containsInteger="1" minValue="73500" maxValue="1503225"/>
    </cacheField>
    <cacheField name="CIHR_Equipment" numFmtId="166">
      <sharedItems containsSemiMixedTypes="0" containsString="0" containsNumber="1" containsInteger="1" minValue="0" maxValue="77857"/>
    </cacheField>
    <cacheField name="Term_Years" numFmtId="0">
      <sharedItems containsSemiMixedTypes="0" containsString="0" containsNumber="1" minValue="1" maxValue="5"/>
    </cacheField>
    <cacheField name="Primary_Institute" numFmtId="0">
      <sharedItems/>
    </cacheField>
    <cacheField name="Funding_Start" numFmtId="14">
      <sharedItems containsSemiMixedTypes="0" containsNonDate="0" containsDate="1" containsString="0" minDate="2009-01-01T00:00:00" maxDate="2024-10-02T00:00:00" count="34">
        <d v="2012-10-01T00:00:00"/>
        <d v="2015-10-01T00:00:00"/>
        <d v="2011-04-01T00:00:00"/>
        <d v="2014-10-01T00:00:00"/>
        <d v="2011-10-01T00:00:00"/>
        <d v="2009-07-01T00:00:00"/>
        <d v="2022-10-01T00:00:00"/>
        <d v="2010-10-01T00:00:00"/>
        <d v="2010-04-01T00:00:00"/>
        <d v="2023-04-01T00:00:00"/>
        <d v="2019-04-01T00:00:00"/>
        <d v="2012-04-01T00:00:00"/>
        <d v="2010-01-01T00:00:00"/>
        <d v="2013-10-01T00:00:00"/>
        <d v="2014-04-01T00:00:00"/>
        <d v="2009-01-01T00:00:00"/>
        <d v="2013-04-01T00:00:00"/>
        <d v="2019-10-01T00:00:00"/>
        <d v="2023-10-01T00:00:00"/>
        <d v="2024-04-01T00:00:00"/>
        <d v="2024-10-01T00:00:00"/>
        <d v="2023-03-01T00:00:00"/>
        <d v="2015-04-01T00:00:00"/>
        <d v="2020-04-01T00:00:00"/>
        <d v="2020-10-01T00:00:00"/>
        <d v="2018-04-01T00:00:00"/>
        <d v="2024-03-01T00:00:00"/>
        <d v="2016-04-01T00:00:00"/>
        <d v="2021-04-01T00:00:00"/>
        <d v="2022-03-01T00:00:00"/>
        <d v="2018-10-01T00:00:00"/>
        <d v="2021-10-01T00:00:00"/>
        <d v="2022-04-01T00:00:00"/>
        <d v="2020-03-01T00:00:00"/>
      </sharedItems>
      <fieldGroup par="19"/>
    </cacheField>
    <cacheField name="title_keywords" numFmtId="0">
      <sharedItems/>
    </cacheField>
    <cacheField name="Patents" numFmtId="0">
      <sharedItems containsSemiMixedTypes="0" containsString="0" containsNumber="1" containsInteger="1" minValue="0" maxValue="21"/>
    </cacheField>
    <cacheField name="companies" numFmtId="0">
      <sharedItems/>
    </cacheField>
    <cacheField name="companies_count" numFmtId="0">
      <sharedItems containsSemiMixedTypes="0" containsString="0" containsNumber="1" containsInteger="1" minValue="0" maxValue="2"/>
    </cacheField>
    <cacheField name="company_position" numFmtId="0">
      <sharedItems/>
    </cacheField>
    <cacheField name="Months (Funding_Start)" numFmtId="0" databaseField="0">
      <fieldGroup base="11">
        <rangePr groupBy="months" startDate="2009-01-01T00:00:00" endDate="2024-10-02T00:00:00"/>
        <groupItems count="14">
          <s v="&lt;2009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4-10-02"/>
        </groupItems>
      </fieldGroup>
    </cacheField>
    <cacheField name="Quarters (Funding_Start)" numFmtId="0" databaseField="0">
      <fieldGroup base="11">
        <rangePr groupBy="quarters" startDate="2009-01-01T00:00:00" endDate="2024-10-02T00:00:00"/>
        <groupItems count="6">
          <s v="&lt;2009-01-01"/>
          <s v="Qtr1"/>
          <s v="Qtr2"/>
          <s v="Qtr3"/>
          <s v="Qtr4"/>
          <s v="&gt;2024-10-02"/>
        </groupItems>
      </fieldGroup>
    </cacheField>
    <cacheField name="Years (Funding_Start)" numFmtId="0" databaseField="0">
      <fieldGroup base="11">
        <rangePr groupBy="years" startDate="2009-01-01T00:00:00" endDate="2024-10-02T00:00:00"/>
        <groupItems count="18">
          <s v="&lt;2009-01-01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024-10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x v="0"/>
    <s v="Dalhousie University (Nova Scotia)"/>
    <x v="0"/>
    <x v="0"/>
    <s v="201202PPP"/>
    <x v="0"/>
    <s v="Commercialization of a Radiopaque Spherical Embolic Agent."/>
    <n v="159097"/>
    <n v="0"/>
    <n v="1"/>
    <x v="0"/>
    <x v="0"/>
    <s v="Radiopaque, Embolic, Agent"/>
    <n v="3"/>
  </r>
  <r>
    <x v="1"/>
    <s v="University of British Columbia"/>
    <x v="1"/>
    <x v="0"/>
    <s v="201502PPP"/>
    <x v="0"/>
    <s v="Advancing the clinical development of [18F]AMBF3-TATE, a novel imaging probe for neuroendocrine tumours"/>
    <n v="160000"/>
    <n v="0"/>
    <n v="1"/>
    <x v="1"/>
    <x v="1"/>
    <s v="[18F], imaging, neuroendocrine"/>
    <n v="8"/>
  </r>
  <r>
    <x v="2"/>
    <s v="Dalhousie University (Nova Scotia)"/>
    <x v="0"/>
    <x v="0"/>
    <s v="201009PPP"/>
    <x v="0"/>
    <s v="Decellularization of Human Skin"/>
    <n v="149034"/>
    <n v="10900"/>
    <n v="1"/>
    <x v="2"/>
    <x v="2"/>
    <s v="Decellularization, Human Skin"/>
    <n v="1"/>
  </r>
  <r>
    <x v="3"/>
    <s v="University of Toronto"/>
    <x v="2"/>
    <x v="0"/>
    <s v="201502PPP"/>
    <x v="0"/>
    <s v="Minimally-Invasive Method of Selectively Activating Posterior Tibial Nerve Afferents for Treating Overactive Bladder"/>
    <n v="155800"/>
    <n v="4000"/>
    <n v="1"/>
    <x v="3"/>
    <x v="1"/>
    <s v="Minimally-Invasive, Posterior Tibial Nerve, Overactive Bladder"/>
    <n v="19"/>
  </r>
  <r>
    <x v="4"/>
    <s v="McMaster University"/>
    <x v="2"/>
    <x v="0"/>
    <s v="201402PPP"/>
    <x v="0"/>
    <s v="Development of a new therapy targeting adipose tissue metabolism for the treatment of obesity"/>
    <n v="160000"/>
    <n v="0"/>
    <n v="1"/>
    <x v="4"/>
    <x v="3"/>
    <s v="adipose tissue, metabolism, obesity"/>
    <n v="4"/>
  </r>
  <r>
    <x v="5"/>
    <s v="University of British Columbia"/>
    <x v="1"/>
    <x v="1"/>
    <s v="201102PP2"/>
    <x v="0"/>
    <s v="Translational Development Program For Analogues of EPI-001 (PNG01-185) Compounds For the Treatment of Advanced Prostate Cancer"/>
    <n v="300000"/>
    <n v="0"/>
    <n v="1"/>
    <x v="1"/>
    <x v="4"/>
    <s v="EPI-001, Prostate Cancer, Analogues"/>
    <n v="7"/>
  </r>
  <r>
    <x v="6"/>
    <s v="Universite Laval"/>
    <x v="3"/>
    <x v="0"/>
    <s v="200904PPP"/>
    <x v="0"/>
    <s v="Development of anti-S100 proteins for the treatment of arthritis"/>
    <n v="142600"/>
    <n v="0"/>
    <n v="1"/>
    <x v="2"/>
    <x v="5"/>
    <s v="S100 proteins, arthritis"/>
    <n v="6"/>
  </r>
  <r>
    <x v="7"/>
    <s v="University of British Columbia"/>
    <x v="1"/>
    <x v="2"/>
    <s v="202203PJT"/>
    <x v="1"/>
    <s v="Lipid Nanoparticle-Mediated Delivery of CRISPR/Cas9 Gene Editing for Neurological Disorders."/>
    <n v="761176"/>
    <n v="0"/>
    <n v="5"/>
    <x v="5"/>
    <x v="6"/>
    <s v="Lipid Nanoparticle, CRISPR, Gene Editing"/>
    <n v="3"/>
  </r>
  <r>
    <x v="8"/>
    <s v="McGill University"/>
    <x v="3"/>
    <x v="3"/>
    <s v="201003PDD"/>
    <x v="0"/>
    <s v="Discovery and uses of a new class of small molecule inhibitors of tyrosine phosphatases."/>
    <n v="158850"/>
    <n v="0"/>
    <n v="1"/>
    <x v="1"/>
    <x v="7"/>
    <s v="small molecule, tyrosine phosphatases, inhibitors"/>
    <n v="4"/>
  </r>
  <r>
    <x v="9"/>
    <s v="Toronto Metropolitan University"/>
    <x v="2"/>
    <x v="0"/>
    <s v="200910PPP"/>
    <x v="0"/>
    <s v="Doppler Optical Coherence Tomography for Intraoperative Imaging During Skull Base Neurosurgical Procedures"/>
    <n v="149984"/>
    <n v="0"/>
    <n v="1"/>
    <x v="1"/>
    <x v="8"/>
    <s v="Doppler, Optical Coherence Tomography, Neurosurgical"/>
    <n v="4"/>
  </r>
  <r>
    <x v="10"/>
    <s v="University Health Network (Toronto)"/>
    <x v="2"/>
    <x v="0"/>
    <s v="201402PPP"/>
    <x v="0"/>
    <s v="In vivo efficacy studies on KP-218 as a potential MS therapeutic agent"/>
    <n v="160000"/>
    <n v="0"/>
    <n v="1"/>
    <x v="6"/>
    <x v="3"/>
    <s v="in vivo, MS, therapeutic"/>
    <n v="4"/>
  </r>
  <r>
    <x v="11"/>
    <s v="Research Institute of the McGill University Health Centre"/>
    <x v="3"/>
    <x v="2"/>
    <s v="202209PJT"/>
    <x v="1"/>
    <s v="Anti-parathyroid hormone-related protein (PTHrP) monoclonal antibodies against metastatic cancer"/>
    <n v="665550"/>
    <n v="0"/>
    <n v="3"/>
    <x v="1"/>
    <x v="9"/>
    <s v="parathyroid hormone, monoclonal antibodies, metastatic cancer"/>
    <n v="1"/>
  </r>
  <r>
    <x v="12"/>
    <s v="Centre hospitalier universitaire Sainte-Justine (Montreal, Quebec)"/>
    <x v="3"/>
    <x v="2"/>
    <s v="201809PJT"/>
    <x v="1"/>
    <s v="Stem cell-derived Encapsulated Liver Tissue to treat liver failure without immunosuppression: technology maturation towards clinical translation"/>
    <n v="497249"/>
    <n v="0"/>
    <n v="3"/>
    <x v="4"/>
    <x v="10"/>
    <s v="stem cells, encapsulation, liver tissue"/>
    <n v="3"/>
  </r>
  <r>
    <x v="13"/>
    <s v="McGill University"/>
    <x v="3"/>
    <x v="0"/>
    <s v="200910PPP"/>
    <x v="0"/>
    <s v="Clinical validation of an innovative multiplex antibody microarray platform"/>
    <n v="150000"/>
    <n v="0"/>
    <n v="1"/>
    <x v="1"/>
    <x v="8"/>
    <s v="antibody, microarray, platform"/>
    <n v="7"/>
  </r>
  <r>
    <x v="14"/>
    <s v="Queen's University (Kingston, Ontario)"/>
    <x v="2"/>
    <x v="0"/>
    <s v="201109PPP"/>
    <x v="0"/>
    <s v="Blocking RA Metabolism: A safer approach to retinoid therapy in skin disease"/>
    <n v="135557"/>
    <n v="0"/>
    <n v="1"/>
    <x v="4"/>
    <x v="11"/>
    <s v="RA, metabolism, skin disease"/>
    <n v="15"/>
  </r>
  <r>
    <x v="15"/>
    <s v="University of Manitoba"/>
    <x v="4"/>
    <x v="0"/>
    <s v="201109PPP"/>
    <x v="0"/>
    <s v="Optimization and preclinical studies on amphiphilic aminoglycoside antimicrobials (AAAs)"/>
    <n v="160000"/>
    <n v="0"/>
    <n v="1"/>
    <x v="7"/>
    <x v="11"/>
    <s v="amphiphilic, aminoglycoside, antimicrobials"/>
    <n v="4"/>
  </r>
  <r>
    <x v="16"/>
    <s v="CIUSSS de Centre-Ouest-de-l'Ile-de-Montreal-Jewish General"/>
    <x v="3"/>
    <x v="0"/>
    <s v="201202PPP"/>
    <x v="0"/>
    <s v="Cancer vaccines targeting the ganglioside tumor-marker GD2"/>
    <n v="157600"/>
    <n v="0"/>
    <n v="1"/>
    <x v="1"/>
    <x v="0"/>
    <s v="cancer, vaccines, GD2"/>
    <n v="2"/>
  </r>
  <r>
    <x v="17"/>
    <s v="University of British Columbia"/>
    <x v="1"/>
    <x v="0"/>
    <s v="201202PPP"/>
    <x v="0"/>
    <s v="A diagnostic test for cutaneous T cell lymphomas"/>
    <n v="151660"/>
    <n v="0"/>
    <n v="1"/>
    <x v="2"/>
    <x v="0"/>
    <s v="diagnostic, T cell lymphomas, cutaneous"/>
    <n v="4"/>
  </r>
  <r>
    <x v="18"/>
    <s v="University Health Network (Toronto)"/>
    <x v="2"/>
    <x v="0"/>
    <s v="201102PPP"/>
    <x v="0"/>
    <s v="Development of PRODIGI, a Handheld Optical Imaging Technology for Real-time Intraoperative-guidance of Breast Tumour Resection"/>
    <n v="121250"/>
    <n v="24000"/>
    <n v="1"/>
    <x v="1"/>
    <x v="4"/>
    <s v="Optical imaging, Intraoperative guidance, Breast tumor"/>
    <n v="9"/>
  </r>
  <r>
    <x v="19"/>
    <s v="University of British Columbia"/>
    <x v="1"/>
    <x v="1"/>
    <s v="200810PP2"/>
    <x v="0"/>
    <s v="Development of a Novel Oral Amphotericin B Formulation for the Treatment of Systemic Fungal Infections"/>
    <n v="200000"/>
    <n v="0"/>
    <n v="1"/>
    <x v="7"/>
    <x v="12"/>
    <s v="Amphotericin B, oral formulation, fungal infections"/>
    <n v="5"/>
  </r>
  <r>
    <x v="20"/>
    <s v="Universite de Sherbrooke"/>
    <x v="3"/>
    <x v="0"/>
    <s v="201302PPP"/>
    <x v="0"/>
    <s v="Device for recanalization of peripheral and coronary arteries"/>
    <n v="155180"/>
    <n v="0"/>
    <n v="1"/>
    <x v="8"/>
    <x v="13"/>
    <s v="recanalization, arteries, device"/>
    <n v="2"/>
  </r>
  <r>
    <x v="21"/>
    <s v="Children's Hospital of Eastern Ontario Research Institute Inc"/>
    <x v="2"/>
    <x v="0"/>
    <s v="201302PPP"/>
    <x v="0"/>
    <s v="Chimeric Oncolytic Virus for Brain Cancer Treatment"/>
    <n v="160000"/>
    <n v="0"/>
    <n v="1"/>
    <x v="1"/>
    <x v="13"/>
    <s v="Chimeric, Oncolytic Virus, Brain Cancer"/>
    <n v="3"/>
  </r>
  <r>
    <x v="22"/>
    <s v="Ottawa Hospital Research Institute"/>
    <x v="2"/>
    <x v="0"/>
    <s v="201309PPP"/>
    <x v="0"/>
    <s v="Biological Viral Sensitizers for GMP Manufacturing"/>
    <n v="123000"/>
    <n v="37000"/>
    <n v="1"/>
    <x v="1"/>
    <x v="14"/>
    <s v="Viral, Sensitizers, Manufacturing"/>
    <n v="5"/>
  </r>
  <r>
    <x v="23"/>
    <s v="University of Toronto"/>
    <x v="2"/>
    <x v="0"/>
    <s v="200810PPP"/>
    <x v="0"/>
    <s v="Clinical validation of low-cost ultrasensitive electronic molecular  diagnostics"/>
    <n v="150000"/>
    <n v="0"/>
    <n v="1"/>
    <x v="5"/>
    <x v="15"/>
    <s v="ultrasensitive, electronic, diagnostics"/>
    <n v="5"/>
  </r>
  <r>
    <x v="24"/>
    <s v="McGill University"/>
    <x v="3"/>
    <x v="1"/>
    <s v="200904PP2"/>
    <x v="0"/>
    <s v="Generation of a gene expression-based breast cancer prognostic device"/>
    <n v="73500"/>
    <n v="0"/>
    <n v="1"/>
    <x v="1"/>
    <x v="5"/>
    <s v="gene expression, breast cancer, prognostic"/>
    <n v="1"/>
  </r>
  <r>
    <x v="22"/>
    <s v="Ottawa Hospital Research Institute"/>
    <x v="2"/>
    <x v="0"/>
    <s v="201009PPP"/>
    <x v="0"/>
    <s v="Increasing vaccine manufacturing output using viral sensitizer technology"/>
    <n v="136750"/>
    <n v="0"/>
    <n v="1"/>
    <x v="7"/>
    <x v="2"/>
    <s v="vaccine, manufacturing, viral sensitizer"/>
    <n v="3"/>
  </r>
  <r>
    <x v="15"/>
    <s v="University of Manitoba"/>
    <x v="4"/>
    <x v="0"/>
    <s v="200810PPP"/>
    <x v="0"/>
    <s v="Preclinical evaluation of antimicrobial ultrashort aminoglycoside- peptide conjugates"/>
    <n v="150000"/>
    <n v="0"/>
    <n v="1"/>
    <x v="7"/>
    <x v="15"/>
    <s v="antimicrobial, aminoglycoside, peptide"/>
    <n v="5"/>
  </r>
  <r>
    <x v="25"/>
    <s v="McGill University"/>
    <x v="3"/>
    <x v="0"/>
    <s v="201209PPP"/>
    <x v="0"/>
    <s v="Buccal Lamin A as a Novel Biomarker for Frailty"/>
    <n v="160000"/>
    <n v="0"/>
    <n v="1"/>
    <x v="3"/>
    <x v="16"/>
    <s v="Buccal, Lamin A, Biomarker"/>
    <n v="2"/>
  </r>
  <r>
    <x v="26"/>
    <s v="University of Alberta"/>
    <x v="5"/>
    <x v="0"/>
    <s v="201202PPP"/>
    <x v="0"/>
    <s v="Novel cross-protective (universal) vaccine for influenza infections"/>
    <n v="159990"/>
    <n v="0"/>
    <n v="1"/>
    <x v="7"/>
    <x v="0"/>
    <s v="cross-protective, influenza, vaccine"/>
    <n v="2"/>
  </r>
  <r>
    <x v="26"/>
    <s v="University of Alberta"/>
    <x v="5"/>
    <x v="0"/>
    <s v="201302PPP"/>
    <x v="0"/>
    <s v="New dual-mode antiviral agents for the treatment of hepatitis C virus infection"/>
    <n v="159984"/>
    <n v="0"/>
    <n v="1"/>
    <x v="7"/>
    <x v="13"/>
    <s v="antiviral agents, hepatitis C virus, infection"/>
    <n v="1"/>
  </r>
  <r>
    <x v="26"/>
    <s v="University of Alberta"/>
    <x v="5"/>
    <x v="2"/>
    <s v="201903PJT"/>
    <x v="1"/>
    <s v="Development of a novel universal (cross-protective) vaccine technology for influenza viruses"/>
    <n v="367200"/>
    <n v="0"/>
    <n v="3"/>
    <x v="7"/>
    <x v="17"/>
    <s v="vaccine, influenza, cross-protective"/>
    <n v="0"/>
  </r>
  <r>
    <x v="27"/>
    <s v="University of Victoria (British Columbia)"/>
    <x v="1"/>
    <x v="2"/>
    <s v="202303PJT"/>
    <x v="1"/>
    <s v="Towards commercialization of GelDerm-a smart dressing for continuous wound monitoring"/>
    <n v="332776"/>
    <n v="0"/>
    <n v="2"/>
    <x v="2"/>
    <x v="18"/>
    <s v="GelDerm, smart dressing, wound monitoring"/>
    <n v="0"/>
  </r>
  <r>
    <x v="28"/>
    <s v="Children's Hospital of Eastern Ontario Research Institute Inc"/>
    <x v="2"/>
    <x v="4"/>
    <s v="202309PLL"/>
    <x v="1"/>
    <s v="Viralyzing transgenes to improve oncolytic immunotherapy."/>
    <n v="100000"/>
    <n v="0"/>
    <n v="1"/>
    <x v="1"/>
    <x v="19"/>
    <s v="Viralyzing, transgenes, immunotherapy"/>
    <n v="0"/>
  </r>
  <r>
    <x v="28"/>
    <s v="Children's Hospital of Eastern Ontario Research Institute Inc"/>
    <x v="2"/>
    <x v="4"/>
    <s v="202403PLL"/>
    <x v="1"/>
    <s v="Viralyzing transgenes to improve oncolytic immunotherapy."/>
    <n v="100000"/>
    <n v="0"/>
    <n v="1"/>
    <x v="1"/>
    <x v="20"/>
    <s v="Viralyzing, transgenes, immunotherapy"/>
    <n v="0"/>
  </r>
  <r>
    <x v="29"/>
    <s v="McGill University"/>
    <x v="3"/>
    <x v="0"/>
    <s v="201102PPP"/>
    <x v="0"/>
    <s v="Triple Targeted Kinase Inhibitors Capable of Inhibiting Breast Cancer Metastases"/>
    <n v="160000"/>
    <n v="0"/>
    <n v="1"/>
    <x v="1"/>
    <x v="4"/>
    <s v="Kinase inhibitors, breast cancer, metastases"/>
    <n v="3"/>
  </r>
  <r>
    <x v="30"/>
    <s v="Centre hospitalier universitaire Sainte-Justine (Montreal, Quebec)"/>
    <x v="3"/>
    <x v="0"/>
    <s v="201402PPP"/>
    <x v="0"/>
    <s v="Development of a peptide mimetic vaccine for prevention of Epstein-Barr virus infectious mononucleosis and related cancers."/>
    <n v="159612"/>
    <n v="0"/>
    <n v="1"/>
    <x v="7"/>
    <x v="3"/>
    <s v="peptide, vaccine, Epstein-Barr virus"/>
    <n v="0"/>
  </r>
  <r>
    <x v="31"/>
    <s v="University of British Columbia"/>
    <x v="1"/>
    <x v="0"/>
    <s v="200904PPP"/>
    <x v="0"/>
    <s v="Modulation of heart metabolism by hydrophobically modified hyperbranched polyglycerols"/>
    <n v="150000"/>
    <n v="0"/>
    <n v="1"/>
    <x v="8"/>
    <x v="5"/>
    <s v="heart, metabolism, polyglycerols"/>
    <n v="0"/>
  </r>
  <r>
    <x v="32"/>
    <s v="Hospital for Sick Children (Toronto)"/>
    <x v="2"/>
    <x v="0"/>
    <s v="201003PPP"/>
    <x v="0"/>
    <s v="Nefopam as an agent to prevent and treat hyperplastic scars"/>
    <n v="159975"/>
    <n v="0"/>
    <n v="1"/>
    <x v="2"/>
    <x v="7"/>
    <s v="Nefopam, hyperplastic scars"/>
    <n v="1"/>
  </r>
  <r>
    <x v="33"/>
    <s v="University of British Columbia"/>
    <x v="1"/>
    <x v="0"/>
    <s v="201003PPP"/>
    <x v="0"/>
    <s v="Latonduine A, A Potent delF508-CFTR Trafficking Defect Corrector With Potential for Treating Cystic Fibrosis"/>
    <n v="159750"/>
    <n v="0"/>
    <n v="1"/>
    <x v="8"/>
    <x v="7"/>
    <s v="Latonduine, CFTR, Cystic Fibrosis"/>
    <n v="0"/>
  </r>
  <r>
    <x v="34"/>
    <s v="University of Manitoba"/>
    <x v="4"/>
    <x v="0"/>
    <s v="200904PPP"/>
    <x v="0"/>
    <s v="Preclinical development of glycerophosphocarbamates as prostate-selective anticancer drugs"/>
    <n v="137617"/>
    <n v="0"/>
    <n v="1"/>
    <x v="1"/>
    <x v="5"/>
    <s v="glycerophosphocarbamates, prostate, anticancer"/>
    <n v="0"/>
  </r>
  <r>
    <x v="35"/>
    <s v="University of British Columbia"/>
    <x v="1"/>
    <x v="0"/>
    <s v="200810PPP"/>
    <x v="0"/>
    <s v="Validation of Tissue and Cytology Microarray Spotter (TCMS) for Simultaneous Multiple Biomarker Detection in Cells"/>
    <n v="150000"/>
    <n v="0"/>
    <n v="1"/>
    <x v="1"/>
    <x v="15"/>
    <s v="Tissue, Cytology, Microarray"/>
    <n v="0"/>
  </r>
  <r>
    <x v="36"/>
    <s v="Hospital for Sick Children (Toronto)"/>
    <x v="2"/>
    <x v="2"/>
    <s v="202403PJT"/>
    <x v="1"/>
    <s v="Preclinical studies of a novel CFTR potentiator for commercialization as a therapy for chronic obstructive pulmonary disease."/>
    <n v="325125"/>
    <n v="0"/>
    <n v="2"/>
    <x v="8"/>
    <x v="20"/>
    <s v="CFTR, potentiator, pulmonary disease"/>
    <n v="0"/>
  </r>
  <r>
    <x v="37"/>
    <s v="Universite de Sherbrooke"/>
    <x v="3"/>
    <x v="0"/>
    <s v="201309PPP"/>
    <x v="0"/>
    <s v="Improving the diagnosis of colorectal cancer using fecal mRNA and protein markers: The integrin alpha 6A subunit"/>
    <n v="160000"/>
    <n v="0"/>
    <n v="1"/>
    <x v="1"/>
    <x v="14"/>
    <s v="colorectal cancer, fecal mRNA, integrin alpha 6A"/>
    <n v="0"/>
  </r>
  <r>
    <x v="38"/>
    <s v="Universite Laval"/>
    <x v="3"/>
    <x v="0"/>
    <s v="201302PPP"/>
    <x v="0"/>
    <s v="Cells lines for screening GPCR/Nav signaling compound"/>
    <n v="160000"/>
    <n v="0"/>
    <n v="1"/>
    <x v="6"/>
    <x v="13"/>
    <s v="cells, GPCR, signaling"/>
    <n v="1"/>
  </r>
  <r>
    <x v="39"/>
    <s v="Simon Fraser University (Burnaby, B.C.)"/>
    <x v="1"/>
    <x v="5"/>
    <s v="202209PJS"/>
    <x v="1"/>
    <s v="Novel end-to-end platform for extraction of body composition measurements from CT images for research and integration into clinical workflows for precision medicine"/>
    <n v="100000"/>
    <n v="0"/>
    <n v="1"/>
    <x v="1"/>
    <x v="21"/>
    <s v="body composition, CT images, precision medicine"/>
    <n v="0"/>
  </r>
  <r>
    <x v="39"/>
    <s v="Simon Fraser University (Burnaby, B.C.)"/>
    <x v="1"/>
    <x v="2"/>
    <s v="202303PJT"/>
    <x v="1"/>
    <s v="Staging the host in Cancer: AI-based automated comprehensive body composition assessment for Precision Medicine"/>
    <n v="956250"/>
    <n v="0"/>
    <n v="3"/>
    <x v="1"/>
    <x v="18"/>
    <s v="AI, body composition, cancer"/>
    <n v="0"/>
  </r>
  <r>
    <x v="40"/>
    <s v="Universite Laval"/>
    <x v="3"/>
    <x v="0"/>
    <s v="201409PPP"/>
    <x v="0"/>
    <s v="Developpement, optimisation et multiplexage d'un oligonucleotide synthetique permettant l'amplification d'ADN et l'hybridation sur support solide en une seule etape. PDP PhaseI"/>
    <n v="160000"/>
    <n v="0"/>
    <n v="1"/>
    <x v="7"/>
    <x v="22"/>
    <s v="oligonucleotide, amplification, hybridation"/>
    <n v="0"/>
  </r>
  <r>
    <x v="41"/>
    <s v="University of British Columbia"/>
    <x v="1"/>
    <x v="0"/>
    <s v="201209PPP"/>
    <x v="0"/>
    <s v="Novel compounds for treatment of pulmonary hypertension"/>
    <n v="158389"/>
    <n v="0"/>
    <n v="1"/>
    <x v="8"/>
    <x v="16"/>
    <s v="compounds,pulmonary hypertension"/>
    <n v="0"/>
  </r>
  <r>
    <x v="42"/>
    <s v="Holland Bloorview Kids Rehabilitation Hospital (Toronto)"/>
    <x v="2"/>
    <x v="2"/>
    <s v="201909PJT"/>
    <x v="1"/>
    <s v="BootleBlast, a movement tracking video game for home-based motor therapy - Navigating gaps to market readiness"/>
    <n v="409276"/>
    <n v="0"/>
    <n v="3"/>
    <x v="0"/>
    <x v="23"/>
    <s v="movement tracking, video game, motor therapy"/>
    <n v="0"/>
  </r>
  <r>
    <x v="43"/>
    <s v="University of British Columbia"/>
    <x v="1"/>
    <x v="0"/>
    <s v="201102PPP"/>
    <x v="0"/>
    <s v="Development of Tdp1 inhibitors for treating cancer"/>
    <n v="159927"/>
    <n v="0"/>
    <n v="1"/>
    <x v="1"/>
    <x v="4"/>
    <s v="Tdp1, inhibitors, cancer"/>
    <n v="0"/>
  </r>
  <r>
    <x v="44"/>
    <s v="CIUSSS de l'Ouest-de-l'Ile-de-Montreal-Douglas Hospital"/>
    <x v="3"/>
    <x v="0"/>
    <s v="201402PPP"/>
    <x v="0"/>
    <s v="Validation of a fully automated virtual reality based spatial memory improvement program that promotes healthy aging"/>
    <n v="160000"/>
    <n v="0"/>
    <n v="1"/>
    <x v="3"/>
    <x v="3"/>
    <s v="virtual reality, spatial memory, aging"/>
    <n v="1"/>
  </r>
  <r>
    <x v="45"/>
    <s v="Universite Laval"/>
    <x v="3"/>
    <x v="2"/>
    <s v="202003PJT"/>
    <x v="1"/>
    <s v="Un nouveau vecteur de medicaments ophtalmiques e base de nanoparticules d'or"/>
    <n v="550800"/>
    <n v="0"/>
    <n v="5"/>
    <x v="6"/>
    <x v="24"/>
    <s v="vecteur, nanoparticules, ophtalmiques"/>
    <n v="0"/>
  </r>
  <r>
    <x v="46"/>
    <s v="Universite Laval"/>
    <x v="3"/>
    <x v="0"/>
    <s v="200910PPP"/>
    <x v="0"/>
    <s v="New antiviral agents against herpes simplex viruses"/>
    <n v="150000"/>
    <n v="0"/>
    <n v="1"/>
    <x v="7"/>
    <x v="8"/>
    <s v="antiviral, herpes simplex, viruses"/>
    <n v="4"/>
  </r>
  <r>
    <x v="47"/>
    <s v="Memorial University of Newfoundland"/>
    <x v="6"/>
    <x v="0"/>
    <s v="201009PPP"/>
    <x v="0"/>
    <s v="HLA Peptide Development as a Therapeutic for Psoriasis"/>
    <n v="156920"/>
    <n v="0"/>
    <n v="1"/>
    <x v="7"/>
    <x v="2"/>
    <s v="HLA, Peptide, Psoriasis"/>
    <n v="0"/>
  </r>
  <r>
    <x v="48"/>
    <s v="Universite Laval"/>
    <x v="3"/>
    <x v="0"/>
    <s v="201302PPP"/>
    <x v="0"/>
    <s v="Prognostic gene signature for stage I lung adenocarcinoma"/>
    <n v="148348"/>
    <n v="0"/>
    <n v="1"/>
    <x v="1"/>
    <x v="13"/>
    <s v="gene signature, lung adenocarcinoma, prognostic"/>
    <n v="0"/>
  </r>
  <r>
    <x v="49"/>
    <s v="Research Institute of the McGill University Health Centre"/>
    <x v="3"/>
    <x v="2"/>
    <s v="202209PJT"/>
    <x v="1"/>
    <s v="Enabling commercialization of retinal gene therapy for Zellweger Spectrum Disorder"/>
    <n v="1503225"/>
    <n v="0"/>
    <n v="5"/>
    <x v="5"/>
    <x v="9"/>
    <s v="retinal gene therapy, Zellweger Spectrum Disorder"/>
    <n v="0"/>
  </r>
  <r>
    <x v="50"/>
    <s v="University of British Columbia"/>
    <x v="1"/>
    <x v="2"/>
    <s v="201909PJT"/>
    <x v="1"/>
    <s v="Machine Learning for Flow Cytometry Clinical Data and Trial Analysis"/>
    <n v="317475"/>
    <n v="0"/>
    <n v="1.8333333329999999"/>
    <x v="7"/>
    <x v="23"/>
    <s v="Machine Learning, Flow Cytometry, Clinical Data"/>
    <n v="0"/>
  </r>
  <r>
    <x v="51"/>
    <s v="Research Institute of the McGill University Health Centre"/>
    <x v="3"/>
    <x v="1"/>
    <s v="201502PP2"/>
    <x v="0"/>
    <s v="An IGF-Trap for the treatment of breast cancer: consolidation of the pre-clinical profile and commercialization."/>
    <n v="299934"/>
    <n v="0"/>
    <n v="1"/>
    <x v="1"/>
    <x v="1"/>
    <s v="IGF, breast cancer, trap"/>
    <n v="1"/>
  </r>
  <r>
    <x v="52"/>
    <s v="Dalhousie University (Nova Scotia)"/>
    <x v="0"/>
    <x v="0"/>
    <s v="201003PPP"/>
    <x v="0"/>
    <s v="A High-Resolution Ultrasonic Endoscope for the Auditory System"/>
    <n v="108000"/>
    <n v="10600"/>
    <n v="1"/>
    <x v="3"/>
    <x v="7"/>
    <s v="Ultrasonic, Endoscope, Auditory"/>
    <n v="1"/>
  </r>
  <r>
    <x v="53"/>
    <s v="CIUSSS de Centre-Ouest-de-l'Ile-de-Montreal-Jewish General"/>
    <x v="3"/>
    <x v="0"/>
    <s v="201502PPP"/>
    <x v="0"/>
    <s v="A new qPCR method for the assessment of total/relative bacterial load from stool samples: C difficile show case"/>
    <n v="131513"/>
    <n v="0"/>
    <n v="1"/>
    <x v="7"/>
    <x v="1"/>
    <s v="qPCR, bacterial load, stool samples"/>
    <n v="0"/>
  </r>
  <r>
    <x v="54"/>
    <s v="McGill University"/>
    <x v="3"/>
    <x v="0"/>
    <s v="200810PPP"/>
    <x v="0"/>
    <s v="Smart Ultrasonic Hydrogel Sensors for Point of Care Analysis"/>
    <n v="150000"/>
    <n v="0"/>
    <n v="1"/>
    <x v="8"/>
    <x v="15"/>
    <s v="Ultrasonic, Hydrogel, Sensors"/>
    <n v="1"/>
  </r>
  <r>
    <x v="55"/>
    <s v="University of British Columbia"/>
    <x v="1"/>
    <x v="0"/>
    <s v="201109PPP"/>
    <x v="0"/>
    <s v="Intravesical Taxanes"/>
    <n v="157412"/>
    <n v="0"/>
    <n v="1"/>
    <x v="1"/>
    <x v="11"/>
    <s v="Intravesical, Taxanes"/>
    <n v="0"/>
  </r>
  <r>
    <x v="55"/>
    <s v="University of British Columbia"/>
    <x v="1"/>
    <x v="1"/>
    <s v="201302PP2"/>
    <x v="0"/>
    <s v="Intravesical Docetaxel Formulation for the Treatment of Ta/T1 Stage Bladder Cancer"/>
    <n v="294600"/>
    <n v="0"/>
    <n v="1"/>
    <x v="1"/>
    <x v="13"/>
    <s v="Docetaxel, Bladder Cancer, Intravesical"/>
    <n v="2"/>
  </r>
  <r>
    <x v="56"/>
    <s v="Universite Laval"/>
    <x v="3"/>
    <x v="0"/>
    <s v="201102PPP"/>
    <x v="0"/>
    <s v="Optimization and Validation of Highly Cytocidal Substituted Phenyl Imidazolidin-2-one as Antimicrotubule Agents for Cancer Chemotherapy"/>
    <n v="160000"/>
    <n v="0"/>
    <n v="1"/>
    <x v="1"/>
    <x v="4"/>
    <s v="Cytocidal, Phenyl Imidazolidin-2-one, Antimicrotubule"/>
    <n v="0"/>
  </r>
  <r>
    <x v="56"/>
    <s v="Universite Laval"/>
    <x v="3"/>
    <x v="2"/>
    <s v="201709PJT"/>
    <x v="1"/>
    <s v="Validation of Highly Potent Substituted Phenyl Alkylureas as Antipsoriatic Agents"/>
    <n v="497250"/>
    <n v="0"/>
    <n v="3"/>
    <x v="1"/>
    <x v="25"/>
    <s v="Potent, Phenyl Alkylureas, Antipsoriatic"/>
    <n v="0"/>
  </r>
  <r>
    <x v="57"/>
    <s v="University of British Columbia"/>
    <x v="1"/>
    <x v="1"/>
    <s v="201209PP2"/>
    <x v="0"/>
    <s v="A defined cyclic peptide epitope specific to Abeta oligomers:   Active and passive vaccination in mouse models of Alzheimer's disease"/>
    <n v="300000"/>
    <n v="0"/>
    <n v="1"/>
    <x v="3"/>
    <x v="16"/>
    <s v="cyclic peptide, Abeta oligomers, vaccination"/>
    <n v="17"/>
  </r>
  <r>
    <x v="58"/>
    <s v="McGill University"/>
    <x v="3"/>
    <x v="1"/>
    <s v="201109PP2"/>
    <x v="0"/>
    <s v="Evaluation of novel flavonoids in models of hematological cancer"/>
    <n v="300000"/>
    <n v="0"/>
    <n v="1"/>
    <x v="1"/>
    <x v="11"/>
    <s v="flavonoids, hematological cancer, models"/>
    <n v="4"/>
  </r>
  <r>
    <x v="59"/>
    <s v="CIUSSS du Nord-de-l'Ile-de Montreal - Hepital Sacre Coeur"/>
    <x v="3"/>
    <x v="0"/>
    <s v="201309PPP"/>
    <x v="0"/>
    <s v="Innovative device to reduce myocardial infarct size and no-reflow : Proof of concepts in humans"/>
    <n v="159300"/>
    <n v="0"/>
    <n v="1"/>
    <x v="8"/>
    <x v="14"/>
    <s v="myocardial infarct, no-reflow, device"/>
    <n v="2"/>
  </r>
  <r>
    <x v="60"/>
    <s v="University Health Network (Toronto)"/>
    <x v="2"/>
    <x v="0"/>
    <s v="201409PPP"/>
    <x v="0"/>
    <s v="Rotor Mapping in Human Atrial Fibrillation"/>
    <n v="149015"/>
    <n v="10634"/>
    <n v="1"/>
    <x v="8"/>
    <x v="22"/>
    <s v="Rotor, Mapping, Atrial Fibrillation"/>
    <n v="1"/>
  </r>
  <r>
    <x v="61"/>
    <s v="Centre hospitalier universitaire Sainte-Justine (Montreal, Quebec)"/>
    <x v="3"/>
    <x v="1"/>
    <s v="201003PP2"/>
    <x v="0"/>
    <s v="IL-1  Allosteramers to treat diabetes and its complications"/>
    <n v="300000"/>
    <n v="0"/>
    <n v="1"/>
    <x v="4"/>
    <x v="7"/>
    <s v="IL-1, Allosteramers, diabetes"/>
    <n v="1"/>
  </r>
  <r>
    <x v="62"/>
    <s v="Research Institute of the McGill University Health Centre"/>
    <x v="3"/>
    <x v="2"/>
    <s v="202309PJT"/>
    <x v="1"/>
    <s v="A novel through-the-scope exchangeable double balloon catheter to guide endoscopic bypass:  a practice-changing technology in the management of malignant gastric outlet obstruction"/>
    <n v="451350"/>
    <n v="0"/>
    <n v="2"/>
    <x v="4"/>
    <x v="26"/>
    <s v="double balloon, endoscopic, gastric outlet obstruction"/>
    <n v="0"/>
  </r>
  <r>
    <x v="63"/>
    <s v="University of British Columbia"/>
    <x v="1"/>
    <x v="0"/>
    <s v="201402PPP"/>
    <x v="0"/>
    <s v="First-in-Class Small-molecule Inhibitors Selectively Targeting the DNA-binding Domain of Human Androgen Receptor and Its Splice Variants for the Treatment of Resistant Prostate Cancer"/>
    <n v="150030"/>
    <n v="0"/>
    <n v="1"/>
    <x v="1"/>
    <x v="3"/>
    <s v="small-molecule, androgen receptor, prostate cancer"/>
    <n v="2"/>
  </r>
  <r>
    <x v="64"/>
    <s v="Sunnybrook Health Sciences Centre (Toronto, Ontario)"/>
    <x v="2"/>
    <x v="0"/>
    <s v="201009PPP"/>
    <x v="0"/>
    <s v="Development of endorectal MR elastography for prostate cancer detection"/>
    <n v="153344"/>
    <n v="0"/>
    <n v="1"/>
    <x v="1"/>
    <x v="2"/>
    <s v="MR elastography, prostate cancer, detection"/>
    <n v="0"/>
  </r>
  <r>
    <x v="64"/>
    <s v="Sunnybrook Health Sciences Centre (Toronto, Ontario)"/>
    <x v="2"/>
    <x v="1"/>
    <s v="201102PP2"/>
    <x v="0"/>
    <s v="Evaluation of MRI-controlled interstitial ultrasound therapy for the treatment of cerebral neoplasms"/>
    <n v="147500"/>
    <n v="0"/>
    <n v="1"/>
    <x v="1"/>
    <x v="4"/>
    <s v="MRI, ultrasound, neoplasms"/>
    <n v="0"/>
  </r>
  <r>
    <x v="65"/>
    <s v="McGill University"/>
    <x v="3"/>
    <x v="0"/>
    <s v="201202PPP"/>
    <x v="0"/>
    <s v="Synergistic topical combinations for chronic pain aimed at treating microvascular dysfunction."/>
    <n v="160000"/>
    <n v="0"/>
    <n v="1"/>
    <x v="6"/>
    <x v="0"/>
    <s v="topical, microvascular, pain"/>
    <n v="0"/>
  </r>
  <r>
    <x v="66"/>
    <s v="Hospital for Sick Children (Toronto)"/>
    <x v="2"/>
    <x v="2"/>
    <s v="201709PJT"/>
    <x v="1"/>
    <s v="Integrin Linked Kinase as a Novel Therapeutic Target for Heart Failure"/>
    <n v="512550"/>
    <n v="0"/>
    <n v="3"/>
    <x v="8"/>
    <x v="25"/>
    <s v="Integrin, Kinase, Heart Failure"/>
    <n v="0"/>
  </r>
  <r>
    <x v="67"/>
    <s v="University of British Columbia"/>
    <x v="1"/>
    <x v="0"/>
    <s v="201402PPP"/>
    <x v="0"/>
    <s v="Novel therapeutic approach for 'wet' and 'dry' age-related macular degeneration"/>
    <n v="160000"/>
    <n v="0"/>
    <n v="1"/>
    <x v="3"/>
    <x v="3"/>
    <s v="age-related macular degeneration, therapeutic, dry wet"/>
    <n v="0"/>
  </r>
  <r>
    <x v="68"/>
    <s v="University of British Columbia"/>
    <x v="1"/>
    <x v="0"/>
    <s v="200904PPP"/>
    <x v="0"/>
    <s v="Pro-Neck-Tor: A helmet to prevent spinal cord injuries occuring during sports and transportation"/>
    <n v="149752"/>
    <n v="0"/>
    <n v="1"/>
    <x v="2"/>
    <x v="5"/>
    <s v="helmet, spinal cord, injuries"/>
    <n v="2"/>
  </r>
  <r>
    <x v="69"/>
    <s v="Sunnybrook Health Sciences Centre (Toronto, Ontario)"/>
    <x v="2"/>
    <x v="0"/>
    <s v="200910PPP"/>
    <x v="0"/>
    <s v="Three-dimensional Catheter Tracking using a Single Two-dimensional Image"/>
    <n v="130077"/>
    <n v="12873"/>
    <n v="1"/>
    <x v="8"/>
    <x v="8"/>
    <s v="catheter, tracking, imaging"/>
    <n v="4"/>
  </r>
  <r>
    <x v="70"/>
    <s v="University of Toronto"/>
    <x v="2"/>
    <x v="0"/>
    <s v="201309PPP"/>
    <x v="0"/>
    <s v="Developing a Novel Therapeutic for Cushing's Syndrome"/>
    <n v="160000"/>
    <n v="0"/>
    <n v="1"/>
    <x v="4"/>
    <x v="14"/>
    <s v="Cushing's Syndrome, Therapeutic"/>
    <n v="0"/>
  </r>
  <r>
    <x v="71"/>
    <s v="Sunnybrook Health Sciences Centre (Toronto, Ontario)"/>
    <x v="2"/>
    <x v="0"/>
    <s v="201003PPP"/>
    <x v="0"/>
    <s v="Wire for MRI-Guided Interventions"/>
    <n v="139840"/>
    <n v="8395"/>
    <n v="1"/>
    <x v="8"/>
    <x v="7"/>
    <s v="Wire, MRI, Interventions"/>
    <n v="1"/>
  </r>
  <r>
    <x v="72"/>
    <s v="University of British Columbia"/>
    <x v="1"/>
    <x v="0"/>
    <s v="201109PPP"/>
    <x v="0"/>
    <s v="Novel peptide as potential therapeutic for treatment of ischemic stroke"/>
    <n v="160000"/>
    <n v="0"/>
    <n v="1"/>
    <x v="6"/>
    <x v="11"/>
    <s v="peptide, ischemic stroke"/>
    <n v="1"/>
  </r>
  <r>
    <x v="73"/>
    <s v="University of British Columbia"/>
    <x v="1"/>
    <x v="2"/>
    <s v="202403PJT"/>
    <x v="1"/>
    <s v="An integrated AI-powered platform for cell analytics"/>
    <n v="730576"/>
    <n v="0"/>
    <n v="4"/>
    <x v="1"/>
    <x v="20"/>
    <s v="AI, cell, analytics"/>
    <n v="0"/>
  </r>
  <r>
    <x v="74"/>
    <s v="Unity Health Toronto"/>
    <x v="2"/>
    <x v="0"/>
    <s v="201502PPP"/>
    <x v="0"/>
    <s v="A Non-Traumatic Binder for Temporary Abdominal Wall Closure"/>
    <n v="115768"/>
    <n v="0"/>
    <n v="1"/>
    <x v="7"/>
    <x v="1"/>
    <s v="Binder, Abdominal Wall, Closure"/>
    <n v="0"/>
  </r>
  <r>
    <x v="75"/>
    <s v="Wilfrid Laurier University (Waterloo, Ontario)"/>
    <x v="2"/>
    <x v="6"/>
    <s v="202209PPE"/>
    <x v="1"/>
    <s v="Developing intranasal dsRNA molecules as broadly effective therapeutics against highly pathogenic coronaviruses"/>
    <n v="100000"/>
    <n v="0"/>
    <n v="1"/>
    <x v="7"/>
    <x v="21"/>
    <s v="intranasal, dsRNA, coronaviruses"/>
    <n v="0"/>
  </r>
  <r>
    <x v="76"/>
    <s v="Ottawa Hospital Research Institute"/>
    <x v="2"/>
    <x v="1"/>
    <s v="201402PP2"/>
    <x v="0"/>
    <s v="Evaluation of viral sensitizer technology in improving egg-based influenza vaccine manufacturing processes"/>
    <n v="222143"/>
    <n v="77857"/>
    <n v="1"/>
    <x v="7"/>
    <x v="3"/>
    <s v="viral, sensitizer, influenza"/>
    <n v="5"/>
  </r>
  <r>
    <x v="77"/>
    <s v="Sinai Health System (Toronto)"/>
    <x v="2"/>
    <x v="2"/>
    <s v="202203PJT"/>
    <x v="1"/>
    <s v="KaliDerm Therapeutics: A research/commercialization plan to validate, better define and add value to our proprietary dual KLK5/7 inhibitor as a novel topical therapeutic for Netherton Syndrome."/>
    <n v="336600"/>
    <n v="0"/>
    <n v="2"/>
    <x v="7"/>
    <x v="6"/>
    <s v="KLK5, KLK7, Netherton Syndrome"/>
    <n v="0"/>
  </r>
  <r>
    <x v="78"/>
    <s v="University of Waterloo (Ontario)"/>
    <x v="2"/>
    <x v="3"/>
    <s v="200904PDD"/>
    <x v="0"/>
    <s v="Novel beta lactamase inhibitors to combat antibiotic resistance"/>
    <n v="150000"/>
    <n v="0"/>
    <n v="1"/>
    <x v="7"/>
    <x v="5"/>
    <s v="beta lactamase, antibiotics, resistance"/>
    <n v="1"/>
  </r>
  <r>
    <x v="78"/>
    <s v="University of Waterloo (Ontario)"/>
    <x v="2"/>
    <x v="1"/>
    <s v="201009PP2"/>
    <x v="0"/>
    <s v="New drugs for antibiotic resistant bacterial infections"/>
    <n v="133277"/>
    <n v="0"/>
    <n v="1"/>
    <x v="7"/>
    <x v="2"/>
    <s v="antibiotic, resistant bacteria, infections"/>
    <n v="0"/>
  </r>
  <r>
    <x v="79"/>
    <s v="University of Alberta"/>
    <x v="5"/>
    <x v="3"/>
    <s v="201003PDD"/>
    <x v="0"/>
    <s v="Bisphosphonate-conjugated Calcitonin"/>
    <n v="117929"/>
    <n v="0"/>
    <n v="1"/>
    <x v="2"/>
    <x v="7"/>
    <s v="Bisphosphonate, Calcitonin"/>
    <n v="2"/>
  </r>
  <r>
    <x v="79"/>
    <s v="University of Alberta"/>
    <x v="5"/>
    <x v="0"/>
    <s v="201509PPP"/>
    <x v="0"/>
    <s v="Bone-Seeking Iron Oxide Nanoparticles for Imaging Bone Metabolism"/>
    <n v="160000"/>
    <n v="0"/>
    <n v="1"/>
    <x v="2"/>
    <x v="27"/>
    <s v="Iron oxide, nanoparticles, imaging"/>
    <n v="0"/>
  </r>
  <r>
    <x v="80"/>
    <s v="Western University (Ontario)"/>
    <x v="2"/>
    <x v="2"/>
    <s v="202010PJT"/>
    <x v="1"/>
    <s v="Contact-force controller to eliminate the effects of motion during cardiac radiofrequency ablation"/>
    <n v="367200"/>
    <n v="0"/>
    <n v="2"/>
    <x v="8"/>
    <x v="28"/>
    <s v="contact-force, radiofrequency, ablation"/>
    <n v="1"/>
  </r>
  <r>
    <x v="81"/>
    <s v="University of British Columbia"/>
    <x v="1"/>
    <x v="0"/>
    <s v="201409PPP"/>
    <x v="0"/>
    <s v="Preclinical Development of a Novel Organ Transplant Solution"/>
    <n v="160000"/>
    <n v="0"/>
    <n v="1"/>
    <x v="4"/>
    <x v="22"/>
    <s v="organ transplant, solution"/>
    <n v="2"/>
  </r>
  <r>
    <x v="82"/>
    <s v="University of British Columbia"/>
    <x v="1"/>
    <x v="0"/>
    <s v="201502PPP"/>
    <x v="0"/>
    <s v="Certifiably safe closed-loop control of anesthesia"/>
    <n v="158740"/>
    <n v="0"/>
    <n v="1"/>
    <x v="8"/>
    <x v="1"/>
    <s v="closed-loop, control, anesthesia"/>
    <n v="2"/>
  </r>
  <r>
    <x v="83"/>
    <s v="University Health Network (Toronto)"/>
    <x v="2"/>
    <x v="0"/>
    <s v="201509PPP"/>
    <x v="0"/>
    <s v="Pressure ulcer prevention: a novel prompting system for patient repositioning"/>
    <n v="137401"/>
    <n v="0"/>
    <n v="1"/>
    <x v="3"/>
    <x v="27"/>
    <s v="pressure ulcer, prompting system, repositioning"/>
    <n v="0"/>
  </r>
  <r>
    <x v="84"/>
    <s v="University of Alberta"/>
    <x v="5"/>
    <x v="0"/>
    <s v="201409PPP"/>
    <x v="0"/>
    <s v="Preclinical Development and Optimization of Small Molecules for the Treatment of Atrial Fibrillation"/>
    <n v="160000"/>
    <n v="0"/>
    <n v="1"/>
    <x v="8"/>
    <x v="22"/>
    <s v="Small Molecules, Atrial Fibrillation, Preclinical"/>
    <n v="0"/>
  </r>
  <r>
    <x v="85"/>
    <s v="Western University (Ontario)"/>
    <x v="2"/>
    <x v="0"/>
    <s v="201309PPP"/>
    <x v="0"/>
    <s v="3D Ultrasound Scanner System For Management Of Intraventricular Hemorrhage In Preterm Neonates"/>
    <n v="148062"/>
    <n v="0"/>
    <n v="1"/>
    <x v="0"/>
    <x v="14"/>
    <s v="3D Ultrasound, Intraventricular Hemorrhage, Neonates"/>
    <n v="1"/>
  </r>
  <r>
    <x v="85"/>
    <s v="Western University (Ontario)"/>
    <x v="2"/>
    <x v="0"/>
    <s v="201509PPP"/>
    <x v="0"/>
    <s v="MR-Guided Focal Ablation of Prostate Cancer"/>
    <n v="143110"/>
    <n v="10313"/>
    <n v="1"/>
    <x v="1"/>
    <x v="27"/>
    <s v="MR, Ablation, Prostate Cancer"/>
    <n v="0"/>
  </r>
  <r>
    <x v="86"/>
    <s v="University of British Columbia"/>
    <x v="1"/>
    <x v="1"/>
    <s v="201009PP2"/>
    <x v="0"/>
    <s v="A sub-unit based vaccine for Salmonella"/>
    <n v="149685"/>
    <n v="0"/>
    <n v="1"/>
    <x v="7"/>
    <x v="2"/>
    <s v="sub-unit, vaccine, Salmonella"/>
    <n v="1"/>
  </r>
  <r>
    <x v="87"/>
    <s v="Western University (Ontario)"/>
    <x v="2"/>
    <x v="0"/>
    <s v="201409PPP"/>
    <x v="0"/>
    <s v="Development of novel porous extracellular matrix-derived bioscaffolds for cutaneous wound healing"/>
    <n v="160000"/>
    <n v="0"/>
    <n v="1"/>
    <x v="2"/>
    <x v="22"/>
    <s v="porous, extracellular matrix, bioscaffolds"/>
    <n v="1"/>
  </r>
  <r>
    <x v="88"/>
    <s v="McGill University"/>
    <x v="3"/>
    <x v="0"/>
    <s v="201402PPP"/>
    <x v="0"/>
    <s v="Targeting Alpha-Synuclein Propagation in the Treatment of Parkinson's Disease and Other Synucleinopathies"/>
    <n v="159946"/>
    <n v="0"/>
    <n v="1"/>
    <x v="6"/>
    <x v="3"/>
    <s v="Alpha-Synuclein, Propagation, Parkinson's Disease"/>
    <n v="0"/>
  </r>
  <r>
    <x v="89"/>
    <s v="University of British Columbia"/>
    <x v="1"/>
    <x v="6"/>
    <s v="202403PPE"/>
    <x v="1"/>
    <s v="Development and Commercialization of a Safe and Effective Mpox Subunit Vaccine witheGlobaleImpact"/>
    <n v="100000"/>
    <n v="0"/>
    <n v="1"/>
    <x v="9"/>
    <x v="15"/>
    <s v="Mpox, Subunit, Vaccine"/>
    <n v="0"/>
  </r>
  <r>
    <x v="89"/>
    <s v="University of British Columbia"/>
    <x v="1"/>
    <x v="6"/>
    <s v="202309PPE"/>
    <x v="1"/>
    <s v="Development and Commercialization of a Safe and Effective Mpox Subunit Vaccine witheGlobaleImpact"/>
    <n v="100000"/>
    <n v="0"/>
    <n v="1"/>
    <x v="9"/>
    <x v="26"/>
    <s v="Mpox, Subunit, Vaccine"/>
    <n v="0"/>
  </r>
  <r>
    <x v="90"/>
    <s v="University of Toronto"/>
    <x v="2"/>
    <x v="0"/>
    <s v="200810PPP"/>
    <x v="0"/>
    <s v="Amyloid-Based Therapies for Type 2 Diabetes"/>
    <n v="150000"/>
    <n v="0"/>
    <n v="1"/>
    <x v="4"/>
    <x v="15"/>
    <s v="Amyloid, Therapies, Diabetes"/>
    <n v="3"/>
  </r>
  <r>
    <x v="91"/>
    <s v="Universite de Sherbrooke"/>
    <x v="3"/>
    <x v="0"/>
    <s v="201102PPP"/>
    <x v="0"/>
    <s v="Simultaneous Influenza A detection, subtyping, and oseltamivir resistance determination"/>
    <n v="95000"/>
    <n v="65000"/>
    <n v="1"/>
    <x v="7"/>
    <x v="4"/>
    <s v="Influenza, detection, resistance"/>
    <n v="0"/>
  </r>
  <r>
    <x v="92"/>
    <s v="University of British Columbia"/>
    <x v="1"/>
    <x v="2"/>
    <s v="201809PJT"/>
    <x v="1"/>
    <s v="Blood based biomarker for the early detection of recurrent head and neck cancer"/>
    <n v="539324"/>
    <n v="0"/>
    <n v="4"/>
    <x v="1"/>
    <x v="10"/>
    <s v="blood, biomarker, cancer"/>
    <n v="0"/>
  </r>
  <r>
    <x v="92"/>
    <s v="University of British Columbia"/>
    <x v="1"/>
    <x v="2"/>
    <s v="202309PJT"/>
    <x v="1"/>
    <s v="Blood based biomarker for the early detection of recurrent oropharyngeal cancer"/>
    <n v="474300"/>
    <n v="0"/>
    <n v="4"/>
    <x v="1"/>
    <x v="19"/>
    <s v="blood, biomarker, oropharyngeal cancer"/>
    <n v="0"/>
  </r>
  <r>
    <x v="93"/>
    <s v="CIUSSS de Centre-Ouest-de-l'Ile-de-Montreal-Jewish General"/>
    <x v="3"/>
    <x v="0"/>
    <s v="201309PPP"/>
    <x v="0"/>
    <s v="Development of antisense-based small RNA agents targeting the GAG open reading frame of HIV-1 RNA for use in gene and drug therapy against HIV-1 infection."/>
    <n v="159550"/>
    <n v="0"/>
    <n v="1"/>
    <x v="7"/>
    <x v="14"/>
    <s v="antisense, RNA, HIV-1"/>
    <n v="1"/>
  </r>
  <r>
    <x v="94"/>
    <s v="University of British Columbia"/>
    <x v="1"/>
    <x v="0"/>
    <s v="201109PPP"/>
    <x v="0"/>
    <s v="Discovery of a Novel Anti-fibrogenic factor and its Therapeutic evaluation"/>
    <n v="150932"/>
    <n v="0"/>
    <n v="1"/>
    <x v="2"/>
    <x v="11"/>
    <s v="Anti-fibrogenic, factor, therapeutic"/>
    <n v="3"/>
  </r>
  <r>
    <x v="94"/>
    <s v="University of British Columbia"/>
    <x v="1"/>
    <x v="0"/>
    <s v="201309PPP"/>
    <x v="0"/>
    <s v="Re -constitutable skin substitute powder kit"/>
    <n v="147089"/>
    <n v="0"/>
    <n v="1"/>
    <x v="2"/>
    <x v="14"/>
    <s v="skin, substitute, powder"/>
    <n v="2"/>
  </r>
  <r>
    <x v="95"/>
    <s v="University of Ottawa"/>
    <x v="2"/>
    <x v="0"/>
    <s v="201502PPP"/>
    <x v="0"/>
    <s v="Technology to build a drug delivery platform for silencing RNAs using exosomes"/>
    <n v="159941"/>
    <n v="0"/>
    <n v="1"/>
    <x v="3"/>
    <x v="1"/>
    <s v="drug delivery, exosomes, RNAs"/>
    <n v="3"/>
  </r>
  <r>
    <x v="96"/>
    <s v="University of British Columbia"/>
    <x v="1"/>
    <x v="2"/>
    <s v="201709PJT"/>
    <x v="1"/>
    <s v="Preclinical development of a novel androgen receptor antagonist to treat castration-resistant prostate cancer"/>
    <n v="351900"/>
    <n v="0"/>
    <n v="2"/>
    <x v="1"/>
    <x v="25"/>
    <s v="androgen receptor, prostate cancer, antagonist"/>
    <n v="3"/>
  </r>
  <r>
    <x v="97"/>
    <s v="University of Toronto"/>
    <x v="2"/>
    <x v="1"/>
    <s v="200904PP2"/>
    <x v="0"/>
    <s v="Clinical Evaluation of a Chair-side In Vitro Rinse Test for Predicting Onset and Recurrent Adult Periodontitis"/>
    <n v="88399"/>
    <n v="0"/>
    <n v="1"/>
    <x v="2"/>
    <x v="5"/>
    <s v="Chair-side, In Vitro, Periodontitis"/>
    <n v="0"/>
  </r>
  <r>
    <x v="98"/>
    <s v="McGill University"/>
    <x v="3"/>
    <x v="0"/>
    <s v="201509PPP"/>
    <x v="0"/>
    <s v="Novel first-in-class MT2 melatonin receptor partial agonists for neuropathic pain"/>
    <n v="160000"/>
    <n v="0"/>
    <n v="1"/>
    <x v="6"/>
    <x v="27"/>
    <s v="MT2, melatonin receptor, neuropathic pain"/>
    <n v="4"/>
  </r>
  <r>
    <x v="99"/>
    <s v="Universite de Sherbrooke"/>
    <x v="3"/>
    <x v="0"/>
    <s v="201109PPP"/>
    <x v="0"/>
    <s v="Agonistes synthetiques de kinines : Optimiser la livraison et l'efficacite des chimiotherapies des tumeurs cerebrales"/>
    <n v="149418"/>
    <n v="0"/>
    <n v="1"/>
    <x v="1"/>
    <x v="11"/>
    <s v="kinines, livraison, chimiotherapies"/>
    <n v="0"/>
  </r>
  <r>
    <x v="100"/>
    <s v="University of Toronto"/>
    <x v="2"/>
    <x v="2"/>
    <s v="202203PJT"/>
    <x v="1"/>
    <s v="Streptococcus salivarius Probiotics Against Dental Caries Pathogens"/>
    <n v="535501"/>
    <n v="0"/>
    <n v="4"/>
    <x v="2"/>
    <x v="6"/>
    <s v="Streptococcus salivarius, Probiotics, Dental Caries"/>
    <n v="1"/>
  </r>
  <r>
    <x v="101"/>
    <s v="Sunnybrook Health Sciences Centre (Toronto, Ontario)"/>
    <x v="2"/>
    <x v="0"/>
    <s v="201102PPP"/>
    <x v="0"/>
    <s v="Tablet Technology for Assessing Dementia"/>
    <n v="116402"/>
    <n v="0"/>
    <n v="1"/>
    <x v="6"/>
    <x v="4"/>
    <s v="Tablet, Dementia, Assessing"/>
    <n v="1"/>
  </r>
  <r>
    <x v="102"/>
    <s v="University of British Columbia"/>
    <x v="1"/>
    <x v="1"/>
    <s v="200910PP2"/>
    <x v="0"/>
    <s v="Therapeutic antibody development towards granzyme B"/>
    <n v="101240"/>
    <n v="0"/>
    <n v="1"/>
    <x v="8"/>
    <x v="8"/>
    <s v="antibody, granzyme B"/>
    <n v="7"/>
  </r>
  <r>
    <x v="103"/>
    <s v="University of Alberta"/>
    <x v="5"/>
    <x v="1"/>
    <s v="201502PP2"/>
    <x v="0"/>
    <s v="Ampakine Therapy for Alleviating Respiratory Depression"/>
    <n v="145440"/>
    <n v="0"/>
    <n v="1"/>
    <x v="8"/>
    <x v="1"/>
    <s v="Ampakine, Respiratory Depression, Therapy"/>
    <n v="2"/>
  </r>
  <r>
    <x v="104"/>
    <s v="University of British Columbia"/>
    <x v="1"/>
    <x v="0"/>
    <s v="201409PPP"/>
    <x v="0"/>
    <s v="Development of Specific Inhibitors of HIV pre-mRNA Alternative Splicing: A New Anti-HIV/AIDS Strategy"/>
    <n v="160000"/>
    <n v="0"/>
    <n v="1"/>
    <x v="7"/>
    <x v="22"/>
    <s v="HIV, pre-mRNA, splicing"/>
    <n v="4"/>
  </r>
  <r>
    <x v="105"/>
    <s v="McMaster University"/>
    <x v="2"/>
    <x v="2"/>
    <s v="202203PJT"/>
    <x v="1"/>
    <s v="Benchmarking a point-of-care test kit for detection of direct-oral anticoagulants"/>
    <n v="279225"/>
    <n v="0"/>
    <n v="2"/>
    <x v="8"/>
    <x v="6"/>
    <s v="point-of-care, anticoagulants, detection"/>
    <n v="0"/>
  </r>
  <r>
    <x v="106"/>
    <s v="Sinai Health System (Toronto)"/>
    <x v="2"/>
    <x v="0"/>
    <s v="201009PPP"/>
    <x v="0"/>
    <s v="&quot;Calcium Polyphosphate Bone Substitutes&quot;"/>
    <n v="156022"/>
    <n v="0"/>
    <n v="1"/>
    <x v="2"/>
    <x v="2"/>
    <s v="Calcium, Polyphosphate, Bone"/>
    <n v="2"/>
  </r>
  <r>
    <x v="107"/>
    <s v="Universite Laval"/>
    <x v="3"/>
    <x v="0"/>
    <s v="201109PPP"/>
    <x v="0"/>
    <s v="First-in-class Therapeutic Against Urinary Retention (Continence) in Patients with Chronic Spinal Cord Injury and Related Disorders"/>
    <n v="160000"/>
    <n v="0"/>
    <n v="1"/>
    <x v="6"/>
    <x v="11"/>
    <s v="Urinary retention, spinal cord injury, continence"/>
    <n v="2"/>
  </r>
  <r>
    <x v="107"/>
    <s v="Universite Laval"/>
    <x v="3"/>
    <x v="0"/>
    <s v="201302PPP"/>
    <x v="0"/>
    <s v="A Novel Class of Drug Treatment Against Chronic Constipation in Spinal Cord-Injured People"/>
    <n v="160000"/>
    <n v="0"/>
    <n v="1"/>
    <x v="6"/>
    <x v="13"/>
    <s v="Drug, Constipation, Spinal Cord"/>
    <n v="0"/>
  </r>
  <r>
    <x v="108"/>
    <s v="Centre hospitalier universitaire Sainte-Justine (Montreal, Quebec)"/>
    <x v="3"/>
    <x v="4"/>
    <s v="202109PLL"/>
    <x v="1"/>
    <s v="Platform of synthetic specific promoters for immunotherapies and regenerative medicine"/>
    <n v="100000"/>
    <n v="0"/>
    <n v="1"/>
    <x v="1"/>
    <x v="29"/>
    <s v="synthetic promoters, immunotherapies, regenerative medicine"/>
    <n v="0"/>
  </r>
  <r>
    <x v="108"/>
    <s v="Centre hospitalier universitaire Sainte-Justine (Montreal, Quebec)"/>
    <x v="3"/>
    <x v="2"/>
    <s v="202209PJT"/>
    <x v="1"/>
    <s v="Empowering innovative hematopoietic stem cells (HSC)-based cancer immunotherapy through the creation of synthetic specific promoters"/>
    <n v="765000"/>
    <n v="0"/>
    <n v="4"/>
    <x v="1"/>
    <x v="9"/>
    <s v="hematopoietic stem cells, immunotherapy, synthetic promoters"/>
    <n v="1"/>
  </r>
  <r>
    <x v="109"/>
    <s v="University of British Columbia"/>
    <x v="1"/>
    <x v="3"/>
    <s v="201102PDD"/>
    <x v="0"/>
    <s v="Novel anti-inflammatory treatment for Amyotrophic Lateral Sclerosis"/>
    <n v="160000"/>
    <n v="0"/>
    <n v="1"/>
    <x v="6"/>
    <x v="4"/>
    <s v="anti-inflammatory, Amyotrophic Lateral Sclerosis"/>
    <n v="1"/>
  </r>
  <r>
    <x v="109"/>
    <s v="University of British Columbia"/>
    <x v="1"/>
    <x v="0"/>
    <s v="201209PPP"/>
    <x v="0"/>
    <s v="Anti-Biofilm Therapy"/>
    <n v="160000"/>
    <n v="0"/>
    <n v="1"/>
    <x v="7"/>
    <x v="16"/>
    <s v="Anti-biofilm, Therapy"/>
    <n v="4"/>
  </r>
  <r>
    <x v="110"/>
    <s v="McGill University"/>
    <x v="3"/>
    <x v="0"/>
    <s v="201402PPP"/>
    <x v="0"/>
    <s v="CFTR modulators as a potential new therapeutic paradigm to treat individuals with COPD"/>
    <n v="159665"/>
    <n v="0"/>
    <n v="1"/>
    <x v="8"/>
    <x v="3"/>
    <s v="CFTR, modulators, COPD"/>
    <n v="2"/>
  </r>
  <r>
    <x v="111"/>
    <s v="University of British Columbia"/>
    <x v="1"/>
    <x v="0"/>
    <s v="201202PPP"/>
    <x v="0"/>
    <s v="Pre-commercial development of single cell antibody selection process"/>
    <n v="154120"/>
    <n v="0"/>
    <n v="1"/>
    <x v="7"/>
    <x v="0"/>
    <s v="single cell, antibody, selection"/>
    <n v="11"/>
  </r>
  <r>
    <x v="112"/>
    <s v="McMaster University"/>
    <x v="2"/>
    <x v="0"/>
    <s v="201109PPP"/>
    <x v="0"/>
    <s v="Characterization of small molecule sensitizers to chemotherapy"/>
    <n v="160000"/>
    <n v="0"/>
    <n v="1"/>
    <x v="1"/>
    <x v="11"/>
    <s v="small molecule, sensitizers, chemotherapy"/>
    <n v="0"/>
  </r>
  <r>
    <x v="113"/>
    <s v="Universite Laval"/>
    <x v="3"/>
    <x v="0"/>
    <s v="201309PPP"/>
    <x v="0"/>
    <s v="Diagnostic differentiel de la schizophrenie, la depression bipolaire et la depression majeure e l'aide de l'electroretinographie"/>
    <n v="159700"/>
    <n v="0"/>
    <n v="1"/>
    <x v="6"/>
    <x v="14"/>
    <s v="diagnostic, electroretinography, schizophrenia"/>
    <n v="1"/>
  </r>
  <r>
    <x v="114"/>
    <s v="McGill University"/>
    <x v="3"/>
    <x v="0"/>
    <s v="200810PPP"/>
    <x v="0"/>
    <s v="Assessment and Treatment of Binocular Vision in Amblyopia"/>
    <n v="126802"/>
    <n v="0"/>
    <n v="1"/>
    <x v="6"/>
    <x v="15"/>
    <s v="Binocular vision, Amblyopia"/>
    <n v="6"/>
  </r>
  <r>
    <x v="115"/>
    <s v="Universite de Sherbrooke"/>
    <x v="3"/>
    <x v="0"/>
    <s v="201009PPP"/>
    <x v="0"/>
    <s v="Radiotherapie par filamentation laser femtoseconde"/>
    <n v="112602"/>
    <n v="0"/>
    <n v="1"/>
    <x v="1"/>
    <x v="2"/>
    <s v="radiotherapie, laser, femtoseconde"/>
    <n v="1"/>
  </r>
  <r>
    <x v="116"/>
    <s v="Western University (Ontario)"/>
    <x v="2"/>
    <x v="0"/>
    <s v="200904PPP"/>
    <x v="0"/>
    <s v="Crystal-binding peptides for prevention of kidney stone disease"/>
    <n v="116350"/>
    <n v="6000"/>
    <n v="1"/>
    <x v="4"/>
    <x v="5"/>
    <s v="crystal-binding, peptides, kidney stone"/>
    <n v="0"/>
  </r>
  <r>
    <x v="117"/>
    <s v="University of British Columbia"/>
    <x v="1"/>
    <x v="0"/>
    <s v="200910PPP"/>
    <x v="0"/>
    <s v="A Diagnostic Test for Granulosa Cell Tumours of the Ovary"/>
    <n v="150000"/>
    <n v="0"/>
    <n v="1"/>
    <x v="1"/>
    <x v="8"/>
    <s v="Diagnostic, Granulosa Cells, Tumours"/>
    <n v="3"/>
  </r>
  <r>
    <x v="117"/>
    <s v="University of British Columbia"/>
    <x v="1"/>
    <x v="0"/>
    <s v="201209PPP"/>
    <x v="0"/>
    <s v="PrOTYPE: An Enabling Technology to Improve Ovarian Cancer Care"/>
    <n v="154829"/>
    <n v="0"/>
    <n v="1"/>
    <x v="1"/>
    <x v="16"/>
    <s v="Ovarian cancer, Enabling technology"/>
    <n v="1"/>
  </r>
  <r>
    <x v="118"/>
    <s v="University Health Network (Toronto)"/>
    <x v="2"/>
    <x v="1"/>
    <s v="201202PP2"/>
    <x v="0"/>
    <s v="Development of an anti-proliferative therapeutic that disrupts CaM-cyclin E interactions in vivo."/>
    <n v="184100"/>
    <n v="10600"/>
    <n v="1"/>
    <x v="8"/>
    <x v="0"/>
    <s v="anti-proliferative, CaM-cyclin E, interactions"/>
    <n v="0"/>
  </r>
  <r>
    <x v="119"/>
    <s v="Unity Health Toronto"/>
    <x v="2"/>
    <x v="2"/>
    <s v="202403PJT"/>
    <x v="1"/>
    <s v="Commercialization of H-scan: a new tool for imaging kidney fibrosis"/>
    <n v="726750"/>
    <n v="0"/>
    <n v="3"/>
    <x v="4"/>
    <x v="20"/>
    <s v="H-scan, imaging, kidney fibrosis"/>
    <n v="1"/>
  </r>
  <r>
    <x v="120"/>
    <s v="University Health Network (Toronto)"/>
    <x v="2"/>
    <x v="0"/>
    <s v="201402PPP"/>
    <x v="0"/>
    <s v="Advanced Handheld SPECT System for Intraoperative Guidance"/>
    <n v="159845"/>
    <n v="0"/>
    <n v="1"/>
    <x v="1"/>
    <x v="3"/>
    <s v="Handheld, SPECT, Guidance"/>
    <n v="0"/>
  </r>
  <r>
    <x v="121"/>
    <s v="Sinai Health System (Toronto)"/>
    <x v="2"/>
    <x v="0"/>
    <s v="201009PPP"/>
    <x v="0"/>
    <s v="Novel semen biomarkers to identify sperm production in men with infertility: A non-invasive method to characterize men with azoospermia or no sperm in the semen, into those with and without testicular sperm production"/>
    <n v="152499"/>
    <n v="0"/>
    <n v="1"/>
    <x v="0"/>
    <x v="2"/>
    <s v="semen biomarkers, azoospermia, sperm production"/>
    <n v="1"/>
  </r>
  <r>
    <x v="121"/>
    <s v="Sinai Health System (Toronto)"/>
    <x v="2"/>
    <x v="0"/>
    <s v="201302PPP"/>
    <x v="0"/>
    <s v="Prediction of successful sperm retrieval in patients with non-obstructive azoospermia using a panel of protein biomarkers measured in seminal plasma"/>
    <n v="154660"/>
    <n v="0"/>
    <n v="1"/>
    <x v="0"/>
    <x v="13"/>
    <s v="sperm retrieval, azoospermia, protein biomarkers"/>
    <n v="0"/>
  </r>
  <r>
    <x v="121"/>
    <s v="Sinai Health System (Toronto)"/>
    <x v="2"/>
    <x v="0"/>
    <s v="201509PPP"/>
    <x v="0"/>
    <s v="Prediction of successful sperm retrieval in patients with non-obstructive azoospermia using TEX101 protein measured in seminal plasma by ELISA"/>
    <n v="160000"/>
    <n v="0"/>
    <n v="1"/>
    <x v="0"/>
    <x v="27"/>
    <s v="sperm retrieval, TEX101, azoospermia"/>
    <n v="0"/>
  </r>
  <r>
    <x v="122"/>
    <s v="McGill University"/>
    <x v="3"/>
    <x v="0"/>
    <s v="200910PPP"/>
    <x v="0"/>
    <s v="Minimally Invasive Ready, Highly Expandable Vertebral Body Replacement Device"/>
    <n v="122826"/>
    <n v="0"/>
    <n v="1"/>
    <x v="1"/>
    <x v="8"/>
    <s v="Vertebral, Expandable, Device"/>
    <n v="2"/>
  </r>
  <r>
    <x v="123"/>
    <s v="University of British Columbia"/>
    <x v="1"/>
    <x v="0"/>
    <s v="201402PPP"/>
    <x v="0"/>
    <s v="Self-Propelling Hemostatic Particles that Treat Severe Bleeding"/>
    <n v="159788"/>
    <n v="0"/>
    <n v="1"/>
    <x v="8"/>
    <x v="3"/>
    <s v="Self-Propelling, Hemostatic, Bleeding"/>
    <n v="1"/>
  </r>
  <r>
    <x v="124"/>
    <s v="University of Manitoba"/>
    <x v="4"/>
    <x v="2"/>
    <s v="201803PJT"/>
    <x v="1"/>
    <s v="Acoustical Device for Obstructive Sleep Apnea Severity Prediction during Wakefulness"/>
    <n v="367200"/>
    <n v="0"/>
    <n v="3"/>
    <x v="8"/>
    <x v="30"/>
    <s v="Acoustical, Sleep Apnea, Prediction"/>
    <n v="0"/>
  </r>
  <r>
    <x v="23"/>
    <s v="University of Toronto"/>
    <x v="2"/>
    <x v="0"/>
    <s v="201109PPP"/>
    <x v="0"/>
    <s v="Preclinical testing of a mitochondrially-targeted anticancer agent"/>
    <n v="160000"/>
    <n v="0"/>
    <n v="1"/>
    <x v="1"/>
    <x v="11"/>
    <s v="mitochondrially-targeted, anticancer, agent"/>
    <n v="1"/>
  </r>
  <r>
    <x v="23"/>
    <s v="University of Toronto"/>
    <x v="2"/>
    <x v="0"/>
    <s v="201402PPP"/>
    <x v="0"/>
    <s v="The xViva CTC capture chip: a device for tumor cell sorting and classification"/>
    <n v="160000"/>
    <n v="0"/>
    <n v="1"/>
    <x v="5"/>
    <x v="3"/>
    <s v="CTC, capture, sorting"/>
    <n v="3"/>
  </r>
  <r>
    <x v="125"/>
    <s v="Hospital for Sick Children (Toronto)"/>
    <x v="2"/>
    <x v="0"/>
    <s v="201502PPP"/>
    <x v="0"/>
    <s v="A novel therapeutic treatment for Zellweger Spectrum Disorder"/>
    <n v="160000"/>
    <n v="0"/>
    <n v="1"/>
    <x v="0"/>
    <x v="1"/>
    <s v="Zellweger, Spectrum, Disorder"/>
    <n v="0"/>
  </r>
  <r>
    <x v="126"/>
    <s v="University of British Columbia"/>
    <x v="1"/>
    <x v="0"/>
    <s v="201202PPP"/>
    <x v="0"/>
    <s v="Novel Polymer Based Glucose-sparing Peritoneal Dialysis Solutions for End-stage Renal Disease"/>
    <n v="160000"/>
    <n v="0"/>
    <n v="1"/>
    <x v="4"/>
    <x v="0"/>
    <s v="Polymer, Glucose-sparing, Dialysis"/>
    <n v="2"/>
  </r>
  <r>
    <x v="126"/>
    <s v="University of British Columbia"/>
    <x v="1"/>
    <x v="1"/>
    <s v="201402PP2"/>
    <x v="0"/>
    <s v="Preclinical Development of a Glucose-Free Peritoneal Dialysis Solution"/>
    <n v="289799"/>
    <n v="5000"/>
    <n v="1"/>
    <x v="4"/>
    <x v="3"/>
    <s v="Glucose-Free, Peritoneal Dialysis, Solution"/>
    <n v="7"/>
  </r>
  <r>
    <x v="126"/>
    <s v="University of British Columbia"/>
    <x v="1"/>
    <x v="2"/>
    <s v="202010PJT"/>
    <x v="1"/>
    <s v="Novel Infection Resistant Coating in an Era of Drug Resistant Bacteria for the Treatment and Prevention of Medical Device Infection"/>
    <n v="520199"/>
    <n v="0"/>
    <n v="3"/>
    <x v="7"/>
    <x v="28"/>
    <s v="Infection, Coating, Bacteria"/>
    <n v="2"/>
  </r>
  <r>
    <x v="126"/>
    <s v="University of British Columbia"/>
    <x v="1"/>
    <x v="2"/>
    <s v="202209PJT"/>
    <x v="1"/>
    <s v="Localized immuno-cloaking organ engineering approach to prevent transplant rejection without immunosuppressants"/>
    <n v="803250"/>
    <n v="0"/>
    <n v="3"/>
    <x v="7"/>
    <x v="9"/>
    <s v="immuno-cloaking, organ engineering, transplant rejection"/>
    <n v="4"/>
  </r>
  <r>
    <x v="127"/>
    <s v="University of Toronto"/>
    <x v="2"/>
    <x v="0"/>
    <s v="201409PPP"/>
    <x v="0"/>
    <s v="Peptide therapeutics for preventing retinal ganglion cell apoptosis"/>
    <n v="149949"/>
    <n v="0"/>
    <n v="1"/>
    <x v="6"/>
    <x v="22"/>
    <s v="peptide, retinal ganglion cell, apoptosis"/>
    <n v="1"/>
  </r>
  <r>
    <x v="128"/>
    <s v="CIUSSS Est-de-l'Ile-de- Montreal-Maisonneuve Rosemont"/>
    <x v="3"/>
    <x v="0"/>
    <s v="201003PPP"/>
    <x v="0"/>
    <s v="Novel methods and compounds for increasing red blood cell survival"/>
    <n v="160000"/>
    <n v="0"/>
    <n v="1"/>
    <x v="8"/>
    <x v="7"/>
    <s v="red blood cell, survival, compounds"/>
    <n v="0"/>
  </r>
  <r>
    <x v="129"/>
    <s v="McGill University"/>
    <x v="3"/>
    <x v="0"/>
    <s v="201109PPP"/>
    <x v="0"/>
    <s v="Protective Effects of Potato Polyphenol-Rich Extracts Against Lung Damage Caused by Air Pollutants"/>
    <n v="150525"/>
    <n v="0"/>
    <n v="1"/>
    <x v="8"/>
    <x v="11"/>
    <s v="potato polyphenols, lung damage, air pollutants"/>
    <n v="1"/>
  </r>
  <r>
    <x v="130"/>
    <s v="University of Alberta"/>
    <x v="5"/>
    <x v="0"/>
    <s v="201209PPP"/>
    <x v="0"/>
    <s v="Development of new class of antiviral drugs for influenza A virus infections"/>
    <n v="156590"/>
    <n v="0"/>
    <n v="1"/>
    <x v="7"/>
    <x v="16"/>
    <s v="antiviral, influenza, virus"/>
    <n v="0"/>
  </r>
  <r>
    <x v="130"/>
    <s v="University of Alberta"/>
    <x v="5"/>
    <x v="0"/>
    <s v="201309PPP"/>
    <x v="0"/>
    <s v="Development of novel chemotherapeutics for tuberculosis"/>
    <n v="159850"/>
    <n v="0"/>
    <n v="1"/>
    <x v="7"/>
    <x v="14"/>
    <s v="chemotherapeutics, tuberculosis"/>
    <n v="3"/>
  </r>
  <r>
    <x v="131"/>
    <s v="Holland Bloorview Kids Rehabilitation Hospital (Toronto)"/>
    <x v="2"/>
    <x v="2"/>
    <s v="202003PJT"/>
    <x v="1"/>
    <s v="A wearable technology approach to managing challenging behaviours in children with autism spectrum disorder (ASD)"/>
    <n v="485774"/>
    <n v="0"/>
    <n v="3"/>
    <x v="0"/>
    <x v="24"/>
    <s v="wearable, autism, behaviors"/>
    <n v="0"/>
  </r>
  <r>
    <x v="132"/>
    <s v="University of British Columbia"/>
    <x v="1"/>
    <x v="0"/>
    <s v="201003PPP"/>
    <x v="0"/>
    <s v="CTAP III for detection of early lung cancer and monitoring treatment outcome"/>
    <n v="160000"/>
    <n v="0"/>
    <n v="1"/>
    <x v="1"/>
    <x v="7"/>
    <s v="CTAP, lung cancer, detection"/>
    <n v="0"/>
  </r>
  <r>
    <x v="7"/>
    <s v="University of British Columbia"/>
    <x v="1"/>
    <x v="7"/>
    <s v="202109OGB"/>
    <x v="1"/>
    <s v="Lipid Nanoparticle-Mediated Delivery of CRISPR/Cas9 Gene Editing for Neurological Disorders."/>
    <n v="100000"/>
    <n v="0"/>
    <n v="1"/>
    <x v="5"/>
    <x v="29"/>
    <s v="Lipid Nanoparticle, CRISPR, Gene Editing"/>
    <n v="0"/>
  </r>
  <r>
    <x v="133"/>
    <s v="Universite de Montreal"/>
    <x v="3"/>
    <x v="0"/>
    <s v="201202PPP"/>
    <x v="0"/>
    <s v="The ARiBo technology for isolation of ribonucleoprotein complexes"/>
    <n v="145412"/>
    <n v="13349"/>
    <n v="1"/>
    <x v="5"/>
    <x v="0"/>
    <s v="ARiBo, ribonucleoprotein, complexes"/>
    <n v="0"/>
  </r>
  <r>
    <x v="134"/>
    <s v="McMaster University"/>
    <x v="2"/>
    <x v="2"/>
    <s v="202309PJT"/>
    <x v="1"/>
    <s v="Commercialization of a diagnostic test for endometriosis"/>
    <n v="634949"/>
    <n v="0"/>
    <n v="3"/>
    <x v="10"/>
    <x v="19"/>
    <s v="diagnostic test, endometriosis"/>
    <n v="1"/>
  </r>
  <r>
    <x v="135"/>
    <s v="ecole de technologie superieure (Montreal)"/>
    <x v="3"/>
    <x v="0"/>
    <s v="201003PPP"/>
    <x v="0"/>
    <s v="A new therapeutic agent for the treatment and prevention of endoleaks after endovascular aneurysm repair"/>
    <n v="155000"/>
    <n v="0"/>
    <n v="1"/>
    <x v="8"/>
    <x v="7"/>
    <s v="therapeutic agent, endoleaks, aneurysm repair"/>
    <n v="3"/>
  </r>
  <r>
    <x v="135"/>
    <s v="ecole de technologie superieure (Montreal)"/>
    <x v="3"/>
    <x v="0"/>
    <s v="201509PPP"/>
    <x v="0"/>
    <s v="Injectable thermosensitive hydrogel as delivery vehicle of lymphocytes for cancer immunotherapy"/>
    <n v="141000"/>
    <n v="0"/>
    <n v="1"/>
    <x v="1"/>
    <x v="27"/>
    <s v="injectable, hydrogel, lymphocytes"/>
    <n v="0"/>
  </r>
  <r>
    <x v="136"/>
    <s v="Ontario Institute for Cancer Research (Toronto, Ontario)"/>
    <x v="2"/>
    <x v="0"/>
    <s v="201202PPP"/>
    <x v="0"/>
    <s v="Benchmark Cellax, a proprietary nanoparticle formulation for docetaxel, against Taxotere to treat metastatic castration resistant prostate cancer"/>
    <n v="160000"/>
    <n v="0"/>
    <n v="1"/>
    <x v="1"/>
    <x v="0"/>
    <s v="nanoparticle, docetaxel, prostate cancer"/>
    <n v="2"/>
  </r>
  <r>
    <x v="136"/>
    <s v="Ontario Institute for Cancer Research (Toronto, Ontario)"/>
    <x v="2"/>
    <x v="0"/>
    <s v="201302PPP"/>
    <x v="0"/>
    <s v="Heat-triggered Chemotherapy to Treat Refractory Breast Cancer at the Chest Wall"/>
    <n v="160000"/>
    <n v="0"/>
    <n v="1"/>
    <x v="1"/>
    <x v="13"/>
    <s v="Heat, Chemotherapy, Breast Cancer"/>
    <n v="1"/>
  </r>
  <r>
    <x v="136"/>
    <s v="University of British Columbia"/>
    <x v="1"/>
    <x v="2"/>
    <s v="201909PJT"/>
    <x v="1"/>
    <s v="Validation and commercialization of an innovative analgesic for chronic pain"/>
    <n v="524026"/>
    <n v="0"/>
    <n v="3"/>
    <x v="6"/>
    <x v="23"/>
    <s v="analgesic, chronic pain"/>
    <n v="1"/>
  </r>
  <r>
    <x v="137"/>
    <s v="Universite Laval"/>
    <x v="3"/>
    <x v="4"/>
    <s v="202309PLL"/>
    <x v="1"/>
    <s v="Pre-clinical pharmacokinetic and efficacy assays with an efficient 17beta-hydroxysteroid dehydrogenase type 7 inhibitor for breast cancer therapy"/>
    <n v="100000"/>
    <n v="0"/>
    <n v="1"/>
    <x v="1"/>
    <x v="26"/>
    <s v="pharmacokinetic, 17beta-hydroxysteroid dehydrogenase, breast cancer"/>
    <n v="0"/>
  </r>
  <r>
    <x v="138"/>
    <s v="Centre for Addiction and Mental Health (Toronto)"/>
    <x v="2"/>
    <x v="0"/>
    <s v="200910PPP"/>
    <x v="0"/>
    <s v="Therapeutics targeting receptor-receptor interactions for Addiction"/>
    <n v="150000"/>
    <n v="0"/>
    <n v="1"/>
    <x v="6"/>
    <x v="8"/>
    <s v="receptor, interactions, addiction"/>
    <n v="8"/>
  </r>
  <r>
    <x v="138"/>
    <s v="Centre for Addiction and Mental Health (Toronto)"/>
    <x v="2"/>
    <x v="0"/>
    <s v="201109PPP"/>
    <x v="0"/>
    <s v="Development of peptide therapeutics via nasal delivery for major depression disorder"/>
    <n v="150000"/>
    <n v="0"/>
    <n v="1"/>
    <x v="6"/>
    <x v="11"/>
    <s v="peptide, nasal delivery, depression"/>
    <n v="2"/>
  </r>
  <r>
    <x v="138"/>
    <s v="Centre for Addiction and Mental Health (Toronto)"/>
    <x v="2"/>
    <x v="1"/>
    <s v="201509PP2"/>
    <x v="0"/>
    <s v="Development and commercialisation of a novel treatment for multiple sclerosis"/>
    <n v="299101"/>
    <n v="0"/>
    <n v="1"/>
    <x v="6"/>
    <x v="27"/>
    <s v="multiple sclerosis, treatment"/>
    <n v="4"/>
  </r>
  <r>
    <x v="139"/>
    <s v="University Health Network (Toronto)"/>
    <x v="2"/>
    <x v="0"/>
    <s v="200910PPP"/>
    <x v="0"/>
    <s v="Targeting UROD As A Novel Anti-Cancer Therapeutic Strategy"/>
    <n v="150000"/>
    <n v="0"/>
    <n v="1"/>
    <x v="1"/>
    <x v="8"/>
    <s v="UROD, Anti-Cancer, Therapeutic"/>
    <n v="1"/>
  </r>
  <r>
    <x v="140"/>
    <s v="University of Manitoba"/>
    <x v="4"/>
    <x v="0"/>
    <s v="201409PPP"/>
    <x v="0"/>
    <s v="The effects of a novel hydrogel coating on commercial antimicrobial dressings."/>
    <n v="157633"/>
    <n v="0"/>
    <n v="1"/>
    <x v="2"/>
    <x v="22"/>
    <s v="hydrogel, antimicrobial, dressings"/>
    <n v="3"/>
  </r>
  <r>
    <x v="141"/>
    <s v="Universite de Montreal"/>
    <x v="3"/>
    <x v="2"/>
    <s v="202209PJT"/>
    <x v="1"/>
    <s v="Treating Age-Related Macular Degeneration by Mitigating Inflammation, Oxidative Stress, and Lipid Accumulation through CD36 Modulation"/>
    <n v="833851"/>
    <n v="0"/>
    <n v="3"/>
    <x v="6"/>
    <x v="9"/>
    <s v="Age-Related Macular Degeneration, Inflammation, CD36"/>
    <n v="0"/>
  </r>
  <r>
    <x v="141"/>
    <s v="Universite de Montreal"/>
    <x v="3"/>
    <x v="2"/>
    <s v="202303PJT"/>
    <x v="1"/>
    <s v="Interleukin-1 Receptor Modulating Therapy for Treating Macular Degeneration"/>
    <n v="516376"/>
    <n v="0"/>
    <n v="3"/>
    <x v="6"/>
    <x v="18"/>
    <s v="Interleukin-1, Receptor, Macular Degeneration"/>
    <n v="0"/>
  </r>
  <r>
    <x v="142"/>
    <s v="University of British Columbia"/>
    <x v="1"/>
    <x v="0"/>
    <s v="201502PPP"/>
    <x v="0"/>
    <s v="Pre-commercial Development of Microfluidic Technology for Deformability based Separation of Circulating Tumor Cells"/>
    <n v="160000"/>
    <n v="0"/>
    <n v="1"/>
    <x v="1"/>
    <x v="1"/>
    <s v="microfluidic, deformability, tumor cells"/>
    <n v="0"/>
  </r>
  <r>
    <x v="142"/>
    <s v="University of British Columbia"/>
    <x v="1"/>
    <x v="2"/>
    <s v="201909PJT"/>
    <x v="1"/>
    <s v="Non-contact screening technology to expedite cell line development for antibody production"/>
    <n v="524026"/>
    <n v="0"/>
    <n v="3"/>
    <x v="1"/>
    <x v="23"/>
    <s v="non-contact, screening, antibody"/>
    <n v="0"/>
  </r>
  <r>
    <x v="143"/>
    <s v="University of British Columbia"/>
    <x v="1"/>
    <x v="8"/>
    <s v="200904PCA"/>
    <x v="0"/>
    <s v="A platform enabling personalized medicine through the detection of cells with specific genetic characterization"/>
    <n v="149825"/>
    <n v="0"/>
    <n v="1"/>
    <x v="1"/>
    <x v="5"/>
    <s v="personalized medicine, genetic characterization, cell detection"/>
    <n v="0"/>
  </r>
  <r>
    <x v="143"/>
    <s v="University of British Columbia"/>
    <x v="1"/>
    <x v="0"/>
    <s v="201502PPP"/>
    <x v="0"/>
    <s v="Optically-Guided Biopsy for Improved Diagnosis of Peripheral Pulmonary Nodules"/>
    <n v="146470"/>
    <n v="0"/>
    <n v="1"/>
    <x v="1"/>
    <x v="1"/>
    <s v="Optically-Guided, Biopsy, Pulmonary"/>
    <n v="1"/>
  </r>
  <r>
    <x v="144"/>
    <s v="McMaster University"/>
    <x v="2"/>
    <x v="0"/>
    <s v="201402PPP"/>
    <x v="0"/>
    <s v="Evaluation of a Novel Chlamydia Vaccine Based on Type III Secretion Proteins"/>
    <n v="159000"/>
    <n v="0"/>
    <n v="1"/>
    <x v="7"/>
    <x v="3"/>
    <s v="Chlamydia, Vaccine, Secretion Proteins"/>
    <n v="1"/>
  </r>
  <r>
    <x v="145"/>
    <s v="Hospital for Sick Children (Toronto)"/>
    <x v="2"/>
    <x v="0"/>
    <s v="201109PPP"/>
    <x v="0"/>
    <s v="Treating Parkinson's Disease with Drugs that Increase Lysosomal B-Glucocerebrosidase Activity"/>
    <n v="157606"/>
    <n v="0"/>
    <n v="1"/>
    <x v="6"/>
    <x v="11"/>
    <s v="Parkinson's, Lysosomal, B-Glucocerebrosidase"/>
    <n v="2"/>
  </r>
  <r>
    <x v="146"/>
    <s v="Universite de Sherbrooke"/>
    <x v="3"/>
    <x v="0"/>
    <s v="201209PPP"/>
    <x v="0"/>
    <s v="Riboswitch ligand inhibitors for MRSA and staphylococci / Ligands de riboregulateurs agissant comme antibiotiques contre le SARM et les staphylocoques"/>
    <n v="157350"/>
    <n v="0"/>
    <n v="1"/>
    <x v="7"/>
    <x v="16"/>
    <s v="riboswitch, ligands, antibiotics"/>
    <n v="0"/>
  </r>
  <r>
    <x v="147"/>
    <s v="Western University (Ontario)"/>
    <x v="2"/>
    <x v="1"/>
    <s v="200904PP2"/>
    <x v="0"/>
    <s v="Swallowing Air-Pulse Therapy (SWAPT): Design Specification, Testing, Regulatory Approval, and Pre-launch Market Analysis"/>
    <n v="250000"/>
    <n v="0"/>
    <n v="1"/>
    <x v="3"/>
    <x v="5"/>
    <s v="Air-Pulse, Swallowing, Therapy"/>
    <n v="7"/>
  </r>
  <r>
    <x v="148"/>
    <s v="Research Institute of the McGill University Health Centre"/>
    <x v="3"/>
    <x v="0"/>
    <s v="201009PPP"/>
    <x v="0"/>
    <s v="POROUS COMPRESSION SCREW for FRACTURE FIXATION"/>
    <n v="155375"/>
    <n v="0"/>
    <n v="1"/>
    <x v="2"/>
    <x v="2"/>
    <s v="porous, compression, screw"/>
    <n v="2"/>
  </r>
  <r>
    <x v="149"/>
    <s v="University of British Columbia"/>
    <x v="1"/>
    <x v="0"/>
    <s v="201509PPP"/>
    <x v="0"/>
    <s v="PROMISE: A Proactive Molecular-Based Classification Tool to Improve Endometrial Cancer Management"/>
    <n v="160000"/>
    <n v="0"/>
    <n v="1"/>
    <x v="1"/>
    <x v="27"/>
    <s v="Molecular, Classification, Endometrial Cancer"/>
    <n v="1"/>
  </r>
  <r>
    <x v="150"/>
    <s v="University of British Columbia"/>
    <x v="1"/>
    <x v="0"/>
    <s v="201003PPP"/>
    <x v="0"/>
    <s v="CD34 as a therapeutic target for allergic asthma"/>
    <n v="160000"/>
    <n v="0"/>
    <n v="1"/>
    <x v="7"/>
    <x v="7"/>
    <s v="CD34, allergic asthma, therapeutic"/>
    <n v="0"/>
  </r>
  <r>
    <x v="151"/>
    <s v="University of British Columbia"/>
    <x v="1"/>
    <x v="1"/>
    <s v="201302PP2"/>
    <x v="0"/>
    <s v="Minimally Invasive Curved Intramedullary Fixation (MICIF) for pelvic bone fractures"/>
    <n v="300000"/>
    <n v="0"/>
    <n v="1"/>
    <x v="11"/>
    <x v="13"/>
    <s v="Intramedullary, Fixation, Pelvic"/>
    <n v="4"/>
  </r>
  <r>
    <x v="152"/>
    <s v="Universite de Montreal"/>
    <x v="3"/>
    <x v="0"/>
    <s v="201009PPP"/>
    <x v="0"/>
    <s v="Targeting the degradation of the cyclin-dependent kinase inhibitor p21 as a novel approach to cancer therapy"/>
    <n v="160000"/>
    <n v="0"/>
    <n v="1"/>
    <x v="1"/>
    <x v="2"/>
    <s v="cyclin-dependent kinase, p21, cancer"/>
    <n v="1"/>
  </r>
  <r>
    <x v="153"/>
    <s v="Centre hospitalier de l'Universite de Montreal (CHUM)"/>
    <x v="3"/>
    <x v="0"/>
    <s v="201003PPP"/>
    <x v="0"/>
    <s v="Development and validation of a multiplex blood-based assay for the early detection of ovarian cancer."/>
    <n v="160000"/>
    <n v="0"/>
    <n v="1"/>
    <x v="1"/>
    <x v="7"/>
    <s v="multiplex, blood-based, ovarian cancer"/>
    <n v="0"/>
  </r>
  <r>
    <x v="154"/>
    <s v="University of British Columbia"/>
    <x v="1"/>
    <x v="2"/>
    <s v="201903PJT"/>
    <x v="1"/>
    <s v="Hypoxia-activated DNA repair inhibitors to improve cancer therapy"/>
    <n v="573750"/>
    <n v="0"/>
    <n v="3"/>
    <x v="1"/>
    <x v="17"/>
    <s v="hypoxia, DNA repair, inhibitors"/>
    <n v="2"/>
  </r>
  <r>
    <x v="154"/>
    <s v="University of British Columbia"/>
    <x v="1"/>
    <x v="2"/>
    <s v="202309PJT"/>
    <x v="1"/>
    <s v="Development of clinical candidate hypoxia-activated DNA-PK inhibitors"/>
    <n v="979200"/>
    <n v="0"/>
    <n v="4"/>
    <x v="1"/>
    <x v="19"/>
    <s v="hypoxia, DNA-PK, inhibitors"/>
    <n v="0"/>
  </r>
  <r>
    <x v="155"/>
    <s v="McMaster University"/>
    <x v="2"/>
    <x v="0"/>
    <s v="201102PPP"/>
    <x v="0"/>
    <s v="A novel dopamine D2 receptor allosteric modulator: Development and commercialization of a safer more effective generation of antipsychotic drugs"/>
    <n v="146850"/>
    <n v="0"/>
    <n v="1"/>
    <x v="6"/>
    <x v="4"/>
    <s v="dopamine D2 receptor, allosteric modulator, antipsychotic"/>
    <n v="2"/>
  </r>
  <r>
    <x v="156"/>
    <s v="Centre hospitalier universitaire Sainte-Justine (Montreal, Quebec)"/>
    <x v="3"/>
    <x v="1"/>
    <s v="200904PP2"/>
    <x v="0"/>
    <s v="Methods of Diagnosing Idiopathic Scoliosis and related Spinal Disorders"/>
    <n v="250000"/>
    <n v="0"/>
    <n v="1"/>
    <x v="2"/>
    <x v="5"/>
    <s v="Diagnosing, Scoliosis, Spinal Disorders"/>
    <n v="10"/>
  </r>
  <r>
    <x v="156"/>
    <s v="Centre hospitalier universitaire Sainte-Justine (Montreal, Quebec)"/>
    <x v="3"/>
    <x v="0"/>
    <s v="201009PPP"/>
    <x v="0"/>
    <s v="Methods of Diagnosing Primary Osteoarthritis"/>
    <n v="160000"/>
    <n v="0"/>
    <n v="1"/>
    <x v="2"/>
    <x v="2"/>
    <s v="diagnosing, osteoarthritis, primary"/>
    <n v="3"/>
  </r>
  <r>
    <x v="156"/>
    <s v="Centre hospitalier universitaire Sainte-Justine (Montreal, Quebec)"/>
    <x v="3"/>
    <x v="0"/>
    <s v="201409PPP"/>
    <x v="0"/>
    <s v="Preclinical Validation of a Disease-Modifying Osteoarthritis Drug"/>
    <n v="160000"/>
    <n v="0"/>
    <n v="1"/>
    <x v="2"/>
    <x v="22"/>
    <s v="Osteoarthritis, Drug, Validation"/>
    <n v="0"/>
  </r>
  <r>
    <x v="157"/>
    <s v="McMaster University"/>
    <x v="2"/>
    <x v="2"/>
    <s v="202104PJT"/>
    <x v="1"/>
    <s v="Clinical development of oncolytic BHV-1 for cancer therapy"/>
    <n v="504900"/>
    <n v="0"/>
    <n v="3"/>
    <x v="1"/>
    <x v="31"/>
    <s v="oncolytic, BHV-1, cancer"/>
    <n v="0"/>
  </r>
  <r>
    <x v="158"/>
    <s v="Queen's University (Kingston, Ontario)"/>
    <x v="2"/>
    <x v="2"/>
    <s v="202209PJT"/>
    <x v="1"/>
    <s v="Using a Liquid Biopsy to Optimize Metastatic Breast Cancer Treatment"/>
    <n v="891226"/>
    <n v="0"/>
    <n v="3"/>
    <x v="1"/>
    <x v="9"/>
    <s v="Liquid biopsy, metastatic breast cancer"/>
    <n v="1"/>
  </r>
  <r>
    <x v="159"/>
    <s v="University Health Network (Toronto)"/>
    <x v="2"/>
    <x v="0"/>
    <s v="201309PPP"/>
    <x v="0"/>
    <s v="Novel Mapping Methodology for Identifying Arrhythmia Circuit."/>
    <n v="158375"/>
    <n v="0"/>
    <n v="1"/>
    <x v="8"/>
    <x v="14"/>
    <s v="Mapping, Arrhythmia, Circuit"/>
    <n v="9"/>
  </r>
  <r>
    <x v="160"/>
    <s v="McGill University"/>
    <x v="3"/>
    <x v="0"/>
    <s v="201209PPP"/>
    <x v="0"/>
    <s v="Injectable dense collagen-silk fibroin derived polypeptide hydrogels for bone regenerative therapy"/>
    <n v="156393"/>
    <n v="0"/>
    <n v="1"/>
    <x v="2"/>
    <x v="16"/>
    <s v="collagen, fibroin, hydrogels"/>
    <n v="4"/>
  </r>
  <r>
    <x v="161"/>
    <s v="Research Institute of the McGill University Health Centre"/>
    <x v="3"/>
    <x v="0"/>
    <s v="200810PPP"/>
    <x v="0"/>
    <s v="Bridging the Gap Between Mass Spectrometric Profiling and Practical Diagnostic Tests for Commercialization: Case of Chagas Disease"/>
    <n v="150000"/>
    <n v="0"/>
    <n v="1"/>
    <x v="7"/>
    <x v="15"/>
    <s v="Mass spectrometry, diagnostics, Chagas disease"/>
    <n v="1"/>
  </r>
  <r>
    <x v="162"/>
    <s v="McGill University"/>
    <x v="3"/>
    <x v="0"/>
    <s v="201009PPP"/>
    <x v="0"/>
    <s v="Validation of the CUX1 Expression Signature as an RT-PCR-Based Prognostic Tool"/>
    <n v="159950"/>
    <n v="0"/>
    <n v="1"/>
    <x v="1"/>
    <x v="2"/>
    <s v="CUX1, RT-PCR, Prognostic"/>
    <n v="1"/>
  </r>
  <r>
    <x v="163"/>
    <s v="University of Alberta"/>
    <x v="5"/>
    <x v="2"/>
    <s v="202003PJT"/>
    <x v="1"/>
    <s v="Integrated discovery studies and commercialization for a preterm birth diagnostic and a therapeutic"/>
    <n v="558450"/>
    <n v="0"/>
    <n v="3"/>
    <x v="0"/>
    <x v="24"/>
    <s v="preterm birth, diagnostic, therapeutic"/>
    <n v="5"/>
  </r>
  <r>
    <x v="164"/>
    <s v="University of Toronto"/>
    <x v="2"/>
    <x v="0"/>
    <s v="200810PPP"/>
    <x v="0"/>
    <s v="Bioreactor-based large scale production of a Tim-3 pathway inhibitor as a novel immunotherapy against HIV-1 and other chronic viral infections"/>
    <n v="150000"/>
    <n v="0"/>
    <n v="1"/>
    <x v="7"/>
    <x v="15"/>
    <s v="Bioreactor, Tim-3 pathway, immunotherapy"/>
    <n v="0"/>
  </r>
  <r>
    <x v="165"/>
    <s v="Hospital for Sick Children (Toronto)"/>
    <x v="2"/>
    <x v="2"/>
    <s v="202309PJT"/>
    <x v="1"/>
    <s v="Pre-clinical studies of a small-molecule to reverse neurodegenerative disease-causing mutations for its commercialization and application"/>
    <n v="719101"/>
    <n v="0"/>
    <n v="3"/>
    <x v="5"/>
    <x v="19"/>
    <s v="small-molecule, neurodegenerative, mutations"/>
    <n v="0"/>
  </r>
  <r>
    <x v="166"/>
    <s v="McGill University"/>
    <x v="3"/>
    <x v="0"/>
    <s v="201102PPP"/>
    <x v="0"/>
    <s v="Chemotherapeutic Agents for Inhibiting Protein Synthesis"/>
    <n v="160000"/>
    <n v="0"/>
    <n v="1"/>
    <x v="1"/>
    <x v="4"/>
    <s v="Chemotherapeutic, Protein Synthesis, Inhibition"/>
    <n v="1"/>
  </r>
  <r>
    <x v="167"/>
    <s v="McGill University"/>
    <x v="3"/>
    <x v="0"/>
    <s v="201009PPP"/>
    <x v="0"/>
    <s v="Identification of Novel Compounds Inhibiting Brain Cancer Invasion"/>
    <n v="120775"/>
    <n v="0"/>
    <n v="1"/>
    <x v="1"/>
    <x v="2"/>
    <s v="Compounds, Brain Cancer, Invasion"/>
    <n v="2"/>
  </r>
  <r>
    <x v="168"/>
    <s v="Research Institute of the McGill University Health Centre"/>
    <x v="3"/>
    <x v="0"/>
    <s v="200910PPP"/>
    <x v="0"/>
    <s v="Identification of a low molecular weight peptide of CD109 as an anti-scarring agent"/>
    <n v="150000"/>
    <n v="0"/>
    <n v="1"/>
    <x v="2"/>
    <x v="8"/>
    <s v="peptide, CD109, anti-scarring"/>
    <n v="1"/>
  </r>
  <r>
    <x v="169"/>
    <s v="Simon Fraser University (Burnaby, B.C.)"/>
    <x v="1"/>
    <x v="0"/>
    <s v="200810PPP"/>
    <x v="0"/>
    <s v="An Enzyme Inhibitor for Treating Type-2 Diabetes"/>
    <n v="150000"/>
    <n v="0"/>
    <n v="1"/>
    <x v="4"/>
    <x v="15"/>
    <s v="enzyme, inhibitor, diabetes"/>
    <n v="2"/>
  </r>
  <r>
    <x v="170"/>
    <s v="Universite Laval"/>
    <x v="3"/>
    <x v="0"/>
    <s v="200910PPP"/>
    <x v="0"/>
    <s v="L'evaluation du potentiel therapeutique in vivo d'une nouvelle famille d'aminosteroides comme agents anticancereux selectifs"/>
    <n v="149703"/>
    <n v="0"/>
    <n v="1"/>
    <x v="1"/>
    <x v="8"/>
    <s v="aminosteroides, anticancereux, in vivo"/>
    <n v="0"/>
  </r>
  <r>
    <x v="170"/>
    <s v="Universite Laval"/>
    <x v="3"/>
    <x v="0"/>
    <s v="201202PPP"/>
    <x v="0"/>
    <s v="evaluation du potentiel therapeutique in vivo d'un nouvel inhibiteur de la 17beta-HSD3 e bloquer la croissance de tumeurs xenogreffees du cancer de la prostate"/>
    <n v="157880"/>
    <n v="0"/>
    <n v="1"/>
    <x v="1"/>
    <x v="0"/>
    <s v="17beta-HSD3, inhibiteur, prostate"/>
    <n v="1"/>
  </r>
  <r>
    <x v="170"/>
    <s v="Universite Laval"/>
    <x v="3"/>
    <x v="0"/>
    <s v="201309PPP"/>
    <x v="0"/>
    <s v="evaluation du potentiel therapeutique in vivo d'un nouvel inhibiteur de la steroede sulfatase combinant des proprietes osteogenique et antiestrogenique pour le traitement des cancers du sein et de la prostate"/>
    <n v="159756"/>
    <n v="0"/>
    <n v="1"/>
    <x v="1"/>
    <x v="14"/>
    <s v="steroide sulfatase, osteogenique, cancer"/>
    <n v="0"/>
  </r>
  <r>
    <x v="170"/>
    <s v="Universite Laval"/>
    <x v="3"/>
    <x v="0"/>
    <s v="201509PPP"/>
    <x v="0"/>
    <s v="Optimisation du potentiel therapeutique de derives aminosteroedes contre le cancer de l'ovaire"/>
    <n v="157700"/>
    <n v="2300"/>
    <n v="1"/>
    <x v="1"/>
    <x v="27"/>
    <s v="aminosteroids, ovarian cancer, therapeutic potential"/>
    <n v="1"/>
  </r>
  <r>
    <x v="170"/>
    <s v="Universite Laval"/>
    <x v="3"/>
    <x v="2"/>
    <s v="201709PJT"/>
    <x v="1"/>
    <s v="Demonstration de l'efficacite du premier inhibiteur irreversible et selectif de la  17beta-HSD1 pour le traitement des cancers du sein sensibles aux estrogenes"/>
    <n v="279226"/>
    <n v="0"/>
    <n v="2"/>
    <x v="1"/>
    <x v="25"/>
    <s v="17beta-HSD1, inhibitor, breast cancer"/>
    <n v="2"/>
  </r>
  <r>
    <x v="171"/>
    <s v="McGill University"/>
    <x v="3"/>
    <x v="0"/>
    <s v="200904PPP"/>
    <x v="0"/>
    <s v="Development of novel OXE receptor antagonists for asthma"/>
    <n v="146000"/>
    <n v="0"/>
    <n v="1"/>
    <x v="8"/>
    <x v="5"/>
    <s v="OXE receptor, antagonists, asthma"/>
    <n v="0"/>
  </r>
  <r>
    <x v="171"/>
    <s v="McGill University"/>
    <x v="3"/>
    <x v="1"/>
    <s v="201309PP2"/>
    <x v="0"/>
    <s v="Development of novel OXE receptor antagonists for asthma"/>
    <n v="293133"/>
    <n v="0"/>
    <n v="1"/>
    <x v="8"/>
    <x v="5"/>
    <s v="OXE receptor, antagonists, asthma"/>
    <n v="2"/>
  </r>
  <r>
    <x v="172"/>
    <s v="University of Ottawa"/>
    <x v="2"/>
    <x v="0"/>
    <s v="201202PPP"/>
    <x v="0"/>
    <s v="A-CD estrogens as alternatives to Estrogen-based hormone replacement therapy"/>
    <n v="156060"/>
    <n v="0"/>
    <n v="1"/>
    <x v="10"/>
    <x v="0"/>
    <s v="A-CD estrogens, hormone replacement"/>
    <n v="1"/>
  </r>
  <r>
    <x v="173"/>
    <s v="Centre hospitalier de l'Universite de Montreal (CHUM)"/>
    <x v="3"/>
    <x v="0"/>
    <s v="201102PPP"/>
    <x v="0"/>
    <s v="Validation of a glycerolipid/ free fatty acid cycling enzyme as a novel therapeutic target for type-2 diabetes"/>
    <n v="157925"/>
    <n v="0"/>
    <n v="1"/>
    <x v="4"/>
    <x v="4"/>
    <s v="glycerolipid, fatty acid, enzyme"/>
    <n v="4"/>
  </r>
  <r>
    <x v="174"/>
    <s v="University of British Columbia"/>
    <x v="1"/>
    <x v="0"/>
    <s v="201402PPP"/>
    <x v="0"/>
    <s v="Development of Novel Polar MAO B Inhibitors for the Treatment of Epithelial Barrier Diseases"/>
    <n v="160000"/>
    <n v="0"/>
    <n v="1"/>
    <x v="2"/>
    <x v="3"/>
    <s v="MAO B, Inhibitors, Epithelial Barrier"/>
    <n v="1"/>
  </r>
  <r>
    <x v="175"/>
    <s v="Unity Health Toronto"/>
    <x v="2"/>
    <x v="2"/>
    <s v="202109PJT"/>
    <x v="1"/>
    <s v="Artery Alert - Revolutionizing the Diagnosis of Peripheral Arterial Disease"/>
    <n v="428400"/>
    <n v="0"/>
    <n v="4"/>
    <x v="8"/>
    <x v="32"/>
    <s v="artery, diagnosis, peripheral arterial disease"/>
    <n v="0"/>
  </r>
  <r>
    <x v="176"/>
    <s v="Research Institute of the McGill University Health Centre"/>
    <x v="3"/>
    <x v="0"/>
    <s v="200810PPP"/>
    <x v="0"/>
    <s v="Monitoring progression of malignant tumors by detection of blood-borne oncogenic epidermal growth factor receptor circulating as cargo of tumor-derived microvesicles"/>
    <n v="150000"/>
    <n v="0"/>
    <n v="1"/>
    <x v="1"/>
    <x v="15"/>
    <s v="malignant tumors, blood-borne, epidermal growth factor receptor"/>
    <n v="4"/>
  </r>
  <r>
    <x v="177"/>
    <s v="University of British Columbia"/>
    <x v="1"/>
    <x v="1"/>
    <s v="200810PP2"/>
    <x v="0"/>
    <s v="INDEL therapeutics for the treatment of infectious disease."/>
    <n v="250000"/>
    <n v="0"/>
    <n v="1"/>
    <x v="7"/>
    <x v="15"/>
    <s v="INDEL, therapeutics, infectious disease"/>
    <n v="1"/>
  </r>
  <r>
    <x v="178"/>
    <s v="University of British Columbia"/>
    <x v="1"/>
    <x v="8"/>
    <s v="200904PCA"/>
    <x v="0"/>
    <s v="Androgen receptor inhibitors"/>
    <n v="150000"/>
    <n v="0"/>
    <n v="1"/>
    <x v="1"/>
    <x v="5"/>
    <s v="Androgen receptor, inhibitors"/>
    <n v="10"/>
  </r>
  <r>
    <x v="179"/>
    <s v="Fraser Health Authority (Surrey, BC)"/>
    <x v="1"/>
    <x v="0"/>
    <s v="201209PPP"/>
    <x v="0"/>
    <s v="Phase 1 Trial of a novel transvenous phrenic nerve pacer for diaphragm activation in mechanically ventilated critically ill patients."/>
    <n v="158464"/>
    <n v="1536"/>
    <n v="1"/>
    <x v="8"/>
    <x v="16"/>
    <s v="phrenic nerve, pacer, diaphragm"/>
    <n v="0"/>
  </r>
  <r>
    <x v="179"/>
    <s v="Fraser Health Authority (Surrey, BC)"/>
    <x v="1"/>
    <x v="1"/>
    <s v="201409PP2"/>
    <x v="0"/>
    <s v="Development of a novel, temporary, transcutaneously placed, transvenous phrenic nerve pacer for diaphragm activation in critically ill patients"/>
    <n v="268499"/>
    <n v="2000"/>
    <n v="1"/>
    <x v="8"/>
    <x v="22"/>
    <s v="phrenic nerve, transvenous, diaphragm"/>
    <n v="2"/>
  </r>
  <r>
    <x v="180"/>
    <s v="Universite de Sherbrooke"/>
    <x v="3"/>
    <x v="0"/>
    <s v="201109PPP"/>
    <x v="0"/>
    <s v="Matriptase Inhibitors as a Novel Class of Influenza Antivirals"/>
    <n v="143827"/>
    <n v="0"/>
    <n v="1"/>
    <x v="7"/>
    <x v="11"/>
    <s v="Matriptase, Inhibitors, Influenza"/>
    <n v="2"/>
  </r>
  <r>
    <x v="181"/>
    <s v="York University (Toronto, Ontario)"/>
    <x v="2"/>
    <x v="3"/>
    <s v="201102PDD"/>
    <x v="0"/>
    <s v="Pharmaceutical intervention to decrease the threat of hypoglycemia in insulin-treated diabetics"/>
    <n v="160000"/>
    <n v="0"/>
    <n v="1"/>
    <x v="4"/>
    <x v="4"/>
    <s v="pharmaceutical, hypoglycemia, insulin"/>
    <n v="1"/>
  </r>
  <r>
    <x v="182"/>
    <s v="University of British Columbia"/>
    <x v="1"/>
    <x v="0"/>
    <s v="200910PPP"/>
    <x v="0"/>
    <s v="Evaluation of the anticancer activity of a new autophagy-inhibitory drug"/>
    <n v="142989"/>
    <n v="0"/>
    <n v="1"/>
    <x v="1"/>
    <x v="8"/>
    <s v="autophagy, anticancer, inhibitor"/>
    <n v="0"/>
  </r>
  <r>
    <x v="182"/>
    <s v="University of British Columbia"/>
    <x v="1"/>
    <x v="0"/>
    <s v="201309PPP"/>
    <x v="0"/>
    <s v="Preclinical Development of a novel M2 Channel Inhibitor for the Treatment and Prevention of Influenza"/>
    <n v="160000"/>
    <n v="0"/>
    <n v="1"/>
    <x v="7"/>
    <x v="14"/>
    <s v="M2 Channel, Inhibitor, Influenza"/>
    <n v="0"/>
  </r>
  <r>
    <x v="182"/>
    <s v="University of British Columbia"/>
    <x v="1"/>
    <x v="0"/>
    <s v="201509PPP"/>
    <x v="0"/>
    <s v="Preclinical evaluation of a gentamicin analog as a treatment for genetic diseases and cancer due to a premature termination codon."/>
    <n v="150059"/>
    <n v="0"/>
    <n v="1"/>
    <x v="5"/>
    <x v="27"/>
    <s v="gentamicin, genetic diseases, cancer"/>
    <n v="2"/>
  </r>
  <r>
    <x v="183"/>
    <s v="Sinai Health System (Toronto)"/>
    <x v="2"/>
    <x v="0"/>
    <s v="200910PPP"/>
    <x v="0"/>
    <s v="Cell therapy for the treatment of type 1 Diabetes"/>
    <n v="150000"/>
    <n v="0"/>
    <n v="1"/>
    <x v="4"/>
    <x v="8"/>
    <s v="Cell, therapy, Diabetes"/>
    <n v="0"/>
  </r>
  <r>
    <x v="183"/>
    <s v="Sinai Health System (Toronto)"/>
    <x v="2"/>
    <x v="0"/>
    <s v="201009PPP"/>
    <x v="0"/>
    <s v="The Use of Multipotential Stem Cells for the Treatment of Peripheral Vascular Disease"/>
    <n v="160000"/>
    <n v="0"/>
    <n v="1"/>
    <x v="8"/>
    <x v="2"/>
    <s v="Stem cells, Vascular disease, Peripheral"/>
    <n v="1"/>
  </r>
  <r>
    <x v="184"/>
    <s v="McGill University"/>
    <x v="3"/>
    <x v="1"/>
    <s v="201209PP2"/>
    <x v="0"/>
    <s v="A Novel Regenerative Drug Therapy to Restore Natural Insulin Secretion in Diabetes Mellitus"/>
    <n v="122670"/>
    <n v="0"/>
    <n v="1"/>
    <x v="4"/>
    <x v="16"/>
    <s v="Regenerative, Insulin, Diabetes"/>
    <n v="1"/>
  </r>
  <r>
    <x v="185"/>
    <s v="University of Toronto"/>
    <x v="2"/>
    <x v="0"/>
    <s v="201209PPP"/>
    <x v="0"/>
    <s v="Development and Testing of Small Molecule Allosteric Modulators for the Treatment of Pain."/>
    <n v="157999"/>
    <n v="0"/>
    <n v="1"/>
    <x v="6"/>
    <x v="16"/>
    <s v="Small Molecule, Allosteric Modulators, Pain"/>
    <n v="0"/>
  </r>
  <r>
    <x v="185"/>
    <s v="University of Toronto"/>
    <x v="2"/>
    <x v="1"/>
    <s v="201409PP2"/>
    <x v="0"/>
    <s v="Development and Commercialisation of Allosteric Modulators for the Treatment of Pain"/>
    <n v="189920"/>
    <n v="0"/>
    <n v="1"/>
    <x v="2"/>
    <x v="22"/>
    <s v="Allosteric, Modulators, Pain"/>
    <n v="1"/>
  </r>
  <r>
    <x v="185"/>
    <s v="University of Toronto"/>
    <x v="2"/>
    <x v="0"/>
    <s v="201509PPP"/>
    <x v="0"/>
    <s v="Development and therapeutic validation of GPR55 modulators for the treatment of osteoclast-mediated disorders"/>
    <n v="155600"/>
    <n v="0"/>
    <n v="1"/>
    <x v="2"/>
    <x v="27"/>
    <s v="GPR55, modulators, osteoclast"/>
    <n v="1"/>
  </r>
  <r>
    <x v="5"/>
    <s v="University of British Columbia"/>
    <x v="1"/>
    <x v="0"/>
    <s v="200910PPP"/>
    <x v="0"/>
    <s v="Preclinical evaluation of sintokamides as agents for treatment of advanced prostate cancer"/>
    <n v="150000"/>
    <n v="0"/>
    <n v="1"/>
    <x v="1"/>
    <x v="8"/>
    <s v="sintokamides, prostate cancer, preclinical"/>
    <n v="0"/>
  </r>
  <r>
    <x v="186"/>
    <s v="University of British Columbia"/>
    <x v="1"/>
    <x v="0"/>
    <s v="201209PPP"/>
    <x v="0"/>
    <s v="Real-time Ultrasound Quantitative Elastography of the Prostate"/>
    <n v="143074"/>
    <n v="10850"/>
    <n v="1"/>
    <x v="1"/>
    <x v="16"/>
    <s v="Ultrasound, Elastography, Prostate"/>
    <n v="5"/>
  </r>
  <r>
    <x v="187"/>
    <s v="Universite de Sherbrooke"/>
    <x v="3"/>
    <x v="0"/>
    <s v="201202PPP"/>
    <x v="0"/>
    <s v="Developpement de composes antineoplasiques radiosensibilisants achemines par nano transporteur liposomal."/>
    <n v="159149"/>
    <n v="0"/>
    <n v="1"/>
    <x v="1"/>
    <x v="0"/>
    <s v="antineoplasiques, radiosensibilisants, liposomal"/>
    <n v="0"/>
  </r>
  <r>
    <x v="188"/>
    <s v="University of Calgary"/>
    <x v="5"/>
    <x v="0"/>
    <s v="200810PPP"/>
    <x v="0"/>
    <s v="Evaluation of Nanoparticles for the Treatment of Autoimmune Conditions"/>
    <n v="150000"/>
    <n v="0"/>
    <n v="1"/>
    <x v="7"/>
    <x v="15"/>
    <s v="Nanoparticles, Autoimmune"/>
    <n v="3"/>
  </r>
  <r>
    <x v="16"/>
    <s v="CIUSSS de Centre-Ouest-de-l'Ile-de-Montreal-Jewish General"/>
    <x v="3"/>
    <x v="1"/>
    <s v="200910PP2"/>
    <x v="0"/>
    <s v="Neuroprotection Rescue Strategies for Retinal Degeneration Diseases"/>
    <n v="250000"/>
    <n v="0"/>
    <n v="1"/>
    <x v="3"/>
    <x v="8"/>
    <s v="Neuroprotection, Retinal, Degeneration"/>
    <n v="3"/>
  </r>
  <r>
    <x v="16"/>
    <s v="CIUSSS de Centre-Ouest-de-l'Ile-de-Montreal-Jewish General"/>
    <x v="3"/>
    <x v="1"/>
    <s v="201509PP2"/>
    <x v="0"/>
    <s v="Therapy for motor neuron degeneration diseases targeting the opposing ligand-dependent signals of two TrkC receptor isoforms"/>
    <n v="300000"/>
    <n v="0"/>
    <n v="1"/>
    <x v="6"/>
    <x v="27"/>
    <s v="motor neuron, TrkC, receptor"/>
    <n v="5"/>
  </r>
  <r>
    <x v="16"/>
    <s v="CIUSSS de Centre-Ouest-de-l'Ile-de-Montreal-Jewish General"/>
    <x v="3"/>
    <x v="9"/>
    <s v="202010PXX"/>
    <x v="1"/>
    <s v="Innovation of Proprietary Liquid Biopsy Assays for Diagnosis of Early Stage Ovarian Cancer"/>
    <n v="100000"/>
    <n v="0"/>
    <n v="1"/>
    <x v="1"/>
    <x v="31"/>
    <s v="Liquid biopsy, ovarian cancer, diagnosis"/>
    <n v="0"/>
  </r>
  <r>
    <x v="16"/>
    <s v="CIUSSS de Centre-Ouest-de-l'Ile-de-Montreal-Jewish General"/>
    <x v="3"/>
    <x v="2"/>
    <s v="202104PJT"/>
    <x v="1"/>
    <s v="Innovation of Proprietary Liquid Biopsy Assays for Diagnosis of Early Stage Ovarian Cancer"/>
    <n v="650251"/>
    <n v="0"/>
    <n v="2"/>
    <x v="1"/>
    <x v="31"/>
    <s v="Liquid biopsy, ovarian cancer, diagnosis"/>
    <n v="5"/>
  </r>
  <r>
    <x v="189"/>
    <s v="Simon Fraser University (Burnaby, B.C.)"/>
    <x v="1"/>
    <x v="2"/>
    <s v="201809PJT"/>
    <x v="1"/>
    <s v="Sensorless Adaptive Optics Optical Coherence Tomography for Clinical Ophthalmology"/>
    <n v="493425"/>
    <n v="0"/>
    <n v="3"/>
    <x v="3"/>
    <x v="10"/>
    <s v="Adaptive optics, Optical coherence tomography, Ophthalmology"/>
    <n v="3"/>
  </r>
  <r>
    <x v="190"/>
    <s v="University of Alberta"/>
    <x v="5"/>
    <x v="3"/>
    <s v="200904PDD"/>
    <x v="0"/>
    <s v="Novel Inhibitors of Viral Infectivity"/>
    <n v="150000"/>
    <n v="0"/>
    <n v="1"/>
    <x v="7"/>
    <x v="5"/>
    <s v="Viral, Inhibitors, Infectivity"/>
    <n v="0"/>
  </r>
  <r>
    <x v="191"/>
    <s v="University Health Network (Toronto)"/>
    <x v="2"/>
    <x v="0"/>
    <s v="201009PPP"/>
    <x v="0"/>
    <s v="Repositioning tigecycline for the treatment of leukemia"/>
    <n v="156750"/>
    <n v="0"/>
    <n v="1"/>
    <x v="1"/>
    <x v="2"/>
    <s v="tigecycline, leukemia, repositioning"/>
    <n v="1"/>
  </r>
  <r>
    <x v="192"/>
    <s v="University of British Columbia"/>
    <x v="1"/>
    <x v="0"/>
    <s v="201009PPP"/>
    <x v="0"/>
    <s v="Preclinical evaluation of a truly human monoclonal antibody for the therapy of infections with a broad spectrum of influenza viruses"/>
    <n v="160000"/>
    <n v="0"/>
    <n v="1"/>
    <x v="7"/>
    <x v="2"/>
    <s v="monoclonal antibody, influenza viruses, infections"/>
    <n v="2"/>
  </r>
  <r>
    <x v="15"/>
    <s v="University of Manitoba"/>
    <x v="4"/>
    <x v="10"/>
    <s v="201909PJ4"/>
    <x v="1"/>
    <s v="Rescuing beta-lactam antibiotic/beta-lactamase inhibitor combinations from resistance against multidrug-resistant Gram-negative pathogens"/>
    <n v="100000"/>
    <n v="0"/>
    <n v="1"/>
    <x v="7"/>
    <x v="33"/>
    <s v="beta-lactam, beta-lactamase, antibiotic"/>
    <n v="0"/>
  </r>
  <r>
    <x v="15"/>
    <s v="University of Manitoba"/>
    <x v="4"/>
    <x v="2"/>
    <s v="202003PJT"/>
    <x v="1"/>
    <s v="Rescuing beta-lactam antibiotic/beta-lactamase inhibitor combinations from resistance against multidrug-resistant Gram-negative pathogens"/>
    <n v="654075"/>
    <n v="0"/>
    <n v="4"/>
    <x v="7"/>
    <x v="33"/>
    <s v="beta-lactam, beta-lactamase, antibiotic"/>
    <n v="3"/>
  </r>
  <r>
    <x v="193"/>
    <s v="Institut de recherches cliniques de Montreal"/>
    <x v="3"/>
    <x v="1"/>
    <s v="201209PP2"/>
    <x v="0"/>
    <s v="Validation of PCSK9 single domain antibodies in cholesterol regulation in humanized mice"/>
    <n v="186128"/>
    <n v="0"/>
    <n v="1"/>
    <x v="4"/>
    <x v="16"/>
    <s v="PCSK9, antibodies, cholesterol"/>
    <n v="2"/>
  </r>
  <r>
    <x v="194"/>
    <s v="University of Alberta"/>
    <x v="5"/>
    <x v="0"/>
    <s v="201509PPP"/>
    <x v="0"/>
    <s v="Preclinical Development of Novel Biomaterials for the Creation of a Deviceless Pre-Vascularized Site for Islet and Cellular Transplantation"/>
    <n v="157126"/>
    <n v="0"/>
    <n v="1"/>
    <x v="4"/>
    <x v="27"/>
    <s v="Biomaterials, Prevascularized site, Transplantation"/>
    <n v="0"/>
  </r>
  <r>
    <x v="195"/>
    <s v="McMaster University"/>
    <x v="2"/>
    <x v="2"/>
    <s v="202109PJT"/>
    <x v="1"/>
    <s v="A novel eye drop platform to improve ocular therapies"/>
    <n v="531674"/>
    <n v="0"/>
    <n v="3"/>
    <x v="3"/>
    <x v="32"/>
    <s v="eye drop, ocular, therapies"/>
    <n v="0"/>
  </r>
  <r>
    <x v="196"/>
    <s v="Research Institute of the McGill University Health Centre"/>
    <x v="3"/>
    <x v="0"/>
    <s v="201502PPP"/>
    <x v="0"/>
    <s v="Recombinant hydrolases as anti-biofilm therapies for Aspergillus infections"/>
    <n v="151459"/>
    <n v="0"/>
    <n v="1"/>
    <x v="7"/>
    <x v="1"/>
    <s v="recombinant hydrolases, anti-biofilm, Aspergillus"/>
    <n v="1"/>
  </r>
  <r>
    <x v="197"/>
    <s v="University Health Network (Toronto)"/>
    <x v="2"/>
    <x v="0"/>
    <s v="201209PPP"/>
    <x v="0"/>
    <s v="Treatment Planning and Guidance Software Platform for Minimally Invasive Ablation Therapies"/>
    <n v="145925"/>
    <n v="10000"/>
    <n v="1"/>
    <x v="1"/>
    <x v="16"/>
    <s v="Ablation, Guidance, Software"/>
    <n v="1"/>
  </r>
  <r>
    <x v="198"/>
    <s v="Hospital for Sick Children (Toronto)"/>
    <x v="2"/>
    <x v="2"/>
    <s v="202303PJT"/>
    <x v="1"/>
    <s v="Development of an RNA-based test for diagnosing and monitoring bone and soft tissue cancers"/>
    <n v="240976"/>
    <n v="0"/>
    <n v="1"/>
    <x v="1"/>
    <x v="18"/>
    <s v="RNA, diagnosis, cancers"/>
    <n v="1"/>
  </r>
  <r>
    <x v="199"/>
    <s v="University of Toronto"/>
    <x v="2"/>
    <x v="0"/>
    <s v="201003PPP"/>
    <x v="0"/>
    <s v="Commercial Development of Bioengineered Therapeutic Strategy for Spinal Cord Injury"/>
    <n v="159996"/>
    <n v="0"/>
    <n v="1"/>
    <x v="6"/>
    <x v="7"/>
    <s v="Bioengineered, Therapeutic, Spinal Cord Injury"/>
    <n v="2"/>
  </r>
  <r>
    <x v="200"/>
    <s v="Centre for Addiction and Mental Health (Toronto)"/>
    <x v="2"/>
    <x v="2"/>
    <s v="201803PJT"/>
    <x v="1"/>
    <s v="Novel therapeutic targeting for cognitive deficits in depression and aging"/>
    <n v="550800"/>
    <n v="0"/>
    <n v="3"/>
    <x v="6"/>
    <x v="30"/>
    <s v="therapeutic, cognitive deficits, depression"/>
    <n v="4"/>
  </r>
  <r>
    <x v="201"/>
    <s v="University of Toronto"/>
    <x v="2"/>
    <x v="0"/>
    <s v="201502PPP"/>
    <x v="0"/>
    <s v="Highly specific therapeutic-grade anti-FGFR1 antibodies with anti-proliferative effects"/>
    <n v="160000"/>
    <n v="0"/>
    <n v="1"/>
    <x v="1"/>
    <x v="1"/>
    <s v="anti-FGFR1, antibodies, anti-proliferative"/>
    <n v="0"/>
  </r>
  <r>
    <x v="202"/>
    <s v="University of Toronto"/>
    <x v="2"/>
    <x v="0"/>
    <s v="201409PPP"/>
    <x v="0"/>
    <s v="High Quality Sperm Selection for Assisted Reproductive Technology"/>
    <n v="159904"/>
    <n v="0"/>
    <n v="1"/>
    <x v="0"/>
    <x v="22"/>
    <s v="Sperm, Selection, Reproductive"/>
    <n v="4"/>
  </r>
  <r>
    <x v="203"/>
    <s v="University of Alberta"/>
    <x v="5"/>
    <x v="3"/>
    <s v="201102PDD"/>
    <x v="0"/>
    <s v="Development of ganglioside-based therapies for Huntington's disease"/>
    <n v="159196"/>
    <n v="0"/>
    <n v="1"/>
    <x v="6"/>
    <x v="4"/>
    <s v="ganglioside, Huntington's disease, therapies"/>
    <n v="1"/>
  </r>
  <r>
    <x v="204"/>
    <s v="McGill University"/>
    <x v="3"/>
    <x v="0"/>
    <s v="201202PPP"/>
    <x v="0"/>
    <s v="NLRP7-based diagnosis of female reproduction wastage"/>
    <n v="160000"/>
    <n v="0"/>
    <n v="1"/>
    <x v="5"/>
    <x v="0"/>
    <s v="NLRP7, diagnosis, female reproduction"/>
    <n v="0"/>
  </r>
  <r>
    <x v="205"/>
    <s v="University of British Columbia"/>
    <x v="1"/>
    <x v="0"/>
    <s v="201509PPP"/>
    <x v="0"/>
    <s v="Identification of SLC26A11 blockers to prevent neuronal swelling and cell death"/>
    <n v="160000"/>
    <n v="0"/>
    <n v="1"/>
    <x v="6"/>
    <x v="27"/>
    <s v="SLC26A11, blockers, neuronal swelling"/>
    <n v="0"/>
  </r>
  <r>
    <x v="206"/>
    <s v="McGill University"/>
    <x v="3"/>
    <x v="0"/>
    <s v="200810PPP"/>
    <x v="0"/>
    <s v="Identification of novel compounds inhibiting viral infections"/>
    <n v="150000"/>
    <n v="0"/>
    <n v="1"/>
    <x v="7"/>
    <x v="15"/>
    <s v="compounds, inhibiting, viral infections"/>
    <n v="0"/>
  </r>
  <r>
    <x v="207"/>
    <s v="INRS - (Quebec, QC)"/>
    <x v="3"/>
    <x v="2"/>
    <s v="201809PJT"/>
    <x v="1"/>
    <s v="GAL-7-specific nanobodies for treatment of triple-negative breast cancer"/>
    <n v="371024"/>
    <n v="0"/>
    <n v="3"/>
    <x v="1"/>
    <x v="10"/>
    <s v="GAL-7, nanobodies, breast cancer"/>
    <n v="3"/>
  </r>
  <r>
    <x v="208"/>
    <s v="University of Toronto"/>
    <x v="2"/>
    <x v="0"/>
    <s v="201209PPP"/>
    <x v="0"/>
    <s v="Development of the Mammalian Membrane Two-Hybrid (MaMTH) technology, a novel protein interaction and drug discovery tool"/>
    <n v="160000"/>
    <n v="0"/>
    <n v="1"/>
    <x v="1"/>
    <x v="16"/>
    <s v="Membrane, Two-Hybrid, Protein interaction"/>
    <n v="3"/>
  </r>
  <r>
    <x v="209"/>
    <s v="University of Calgary"/>
    <x v="5"/>
    <x v="2"/>
    <s v="201709PJT"/>
    <x v="1"/>
    <s v="The SmartForceps System: An intelligent and innovative tool technology for recording surgical performance and skill"/>
    <n v="520200"/>
    <n v="0"/>
    <n v="3"/>
    <x v="11"/>
    <x v="25"/>
    <s v="SmartForceps, surgical, recording"/>
    <n v="2"/>
  </r>
  <r>
    <x v="209"/>
    <s v="University of Calgary"/>
    <x v="5"/>
    <x v="2"/>
    <s v="202303PJT"/>
    <x v="1"/>
    <s v="An Intelligent Workstation for Robot-Assisted Microsurgery &amp; Tele-Operations"/>
    <n v="780300"/>
    <n v="0"/>
    <n v="3"/>
    <x v="11"/>
    <x v="18"/>
    <s v="Robot-assisted, Microsurgery, Tele-operations"/>
    <n v="0"/>
  </r>
  <r>
    <x v="210"/>
    <s v="McGill University"/>
    <x v="3"/>
    <x v="0"/>
    <s v="201402PPP"/>
    <x v="0"/>
    <s v="A Novel Injectable Chitosan Sponge Containing BMP-7 as a Therapeutic Intervention for Accelerated Bone Formation in a Critical Size Defect Rat Model"/>
    <n v="160000"/>
    <n v="0"/>
    <n v="1"/>
    <x v="2"/>
    <x v="3"/>
    <s v="Chitosan, BMP-7, Bone Formation"/>
    <n v="1"/>
  </r>
  <r>
    <x v="211"/>
    <s v="McGill University"/>
    <x v="3"/>
    <x v="0"/>
    <s v="201209PPP"/>
    <x v="0"/>
    <s v="Biocompatible inorganic nanogel system for medical applications"/>
    <n v="150160"/>
    <n v="0"/>
    <n v="1"/>
    <x v="2"/>
    <x v="16"/>
    <s v="Biocompatible, nanogel, inorganic"/>
    <n v="0"/>
  </r>
  <r>
    <x v="212"/>
    <s v="Toronto Metropolitan University"/>
    <x v="2"/>
    <x v="2"/>
    <s v="202403PJT"/>
    <x v="1"/>
    <s v="Design Revisions and Validations of a Catheter Steering and Navigation System For Peripheral Endovascular Revascularization"/>
    <n v="501076"/>
    <n v="0"/>
    <n v="3"/>
    <x v="8"/>
    <x v="20"/>
    <s v="Catheter, Steering, Revascularization"/>
    <n v="0"/>
  </r>
  <r>
    <x v="213"/>
    <s v="Toronto Metropolitan University"/>
    <x v="2"/>
    <x v="2"/>
    <s v="201803PJT"/>
    <x v="1"/>
    <s v="Development of a Proprietary, Glass-Based Adhesive for Sternal Fixation and Stabilisation."/>
    <n v="602438"/>
    <n v="0"/>
    <n v="3"/>
    <x v="2"/>
    <x v="30"/>
    <s v="Glass, Adhesive, Sternal"/>
    <n v="0"/>
  </r>
  <r>
    <x v="214"/>
    <s v="Universite Laval"/>
    <x v="3"/>
    <x v="0"/>
    <s v="201209PPP"/>
    <x v="0"/>
    <s v="Development of a treatment for Friedreich ataxia based on the administration of TALE proteins targeting the frataxin promoter."/>
    <n v="160000"/>
    <n v="0"/>
    <n v="1"/>
    <x v="5"/>
    <x v="16"/>
    <s v="Friedreich ataxia, TALE proteins, frataxin"/>
    <n v="3"/>
  </r>
  <r>
    <x v="214"/>
    <s v="Universite Laval"/>
    <x v="3"/>
    <x v="0"/>
    <s v="201502PPP"/>
    <x v="0"/>
    <s v="Alzheimer treatment based on the editing of the Amyloid Precursor Protein gene"/>
    <n v="159931"/>
    <n v="0"/>
    <n v="1"/>
    <x v="3"/>
    <x v="1"/>
    <s v="Alzheimer, gene editing, Amyloid Precursor Protein"/>
    <n v="1"/>
  </r>
  <r>
    <x v="215"/>
    <s v="CIUSSS de Centre-Ouest-de-l'Ile-de-Montreal-Jewish General"/>
    <x v="3"/>
    <x v="0"/>
    <s v="201409PPP"/>
    <x v="0"/>
    <s v="Targeting novel BioNanofluids for prostate cancer therapy"/>
    <n v="148240"/>
    <n v="11000"/>
    <n v="1"/>
    <x v="1"/>
    <x v="22"/>
    <s v="BioNanofluids, prostate cancer, targeting"/>
    <n v="0"/>
  </r>
  <r>
    <x v="216"/>
    <s v="University Health Network (Toronto)"/>
    <x v="2"/>
    <x v="0"/>
    <s v="201409PPP"/>
    <x v="0"/>
    <s v="Development of a monoclonal antibody for integrin alpha-11 to treat lung cancer"/>
    <n v="160000"/>
    <n v="0"/>
    <n v="1"/>
    <x v="1"/>
    <x v="22"/>
    <s v="monoclonal antibody, integrin alpha-11, lung cancer"/>
    <n v="0"/>
  </r>
  <r>
    <x v="217"/>
    <s v="University of British Columbia"/>
    <x v="1"/>
    <x v="3"/>
    <s v="200904PDD"/>
    <x v="0"/>
    <s v="Development of a TLR5 antagonist as a novel anti-inflammatory therapy for cystic fibrosis"/>
    <n v="150000"/>
    <n v="0"/>
    <n v="1"/>
    <x v="7"/>
    <x v="5"/>
    <s v="TLR5, antagonist, cystic fibrosis"/>
    <n v="0"/>
  </r>
  <r>
    <x v="218"/>
    <s v="University of Alberta"/>
    <x v="5"/>
    <x v="2"/>
    <s v="202210PJT"/>
    <x v="1"/>
    <s v="New Treatment of Blood Cancers with Improved Delivery of Nucleic Acids"/>
    <n v="100000"/>
    <n v="0"/>
    <n v="1"/>
    <x v="1"/>
    <x v="9"/>
    <s v="Blood cancers, Nucleic acids, Delivery"/>
    <n v="0"/>
  </r>
  <r>
    <x v="219"/>
    <s v="University of British Columbia"/>
    <x v="1"/>
    <x v="0"/>
    <s v="201009PPP"/>
    <x v="0"/>
    <s v="Novel Applications of Potassium Channel Blockers in Arthritis"/>
    <n v="146400"/>
    <n v="0"/>
    <n v="1"/>
    <x v="2"/>
    <x v="2"/>
    <s v="Potassium Channel, Blockers, Arthritis"/>
    <n v="0"/>
  </r>
  <r>
    <x v="220"/>
    <s v="Simon Fraser University (Burnaby, B.C.)"/>
    <x v="1"/>
    <x v="2"/>
    <s v="202210PJT"/>
    <x v="1"/>
    <s v="Commercialization of RNA Mango fluorogenic aptamers: RNA Pulldown and Imaging Tools for Therapeutic and Diagnostic pipelines"/>
    <n v="100000"/>
    <n v="0"/>
    <n v="1"/>
    <x v="7"/>
    <x v="9"/>
    <s v="RNA, Fluorogenic, Imaging"/>
    <n v="0"/>
  </r>
  <r>
    <x v="221"/>
    <s v="Queen's University (Kingston, Ontario)"/>
    <x v="2"/>
    <x v="2"/>
    <s v="202303PJT"/>
    <x v="1"/>
    <s v="Developing a potent non-addictive analgesic as an alternative to conventional opioids"/>
    <n v="665550"/>
    <n v="0"/>
    <n v="3"/>
    <x v="6"/>
    <x v="18"/>
    <s v="analgesic, opioids, non-addictive"/>
    <n v="0"/>
  </r>
  <r>
    <x v="222"/>
    <s v="Unity Health Toronto"/>
    <x v="2"/>
    <x v="0"/>
    <s v="200904PPP"/>
    <x v="0"/>
    <s v="Evaluation of BRCA1 as a Novel Therapeutic Strategy for Endothelial Dysfunction and Atherosclerosis"/>
    <n v="149998"/>
    <n v="0"/>
    <n v="1"/>
    <x v="8"/>
    <x v="5"/>
    <s v="BRCA1, Endothelial Dysfunction, Atherosclerosis"/>
    <n v="1"/>
  </r>
  <r>
    <x v="223"/>
    <s v="Queen's University (Kingston, Ontario)"/>
    <x v="2"/>
    <x v="0"/>
    <s v="200910PPP"/>
    <x v="0"/>
    <s v="Tissue engineered cartilage suitable for the repair of clinically-relevant sized defects"/>
    <n v="148139"/>
    <n v="0"/>
    <n v="1"/>
    <x v="2"/>
    <x v="8"/>
    <s v="tissue engineering, cartilage, repair"/>
    <n v="1"/>
  </r>
  <r>
    <x v="224"/>
    <s v="University of Toronto"/>
    <x v="2"/>
    <x v="2"/>
    <s v="202403PJT"/>
    <x v="1"/>
    <s v="Development of preclinical data for a phase one clinical trial of a micro-RNA-based formulation to treat early sepsis"/>
    <n v="508725"/>
    <n v="0"/>
    <n v="2"/>
    <x v="8"/>
    <x v="20"/>
    <s v="micro-RNA, sepsis, formulation"/>
    <n v="1"/>
  </r>
  <r>
    <x v="225"/>
    <s v="Universite de Sherbrooke"/>
    <x v="3"/>
    <x v="0"/>
    <s v="201202PPP"/>
    <x v="0"/>
    <s v="Total liquid ventilation improves respiratory and neurological outcomes in newborn lambs with severe respiratory failure"/>
    <n v="159252"/>
    <n v="0"/>
    <n v="1"/>
    <x v="8"/>
    <x v="0"/>
    <s v="liquid ventilation, respiratory failure, neurological outcomes"/>
    <n v="0"/>
  </r>
  <r>
    <x v="226"/>
    <s v="University of British Columbia"/>
    <x v="1"/>
    <x v="2"/>
    <s v="202109PJT"/>
    <x v="1"/>
    <s v="Optimization and Validation of MCT4-targeting Small Molecule Inhibitors for Treatment of Advanced Cancers"/>
    <n v="1147500"/>
    <n v="0"/>
    <n v="5"/>
    <x v="1"/>
    <x v="32"/>
    <s v="MCT4, small molecule, inhibitors"/>
    <n v="0"/>
  </r>
  <r>
    <x v="227"/>
    <s v="IWK Health Centre (Halifax)"/>
    <x v="0"/>
    <x v="0"/>
    <s v="200910PPP"/>
    <x v="0"/>
    <s v="Contact Optical Microscopy"/>
    <n v="148684"/>
    <n v="0"/>
    <n v="1"/>
    <x v="6"/>
    <x v="8"/>
    <s v="Contact, Optical, Microscopy"/>
    <n v="2"/>
  </r>
  <r>
    <x v="227"/>
    <s v="IWK Health Centre (Halifax)"/>
    <x v="0"/>
    <x v="0"/>
    <s v="200910PPP"/>
    <x v="0"/>
    <s v="Pharmacokinetic Optimization of a New Drug for Alzheimer's Disease"/>
    <n v="150000"/>
    <n v="0"/>
    <n v="1"/>
    <x v="6"/>
    <x v="8"/>
    <s v="Pharmacokinetic, Drug, Alzheimer's"/>
    <n v="3"/>
  </r>
  <r>
    <x v="227"/>
    <s v="University Health Network (Toronto)"/>
    <x v="2"/>
    <x v="2"/>
    <s v="201709PJT"/>
    <x v="1"/>
    <s v="Design and Development of Brain Permeant Indoleamine-2,3-Dioxygenase Inhibitors"/>
    <n v="765000"/>
    <n v="0"/>
    <n v="4"/>
    <x v="6"/>
    <x v="25"/>
    <s v="brain, indoleamine-2,3-dioxygenase, inhibitors"/>
    <n v="1"/>
  </r>
  <r>
    <x v="228"/>
    <s v="University of Victoria (British Columbia)"/>
    <x v="1"/>
    <x v="0"/>
    <s v="201003PPP"/>
    <x v="0"/>
    <s v="Pre-clinical development of Pentarix: a therapeutic vaccine for HPV-associated cancers"/>
    <n v="160000"/>
    <n v="0"/>
    <n v="1"/>
    <x v="1"/>
    <x v="7"/>
    <s v="Pentarix, vaccine, HPV"/>
    <n v="1"/>
  </r>
  <r>
    <x v="229"/>
    <s v="University of Alberta"/>
    <x v="5"/>
    <x v="0"/>
    <s v="200910PPP"/>
    <x v="0"/>
    <s v="Small molecule inhibitor of polynucleotide kinase/phosphatase and uses thereof in cancer treatment."/>
    <n v="150000"/>
    <n v="0"/>
    <n v="1"/>
    <x v="1"/>
    <x v="8"/>
    <s v="small molecule, polynucleotide kinase, cancer"/>
    <n v="3"/>
  </r>
  <r>
    <x v="230"/>
    <s v="Hospital for Sick Children (Toronto)"/>
    <x v="2"/>
    <x v="0"/>
    <s v="201502PPP"/>
    <x v="0"/>
    <s v="Implementation and Commercialization of a Novel DNA Methylation-Based Diagnostic Tool"/>
    <n v="160000"/>
    <n v="0"/>
    <n v="1"/>
    <x v="0"/>
    <x v="1"/>
    <s v="DNA methylation, diagnostic, tool"/>
    <n v="2"/>
  </r>
  <r>
    <x v="231"/>
    <s v="Sunnybrook Health Sciences Centre (Toronto, Ontario)"/>
    <x v="2"/>
    <x v="0"/>
    <s v="201509PPP"/>
    <x v="0"/>
    <s v="&quot;Bone Tape&quot;: Optimization of a novel method for reconstructing the craniomaxillofacial skeleton"/>
    <n v="160000"/>
    <n v="0"/>
    <n v="1"/>
    <x v="2"/>
    <x v="27"/>
    <s v="bone, craniomaxillofacial, reconstruction"/>
    <n v="2"/>
  </r>
  <r>
    <x v="232"/>
    <s v="University of Victoria (British Columbia)"/>
    <x v="1"/>
    <x v="2"/>
    <s v="202104PJT"/>
    <x v="1"/>
    <s v="3D bioprinting next generation brain organoids for identifying drug targets for Alzheimer's disease"/>
    <n v="489600"/>
    <n v="0"/>
    <n v="4"/>
    <x v="6"/>
    <x v="31"/>
    <s v="bioprinting, brain organoids, Alzheimer's"/>
    <n v="0"/>
  </r>
  <r>
    <x v="233"/>
    <s v="Nova Scotia Health Authority (Halifax)"/>
    <x v="0"/>
    <x v="1"/>
    <s v="201309PP2"/>
    <x v="0"/>
    <s v="The Production of Decellularized Human Skin to Treat Chronic Diabetic Ulcers"/>
    <n v="145760"/>
    <n v="0"/>
    <n v="1"/>
    <x v="2"/>
    <x v="14"/>
    <s v="Decellularized, Human Skin, Diabetic Ulcers"/>
    <n v="0"/>
  </r>
  <r>
    <x v="234"/>
    <s v="University Health Network (Toronto)"/>
    <x v="2"/>
    <x v="0"/>
    <s v="201509PPP"/>
    <x v="0"/>
    <s v="Development of a test for the early diagnosis and monitoring of lupus nephritis"/>
    <n v="160000"/>
    <n v="0"/>
    <n v="1"/>
    <x v="2"/>
    <x v="27"/>
    <s v="lupus, nephritis, diagnosis"/>
    <n v="1"/>
  </r>
  <r>
    <x v="235"/>
    <s v="University of British Columbia"/>
    <x v="1"/>
    <x v="0"/>
    <s v="200910PPP"/>
    <x v="0"/>
    <s v="Novel mechanism-based inhibitors of influenza neuraminidase as potential anti-viral agents"/>
    <n v="150000"/>
    <n v="0"/>
    <n v="1"/>
    <x v="7"/>
    <x v="8"/>
    <s v="neuraminidase, inhibitors, influenza"/>
    <n v="1"/>
  </r>
  <r>
    <x v="235"/>
    <s v="University of British Columbia"/>
    <x v="1"/>
    <x v="1"/>
    <s v="201202PP2"/>
    <x v="0"/>
    <s v="Novel Influenza Neuraminidase Inhibitors - Development of Orally Bioavailable Agents"/>
    <n v="297000"/>
    <n v="0"/>
    <n v="1"/>
    <x v="7"/>
    <x v="0"/>
    <s v="Influenza, Neuraminidase, Inhibitors"/>
    <n v="3"/>
  </r>
  <r>
    <x v="235"/>
    <s v="University of British Columbia"/>
    <x v="1"/>
    <x v="0"/>
    <s v="201409PPP"/>
    <x v="0"/>
    <s v="Extending circulation time of protein therapeutics by capping glycan structures with 7F-Sialic acids"/>
    <n v="159981"/>
    <n v="0"/>
    <n v="1"/>
    <x v="5"/>
    <x v="22"/>
    <s v="protein, glycan, sialic acids"/>
    <n v="5"/>
  </r>
  <r>
    <x v="236"/>
    <s v="CIUSSS de Centre-Ouest-de-l'Ile-de-Montreal-Jewish General"/>
    <x v="3"/>
    <x v="3"/>
    <s v="201003PDD"/>
    <x v="0"/>
    <s v="Novel bifunctional antiandrogens that suppress oncogenic activation of the androgen receptor in castration-resistant prostate cancer"/>
    <n v="159750"/>
    <n v="0"/>
    <n v="1"/>
    <x v="1"/>
    <x v="7"/>
    <s v="antiandrogens, androgen receptor, prostate cancer"/>
    <n v="2"/>
  </r>
  <r>
    <x v="236"/>
    <s v="CIUSSS de Centre-Ouest-de-l'Ile-de-Montreal-Jewish General"/>
    <x v="3"/>
    <x v="0"/>
    <s v="201502PPP"/>
    <x v="0"/>
    <s v="Development of novel pan-inhibitors of the androgen receptor variants as effective therapeutics for castration-resistant prostate cancer"/>
    <n v="160000"/>
    <n v="0"/>
    <n v="1"/>
    <x v="1"/>
    <x v="1"/>
    <s v="androgen receptor, pan-inhibitors, prostate cancer"/>
    <n v="2"/>
  </r>
  <r>
    <x v="237"/>
    <s v="University of Toronto"/>
    <x v="2"/>
    <x v="0"/>
    <s v="201309PPP"/>
    <x v="0"/>
    <s v="Preclinical evaluation of multifunctional polymer nanoparticles for targeted brain cancer therapy"/>
    <n v="160000"/>
    <n v="0"/>
    <n v="1"/>
    <x v="1"/>
    <x v="14"/>
    <s v="polymer nanoparticles, brain cancer, targeted"/>
    <n v="2"/>
  </r>
  <r>
    <x v="237"/>
    <s v="University of Toronto"/>
    <x v="2"/>
    <x v="2"/>
    <s v="201809PJT"/>
    <x v="1"/>
    <s v="Development of a Smart Tumor-Activated Nanodiagnostic System for Sensitive Detection of Solid Tumors and Metastases"/>
    <n v="470475"/>
    <n v="0"/>
    <n v="3"/>
    <x v="1"/>
    <x v="10"/>
    <s v="Nanodiagnostic, Tumor-Activated, Detection"/>
    <n v="0"/>
  </r>
  <r>
    <x v="9"/>
    <s v="Toronto Metropolitan University"/>
    <x v="2"/>
    <x v="0"/>
    <s v="201302PPP"/>
    <x v="0"/>
    <s v="Integrated Surgical Lighting and Navigation System"/>
    <n v="156230"/>
    <n v="2200"/>
    <n v="1"/>
    <x v="2"/>
    <x v="13"/>
    <s v="Surgical lighting, Navigation system"/>
    <n v="21"/>
  </r>
  <r>
    <x v="238"/>
    <s v="University of Alberta"/>
    <x v="5"/>
    <x v="1"/>
    <s v="201309PP2"/>
    <x v="0"/>
    <s v="A field-deployable malaria and fever diagnostic system"/>
    <n v="143250"/>
    <n v="0"/>
    <n v="1"/>
    <x v="7"/>
    <x v="14"/>
    <s v="malaria, diagnostic, fever"/>
    <n v="0"/>
  </r>
  <r>
    <x v="238"/>
    <s v="University of Alberta"/>
    <x v="5"/>
    <x v="0"/>
    <s v="201409PPP"/>
    <x v="0"/>
    <s v="Long-term preservation of a whole parasite malaria vaccine for storage and delivery in the tropics"/>
    <n v="160000"/>
    <n v="0"/>
    <n v="1"/>
    <x v="7"/>
    <x v="22"/>
    <s v="parasite, malaria, vaccine"/>
    <n v="0"/>
  </r>
  <r>
    <x v="239"/>
    <s v="University of Alberta"/>
    <x v="5"/>
    <x v="2"/>
    <s v="202203PJT"/>
    <x v="1"/>
    <s v="Commercializing a novel platform for delivery of antisense oligonucleotide-mediated therapy"/>
    <n v="1009800"/>
    <n v="0"/>
    <n v="5"/>
    <x v="5"/>
    <x v="6"/>
    <s v="antisense, oligonucleotide, delivery"/>
    <n v="3"/>
  </r>
  <r>
    <x v="240"/>
    <s v="Simon Fraser University (Burnaby, B.C.)"/>
    <x v="1"/>
    <x v="0"/>
    <s v="201409PPP"/>
    <x v="0"/>
    <s v="Development of a novel conjugate drug for local delivery in bone grafts: Efficacy study on vascularization and osteogenesis after local delivery in a dental implant jaw model"/>
    <n v="157500"/>
    <n v="0"/>
    <n v="1"/>
    <x v="2"/>
    <x v="22"/>
    <s v="conjugate drug, bone grafts, osteogenesis"/>
    <n v="6"/>
  </r>
  <r>
    <x v="241"/>
    <s v="Unity Health Toronto"/>
    <x v="2"/>
    <x v="2"/>
    <s v="201809PJT"/>
    <x v="1"/>
    <s v="Development of the first pre-operative serum exosomal miRNA test to guide treatment decision in prostate cancer"/>
    <n v="573752"/>
    <n v="0"/>
    <n v="4"/>
    <x v="1"/>
    <x v="10"/>
    <s v="exosomal, miRNA, prostate cancer"/>
    <n v="1"/>
  </r>
  <r>
    <x v="242"/>
    <s v="University of Toronto"/>
    <x v="2"/>
    <x v="0"/>
    <s v="201102PPP"/>
    <x v="0"/>
    <s v="Arrays of constrained histone tail mimetics for the development of epigenetic anticancer drugs"/>
    <n v="85712"/>
    <n v="74288"/>
    <n v="1"/>
    <x v="1"/>
    <x v="4"/>
    <s v="histone, mimetics, epigenetic"/>
    <n v="0"/>
  </r>
  <r>
    <x v="243"/>
    <s v="University of Alberta"/>
    <x v="5"/>
    <x v="2"/>
    <s v="202303PJT"/>
    <x v="1"/>
    <s v="Vegaven, a novel lipid emulsion with unique superior biological actions designed for parenteral nutrition"/>
    <n v="818550"/>
    <n v="0"/>
    <n v="3"/>
    <x v="4"/>
    <x v="18"/>
    <s v="lipid emulsion, parenteral nutrition, biological actions"/>
    <n v="0"/>
  </r>
  <r>
    <x v="244"/>
    <s v="University of British Columbia"/>
    <x v="1"/>
    <x v="1"/>
    <s v="201009PP2"/>
    <x v="0"/>
    <s v="Development of a laser Raman spectroscopy system for melanoma detection"/>
    <n v="244071"/>
    <n v="48211"/>
    <n v="1"/>
    <x v="1"/>
    <x v="2"/>
    <s v="laser, Raman spectroscopy, melanoma"/>
    <n v="8"/>
  </r>
  <r>
    <x v="244"/>
    <s v="University of British Columbia"/>
    <x v="1"/>
    <x v="2"/>
    <s v="201709PJT"/>
    <x v="1"/>
    <s v="Real-time Endoscopic Raman Spectroscopy for Improving Dysplasia/Colorectal Cancer Detection in Patients with Inflammatory Bowel Diseases"/>
    <n v="508724"/>
    <n v="0"/>
    <n v="4"/>
    <x v="1"/>
    <x v="25"/>
    <s v="Raman Spectroscopy, Endoscopic, Colorectal Cancer"/>
    <n v="1"/>
  </r>
  <r>
    <x v="244"/>
    <s v="University of British Columbia"/>
    <x v="1"/>
    <x v="2"/>
    <s v="202104PJT"/>
    <x v="1"/>
    <s v="Autofluorescence Imaging Guided Laser Raman Spectroscopy for Non-invasive Oral Cancer Detection"/>
    <n v="742051"/>
    <n v="0"/>
    <n v="4"/>
    <x v="1"/>
    <x v="31"/>
    <s v="Autofluorescence, Raman Spectroscopy, Oral Cancer"/>
    <n v="0"/>
  </r>
  <r>
    <x v="245"/>
    <s v="University Health Network (Toronto)"/>
    <x v="2"/>
    <x v="1"/>
    <s v="201502PP2"/>
    <x v="0"/>
    <s v="A new cellular immunotherapy to treat acute myeloid leukemia"/>
    <n v="183670"/>
    <n v="35500"/>
    <n v="1"/>
    <x v="1"/>
    <x v="1"/>
    <s v="cellular, immunotherapy, leukemia"/>
    <n v="2"/>
  </r>
  <r>
    <x v="245"/>
    <s v="University Health Network (Toronto)"/>
    <x v="2"/>
    <x v="2"/>
    <s v="201903PJT"/>
    <x v="1"/>
    <s v="Developing a platform for &quot;off-the-shelf&quot; CAR-T cell therapies for cancer using double negative T cells"/>
    <n v="703800"/>
    <n v="0"/>
    <n v="4"/>
    <x v="1"/>
    <x v="17"/>
    <s v="CAR-T, T cells, cancer"/>
    <n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6">
  <r>
    <x v="0"/>
    <s v="Dalhousie University (Nova Scotia)"/>
    <s v="Nova Scotia"/>
    <s v="Proof of Principle Program - Phase I"/>
    <s v="201202PPP"/>
    <s v="Proof of Principle"/>
    <s v="Commercialization of a Radiopaque Spherical Embolic Agent."/>
    <n v="159097"/>
    <n v="0"/>
    <n v="1"/>
    <s v="Human Development, Child and Youth Health"/>
    <x v="0"/>
    <s v="Radiopaque, Embolic, Agent"/>
    <n v="3"/>
    <s v="Abk Biomedical Inc"/>
    <n v="1"/>
    <s v="C-suite"/>
  </r>
  <r>
    <x v="1"/>
    <s v="University of British Columbia"/>
    <s v="British Columbia"/>
    <s v="Proof of Principle Program - Phase I"/>
    <s v="201502PPP"/>
    <s v="Proof of Principle"/>
    <s v="Advancing the clinical development of [18F]AMBF3-TATE, a novel imaging probe for neuroendocrine tumours"/>
    <n v="160000"/>
    <n v="0"/>
    <n v="1"/>
    <s v="Cancer Research"/>
    <x v="1"/>
    <s v="[18F], imaging, neuroendocrine"/>
    <n v="8"/>
    <s v="Alpha-9 Oncology Inc."/>
    <n v="1"/>
    <s v="C-suite"/>
  </r>
  <r>
    <x v="2"/>
    <s v="Dalhousie University (Nova Scotia)"/>
    <s v="Nova Scotia"/>
    <s v="Proof of Principle Program - Phase I"/>
    <s v="201009PPP"/>
    <s v="Proof of Principle"/>
    <s v="Decellularization of Human Skin"/>
    <n v="149034"/>
    <n v="10900"/>
    <n v="1"/>
    <s v="Musculoskeletal Health and Arthritis"/>
    <x v="2"/>
    <s v="Decellularization, Human Skin"/>
    <n v="1"/>
    <s v="Decell Technologies Inc."/>
    <n v="1"/>
    <s v="C-suite"/>
  </r>
  <r>
    <x v="3"/>
    <s v="University of Toronto"/>
    <s v="Ontario"/>
    <s v="Proof of Principle Program - Phase I"/>
    <s v="201502PPP"/>
    <s v="Proof of Principle"/>
    <s v="Minimally-Invasive Method of Selectively Activating Posterior Tibial Nerve Afferents for Treating Overactive Bladder"/>
    <n v="155800"/>
    <n v="4000"/>
    <n v="1"/>
    <s v="Aging"/>
    <x v="1"/>
    <s v="Minimally-Invasive, Posterior Tibial Nerve, Overactive Bladder"/>
    <n v="19"/>
    <s v="Ebt Medical Inc."/>
    <n v="1"/>
    <s v="C-suite"/>
  </r>
  <r>
    <x v="4"/>
    <s v="McMaster University"/>
    <s v="Ontario"/>
    <s v="Proof of Principle Program - Phase I"/>
    <s v="201402PPP"/>
    <s v="Proof of Principle"/>
    <s v="Development of a new therapy targeting adipose tissue metabolism for the treatment of obesity"/>
    <n v="160000"/>
    <n v="0"/>
    <n v="1"/>
    <s v="Nutrition, Metabolism and Diabetes"/>
    <x v="3"/>
    <s v="adipose tissue, metabolism, obesity"/>
    <n v="4"/>
    <s v="Espervita Therapeutics Inc."/>
    <n v="1"/>
    <s v="C-suite"/>
  </r>
  <r>
    <x v="5"/>
    <s v="University of British Columbia"/>
    <s v="British Columbia"/>
    <s v="Proof of Principle Program - Phase II"/>
    <s v="201102PP2"/>
    <s v="Proof of Principle"/>
    <s v="Translational Development Program For Analogues of EPI-001 (PNG01-185) Compounds For the Treatment of Advanced Prostate Cancer"/>
    <n v="300000"/>
    <n v="0"/>
    <n v="1"/>
    <s v="Cancer Research"/>
    <x v="4"/>
    <s v="EPI-001, Prostate Cancer, Analogues"/>
    <n v="7"/>
    <s v="Essa Pharma Inc."/>
    <n v="1"/>
    <s v="C-suite"/>
  </r>
  <r>
    <x v="6"/>
    <s v="Universite Laval"/>
    <s v="Quebec"/>
    <s v="Proof of Principle Program - Phase I"/>
    <s v="200904PPP"/>
    <s v="Proof of Principle"/>
    <s v="Development of anti-S100 proteins for the treatment of arthritis"/>
    <n v="142600"/>
    <n v="0"/>
    <n v="1"/>
    <s v="Musculoskeletal Health and Arthritis"/>
    <x v="5"/>
    <s v="S100 proteins, arthritis"/>
    <n v="6"/>
    <s v="Immunorx Pharma Inc."/>
    <n v="1"/>
    <s v="C-suite"/>
  </r>
  <r>
    <x v="7"/>
    <s v="University of British Columbia"/>
    <s v="British Columbia"/>
    <s v="Project Grant"/>
    <s v="202203PJT"/>
    <s v="Commercialization"/>
    <s v="Lipid Nanoparticle-Mediated Delivery of CRISPR/Cas9 Gene Editing for Neurological Disorders."/>
    <n v="761176"/>
    <n v="0"/>
    <n v="5"/>
    <s v="Genetics"/>
    <x v="6"/>
    <s v="Lipid Nanoparticle, CRISPR, Gene Editing"/>
    <n v="3"/>
    <s v="Incisive Genetics, Inc."/>
    <n v="1"/>
    <s v="C-suite"/>
  </r>
  <r>
    <x v="8"/>
    <s v="McGill University"/>
    <s v="Quebec"/>
    <s v="Proof of Principle Program Phase I - Drug Development"/>
    <s v="201003PDD"/>
    <s v="Proof of Principle"/>
    <s v="Discovery and uses of a new class of small molecule inhibitors of tyrosine phosphatases."/>
    <n v="158850"/>
    <n v="0"/>
    <n v="1"/>
    <s v="Cancer Research"/>
    <x v="7"/>
    <s v="small molecule, tyrosine phosphatases, inhibitors"/>
    <n v="4"/>
    <s v="Kanyr Pharma Inc."/>
    <n v="1"/>
    <s v="C-suite"/>
  </r>
  <r>
    <x v="9"/>
    <s v="Toronto Metropolitan University"/>
    <s v="Ontario"/>
    <s v="Proof of Principle Program - Phase I"/>
    <s v="200910PPP"/>
    <s v="Proof of Principle"/>
    <s v="Doppler Optical Coherence Tomography for Intraoperative Imaging During Skull Base Neurosurgical Procedures"/>
    <n v="149984"/>
    <n v="0"/>
    <n v="1"/>
    <s v="Cancer Research"/>
    <x v="8"/>
    <s v="Doppler, Optical Coherence Tomography, Neurosurgical"/>
    <n v="4"/>
    <s v="Laser Depth Dynamics Inc."/>
    <n v="1"/>
    <s v="C-suite"/>
  </r>
  <r>
    <x v="10"/>
    <s v="University Health Network (Toronto)"/>
    <s v="Ontario"/>
    <s v="Proof of Principle Program - Phase I"/>
    <s v="201402PPP"/>
    <s v="Proof of Principle"/>
    <s v="In vivo efficacy studies on KP-218 as a potential MS therapeutic agent"/>
    <n v="160000"/>
    <n v="0"/>
    <n v="1"/>
    <s v="Neurosciences, Mental Health and Addiction"/>
    <x v="3"/>
    <s v="in vivo, MS, therapeutic"/>
    <n v="4"/>
    <s v="Lucid Psycheceuticals Inc."/>
    <n v="1"/>
    <s v="C-suite"/>
  </r>
  <r>
    <x v="11"/>
    <s v="Research Institute of the McGill University Health Centre"/>
    <s v="Quebec"/>
    <s v="Project Grant"/>
    <s v="202209PJT"/>
    <s v="Commercialization"/>
    <s v="Anti-parathyroid hormone-related protein (PTHrP) monoclonal antibodies against metastatic cancer"/>
    <n v="665550"/>
    <n v="0"/>
    <n v="3"/>
    <s v="Cancer Research"/>
    <x v="9"/>
    <s v="parathyroid hormone, monoclonal antibodies, metastatic cancer"/>
    <n v="1"/>
    <s v="Miramab Bioscience Inc."/>
    <n v="1"/>
    <s v="C-suite"/>
  </r>
  <r>
    <x v="12"/>
    <s v="Centre hospitalier universitaire Sainte-Justine (Montreal, Quebec)"/>
    <s v="Quebec"/>
    <s v="Project Grant"/>
    <s v="201809PJT"/>
    <s v="Commercialization"/>
    <s v="Stem cell-derived Encapsulated Liver Tissue to treat liver failure without immunosuppression: technology maturation towards clinical translation"/>
    <n v="497249"/>
    <n v="0"/>
    <n v="3"/>
    <s v="Nutrition, Metabolism and Diabetes"/>
    <x v="10"/>
    <s v="stem cells, encapsulation, liver tissue"/>
    <n v="3"/>
    <s v="Morphocell Technologies Inc."/>
    <n v="1"/>
    <s v="C-suite"/>
  </r>
  <r>
    <x v="13"/>
    <s v="McGill University"/>
    <s v="Quebec"/>
    <s v="Proof of Principle Program - Phase I"/>
    <s v="200910PPP"/>
    <s v="Proof of Principle"/>
    <s v="Clinical validation of an innovative multiplex antibody microarray platform"/>
    <n v="150000"/>
    <n v="0"/>
    <n v="1"/>
    <s v="Cancer Research"/>
    <x v="8"/>
    <s v="antibody, microarray, platform"/>
    <n v="7"/>
    <s v="Nomic Bio Inc. (nplex biosciences inc.)"/>
    <n v="1"/>
    <s v="C-suite"/>
  </r>
  <r>
    <x v="14"/>
    <s v="Queen's University (Kingston, Ontario)"/>
    <s v="Ontario"/>
    <s v="Proof of Principle Program - Phase I"/>
    <s v="201109PPP"/>
    <s v="Proof of Principle"/>
    <s v="Blocking RA Metabolism: A safer approach to retinoid therapy in skin disease"/>
    <n v="135557"/>
    <n v="0"/>
    <n v="1"/>
    <s v="Nutrition, Metabolism and Diabetes"/>
    <x v="11"/>
    <s v="RA, metabolism, skin disease"/>
    <n v="15"/>
    <s v="Opko Health inc."/>
    <n v="1"/>
    <s v="C-suite"/>
  </r>
  <r>
    <x v="15"/>
    <s v="University of Manitoba"/>
    <s v="Manitoba"/>
    <s v="Proof of Principle Program - Phase I"/>
    <s v="201109PPP"/>
    <s v="Proof of Principle"/>
    <s v="Optimization and preclinical studies on amphiphilic aminoglycoside antimicrobials (AAAs)"/>
    <n v="160000"/>
    <n v="0"/>
    <n v="1"/>
    <s v="Infection and Immunity"/>
    <x v="11"/>
    <s v="amphiphilic, aminoglycoside, antimicrobials"/>
    <n v="4"/>
    <s v="Polyamyna Nanotech Inc."/>
    <n v="1"/>
    <s v="C-suite"/>
  </r>
  <r>
    <x v="16"/>
    <s v="CIUSSS de Centre-Ouest-de-l'Ile-de-Montreal-Jewish General"/>
    <s v="Quebec"/>
    <s v="Proof of Principle Program - Phase I"/>
    <s v="201202PPP"/>
    <s v="Proof of Principle"/>
    <s v="Cancer vaccines targeting the ganglioside tumor-marker GD2"/>
    <n v="157600"/>
    <n v="0"/>
    <n v="1"/>
    <s v="Cancer Research"/>
    <x v="0"/>
    <s v="cancer, vaccines, GD2"/>
    <n v="2"/>
    <s v="Realist Pharma Inc."/>
    <n v="1"/>
    <s v="C-suite"/>
  </r>
  <r>
    <x v="17"/>
    <s v="University of British Columbia"/>
    <s v="British Columbia"/>
    <s v="Proof of Principle Program - Phase I"/>
    <s v="201202PPP"/>
    <s v="Proof of Principle"/>
    <s v="A diagnostic test for cutaneous T cell lymphomas"/>
    <n v="151660"/>
    <n v="0"/>
    <n v="1"/>
    <s v="Musculoskeletal Health and Arthritis"/>
    <x v="0"/>
    <s v="diagnostic, T cell lymphomas, cutaneous"/>
    <n v="4"/>
    <s v="Resolvex Pharmaceuticals Inc."/>
    <n v="1"/>
    <s v="C-suite"/>
  </r>
  <r>
    <x v="18"/>
    <s v="University Health Network (Toronto)"/>
    <s v="Ontario"/>
    <s v="Proof of Principle Program - Phase I"/>
    <s v="201102PPP"/>
    <s v="Proof of Principle"/>
    <s v="Development of PRODIGI, a Handheld Optical Imaging Technology for Real-time Intraoperative-guidance of Breast Tumour Resection"/>
    <n v="121250"/>
    <n v="24000"/>
    <n v="1"/>
    <s v="Cancer Research"/>
    <x v="4"/>
    <s v="Optical imaging, Intraoperative guidance, Breast tumor"/>
    <n v="9"/>
    <s v="SBI ALApharma Canada inc.; Moleculight Inc."/>
    <n v="2"/>
    <s v="C-suite"/>
  </r>
  <r>
    <x v="19"/>
    <s v="University of British Columbia"/>
    <s v="British Columbia"/>
    <s v="Proof of Principle Program - Phase II"/>
    <s v="200810PP2"/>
    <s v="Proof of Principle"/>
    <s v="Development of a Novel Oral Amphotericin B Formulation for the Treatment of Systemic Fungal Infections"/>
    <n v="200000"/>
    <n v="0"/>
    <n v="1"/>
    <s v="Infection and Immunity"/>
    <x v="12"/>
    <s v="Amphotericin B, oral formulation, fungal infections"/>
    <n v="5"/>
    <s v="Skymount Medical Inc.; Amphotericin B Technologies Inc. (AmpB Tech)"/>
    <n v="2"/>
    <s v="C-suite"/>
  </r>
  <r>
    <x v="20"/>
    <s v="Universite de Sherbrooke"/>
    <s v="Quebec"/>
    <s v="Proof of Principle Program - Phase I"/>
    <s v="201302PPP"/>
    <s v="Proof of Principle"/>
    <s v="Device for recanalization of peripheral and coronary arteries"/>
    <n v="155180"/>
    <n v="0"/>
    <n v="1"/>
    <s v="Circulatory and Respiratory Health"/>
    <x v="13"/>
    <s v="recanalization, arteries, device"/>
    <n v="2"/>
    <s v="Soundbite Medical Solutions Inc."/>
    <n v="1"/>
    <s v="C-suite"/>
  </r>
  <r>
    <x v="21"/>
    <s v="Children's Hospital of Eastern Ontario Research Institute Inc"/>
    <s v="Ontario"/>
    <s v="Proof of Principle Program - Phase I"/>
    <s v="201302PPP"/>
    <s v="Proof of Principle"/>
    <s v="Chimeric Oncolytic Virus for Brain Cancer Treatment"/>
    <n v="160000"/>
    <n v="0"/>
    <n v="1"/>
    <s v="Cancer Research"/>
    <x v="13"/>
    <s v="Chimeric, Oncolytic Virus, Brain Cancer"/>
    <n v="3"/>
    <s v="Turnstone Limited Partnership (Turnstone Biologics Corp.)"/>
    <n v="1"/>
    <s v="C-suite"/>
  </r>
  <r>
    <x v="22"/>
    <s v="Ottawa Hospital Research Institute"/>
    <s v="Ontario"/>
    <s v="Proof of Principle Program - Phase I"/>
    <s v="201309PPP"/>
    <s v="Proof of Principle"/>
    <s v="Biological Viral Sensitizers for GMP Manufacturing"/>
    <n v="123000"/>
    <n v="37000"/>
    <n v="1"/>
    <s v="Cancer Research"/>
    <x v="14"/>
    <s v="Viral, Sensitizers, Manufacturing"/>
    <n v="5"/>
    <s v="Turnstone Limited Partnership (Turnstone Biologics inc.)"/>
    <n v="1"/>
    <s v="C-suite"/>
  </r>
  <r>
    <x v="23"/>
    <s v="University of Toronto"/>
    <s v="Ontario"/>
    <s v="Proof of Principle Program - Phase I"/>
    <s v="200810PPP"/>
    <s v="Proof of Principle"/>
    <s v="Clinical validation of low-cost ultrasensitive electronic molecular  diagnostics"/>
    <n v="150000"/>
    <n v="0"/>
    <n v="1"/>
    <s v="Genetics"/>
    <x v="15"/>
    <s v="ultrasensitive, electronic, diagnostics"/>
    <n v="5"/>
    <s v="Xagenic Inc."/>
    <n v="1"/>
    <s v="C-suite"/>
  </r>
  <r>
    <x v="24"/>
    <s v="McGill University"/>
    <s v="Quebec"/>
    <s v="Proof of Principle Program - Phase II"/>
    <s v="200904PP2"/>
    <s v="Proof of Principle"/>
    <s v="Generation of a gene expression-based breast cancer prognostic device"/>
    <n v="73500"/>
    <n v="0"/>
    <n v="1"/>
    <s v="Cancer Research"/>
    <x v="5"/>
    <s v="gene expression, breast cancer, prognostic"/>
    <n v="1"/>
    <s v="zN/A"/>
    <n v="0"/>
    <s v="zN/A"/>
  </r>
  <r>
    <x v="22"/>
    <s v="Ottawa Hospital Research Institute"/>
    <s v="Ontario"/>
    <s v="Proof of Principle Program - Phase I"/>
    <s v="201009PPP"/>
    <s v="Proof of Principle"/>
    <s v="Increasing vaccine manufacturing output using viral sensitizer technology"/>
    <n v="136750"/>
    <n v="0"/>
    <n v="1"/>
    <s v="Infection and Immunity"/>
    <x v="2"/>
    <s v="vaccine, manufacturing, viral sensitizer"/>
    <n v="3"/>
    <s v="zN/A"/>
    <n v="0"/>
    <s v="zN/A"/>
  </r>
  <r>
    <x v="15"/>
    <s v="University of Manitoba"/>
    <s v="Manitoba"/>
    <s v="Proof of Principle Program - Phase I"/>
    <s v="200810PPP"/>
    <s v="Proof of Principle"/>
    <s v="Preclinical evaluation of antimicrobial ultrashort aminoglycoside- peptide conjugates"/>
    <n v="150000"/>
    <n v="0"/>
    <n v="1"/>
    <s v="Infection and Immunity"/>
    <x v="15"/>
    <s v="antimicrobial, aminoglycoside, peptide"/>
    <n v="5"/>
    <s v="zN/A"/>
    <n v="0"/>
    <s v="zN/A"/>
  </r>
  <r>
    <x v="25"/>
    <s v="McGill University"/>
    <s v="Quebec"/>
    <s v="Proof of Principle Program - Phase I"/>
    <s v="201209PPP"/>
    <s v="Proof of Principle"/>
    <s v="Buccal Lamin A as a Novel Biomarker for Frailty"/>
    <n v="160000"/>
    <n v="0"/>
    <n v="1"/>
    <s v="Aging"/>
    <x v="16"/>
    <s v="Buccal, Lamin A, Biomarker"/>
    <n v="2"/>
    <s v="zN/A"/>
    <n v="0"/>
    <s v="zN/A"/>
  </r>
  <r>
    <x v="26"/>
    <s v="University of Alberta"/>
    <s v="Alberta"/>
    <s v="Proof of Principle Program - Phase I"/>
    <s v="201202PPP"/>
    <s v="Proof of Principle"/>
    <s v="Novel cross-protective (universal) vaccine for influenza infections"/>
    <n v="159990"/>
    <n v="0"/>
    <n v="1"/>
    <s v="Infection and Immunity"/>
    <x v="0"/>
    <s v="cross-protective, influenza, vaccine"/>
    <n v="2"/>
    <s v="zN/A"/>
    <n v="0"/>
    <s v="zN/A"/>
  </r>
  <r>
    <x v="26"/>
    <s v="University of Alberta"/>
    <s v="Alberta"/>
    <s v="Proof of Principle Program - Phase I"/>
    <s v="201302PPP"/>
    <s v="Proof of Principle"/>
    <s v="New dual-mode antiviral agents for the treatment of hepatitis C virus infection"/>
    <n v="159984"/>
    <n v="0"/>
    <n v="1"/>
    <s v="Infection and Immunity"/>
    <x v="13"/>
    <s v="antiviral agents, hepatitis C virus, infection"/>
    <n v="1"/>
    <s v="zN/A"/>
    <n v="0"/>
    <s v="zN/A"/>
  </r>
  <r>
    <x v="26"/>
    <s v="University of Alberta"/>
    <s v="Alberta"/>
    <s v="Project Grant"/>
    <s v="201903PJT"/>
    <s v="Commercialization"/>
    <s v="Development of a novel universal (cross-protective) vaccine technology for influenza viruses"/>
    <n v="367200"/>
    <n v="0"/>
    <n v="3"/>
    <s v="Infection and Immunity"/>
    <x v="17"/>
    <s v="vaccine, influenza, cross-protective"/>
    <n v="0"/>
    <s v="zN/A"/>
    <n v="0"/>
    <s v="zN/A"/>
  </r>
  <r>
    <x v="27"/>
    <s v="University of Victoria (British Columbia)"/>
    <s v="British Columbia"/>
    <s v="Project Grant"/>
    <s v="202303PJT"/>
    <s v="Commercialization"/>
    <s v="Towards commercialization of GelDerm-a smart dressing for continuous wound monitoring"/>
    <n v="332776"/>
    <n v="0"/>
    <n v="2"/>
    <s v="Musculoskeletal Health and Arthritis"/>
    <x v="18"/>
    <s v="GelDerm, smart dressing, wound monitoring"/>
    <n v="0"/>
    <s v="zN/A"/>
    <n v="0"/>
    <s v="zN/A"/>
  </r>
  <r>
    <x v="28"/>
    <s v="Children's Hospital of Eastern Ontario Research Institute Inc"/>
    <s v="Ontario"/>
    <s v="Project Grant - PA: Breast Cancer Research"/>
    <s v="202309PLL"/>
    <s v="Commercialization"/>
    <s v="Viralyzing transgenes to improve oncolytic immunotherapy."/>
    <n v="100000"/>
    <n v="0"/>
    <n v="1"/>
    <s v="Cancer Research"/>
    <x v="19"/>
    <s v="Viralyzing, transgenes, immunotherapy"/>
    <n v="0"/>
    <s v="zN/A"/>
    <n v="0"/>
    <s v="zN/A"/>
  </r>
  <r>
    <x v="28"/>
    <s v="Children's Hospital of Eastern Ontario Research Institute Inc"/>
    <s v="Ontario"/>
    <s v="Project Grant - PA: Breast Cancer Research"/>
    <s v="202403PLL"/>
    <s v="Commercialization"/>
    <s v="Viralyzing transgenes to improve oncolytic immunotherapy."/>
    <n v="100000"/>
    <n v="0"/>
    <n v="1"/>
    <s v="Cancer Research"/>
    <x v="20"/>
    <s v="Viralyzing, transgenes, immunotherapy"/>
    <n v="0"/>
    <s v="zN/A"/>
    <n v="0"/>
    <s v="zN/A"/>
  </r>
  <r>
    <x v="29"/>
    <s v="McGill University"/>
    <s v="Quebec"/>
    <s v="Proof of Principle Program - Phase I"/>
    <s v="201102PPP"/>
    <s v="Proof of Principle"/>
    <s v="Triple Targeted Kinase Inhibitors Capable of Inhibiting Breast Cancer Metastases"/>
    <n v="160000"/>
    <n v="0"/>
    <n v="1"/>
    <s v="Cancer Research"/>
    <x v="4"/>
    <s v="Kinase inhibitors, breast cancer, metastases"/>
    <n v="3"/>
    <s v="zN/A"/>
    <n v="0"/>
    <s v="zN/A"/>
  </r>
  <r>
    <x v="30"/>
    <s v="Centre hospitalier universitaire Sainte-Justine (Montreal, Quebec)"/>
    <s v="Quebec"/>
    <s v="Proof of Principle Program - Phase I"/>
    <s v="201402PPP"/>
    <s v="Proof of Principle"/>
    <s v="Development of a peptide mimetic vaccine for prevention of Epstein-Barr virus infectious mononucleosis and related cancers."/>
    <n v="159612"/>
    <n v="0"/>
    <n v="1"/>
    <s v="Infection and Immunity"/>
    <x v="3"/>
    <s v="peptide, vaccine, Epstein-Barr virus"/>
    <n v="0"/>
    <s v="zN/A"/>
    <n v="0"/>
    <s v="zN/A"/>
  </r>
  <r>
    <x v="31"/>
    <s v="University of British Columbia"/>
    <s v="British Columbia"/>
    <s v="Proof of Principle Program - Phase I"/>
    <s v="200904PPP"/>
    <s v="Proof of Principle"/>
    <s v="Modulation of heart metabolism by hydrophobically modified hyperbranched polyglycerols"/>
    <n v="150000"/>
    <n v="0"/>
    <n v="1"/>
    <s v="Circulatory and Respiratory Health"/>
    <x v="5"/>
    <s v="heart, metabolism, polyglycerols"/>
    <n v="0"/>
    <s v="zN/A"/>
    <n v="0"/>
    <s v="zN/A"/>
  </r>
  <r>
    <x v="32"/>
    <s v="Hospital for Sick Children (Toronto)"/>
    <s v="Ontario"/>
    <s v="Proof of Principle Program - Phase I"/>
    <s v="201003PPP"/>
    <s v="Proof of Principle"/>
    <s v="Nefopam as an agent to prevent and treat hyperplastic scars"/>
    <n v="159975"/>
    <n v="0"/>
    <n v="1"/>
    <s v="Musculoskeletal Health and Arthritis"/>
    <x v="7"/>
    <s v="Nefopam, hyperplastic scars"/>
    <n v="1"/>
    <s v="zN/A"/>
    <n v="0"/>
    <s v="zN/A"/>
  </r>
  <r>
    <x v="33"/>
    <s v="University of British Columbia"/>
    <s v="British Columbia"/>
    <s v="Proof of Principle Program - Phase I"/>
    <s v="201003PPP"/>
    <s v="Proof of Principle"/>
    <s v="Latonduine A, A Potent delF508-CFTR Trafficking Defect Corrector With Potential for Treating Cystic Fibrosis"/>
    <n v="159750"/>
    <n v="0"/>
    <n v="1"/>
    <s v="Circulatory and Respiratory Health"/>
    <x v="7"/>
    <s v="Latonduine, CFTR, Cystic Fibrosis"/>
    <n v="0"/>
    <s v="zN/A"/>
    <n v="0"/>
    <s v="zN/A"/>
  </r>
  <r>
    <x v="34"/>
    <s v="University of Manitoba"/>
    <s v="Manitoba"/>
    <s v="Proof of Principle Program - Phase I"/>
    <s v="200904PPP"/>
    <s v="Proof of Principle"/>
    <s v="Preclinical development of glycerophosphocarbamates as prostate-selective anticancer drugs"/>
    <n v="137617"/>
    <n v="0"/>
    <n v="1"/>
    <s v="Cancer Research"/>
    <x v="5"/>
    <s v="glycerophosphocarbamates, prostate, anticancer"/>
    <n v="0"/>
    <s v="zN/A"/>
    <n v="0"/>
    <s v="zN/A"/>
  </r>
  <r>
    <x v="35"/>
    <s v="University of British Columbia"/>
    <s v="British Columbia"/>
    <s v="Proof of Principle Program - Phase I"/>
    <s v="200810PPP"/>
    <s v="Proof of Principle"/>
    <s v="Validation of Tissue and Cytology Microarray Spotter (TCMS) for Simultaneous Multiple Biomarker Detection in Cells"/>
    <n v="150000"/>
    <n v="0"/>
    <n v="1"/>
    <s v="Cancer Research"/>
    <x v="15"/>
    <s v="Tissue, Cytology, Microarray"/>
    <n v="0"/>
    <s v="zN/A"/>
    <n v="0"/>
    <s v="zN/A"/>
  </r>
  <r>
    <x v="36"/>
    <s v="Hospital for Sick Children (Toronto)"/>
    <s v="Ontario"/>
    <s v="Project Grant"/>
    <s v="202403PJT"/>
    <s v="Commercialization"/>
    <s v="Preclinical studies of a novel CFTR potentiator for commercialization as a therapy for chronic obstructive pulmonary disease."/>
    <n v="325125"/>
    <n v="0"/>
    <n v="2"/>
    <s v="Circulatory and Respiratory Health"/>
    <x v="20"/>
    <s v="CFTR, potentiator, pulmonary disease"/>
    <n v="0"/>
    <s v="zN/A"/>
    <n v="0"/>
    <s v="zN/A"/>
  </r>
  <r>
    <x v="37"/>
    <s v="Universite de Sherbrooke"/>
    <s v="Quebec"/>
    <s v="Proof of Principle Program - Phase I"/>
    <s v="201309PPP"/>
    <s v="Proof of Principle"/>
    <s v="Improving the diagnosis of colorectal cancer using fecal mRNA and protein markers: The integrin alpha 6A subunit"/>
    <n v="160000"/>
    <n v="0"/>
    <n v="1"/>
    <s v="Cancer Research"/>
    <x v="14"/>
    <s v="colorectal cancer, fecal mRNA, integrin alpha 6A"/>
    <n v="0"/>
    <s v="zN/A"/>
    <n v="0"/>
    <s v="zN/A"/>
  </r>
  <r>
    <x v="38"/>
    <s v="Universite Laval"/>
    <s v="Quebec"/>
    <s v="Proof of Principle Program - Phase I"/>
    <s v="201302PPP"/>
    <s v="Proof of Principle"/>
    <s v="Cells lines for screening GPCR/Nav signaling compound"/>
    <n v="160000"/>
    <n v="0"/>
    <n v="1"/>
    <s v="Neurosciences, Mental Health and Addiction"/>
    <x v="13"/>
    <s v="cells, GPCR, signaling"/>
    <n v="1"/>
    <s v="zN/A"/>
    <n v="0"/>
    <s v="zN/A"/>
  </r>
  <r>
    <x v="39"/>
    <s v="Simon Fraser University (Burnaby, B.C.)"/>
    <s v="British Columbia"/>
    <s v="Project Grant - Priority Announcement: Cancer Research"/>
    <s v="202209PJS"/>
    <s v="Commercialization"/>
    <s v="Novel end-to-end platform for extraction of body composition measurements from CT images for research and integration into clinical workflows for precision medicine"/>
    <n v="100000"/>
    <n v="0"/>
    <n v="1"/>
    <s v="Cancer Research"/>
    <x v="21"/>
    <s v="body composition, CT images, precision medicine"/>
    <n v="0"/>
    <s v="zN/A"/>
    <n v="0"/>
    <s v="zN/A"/>
  </r>
  <r>
    <x v="39"/>
    <s v="Simon Fraser University (Burnaby, B.C.)"/>
    <s v="British Columbia"/>
    <s v="Project Grant"/>
    <s v="202303PJT"/>
    <s v="Commercialization"/>
    <s v="Staging the host in Cancer: AI-based automated comprehensive body composition assessment for Precision Medicine"/>
    <n v="956250"/>
    <n v="0"/>
    <n v="3"/>
    <s v="Cancer Research"/>
    <x v="18"/>
    <s v="AI, body composition, cancer"/>
    <n v="0"/>
    <s v="zN/A"/>
    <n v="0"/>
    <s v="zN/A"/>
  </r>
  <r>
    <x v="40"/>
    <s v="Universite Laval"/>
    <s v="Quebec"/>
    <s v="Proof of Principle Program - Phase I"/>
    <s v="201409PPP"/>
    <s v="Proof of Principle"/>
    <s v="Developpement, optimisation et multiplexage d'un oligonucleotide synthetique permettant l'amplification d'ADN et l'hybridation sur support solide en une seule etape. PDP PhaseI"/>
    <n v="160000"/>
    <n v="0"/>
    <n v="1"/>
    <s v="Infection and Immunity"/>
    <x v="22"/>
    <s v="oligonucleotide, amplification, hybridation"/>
    <n v="0"/>
    <s v="zN/A"/>
    <n v="0"/>
    <s v="zN/A"/>
  </r>
  <r>
    <x v="41"/>
    <s v="University of British Columbia"/>
    <s v="British Columbia"/>
    <s v="Proof of Principle Program - Phase I"/>
    <s v="201209PPP"/>
    <s v="Proof of Principle"/>
    <s v="Novel compounds for treatment of pulmonary hypertension"/>
    <n v="158389"/>
    <n v="0"/>
    <n v="1"/>
    <s v="Circulatory and Respiratory Health"/>
    <x v="16"/>
    <s v="compounds,pulmonary hypertension"/>
    <n v="0"/>
    <s v="zN/A"/>
    <n v="0"/>
    <s v="zN/A"/>
  </r>
  <r>
    <x v="42"/>
    <s v="Holland Bloorview Kids Rehabilitation Hospital (Toronto)"/>
    <s v="Ontario"/>
    <s v="Project Grant"/>
    <s v="201909PJT"/>
    <s v="Commercialization"/>
    <s v="BootleBlast, a movement tracking video game for home-based motor therapy - Navigating gaps to market readiness"/>
    <n v="409276"/>
    <n v="0"/>
    <n v="3"/>
    <s v="Human Development, Child and Youth Health"/>
    <x v="23"/>
    <s v="movement tracking, video game, motor therapy"/>
    <n v="0"/>
    <s v="zN/A"/>
    <n v="0"/>
    <s v="zN/A"/>
  </r>
  <r>
    <x v="43"/>
    <s v="University of British Columbia"/>
    <s v="British Columbia"/>
    <s v="Proof of Principle Program - Phase I"/>
    <s v="201102PPP"/>
    <s v="Proof of Principle"/>
    <s v="Development of Tdp1 inhibitors for treating cancer"/>
    <n v="159927"/>
    <n v="0"/>
    <n v="1"/>
    <s v="Cancer Research"/>
    <x v="4"/>
    <s v="Tdp1, inhibitors, cancer"/>
    <n v="0"/>
    <s v="zN/A"/>
    <n v="0"/>
    <s v="zN/A"/>
  </r>
  <r>
    <x v="44"/>
    <s v="CIUSSS de l'Ouest-de-l'Ile-de-Montreal-Douglas Hospital"/>
    <s v="Quebec"/>
    <s v="Proof of Principle Program - Phase I"/>
    <s v="201402PPP"/>
    <s v="Proof of Principle"/>
    <s v="Validation of a fully automated virtual reality based spatial memory improvement program that promotes healthy aging"/>
    <n v="160000"/>
    <n v="0"/>
    <n v="1"/>
    <s v="Aging"/>
    <x v="3"/>
    <s v="virtual reality, spatial memory, aging"/>
    <n v="1"/>
    <s v="zN/A"/>
    <n v="0"/>
    <s v="zN/A"/>
  </r>
  <r>
    <x v="45"/>
    <s v="Universite Laval"/>
    <s v="Quebec"/>
    <s v="Project Grant"/>
    <s v="202003PJT"/>
    <s v="Commercialization"/>
    <s v="Un nouveau vecteur de medicaments ophtalmiques e base de nanoparticules d'or"/>
    <n v="550800"/>
    <n v="0"/>
    <n v="5"/>
    <s v="Neurosciences, Mental Health and Addiction"/>
    <x v="24"/>
    <s v="vecteur, nanoparticules, ophtalmiques"/>
    <n v="0"/>
    <s v="zN/A"/>
    <n v="0"/>
    <s v="zN/A"/>
  </r>
  <r>
    <x v="46"/>
    <s v="Universite Laval"/>
    <s v="Quebec"/>
    <s v="Proof of Principle Program - Phase I"/>
    <s v="200910PPP"/>
    <s v="Proof of Principle"/>
    <s v="New antiviral agents against herpes simplex viruses"/>
    <n v="150000"/>
    <n v="0"/>
    <n v="1"/>
    <s v="Infection and Immunity"/>
    <x v="8"/>
    <s v="antiviral, herpes simplex, viruses"/>
    <n v="4"/>
    <s v="zN/A"/>
    <n v="0"/>
    <s v="zN/A"/>
  </r>
  <r>
    <x v="47"/>
    <s v="Memorial University of Newfoundland"/>
    <s v="Newfoundland and Labrador"/>
    <s v="Proof of Principle Program - Phase I"/>
    <s v="201009PPP"/>
    <s v="Proof of Principle"/>
    <s v="HLA Peptide Development as a Therapeutic for Psoriasis"/>
    <n v="156920"/>
    <n v="0"/>
    <n v="1"/>
    <s v="Infection and Immunity"/>
    <x v="2"/>
    <s v="HLA, Peptide, Psoriasis"/>
    <n v="0"/>
    <s v="zN/A"/>
    <n v="0"/>
    <s v="zN/A"/>
  </r>
  <r>
    <x v="48"/>
    <s v="Universite Laval"/>
    <s v="Quebec"/>
    <s v="Proof of Principle Program - Phase I"/>
    <s v="201302PPP"/>
    <s v="Proof of Principle"/>
    <s v="Prognostic gene signature for stage I lung adenocarcinoma"/>
    <n v="148348"/>
    <n v="0"/>
    <n v="1"/>
    <s v="Cancer Research"/>
    <x v="13"/>
    <s v="gene signature, lung adenocarcinoma, prognostic"/>
    <n v="0"/>
    <s v="zN/A"/>
    <n v="0"/>
    <s v="zN/A"/>
  </r>
  <r>
    <x v="49"/>
    <s v="Research Institute of the McGill University Health Centre"/>
    <s v="Quebec"/>
    <s v="Project Grant"/>
    <s v="202209PJT"/>
    <s v="Commercialization"/>
    <s v="Enabling commercialization of retinal gene therapy for Zellweger Spectrum Disorder"/>
    <n v="1503225"/>
    <n v="0"/>
    <n v="5"/>
    <s v="Genetics"/>
    <x v="9"/>
    <s v="retinal gene therapy, Zellweger Spectrum Disorder"/>
    <n v="0"/>
    <s v="zN/A"/>
    <n v="0"/>
    <s v="zN/A"/>
  </r>
  <r>
    <x v="50"/>
    <s v="University of British Columbia"/>
    <s v="British Columbia"/>
    <s v="Project Grant"/>
    <s v="201909PJT"/>
    <s v="Commercialization"/>
    <s v="Machine Learning for Flow Cytometry Clinical Data and Trial Analysis"/>
    <n v="317475"/>
    <n v="0"/>
    <n v="1.8333333329999999"/>
    <s v="Infection and Immunity"/>
    <x v="23"/>
    <s v="Machine Learning, Flow Cytometry, Clinical Data"/>
    <n v="0"/>
    <s v="zN/A"/>
    <n v="0"/>
    <s v="zN/A"/>
  </r>
  <r>
    <x v="51"/>
    <s v="Research Institute of the McGill University Health Centre"/>
    <s v="Quebec"/>
    <s v="Proof of Principle Program - Phase II"/>
    <s v="201502PP2"/>
    <s v="Proof of Principle"/>
    <s v="An IGF-Trap for the treatment of breast cancer: consolidation of the pre-clinical profile and commercialization."/>
    <n v="299934"/>
    <n v="0"/>
    <n v="1"/>
    <s v="Cancer Research"/>
    <x v="1"/>
    <s v="IGF, breast cancer, trap"/>
    <n v="1"/>
    <s v="zN/A"/>
    <n v="0"/>
    <s v="zN/A"/>
  </r>
  <r>
    <x v="52"/>
    <s v="Dalhousie University (Nova Scotia)"/>
    <s v="Nova Scotia"/>
    <s v="Proof of Principle Program - Phase I"/>
    <s v="201003PPP"/>
    <s v="Proof of Principle"/>
    <s v="A High-Resolution Ultrasonic Endoscope for the Auditory System"/>
    <n v="108000"/>
    <n v="10600"/>
    <n v="1"/>
    <s v="Aging"/>
    <x v="7"/>
    <s v="Ultrasonic, Endoscope, Auditory"/>
    <n v="1"/>
    <s v="zN/A"/>
    <n v="0"/>
    <s v="zN/A"/>
  </r>
  <r>
    <x v="53"/>
    <s v="CIUSSS de Centre-Ouest-de-l'Ile-de-Montreal-Jewish General"/>
    <s v="Quebec"/>
    <s v="Proof of Principle Program - Phase I"/>
    <s v="201502PPP"/>
    <s v="Proof of Principle"/>
    <s v="A new qPCR method for the assessment of total/relative bacterial load from stool samples: C difficile show case"/>
    <n v="131513"/>
    <n v="0"/>
    <n v="1"/>
    <s v="Infection and Immunity"/>
    <x v="1"/>
    <s v="qPCR, bacterial load, stool samples"/>
    <n v="0"/>
    <s v="zN/A"/>
    <n v="0"/>
    <s v="zN/A"/>
  </r>
  <r>
    <x v="54"/>
    <s v="McGill University"/>
    <s v="Quebec"/>
    <s v="Proof of Principle Program - Phase I"/>
    <s v="200810PPP"/>
    <s v="Proof of Principle"/>
    <s v="Smart Ultrasonic Hydrogel Sensors for Point of Care Analysis"/>
    <n v="150000"/>
    <n v="0"/>
    <n v="1"/>
    <s v="Circulatory and Respiratory Health"/>
    <x v="15"/>
    <s v="Ultrasonic, Hydrogel, Sensors"/>
    <n v="1"/>
    <s v="zN/A"/>
    <n v="0"/>
    <s v="zN/A"/>
  </r>
  <r>
    <x v="55"/>
    <s v="University of British Columbia"/>
    <s v="British Columbia"/>
    <s v="Proof of Principle Program - Phase I"/>
    <s v="201109PPP"/>
    <s v="Proof of Principle"/>
    <s v="Intravesical Taxanes"/>
    <n v="157412"/>
    <n v="0"/>
    <n v="1"/>
    <s v="Cancer Research"/>
    <x v="11"/>
    <s v="Intravesical, Taxanes"/>
    <n v="0"/>
    <s v="zN/A"/>
    <n v="0"/>
    <s v="zN/A"/>
  </r>
  <r>
    <x v="55"/>
    <s v="University of British Columbia"/>
    <s v="British Columbia"/>
    <s v="Proof of Principle Program - Phase II"/>
    <s v="201302PP2"/>
    <s v="Proof of Principle"/>
    <s v="Intravesical Docetaxel Formulation for the Treatment of Ta/T1 Stage Bladder Cancer"/>
    <n v="294600"/>
    <n v="0"/>
    <n v="1"/>
    <s v="Cancer Research"/>
    <x v="13"/>
    <s v="Docetaxel, Bladder Cancer, Intravesical"/>
    <n v="2"/>
    <s v="zN/A"/>
    <n v="0"/>
    <s v="zN/A"/>
  </r>
  <r>
    <x v="56"/>
    <s v="Universite Laval"/>
    <s v="Quebec"/>
    <s v="Proof of Principle Program - Phase I"/>
    <s v="201102PPP"/>
    <s v="Proof of Principle"/>
    <s v="Optimization and Validation of Highly Cytocidal Substituted Phenyl Imidazolidin-2-one as Antimicrotubule Agents for Cancer Chemotherapy"/>
    <n v="160000"/>
    <n v="0"/>
    <n v="1"/>
    <s v="Cancer Research"/>
    <x v="4"/>
    <s v="Cytocidal, Phenyl Imidazolidin-2-one, Antimicrotubule"/>
    <n v="0"/>
    <s v="zN/A"/>
    <n v="0"/>
    <s v="zN/A"/>
  </r>
  <r>
    <x v="56"/>
    <s v="Universite Laval"/>
    <s v="Quebec"/>
    <s v="Project Grant"/>
    <s v="201709PJT"/>
    <s v="Commercialization"/>
    <s v="Validation of Highly Potent Substituted Phenyl Alkylureas as Antipsoriatic Agents"/>
    <n v="497250"/>
    <n v="0"/>
    <n v="3"/>
    <s v="Cancer Research"/>
    <x v="25"/>
    <s v="Potent, Phenyl Alkylureas, Antipsoriatic"/>
    <n v="0"/>
    <s v="zN/A"/>
    <n v="0"/>
    <s v="zN/A"/>
  </r>
  <r>
    <x v="57"/>
    <s v="University of British Columbia"/>
    <s v="British Columbia"/>
    <s v="Proof of Principle Program - Phase II"/>
    <s v="201209PP2"/>
    <s v="Proof of Principle"/>
    <s v="A defined cyclic peptide epitope specific to Abeta oligomers:   Active and passive vaccination in mouse models of Alzheimer's disease"/>
    <n v="300000"/>
    <n v="0"/>
    <n v="1"/>
    <s v="Aging"/>
    <x v="16"/>
    <s v="cyclic peptide, Abeta oligomers, vaccination"/>
    <n v="17"/>
    <s v="zN/A"/>
    <n v="0"/>
    <s v="zN/A"/>
  </r>
  <r>
    <x v="58"/>
    <s v="McGill University"/>
    <s v="Quebec"/>
    <s v="Proof of Principle Program - Phase II"/>
    <s v="201109PP2"/>
    <s v="Proof of Principle"/>
    <s v="Evaluation of novel flavonoids in models of hematological cancer"/>
    <n v="300000"/>
    <n v="0"/>
    <n v="1"/>
    <s v="Cancer Research"/>
    <x v="11"/>
    <s v="flavonoids, hematological cancer, models"/>
    <n v="4"/>
    <s v="zN/A"/>
    <n v="0"/>
    <s v="zN/A"/>
  </r>
  <r>
    <x v="59"/>
    <s v="CIUSSS du Nord-de-l'Ile-de Montreal - Hepital Sacre Coeur"/>
    <s v="Quebec"/>
    <s v="Proof of Principle Program - Phase I"/>
    <s v="201309PPP"/>
    <s v="Proof of Principle"/>
    <s v="Innovative device to reduce myocardial infarct size and no-reflow : Proof of concepts in humans"/>
    <n v="159300"/>
    <n v="0"/>
    <n v="1"/>
    <s v="Circulatory and Respiratory Health"/>
    <x v="14"/>
    <s v="myocardial infarct, no-reflow, device"/>
    <n v="2"/>
    <s v="zN/A"/>
    <n v="0"/>
    <s v="zN/A"/>
  </r>
  <r>
    <x v="60"/>
    <s v="University Health Network (Toronto)"/>
    <s v="Ontario"/>
    <s v="Proof of Principle Program - Phase I"/>
    <s v="201409PPP"/>
    <s v="Proof of Principle"/>
    <s v="Rotor Mapping in Human Atrial Fibrillation"/>
    <n v="149015"/>
    <n v="10634"/>
    <n v="1"/>
    <s v="Circulatory and Respiratory Health"/>
    <x v="22"/>
    <s v="Rotor, Mapping, Atrial Fibrillation"/>
    <n v="1"/>
    <s v="zN/A"/>
    <n v="0"/>
    <s v="zN/A"/>
  </r>
  <r>
    <x v="61"/>
    <s v="Centre hospitalier universitaire Sainte-Justine (Montreal, Quebec)"/>
    <s v="Quebec"/>
    <s v="Proof of Principle Program - Phase II"/>
    <s v="201003PP2"/>
    <s v="Proof of Principle"/>
    <s v="IL-1  Allosteramers to treat diabetes and its complications"/>
    <n v="300000"/>
    <n v="0"/>
    <n v="1"/>
    <s v="Nutrition, Metabolism and Diabetes"/>
    <x v="7"/>
    <s v="IL-1, Allosteramers, diabetes"/>
    <n v="1"/>
    <s v="zN/A"/>
    <n v="0"/>
    <s v="zN/A"/>
  </r>
  <r>
    <x v="62"/>
    <s v="Research Institute of the McGill University Health Centre"/>
    <s v="Quebec"/>
    <s v="Project Grant"/>
    <s v="202309PJT"/>
    <s v="Commercialization"/>
    <s v="A novel through-the-scope exchangeable double balloon catheter to guide endoscopic bypass:  a practice-changing technology in the management of malignant gastric outlet obstruction"/>
    <n v="451350"/>
    <n v="0"/>
    <n v="2"/>
    <s v="Nutrition, Metabolism and Diabetes"/>
    <x v="26"/>
    <s v="double balloon, endoscopic, gastric outlet obstruction"/>
    <n v="0"/>
    <s v="zN/A"/>
    <n v="0"/>
    <s v="zN/A"/>
  </r>
  <r>
    <x v="63"/>
    <s v="University of British Columbia"/>
    <s v="British Columbia"/>
    <s v="Proof of Principle Program - Phase I"/>
    <s v="201402PPP"/>
    <s v="Proof of Principle"/>
    <s v="First-in-Class Small-molecule Inhibitors Selectively Targeting the DNA-binding Domain of Human Androgen Receptor and Its Splice Variants for the Treatment of Resistant Prostate Cancer"/>
    <n v="150030"/>
    <n v="0"/>
    <n v="1"/>
    <s v="Cancer Research"/>
    <x v="3"/>
    <s v="small-molecule, androgen receptor, prostate cancer"/>
    <n v="2"/>
    <s v="zN/A"/>
    <n v="0"/>
    <s v="zN/A"/>
  </r>
  <r>
    <x v="64"/>
    <s v="Sunnybrook Health Sciences Centre (Toronto, Ontario)"/>
    <s v="Ontario"/>
    <s v="Proof of Principle Program - Phase I"/>
    <s v="201009PPP"/>
    <s v="Proof of Principle"/>
    <s v="Development of endorectal MR elastography for prostate cancer detection"/>
    <n v="153344"/>
    <n v="0"/>
    <n v="1"/>
    <s v="Cancer Research"/>
    <x v="2"/>
    <s v="MR elastography, prostate cancer, detection"/>
    <n v="0"/>
    <s v="zN/A"/>
    <n v="0"/>
    <s v="zN/A"/>
  </r>
  <r>
    <x v="64"/>
    <s v="Sunnybrook Health Sciences Centre (Toronto, Ontario)"/>
    <s v="Ontario"/>
    <s v="Proof of Principle Program - Phase II"/>
    <s v="201102PP2"/>
    <s v="Proof of Principle"/>
    <s v="Evaluation of MRI-controlled interstitial ultrasound therapy for the treatment of cerebral neoplasms"/>
    <n v="147500"/>
    <n v="0"/>
    <n v="1"/>
    <s v="Cancer Research"/>
    <x v="4"/>
    <s v="MRI, ultrasound, neoplasms"/>
    <n v="0"/>
    <s v="zN/A"/>
    <n v="0"/>
    <s v="zN/A"/>
  </r>
  <r>
    <x v="65"/>
    <s v="McGill University"/>
    <s v="Quebec"/>
    <s v="Proof of Principle Program - Phase I"/>
    <s v="201202PPP"/>
    <s v="Proof of Principle"/>
    <s v="Synergistic topical combinations for chronic pain aimed at treating microvascular dysfunction."/>
    <n v="160000"/>
    <n v="0"/>
    <n v="1"/>
    <s v="Neurosciences, Mental Health and Addiction"/>
    <x v="0"/>
    <s v="topical, microvascular, pain"/>
    <n v="0"/>
    <s v="zN/A"/>
    <n v="0"/>
    <s v="zN/A"/>
  </r>
  <r>
    <x v="66"/>
    <s v="Hospital for Sick Children (Toronto)"/>
    <s v="Ontario"/>
    <s v="Project Grant"/>
    <s v="201709PJT"/>
    <s v="Commercialization"/>
    <s v="Integrin Linked Kinase as a Novel Therapeutic Target for Heart Failure"/>
    <n v="512550"/>
    <n v="0"/>
    <n v="3"/>
    <s v="Circulatory and Respiratory Health"/>
    <x v="25"/>
    <s v="Integrin, Kinase, Heart Failure"/>
    <n v="0"/>
    <s v="zN/A"/>
    <n v="0"/>
    <s v="zN/A"/>
  </r>
  <r>
    <x v="67"/>
    <s v="University of British Columbia"/>
    <s v="British Columbia"/>
    <s v="Proof of Principle Program - Phase I"/>
    <s v="201402PPP"/>
    <s v="Proof of Principle"/>
    <s v="Novel therapeutic approach for 'wet' and 'dry' age-related macular degeneration"/>
    <n v="160000"/>
    <n v="0"/>
    <n v="1"/>
    <s v="Aging"/>
    <x v="3"/>
    <s v="age-related macular degeneration, therapeutic, dry wet"/>
    <n v="0"/>
    <s v="zN/A"/>
    <n v="0"/>
    <s v="zN/A"/>
  </r>
  <r>
    <x v="68"/>
    <s v="University of British Columbia"/>
    <s v="British Columbia"/>
    <s v="Proof of Principle Program - Phase I"/>
    <s v="200904PPP"/>
    <s v="Proof of Principle"/>
    <s v="Pro-Neck-Tor: A helmet to prevent spinal cord injuries occuring during sports and transportation"/>
    <n v="149752"/>
    <n v="0"/>
    <n v="1"/>
    <s v="Musculoskeletal Health and Arthritis"/>
    <x v="5"/>
    <s v="helmet, spinal cord, injuries"/>
    <n v="2"/>
    <s v="zN/A"/>
    <n v="0"/>
    <s v="zN/A"/>
  </r>
  <r>
    <x v="69"/>
    <s v="Sunnybrook Health Sciences Centre (Toronto, Ontario)"/>
    <s v="Ontario"/>
    <s v="Proof of Principle Program - Phase I"/>
    <s v="200910PPP"/>
    <s v="Proof of Principle"/>
    <s v="Three-dimensional Catheter Tracking using a Single Two-dimensional Image"/>
    <n v="130077"/>
    <n v="12873"/>
    <n v="1"/>
    <s v="Circulatory and Respiratory Health"/>
    <x v="8"/>
    <s v="catheter, tracking, imaging"/>
    <n v="4"/>
    <s v="zN/A"/>
    <n v="0"/>
    <s v="zN/A"/>
  </r>
  <r>
    <x v="70"/>
    <s v="University of Toronto"/>
    <s v="Ontario"/>
    <s v="Proof of Principle Program - Phase I"/>
    <s v="201309PPP"/>
    <s v="Proof of Principle"/>
    <s v="Developing a Novel Therapeutic for Cushing's Syndrome"/>
    <n v="160000"/>
    <n v="0"/>
    <n v="1"/>
    <s v="Nutrition, Metabolism and Diabetes"/>
    <x v="14"/>
    <s v="Cushing's Syndrome, Therapeutic"/>
    <n v="0"/>
    <s v="zN/A"/>
    <n v="0"/>
    <s v="zN/A"/>
  </r>
  <r>
    <x v="71"/>
    <s v="Sunnybrook Health Sciences Centre (Toronto, Ontario)"/>
    <s v="Ontario"/>
    <s v="Proof of Principle Program - Phase I"/>
    <s v="201003PPP"/>
    <s v="Proof of Principle"/>
    <s v="Wire for MRI-Guided Interventions"/>
    <n v="139840"/>
    <n v="8395"/>
    <n v="1"/>
    <s v="Circulatory and Respiratory Health"/>
    <x v="7"/>
    <s v="Wire, MRI, Interventions"/>
    <n v="1"/>
    <s v="zN/A"/>
    <n v="0"/>
    <s v="zN/A"/>
  </r>
  <r>
    <x v="72"/>
    <s v="University of British Columbia"/>
    <s v="British Columbia"/>
    <s v="Proof of Principle Program - Phase I"/>
    <s v="201109PPP"/>
    <s v="Proof of Principle"/>
    <s v="Novel peptide as potential therapeutic for treatment of ischemic stroke"/>
    <n v="160000"/>
    <n v="0"/>
    <n v="1"/>
    <s v="Neurosciences, Mental Health and Addiction"/>
    <x v="11"/>
    <s v="peptide, ischemic stroke"/>
    <n v="1"/>
    <s v="zN/A"/>
    <n v="0"/>
    <s v="zN/A"/>
  </r>
  <r>
    <x v="73"/>
    <s v="University of British Columbia"/>
    <s v="British Columbia"/>
    <s v="Project Grant"/>
    <s v="202403PJT"/>
    <s v="Commercialization"/>
    <s v="An integrated AI-powered platform for cell analytics"/>
    <n v="730576"/>
    <n v="0"/>
    <n v="4"/>
    <s v="Cancer Research"/>
    <x v="20"/>
    <s v="AI, cell, analytics"/>
    <n v="0"/>
    <s v="zN/A"/>
    <n v="0"/>
    <s v="zN/A"/>
  </r>
  <r>
    <x v="74"/>
    <s v="Unity Health Toronto"/>
    <s v="Ontario"/>
    <s v="Proof of Principle Program - Phase I"/>
    <s v="201502PPP"/>
    <s v="Proof of Principle"/>
    <s v="A Non-Traumatic Binder for Temporary Abdominal Wall Closure"/>
    <n v="115768"/>
    <n v="0"/>
    <n v="1"/>
    <s v="Infection and Immunity"/>
    <x v="1"/>
    <s v="Binder, Abdominal Wall, Closure"/>
    <n v="0"/>
    <s v="zN/A"/>
    <n v="0"/>
    <s v="zN/A"/>
  </r>
  <r>
    <x v="75"/>
    <s v="Wilfrid Laurier University (Waterloo, Ontario)"/>
    <s v="Ontario"/>
    <s v="Project Grant - PA: Pandemic Preparedness and Health Emergencies Research"/>
    <s v="202209PPE"/>
    <s v="Commercialization"/>
    <s v="Developing intranasal dsRNA molecules as broadly effective therapeutics against highly pathogenic coronaviruses"/>
    <n v="100000"/>
    <n v="0"/>
    <n v="1"/>
    <s v="Infection and Immunity"/>
    <x v="21"/>
    <s v="intranasal, dsRNA, coronaviruses"/>
    <n v="0"/>
    <s v="zN/A"/>
    <n v="0"/>
    <s v="zN/A"/>
  </r>
  <r>
    <x v="76"/>
    <s v="Ottawa Hospital Research Institute"/>
    <s v="Ontario"/>
    <s v="Proof of Principle Program - Phase II"/>
    <s v="201402PP2"/>
    <s v="Proof of Principle"/>
    <s v="Evaluation of viral sensitizer technology in improving egg-based influenza vaccine manufacturing processes"/>
    <n v="222143"/>
    <n v="77857"/>
    <n v="1"/>
    <s v="Infection and Immunity"/>
    <x v="3"/>
    <s v="viral, sensitizer, influenza"/>
    <n v="5"/>
    <s v="zN/A"/>
    <n v="0"/>
    <s v="zN/A"/>
  </r>
  <r>
    <x v="77"/>
    <s v="Sinai Health System (Toronto)"/>
    <s v="Ontario"/>
    <s v="Project Grant"/>
    <s v="202203PJT"/>
    <s v="Commercialization"/>
    <s v="KaliDerm Therapeutics: A research/commercialization plan to validate, better define and add value to our proprietary dual KLK5/7 inhibitor as a novel topical therapeutic for Netherton Syndrome."/>
    <n v="336600"/>
    <n v="0"/>
    <n v="2"/>
    <s v="Infection and Immunity"/>
    <x v="6"/>
    <s v="KLK5, KLK7, Netherton Syndrome"/>
    <n v="0"/>
    <s v="zN/A"/>
    <n v="0"/>
    <s v="zN/A"/>
  </r>
  <r>
    <x v="78"/>
    <s v="University of Waterloo (Ontario)"/>
    <s v="Ontario"/>
    <s v="Proof of Principle Program Phase I - Drug Development"/>
    <s v="200904PDD"/>
    <s v="Proof of Principle"/>
    <s v="Novel beta lactamase inhibitors to combat antibiotic resistance"/>
    <n v="150000"/>
    <n v="0"/>
    <n v="1"/>
    <s v="Infection and Immunity"/>
    <x v="5"/>
    <s v="beta lactamase, antibiotics, resistance"/>
    <n v="1"/>
    <s v="zN/A"/>
    <n v="0"/>
    <s v="zN/A"/>
  </r>
  <r>
    <x v="78"/>
    <s v="University of Waterloo (Ontario)"/>
    <s v="Ontario"/>
    <s v="Proof of Principle Program - Phase II"/>
    <s v="201009PP2"/>
    <s v="Proof of Principle"/>
    <s v="New drugs for antibiotic resistant bacterial infections"/>
    <n v="133277"/>
    <n v="0"/>
    <n v="1"/>
    <s v="Infection and Immunity"/>
    <x v="2"/>
    <s v="antibiotic, resistant bacteria, infections"/>
    <n v="0"/>
    <s v="zN/A"/>
    <n v="0"/>
    <s v="zN/A"/>
  </r>
  <r>
    <x v="79"/>
    <s v="University of Alberta"/>
    <s v="Alberta"/>
    <s v="Proof of Principle Program Phase I - Drug Development"/>
    <s v="201003PDD"/>
    <s v="Proof of Principle"/>
    <s v="Bisphosphonate-conjugated Calcitonin"/>
    <n v="117929"/>
    <n v="0"/>
    <n v="1"/>
    <s v="Musculoskeletal Health and Arthritis"/>
    <x v="7"/>
    <s v="Bisphosphonate, Calcitonin"/>
    <n v="2"/>
    <s v="zN/A"/>
    <n v="0"/>
    <s v="zN/A"/>
  </r>
  <r>
    <x v="79"/>
    <s v="University of Alberta"/>
    <s v="Alberta"/>
    <s v="Proof of Principle Program - Phase I"/>
    <s v="201509PPP"/>
    <s v="Proof of Principle"/>
    <s v="Bone-Seeking Iron Oxide Nanoparticles for Imaging Bone Metabolism"/>
    <n v="160000"/>
    <n v="0"/>
    <n v="1"/>
    <s v="Musculoskeletal Health and Arthritis"/>
    <x v="27"/>
    <s v="Iron oxide, nanoparticles, imaging"/>
    <n v="0"/>
    <s v="zN/A"/>
    <n v="0"/>
    <s v="zN/A"/>
  </r>
  <r>
    <x v="80"/>
    <s v="Western University (Ontario)"/>
    <s v="Ontario"/>
    <s v="Project Grant"/>
    <s v="202010PJT"/>
    <s v="Commercialization"/>
    <s v="Contact-force controller to eliminate the effects of motion during cardiac radiofrequency ablation"/>
    <n v="367200"/>
    <n v="0"/>
    <n v="2"/>
    <s v="Circulatory and Respiratory Health"/>
    <x v="28"/>
    <s v="contact-force, radiofrequency, ablation"/>
    <n v="1"/>
    <s v="zN/A"/>
    <n v="0"/>
    <s v="zN/A"/>
  </r>
  <r>
    <x v="81"/>
    <s v="University of British Columbia"/>
    <s v="British Columbia"/>
    <s v="Proof of Principle Program - Phase I"/>
    <s v="201409PPP"/>
    <s v="Proof of Principle"/>
    <s v="Preclinical Development of a Novel Organ Transplant Solution"/>
    <n v="160000"/>
    <n v="0"/>
    <n v="1"/>
    <s v="Nutrition, Metabolism and Diabetes"/>
    <x v="22"/>
    <s v="organ transplant, solution"/>
    <n v="2"/>
    <s v="zN/A"/>
    <n v="0"/>
    <s v="zN/A"/>
  </r>
  <r>
    <x v="82"/>
    <s v="University of British Columbia"/>
    <s v="British Columbia"/>
    <s v="Proof of Principle Program - Phase I"/>
    <s v="201502PPP"/>
    <s v="Proof of Principle"/>
    <s v="Certifiably safe closed-loop control of anesthesia"/>
    <n v="158740"/>
    <n v="0"/>
    <n v="1"/>
    <s v="Circulatory and Respiratory Health"/>
    <x v="1"/>
    <s v="closed-loop, control, anesthesia"/>
    <n v="2"/>
    <s v="zN/A"/>
    <n v="0"/>
    <s v="zN/A"/>
  </r>
  <r>
    <x v="83"/>
    <s v="University Health Network (Toronto)"/>
    <s v="Ontario"/>
    <s v="Proof of Principle Program - Phase I"/>
    <s v="201509PPP"/>
    <s v="Proof of Principle"/>
    <s v="Pressure ulcer prevention: a novel prompting system for patient repositioning"/>
    <n v="137401"/>
    <n v="0"/>
    <n v="1"/>
    <s v="Aging"/>
    <x v="27"/>
    <s v="pressure ulcer, prompting system, repositioning"/>
    <n v="0"/>
    <s v="zN/A"/>
    <n v="0"/>
    <s v="zN/A"/>
  </r>
  <r>
    <x v="84"/>
    <s v="University of Alberta"/>
    <s v="Alberta"/>
    <s v="Proof of Principle Program - Phase I"/>
    <s v="201409PPP"/>
    <s v="Proof of Principle"/>
    <s v="Preclinical Development and Optimization of Small Molecules for the Treatment of Atrial Fibrillation"/>
    <n v="160000"/>
    <n v="0"/>
    <n v="1"/>
    <s v="Circulatory and Respiratory Health"/>
    <x v="22"/>
    <s v="Small Molecules, Atrial Fibrillation, Preclinical"/>
    <n v="0"/>
    <s v="zN/A"/>
    <n v="0"/>
    <s v="zN/A"/>
  </r>
  <r>
    <x v="85"/>
    <s v="Western University (Ontario)"/>
    <s v="Ontario"/>
    <s v="Proof of Principle Program - Phase I"/>
    <s v="201309PPP"/>
    <s v="Proof of Principle"/>
    <s v="3D Ultrasound Scanner System For Management Of Intraventricular Hemorrhage In Preterm Neonates"/>
    <n v="148062"/>
    <n v="0"/>
    <n v="1"/>
    <s v="Human Development, Child and Youth Health"/>
    <x v="14"/>
    <s v="3D Ultrasound, Intraventricular Hemorrhage, Neonates"/>
    <n v="1"/>
    <s v="zN/A"/>
    <n v="0"/>
    <s v="zN/A"/>
  </r>
  <r>
    <x v="85"/>
    <s v="Western University (Ontario)"/>
    <s v="Ontario"/>
    <s v="Proof of Principle Program - Phase I"/>
    <s v="201509PPP"/>
    <s v="Proof of Principle"/>
    <s v="MR-Guided Focal Ablation of Prostate Cancer"/>
    <n v="143110"/>
    <n v="10313"/>
    <n v="1"/>
    <s v="Cancer Research"/>
    <x v="27"/>
    <s v="MR, Ablation, Prostate Cancer"/>
    <n v="0"/>
    <s v="zN/A"/>
    <n v="0"/>
    <s v="zN/A"/>
  </r>
  <r>
    <x v="86"/>
    <s v="University of British Columbia"/>
    <s v="British Columbia"/>
    <s v="Proof of Principle Program - Phase II"/>
    <s v="201009PP2"/>
    <s v="Proof of Principle"/>
    <s v="A sub-unit based vaccine for Salmonella"/>
    <n v="149685"/>
    <n v="0"/>
    <n v="1"/>
    <s v="Infection and Immunity"/>
    <x v="2"/>
    <s v="sub-unit, vaccine, Salmonella"/>
    <n v="1"/>
    <s v="zN/A"/>
    <n v="0"/>
    <s v="zN/A"/>
  </r>
  <r>
    <x v="87"/>
    <s v="Western University (Ontario)"/>
    <s v="Ontario"/>
    <s v="Proof of Principle Program - Phase I"/>
    <s v="201409PPP"/>
    <s v="Proof of Principle"/>
    <s v="Development of novel porous extracellular matrix-derived bioscaffolds for cutaneous wound healing"/>
    <n v="160000"/>
    <n v="0"/>
    <n v="1"/>
    <s v="Musculoskeletal Health and Arthritis"/>
    <x v="22"/>
    <s v="porous, extracellular matrix, bioscaffolds"/>
    <n v="1"/>
    <s v="zN/A"/>
    <n v="0"/>
    <s v="zN/A"/>
  </r>
  <r>
    <x v="88"/>
    <s v="McGill University"/>
    <s v="Quebec"/>
    <s v="Proof of Principle Program - Phase I"/>
    <s v="201402PPP"/>
    <s v="Proof of Principle"/>
    <s v="Targeting Alpha-Synuclein Propagation in the Treatment of Parkinson's Disease and Other Synucleinopathies"/>
    <n v="159946"/>
    <n v="0"/>
    <n v="1"/>
    <s v="Neurosciences, Mental Health and Addiction"/>
    <x v="3"/>
    <s v="Alpha-Synuclein, Propagation, Parkinson's Disease"/>
    <n v="0"/>
    <s v="zN/A"/>
    <n v="0"/>
    <s v="zN/A"/>
  </r>
  <r>
    <x v="89"/>
    <s v="University of British Columbia"/>
    <s v="British Columbia"/>
    <s v="Project Grant - PA: Pandemic Preparedness and Health Emergencies Research"/>
    <s v="202403PPE"/>
    <s v="Commercialization"/>
    <s v="Development and Commercialization of a Safe and Effective Mpox Subunit Vaccine witheGlobaleImpact"/>
    <n v="100000"/>
    <n v="0"/>
    <n v="1"/>
    <s v="Population and Public Health"/>
    <x v="15"/>
    <s v="Mpox, Subunit, Vaccine"/>
    <n v="0"/>
    <s v="zN/A"/>
    <n v="0"/>
    <s v="zN/A"/>
  </r>
  <r>
    <x v="89"/>
    <s v="University of British Columbia"/>
    <s v="British Columbia"/>
    <s v="Project Grant - PA: Pandemic Preparedness and Health Emergencies Research"/>
    <s v="202309PPE"/>
    <s v="Commercialization"/>
    <s v="Development and Commercialization of a Safe and Effective Mpox Subunit Vaccine witheGlobaleImpact"/>
    <n v="100000"/>
    <n v="0"/>
    <n v="1"/>
    <s v="Population and Public Health"/>
    <x v="26"/>
    <s v="Mpox, Subunit, Vaccine"/>
    <n v="0"/>
    <s v="zN/A"/>
    <n v="0"/>
    <s v="zN/A"/>
  </r>
  <r>
    <x v="90"/>
    <s v="University of Toronto"/>
    <s v="Ontario"/>
    <s v="Proof of Principle Program - Phase I"/>
    <s v="200810PPP"/>
    <s v="Proof of Principle"/>
    <s v="Amyloid-Based Therapies for Type 2 Diabetes"/>
    <n v="150000"/>
    <n v="0"/>
    <n v="1"/>
    <s v="Nutrition, Metabolism and Diabetes"/>
    <x v="15"/>
    <s v="Amyloid, Therapies, Diabetes"/>
    <n v="3"/>
    <s v="zN/A"/>
    <n v="0"/>
    <s v="zN/A"/>
  </r>
  <r>
    <x v="91"/>
    <s v="Universite de Sherbrooke"/>
    <s v="Quebec"/>
    <s v="Proof of Principle Program - Phase I"/>
    <s v="201102PPP"/>
    <s v="Proof of Principle"/>
    <s v="Simultaneous Influenza A detection, subtyping, and oseltamivir resistance determination"/>
    <n v="95000"/>
    <n v="65000"/>
    <n v="1"/>
    <s v="Infection and Immunity"/>
    <x v="4"/>
    <s v="Influenza, detection, resistance"/>
    <n v="0"/>
    <s v="zN/A"/>
    <n v="0"/>
    <s v="zN/A"/>
  </r>
  <r>
    <x v="92"/>
    <s v="University of British Columbia"/>
    <s v="British Columbia"/>
    <s v="Project Grant"/>
    <s v="201809PJT"/>
    <s v="Commercialization"/>
    <s v="Blood based biomarker for the early detection of recurrent head and neck cancer"/>
    <n v="539324"/>
    <n v="0"/>
    <n v="4"/>
    <s v="Cancer Research"/>
    <x v="10"/>
    <s v="blood, biomarker, cancer"/>
    <n v="0"/>
    <s v="zN/A"/>
    <n v="0"/>
    <s v="zN/A"/>
  </r>
  <r>
    <x v="92"/>
    <s v="University of British Columbia"/>
    <s v="British Columbia"/>
    <s v="Project Grant"/>
    <s v="202309PJT"/>
    <s v="Commercialization"/>
    <s v="Blood based biomarker for the early detection of recurrent oropharyngeal cancer"/>
    <n v="474300"/>
    <n v="0"/>
    <n v="4"/>
    <s v="Cancer Research"/>
    <x v="19"/>
    <s v="blood, biomarker, oropharyngeal cancer"/>
    <n v="0"/>
    <s v="zN/A"/>
    <n v="0"/>
    <s v="zN/A"/>
  </r>
  <r>
    <x v="93"/>
    <s v="CIUSSS de Centre-Ouest-de-l'Ile-de-Montreal-Jewish General"/>
    <s v="Quebec"/>
    <s v="Proof of Principle Program - Phase I"/>
    <s v="201309PPP"/>
    <s v="Proof of Principle"/>
    <s v="Development of antisense-based small RNA agents targeting the GAG open reading frame of HIV-1 RNA for use in gene and drug therapy against HIV-1 infection."/>
    <n v="159550"/>
    <n v="0"/>
    <n v="1"/>
    <s v="Infection and Immunity"/>
    <x v="14"/>
    <s v="antisense, RNA, HIV-1"/>
    <n v="1"/>
    <s v="zN/A"/>
    <n v="0"/>
    <s v="zN/A"/>
  </r>
  <r>
    <x v="94"/>
    <s v="University of British Columbia"/>
    <s v="British Columbia"/>
    <s v="Proof of Principle Program - Phase I"/>
    <s v="201109PPP"/>
    <s v="Proof of Principle"/>
    <s v="Discovery of a Novel Anti-fibrogenic factor and its Therapeutic evaluation"/>
    <n v="150932"/>
    <n v="0"/>
    <n v="1"/>
    <s v="Musculoskeletal Health and Arthritis"/>
    <x v="11"/>
    <s v="Anti-fibrogenic, factor, therapeutic"/>
    <n v="3"/>
    <s v="zN/A"/>
    <n v="0"/>
    <s v="zN/A"/>
  </r>
  <r>
    <x v="94"/>
    <s v="University of British Columbia"/>
    <s v="British Columbia"/>
    <s v="Proof of Principle Program - Phase I"/>
    <s v="201309PPP"/>
    <s v="Proof of Principle"/>
    <s v="Re -constitutable skin substitute powder kit"/>
    <n v="147089"/>
    <n v="0"/>
    <n v="1"/>
    <s v="Musculoskeletal Health and Arthritis"/>
    <x v="14"/>
    <s v="skin, substitute, powder"/>
    <n v="2"/>
    <s v="zN/A"/>
    <n v="0"/>
    <s v="zN/A"/>
  </r>
  <r>
    <x v="95"/>
    <s v="University of Ottawa"/>
    <s v="Ontario"/>
    <s v="Proof of Principle Program - Phase I"/>
    <s v="201502PPP"/>
    <s v="Proof of Principle"/>
    <s v="Technology to build a drug delivery platform for silencing RNAs using exosomes"/>
    <n v="159941"/>
    <n v="0"/>
    <n v="1"/>
    <s v="Aging"/>
    <x v="1"/>
    <s v="drug delivery, exosomes, RNAs"/>
    <n v="3"/>
    <s v="zN/A"/>
    <n v="0"/>
    <s v="zN/A"/>
  </r>
  <r>
    <x v="96"/>
    <s v="University of British Columbia"/>
    <s v="British Columbia"/>
    <s v="Project Grant"/>
    <s v="201709PJT"/>
    <s v="Commercialization"/>
    <s v="Preclinical development of a novel androgen receptor antagonist to treat castration-resistant prostate cancer"/>
    <n v="351900"/>
    <n v="0"/>
    <n v="2"/>
    <s v="Cancer Research"/>
    <x v="25"/>
    <s v="androgen receptor, prostate cancer, antagonist"/>
    <n v="3"/>
    <s v="zN/A"/>
    <n v="0"/>
    <s v="zN/A"/>
  </r>
  <r>
    <x v="97"/>
    <s v="University of Toronto"/>
    <s v="Ontario"/>
    <s v="Proof of Principle Program - Phase II"/>
    <s v="200904PP2"/>
    <s v="Proof of Principle"/>
    <s v="Clinical Evaluation of a Chair-side In Vitro Rinse Test for Predicting Onset and Recurrent Adult Periodontitis"/>
    <n v="88399"/>
    <n v="0"/>
    <n v="1"/>
    <s v="Musculoskeletal Health and Arthritis"/>
    <x v="5"/>
    <s v="Chair-side, In Vitro, Periodontitis"/>
    <n v="0"/>
    <s v="zN/A"/>
    <n v="0"/>
    <s v="zN/A"/>
  </r>
  <r>
    <x v="98"/>
    <s v="McGill University"/>
    <s v="Quebec"/>
    <s v="Proof of Principle Program - Phase I"/>
    <s v="201509PPP"/>
    <s v="Proof of Principle"/>
    <s v="Novel first-in-class MT2 melatonin receptor partial agonists for neuropathic pain"/>
    <n v="160000"/>
    <n v="0"/>
    <n v="1"/>
    <s v="Neurosciences, Mental Health and Addiction"/>
    <x v="27"/>
    <s v="MT2, melatonin receptor, neuropathic pain"/>
    <n v="4"/>
    <s v="zN/A"/>
    <n v="0"/>
    <s v="zN/A"/>
  </r>
  <r>
    <x v="99"/>
    <s v="Universite de Sherbrooke"/>
    <s v="Quebec"/>
    <s v="Proof of Principle Program - Phase I"/>
    <s v="201109PPP"/>
    <s v="Proof of Principle"/>
    <s v="Agonistes synthetiques de kinines : Optimiser la livraison et l'efficacite des chimiotherapies des tumeurs cerebrales"/>
    <n v="149418"/>
    <n v="0"/>
    <n v="1"/>
    <s v="Cancer Research"/>
    <x v="11"/>
    <s v="kinines, livraison, chimiotherapies"/>
    <n v="0"/>
    <s v="zN/A"/>
    <n v="0"/>
    <s v="zN/A"/>
  </r>
  <r>
    <x v="100"/>
    <s v="University of Toronto"/>
    <s v="Ontario"/>
    <s v="Project Grant"/>
    <s v="202203PJT"/>
    <s v="Commercialization"/>
    <s v="Streptococcus salivarius Probiotics Against Dental Caries Pathogens"/>
    <n v="535501"/>
    <n v="0"/>
    <n v="4"/>
    <s v="Musculoskeletal Health and Arthritis"/>
    <x v="6"/>
    <s v="Streptococcus salivarius, Probiotics, Dental Caries"/>
    <n v="1"/>
    <s v="zN/A"/>
    <n v="0"/>
    <s v="zN/A"/>
  </r>
  <r>
    <x v="101"/>
    <s v="Sunnybrook Health Sciences Centre (Toronto, Ontario)"/>
    <s v="Ontario"/>
    <s v="Proof of Principle Program - Phase I"/>
    <s v="201102PPP"/>
    <s v="Proof of Principle"/>
    <s v="Tablet Technology for Assessing Dementia"/>
    <n v="116402"/>
    <n v="0"/>
    <n v="1"/>
    <s v="Neurosciences, Mental Health and Addiction"/>
    <x v="4"/>
    <s v="Tablet, Dementia, Assessing"/>
    <n v="1"/>
    <s v="zN/A"/>
    <n v="0"/>
    <s v="zN/A"/>
  </r>
  <r>
    <x v="102"/>
    <s v="University of British Columbia"/>
    <s v="British Columbia"/>
    <s v="Proof of Principle Program - Phase II"/>
    <s v="200910PP2"/>
    <s v="Proof of Principle"/>
    <s v="Therapeutic antibody development towards granzyme B"/>
    <n v="101240"/>
    <n v="0"/>
    <n v="1"/>
    <s v="Circulatory and Respiratory Health"/>
    <x v="8"/>
    <s v="antibody, granzyme B"/>
    <n v="7"/>
    <s v="zN/A"/>
    <n v="0"/>
    <s v="zN/A"/>
  </r>
  <r>
    <x v="103"/>
    <s v="University of Alberta"/>
    <s v="Alberta"/>
    <s v="Proof of Principle Program - Phase II"/>
    <s v="201502PP2"/>
    <s v="Proof of Principle"/>
    <s v="Ampakine Therapy for Alleviating Respiratory Depression"/>
    <n v="145440"/>
    <n v="0"/>
    <n v="1"/>
    <s v="Circulatory and Respiratory Health"/>
    <x v="1"/>
    <s v="Ampakine, Respiratory Depression, Therapy"/>
    <n v="2"/>
    <s v="zN/A"/>
    <n v="0"/>
    <s v="zN/A"/>
  </r>
  <r>
    <x v="104"/>
    <s v="University of British Columbia"/>
    <s v="British Columbia"/>
    <s v="Proof of Principle Program - Phase I"/>
    <s v="201409PPP"/>
    <s v="Proof of Principle"/>
    <s v="Development of Specific Inhibitors of HIV pre-mRNA Alternative Splicing: A New Anti-HIV/AIDS Strategy"/>
    <n v="160000"/>
    <n v="0"/>
    <n v="1"/>
    <s v="Infection and Immunity"/>
    <x v="22"/>
    <s v="HIV, pre-mRNA, splicing"/>
    <n v="4"/>
    <s v="zN/A"/>
    <n v="0"/>
    <s v="zN/A"/>
  </r>
  <r>
    <x v="105"/>
    <s v="McMaster University"/>
    <s v="Ontario"/>
    <s v="Project Grant"/>
    <s v="202203PJT"/>
    <s v="Commercialization"/>
    <s v="Benchmarking a point-of-care test kit for detection of direct-oral anticoagulants"/>
    <n v="279225"/>
    <n v="0"/>
    <n v="2"/>
    <s v="Circulatory and Respiratory Health"/>
    <x v="6"/>
    <s v="point-of-care, anticoagulants, detection"/>
    <n v="0"/>
    <s v="zN/A"/>
    <n v="0"/>
    <s v="zN/A"/>
  </r>
  <r>
    <x v="106"/>
    <s v="Sinai Health System (Toronto)"/>
    <s v="Ontario"/>
    <s v="Proof of Principle Program - Phase I"/>
    <s v="201009PPP"/>
    <s v="Proof of Principle"/>
    <s v="&quot;Calcium Polyphosphate Bone Substitutes&quot;"/>
    <n v="156022"/>
    <n v="0"/>
    <n v="1"/>
    <s v="Musculoskeletal Health and Arthritis"/>
    <x v="2"/>
    <s v="Calcium, Polyphosphate, Bone"/>
    <n v="2"/>
    <s v="zN/A"/>
    <n v="0"/>
    <s v="zN/A"/>
  </r>
  <r>
    <x v="107"/>
    <s v="Universite Laval"/>
    <s v="Quebec"/>
    <s v="Proof of Principle Program - Phase I"/>
    <s v="201109PPP"/>
    <s v="Proof of Principle"/>
    <s v="First-in-class Therapeutic Against Urinary Retention (Continence) in Patients with Chronic Spinal Cord Injury and Related Disorders"/>
    <n v="160000"/>
    <n v="0"/>
    <n v="1"/>
    <s v="Neurosciences, Mental Health and Addiction"/>
    <x v="11"/>
    <s v="Urinary retention, spinal cord injury, continence"/>
    <n v="2"/>
    <s v="zN/A"/>
    <n v="0"/>
    <s v="zN/A"/>
  </r>
  <r>
    <x v="107"/>
    <s v="Universite Laval"/>
    <s v="Quebec"/>
    <s v="Proof of Principle Program - Phase I"/>
    <s v="201302PPP"/>
    <s v="Proof of Principle"/>
    <s v="A Novel Class of Drug Treatment Against Chronic Constipation in Spinal Cord-Injured People"/>
    <n v="160000"/>
    <n v="0"/>
    <n v="1"/>
    <s v="Neurosciences, Mental Health and Addiction"/>
    <x v="13"/>
    <s v="Drug, Constipation, Spinal Cord"/>
    <n v="0"/>
    <s v="zN/A"/>
    <n v="0"/>
    <s v="zN/A"/>
  </r>
  <r>
    <x v="108"/>
    <s v="Centre hospitalier universitaire Sainte-Justine (Montreal, Quebec)"/>
    <s v="Quebec"/>
    <s v="Project Grant - PA: Breast Cancer Research"/>
    <s v="202109PLL"/>
    <s v="Commercialization"/>
    <s v="Platform of synthetic specific promoters for immunotherapies and regenerative medicine"/>
    <n v="100000"/>
    <n v="0"/>
    <n v="1"/>
    <s v="Cancer Research"/>
    <x v="29"/>
    <s v="synthetic promoters, immunotherapies, regenerative medicine"/>
    <n v="0"/>
    <s v="zN/A"/>
    <n v="0"/>
    <s v="zN/A"/>
  </r>
  <r>
    <x v="108"/>
    <s v="Centre hospitalier universitaire Sainte-Justine (Montreal, Quebec)"/>
    <s v="Quebec"/>
    <s v="Project Grant"/>
    <s v="202209PJT"/>
    <s v="Commercialization"/>
    <s v="Empowering innovative hematopoietic stem cells (HSC)-based cancer immunotherapy through the creation of synthetic specific promoters"/>
    <n v="765000"/>
    <n v="0"/>
    <n v="4"/>
    <s v="Cancer Research"/>
    <x v="9"/>
    <s v="hematopoietic stem cells, immunotherapy, synthetic promoters"/>
    <n v="1"/>
    <s v="zN/A"/>
    <n v="0"/>
    <s v="zN/A"/>
  </r>
  <r>
    <x v="109"/>
    <s v="University of British Columbia"/>
    <s v="British Columbia"/>
    <s v="Proof of Principle Program Phase I - Drug Development"/>
    <s v="201102PDD"/>
    <s v="Proof of Principle"/>
    <s v="Novel anti-inflammatory treatment for Amyotrophic Lateral Sclerosis"/>
    <n v="160000"/>
    <n v="0"/>
    <n v="1"/>
    <s v="Neurosciences, Mental Health and Addiction"/>
    <x v="4"/>
    <s v="anti-inflammatory, Amyotrophic Lateral Sclerosis"/>
    <n v="1"/>
    <s v="zN/A"/>
    <n v="0"/>
    <s v="zN/A"/>
  </r>
  <r>
    <x v="109"/>
    <s v="University of British Columbia"/>
    <s v="British Columbia"/>
    <s v="Proof of Principle Program - Phase I"/>
    <s v="201209PPP"/>
    <s v="Proof of Principle"/>
    <s v="Anti-Biofilm Therapy"/>
    <n v="160000"/>
    <n v="0"/>
    <n v="1"/>
    <s v="Infection and Immunity"/>
    <x v="16"/>
    <s v="Anti-biofilm, Therapy"/>
    <n v="4"/>
    <s v="zN/A"/>
    <n v="0"/>
    <s v="zN/A"/>
  </r>
  <r>
    <x v="110"/>
    <s v="McGill University"/>
    <s v="Quebec"/>
    <s v="Proof of Principle Program - Phase I"/>
    <s v="201402PPP"/>
    <s v="Proof of Principle"/>
    <s v="CFTR modulators as a potential new therapeutic paradigm to treat individuals with COPD"/>
    <n v="159665"/>
    <n v="0"/>
    <n v="1"/>
    <s v="Circulatory and Respiratory Health"/>
    <x v="3"/>
    <s v="CFTR, modulators, COPD"/>
    <n v="2"/>
    <s v="zN/A"/>
    <n v="0"/>
    <s v="zN/A"/>
  </r>
  <r>
    <x v="111"/>
    <s v="University of British Columbia"/>
    <s v="British Columbia"/>
    <s v="Proof of Principle Program - Phase I"/>
    <s v="201202PPP"/>
    <s v="Proof of Principle"/>
    <s v="Pre-commercial development of single cell antibody selection process"/>
    <n v="154120"/>
    <n v="0"/>
    <n v="1"/>
    <s v="Infection and Immunity"/>
    <x v="0"/>
    <s v="single cell, antibody, selection"/>
    <n v="11"/>
    <s v="zN/A"/>
    <n v="0"/>
    <s v="zN/A"/>
  </r>
  <r>
    <x v="112"/>
    <s v="McMaster University"/>
    <s v="Ontario"/>
    <s v="Proof of Principle Program - Phase I"/>
    <s v="201109PPP"/>
    <s v="Proof of Principle"/>
    <s v="Characterization of small molecule sensitizers to chemotherapy"/>
    <n v="160000"/>
    <n v="0"/>
    <n v="1"/>
    <s v="Cancer Research"/>
    <x v="11"/>
    <s v="small molecule, sensitizers, chemotherapy"/>
    <n v="0"/>
    <s v="zN/A"/>
    <n v="0"/>
    <s v="zN/A"/>
  </r>
  <r>
    <x v="113"/>
    <s v="Universite Laval"/>
    <s v="Quebec"/>
    <s v="Proof of Principle Program - Phase I"/>
    <s v="201309PPP"/>
    <s v="Proof of Principle"/>
    <s v="Diagnostic differentiel de la schizophrenie, la depression bipolaire et la depression majeure e l'aide de l'electroretinographie"/>
    <n v="159700"/>
    <n v="0"/>
    <n v="1"/>
    <s v="Neurosciences, Mental Health and Addiction"/>
    <x v="14"/>
    <s v="diagnostic, electroretinography, schizophrenia"/>
    <n v="1"/>
    <s v="zN/A"/>
    <n v="0"/>
    <s v="zN/A"/>
  </r>
  <r>
    <x v="114"/>
    <s v="McGill University"/>
    <s v="Quebec"/>
    <s v="Proof of Principle Program - Phase I"/>
    <s v="200810PPP"/>
    <s v="Proof of Principle"/>
    <s v="Assessment and Treatment of Binocular Vision in Amblyopia"/>
    <n v="126802"/>
    <n v="0"/>
    <n v="1"/>
    <s v="Neurosciences, Mental Health and Addiction"/>
    <x v="15"/>
    <s v="Binocular vision, Amblyopia"/>
    <n v="6"/>
    <s v="zN/A"/>
    <n v="0"/>
    <s v="zN/A"/>
  </r>
  <r>
    <x v="115"/>
    <s v="Universite de Sherbrooke"/>
    <s v="Quebec"/>
    <s v="Proof of Principle Program - Phase I"/>
    <s v="201009PPP"/>
    <s v="Proof of Principle"/>
    <s v="Radiotherapie par filamentation laser femtoseconde"/>
    <n v="112602"/>
    <n v="0"/>
    <n v="1"/>
    <s v="Cancer Research"/>
    <x v="2"/>
    <s v="radiotherapie, laser, femtoseconde"/>
    <n v="1"/>
    <s v="zN/A"/>
    <n v="0"/>
    <s v="zN/A"/>
  </r>
  <r>
    <x v="116"/>
    <s v="Western University (Ontario)"/>
    <s v="Ontario"/>
    <s v="Proof of Principle Program - Phase I"/>
    <s v="200904PPP"/>
    <s v="Proof of Principle"/>
    <s v="Crystal-binding peptides for prevention of kidney stone disease"/>
    <n v="116350"/>
    <n v="6000"/>
    <n v="1"/>
    <s v="Nutrition, Metabolism and Diabetes"/>
    <x v="5"/>
    <s v="crystal-binding, peptides, kidney stone"/>
    <n v="0"/>
    <s v="zN/A"/>
    <n v="0"/>
    <s v="zN/A"/>
  </r>
  <r>
    <x v="117"/>
    <s v="University of British Columbia"/>
    <s v="British Columbia"/>
    <s v="Proof of Principle Program - Phase I"/>
    <s v="200910PPP"/>
    <s v="Proof of Principle"/>
    <s v="A Diagnostic Test for Granulosa Cell Tumours of the Ovary"/>
    <n v="150000"/>
    <n v="0"/>
    <n v="1"/>
    <s v="Cancer Research"/>
    <x v="8"/>
    <s v="Diagnostic, Granulosa Cells, Tumours"/>
    <n v="3"/>
    <s v="zN/A"/>
    <n v="0"/>
    <s v="zN/A"/>
  </r>
  <r>
    <x v="117"/>
    <s v="University of British Columbia"/>
    <s v="British Columbia"/>
    <s v="Proof of Principle Program - Phase I"/>
    <s v="201209PPP"/>
    <s v="Proof of Principle"/>
    <s v="PrOTYPE: An Enabling Technology to Improve Ovarian Cancer Care"/>
    <n v="154829"/>
    <n v="0"/>
    <n v="1"/>
    <s v="Cancer Research"/>
    <x v="16"/>
    <s v="Ovarian cancer, Enabling technology"/>
    <n v="1"/>
    <s v="zN/A"/>
    <n v="0"/>
    <s v="zN/A"/>
  </r>
  <r>
    <x v="118"/>
    <s v="University Health Network (Toronto)"/>
    <s v="Ontario"/>
    <s v="Proof of Principle Program - Phase II"/>
    <s v="201202PP2"/>
    <s v="Proof of Principle"/>
    <s v="Development of an anti-proliferative therapeutic that disrupts CaM-cyclin E interactions in vivo."/>
    <n v="184100"/>
    <n v="10600"/>
    <n v="1"/>
    <s v="Circulatory and Respiratory Health"/>
    <x v="0"/>
    <s v="anti-proliferative, CaM-cyclin E, interactions"/>
    <n v="0"/>
    <s v="zN/A"/>
    <n v="0"/>
    <s v="zN/A"/>
  </r>
  <r>
    <x v="119"/>
    <s v="Unity Health Toronto"/>
    <s v="Ontario"/>
    <s v="Project Grant"/>
    <s v="202403PJT"/>
    <s v="Commercialization"/>
    <s v="Commercialization of H-scan: a new tool for imaging kidney fibrosis"/>
    <n v="726750"/>
    <n v="0"/>
    <n v="3"/>
    <s v="Nutrition, Metabolism and Diabetes"/>
    <x v="20"/>
    <s v="H-scan, imaging, kidney fibrosis"/>
    <n v="1"/>
    <s v="zN/A"/>
    <n v="0"/>
    <s v="zN/A"/>
  </r>
  <r>
    <x v="120"/>
    <s v="University Health Network (Toronto)"/>
    <s v="Ontario"/>
    <s v="Proof of Principle Program - Phase I"/>
    <s v="201402PPP"/>
    <s v="Proof of Principle"/>
    <s v="Advanced Handheld SPECT System for Intraoperative Guidance"/>
    <n v="159845"/>
    <n v="0"/>
    <n v="1"/>
    <s v="Cancer Research"/>
    <x v="3"/>
    <s v="Handheld, SPECT, Guidance"/>
    <n v="0"/>
    <s v="zN/A"/>
    <n v="0"/>
    <s v="zN/A"/>
  </r>
  <r>
    <x v="121"/>
    <s v="Sinai Health System (Toronto)"/>
    <s v="Ontario"/>
    <s v="Proof of Principle Program - Phase I"/>
    <s v="201009PPP"/>
    <s v="Proof of Principle"/>
    <s v="Novel semen biomarkers to identify sperm production in men with infertility: A non-invasive method to characterize men with azoospermia or no sperm in the semen, into those with and without testicular sperm production"/>
    <n v="152499"/>
    <n v="0"/>
    <n v="1"/>
    <s v="Human Development, Child and Youth Health"/>
    <x v="2"/>
    <s v="semen biomarkers, azoospermia, sperm production"/>
    <n v="1"/>
    <s v="zN/A"/>
    <n v="0"/>
    <s v="zN/A"/>
  </r>
  <r>
    <x v="121"/>
    <s v="Sinai Health System (Toronto)"/>
    <s v="Ontario"/>
    <s v="Proof of Principle Program - Phase I"/>
    <s v="201302PPP"/>
    <s v="Proof of Principle"/>
    <s v="Prediction of successful sperm retrieval in patients with non-obstructive azoospermia using a panel of protein biomarkers measured in seminal plasma"/>
    <n v="154660"/>
    <n v="0"/>
    <n v="1"/>
    <s v="Human Development, Child and Youth Health"/>
    <x v="13"/>
    <s v="sperm retrieval, azoospermia, protein biomarkers"/>
    <n v="0"/>
    <s v="zN/A"/>
    <n v="0"/>
    <s v="zN/A"/>
  </r>
  <r>
    <x v="121"/>
    <s v="Sinai Health System (Toronto)"/>
    <s v="Ontario"/>
    <s v="Proof of Principle Program - Phase I"/>
    <s v="201509PPP"/>
    <s v="Proof of Principle"/>
    <s v="Prediction of successful sperm retrieval in patients with non-obstructive azoospermia using TEX101 protein measured in seminal plasma by ELISA"/>
    <n v="160000"/>
    <n v="0"/>
    <n v="1"/>
    <s v="Human Development, Child and Youth Health"/>
    <x v="27"/>
    <s v="sperm retrieval, TEX101, azoospermia"/>
    <n v="0"/>
    <s v="zN/A"/>
    <n v="0"/>
    <s v="zN/A"/>
  </r>
  <r>
    <x v="122"/>
    <s v="McGill University"/>
    <s v="Quebec"/>
    <s v="Proof of Principle Program - Phase I"/>
    <s v="200910PPP"/>
    <s v="Proof of Principle"/>
    <s v="Minimally Invasive Ready, Highly Expandable Vertebral Body Replacement Device"/>
    <n v="122826"/>
    <n v="0"/>
    <n v="1"/>
    <s v="Cancer Research"/>
    <x v="8"/>
    <s v="Vertebral, Expandable, Device"/>
    <n v="2"/>
    <s v="zN/A"/>
    <n v="0"/>
    <s v="zN/A"/>
  </r>
  <r>
    <x v="123"/>
    <s v="University of British Columbia"/>
    <s v="British Columbia"/>
    <s v="Proof of Principle Program - Phase I"/>
    <s v="201402PPP"/>
    <s v="Proof of Principle"/>
    <s v="Self-Propelling Hemostatic Particles that Treat Severe Bleeding"/>
    <n v="159788"/>
    <n v="0"/>
    <n v="1"/>
    <s v="Circulatory and Respiratory Health"/>
    <x v="3"/>
    <s v="Self-Propelling, Hemostatic, Bleeding"/>
    <n v="1"/>
    <s v="zN/A"/>
    <n v="0"/>
    <s v="zN/A"/>
  </r>
  <r>
    <x v="124"/>
    <s v="University of Manitoba"/>
    <s v="Manitoba"/>
    <s v="Project Grant"/>
    <s v="201803PJT"/>
    <s v="Commercialization"/>
    <s v="Acoustical Device for Obstructive Sleep Apnea Severity Prediction during Wakefulness"/>
    <n v="367200"/>
    <n v="0"/>
    <n v="3"/>
    <s v="Circulatory and Respiratory Health"/>
    <x v="30"/>
    <s v="Acoustical, Sleep Apnea, Prediction"/>
    <n v="0"/>
    <s v="zN/A"/>
    <n v="0"/>
    <s v="zN/A"/>
  </r>
  <r>
    <x v="23"/>
    <s v="University of Toronto"/>
    <s v="Ontario"/>
    <s v="Proof of Principle Program - Phase I"/>
    <s v="201109PPP"/>
    <s v="Proof of Principle"/>
    <s v="Preclinical testing of a mitochondrially-targeted anticancer agent"/>
    <n v="160000"/>
    <n v="0"/>
    <n v="1"/>
    <s v="Cancer Research"/>
    <x v="11"/>
    <s v="mitochondrially-targeted, anticancer, agent"/>
    <n v="1"/>
    <s v="zN/A"/>
    <n v="0"/>
    <s v="zN/A"/>
  </r>
  <r>
    <x v="23"/>
    <s v="University of Toronto"/>
    <s v="Ontario"/>
    <s v="Proof of Principle Program - Phase I"/>
    <s v="201402PPP"/>
    <s v="Proof of Principle"/>
    <s v="The xViva CTC capture chip: a device for tumor cell sorting and classification"/>
    <n v="160000"/>
    <n v="0"/>
    <n v="1"/>
    <s v="Genetics"/>
    <x v="3"/>
    <s v="CTC, capture, sorting"/>
    <n v="3"/>
    <s v="zN/A"/>
    <n v="0"/>
    <s v="zN/A"/>
  </r>
  <r>
    <x v="125"/>
    <s v="Hospital for Sick Children (Toronto)"/>
    <s v="Ontario"/>
    <s v="Proof of Principle Program - Phase I"/>
    <s v="201502PPP"/>
    <s v="Proof of Principle"/>
    <s v="A novel therapeutic treatment for Zellweger Spectrum Disorder"/>
    <n v="160000"/>
    <n v="0"/>
    <n v="1"/>
    <s v="Human Development, Child and Youth Health"/>
    <x v="1"/>
    <s v="Zellweger, Spectrum, Disorder"/>
    <n v="0"/>
    <s v="zN/A"/>
    <n v="0"/>
    <s v="zN/A"/>
  </r>
  <r>
    <x v="126"/>
    <s v="University of British Columbia"/>
    <s v="British Columbia"/>
    <s v="Proof of Principle Program - Phase I"/>
    <s v="201202PPP"/>
    <s v="Proof of Principle"/>
    <s v="Novel Polymer Based Glucose-sparing Peritoneal Dialysis Solutions for End-stage Renal Disease"/>
    <n v="160000"/>
    <n v="0"/>
    <n v="1"/>
    <s v="Nutrition, Metabolism and Diabetes"/>
    <x v="0"/>
    <s v="Polymer, Glucose-sparing, Dialysis"/>
    <n v="2"/>
    <s v="zN/A"/>
    <n v="0"/>
    <s v="zN/A"/>
  </r>
  <r>
    <x v="126"/>
    <s v="University of British Columbia"/>
    <s v="British Columbia"/>
    <s v="Proof of Principle Program - Phase II"/>
    <s v="201402PP2"/>
    <s v="Proof of Principle"/>
    <s v="Preclinical Development of a Glucose-Free Peritoneal Dialysis Solution"/>
    <n v="289799"/>
    <n v="5000"/>
    <n v="1"/>
    <s v="Nutrition, Metabolism and Diabetes"/>
    <x v="3"/>
    <s v="Glucose-Free, Peritoneal Dialysis, Solution"/>
    <n v="7"/>
    <s v="zN/A"/>
    <n v="0"/>
    <s v="zN/A"/>
  </r>
  <r>
    <x v="126"/>
    <s v="University of British Columbia"/>
    <s v="British Columbia"/>
    <s v="Project Grant"/>
    <s v="202010PJT"/>
    <s v="Commercialization"/>
    <s v="Novel Infection Resistant Coating in an Era of Drug Resistant Bacteria for the Treatment and Prevention of Medical Device Infection"/>
    <n v="520199"/>
    <n v="0"/>
    <n v="3"/>
    <s v="Infection and Immunity"/>
    <x v="28"/>
    <s v="Infection, Coating, Bacteria"/>
    <n v="2"/>
    <s v="zN/A"/>
    <n v="0"/>
    <s v="zN/A"/>
  </r>
  <r>
    <x v="126"/>
    <s v="University of British Columbia"/>
    <s v="British Columbia"/>
    <s v="Project Grant"/>
    <s v="202209PJT"/>
    <s v="Commercialization"/>
    <s v="Localized immuno-cloaking organ engineering approach to prevent transplant rejection without immunosuppressants"/>
    <n v="803250"/>
    <n v="0"/>
    <n v="3"/>
    <s v="Infection and Immunity"/>
    <x v="9"/>
    <s v="immuno-cloaking, organ engineering, transplant rejection"/>
    <n v="4"/>
    <s v="zN/A"/>
    <n v="0"/>
    <s v="zN/A"/>
  </r>
  <r>
    <x v="127"/>
    <s v="University of Toronto"/>
    <s v="Ontario"/>
    <s v="Proof of Principle Program - Phase I"/>
    <s v="201409PPP"/>
    <s v="Proof of Principle"/>
    <s v="Peptide therapeutics for preventing retinal ganglion cell apoptosis"/>
    <n v="149949"/>
    <n v="0"/>
    <n v="1"/>
    <s v="Neurosciences, Mental Health and Addiction"/>
    <x v="22"/>
    <s v="peptide, retinal ganglion cell, apoptosis"/>
    <n v="1"/>
    <s v="zN/A"/>
    <n v="0"/>
    <s v="zN/A"/>
  </r>
  <r>
    <x v="128"/>
    <s v="CIUSSS Est-de-l'Ile-de- Montreal-Maisonneuve Rosemont"/>
    <s v="Quebec"/>
    <s v="Proof of Principle Program - Phase I"/>
    <s v="201003PPP"/>
    <s v="Proof of Principle"/>
    <s v="Novel methods and compounds for increasing red blood cell survival"/>
    <n v="160000"/>
    <n v="0"/>
    <n v="1"/>
    <s v="Circulatory and Respiratory Health"/>
    <x v="7"/>
    <s v="red blood cell, survival, compounds"/>
    <n v="0"/>
    <s v="zN/A"/>
    <n v="0"/>
    <s v="zN/A"/>
  </r>
  <r>
    <x v="129"/>
    <s v="McGill University"/>
    <s v="Quebec"/>
    <s v="Proof of Principle Program - Phase I"/>
    <s v="201109PPP"/>
    <s v="Proof of Principle"/>
    <s v="Protective Effects of Potato Polyphenol-Rich Extracts Against Lung Damage Caused by Air Pollutants"/>
    <n v="150525"/>
    <n v="0"/>
    <n v="1"/>
    <s v="Circulatory and Respiratory Health"/>
    <x v="11"/>
    <s v="potato polyphenols, lung damage, air pollutants"/>
    <n v="1"/>
    <s v="zN/A"/>
    <n v="0"/>
    <s v="zN/A"/>
  </r>
  <r>
    <x v="130"/>
    <s v="University of Alberta"/>
    <s v="Alberta"/>
    <s v="Proof of Principle Program - Phase I"/>
    <s v="201209PPP"/>
    <s v="Proof of Principle"/>
    <s v="Development of new class of antiviral drugs for influenza A virus infections"/>
    <n v="156590"/>
    <n v="0"/>
    <n v="1"/>
    <s v="Infection and Immunity"/>
    <x v="16"/>
    <s v="antiviral, influenza, virus"/>
    <n v="0"/>
    <s v="zN/A"/>
    <n v="0"/>
    <s v="zN/A"/>
  </r>
  <r>
    <x v="130"/>
    <s v="University of Alberta"/>
    <s v="Alberta"/>
    <s v="Proof of Principle Program - Phase I"/>
    <s v="201309PPP"/>
    <s v="Proof of Principle"/>
    <s v="Development of novel chemotherapeutics for tuberculosis"/>
    <n v="159850"/>
    <n v="0"/>
    <n v="1"/>
    <s v="Infection and Immunity"/>
    <x v="14"/>
    <s v="chemotherapeutics, tuberculosis"/>
    <n v="3"/>
    <s v="zN/A"/>
    <n v="0"/>
    <s v="zN/A"/>
  </r>
  <r>
    <x v="131"/>
    <s v="Holland Bloorview Kids Rehabilitation Hospital (Toronto)"/>
    <s v="Ontario"/>
    <s v="Project Grant"/>
    <s v="202003PJT"/>
    <s v="Commercialization"/>
    <s v="A wearable technology approach to managing challenging behaviours in children with autism spectrum disorder (ASD)"/>
    <n v="485774"/>
    <n v="0"/>
    <n v="3"/>
    <s v="Human Development, Child and Youth Health"/>
    <x v="24"/>
    <s v="wearable, autism, behaviors"/>
    <n v="0"/>
    <s v="zN/A"/>
    <n v="0"/>
    <s v="zN/A"/>
  </r>
  <r>
    <x v="132"/>
    <s v="University of British Columbia"/>
    <s v="British Columbia"/>
    <s v="Proof of Principle Program - Phase I"/>
    <s v="201003PPP"/>
    <s v="Proof of Principle"/>
    <s v="CTAP III for detection of early lung cancer and monitoring treatment outcome"/>
    <n v="160000"/>
    <n v="0"/>
    <n v="1"/>
    <s v="Cancer Research"/>
    <x v="7"/>
    <s v="CTAP, lung cancer, detection"/>
    <n v="0"/>
    <s v="zN/A"/>
    <n v="0"/>
    <s v="zN/A"/>
  </r>
  <r>
    <x v="7"/>
    <s v="University of British Columbia"/>
    <s v="British Columbia"/>
    <s v="Operating Grant - PA: Genetics (Bridge Funding: Research Priorities)"/>
    <s v="202109OGB"/>
    <s v="Commercialization"/>
    <s v="Lipid Nanoparticle-Mediated Delivery of CRISPR/Cas9 Gene Editing for Neurological Disorders."/>
    <n v="100000"/>
    <n v="0"/>
    <n v="1"/>
    <s v="Genetics"/>
    <x v="29"/>
    <s v="Lipid Nanoparticle, CRISPR, Gene Editing"/>
    <n v="0"/>
    <s v="zN/A"/>
    <n v="0"/>
    <s v="zN/A"/>
  </r>
  <r>
    <x v="133"/>
    <s v="Universite de Montreal"/>
    <s v="Quebec"/>
    <s v="Proof of Principle Program - Phase I"/>
    <s v="201202PPP"/>
    <s v="Proof of Principle"/>
    <s v="The ARiBo technology for isolation of ribonucleoprotein complexes"/>
    <n v="145412"/>
    <n v="13349"/>
    <n v="1"/>
    <s v="Genetics"/>
    <x v="0"/>
    <s v="ARiBo, ribonucleoprotein, complexes"/>
    <n v="0"/>
    <s v="zN/A"/>
    <n v="0"/>
    <s v="zN/A"/>
  </r>
  <r>
    <x v="134"/>
    <s v="McMaster University"/>
    <s v="Ontario"/>
    <s v="Project Grant"/>
    <s v="202309PJT"/>
    <s v="Commercialization"/>
    <s v="Commercialization of a diagnostic test for endometriosis"/>
    <n v="634949"/>
    <n v="0"/>
    <n v="3"/>
    <s v="Gender and Health"/>
    <x v="19"/>
    <s v="diagnostic test, endometriosis"/>
    <n v="1"/>
    <s v="zN/A"/>
    <n v="0"/>
    <s v="zN/A"/>
  </r>
  <r>
    <x v="135"/>
    <s v="ecole de technologie superieure (Montreal)"/>
    <s v="Quebec"/>
    <s v="Proof of Principle Program - Phase I"/>
    <s v="201003PPP"/>
    <s v="Proof of Principle"/>
    <s v="A new therapeutic agent for the treatment and prevention of endoleaks after endovascular aneurysm repair"/>
    <n v="155000"/>
    <n v="0"/>
    <n v="1"/>
    <s v="Circulatory and Respiratory Health"/>
    <x v="7"/>
    <s v="therapeutic agent, endoleaks, aneurysm repair"/>
    <n v="3"/>
    <s v="zN/A"/>
    <n v="0"/>
    <s v="zN/A"/>
  </r>
  <r>
    <x v="135"/>
    <s v="ecole de technologie superieure (Montreal)"/>
    <s v="Quebec"/>
    <s v="Proof of Principle Program - Phase I"/>
    <s v="201509PPP"/>
    <s v="Proof of Principle"/>
    <s v="Injectable thermosensitive hydrogel as delivery vehicle of lymphocytes for cancer immunotherapy"/>
    <n v="141000"/>
    <n v="0"/>
    <n v="1"/>
    <s v="Cancer Research"/>
    <x v="27"/>
    <s v="injectable, hydrogel, lymphocytes"/>
    <n v="0"/>
    <s v="zN/A"/>
    <n v="0"/>
    <s v="zN/A"/>
  </r>
  <r>
    <x v="136"/>
    <s v="Ontario Institute for Cancer Research (Toronto, Ontario)"/>
    <s v="Ontario"/>
    <s v="Proof of Principle Program - Phase I"/>
    <s v="201202PPP"/>
    <s v="Proof of Principle"/>
    <s v="Benchmark Cellax, a proprietary nanoparticle formulation for docetaxel, against Taxotere to treat metastatic castration resistant prostate cancer"/>
    <n v="160000"/>
    <n v="0"/>
    <n v="1"/>
    <s v="Cancer Research"/>
    <x v="0"/>
    <s v="nanoparticle, docetaxel, prostate cancer"/>
    <n v="2"/>
    <s v="zN/A"/>
    <n v="0"/>
    <s v="zN/A"/>
  </r>
  <r>
    <x v="136"/>
    <s v="Ontario Institute for Cancer Research (Toronto, Ontario)"/>
    <s v="Ontario"/>
    <s v="Proof of Principle Program - Phase I"/>
    <s v="201302PPP"/>
    <s v="Proof of Principle"/>
    <s v="Heat-triggered Chemotherapy to Treat Refractory Breast Cancer at the Chest Wall"/>
    <n v="160000"/>
    <n v="0"/>
    <n v="1"/>
    <s v="Cancer Research"/>
    <x v="13"/>
    <s v="Heat, Chemotherapy, Breast Cancer"/>
    <n v="1"/>
    <s v="zN/A"/>
    <n v="0"/>
    <s v="zN/A"/>
  </r>
  <r>
    <x v="136"/>
    <s v="University of British Columbia"/>
    <s v="British Columbia"/>
    <s v="Project Grant"/>
    <s v="201909PJT"/>
    <s v="Commercialization"/>
    <s v="Validation and commercialization of an innovative analgesic for chronic pain"/>
    <n v="524026"/>
    <n v="0"/>
    <n v="3"/>
    <s v="Neurosciences, Mental Health and Addiction"/>
    <x v="23"/>
    <s v="analgesic, chronic pain"/>
    <n v="1"/>
    <s v="zN/A"/>
    <n v="0"/>
    <s v="zN/A"/>
  </r>
  <r>
    <x v="137"/>
    <s v="Universite Laval"/>
    <s v="Quebec"/>
    <s v="Project Grant - PA: Breast Cancer Research"/>
    <s v="202309PLL"/>
    <s v="Commercialization"/>
    <s v="Pre-clinical pharmacokinetic and efficacy assays with an efficient 17beta-hydroxysteroid dehydrogenase type 7 inhibitor for breast cancer therapy"/>
    <n v="100000"/>
    <n v="0"/>
    <n v="1"/>
    <s v="Cancer Research"/>
    <x v="26"/>
    <s v="pharmacokinetic, 17beta-hydroxysteroid dehydrogenase, breast cancer"/>
    <n v="0"/>
    <s v="zN/A"/>
    <n v="0"/>
    <s v="zN/A"/>
  </r>
  <r>
    <x v="138"/>
    <s v="Centre for Addiction and Mental Health (Toronto)"/>
    <s v="Ontario"/>
    <s v="Proof of Principle Program - Phase I"/>
    <s v="200910PPP"/>
    <s v="Proof of Principle"/>
    <s v="Therapeutics targeting receptor-receptor interactions for Addiction"/>
    <n v="150000"/>
    <n v="0"/>
    <n v="1"/>
    <s v="Neurosciences, Mental Health and Addiction"/>
    <x v="8"/>
    <s v="receptor, interactions, addiction"/>
    <n v="8"/>
    <s v="zN/A"/>
    <n v="0"/>
    <s v="zN/A"/>
  </r>
  <r>
    <x v="138"/>
    <s v="Centre for Addiction and Mental Health (Toronto)"/>
    <s v="Ontario"/>
    <s v="Proof of Principle Program - Phase I"/>
    <s v="201109PPP"/>
    <s v="Proof of Principle"/>
    <s v="Development of peptide therapeutics via nasal delivery for major depression disorder"/>
    <n v="150000"/>
    <n v="0"/>
    <n v="1"/>
    <s v="Neurosciences, Mental Health and Addiction"/>
    <x v="11"/>
    <s v="peptide, nasal delivery, depression"/>
    <n v="2"/>
    <s v="zN/A"/>
    <n v="0"/>
    <s v="zN/A"/>
  </r>
  <r>
    <x v="138"/>
    <s v="Centre for Addiction and Mental Health (Toronto)"/>
    <s v="Ontario"/>
    <s v="Proof of Principle Program - Phase II"/>
    <s v="201509PP2"/>
    <s v="Proof of Principle"/>
    <s v="Development and commercialisation of a novel treatment for multiple sclerosis"/>
    <n v="299101"/>
    <n v="0"/>
    <n v="1"/>
    <s v="Neurosciences, Mental Health and Addiction"/>
    <x v="27"/>
    <s v="multiple sclerosis, treatment"/>
    <n v="4"/>
    <s v="zN/A"/>
    <n v="0"/>
    <s v="zN/A"/>
  </r>
  <r>
    <x v="139"/>
    <s v="University Health Network (Toronto)"/>
    <s v="Ontario"/>
    <s v="Proof of Principle Program - Phase I"/>
    <s v="200910PPP"/>
    <s v="Proof of Principle"/>
    <s v="Targeting UROD As A Novel Anti-Cancer Therapeutic Strategy"/>
    <n v="150000"/>
    <n v="0"/>
    <n v="1"/>
    <s v="Cancer Research"/>
    <x v="8"/>
    <s v="UROD, Anti-Cancer, Therapeutic"/>
    <n v="1"/>
    <s v="zN/A"/>
    <n v="0"/>
    <s v="zN/A"/>
  </r>
  <r>
    <x v="140"/>
    <s v="University of Manitoba"/>
    <s v="Manitoba"/>
    <s v="Proof of Principle Program - Phase I"/>
    <s v="201409PPP"/>
    <s v="Proof of Principle"/>
    <s v="The effects of a novel hydrogel coating on commercial antimicrobial dressings."/>
    <n v="157633"/>
    <n v="0"/>
    <n v="1"/>
    <s v="Musculoskeletal Health and Arthritis"/>
    <x v="22"/>
    <s v="hydrogel, antimicrobial, dressings"/>
    <n v="3"/>
    <s v="zN/A"/>
    <n v="0"/>
    <s v="zN/A"/>
  </r>
  <r>
    <x v="141"/>
    <s v="Universite de Montreal"/>
    <s v="Quebec"/>
    <s v="Project Grant"/>
    <s v="202209PJT"/>
    <s v="Commercialization"/>
    <s v="Treating Age-Related Macular Degeneration by Mitigating Inflammation, Oxidative Stress, and Lipid Accumulation through CD36 Modulation"/>
    <n v="833851"/>
    <n v="0"/>
    <n v="3"/>
    <s v="Neurosciences, Mental Health and Addiction"/>
    <x v="9"/>
    <s v="Age-Related Macular Degeneration, Inflammation, CD36"/>
    <n v="0"/>
    <s v="zN/A"/>
    <n v="0"/>
    <s v="zN/A"/>
  </r>
  <r>
    <x v="141"/>
    <s v="Universite de Montreal"/>
    <s v="Quebec"/>
    <s v="Project Grant"/>
    <s v="202303PJT"/>
    <s v="Commercialization"/>
    <s v="Interleukin-1 Receptor Modulating Therapy for Treating Macular Degeneration"/>
    <n v="516376"/>
    <n v="0"/>
    <n v="3"/>
    <s v="Neurosciences, Mental Health and Addiction"/>
    <x v="18"/>
    <s v="Interleukin-1, Receptor, Macular Degeneration"/>
    <n v="0"/>
    <s v="zN/A"/>
    <n v="0"/>
    <s v="zN/A"/>
  </r>
  <r>
    <x v="142"/>
    <s v="University of British Columbia"/>
    <s v="British Columbia"/>
    <s v="Proof of Principle Program - Phase I"/>
    <s v="201502PPP"/>
    <s v="Proof of Principle"/>
    <s v="Pre-commercial Development of Microfluidic Technology for Deformability based Separation of Circulating Tumor Cells"/>
    <n v="160000"/>
    <n v="0"/>
    <n v="1"/>
    <s v="Cancer Research"/>
    <x v="1"/>
    <s v="microfluidic, deformability, tumor cells"/>
    <n v="0"/>
    <s v="zN/A"/>
    <n v="0"/>
    <s v="zN/A"/>
  </r>
  <r>
    <x v="142"/>
    <s v="University of British Columbia"/>
    <s v="British Columbia"/>
    <s v="Project Grant"/>
    <s v="201909PJT"/>
    <s v="Commercialization"/>
    <s v="Non-contact screening technology to expedite cell line development for antibody production"/>
    <n v="524026"/>
    <n v="0"/>
    <n v="3"/>
    <s v="Cancer Research"/>
    <x v="23"/>
    <s v="non-contact, screening, antibody"/>
    <n v="0"/>
    <s v="zN/A"/>
    <n v="0"/>
    <s v="zN/A"/>
  </r>
  <r>
    <x v="143"/>
    <s v="University of British Columbia"/>
    <s v="British Columbia"/>
    <s v="Proof of Principle - PA: Cancer Early Detection, Imaging/Trans Therapeutics"/>
    <s v="200904PCA"/>
    <s v="Proof of Principle"/>
    <s v="A platform enabling personalized medicine through the detection of cells with specific genetic characterization"/>
    <n v="149825"/>
    <n v="0"/>
    <n v="1"/>
    <s v="Cancer Research"/>
    <x v="5"/>
    <s v="personalized medicine, genetic characterization, cell detection"/>
    <n v="0"/>
    <s v="zN/A"/>
    <n v="0"/>
    <s v="zN/A"/>
  </r>
  <r>
    <x v="143"/>
    <s v="University of British Columbia"/>
    <s v="British Columbia"/>
    <s v="Proof of Principle Program - Phase I"/>
    <s v="201502PPP"/>
    <s v="Proof of Principle"/>
    <s v="Optically-Guided Biopsy for Improved Diagnosis of Peripheral Pulmonary Nodules"/>
    <n v="146470"/>
    <n v="0"/>
    <n v="1"/>
    <s v="Cancer Research"/>
    <x v="1"/>
    <s v="Optically-Guided, Biopsy, Pulmonary"/>
    <n v="1"/>
    <s v="zN/A"/>
    <n v="0"/>
    <s v="zN/A"/>
  </r>
  <r>
    <x v="144"/>
    <s v="McMaster University"/>
    <s v="Ontario"/>
    <s v="Proof of Principle Program - Phase I"/>
    <s v="201402PPP"/>
    <s v="Proof of Principle"/>
    <s v="Evaluation of a Novel Chlamydia Vaccine Based on Type III Secretion Proteins"/>
    <n v="159000"/>
    <n v="0"/>
    <n v="1"/>
    <s v="Infection and Immunity"/>
    <x v="3"/>
    <s v="Chlamydia, Vaccine, Secretion Proteins"/>
    <n v="1"/>
    <s v="zN/A"/>
    <n v="0"/>
    <s v="zN/A"/>
  </r>
  <r>
    <x v="145"/>
    <s v="Hospital for Sick Children (Toronto)"/>
    <s v="Ontario"/>
    <s v="Proof of Principle Program - Phase I"/>
    <s v="201109PPP"/>
    <s v="Proof of Principle"/>
    <s v="Treating Parkinson's Disease with Drugs that Increase Lysosomal B-Glucocerebrosidase Activity"/>
    <n v="157606"/>
    <n v="0"/>
    <n v="1"/>
    <s v="Neurosciences, Mental Health and Addiction"/>
    <x v="11"/>
    <s v="Parkinson's, Lysosomal, B-Glucocerebrosidase"/>
    <n v="2"/>
    <s v="zN/A"/>
    <n v="0"/>
    <s v="zN/A"/>
  </r>
  <r>
    <x v="146"/>
    <s v="Universite de Sherbrooke"/>
    <s v="Quebec"/>
    <s v="Proof of Principle Program - Phase I"/>
    <s v="201209PPP"/>
    <s v="Proof of Principle"/>
    <s v="Riboswitch ligand inhibitors for MRSA and staphylococci / Ligands de riboregulateurs agissant comme antibiotiques contre le SARM et les staphylocoques"/>
    <n v="157350"/>
    <n v="0"/>
    <n v="1"/>
    <s v="Infection and Immunity"/>
    <x v="16"/>
    <s v="riboswitch, ligands, antibiotics"/>
    <n v="0"/>
    <s v="zN/A"/>
    <n v="0"/>
    <s v="zN/A"/>
  </r>
  <r>
    <x v="147"/>
    <s v="Western University (Ontario)"/>
    <s v="Ontario"/>
    <s v="Proof of Principle Program - Phase II"/>
    <s v="200904PP2"/>
    <s v="Proof of Principle"/>
    <s v="Swallowing Air-Pulse Therapy (SWAPT): Design Specification, Testing, Regulatory Approval, and Pre-launch Market Analysis"/>
    <n v="250000"/>
    <n v="0"/>
    <n v="1"/>
    <s v="Aging"/>
    <x v="5"/>
    <s v="Air-Pulse, Swallowing, Therapy"/>
    <n v="7"/>
    <s v="zN/A"/>
    <n v="0"/>
    <s v="zN/A"/>
  </r>
  <r>
    <x v="148"/>
    <s v="Research Institute of the McGill University Health Centre"/>
    <s v="Quebec"/>
    <s v="Proof of Principle Program - Phase I"/>
    <s v="201009PPP"/>
    <s v="Proof of Principle"/>
    <s v="POROUS COMPRESSION SCREW for FRACTURE FIXATION"/>
    <n v="155375"/>
    <n v="0"/>
    <n v="1"/>
    <s v="Musculoskeletal Health and Arthritis"/>
    <x v="2"/>
    <s v="porous, compression, screw"/>
    <n v="2"/>
    <s v="zN/A"/>
    <n v="0"/>
    <s v="zN/A"/>
  </r>
  <r>
    <x v="149"/>
    <s v="University of British Columbia"/>
    <s v="British Columbia"/>
    <s v="Proof of Principle Program - Phase I"/>
    <s v="201509PPP"/>
    <s v="Proof of Principle"/>
    <s v="PROMISE: A Proactive Molecular-Based Classification Tool to Improve Endometrial Cancer Management"/>
    <n v="160000"/>
    <n v="0"/>
    <n v="1"/>
    <s v="Cancer Research"/>
    <x v="27"/>
    <s v="Molecular, Classification, Endometrial Cancer"/>
    <n v="1"/>
    <s v="zN/A"/>
    <n v="0"/>
    <s v="zN/A"/>
  </r>
  <r>
    <x v="150"/>
    <s v="University of British Columbia"/>
    <s v="British Columbia"/>
    <s v="Proof of Principle Program - Phase I"/>
    <s v="201003PPP"/>
    <s v="Proof of Principle"/>
    <s v="CD34 as a therapeutic target for allergic asthma"/>
    <n v="160000"/>
    <n v="0"/>
    <n v="1"/>
    <s v="Infection and Immunity"/>
    <x v="7"/>
    <s v="CD34, allergic asthma, therapeutic"/>
    <n v="0"/>
    <s v="zN/A"/>
    <n v="0"/>
    <s v="zN/A"/>
  </r>
  <r>
    <x v="151"/>
    <s v="University of British Columbia"/>
    <s v="British Columbia"/>
    <s v="Proof of Principle Program - Phase II"/>
    <s v="201302PP2"/>
    <s v="Proof of Principle"/>
    <s v="Minimally Invasive Curved Intramedullary Fixation (MICIF) for pelvic bone fractures"/>
    <n v="300000"/>
    <n v="0"/>
    <n v="1"/>
    <s v="Health Services and Policy Research"/>
    <x v="13"/>
    <s v="Intramedullary, Fixation, Pelvic"/>
    <n v="4"/>
    <s v="zN/A"/>
    <n v="0"/>
    <s v="zN/A"/>
  </r>
  <r>
    <x v="152"/>
    <s v="Universite de Montreal"/>
    <s v="Quebec"/>
    <s v="Proof of Principle Program - Phase I"/>
    <s v="201009PPP"/>
    <s v="Proof of Principle"/>
    <s v="Targeting the degradation of the cyclin-dependent kinase inhibitor p21 as a novel approach to cancer therapy"/>
    <n v="160000"/>
    <n v="0"/>
    <n v="1"/>
    <s v="Cancer Research"/>
    <x v="2"/>
    <s v="cyclin-dependent kinase, p21, cancer"/>
    <n v="1"/>
    <s v="zN/A"/>
    <n v="0"/>
    <s v="zN/A"/>
  </r>
  <r>
    <x v="153"/>
    <s v="Centre hospitalier de l'Universite de Montreal (CHUM)"/>
    <s v="Quebec"/>
    <s v="Proof of Principle Program - Phase I"/>
    <s v="201003PPP"/>
    <s v="Proof of Principle"/>
    <s v="Development and validation of a multiplex blood-based assay for the early detection of ovarian cancer."/>
    <n v="160000"/>
    <n v="0"/>
    <n v="1"/>
    <s v="Cancer Research"/>
    <x v="7"/>
    <s v="multiplex, blood-based, ovarian cancer"/>
    <n v="0"/>
    <s v="zN/A"/>
    <n v="0"/>
    <s v="zN/A"/>
  </r>
  <r>
    <x v="154"/>
    <s v="University of British Columbia"/>
    <s v="British Columbia"/>
    <s v="Project Grant"/>
    <s v="201903PJT"/>
    <s v="Commercialization"/>
    <s v="Hypoxia-activated DNA repair inhibitors to improve cancer therapy"/>
    <n v="573750"/>
    <n v="0"/>
    <n v="3"/>
    <s v="Cancer Research"/>
    <x v="17"/>
    <s v="hypoxia, DNA repair, inhibitors"/>
    <n v="2"/>
    <s v="zN/A"/>
    <n v="0"/>
    <s v="zN/A"/>
  </r>
  <r>
    <x v="154"/>
    <s v="University of British Columbia"/>
    <s v="British Columbia"/>
    <s v="Project Grant"/>
    <s v="202309PJT"/>
    <s v="Commercialization"/>
    <s v="Development of clinical candidate hypoxia-activated DNA-PK inhibitors"/>
    <n v="979200"/>
    <n v="0"/>
    <n v="4"/>
    <s v="Cancer Research"/>
    <x v="19"/>
    <s v="hypoxia, DNA-PK, inhibitors"/>
    <n v="0"/>
    <s v="zN/A"/>
    <n v="0"/>
    <s v="zN/A"/>
  </r>
  <r>
    <x v="155"/>
    <s v="McMaster University"/>
    <s v="Ontario"/>
    <s v="Proof of Principle Program - Phase I"/>
    <s v="201102PPP"/>
    <s v="Proof of Principle"/>
    <s v="A novel dopamine D2 receptor allosteric modulator: Development and commercialization of a safer more effective generation of antipsychotic drugs"/>
    <n v="146850"/>
    <n v="0"/>
    <n v="1"/>
    <s v="Neurosciences, Mental Health and Addiction"/>
    <x v="4"/>
    <s v="dopamine D2 receptor, allosteric modulator, antipsychotic"/>
    <n v="2"/>
    <s v="zN/A"/>
    <n v="0"/>
    <s v="zN/A"/>
  </r>
  <r>
    <x v="156"/>
    <s v="Centre hospitalier universitaire Sainte-Justine (Montreal, Quebec)"/>
    <s v="Quebec"/>
    <s v="Proof of Principle Program - Phase II"/>
    <s v="200904PP2"/>
    <s v="Proof of Principle"/>
    <s v="Methods of Diagnosing Idiopathic Scoliosis and related Spinal Disorders"/>
    <n v="250000"/>
    <n v="0"/>
    <n v="1"/>
    <s v="Musculoskeletal Health and Arthritis"/>
    <x v="5"/>
    <s v="Diagnosing, Scoliosis, Spinal Disorders"/>
    <n v="10"/>
    <s v="zN/A"/>
    <n v="0"/>
    <s v="zN/A"/>
  </r>
  <r>
    <x v="156"/>
    <s v="Centre hospitalier universitaire Sainte-Justine (Montreal, Quebec)"/>
    <s v="Quebec"/>
    <s v="Proof of Principle Program - Phase I"/>
    <s v="201009PPP"/>
    <s v="Proof of Principle"/>
    <s v="Methods of Diagnosing Primary Osteoarthritis"/>
    <n v="160000"/>
    <n v="0"/>
    <n v="1"/>
    <s v="Musculoskeletal Health and Arthritis"/>
    <x v="2"/>
    <s v="diagnosing, osteoarthritis, primary"/>
    <n v="3"/>
    <s v="zN/A"/>
    <n v="0"/>
    <s v="zN/A"/>
  </r>
  <r>
    <x v="156"/>
    <s v="Centre hospitalier universitaire Sainte-Justine (Montreal, Quebec)"/>
    <s v="Quebec"/>
    <s v="Proof of Principle Program - Phase I"/>
    <s v="201409PPP"/>
    <s v="Proof of Principle"/>
    <s v="Preclinical Validation of a Disease-Modifying Osteoarthritis Drug"/>
    <n v="160000"/>
    <n v="0"/>
    <n v="1"/>
    <s v="Musculoskeletal Health and Arthritis"/>
    <x v="22"/>
    <s v="Osteoarthritis, Drug, Validation"/>
    <n v="0"/>
    <s v="zN/A"/>
    <n v="0"/>
    <s v="zN/A"/>
  </r>
  <r>
    <x v="157"/>
    <s v="McMaster University"/>
    <s v="Ontario"/>
    <s v="Project Grant"/>
    <s v="202104PJT"/>
    <s v="Commercialization"/>
    <s v="Clinical development of oncolytic BHV-1 for cancer therapy"/>
    <n v="504900"/>
    <n v="0"/>
    <n v="3"/>
    <s v="Cancer Research"/>
    <x v="31"/>
    <s v="oncolytic, BHV-1, cancer"/>
    <n v="0"/>
    <s v="zN/A"/>
    <n v="0"/>
    <s v="zN/A"/>
  </r>
  <r>
    <x v="158"/>
    <s v="Queen's University (Kingston, Ontario)"/>
    <s v="Ontario"/>
    <s v="Project Grant"/>
    <s v="202209PJT"/>
    <s v="Commercialization"/>
    <s v="Using a Liquid Biopsy to Optimize Metastatic Breast Cancer Treatment"/>
    <n v="891226"/>
    <n v="0"/>
    <n v="3"/>
    <s v="Cancer Research"/>
    <x v="9"/>
    <s v="Liquid biopsy, metastatic breast cancer"/>
    <n v="1"/>
    <s v="zN/A"/>
    <n v="0"/>
    <s v="zN/A"/>
  </r>
  <r>
    <x v="159"/>
    <s v="University Health Network (Toronto)"/>
    <s v="Ontario"/>
    <s v="Proof of Principle Program - Phase I"/>
    <s v="201309PPP"/>
    <s v="Proof of Principle"/>
    <s v="Novel Mapping Methodology for Identifying Arrhythmia Circuit."/>
    <n v="158375"/>
    <n v="0"/>
    <n v="1"/>
    <s v="Circulatory and Respiratory Health"/>
    <x v="14"/>
    <s v="Mapping, Arrhythmia, Circuit"/>
    <n v="9"/>
    <s v="zN/A"/>
    <n v="0"/>
    <s v="zN/A"/>
  </r>
  <r>
    <x v="160"/>
    <s v="McGill University"/>
    <s v="Quebec"/>
    <s v="Proof of Principle Program - Phase I"/>
    <s v="201209PPP"/>
    <s v="Proof of Principle"/>
    <s v="Injectable dense collagen-silk fibroin derived polypeptide hydrogels for bone regenerative therapy"/>
    <n v="156393"/>
    <n v="0"/>
    <n v="1"/>
    <s v="Musculoskeletal Health and Arthritis"/>
    <x v="16"/>
    <s v="collagen, fibroin, hydrogels"/>
    <n v="4"/>
    <s v="zN/A"/>
    <n v="0"/>
    <s v="zN/A"/>
  </r>
  <r>
    <x v="161"/>
    <s v="Research Institute of the McGill University Health Centre"/>
    <s v="Quebec"/>
    <s v="Proof of Principle Program - Phase I"/>
    <s v="200810PPP"/>
    <s v="Proof of Principle"/>
    <s v="Bridging the Gap Between Mass Spectrometric Profiling and Practical Diagnostic Tests for Commercialization: Case of Chagas Disease"/>
    <n v="150000"/>
    <n v="0"/>
    <n v="1"/>
    <s v="Infection and Immunity"/>
    <x v="15"/>
    <s v="Mass spectrometry, diagnostics, Chagas disease"/>
    <n v="1"/>
    <s v="zN/A"/>
    <n v="0"/>
    <s v="zN/A"/>
  </r>
  <r>
    <x v="162"/>
    <s v="McGill University"/>
    <s v="Quebec"/>
    <s v="Proof of Principle Program - Phase I"/>
    <s v="201009PPP"/>
    <s v="Proof of Principle"/>
    <s v="Validation of the CUX1 Expression Signature as an RT-PCR-Based Prognostic Tool"/>
    <n v="159950"/>
    <n v="0"/>
    <n v="1"/>
    <s v="Cancer Research"/>
    <x v="2"/>
    <s v="CUX1, RT-PCR, Prognostic"/>
    <n v="1"/>
    <s v="zN/A"/>
    <n v="0"/>
    <s v="zN/A"/>
  </r>
  <r>
    <x v="163"/>
    <s v="University of Alberta"/>
    <s v="Alberta"/>
    <s v="Project Grant"/>
    <s v="202003PJT"/>
    <s v="Commercialization"/>
    <s v="Integrated discovery studies and commercialization for a preterm birth diagnostic and a therapeutic"/>
    <n v="558450"/>
    <n v="0"/>
    <n v="3"/>
    <s v="Human Development, Child and Youth Health"/>
    <x v="24"/>
    <s v="preterm birth, diagnostic, therapeutic"/>
    <n v="5"/>
    <s v="zN/A"/>
    <n v="0"/>
    <s v="zN/A"/>
  </r>
  <r>
    <x v="164"/>
    <s v="University of Toronto"/>
    <s v="Ontario"/>
    <s v="Proof of Principle Program - Phase I"/>
    <s v="200810PPP"/>
    <s v="Proof of Principle"/>
    <s v="Bioreactor-based large scale production of a Tim-3 pathway inhibitor as a novel immunotherapy against HIV-1 and other chronic viral infections"/>
    <n v="150000"/>
    <n v="0"/>
    <n v="1"/>
    <s v="Infection and Immunity"/>
    <x v="15"/>
    <s v="Bioreactor, Tim-3 pathway, immunotherapy"/>
    <n v="0"/>
    <s v="zN/A"/>
    <n v="0"/>
    <s v="zN/A"/>
  </r>
  <r>
    <x v="165"/>
    <s v="Hospital for Sick Children (Toronto)"/>
    <s v="Ontario"/>
    <s v="Project Grant"/>
    <s v="202309PJT"/>
    <s v="Commercialization"/>
    <s v="Pre-clinical studies of a small-molecule to reverse neurodegenerative disease-causing mutations for its commercialization and application"/>
    <n v="719101"/>
    <n v="0"/>
    <n v="3"/>
    <s v="Genetics"/>
    <x v="19"/>
    <s v="small-molecule, neurodegenerative, mutations"/>
    <n v="0"/>
    <s v="zN/A"/>
    <n v="0"/>
    <s v="zN/A"/>
  </r>
  <r>
    <x v="166"/>
    <s v="McGill University"/>
    <s v="Quebec"/>
    <s v="Proof of Principle Program - Phase I"/>
    <s v="201102PPP"/>
    <s v="Proof of Principle"/>
    <s v="Chemotherapeutic Agents for Inhibiting Protein Synthesis"/>
    <n v="160000"/>
    <n v="0"/>
    <n v="1"/>
    <s v="Cancer Research"/>
    <x v="4"/>
    <s v="Chemotherapeutic, Protein Synthesis, Inhibition"/>
    <n v="1"/>
    <s v="zN/A"/>
    <n v="0"/>
    <s v="zN/A"/>
  </r>
  <r>
    <x v="167"/>
    <s v="McGill University"/>
    <s v="Quebec"/>
    <s v="Proof of Principle Program - Phase I"/>
    <s v="201009PPP"/>
    <s v="Proof of Principle"/>
    <s v="Identification of Novel Compounds Inhibiting Brain Cancer Invasion"/>
    <n v="120775"/>
    <n v="0"/>
    <n v="1"/>
    <s v="Cancer Research"/>
    <x v="2"/>
    <s v="Compounds, Brain Cancer, Invasion"/>
    <n v="2"/>
    <s v="zN/A"/>
    <n v="0"/>
    <s v="zN/A"/>
  </r>
  <r>
    <x v="168"/>
    <s v="Research Institute of the McGill University Health Centre"/>
    <s v="Quebec"/>
    <s v="Proof of Principle Program - Phase I"/>
    <s v="200910PPP"/>
    <s v="Proof of Principle"/>
    <s v="Identification of a low molecular weight peptide of CD109 as an anti-scarring agent"/>
    <n v="150000"/>
    <n v="0"/>
    <n v="1"/>
    <s v="Musculoskeletal Health and Arthritis"/>
    <x v="8"/>
    <s v="peptide, CD109, anti-scarring"/>
    <n v="1"/>
    <s v="zN/A"/>
    <n v="0"/>
    <s v="zN/A"/>
  </r>
  <r>
    <x v="169"/>
    <s v="Simon Fraser University (Burnaby, B.C.)"/>
    <s v="British Columbia"/>
    <s v="Proof of Principle Program - Phase I"/>
    <s v="200810PPP"/>
    <s v="Proof of Principle"/>
    <s v="An Enzyme Inhibitor for Treating Type-2 Diabetes"/>
    <n v="150000"/>
    <n v="0"/>
    <n v="1"/>
    <s v="Nutrition, Metabolism and Diabetes"/>
    <x v="15"/>
    <s v="enzyme, inhibitor, diabetes"/>
    <n v="2"/>
    <s v="zN/A"/>
    <n v="0"/>
    <s v="zN/A"/>
  </r>
  <r>
    <x v="170"/>
    <s v="Universite Laval"/>
    <s v="Quebec"/>
    <s v="Proof of Principle Program - Phase I"/>
    <s v="200910PPP"/>
    <s v="Proof of Principle"/>
    <s v="L'evaluation du potentiel therapeutique in vivo d'une nouvelle famille d'aminosteroides comme agents anticancereux selectifs"/>
    <n v="149703"/>
    <n v="0"/>
    <n v="1"/>
    <s v="Cancer Research"/>
    <x v="8"/>
    <s v="aminosteroides, anticancereux, in vivo"/>
    <n v="0"/>
    <s v="zN/A"/>
    <n v="0"/>
    <s v="zN/A"/>
  </r>
  <r>
    <x v="170"/>
    <s v="Universite Laval"/>
    <s v="Quebec"/>
    <s v="Proof of Principle Program - Phase I"/>
    <s v="201202PPP"/>
    <s v="Proof of Principle"/>
    <s v="evaluation du potentiel therapeutique in vivo d'un nouvel inhibiteur de la 17beta-HSD3 e bloquer la croissance de tumeurs xenogreffees du cancer de la prostate"/>
    <n v="157880"/>
    <n v="0"/>
    <n v="1"/>
    <s v="Cancer Research"/>
    <x v="0"/>
    <s v="17beta-HSD3, inhibiteur, prostate"/>
    <n v="1"/>
    <s v="zN/A"/>
    <n v="0"/>
    <s v="zN/A"/>
  </r>
  <r>
    <x v="170"/>
    <s v="Universite Laval"/>
    <s v="Quebec"/>
    <s v="Proof of Principle Program - Phase I"/>
    <s v="201309PPP"/>
    <s v="Proof of Principle"/>
    <s v="evaluation du potentiel therapeutique in vivo d'un nouvel inhibiteur de la steroede sulfatase combinant des proprietes osteogenique et antiestrogenique pour le traitement des cancers du sein et de la prostate"/>
    <n v="159756"/>
    <n v="0"/>
    <n v="1"/>
    <s v="Cancer Research"/>
    <x v="14"/>
    <s v="steroide sulfatase, osteogenique, cancer"/>
    <n v="0"/>
    <s v="zN/A"/>
    <n v="0"/>
    <s v="zN/A"/>
  </r>
  <r>
    <x v="170"/>
    <s v="Universite Laval"/>
    <s v="Quebec"/>
    <s v="Proof of Principle Program - Phase I"/>
    <s v="201509PPP"/>
    <s v="Proof of Principle"/>
    <s v="Optimisation du potentiel therapeutique de derives aminosteroedes contre le cancer de l'ovaire"/>
    <n v="157700"/>
    <n v="2300"/>
    <n v="1"/>
    <s v="Cancer Research"/>
    <x v="27"/>
    <s v="aminosteroids, ovarian cancer, therapeutic potential"/>
    <n v="1"/>
    <s v="zN/A"/>
    <n v="0"/>
    <s v="zN/A"/>
  </r>
  <r>
    <x v="170"/>
    <s v="Universite Laval"/>
    <s v="Quebec"/>
    <s v="Project Grant"/>
    <s v="201709PJT"/>
    <s v="Commercialization"/>
    <s v="Demonstration de l'efficacite du premier inhibiteur irreversible et selectif de la  17beta-HSD1 pour le traitement des cancers du sein sensibles aux estrogenes"/>
    <n v="279226"/>
    <n v="0"/>
    <n v="2"/>
    <s v="Cancer Research"/>
    <x v="25"/>
    <s v="17beta-HSD1, inhibitor, breast cancer"/>
    <n v="2"/>
    <s v="zN/A"/>
    <n v="0"/>
    <s v="zN/A"/>
  </r>
  <r>
    <x v="171"/>
    <s v="McGill University"/>
    <s v="Quebec"/>
    <s v="Proof of Principle Program - Phase I"/>
    <s v="200904PPP"/>
    <s v="Proof of Principle"/>
    <s v="Development of novel OXE receptor antagonists for asthma"/>
    <n v="146000"/>
    <n v="0"/>
    <n v="1"/>
    <s v="Circulatory and Respiratory Health"/>
    <x v="5"/>
    <s v="OXE receptor, antagonists, asthma"/>
    <n v="0"/>
    <s v="zN/A"/>
    <n v="0"/>
    <s v="zN/A"/>
  </r>
  <r>
    <x v="171"/>
    <s v="McGill University"/>
    <s v="Quebec"/>
    <s v="Proof of Principle Program - Phase II"/>
    <s v="201309PP2"/>
    <s v="Proof of Principle"/>
    <s v="Development of novel OXE receptor antagonists for asthma"/>
    <n v="293133"/>
    <n v="0"/>
    <n v="1"/>
    <s v="Circulatory and Respiratory Health"/>
    <x v="5"/>
    <s v="OXE receptor, antagonists, asthma"/>
    <n v="2"/>
    <s v="zN/A"/>
    <n v="0"/>
    <s v="zN/A"/>
  </r>
  <r>
    <x v="172"/>
    <s v="University of Ottawa"/>
    <s v="Ontario"/>
    <s v="Proof of Principle Program - Phase I"/>
    <s v="201202PPP"/>
    <s v="Proof of Principle"/>
    <s v="A-CD estrogens as alternatives to Estrogen-based hormone replacement therapy"/>
    <n v="156060"/>
    <n v="0"/>
    <n v="1"/>
    <s v="Gender and Health"/>
    <x v="0"/>
    <s v="A-CD estrogens, hormone replacement"/>
    <n v="1"/>
    <s v="zN/A"/>
    <n v="0"/>
    <s v="zN/A"/>
  </r>
  <r>
    <x v="173"/>
    <s v="Centre hospitalier de l'Universite de Montreal (CHUM)"/>
    <s v="Quebec"/>
    <s v="Proof of Principle Program - Phase I"/>
    <s v="201102PPP"/>
    <s v="Proof of Principle"/>
    <s v="Validation of a glycerolipid/ free fatty acid cycling enzyme as a novel therapeutic target for type-2 diabetes"/>
    <n v="157925"/>
    <n v="0"/>
    <n v="1"/>
    <s v="Nutrition, Metabolism and Diabetes"/>
    <x v="4"/>
    <s v="glycerolipid, fatty acid, enzyme"/>
    <n v="4"/>
    <s v="zN/A"/>
    <n v="0"/>
    <s v="zN/A"/>
  </r>
  <r>
    <x v="174"/>
    <s v="University of British Columbia"/>
    <s v="British Columbia"/>
    <s v="Proof of Principle Program - Phase I"/>
    <s v="201402PPP"/>
    <s v="Proof of Principle"/>
    <s v="Development of Novel Polar MAO B Inhibitors for the Treatment of Epithelial Barrier Diseases"/>
    <n v="160000"/>
    <n v="0"/>
    <n v="1"/>
    <s v="Musculoskeletal Health and Arthritis"/>
    <x v="3"/>
    <s v="MAO B, Inhibitors, Epithelial Barrier"/>
    <n v="1"/>
    <s v="zN/A"/>
    <n v="0"/>
    <s v="zN/A"/>
  </r>
  <r>
    <x v="175"/>
    <s v="Unity Health Toronto"/>
    <s v="Ontario"/>
    <s v="Project Grant"/>
    <s v="202109PJT"/>
    <s v="Commercialization"/>
    <s v="Artery Alert - Revolutionizing the Diagnosis of Peripheral Arterial Disease"/>
    <n v="428400"/>
    <n v="0"/>
    <n v="4"/>
    <s v="Circulatory and Respiratory Health"/>
    <x v="32"/>
    <s v="artery, diagnosis, peripheral arterial disease"/>
    <n v="0"/>
    <s v="zN/A"/>
    <n v="0"/>
    <s v="zN/A"/>
  </r>
  <r>
    <x v="176"/>
    <s v="Research Institute of the McGill University Health Centre"/>
    <s v="Quebec"/>
    <s v="Proof of Principle Program - Phase I"/>
    <s v="200810PPP"/>
    <s v="Proof of Principle"/>
    <s v="Monitoring progression of malignant tumors by detection of blood-borne oncogenic epidermal growth factor receptor circulating as cargo of tumor-derived microvesicles"/>
    <n v="150000"/>
    <n v="0"/>
    <n v="1"/>
    <s v="Cancer Research"/>
    <x v="15"/>
    <s v="malignant tumors, blood-borne, epidermal growth factor receptor"/>
    <n v="4"/>
    <s v="zN/A"/>
    <n v="0"/>
    <s v="zN/A"/>
  </r>
  <r>
    <x v="177"/>
    <s v="University of British Columbia"/>
    <s v="British Columbia"/>
    <s v="Proof of Principle Program - Phase II"/>
    <s v="200810PP2"/>
    <s v="Proof of Principle"/>
    <s v="INDEL therapeutics for the treatment of infectious disease."/>
    <n v="250000"/>
    <n v="0"/>
    <n v="1"/>
    <s v="Infection and Immunity"/>
    <x v="15"/>
    <s v="INDEL, therapeutics, infectious disease"/>
    <n v="1"/>
    <s v="zN/A"/>
    <n v="0"/>
    <s v="zN/A"/>
  </r>
  <r>
    <x v="178"/>
    <s v="University of British Columbia"/>
    <s v="British Columbia"/>
    <s v="Proof of Principle - PA: Cancer Early Detection, Imaging/Trans Therapeutics"/>
    <s v="200904PCA"/>
    <s v="Proof of Principle"/>
    <s v="Androgen receptor inhibitors"/>
    <n v="150000"/>
    <n v="0"/>
    <n v="1"/>
    <s v="Cancer Research"/>
    <x v="5"/>
    <s v="Androgen receptor, inhibitors"/>
    <n v="10"/>
    <s v="zN/A"/>
    <n v="0"/>
    <s v="zN/A"/>
  </r>
  <r>
    <x v="179"/>
    <s v="Fraser Health Authority (Surrey, BC)"/>
    <s v="British Columbia"/>
    <s v="Proof of Principle Program - Phase I"/>
    <s v="201209PPP"/>
    <s v="Proof of Principle"/>
    <s v="Phase 1 Trial of a novel transvenous phrenic nerve pacer for diaphragm activation in mechanically ventilated critically ill patients."/>
    <n v="158464"/>
    <n v="1536"/>
    <n v="1"/>
    <s v="Circulatory and Respiratory Health"/>
    <x v="16"/>
    <s v="phrenic nerve, pacer, diaphragm"/>
    <n v="0"/>
    <s v="zN/A"/>
    <n v="0"/>
    <s v="zN/A"/>
  </r>
  <r>
    <x v="179"/>
    <s v="Fraser Health Authority (Surrey, BC)"/>
    <s v="British Columbia"/>
    <s v="Proof of Principle Program - Phase II"/>
    <s v="201409PP2"/>
    <s v="Proof of Principle"/>
    <s v="Development of a novel, temporary, transcutaneously placed, transvenous phrenic nerve pacer for diaphragm activation in critically ill patients"/>
    <n v="268499"/>
    <n v="2000"/>
    <n v="1"/>
    <s v="Circulatory and Respiratory Health"/>
    <x v="22"/>
    <s v="phrenic nerve, transvenous, diaphragm"/>
    <n v="2"/>
    <s v="zN/A"/>
    <n v="0"/>
    <s v="zN/A"/>
  </r>
  <r>
    <x v="180"/>
    <s v="Universite de Sherbrooke"/>
    <s v="Quebec"/>
    <s v="Proof of Principle Program - Phase I"/>
    <s v="201109PPP"/>
    <s v="Proof of Principle"/>
    <s v="Matriptase Inhibitors as a Novel Class of Influenza Antivirals"/>
    <n v="143827"/>
    <n v="0"/>
    <n v="1"/>
    <s v="Infection and Immunity"/>
    <x v="11"/>
    <s v="Matriptase, Inhibitors, Influenza"/>
    <n v="2"/>
    <s v="zN/A"/>
    <n v="0"/>
    <s v="zN/A"/>
  </r>
  <r>
    <x v="181"/>
    <s v="York University (Toronto, Ontario)"/>
    <s v="Ontario"/>
    <s v="Proof of Principle Program Phase I - Drug Development"/>
    <s v="201102PDD"/>
    <s v="Proof of Principle"/>
    <s v="Pharmaceutical intervention to decrease the threat of hypoglycemia in insulin-treated diabetics"/>
    <n v="160000"/>
    <n v="0"/>
    <n v="1"/>
    <s v="Nutrition, Metabolism and Diabetes"/>
    <x v="4"/>
    <s v="pharmaceutical, hypoglycemia, insulin"/>
    <n v="1"/>
    <s v="zN/A"/>
    <n v="0"/>
    <s v="zN/A"/>
  </r>
  <r>
    <x v="182"/>
    <s v="University of British Columbia"/>
    <s v="British Columbia"/>
    <s v="Proof of Principle Program - Phase I"/>
    <s v="200910PPP"/>
    <s v="Proof of Principle"/>
    <s v="Evaluation of the anticancer activity of a new autophagy-inhibitory drug"/>
    <n v="142989"/>
    <n v="0"/>
    <n v="1"/>
    <s v="Cancer Research"/>
    <x v="8"/>
    <s v="autophagy, anticancer, inhibitor"/>
    <n v="0"/>
    <s v="zN/A"/>
    <n v="0"/>
    <s v="zN/A"/>
  </r>
  <r>
    <x v="182"/>
    <s v="University of British Columbia"/>
    <s v="British Columbia"/>
    <s v="Proof of Principle Program - Phase I"/>
    <s v="201309PPP"/>
    <s v="Proof of Principle"/>
    <s v="Preclinical Development of a novel M2 Channel Inhibitor for the Treatment and Prevention of Influenza"/>
    <n v="160000"/>
    <n v="0"/>
    <n v="1"/>
    <s v="Infection and Immunity"/>
    <x v="14"/>
    <s v="M2 Channel, Inhibitor, Influenza"/>
    <n v="0"/>
    <s v="zN/A"/>
    <n v="0"/>
    <s v="zN/A"/>
  </r>
  <r>
    <x v="182"/>
    <s v="University of British Columbia"/>
    <s v="British Columbia"/>
    <s v="Proof of Principle Program - Phase I"/>
    <s v="201509PPP"/>
    <s v="Proof of Principle"/>
    <s v="Preclinical evaluation of a gentamicin analog as a treatment for genetic diseases and cancer due to a premature termination codon."/>
    <n v="150059"/>
    <n v="0"/>
    <n v="1"/>
    <s v="Genetics"/>
    <x v="27"/>
    <s v="gentamicin, genetic diseases, cancer"/>
    <n v="2"/>
    <s v="zN/A"/>
    <n v="0"/>
    <s v="zN/A"/>
  </r>
  <r>
    <x v="183"/>
    <s v="Sinai Health System (Toronto)"/>
    <s v="Ontario"/>
    <s v="Proof of Principle Program - Phase I"/>
    <s v="200910PPP"/>
    <s v="Proof of Principle"/>
    <s v="Cell therapy for the treatment of type 1 Diabetes"/>
    <n v="150000"/>
    <n v="0"/>
    <n v="1"/>
    <s v="Nutrition, Metabolism and Diabetes"/>
    <x v="8"/>
    <s v="Cell, therapy, Diabetes"/>
    <n v="0"/>
    <s v="zN/A"/>
    <n v="0"/>
    <s v="zN/A"/>
  </r>
  <r>
    <x v="183"/>
    <s v="Sinai Health System (Toronto)"/>
    <s v="Ontario"/>
    <s v="Proof of Principle Program - Phase I"/>
    <s v="201009PPP"/>
    <s v="Proof of Principle"/>
    <s v="The Use of Multipotential Stem Cells for the Treatment of Peripheral Vascular Disease"/>
    <n v="160000"/>
    <n v="0"/>
    <n v="1"/>
    <s v="Circulatory and Respiratory Health"/>
    <x v="2"/>
    <s v="Stem cells, Vascular disease, Peripheral"/>
    <n v="1"/>
    <s v="zN/A"/>
    <n v="0"/>
    <s v="zN/A"/>
  </r>
  <r>
    <x v="184"/>
    <s v="McGill University"/>
    <s v="Quebec"/>
    <s v="Proof of Principle Program - Phase II"/>
    <s v="201209PP2"/>
    <s v="Proof of Principle"/>
    <s v="A Novel Regenerative Drug Therapy to Restore Natural Insulin Secretion in Diabetes Mellitus"/>
    <n v="122670"/>
    <n v="0"/>
    <n v="1"/>
    <s v="Nutrition, Metabolism and Diabetes"/>
    <x v="16"/>
    <s v="Regenerative, Insulin, Diabetes"/>
    <n v="1"/>
    <s v="zN/A"/>
    <n v="0"/>
    <s v="zN/A"/>
  </r>
  <r>
    <x v="185"/>
    <s v="University of Toronto"/>
    <s v="Ontario"/>
    <s v="Proof of Principle Program - Phase I"/>
    <s v="201209PPP"/>
    <s v="Proof of Principle"/>
    <s v="Development and Testing of Small Molecule Allosteric Modulators for the Treatment of Pain."/>
    <n v="157999"/>
    <n v="0"/>
    <n v="1"/>
    <s v="Neurosciences, Mental Health and Addiction"/>
    <x v="16"/>
    <s v="Small Molecule, Allosteric Modulators, Pain"/>
    <n v="0"/>
    <s v="zN/A"/>
    <n v="0"/>
    <s v="zN/A"/>
  </r>
  <r>
    <x v="185"/>
    <s v="University of Toronto"/>
    <s v="Ontario"/>
    <s v="Proof of Principle Program - Phase II"/>
    <s v="201409PP2"/>
    <s v="Proof of Principle"/>
    <s v="Development and Commercialisation of Allosteric Modulators for the Treatment of Pain"/>
    <n v="189920"/>
    <n v="0"/>
    <n v="1"/>
    <s v="Musculoskeletal Health and Arthritis"/>
    <x v="22"/>
    <s v="Allosteric, Modulators, Pain"/>
    <n v="1"/>
    <s v="zN/A"/>
    <n v="0"/>
    <s v="zN/A"/>
  </r>
  <r>
    <x v="185"/>
    <s v="University of Toronto"/>
    <s v="Ontario"/>
    <s v="Proof of Principle Program - Phase I"/>
    <s v="201509PPP"/>
    <s v="Proof of Principle"/>
    <s v="Development and therapeutic validation of GPR55 modulators for the treatment of osteoclast-mediated disorders"/>
    <n v="155600"/>
    <n v="0"/>
    <n v="1"/>
    <s v="Musculoskeletal Health and Arthritis"/>
    <x v="27"/>
    <s v="GPR55, modulators, osteoclast"/>
    <n v="1"/>
    <s v="zN/A"/>
    <n v="0"/>
    <s v="zN/A"/>
  </r>
  <r>
    <x v="5"/>
    <s v="University of British Columbia"/>
    <s v="British Columbia"/>
    <s v="Proof of Principle Program - Phase I"/>
    <s v="200910PPP"/>
    <s v="Proof of Principle"/>
    <s v="Preclinical evaluation of sintokamides as agents for treatment of advanced prostate cancer"/>
    <n v="150000"/>
    <n v="0"/>
    <n v="1"/>
    <s v="Cancer Research"/>
    <x v="8"/>
    <s v="sintokamides, prostate cancer, preclinical"/>
    <n v="0"/>
    <s v="zN/A"/>
    <n v="0"/>
    <s v="zN/A"/>
  </r>
  <r>
    <x v="186"/>
    <s v="University of British Columbia"/>
    <s v="British Columbia"/>
    <s v="Proof of Principle Program - Phase I"/>
    <s v="201209PPP"/>
    <s v="Proof of Principle"/>
    <s v="Real-time Ultrasound Quantitative Elastography of the Prostate"/>
    <n v="143074"/>
    <n v="10850"/>
    <n v="1"/>
    <s v="Cancer Research"/>
    <x v="16"/>
    <s v="Ultrasound, Elastography, Prostate"/>
    <n v="5"/>
    <s v="zN/A"/>
    <n v="0"/>
    <s v="zN/A"/>
  </r>
  <r>
    <x v="187"/>
    <s v="Universite de Sherbrooke"/>
    <s v="Quebec"/>
    <s v="Proof of Principle Program - Phase I"/>
    <s v="201202PPP"/>
    <s v="Proof of Principle"/>
    <s v="Developpement de composes antineoplasiques radiosensibilisants achemines par nano transporteur liposomal."/>
    <n v="159149"/>
    <n v="0"/>
    <n v="1"/>
    <s v="Cancer Research"/>
    <x v="0"/>
    <s v="antineoplasiques, radiosensibilisants, liposomal"/>
    <n v="0"/>
    <s v="zN/A"/>
    <n v="0"/>
    <s v="zN/A"/>
  </r>
  <r>
    <x v="188"/>
    <s v="University of Calgary"/>
    <s v="Alberta"/>
    <s v="Proof of Principle Program - Phase I"/>
    <s v="200810PPP"/>
    <s v="Proof of Principle"/>
    <s v="Evaluation of Nanoparticles for the Treatment of Autoimmune Conditions"/>
    <n v="150000"/>
    <n v="0"/>
    <n v="1"/>
    <s v="Infection and Immunity"/>
    <x v="15"/>
    <s v="Nanoparticles, Autoimmune"/>
    <n v="3"/>
    <s v="zN/A"/>
    <n v="0"/>
    <s v="zN/A"/>
  </r>
  <r>
    <x v="16"/>
    <s v="CIUSSS de Centre-Ouest-de-l'Ile-de-Montreal-Jewish General"/>
    <s v="Quebec"/>
    <s v="Proof of Principle Program - Phase II"/>
    <s v="200910PP2"/>
    <s v="Proof of Principle"/>
    <s v="Neuroprotection Rescue Strategies for Retinal Degeneration Diseases"/>
    <n v="250000"/>
    <n v="0"/>
    <n v="1"/>
    <s v="Aging"/>
    <x v="8"/>
    <s v="Neuroprotection, Retinal, Degeneration"/>
    <n v="3"/>
    <s v="zN/A"/>
    <n v="0"/>
    <s v="zN/A"/>
  </r>
  <r>
    <x v="16"/>
    <s v="CIUSSS de Centre-Ouest-de-l'Ile-de-Montreal-Jewish General"/>
    <s v="Quebec"/>
    <s v="Proof of Principle Program - Phase II"/>
    <s v="201509PP2"/>
    <s v="Proof of Principle"/>
    <s v="Therapy for motor neuron degeneration diseases targeting the opposing ligand-dependent signals of two TrkC receptor isoforms"/>
    <n v="300000"/>
    <n v="0"/>
    <n v="1"/>
    <s v="Neurosciences, Mental Health and Addiction"/>
    <x v="27"/>
    <s v="motor neuron, TrkC, receptor"/>
    <n v="5"/>
    <s v="zN/A"/>
    <n v="0"/>
    <s v="zN/A"/>
  </r>
  <r>
    <x v="16"/>
    <s v="CIUSSS de Centre-Ouest-de-l'Ile-de-Montreal-Jewish General"/>
    <s v="Quebec"/>
    <s v="Project Grant - PA: Cancer Research - Cancer Prevention"/>
    <s v="202010PXX"/>
    <s v="Commercialization"/>
    <s v="Innovation of Proprietary Liquid Biopsy Assays for Diagnosis of Early Stage Ovarian Cancer"/>
    <n v="100000"/>
    <n v="0"/>
    <n v="1"/>
    <s v="Cancer Research"/>
    <x v="31"/>
    <s v="Liquid biopsy, ovarian cancer, diagnosis"/>
    <n v="0"/>
    <s v="zN/A"/>
    <n v="0"/>
    <s v="zN/A"/>
  </r>
  <r>
    <x v="16"/>
    <s v="CIUSSS de Centre-Ouest-de-l'Ile-de-Montreal-Jewish General"/>
    <s v="Quebec"/>
    <s v="Project Grant"/>
    <s v="202104PJT"/>
    <s v="Commercialization"/>
    <s v="Innovation of Proprietary Liquid Biopsy Assays for Diagnosis of Early Stage Ovarian Cancer"/>
    <n v="650251"/>
    <n v="0"/>
    <n v="2"/>
    <s v="Cancer Research"/>
    <x v="31"/>
    <s v="Liquid biopsy, ovarian cancer, diagnosis"/>
    <n v="5"/>
    <s v="zN/A"/>
    <n v="0"/>
    <s v="zN/A"/>
  </r>
  <r>
    <x v="189"/>
    <s v="Simon Fraser University (Burnaby, B.C.)"/>
    <s v="British Columbia"/>
    <s v="Project Grant"/>
    <s v="201809PJT"/>
    <s v="Commercialization"/>
    <s v="Sensorless Adaptive Optics Optical Coherence Tomography for Clinical Ophthalmology"/>
    <n v="493425"/>
    <n v="0"/>
    <n v="3"/>
    <s v="Aging"/>
    <x v="10"/>
    <s v="Adaptive optics, Optical coherence tomography, Ophthalmology"/>
    <n v="3"/>
    <s v="zN/A"/>
    <n v="0"/>
    <s v="zN/A"/>
  </r>
  <r>
    <x v="190"/>
    <s v="University of Alberta"/>
    <s v="Alberta"/>
    <s v="Proof of Principle Program Phase I - Drug Development"/>
    <s v="200904PDD"/>
    <s v="Proof of Principle"/>
    <s v="Novel Inhibitors of Viral Infectivity"/>
    <n v="150000"/>
    <n v="0"/>
    <n v="1"/>
    <s v="Infection and Immunity"/>
    <x v="5"/>
    <s v="Viral, Inhibitors, Infectivity"/>
    <n v="0"/>
    <s v="zN/A"/>
    <n v="0"/>
    <s v="zN/A"/>
  </r>
  <r>
    <x v="191"/>
    <s v="University Health Network (Toronto)"/>
    <s v="Ontario"/>
    <s v="Proof of Principle Program - Phase I"/>
    <s v="201009PPP"/>
    <s v="Proof of Principle"/>
    <s v="Repositioning tigecycline for the treatment of leukemia"/>
    <n v="156750"/>
    <n v="0"/>
    <n v="1"/>
    <s v="Cancer Research"/>
    <x v="2"/>
    <s v="tigecycline, leukemia, repositioning"/>
    <n v="1"/>
    <s v="zN/A"/>
    <n v="0"/>
    <s v="zN/A"/>
  </r>
  <r>
    <x v="192"/>
    <s v="University of British Columbia"/>
    <s v="British Columbia"/>
    <s v="Proof of Principle Program - Phase I"/>
    <s v="201009PPP"/>
    <s v="Proof of Principle"/>
    <s v="Preclinical evaluation of a truly human monoclonal antibody for the therapy of infections with a broad spectrum of influenza viruses"/>
    <n v="160000"/>
    <n v="0"/>
    <n v="1"/>
    <s v="Infection and Immunity"/>
    <x v="2"/>
    <s v="monoclonal antibody, influenza viruses, infections"/>
    <n v="2"/>
    <s v="zN/A"/>
    <n v="0"/>
    <s v="zN/A"/>
  </r>
  <r>
    <x v="15"/>
    <s v="University of Manitoba"/>
    <s v="Manitoba"/>
    <s v="Project Grant - Priority Announcement: Infection and Immunity"/>
    <s v="201909PJ4"/>
    <s v="Commercialization"/>
    <s v="Rescuing beta-lactam antibiotic/beta-lactamase inhibitor combinations from resistance against multidrug-resistant Gram-negative pathogens"/>
    <n v="100000"/>
    <n v="0"/>
    <n v="1"/>
    <s v="Infection and Immunity"/>
    <x v="33"/>
    <s v="beta-lactam, beta-lactamase, antibiotic"/>
    <n v="0"/>
    <s v="zN/A"/>
    <n v="0"/>
    <s v="zN/A"/>
  </r>
  <r>
    <x v="15"/>
    <s v="University of Manitoba"/>
    <s v="Manitoba"/>
    <s v="Project Grant"/>
    <s v="202003PJT"/>
    <s v="Commercialization"/>
    <s v="Rescuing beta-lactam antibiotic/beta-lactamase inhibitor combinations from resistance against multidrug-resistant Gram-negative pathogens"/>
    <n v="654075"/>
    <n v="0"/>
    <n v="4"/>
    <s v="Infection and Immunity"/>
    <x v="33"/>
    <s v="beta-lactam, beta-lactamase, antibiotic"/>
    <n v="3"/>
    <s v="zN/A"/>
    <n v="0"/>
    <s v="zN/A"/>
  </r>
  <r>
    <x v="193"/>
    <s v="Institut de recherches cliniques de Montreal"/>
    <s v="Quebec"/>
    <s v="Proof of Principle Program - Phase II"/>
    <s v="201209PP2"/>
    <s v="Proof of Principle"/>
    <s v="Validation of PCSK9 single domain antibodies in cholesterol regulation in humanized mice"/>
    <n v="186128"/>
    <n v="0"/>
    <n v="1"/>
    <s v="Nutrition, Metabolism and Diabetes"/>
    <x v="16"/>
    <s v="PCSK9, antibodies, cholesterol"/>
    <n v="2"/>
    <s v="zN/A"/>
    <n v="0"/>
    <s v="zN/A"/>
  </r>
  <r>
    <x v="194"/>
    <s v="University of Alberta"/>
    <s v="Alberta"/>
    <s v="Proof of Principle Program - Phase I"/>
    <s v="201509PPP"/>
    <s v="Proof of Principle"/>
    <s v="Preclinical Development of Novel Biomaterials for the Creation of a Deviceless Pre-Vascularized Site for Islet and Cellular Transplantation"/>
    <n v="157126"/>
    <n v="0"/>
    <n v="1"/>
    <s v="Nutrition, Metabolism and Diabetes"/>
    <x v="27"/>
    <s v="Biomaterials, Prevascularized site, Transplantation"/>
    <n v="0"/>
    <s v="zN/A"/>
    <n v="0"/>
    <s v="zN/A"/>
  </r>
  <r>
    <x v="195"/>
    <s v="McMaster University"/>
    <s v="Ontario"/>
    <s v="Project Grant"/>
    <s v="202109PJT"/>
    <s v="Commercialization"/>
    <s v="A novel eye drop platform to improve ocular therapies"/>
    <n v="531674"/>
    <n v="0"/>
    <n v="3"/>
    <s v="Aging"/>
    <x v="32"/>
    <s v="eye drop, ocular, therapies"/>
    <n v="0"/>
    <s v="zN/A"/>
    <n v="0"/>
    <s v="zN/A"/>
  </r>
  <r>
    <x v="196"/>
    <s v="Research Institute of the McGill University Health Centre"/>
    <s v="Quebec"/>
    <s v="Proof of Principle Program - Phase I"/>
    <s v="201502PPP"/>
    <s v="Proof of Principle"/>
    <s v="Recombinant hydrolases as anti-biofilm therapies for Aspergillus infections"/>
    <n v="151459"/>
    <n v="0"/>
    <n v="1"/>
    <s v="Infection and Immunity"/>
    <x v="1"/>
    <s v="recombinant hydrolases, anti-biofilm, Aspergillus"/>
    <n v="1"/>
    <s v="zN/A"/>
    <n v="0"/>
    <s v="zN/A"/>
  </r>
  <r>
    <x v="197"/>
    <s v="University Health Network (Toronto)"/>
    <s v="Ontario"/>
    <s v="Proof of Principle Program - Phase I"/>
    <s v="201209PPP"/>
    <s v="Proof of Principle"/>
    <s v="Treatment Planning and Guidance Software Platform for Minimally Invasive Ablation Therapies"/>
    <n v="145925"/>
    <n v="10000"/>
    <n v="1"/>
    <s v="Cancer Research"/>
    <x v="16"/>
    <s v="Ablation, Guidance, Software"/>
    <n v="1"/>
    <s v="zN/A"/>
    <n v="0"/>
    <s v="zN/A"/>
  </r>
  <r>
    <x v="198"/>
    <s v="Hospital for Sick Children (Toronto)"/>
    <s v="Ontario"/>
    <s v="Project Grant"/>
    <s v="202303PJT"/>
    <s v="Commercialization"/>
    <s v="Development of an RNA-based test for diagnosing and monitoring bone and soft tissue cancers"/>
    <n v="240976"/>
    <n v="0"/>
    <n v="1"/>
    <s v="Cancer Research"/>
    <x v="18"/>
    <s v="RNA, diagnosis, cancers"/>
    <n v="1"/>
    <s v="zN/A"/>
    <n v="0"/>
    <s v="zN/A"/>
  </r>
  <r>
    <x v="199"/>
    <s v="University of Toronto"/>
    <s v="Ontario"/>
    <s v="Proof of Principle Program - Phase I"/>
    <s v="201003PPP"/>
    <s v="Proof of Principle"/>
    <s v="Commercial Development of Bioengineered Therapeutic Strategy for Spinal Cord Injury"/>
    <n v="159996"/>
    <n v="0"/>
    <n v="1"/>
    <s v="Neurosciences, Mental Health and Addiction"/>
    <x v="7"/>
    <s v="Bioengineered, Therapeutic, Spinal Cord Injury"/>
    <n v="2"/>
    <s v="zN/A"/>
    <n v="0"/>
    <s v="zN/A"/>
  </r>
  <r>
    <x v="200"/>
    <s v="Centre for Addiction and Mental Health (Toronto)"/>
    <s v="Ontario"/>
    <s v="Project Grant"/>
    <s v="201803PJT"/>
    <s v="Commercialization"/>
    <s v="Novel therapeutic targeting for cognitive deficits in depression and aging"/>
    <n v="550800"/>
    <n v="0"/>
    <n v="3"/>
    <s v="Neurosciences, Mental Health and Addiction"/>
    <x v="30"/>
    <s v="therapeutic, cognitive deficits, depression"/>
    <n v="4"/>
    <s v="zN/A"/>
    <n v="0"/>
    <s v="zN/A"/>
  </r>
  <r>
    <x v="201"/>
    <s v="University of Toronto"/>
    <s v="Ontario"/>
    <s v="Proof of Principle Program - Phase I"/>
    <s v="201502PPP"/>
    <s v="Proof of Principle"/>
    <s v="Highly specific therapeutic-grade anti-FGFR1 antibodies with anti-proliferative effects"/>
    <n v="160000"/>
    <n v="0"/>
    <n v="1"/>
    <s v="Cancer Research"/>
    <x v="1"/>
    <s v="anti-FGFR1, antibodies, anti-proliferative"/>
    <n v="0"/>
    <s v="zN/A"/>
    <n v="0"/>
    <s v="zN/A"/>
  </r>
  <r>
    <x v="202"/>
    <s v="University of Toronto"/>
    <s v="Ontario"/>
    <s v="Proof of Principle Program - Phase I"/>
    <s v="201409PPP"/>
    <s v="Proof of Principle"/>
    <s v="High Quality Sperm Selection for Assisted Reproductive Technology"/>
    <n v="159904"/>
    <n v="0"/>
    <n v="1"/>
    <s v="Human Development, Child and Youth Health"/>
    <x v="22"/>
    <s v="Sperm, Selection, Reproductive"/>
    <n v="4"/>
    <s v="zN/A"/>
    <n v="0"/>
    <s v="zN/A"/>
  </r>
  <r>
    <x v="203"/>
    <s v="University of Alberta"/>
    <s v="Alberta"/>
    <s v="Proof of Principle Program Phase I - Drug Development"/>
    <s v="201102PDD"/>
    <s v="Proof of Principle"/>
    <s v="Development of ganglioside-based therapies for Huntington's disease"/>
    <n v="159196"/>
    <n v="0"/>
    <n v="1"/>
    <s v="Neurosciences, Mental Health and Addiction"/>
    <x v="4"/>
    <s v="ganglioside, Huntington's disease, therapies"/>
    <n v="1"/>
    <s v="zN/A"/>
    <n v="0"/>
    <s v="zN/A"/>
  </r>
  <r>
    <x v="204"/>
    <s v="McGill University"/>
    <s v="Quebec"/>
    <s v="Proof of Principle Program - Phase I"/>
    <s v="201202PPP"/>
    <s v="Proof of Principle"/>
    <s v="NLRP7-based diagnosis of female reproduction wastage"/>
    <n v="160000"/>
    <n v="0"/>
    <n v="1"/>
    <s v="Genetics"/>
    <x v="0"/>
    <s v="NLRP7, diagnosis, female reproduction"/>
    <n v="0"/>
    <s v="zN/A"/>
    <n v="0"/>
    <s v="zN/A"/>
  </r>
  <r>
    <x v="205"/>
    <s v="University of British Columbia"/>
    <s v="British Columbia"/>
    <s v="Proof of Principle Program - Phase I"/>
    <s v="201509PPP"/>
    <s v="Proof of Principle"/>
    <s v="Identification of SLC26A11 blockers to prevent neuronal swelling and cell death"/>
    <n v="160000"/>
    <n v="0"/>
    <n v="1"/>
    <s v="Neurosciences, Mental Health and Addiction"/>
    <x v="27"/>
    <s v="SLC26A11, blockers, neuronal swelling"/>
    <n v="0"/>
    <s v="zN/A"/>
    <n v="0"/>
    <s v="zN/A"/>
  </r>
  <r>
    <x v="206"/>
    <s v="McGill University"/>
    <s v="Quebec"/>
    <s v="Proof of Principle Program - Phase I"/>
    <s v="200810PPP"/>
    <s v="Proof of Principle"/>
    <s v="Identification of novel compounds inhibiting viral infections"/>
    <n v="150000"/>
    <n v="0"/>
    <n v="1"/>
    <s v="Infection and Immunity"/>
    <x v="15"/>
    <s v="compounds, inhibiting, viral infections"/>
    <n v="0"/>
    <s v="zN/A"/>
    <n v="0"/>
    <s v="zN/A"/>
  </r>
  <r>
    <x v="207"/>
    <s v="INRS - (Quebec, QC)"/>
    <s v="Quebec"/>
    <s v="Project Grant"/>
    <s v="201809PJT"/>
    <s v="Commercialization"/>
    <s v="GAL-7-specific nanobodies for treatment of triple-negative breast cancer"/>
    <n v="371024"/>
    <n v="0"/>
    <n v="3"/>
    <s v="Cancer Research"/>
    <x v="10"/>
    <s v="GAL-7, nanobodies, breast cancer"/>
    <n v="3"/>
    <s v="zN/A"/>
    <n v="0"/>
    <s v="zN/A"/>
  </r>
  <r>
    <x v="208"/>
    <s v="University of Toronto"/>
    <s v="Ontario"/>
    <s v="Proof of Principle Program - Phase I"/>
    <s v="201209PPP"/>
    <s v="Proof of Principle"/>
    <s v="Development of the Mammalian Membrane Two-Hybrid (MaMTH) technology, a novel protein interaction and drug discovery tool"/>
    <n v="160000"/>
    <n v="0"/>
    <n v="1"/>
    <s v="Cancer Research"/>
    <x v="16"/>
    <s v="Membrane, Two-Hybrid, Protein interaction"/>
    <n v="3"/>
    <s v="zN/A"/>
    <n v="0"/>
    <s v="zN/A"/>
  </r>
  <r>
    <x v="209"/>
    <s v="University of Calgary"/>
    <s v="Alberta"/>
    <s v="Project Grant"/>
    <s v="201709PJT"/>
    <s v="Commercialization"/>
    <s v="The SmartForceps System: An intelligent and innovative tool technology for recording surgical performance and skill"/>
    <n v="520200"/>
    <n v="0"/>
    <n v="3"/>
    <s v="Health Services and Policy Research"/>
    <x v="25"/>
    <s v="SmartForceps, surgical, recording"/>
    <n v="2"/>
    <s v="zN/A"/>
    <n v="0"/>
    <s v="zN/A"/>
  </r>
  <r>
    <x v="209"/>
    <s v="University of Calgary"/>
    <s v="Alberta"/>
    <s v="Project Grant"/>
    <s v="202303PJT"/>
    <s v="Commercialization"/>
    <s v="An Intelligent Workstation for Robot-Assisted Microsurgery &amp; Tele-Operations"/>
    <n v="780300"/>
    <n v="0"/>
    <n v="3"/>
    <s v="Health Services and Policy Research"/>
    <x v="18"/>
    <s v="Robot-assisted, Microsurgery, Tele-operations"/>
    <n v="0"/>
    <s v="zN/A"/>
    <n v="0"/>
    <s v="zN/A"/>
  </r>
  <r>
    <x v="210"/>
    <s v="McGill University"/>
    <s v="Quebec"/>
    <s v="Proof of Principle Program - Phase I"/>
    <s v="201402PPP"/>
    <s v="Proof of Principle"/>
    <s v="A Novel Injectable Chitosan Sponge Containing BMP-7 as a Therapeutic Intervention for Accelerated Bone Formation in a Critical Size Defect Rat Model"/>
    <n v="160000"/>
    <n v="0"/>
    <n v="1"/>
    <s v="Musculoskeletal Health and Arthritis"/>
    <x v="3"/>
    <s v="Chitosan, BMP-7, Bone Formation"/>
    <n v="1"/>
    <s v="zN/A"/>
    <n v="0"/>
    <s v="zN/A"/>
  </r>
  <r>
    <x v="211"/>
    <s v="McGill University"/>
    <s v="Quebec"/>
    <s v="Proof of Principle Program - Phase I"/>
    <s v="201209PPP"/>
    <s v="Proof of Principle"/>
    <s v="Biocompatible inorganic nanogel system for medical applications"/>
    <n v="150160"/>
    <n v="0"/>
    <n v="1"/>
    <s v="Musculoskeletal Health and Arthritis"/>
    <x v="16"/>
    <s v="Biocompatible, nanogel, inorganic"/>
    <n v="0"/>
    <s v="zN/A"/>
    <n v="0"/>
    <s v="zN/A"/>
  </r>
  <r>
    <x v="212"/>
    <s v="Toronto Metropolitan University"/>
    <s v="Ontario"/>
    <s v="Project Grant"/>
    <s v="202403PJT"/>
    <s v="Commercialization"/>
    <s v="Design Revisions and Validations of a Catheter Steering and Navigation System For Peripheral Endovascular Revascularization"/>
    <n v="501076"/>
    <n v="0"/>
    <n v="3"/>
    <s v="Circulatory and Respiratory Health"/>
    <x v="20"/>
    <s v="Catheter, Steering, Revascularization"/>
    <n v="0"/>
    <s v="zN/A"/>
    <n v="0"/>
    <s v="zN/A"/>
  </r>
  <r>
    <x v="213"/>
    <s v="Toronto Metropolitan University"/>
    <s v="Ontario"/>
    <s v="Project Grant"/>
    <s v="201803PJT"/>
    <s v="Commercialization"/>
    <s v="Development of a Proprietary, Glass-Based Adhesive for Sternal Fixation and Stabilisation."/>
    <n v="602438"/>
    <n v="0"/>
    <n v="3"/>
    <s v="Musculoskeletal Health and Arthritis"/>
    <x v="30"/>
    <s v="Glass, Adhesive, Sternal"/>
    <n v="0"/>
    <s v="zN/A"/>
    <n v="0"/>
    <s v="zN/A"/>
  </r>
  <r>
    <x v="214"/>
    <s v="Universite Laval"/>
    <s v="Quebec"/>
    <s v="Proof of Principle Program - Phase I"/>
    <s v="201209PPP"/>
    <s v="Proof of Principle"/>
    <s v="Development of a treatment for Friedreich ataxia based on the administration of TALE proteins targeting the frataxin promoter."/>
    <n v="160000"/>
    <n v="0"/>
    <n v="1"/>
    <s v="Genetics"/>
    <x v="16"/>
    <s v="Friedreich ataxia, TALE proteins, frataxin"/>
    <n v="3"/>
    <s v="zN/A"/>
    <n v="0"/>
    <s v="zN/A"/>
  </r>
  <r>
    <x v="214"/>
    <s v="Universite Laval"/>
    <s v="Quebec"/>
    <s v="Proof of Principle Program - Phase I"/>
    <s v="201502PPP"/>
    <s v="Proof of Principle"/>
    <s v="Alzheimer treatment based on the editing of the Amyloid Precursor Protein gene"/>
    <n v="159931"/>
    <n v="0"/>
    <n v="1"/>
    <s v="Aging"/>
    <x v="1"/>
    <s v="Alzheimer, gene editing, Amyloid Precursor Protein"/>
    <n v="1"/>
    <s v="zN/A"/>
    <n v="0"/>
    <s v="zN/A"/>
  </r>
  <r>
    <x v="215"/>
    <s v="CIUSSS de Centre-Ouest-de-l'Ile-de-Montreal-Jewish General"/>
    <s v="Quebec"/>
    <s v="Proof of Principle Program - Phase I"/>
    <s v="201409PPP"/>
    <s v="Proof of Principle"/>
    <s v="Targeting novel BioNanofluids for prostate cancer therapy"/>
    <n v="148240"/>
    <n v="11000"/>
    <n v="1"/>
    <s v="Cancer Research"/>
    <x v="22"/>
    <s v="BioNanofluids, prostate cancer, targeting"/>
    <n v="0"/>
    <s v="zN/A"/>
    <n v="0"/>
    <s v="zN/A"/>
  </r>
  <r>
    <x v="216"/>
    <s v="University Health Network (Toronto)"/>
    <s v="Ontario"/>
    <s v="Proof of Principle Program - Phase I"/>
    <s v="201409PPP"/>
    <s v="Proof of Principle"/>
    <s v="Development of a monoclonal antibody for integrin alpha-11 to treat lung cancer"/>
    <n v="160000"/>
    <n v="0"/>
    <n v="1"/>
    <s v="Cancer Research"/>
    <x v="22"/>
    <s v="monoclonal antibody, integrin alpha-11, lung cancer"/>
    <n v="0"/>
    <s v="zN/A"/>
    <n v="0"/>
    <s v="zN/A"/>
  </r>
  <r>
    <x v="217"/>
    <s v="University of British Columbia"/>
    <s v="British Columbia"/>
    <s v="Proof of Principle Program Phase I - Drug Development"/>
    <s v="200904PDD"/>
    <s v="Proof of Principle"/>
    <s v="Development of a TLR5 antagonist as a novel anti-inflammatory therapy for cystic fibrosis"/>
    <n v="150000"/>
    <n v="0"/>
    <n v="1"/>
    <s v="Infection and Immunity"/>
    <x v="5"/>
    <s v="TLR5, antagonist, cystic fibrosis"/>
    <n v="0"/>
    <s v="zN/A"/>
    <n v="0"/>
    <s v="zN/A"/>
  </r>
  <r>
    <x v="218"/>
    <s v="University of Alberta"/>
    <s v="Alberta"/>
    <s v="Project Grant"/>
    <s v="202210PJT"/>
    <s v="Commercialization"/>
    <s v="New Treatment of Blood Cancers with Improved Delivery of Nucleic Acids"/>
    <n v="100000"/>
    <n v="0"/>
    <n v="1"/>
    <s v="Cancer Research"/>
    <x v="9"/>
    <s v="Blood cancers, Nucleic acids, Delivery"/>
    <n v="0"/>
    <s v="zN/A"/>
    <n v="0"/>
    <s v="zN/A"/>
  </r>
  <r>
    <x v="219"/>
    <s v="University of British Columbia"/>
    <s v="British Columbia"/>
    <s v="Proof of Principle Program - Phase I"/>
    <s v="201009PPP"/>
    <s v="Proof of Principle"/>
    <s v="Novel Applications of Potassium Channel Blockers in Arthritis"/>
    <n v="146400"/>
    <n v="0"/>
    <n v="1"/>
    <s v="Musculoskeletal Health and Arthritis"/>
    <x v="2"/>
    <s v="Potassium Channel, Blockers, Arthritis"/>
    <n v="0"/>
    <s v="zN/A"/>
    <n v="0"/>
    <s v="zN/A"/>
  </r>
  <r>
    <x v="220"/>
    <s v="Simon Fraser University (Burnaby, B.C.)"/>
    <s v="British Columbia"/>
    <s v="Project Grant"/>
    <s v="202210PJT"/>
    <s v="Commercialization"/>
    <s v="Commercialization of RNA Mango fluorogenic aptamers: RNA Pulldown and Imaging Tools for Therapeutic and Diagnostic pipelines"/>
    <n v="100000"/>
    <n v="0"/>
    <n v="1"/>
    <s v="Infection and Immunity"/>
    <x v="9"/>
    <s v="RNA, Fluorogenic, Imaging"/>
    <n v="0"/>
    <s v="zN/A"/>
    <n v="0"/>
    <s v="zN/A"/>
  </r>
  <r>
    <x v="221"/>
    <s v="Queen's University (Kingston, Ontario)"/>
    <s v="Ontario"/>
    <s v="Project Grant"/>
    <s v="202303PJT"/>
    <s v="Commercialization"/>
    <s v="Developing a potent non-addictive analgesic as an alternative to conventional opioids"/>
    <n v="665550"/>
    <n v="0"/>
    <n v="3"/>
    <s v="Neurosciences, Mental Health and Addiction"/>
    <x v="18"/>
    <s v="analgesic, opioids, non-addictive"/>
    <n v="0"/>
    <s v="zN/A"/>
    <n v="0"/>
    <s v="zN/A"/>
  </r>
  <r>
    <x v="222"/>
    <s v="Unity Health Toronto"/>
    <s v="Ontario"/>
    <s v="Proof of Principle Program - Phase I"/>
    <s v="200904PPP"/>
    <s v="Proof of Principle"/>
    <s v="Evaluation of BRCA1 as a Novel Therapeutic Strategy for Endothelial Dysfunction and Atherosclerosis"/>
    <n v="149998"/>
    <n v="0"/>
    <n v="1"/>
    <s v="Circulatory and Respiratory Health"/>
    <x v="5"/>
    <s v="BRCA1, Endothelial Dysfunction, Atherosclerosis"/>
    <n v="1"/>
    <s v="zN/A"/>
    <n v="0"/>
    <s v="zN/A"/>
  </r>
  <r>
    <x v="223"/>
    <s v="Queen's University (Kingston, Ontario)"/>
    <s v="Ontario"/>
    <s v="Proof of Principle Program - Phase I"/>
    <s v="200910PPP"/>
    <s v="Proof of Principle"/>
    <s v="Tissue engineered cartilage suitable for the repair of clinically-relevant sized defects"/>
    <n v="148139"/>
    <n v="0"/>
    <n v="1"/>
    <s v="Musculoskeletal Health and Arthritis"/>
    <x v="8"/>
    <s v="tissue engineering, cartilage, repair"/>
    <n v="1"/>
    <s v="zN/A"/>
    <n v="0"/>
    <s v="zN/A"/>
  </r>
  <r>
    <x v="224"/>
    <s v="University of Toronto"/>
    <s v="Ontario"/>
    <s v="Project Grant"/>
    <s v="202403PJT"/>
    <s v="Commercialization"/>
    <s v="Development of preclinical data for a phase one clinical trial of a micro-RNA-based formulation to treat early sepsis"/>
    <n v="508725"/>
    <n v="0"/>
    <n v="2"/>
    <s v="Circulatory and Respiratory Health"/>
    <x v="20"/>
    <s v="micro-RNA, sepsis, formulation"/>
    <n v="1"/>
    <s v="zN/A"/>
    <n v="0"/>
    <s v="zN/A"/>
  </r>
  <r>
    <x v="225"/>
    <s v="Universite de Sherbrooke"/>
    <s v="Quebec"/>
    <s v="Proof of Principle Program - Phase I"/>
    <s v="201202PPP"/>
    <s v="Proof of Principle"/>
    <s v="Total liquid ventilation improves respiratory and neurological outcomes in newborn lambs with severe respiratory failure"/>
    <n v="159252"/>
    <n v="0"/>
    <n v="1"/>
    <s v="Circulatory and Respiratory Health"/>
    <x v="0"/>
    <s v="liquid ventilation, respiratory failure, neurological outcomes"/>
    <n v="0"/>
    <s v="zN/A"/>
    <n v="0"/>
    <s v="zN/A"/>
  </r>
  <r>
    <x v="226"/>
    <s v="University of British Columbia"/>
    <s v="British Columbia"/>
    <s v="Project Grant"/>
    <s v="202109PJT"/>
    <s v="Commercialization"/>
    <s v="Optimization and Validation of MCT4-targeting Small Molecule Inhibitors for Treatment of Advanced Cancers"/>
    <n v="1147500"/>
    <n v="0"/>
    <n v="5"/>
    <s v="Cancer Research"/>
    <x v="32"/>
    <s v="MCT4, small molecule, inhibitors"/>
    <n v="0"/>
    <s v="zN/A"/>
    <n v="0"/>
    <s v="zN/A"/>
  </r>
  <r>
    <x v="227"/>
    <s v="IWK Health Centre (Halifax)"/>
    <s v="Nova Scotia"/>
    <s v="Proof of Principle Program - Phase I"/>
    <s v="200910PPP"/>
    <s v="Proof of Principle"/>
    <s v="Contact Optical Microscopy"/>
    <n v="148684"/>
    <n v="0"/>
    <n v="1"/>
    <s v="Neurosciences, Mental Health and Addiction"/>
    <x v="8"/>
    <s v="Contact, Optical, Microscopy"/>
    <n v="2"/>
    <s v="zN/A"/>
    <n v="0"/>
    <s v="zN/A"/>
  </r>
  <r>
    <x v="227"/>
    <s v="IWK Health Centre (Halifax)"/>
    <s v="Nova Scotia"/>
    <s v="Proof of Principle Program - Phase I"/>
    <s v="200910PPP"/>
    <s v="Proof of Principle"/>
    <s v="Pharmacokinetic Optimization of a New Drug for Alzheimer's Disease"/>
    <n v="150000"/>
    <n v="0"/>
    <n v="1"/>
    <s v="Neurosciences, Mental Health and Addiction"/>
    <x v="8"/>
    <s v="Pharmacokinetic, Drug, Alzheimer's"/>
    <n v="3"/>
    <s v="zN/A"/>
    <n v="0"/>
    <s v="zN/A"/>
  </r>
  <r>
    <x v="227"/>
    <s v="University Health Network (Toronto)"/>
    <s v="Ontario"/>
    <s v="Project Grant"/>
    <s v="201709PJT"/>
    <s v="Commercialization"/>
    <s v="Design and Development of Brain Permeant Indoleamine-2,3-Dioxygenase Inhibitors"/>
    <n v="765000"/>
    <n v="0"/>
    <n v="4"/>
    <s v="Neurosciences, Mental Health and Addiction"/>
    <x v="25"/>
    <s v="brain, indoleamine-2,3-dioxygenase, inhibitors"/>
    <n v="1"/>
    <s v="zN/A"/>
    <n v="0"/>
    <s v="zN/A"/>
  </r>
  <r>
    <x v="228"/>
    <s v="University of Victoria (British Columbia)"/>
    <s v="British Columbia"/>
    <s v="Proof of Principle Program - Phase I"/>
    <s v="201003PPP"/>
    <s v="Proof of Principle"/>
    <s v="Pre-clinical development of Pentarix: a therapeutic vaccine for HPV-associated cancers"/>
    <n v="160000"/>
    <n v="0"/>
    <n v="1"/>
    <s v="Cancer Research"/>
    <x v="7"/>
    <s v="Pentarix, vaccine, HPV"/>
    <n v="1"/>
    <s v="zN/A"/>
    <n v="0"/>
    <s v="zN/A"/>
  </r>
  <r>
    <x v="229"/>
    <s v="University of Alberta"/>
    <s v="Alberta"/>
    <s v="Proof of Principle Program - Phase I"/>
    <s v="200910PPP"/>
    <s v="Proof of Principle"/>
    <s v="Small molecule inhibitor of polynucleotide kinase/phosphatase and uses thereof in cancer treatment."/>
    <n v="150000"/>
    <n v="0"/>
    <n v="1"/>
    <s v="Cancer Research"/>
    <x v="8"/>
    <s v="small molecule, polynucleotide kinase, cancer"/>
    <n v="3"/>
    <s v="zN/A"/>
    <n v="0"/>
    <s v="zN/A"/>
  </r>
  <r>
    <x v="230"/>
    <s v="Hospital for Sick Children (Toronto)"/>
    <s v="Ontario"/>
    <s v="Proof of Principle Program - Phase I"/>
    <s v="201502PPP"/>
    <s v="Proof of Principle"/>
    <s v="Implementation and Commercialization of a Novel DNA Methylation-Based Diagnostic Tool"/>
    <n v="160000"/>
    <n v="0"/>
    <n v="1"/>
    <s v="Human Development, Child and Youth Health"/>
    <x v="1"/>
    <s v="DNA methylation, diagnostic, tool"/>
    <n v="2"/>
    <s v="zN/A"/>
    <n v="0"/>
    <s v="zN/A"/>
  </r>
  <r>
    <x v="231"/>
    <s v="Sunnybrook Health Sciences Centre (Toronto, Ontario)"/>
    <s v="Ontario"/>
    <s v="Proof of Principle Program - Phase I"/>
    <s v="201509PPP"/>
    <s v="Proof of Principle"/>
    <s v="&quot;Bone Tape&quot;: Optimization of a novel method for reconstructing the craniomaxillofacial skeleton"/>
    <n v="160000"/>
    <n v="0"/>
    <n v="1"/>
    <s v="Musculoskeletal Health and Arthritis"/>
    <x v="27"/>
    <s v="bone, craniomaxillofacial, reconstruction"/>
    <n v="2"/>
    <s v="zN/A"/>
    <n v="0"/>
    <s v="zN/A"/>
  </r>
  <r>
    <x v="232"/>
    <s v="University of Victoria (British Columbia)"/>
    <s v="British Columbia"/>
    <s v="Project Grant"/>
    <s v="202104PJT"/>
    <s v="Commercialization"/>
    <s v="3D bioprinting next generation brain organoids for identifying drug targets for Alzheimer's disease"/>
    <n v="489600"/>
    <n v="0"/>
    <n v="4"/>
    <s v="Neurosciences, Mental Health and Addiction"/>
    <x v="31"/>
    <s v="bioprinting, brain organoids, Alzheimer's"/>
    <n v="0"/>
    <s v="zN/A"/>
    <n v="0"/>
    <s v="zN/A"/>
  </r>
  <r>
    <x v="233"/>
    <s v="Nova Scotia Health Authority (Halifax)"/>
    <s v="Nova Scotia"/>
    <s v="Proof of Principle Program - Phase II"/>
    <s v="201309PP2"/>
    <s v="Proof of Principle"/>
    <s v="The Production of Decellularized Human Skin to Treat Chronic Diabetic Ulcers"/>
    <n v="145760"/>
    <n v="0"/>
    <n v="1"/>
    <s v="Musculoskeletal Health and Arthritis"/>
    <x v="14"/>
    <s v="Decellularized, Human Skin, Diabetic Ulcers"/>
    <n v="0"/>
    <s v="zN/A"/>
    <n v="0"/>
    <s v="zN/A"/>
  </r>
  <r>
    <x v="234"/>
    <s v="University Health Network (Toronto)"/>
    <s v="Ontario"/>
    <s v="Proof of Principle Program - Phase I"/>
    <s v="201509PPP"/>
    <s v="Proof of Principle"/>
    <s v="Development of a test for the early diagnosis and monitoring of lupus nephritis"/>
    <n v="160000"/>
    <n v="0"/>
    <n v="1"/>
    <s v="Musculoskeletal Health and Arthritis"/>
    <x v="27"/>
    <s v="lupus, nephritis, diagnosis"/>
    <n v="1"/>
    <s v="zN/A"/>
    <n v="0"/>
    <s v="zN/A"/>
  </r>
  <r>
    <x v="235"/>
    <s v="University of British Columbia"/>
    <s v="British Columbia"/>
    <s v="Proof of Principle Program - Phase I"/>
    <s v="200910PPP"/>
    <s v="Proof of Principle"/>
    <s v="Novel mechanism-based inhibitors of influenza neuraminidase as potential anti-viral agents"/>
    <n v="150000"/>
    <n v="0"/>
    <n v="1"/>
    <s v="Infection and Immunity"/>
    <x v="8"/>
    <s v="neuraminidase, inhibitors, influenza"/>
    <n v="1"/>
    <s v="zN/A"/>
    <n v="0"/>
    <s v="zN/A"/>
  </r>
  <r>
    <x v="235"/>
    <s v="University of British Columbia"/>
    <s v="British Columbia"/>
    <s v="Proof of Principle Program - Phase II"/>
    <s v="201202PP2"/>
    <s v="Proof of Principle"/>
    <s v="Novel Influenza Neuraminidase Inhibitors - Development of Orally Bioavailable Agents"/>
    <n v="297000"/>
    <n v="0"/>
    <n v="1"/>
    <s v="Infection and Immunity"/>
    <x v="0"/>
    <s v="Influenza, Neuraminidase, Inhibitors"/>
    <n v="3"/>
    <s v="zN/A"/>
    <n v="0"/>
    <s v="zN/A"/>
  </r>
  <r>
    <x v="235"/>
    <s v="University of British Columbia"/>
    <s v="British Columbia"/>
    <s v="Proof of Principle Program - Phase I"/>
    <s v="201409PPP"/>
    <s v="Proof of Principle"/>
    <s v="Extending circulation time of protein therapeutics by capping glycan structures with 7F-Sialic acids"/>
    <n v="159981"/>
    <n v="0"/>
    <n v="1"/>
    <s v="Genetics"/>
    <x v="22"/>
    <s v="protein, glycan, sialic acids"/>
    <n v="5"/>
    <s v="zN/A"/>
    <n v="0"/>
    <s v="zN/A"/>
  </r>
  <r>
    <x v="236"/>
    <s v="CIUSSS de Centre-Ouest-de-l'Ile-de-Montreal-Jewish General"/>
    <s v="Quebec"/>
    <s v="Proof of Principle Program Phase I - Drug Development"/>
    <s v="201003PDD"/>
    <s v="Proof of Principle"/>
    <s v="Novel bifunctional antiandrogens that suppress oncogenic activation of the androgen receptor in castration-resistant prostate cancer"/>
    <n v="159750"/>
    <n v="0"/>
    <n v="1"/>
    <s v="Cancer Research"/>
    <x v="7"/>
    <s v="antiandrogens, androgen receptor, prostate cancer"/>
    <n v="2"/>
    <s v="zN/A"/>
    <n v="0"/>
    <s v="zN/A"/>
  </r>
  <r>
    <x v="236"/>
    <s v="CIUSSS de Centre-Ouest-de-l'Ile-de-Montreal-Jewish General"/>
    <s v="Quebec"/>
    <s v="Proof of Principle Program - Phase I"/>
    <s v="201502PPP"/>
    <s v="Proof of Principle"/>
    <s v="Development of novel pan-inhibitors of the androgen receptor variants as effective therapeutics for castration-resistant prostate cancer"/>
    <n v="160000"/>
    <n v="0"/>
    <n v="1"/>
    <s v="Cancer Research"/>
    <x v="1"/>
    <s v="androgen receptor, pan-inhibitors, prostate cancer"/>
    <n v="2"/>
    <s v="zN/A"/>
    <n v="0"/>
    <s v="zN/A"/>
  </r>
  <r>
    <x v="237"/>
    <s v="University of Toronto"/>
    <s v="Ontario"/>
    <s v="Proof of Principle Program - Phase I"/>
    <s v="201309PPP"/>
    <s v="Proof of Principle"/>
    <s v="Preclinical evaluation of multifunctional polymer nanoparticles for targeted brain cancer therapy"/>
    <n v="160000"/>
    <n v="0"/>
    <n v="1"/>
    <s v="Cancer Research"/>
    <x v="14"/>
    <s v="polymer nanoparticles, brain cancer, targeted"/>
    <n v="2"/>
    <s v="zN/A"/>
    <n v="0"/>
    <s v="zN/A"/>
  </r>
  <r>
    <x v="237"/>
    <s v="University of Toronto"/>
    <s v="Ontario"/>
    <s v="Project Grant"/>
    <s v="201809PJT"/>
    <s v="Commercialization"/>
    <s v="Development of a Smart Tumor-Activated Nanodiagnostic System for Sensitive Detection of Solid Tumors and Metastases"/>
    <n v="470475"/>
    <n v="0"/>
    <n v="3"/>
    <s v="Cancer Research"/>
    <x v="10"/>
    <s v="Nanodiagnostic, Tumor-Activated, Detection"/>
    <n v="0"/>
    <s v="zN/A"/>
    <n v="0"/>
    <s v="zN/A"/>
  </r>
  <r>
    <x v="9"/>
    <s v="Toronto Metropolitan University"/>
    <s v="Ontario"/>
    <s v="Proof of Principle Program - Phase I"/>
    <s v="201302PPP"/>
    <s v="Proof of Principle"/>
    <s v="Integrated Surgical Lighting and Navigation System"/>
    <n v="156230"/>
    <n v="2200"/>
    <n v="1"/>
    <s v="Musculoskeletal Health and Arthritis"/>
    <x v="13"/>
    <s v="Surgical lighting, Navigation system"/>
    <n v="21"/>
    <s v="zN/A"/>
    <n v="0"/>
    <s v="zN/A"/>
  </r>
  <r>
    <x v="238"/>
    <s v="University of Alberta"/>
    <s v="Alberta"/>
    <s v="Proof of Principle Program - Phase II"/>
    <s v="201309PP2"/>
    <s v="Proof of Principle"/>
    <s v="A field-deployable malaria and fever diagnostic system"/>
    <n v="143250"/>
    <n v="0"/>
    <n v="1"/>
    <s v="Infection and Immunity"/>
    <x v="14"/>
    <s v="malaria, diagnostic, fever"/>
    <n v="0"/>
    <s v="zN/A"/>
    <n v="0"/>
    <s v="zN/A"/>
  </r>
  <r>
    <x v="238"/>
    <s v="University of Alberta"/>
    <s v="Alberta"/>
    <s v="Proof of Principle Program - Phase I"/>
    <s v="201409PPP"/>
    <s v="Proof of Principle"/>
    <s v="Long-term preservation of a whole parasite malaria vaccine for storage and delivery in the tropics"/>
    <n v="160000"/>
    <n v="0"/>
    <n v="1"/>
    <s v="Infection and Immunity"/>
    <x v="22"/>
    <s v="parasite, malaria, vaccine"/>
    <n v="0"/>
    <s v="zN/A"/>
    <n v="0"/>
    <s v="zN/A"/>
  </r>
  <r>
    <x v="239"/>
    <s v="University of Alberta"/>
    <s v="Alberta"/>
    <s v="Project Grant"/>
    <s v="202203PJT"/>
    <s v="Commercialization"/>
    <s v="Commercializing a novel platform for delivery of antisense oligonucleotide-mediated therapy"/>
    <n v="1009800"/>
    <n v="0"/>
    <n v="5"/>
    <s v="Genetics"/>
    <x v="6"/>
    <s v="antisense, oligonucleotide, delivery"/>
    <n v="3"/>
    <s v="zN/A"/>
    <n v="0"/>
    <s v="zN/A"/>
  </r>
  <r>
    <x v="240"/>
    <s v="Simon Fraser University (Burnaby, B.C.)"/>
    <s v="British Columbia"/>
    <s v="Proof of Principle Program - Phase I"/>
    <s v="201409PPP"/>
    <s v="Proof of Principle"/>
    <s v="Development of a novel conjugate drug for local delivery in bone grafts: Efficacy study on vascularization and osteogenesis after local delivery in a dental implant jaw model"/>
    <n v="157500"/>
    <n v="0"/>
    <n v="1"/>
    <s v="Musculoskeletal Health and Arthritis"/>
    <x v="22"/>
    <s v="conjugate drug, bone grafts, osteogenesis"/>
    <n v="6"/>
    <s v="zN/A"/>
    <n v="0"/>
    <s v="zN/A"/>
  </r>
  <r>
    <x v="241"/>
    <s v="Unity Health Toronto"/>
    <s v="Ontario"/>
    <s v="Project Grant"/>
    <s v="201809PJT"/>
    <s v="Commercialization"/>
    <s v="Development of the first pre-operative serum exosomal miRNA test to guide treatment decision in prostate cancer"/>
    <n v="573752"/>
    <n v="0"/>
    <n v="4"/>
    <s v="Cancer Research"/>
    <x v="10"/>
    <s v="exosomal, miRNA, prostate cancer"/>
    <n v="1"/>
    <s v="zN/A"/>
    <n v="0"/>
    <s v="zN/A"/>
  </r>
  <r>
    <x v="242"/>
    <s v="University of Toronto"/>
    <s v="Ontario"/>
    <s v="Proof of Principle Program - Phase I"/>
    <s v="201102PPP"/>
    <s v="Proof of Principle"/>
    <s v="Arrays of constrained histone tail mimetics for the development of epigenetic anticancer drugs"/>
    <n v="85712"/>
    <n v="74288"/>
    <n v="1"/>
    <s v="Cancer Research"/>
    <x v="4"/>
    <s v="histone, mimetics, epigenetic"/>
    <n v="0"/>
    <s v="zN/A"/>
    <n v="0"/>
    <s v="zN/A"/>
  </r>
  <r>
    <x v="243"/>
    <s v="University of Alberta"/>
    <s v="Alberta"/>
    <s v="Project Grant"/>
    <s v="202303PJT"/>
    <s v="Commercialization"/>
    <s v="Vegaven, a novel lipid emulsion with unique superior biological actions designed for parenteral nutrition"/>
    <n v="818550"/>
    <n v="0"/>
    <n v="3"/>
    <s v="Nutrition, Metabolism and Diabetes"/>
    <x v="18"/>
    <s v="lipid emulsion, parenteral nutrition, biological actions"/>
    <n v="0"/>
    <s v="zN/A"/>
    <n v="0"/>
    <s v="zN/A"/>
  </r>
  <r>
    <x v="244"/>
    <s v="University of British Columbia"/>
    <s v="British Columbia"/>
    <s v="Proof of Principle Program - Phase II"/>
    <s v="201009PP2"/>
    <s v="Proof of Principle"/>
    <s v="Development of a laser Raman spectroscopy system for melanoma detection"/>
    <n v="244071"/>
    <n v="48211"/>
    <n v="1"/>
    <s v="Cancer Research"/>
    <x v="2"/>
    <s v="laser, Raman spectroscopy, melanoma"/>
    <n v="8"/>
    <s v="zN/A"/>
    <n v="0"/>
    <s v="zN/A"/>
  </r>
  <r>
    <x v="244"/>
    <s v="University of British Columbia"/>
    <s v="British Columbia"/>
    <s v="Project Grant"/>
    <s v="201709PJT"/>
    <s v="Commercialization"/>
    <s v="Real-time Endoscopic Raman Spectroscopy for Improving Dysplasia/Colorectal Cancer Detection in Patients with Inflammatory Bowel Diseases"/>
    <n v="508724"/>
    <n v="0"/>
    <n v="4"/>
    <s v="Cancer Research"/>
    <x v="25"/>
    <s v="Raman Spectroscopy, Endoscopic, Colorectal Cancer"/>
    <n v="1"/>
    <s v="zN/A"/>
    <n v="0"/>
    <s v="zN/A"/>
  </r>
  <r>
    <x v="244"/>
    <s v="University of British Columbia"/>
    <s v="British Columbia"/>
    <s v="Project Grant"/>
    <s v="202104PJT"/>
    <s v="Commercialization"/>
    <s v="Autofluorescence Imaging Guided Laser Raman Spectroscopy for Non-invasive Oral Cancer Detection"/>
    <n v="742051"/>
    <n v="0"/>
    <n v="4"/>
    <s v="Cancer Research"/>
    <x v="31"/>
    <s v="Autofluorescence, Raman Spectroscopy, Oral Cancer"/>
    <n v="0"/>
    <s v="zN/A"/>
    <n v="0"/>
    <s v="zN/A"/>
  </r>
  <r>
    <x v="245"/>
    <s v="University Health Network (Toronto)"/>
    <s v="Ontario"/>
    <s v="Proof of Principle Program - Phase II"/>
    <s v="201502PP2"/>
    <s v="Proof of Principle"/>
    <s v="A new cellular immunotherapy to treat acute myeloid leukemia"/>
    <n v="183670"/>
    <n v="35500"/>
    <n v="1"/>
    <s v="Cancer Research"/>
    <x v="1"/>
    <s v="cellular, immunotherapy, leukemia"/>
    <n v="2"/>
    <s v="zN/A"/>
    <n v="0"/>
    <s v="zN/A"/>
  </r>
  <r>
    <x v="245"/>
    <s v="University Health Network (Toronto)"/>
    <s v="Ontario"/>
    <s v="Project Grant"/>
    <s v="201903PJT"/>
    <s v="Commercialization"/>
    <s v="Developing a platform for &quot;off-the-shelf&quot; CAR-T cell therapies for cancer using double negative T cells"/>
    <n v="703800"/>
    <n v="0"/>
    <n v="4"/>
    <s v="Cancer Research"/>
    <x v="17"/>
    <s v="CAR-T, T cells, cancer"/>
    <n v="5"/>
    <s v="zN/A"/>
    <n v="0"/>
    <s v="z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2230AB-E23B-E047-AFEC-E439B7D8E6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8:J4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</items>
    </pivotField>
  </pivotFields>
  <rowFields count="2">
    <field x="16"/>
    <field x="1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atent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2D0EF-3227-6A41-BA65-DCBB7A672329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7:C294" firstHeaderRow="0" firstDataRow="1" firstDataCol="1"/>
  <pivotFields count="20">
    <pivotField axis="axisRow" showAll="0">
      <items count="247"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2"/>
        <item x="1"/>
        <item x="40"/>
        <item x="41"/>
        <item x="42"/>
        <item x="43"/>
        <item x="44"/>
        <item x="45"/>
        <item x="46"/>
        <item x="47"/>
        <item x="48"/>
        <item x="0"/>
        <item x="49"/>
        <item x="50"/>
        <item x="51"/>
        <item x="2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8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3"/>
        <item x="123"/>
        <item x="124"/>
        <item x="23"/>
        <item x="125"/>
        <item x="126"/>
        <item x="127"/>
        <item x="10"/>
        <item x="128"/>
        <item x="11"/>
        <item x="129"/>
        <item x="130"/>
        <item x="131"/>
        <item x="132"/>
        <item x="7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2"/>
        <item x="24"/>
        <item x="165"/>
        <item x="166"/>
        <item x="1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5"/>
        <item x="186"/>
        <item x="187"/>
        <item x="188"/>
        <item x="16"/>
        <item x="189"/>
        <item x="190"/>
        <item x="191"/>
        <item x="192"/>
        <item x="15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4"/>
        <item x="21"/>
        <item x="209"/>
        <item x="210"/>
        <item x="211"/>
        <item x="212"/>
        <item x="6"/>
        <item x="213"/>
        <item x="214"/>
        <item x="8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9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9"/>
        <item x="238"/>
        <item x="239"/>
        <item x="3"/>
        <item x="240"/>
        <item x="241"/>
        <item x="242"/>
        <item x="243"/>
        <item x="244"/>
        <item x="245"/>
        <item x="17"/>
        <item t="default"/>
      </items>
    </pivotField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dataField="1" showAll="0"/>
    <pivotField showAll="0"/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0"/>
  </rowFields>
  <rowItems count="2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atents" fld="13" baseField="0" baseItem="0"/>
    <dataField name="Sum of companies_coun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40F4D-9978-0E46-8C39-C5FA2215AA7A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49:Q83" firstHeaderRow="1" firstDataRow="1" firstDataCol="1" rowPageCount="1" colPageCount="1"/>
  <pivotFields count="17">
    <pivotField axis="axisRow" showAll="0">
      <items count="247"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2"/>
        <item x="1"/>
        <item x="40"/>
        <item x="41"/>
        <item x="42"/>
        <item x="43"/>
        <item x="44"/>
        <item x="45"/>
        <item x="46"/>
        <item x="47"/>
        <item x="48"/>
        <item x="0"/>
        <item x="49"/>
        <item x="50"/>
        <item x="51"/>
        <item x="2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8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3"/>
        <item x="123"/>
        <item x="124"/>
        <item x="23"/>
        <item x="125"/>
        <item x="126"/>
        <item x="127"/>
        <item x="10"/>
        <item x="128"/>
        <item x="11"/>
        <item x="129"/>
        <item x="130"/>
        <item x="131"/>
        <item x="132"/>
        <item x="7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2"/>
        <item x="24"/>
        <item x="165"/>
        <item x="166"/>
        <item x="1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5"/>
        <item x="186"/>
        <item x="187"/>
        <item x="188"/>
        <item x="16"/>
        <item x="189"/>
        <item x="190"/>
        <item x="191"/>
        <item x="192"/>
        <item x="15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4"/>
        <item x="21"/>
        <item x="209"/>
        <item x="210"/>
        <item x="211"/>
        <item x="212"/>
        <item x="6"/>
        <item x="213"/>
        <item x="214"/>
        <item x="8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9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9"/>
        <item x="238"/>
        <item x="239"/>
        <item x="3"/>
        <item x="240"/>
        <item x="241"/>
        <item x="242"/>
        <item x="243"/>
        <item x="244"/>
        <item x="245"/>
        <item x="17"/>
        <item t="default"/>
      </items>
    </pivotField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h="1" x="3"/>
        <item h="1" x="1"/>
        <item x="8"/>
        <item h="1" x="10"/>
        <item h="1" x="5"/>
        <item h="1" x="11"/>
        <item h="1" x="0"/>
        <item h="1" x="7"/>
        <item h="1" x="2"/>
        <item h="1" x="6"/>
        <item h="1" x="4"/>
        <item h="1" x="9"/>
        <item t="default"/>
      </items>
    </pivotField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0"/>
  </rowFields>
  <rowItems count="34">
    <i>
      <x v="6"/>
    </i>
    <i>
      <x v="8"/>
    </i>
    <i>
      <x v="11"/>
    </i>
    <i>
      <x v="18"/>
    </i>
    <i>
      <x v="30"/>
    </i>
    <i>
      <x v="33"/>
    </i>
    <i>
      <x v="38"/>
    </i>
    <i>
      <x v="39"/>
    </i>
    <i>
      <x v="45"/>
    </i>
    <i>
      <x v="48"/>
    </i>
    <i>
      <x v="50"/>
    </i>
    <i>
      <x v="60"/>
    </i>
    <i>
      <x v="62"/>
    </i>
    <i>
      <x v="64"/>
    </i>
    <i>
      <x v="82"/>
    </i>
    <i>
      <x v="84"/>
    </i>
    <i>
      <x v="86"/>
    </i>
    <i>
      <x v="91"/>
    </i>
    <i>
      <x v="99"/>
    </i>
    <i>
      <x v="105"/>
    </i>
    <i>
      <x v="106"/>
    </i>
    <i>
      <x v="112"/>
    </i>
    <i>
      <x v="114"/>
    </i>
    <i>
      <x v="121"/>
    </i>
    <i>
      <x v="145"/>
    </i>
    <i>
      <x v="160"/>
    </i>
    <i>
      <x v="164"/>
    </i>
    <i>
      <x v="168"/>
    </i>
    <i>
      <x v="172"/>
    </i>
    <i>
      <x v="206"/>
    </i>
    <i>
      <x v="218"/>
    </i>
    <i>
      <x v="220"/>
    </i>
    <i>
      <x v="221"/>
    </i>
    <i t="grand">
      <x/>
    </i>
  </rowItems>
  <colItems count="1">
    <i/>
  </colItems>
  <pageFields count="1">
    <pageField fld="10" hier="-1"/>
  </pageFields>
  <dataFields count="1">
    <dataField name="Sum of Patent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76782-18E2-C549-8EC2-C4AB8128683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E12:G25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13">
        <item x="3"/>
        <item x="1"/>
        <item x="8"/>
        <item x="10"/>
        <item x="5"/>
        <item x="11"/>
        <item x="0"/>
        <item x="7"/>
        <item x="2"/>
        <item x="6"/>
        <item x="4"/>
        <item x="9"/>
        <item t="default"/>
      </items>
    </pivotField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IHR_Equipment" fld="8" baseField="0" baseItem="0"/>
    <dataField name="Sum of CIHR_Contributio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836E7-1BFF-8941-8107-FE3CDE8D036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7:O19" firstHeaderRow="1" firstDataRow="1" firstDataCol="1"/>
  <pivotFields count="17">
    <pivotField dataField="1" showAll="0"/>
    <pivotField showAll="0"/>
    <pivotField showAll="0"/>
    <pivotField axis="axisRow" showAll="0">
      <items count="12">
        <item x="7"/>
        <item x="2"/>
        <item x="4"/>
        <item x="9"/>
        <item x="6"/>
        <item x="5"/>
        <item x="10"/>
        <item x="8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 countASubtotal="1" countSubtotal="1"/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BB7A6-DBAF-1342-9976-60C2DA124B09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N2:O5" firstHeaderRow="1" firstDataRow="1" firstDataCol="1"/>
  <pivotFields count="17"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 countASubtotal="1" countSubtotal="1"/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4C4C3-229D-0C48-9AB7-5F256A8C20A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:L18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4">
    <field x="16"/>
    <field x="15"/>
    <field x="14"/>
    <field x="11"/>
  </rowFields>
  <rowItems count="1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8B62C-DB68-2D43-8361-07818BF96A6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2:B25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1"/>
        <item x="8"/>
        <item x="10"/>
        <item x="5"/>
        <item x="11"/>
        <item x="0"/>
        <item x="7"/>
        <item x="2"/>
        <item x="6"/>
        <item x="4"/>
        <item x="9"/>
        <item t="default"/>
      </items>
    </pivotField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823A6-0F91-FB4E-8B29-1F2AD4581A4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B36" firstHeaderRow="1" firstDataRow="1" firstDataCol="1"/>
  <pivotFields count="17">
    <pivotField showAll="0"/>
    <pivotField showAll="0"/>
    <pivotField axis="axisRow" showAll="0">
      <items count="8">
        <item x="5"/>
        <item x="1"/>
        <item x="4"/>
        <item x="6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dataField="1" showAll="0"/>
    <pivotField showAll="0" defaultSubtotal="0"/>
    <pivotField showAll="0" defaultSubtotal="0"/>
    <pivotField showAll="0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atent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C9679-FDBD-C749-B541-F9A9E258182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10" firstHeaderRow="1" firstDataRow="1" firstDataCol="1"/>
  <pivotFields count="17">
    <pivotField dataField="1" showAll="0"/>
    <pivotField showAll="0"/>
    <pivotField axis="axisRow" showAll="0">
      <items count="8">
        <item x="5"/>
        <item x="1"/>
        <item x="4"/>
        <item x="6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BEEA3-FD31-D342-84D6-7082F9AEF002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9:J125" firstHeaderRow="1" firstDataRow="1" firstDataCol="1" rowPageCount="1" colPageCount="1"/>
  <pivotFields count="17">
    <pivotField axis="axisRow" showAll="0">
      <items count="247"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22"/>
        <item x="1"/>
        <item x="40"/>
        <item x="41"/>
        <item x="42"/>
        <item x="43"/>
        <item x="44"/>
        <item x="45"/>
        <item x="46"/>
        <item x="47"/>
        <item x="48"/>
        <item x="0"/>
        <item x="49"/>
        <item x="50"/>
        <item x="51"/>
        <item x="20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8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3"/>
        <item x="123"/>
        <item x="124"/>
        <item x="23"/>
        <item x="125"/>
        <item x="126"/>
        <item x="127"/>
        <item x="10"/>
        <item x="128"/>
        <item x="11"/>
        <item x="129"/>
        <item x="130"/>
        <item x="131"/>
        <item x="132"/>
        <item x="7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2"/>
        <item x="24"/>
        <item x="165"/>
        <item x="166"/>
        <item x="14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5"/>
        <item x="186"/>
        <item x="187"/>
        <item x="188"/>
        <item x="16"/>
        <item x="189"/>
        <item x="190"/>
        <item x="191"/>
        <item x="192"/>
        <item x="15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4"/>
        <item x="21"/>
        <item x="209"/>
        <item x="210"/>
        <item x="211"/>
        <item x="212"/>
        <item x="6"/>
        <item x="213"/>
        <item x="214"/>
        <item x="8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19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9"/>
        <item x="238"/>
        <item x="239"/>
        <item x="3"/>
        <item x="240"/>
        <item x="241"/>
        <item x="242"/>
        <item x="243"/>
        <item x="244"/>
        <item x="245"/>
        <item x="17"/>
        <item t="default"/>
      </items>
    </pivotField>
    <pivotField showAll="0"/>
    <pivotField axis="axisPage" multipleItemSelectionAllowed="1" showAll="0">
      <items count="8">
        <item h="1" x="5"/>
        <item h="1" x="1"/>
        <item h="1" x="4"/>
        <item h="1" x="6"/>
        <item h="1" x="0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0"/>
  </rowFields>
  <rowItems count="76">
    <i>
      <x/>
    </i>
    <i>
      <x v="4"/>
    </i>
    <i>
      <x v="5"/>
    </i>
    <i>
      <x v="12"/>
    </i>
    <i>
      <x v="13"/>
    </i>
    <i>
      <x v="17"/>
    </i>
    <i>
      <x v="21"/>
    </i>
    <i>
      <x v="22"/>
    </i>
    <i>
      <x v="23"/>
    </i>
    <i>
      <x v="25"/>
    </i>
    <i>
      <x v="27"/>
    </i>
    <i>
      <x v="29"/>
    </i>
    <i>
      <x v="30"/>
    </i>
    <i>
      <x v="32"/>
    </i>
    <i>
      <x v="33"/>
    </i>
    <i>
      <x v="35"/>
    </i>
    <i>
      <x v="37"/>
    </i>
    <i>
      <x v="38"/>
    </i>
    <i>
      <x v="40"/>
    </i>
    <i>
      <x v="41"/>
    </i>
    <i>
      <x v="44"/>
    </i>
    <i>
      <x v="68"/>
    </i>
    <i>
      <x v="71"/>
    </i>
    <i>
      <x v="73"/>
    </i>
    <i>
      <x v="78"/>
    </i>
    <i>
      <x v="79"/>
    </i>
    <i>
      <x v="88"/>
    </i>
    <i>
      <x v="89"/>
    </i>
    <i>
      <x v="91"/>
    </i>
    <i>
      <x v="94"/>
    </i>
    <i>
      <x v="95"/>
    </i>
    <i>
      <x v="96"/>
    </i>
    <i>
      <x v="103"/>
    </i>
    <i>
      <x v="104"/>
    </i>
    <i>
      <x v="112"/>
    </i>
    <i>
      <x v="113"/>
    </i>
    <i>
      <x v="114"/>
    </i>
    <i>
      <x v="119"/>
    </i>
    <i>
      <x v="121"/>
    </i>
    <i>
      <x v="123"/>
    </i>
    <i>
      <x v="127"/>
    </i>
    <i>
      <x v="132"/>
    </i>
    <i>
      <x v="134"/>
    </i>
    <i>
      <x v="138"/>
    </i>
    <i>
      <x v="139"/>
    </i>
    <i>
      <x v="142"/>
    </i>
    <i>
      <x v="146"/>
    </i>
    <i>
      <x v="147"/>
    </i>
    <i>
      <x v="148"/>
    </i>
    <i>
      <x v="151"/>
    </i>
    <i>
      <x v="152"/>
    </i>
    <i>
      <x v="154"/>
    </i>
    <i>
      <x v="156"/>
    </i>
    <i>
      <x v="157"/>
    </i>
    <i>
      <x v="159"/>
    </i>
    <i>
      <x v="160"/>
    </i>
    <i>
      <x v="162"/>
    </i>
    <i>
      <x v="165"/>
    </i>
    <i>
      <x v="169"/>
    </i>
    <i>
      <x v="173"/>
    </i>
    <i>
      <x v="177"/>
    </i>
    <i>
      <x v="179"/>
    </i>
    <i>
      <x v="185"/>
    </i>
    <i>
      <x v="188"/>
    </i>
    <i>
      <x v="196"/>
    </i>
    <i>
      <x v="198"/>
    </i>
    <i>
      <x v="199"/>
    </i>
    <i>
      <x v="204"/>
    </i>
    <i>
      <x v="205"/>
    </i>
    <i>
      <x v="207"/>
    </i>
    <i>
      <x v="209"/>
    </i>
    <i>
      <x v="210"/>
    </i>
    <i>
      <x v="211"/>
    </i>
    <i>
      <x v="221"/>
    </i>
    <i>
      <x v="233"/>
    </i>
    <i t="grand">
      <x/>
    </i>
  </rowItems>
  <colItems count="1">
    <i/>
  </colItems>
  <pageFields count="1">
    <pageField fld="2" hier="-1"/>
  </pageFields>
  <dataFields count="1">
    <dataField name="Sum of Patent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9E12C-9C57-4B4D-9542-B43C060AA90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28:F41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1"/>
        <item x="8"/>
        <item x="10"/>
        <item x="5"/>
        <item x="11"/>
        <item x="0"/>
        <item x="7"/>
        <item x="2"/>
        <item x="6"/>
        <item x="4"/>
        <item x="9"/>
        <item t="default"/>
      </items>
    </pivotField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atent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A7730-7078-2D41-9A1C-B74CC69D064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G10" firstHeaderRow="0" firstDataRow="1" firstDataCol="1"/>
  <pivotFields count="17">
    <pivotField showAll="0"/>
    <pivotField showAll="0"/>
    <pivotField axis="axisRow" showAll="0">
      <items count="8">
        <item x="5"/>
        <item x="1"/>
        <item x="4"/>
        <item x="6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numFmtId="14" showAll="0">
      <items count="35">
        <item x="15"/>
        <item x="5"/>
        <item x="12"/>
        <item x="8"/>
        <item x="7"/>
        <item x="2"/>
        <item x="4"/>
        <item x="11"/>
        <item x="0"/>
        <item x="16"/>
        <item x="13"/>
        <item x="14"/>
        <item x="3"/>
        <item x="22"/>
        <item x="1"/>
        <item x="27"/>
        <item x="25"/>
        <item x="30"/>
        <item x="10"/>
        <item x="17"/>
        <item x="33"/>
        <item x="23"/>
        <item x="24"/>
        <item x="28"/>
        <item x="31"/>
        <item x="29"/>
        <item x="32"/>
        <item x="6"/>
        <item x="21"/>
        <item x="9"/>
        <item x="18"/>
        <item x="26"/>
        <item x="19"/>
        <item x="20"/>
        <item t="default"/>
      </items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IHR_Contribution" fld="7" baseField="0" baseItem="0"/>
    <dataField name="Sum of CIHR_Equipme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1DED-EF7E-F343-9B8C-8BAD5CCC5975}">
  <sheetPr codeName="Sheet1"/>
  <dimension ref="A1:R318"/>
  <sheetViews>
    <sheetView topLeftCell="J1" zoomScale="110" zoomScaleNormal="110" workbookViewId="0">
      <selection activeCell="O1" sqref="O1:R25"/>
    </sheetView>
  </sheetViews>
  <sheetFormatPr defaultColWidth="10.625" defaultRowHeight="15.75"/>
  <cols>
    <col min="1" max="1" width="11.5" customWidth="1"/>
    <col min="8" max="8" width="14.375" style="13" bestFit="1" customWidth="1"/>
    <col min="9" max="9" width="11.625" style="13" bestFit="1" customWidth="1"/>
    <col min="14" max="14" width="10.875" customWidth="1"/>
    <col min="15" max="15" width="10.375" customWidth="1"/>
    <col min="16" max="16" width="9.875" customWidth="1"/>
    <col min="17" max="17" width="9.5" customWidth="1"/>
    <col min="18" max="18" width="15.625" customWidth="1"/>
  </cols>
  <sheetData>
    <row r="1" spans="1:18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s="13" t="s">
        <v>8</v>
      </c>
      <c r="I1" s="13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1041</v>
      </c>
      <c r="P1" t="s">
        <v>1042</v>
      </c>
      <c r="Q1" t="s">
        <v>1043</v>
      </c>
      <c r="R1" t="s">
        <v>0</v>
      </c>
    </row>
    <row r="2" spans="1:18">
      <c r="A2" t="s">
        <v>436</v>
      </c>
      <c r="B2" t="s">
        <v>244</v>
      </c>
      <c r="C2" t="s">
        <v>205</v>
      </c>
      <c r="D2" t="s">
        <v>25</v>
      </c>
      <c r="E2" t="s">
        <v>433</v>
      </c>
      <c r="F2" t="s">
        <v>20</v>
      </c>
      <c r="G2" t="s">
        <v>437</v>
      </c>
      <c r="H2" s="13">
        <v>159097</v>
      </c>
      <c r="I2" s="13">
        <v>0</v>
      </c>
      <c r="J2">
        <v>1</v>
      </c>
      <c r="K2" t="s">
        <v>309</v>
      </c>
      <c r="L2" s="6">
        <v>41183</v>
      </c>
      <c r="M2" t="s">
        <v>438</v>
      </c>
      <c r="N2">
        <v>3</v>
      </c>
      <c r="O2" t="s">
        <v>1053</v>
      </c>
      <c r="P2">
        <v>1</v>
      </c>
      <c r="Q2" t="s">
        <v>1045</v>
      </c>
      <c r="R2" t="s">
        <v>436</v>
      </c>
    </row>
    <row r="3" spans="1:18">
      <c r="A3" t="s">
        <v>710</v>
      </c>
      <c r="B3" t="s">
        <v>16</v>
      </c>
      <c r="C3" t="s">
        <v>17</v>
      </c>
      <c r="D3" t="s">
        <v>25</v>
      </c>
      <c r="E3" t="s">
        <v>711</v>
      </c>
      <c r="F3" t="s">
        <v>20</v>
      </c>
      <c r="G3" t="s">
        <v>712</v>
      </c>
      <c r="H3" s="13">
        <v>160000</v>
      </c>
      <c r="I3" s="13">
        <v>0</v>
      </c>
      <c r="J3">
        <v>1</v>
      </c>
      <c r="K3" t="s">
        <v>28</v>
      </c>
      <c r="L3" s="6">
        <v>42278</v>
      </c>
      <c r="M3" t="s">
        <v>713</v>
      </c>
      <c r="N3">
        <v>8</v>
      </c>
      <c r="O3" t="s">
        <v>1046</v>
      </c>
      <c r="P3">
        <v>1</v>
      </c>
      <c r="Q3" t="s">
        <v>1045</v>
      </c>
      <c r="R3" t="s">
        <v>710</v>
      </c>
    </row>
    <row r="4" spans="1:18">
      <c r="A4" t="s">
        <v>297</v>
      </c>
      <c r="B4" t="s">
        <v>244</v>
      </c>
      <c r="C4" t="s">
        <v>205</v>
      </c>
      <c r="D4" t="s">
        <v>25</v>
      </c>
      <c r="E4" t="s">
        <v>286</v>
      </c>
      <c r="F4" t="s">
        <v>20</v>
      </c>
      <c r="G4" t="s">
        <v>298</v>
      </c>
      <c r="H4" s="13">
        <v>149034</v>
      </c>
      <c r="I4" s="13">
        <v>10900</v>
      </c>
      <c r="J4">
        <v>1</v>
      </c>
      <c r="K4" t="s">
        <v>108</v>
      </c>
      <c r="L4" s="6">
        <v>40634</v>
      </c>
      <c r="M4" t="s">
        <v>299</v>
      </c>
      <c r="N4">
        <v>1</v>
      </c>
      <c r="O4" t="s">
        <v>1054</v>
      </c>
      <c r="P4">
        <v>1</v>
      </c>
      <c r="Q4" t="s">
        <v>1045</v>
      </c>
      <c r="R4" t="s">
        <v>297</v>
      </c>
    </row>
    <row r="5" spans="1:18">
      <c r="A5" t="s">
        <v>747</v>
      </c>
      <c r="B5" t="s">
        <v>37</v>
      </c>
      <c r="C5" t="s">
        <v>38</v>
      </c>
      <c r="D5" t="s">
        <v>25</v>
      </c>
      <c r="E5" t="s">
        <v>711</v>
      </c>
      <c r="F5" t="s">
        <v>20</v>
      </c>
      <c r="G5" t="s">
        <v>748</v>
      </c>
      <c r="H5" s="13">
        <v>155800</v>
      </c>
      <c r="I5" s="13">
        <v>4000</v>
      </c>
      <c r="J5">
        <v>1</v>
      </c>
      <c r="K5" t="s">
        <v>113</v>
      </c>
      <c r="L5" s="6">
        <v>42278</v>
      </c>
      <c r="M5" t="s">
        <v>749</v>
      </c>
      <c r="N5">
        <v>19</v>
      </c>
      <c r="O5" t="s">
        <v>1062</v>
      </c>
      <c r="P5">
        <v>1</v>
      </c>
      <c r="Q5" t="s">
        <v>1045</v>
      </c>
      <c r="R5" t="s">
        <v>747</v>
      </c>
    </row>
    <row r="6" spans="1:18">
      <c r="A6" t="s">
        <v>646</v>
      </c>
      <c r="B6" t="s">
        <v>373</v>
      </c>
      <c r="C6" t="s">
        <v>38</v>
      </c>
      <c r="D6" t="s">
        <v>25</v>
      </c>
      <c r="E6" t="s">
        <v>610</v>
      </c>
      <c r="F6" t="s">
        <v>20</v>
      </c>
      <c r="G6" t="s">
        <v>647</v>
      </c>
      <c r="H6" s="13">
        <v>160000</v>
      </c>
      <c r="I6" s="13">
        <v>0</v>
      </c>
      <c r="J6">
        <v>1</v>
      </c>
      <c r="K6" t="s">
        <v>40</v>
      </c>
      <c r="L6" s="6">
        <v>41913</v>
      </c>
      <c r="M6" t="s">
        <v>648</v>
      </c>
      <c r="N6">
        <v>4</v>
      </c>
      <c r="O6" t="s">
        <v>1092</v>
      </c>
      <c r="P6">
        <v>1</v>
      </c>
      <c r="Q6" t="s">
        <v>1045</v>
      </c>
      <c r="R6" t="s">
        <v>646</v>
      </c>
    </row>
    <row r="7" spans="1:18">
      <c r="A7" t="s">
        <v>196</v>
      </c>
      <c r="B7" t="s">
        <v>16</v>
      </c>
      <c r="C7" t="s">
        <v>17</v>
      </c>
      <c r="D7" t="s">
        <v>18</v>
      </c>
      <c r="E7" t="s">
        <v>348</v>
      </c>
      <c r="F7" t="s">
        <v>20</v>
      </c>
      <c r="G7" t="s">
        <v>351</v>
      </c>
      <c r="H7" s="13">
        <v>300000</v>
      </c>
      <c r="I7" s="13">
        <v>0</v>
      </c>
      <c r="J7">
        <v>1</v>
      </c>
      <c r="K7" t="s">
        <v>28</v>
      </c>
      <c r="L7" s="6">
        <v>40817</v>
      </c>
      <c r="M7" t="s">
        <v>352</v>
      </c>
      <c r="N7">
        <v>7</v>
      </c>
      <c r="O7" t="s">
        <v>1064</v>
      </c>
      <c r="P7">
        <v>1</v>
      </c>
      <c r="Q7" t="s">
        <v>1045</v>
      </c>
      <c r="R7" t="s">
        <v>196</v>
      </c>
    </row>
    <row r="8" spans="1:18">
      <c r="A8" t="s">
        <v>138</v>
      </c>
      <c r="B8" t="s">
        <v>139</v>
      </c>
      <c r="C8" t="s">
        <v>32</v>
      </c>
      <c r="D8" t="s">
        <v>25</v>
      </c>
      <c r="E8" t="s">
        <v>123</v>
      </c>
      <c r="F8" t="s">
        <v>20</v>
      </c>
      <c r="G8" t="s">
        <v>140</v>
      </c>
      <c r="H8" s="13">
        <v>142600</v>
      </c>
      <c r="I8" s="13">
        <v>0</v>
      </c>
      <c r="J8">
        <v>1</v>
      </c>
      <c r="K8" t="s">
        <v>108</v>
      </c>
      <c r="L8" s="6">
        <v>39995</v>
      </c>
      <c r="M8" t="s">
        <v>141</v>
      </c>
      <c r="N8">
        <v>6</v>
      </c>
      <c r="O8" t="s">
        <v>1056</v>
      </c>
      <c r="P8">
        <v>1</v>
      </c>
      <c r="Q8" t="s">
        <v>1045</v>
      </c>
      <c r="R8" t="s">
        <v>138</v>
      </c>
    </row>
    <row r="9" spans="1:18">
      <c r="A9" t="s">
        <v>893</v>
      </c>
      <c r="B9" t="s">
        <v>16</v>
      </c>
      <c r="C9" t="s">
        <v>17</v>
      </c>
      <c r="D9" t="s">
        <v>791</v>
      </c>
      <c r="E9" t="s">
        <v>914</v>
      </c>
      <c r="F9" t="s">
        <v>80</v>
      </c>
      <c r="G9" t="s">
        <v>896</v>
      </c>
      <c r="H9" s="13">
        <v>761176</v>
      </c>
      <c r="I9" s="13">
        <v>0</v>
      </c>
      <c r="J9">
        <v>5</v>
      </c>
      <c r="K9" t="s">
        <v>48</v>
      </c>
      <c r="L9" s="6">
        <v>44835</v>
      </c>
      <c r="M9" t="s">
        <v>897</v>
      </c>
      <c r="N9">
        <v>3</v>
      </c>
      <c r="O9" t="s">
        <v>1061</v>
      </c>
      <c r="P9">
        <v>1</v>
      </c>
      <c r="Q9" t="s">
        <v>1045</v>
      </c>
      <c r="R9" t="s">
        <v>893</v>
      </c>
    </row>
    <row r="10" spans="1:18">
      <c r="A10" t="s">
        <v>224</v>
      </c>
      <c r="B10" t="s">
        <v>31</v>
      </c>
      <c r="C10" t="s">
        <v>32</v>
      </c>
      <c r="D10" t="s">
        <v>94</v>
      </c>
      <c r="E10" t="s">
        <v>221</v>
      </c>
      <c r="F10" t="s">
        <v>20</v>
      </c>
      <c r="G10" t="s">
        <v>226</v>
      </c>
      <c r="H10" s="13">
        <v>158850</v>
      </c>
      <c r="I10" s="13">
        <v>0</v>
      </c>
      <c r="J10">
        <v>1</v>
      </c>
      <c r="K10" t="s">
        <v>28</v>
      </c>
      <c r="L10" s="6">
        <v>40452</v>
      </c>
      <c r="M10" t="s">
        <v>227</v>
      </c>
      <c r="N10">
        <v>4</v>
      </c>
      <c r="O10" t="s">
        <v>225</v>
      </c>
      <c r="P10">
        <v>1</v>
      </c>
      <c r="Q10" t="s">
        <v>1045</v>
      </c>
      <c r="R10" t="s">
        <v>224</v>
      </c>
    </row>
    <row r="11" spans="1:18">
      <c r="A11" t="s">
        <v>216</v>
      </c>
      <c r="B11" t="s">
        <v>217</v>
      </c>
      <c r="C11" t="s">
        <v>38</v>
      </c>
      <c r="D11" t="s">
        <v>25</v>
      </c>
      <c r="E11" t="s">
        <v>159</v>
      </c>
      <c r="F11" t="s">
        <v>20</v>
      </c>
      <c r="G11" t="s">
        <v>218</v>
      </c>
      <c r="H11" s="13">
        <v>149984</v>
      </c>
      <c r="I11" s="13">
        <v>0</v>
      </c>
      <c r="J11">
        <v>1</v>
      </c>
      <c r="K11" t="s">
        <v>28</v>
      </c>
      <c r="L11" s="6">
        <v>40269</v>
      </c>
      <c r="M11" t="s">
        <v>219</v>
      </c>
      <c r="N11">
        <v>4</v>
      </c>
      <c r="O11" t="s">
        <v>1059</v>
      </c>
      <c r="P11">
        <v>1</v>
      </c>
      <c r="Q11" t="s">
        <v>1045</v>
      </c>
      <c r="R11" t="s">
        <v>216</v>
      </c>
    </row>
    <row r="12" spans="1:18">
      <c r="A12" t="s">
        <v>637</v>
      </c>
      <c r="B12" t="s">
        <v>180</v>
      </c>
      <c r="C12" t="s">
        <v>38</v>
      </c>
      <c r="D12" t="s">
        <v>25</v>
      </c>
      <c r="E12" t="s">
        <v>610</v>
      </c>
      <c r="F12" t="s">
        <v>20</v>
      </c>
      <c r="G12" t="s">
        <v>638</v>
      </c>
      <c r="H12" s="13">
        <v>160000</v>
      </c>
      <c r="I12" s="13">
        <v>0</v>
      </c>
      <c r="J12">
        <v>1</v>
      </c>
      <c r="K12" t="s">
        <v>44</v>
      </c>
      <c r="L12" s="6">
        <v>41913</v>
      </c>
      <c r="M12" t="s">
        <v>639</v>
      </c>
      <c r="N12">
        <v>4</v>
      </c>
      <c r="O12" t="s">
        <v>1060</v>
      </c>
      <c r="P12">
        <v>1</v>
      </c>
      <c r="Q12" t="s">
        <v>1045</v>
      </c>
      <c r="R12" t="s">
        <v>637</v>
      </c>
    </row>
    <row r="13" spans="1:18">
      <c r="A13" t="s">
        <v>944</v>
      </c>
      <c r="B13" t="s">
        <v>51</v>
      </c>
      <c r="C13" t="s">
        <v>32</v>
      </c>
      <c r="D13" t="s">
        <v>791</v>
      </c>
      <c r="E13" t="s">
        <v>937</v>
      </c>
      <c r="F13" t="s">
        <v>80</v>
      </c>
      <c r="G13" t="s">
        <v>945</v>
      </c>
      <c r="H13" s="13">
        <v>665550</v>
      </c>
      <c r="I13" s="13">
        <v>0</v>
      </c>
      <c r="J13">
        <v>3</v>
      </c>
      <c r="K13" t="s">
        <v>28</v>
      </c>
      <c r="L13" s="6">
        <v>45017</v>
      </c>
      <c r="M13" t="s">
        <v>946</v>
      </c>
      <c r="N13">
        <v>1</v>
      </c>
      <c r="O13" t="s">
        <v>1047</v>
      </c>
      <c r="P13">
        <v>1</v>
      </c>
      <c r="Q13" t="s">
        <v>1045</v>
      </c>
      <c r="R13" t="s">
        <v>944</v>
      </c>
    </row>
    <row r="14" spans="1:18">
      <c r="A14" t="s">
        <v>824</v>
      </c>
      <c r="B14" t="s">
        <v>116</v>
      </c>
      <c r="C14" t="s">
        <v>32</v>
      </c>
      <c r="D14" t="s">
        <v>791</v>
      </c>
      <c r="E14" t="s">
        <v>821</v>
      </c>
      <c r="F14" t="s">
        <v>80</v>
      </c>
      <c r="G14" t="s">
        <v>826</v>
      </c>
      <c r="H14" s="13">
        <v>497249</v>
      </c>
      <c r="I14" s="13">
        <v>0</v>
      </c>
      <c r="J14">
        <v>3</v>
      </c>
      <c r="K14" t="s">
        <v>40</v>
      </c>
      <c r="L14" s="6">
        <v>43556</v>
      </c>
      <c r="M14" t="s">
        <v>827</v>
      </c>
      <c r="N14">
        <v>3</v>
      </c>
      <c r="O14" t="s">
        <v>825</v>
      </c>
      <c r="P14">
        <v>1</v>
      </c>
      <c r="Q14" t="s">
        <v>1045</v>
      </c>
      <c r="R14" t="s">
        <v>824</v>
      </c>
    </row>
    <row r="15" spans="1:18">
      <c r="A15" t="s">
        <v>172</v>
      </c>
      <c r="B15" t="s">
        <v>31</v>
      </c>
      <c r="C15" t="s">
        <v>32</v>
      </c>
      <c r="D15" t="s">
        <v>25</v>
      </c>
      <c r="E15" t="s">
        <v>159</v>
      </c>
      <c r="F15" t="s">
        <v>20</v>
      </c>
      <c r="G15" t="s">
        <v>173</v>
      </c>
      <c r="H15" s="13">
        <v>150000</v>
      </c>
      <c r="I15" s="13">
        <v>0</v>
      </c>
      <c r="J15">
        <v>1</v>
      </c>
      <c r="K15" t="s">
        <v>28</v>
      </c>
      <c r="L15" s="6">
        <v>40269</v>
      </c>
      <c r="M15" t="s">
        <v>174</v>
      </c>
      <c r="N15">
        <v>7</v>
      </c>
      <c r="O15" t="s">
        <v>1051</v>
      </c>
      <c r="P15">
        <v>1</v>
      </c>
      <c r="Q15" t="s">
        <v>1045</v>
      </c>
      <c r="R15" t="s">
        <v>172</v>
      </c>
    </row>
    <row r="16" spans="1:18">
      <c r="A16" t="s">
        <v>418</v>
      </c>
      <c r="B16" t="s">
        <v>200</v>
      </c>
      <c r="C16" t="s">
        <v>38</v>
      </c>
      <c r="D16" t="s">
        <v>25</v>
      </c>
      <c r="E16" t="s">
        <v>390</v>
      </c>
      <c r="F16" t="s">
        <v>20</v>
      </c>
      <c r="G16" t="s">
        <v>419</v>
      </c>
      <c r="H16" s="13">
        <v>135557</v>
      </c>
      <c r="I16" s="13">
        <v>0</v>
      </c>
      <c r="J16">
        <v>1</v>
      </c>
      <c r="K16" t="s">
        <v>40</v>
      </c>
      <c r="L16" s="6">
        <v>41000</v>
      </c>
      <c r="M16" t="s">
        <v>420</v>
      </c>
      <c r="N16">
        <v>15</v>
      </c>
      <c r="O16" t="s">
        <v>1102</v>
      </c>
      <c r="P16">
        <v>1</v>
      </c>
      <c r="Q16" t="s">
        <v>1045</v>
      </c>
      <c r="R16" t="s">
        <v>418</v>
      </c>
    </row>
    <row r="17" spans="1:18">
      <c r="A17" t="s">
        <v>69</v>
      </c>
      <c r="B17" t="s">
        <v>70</v>
      </c>
      <c r="C17" t="s">
        <v>71</v>
      </c>
      <c r="D17" t="s">
        <v>25</v>
      </c>
      <c r="E17" t="s">
        <v>390</v>
      </c>
      <c r="F17" t="s">
        <v>20</v>
      </c>
      <c r="G17" t="s">
        <v>424</v>
      </c>
      <c r="H17" s="13">
        <v>160000</v>
      </c>
      <c r="I17" s="13">
        <v>0</v>
      </c>
      <c r="J17">
        <v>1</v>
      </c>
      <c r="K17" t="s">
        <v>22</v>
      </c>
      <c r="L17" s="6">
        <v>41000</v>
      </c>
      <c r="M17" t="s">
        <v>425</v>
      </c>
      <c r="N17">
        <v>4</v>
      </c>
      <c r="O17" t="s">
        <v>1063</v>
      </c>
      <c r="P17">
        <v>1</v>
      </c>
      <c r="Q17" t="s">
        <v>1045</v>
      </c>
      <c r="R17" t="s">
        <v>69</v>
      </c>
    </row>
    <row r="18" spans="1:18">
      <c r="A18" t="s">
        <v>154</v>
      </c>
      <c r="B18" t="s">
        <v>155</v>
      </c>
      <c r="C18" t="s">
        <v>32</v>
      </c>
      <c r="D18" t="s">
        <v>25</v>
      </c>
      <c r="E18" t="s">
        <v>433</v>
      </c>
      <c r="F18" t="s">
        <v>20</v>
      </c>
      <c r="G18" t="s">
        <v>465</v>
      </c>
      <c r="H18" s="13">
        <v>157600</v>
      </c>
      <c r="I18" s="13">
        <v>0</v>
      </c>
      <c r="J18">
        <v>1</v>
      </c>
      <c r="K18" t="s">
        <v>28</v>
      </c>
      <c r="L18" s="6">
        <v>41183</v>
      </c>
      <c r="M18" t="s">
        <v>466</v>
      </c>
      <c r="N18">
        <v>2</v>
      </c>
      <c r="O18" t="s">
        <v>1049</v>
      </c>
      <c r="P18">
        <v>1</v>
      </c>
      <c r="Q18" t="s">
        <v>1045</v>
      </c>
      <c r="R18" t="s">
        <v>154</v>
      </c>
    </row>
    <row r="19" spans="1:18">
      <c r="A19" t="s">
        <v>473</v>
      </c>
      <c r="B19" t="s">
        <v>16</v>
      </c>
      <c r="C19" t="s">
        <v>17</v>
      </c>
      <c r="D19" t="s">
        <v>25</v>
      </c>
      <c r="E19" t="s">
        <v>433</v>
      </c>
      <c r="F19" t="s">
        <v>20</v>
      </c>
      <c r="G19" t="s">
        <v>474</v>
      </c>
      <c r="H19" s="13">
        <v>151660</v>
      </c>
      <c r="I19" s="13">
        <v>0</v>
      </c>
      <c r="J19">
        <v>1</v>
      </c>
      <c r="K19" t="s">
        <v>108</v>
      </c>
      <c r="L19" s="6">
        <v>41183</v>
      </c>
      <c r="M19" t="s">
        <v>475</v>
      </c>
      <c r="N19">
        <v>4</v>
      </c>
      <c r="O19" t="s">
        <v>1044</v>
      </c>
      <c r="P19">
        <v>1</v>
      </c>
      <c r="Q19" t="s">
        <v>1045</v>
      </c>
      <c r="R19" t="s">
        <v>473</v>
      </c>
    </row>
    <row r="20" spans="1:18">
      <c r="A20" t="s">
        <v>363</v>
      </c>
      <c r="B20" t="s">
        <v>180</v>
      </c>
      <c r="C20" t="s">
        <v>38</v>
      </c>
      <c r="D20" t="s">
        <v>25</v>
      </c>
      <c r="E20" t="s">
        <v>354</v>
      </c>
      <c r="F20" t="s">
        <v>20</v>
      </c>
      <c r="G20" t="s">
        <v>364</v>
      </c>
      <c r="H20" s="13">
        <v>121250</v>
      </c>
      <c r="I20" s="13">
        <v>24000</v>
      </c>
      <c r="J20">
        <v>1</v>
      </c>
      <c r="K20" t="s">
        <v>28</v>
      </c>
      <c r="L20" s="6">
        <v>40817</v>
      </c>
      <c r="M20" t="s">
        <v>365</v>
      </c>
      <c r="N20">
        <v>9</v>
      </c>
      <c r="O20" t="s">
        <v>1057</v>
      </c>
      <c r="P20">
        <v>2</v>
      </c>
      <c r="Q20" t="s">
        <v>1045</v>
      </c>
      <c r="R20" t="s">
        <v>363</v>
      </c>
    </row>
    <row r="21" spans="1:18">
      <c r="A21" t="s">
        <v>147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148</v>
      </c>
      <c r="H21" s="13">
        <v>200000</v>
      </c>
      <c r="I21" s="13">
        <v>0</v>
      </c>
      <c r="J21">
        <v>1</v>
      </c>
      <c r="K21" t="s">
        <v>22</v>
      </c>
      <c r="L21" s="6">
        <v>40179</v>
      </c>
      <c r="M21" t="s">
        <v>149</v>
      </c>
      <c r="N21">
        <v>5</v>
      </c>
      <c r="O21" t="s">
        <v>1055</v>
      </c>
      <c r="P21">
        <v>2</v>
      </c>
      <c r="Q21" t="s">
        <v>1045</v>
      </c>
      <c r="R21" t="s">
        <v>147</v>
      </c>
    </row>
    <row r="22" spans="1:18">
      <c r="A22" t="s">
        <v>545</v>
      </c>
      <c r="B22" t="s">
        <v>304</v>
      </c>
      <c r="C22" t="s">
        <v>32</v>
      </c>
      <c r="D22" t="s">
        <v>25</v>
      </c>
      <c r="E22" t="s">
        <v>536</v>
      </c>
      <c r="F22" t="s">
        <v>20</v>
      </c>
      <c r="G22" t="s">
        <v>546</v>
      </c>
      <c r="H22" s="13">
        <v>155180</v>
      </c>
      <c r="I22" s="13">
        <v>0</v>
      </c>
      <c r="J22">
        <v>1</v>
      </c>
      <c r="K22" t="s">
        <v>34</v>
      </c>
      <c r="L22" s="6">
        <v>41548</v>
      </c>
      <c r="M22" t="s">
        <v>547</v>
      </c>
      <c r="N22">
        <v>2</v>
      </c>
      <c r="O22" t="s">
        <v>1058</v>
      </c>
      <c r="P22">
        <v>1</v>
      </c>
      <c r="Q22" t="s">
        <v>1045</v>
      </c>
      <c r="R22" t="s">
        <v>545</v>
      </c>
    </row>
    <row r="23" spans="1:18">
      <c r="A23" t="s">
        <v>554</v>
      </c>
      <c r="B23" t="s">
        <v>555</v>
      </c>
      <c r="C23" t="s">
        <v>38</v>
      </c>
      <c r="D23" t="s">
        <v>25</v>
      </c>
      <c r="E23" t="s">
        <v>536</v>
      </c>
      <c r="F23" t="s">
        <v>20</v>
      </c>
      <c r="G23" t="s">
        <v>556</v>
      </c>
      <c r="H23" s="13">
        <v>160000</v>
      </c>
      <c r="I23" s="13">
        <v>0</v>
      </c>
      <c r="J23">
        <v>1</v>
      </c>
      <c r="K23" t="s">
        <v>28</v>
      </c>
      <c r="L23" s="6">
        <v>41548</v>
      </c>
      <c r="M23" t="s">
        <v>557</v>
      </c>
      <c r="N23">
        <v>3</v>
      </c>
      <c r="O23" t="s">
        <v>1050</v>
      </c>
      <c r="P23">
        <v>1</v>
      </c>
      <c r="Q23" t="s">
        <v>1045</v>
      </c>
      <c r="R23" t="s">
        <v>554</v>
      </c>
    </row>
    <row r="24" spans="1:18">
      <c r="A24" t="s">
        <v>284</v>
      </c>
      <c r="B24" t="s">
        <v>285</v>
      </c>
      <c r="C24" t="s">
        <v>38</v>
      </c>
      <c r="D24" t="s">
        <v>25</v>
      </c>
      <c r="E24" t="s">
        <v>568</v>
      </c>
      <c r="F24" t="s">
        <v>20</v>
      </c>
      <c r="G24" t="s">
        <v>571</v>
      </c>
      <c r="H24" s="13">
        <v>123000</v>
      </c>
      <c r="I24" s="13">
        <v>37000</v>
      </c>
      <c r="J24">
        <v>1</v>
      </c>
      <c r="K24" t="s">
        <v>28</v>
      </c>
      <c r="L24" s="6">
        <v>41730</v>
      </c>
      <c r="M24" t="s">
        <v>572</v>
      </c>
      <c r="N24">
        <v>5</v>
      </c>
      <c r="O24" t="s">
        <v>1048</v>
      </c>
      <c r="P24">
        <v>1</v>
      </c>
      <c r="Q24" t="s">
        <v>1045</v>
      </c>
      <c r="R24" t="s">
        <v>284</v>
      </c>
    </row>
    <row r="25" spans="1:18">
      <c r="A25" t="s">
        <v>46</v>
      </c>
      <c r="B25" t="s">
        <v>37</v>
      </c>
      <c r="C25" t="s">
        <v>38</v>
      </c>
      <c r="D25" t="s">
        <v>25</v>
      </c>
      <c r="E25" t="s">
        <v>26</v>
      </c>
      <c r="F25" t="s">
        <v>20</v>
      </c>
      <c r="G25" t="s">
        <v>47</v>
      </c>
      <c r="H25" s="13">
        <v>150000</v>
      </c>
      <c r="I25" s="13">
        <v>0</v>
      </c>
      <c r="J25">
        <v>1</v>
      </c>
      <c r="K25" t="s">
        <v>48</v>
      </c>
      <c r="L25" s="6">
        <v>39814</v>
      </c>
      <c r="M25" t="s">
        <v>49</v>
      </c>
      <c r="N25">
        <v>5</v>
      </c>
      <c r="O25" t="s">
        <v>1052</v>
      </c>
      <c r="P25">
        <v>1</v>
      </c>
      <c r="Q25" t="s">
        <v>1045</v>
      </c>
      <c r="R25" t="s">
        <v>46</v>
      </c>
    </row>
    <row r="26" spans="1:18">
      <c r="A26" t="s">
        <v>69</v>
      </c>
      <c r="B26" t="s">
        <v>70</v>
      </c>
      <c r="C26" t="s">
        <v>71</v>
      </c>
      <c r="D26" t="s">
        <v>25</v>
      </c>
      <c r="E26" t="s">
        <v>26</v>
      </c>
      <c r="F26" t="s">
        <v>20</v>
      </c>
      <c r="G26" t="s">
        <v>72</v>
      </c>
      <c r="H26" s="13">
        <v>150000</v>
      </c>
      <c r="I26" s="13">
        <v>0</v>
      </c>
      <c r="J26">
        <v>1</v>
      </c>
      <c r="K26" t="s">
        <v>22</v>
      </c>
      <c r="L26" s="6">
        <v>39814</v>
      </c>
      <c r="M26" t="s">
        <v>73</v>
      </c>
      <c r="N26">
        <v>5</v>
      </c>
      <c r="O26" s="14" t="s">
        <v>1120</v>
      </c>
      <c r="P26">
        <v>0</v>
      </c>
      <c r="Q26" s="14" t="s">
        <v>1120</v>
      </c>
      <c r="R26" t="s">
        <v>69</v>
      </c>
    </row>
    <row r="27" spans="1:18">
      <c r="A27" t="s">
        <v>24</v>
      </c>
      <c r="B27" t="s">
        <v>16</v>
      </c>
      <c r="C27" t="s">
        <v>17</v>
      </c>
      <c r="D27" t="s">
        <v>25</v>
      </c>
      <c r="E27" t="s">
        <v>26</v>
      </c>
      <c r="F27" t="s">
        <v>20</v>
      </c>
      <c r="G27" t="s">
        <v>27</v>
      </c>
      <c r="H27" s="13">
        <v>150000</v>
      </c>
      <c r="I27" s="13">
        <v>0</v>
      </c>
      <c r="J27">
        <v>1</v>
      </c>
      <c r="K27" t="s">
        <v>28</v>
      </c>
      <c r="L27" s="6">
        <v>39814</v>
      </c>
      <c r="M27" t="s">
        <v>29</v>
      </c>
      <c r="N27">
        <v>0</v>
      </c>
      <c r="O27" s="14" t="s">
        <v>1120</v>
      </c>
      <c r="P27">
        <v>0</v>
      </c>
      <c r="Q27" s="14" t="s">
        <v>1120</v>
      </c>
      <c r="R27" t="s">
        <v>24</v>
      </c>
    </row>
    <row r="28" spans="1:18">
      <c r="A28" t="s">
        <v>30</v>
      </c>
      <c r="B28" t="s">
        <v>31</v>
      </c>
      <c r="C28" t="s">
        <v>32</v>
      </c>
      <c r="D28" t="s">
        <v>25</v>
      </c>
      <c r="E28" t="s">
        <v>26</v>
      </c>
      <c r="F28" t="s">
        <v>20</v>
      </c>
      <c r="G28" t="s">
        <v>33</v>
      </c>
      <c r="H28" s="13">
        <v>150000</v>
      </c>
      <c r="I28" s="13">
        <v>0</v>
      </c>
      <c r="J28">
        <v>1</v>
      </c>
      <c r="K28" t="s">
        <v>34</v>
      </c>
      <c r="L28" s="6">
        <v>39814</v>
      </c>
      <c r="M28" t="s">
        <v>35</v>
      </c>
      <c r="N28">
        <v>1</v>
      </c>
      <c r="O28" s="14" t="s">
        <v>1120</v>
      </c>
      <c r="P28">
        <v>0</v>
      </c>
      <c r="Q28" s="14" t="s">
        <v>1120</v>
      </c>
      <c r="R28" t="s">
        <v>30</v>
      </c>
    </row>
    <row r="29" spans="1:18">
      <c r="A29" t="s">
        <v>77</v>
      </c>
      <c r="B29" t="s">
        <v>16</v>
      </c>
      <c r="C29" t="s">
        <v>17</v>
      </c>
      <c r="D29" t="s">
        <v>78</v>
      </c>
      <c r="E29" t="s">
        <v>79</v>
      </c>
      <c r="F29" t="s">
        <v>80</v>
      </c>
      <c r="G29" t="s">
        <v>81</v>
      </c>
      <c r="H29" s="13">
        <v>100000</v>
      </c>
      <c r="I29" s="13">
        <v>0</v>
      </c>
      <c r="J29">
        <v>1</v>
      </c>
      <c r="K29" t="s">
        <v>82</v>
      </c>
      <c r="L29" s="6">
        <v>39814</v>
      </c>
      <c r="M29" t="s">
        <v>83</v>
      </c>
      <c r="N29">
        <v>0</v>
      </c>
      <c r="O29" s="14" t="s">
        <v>1120</v>
      </c>
      <c r="P29">
        <v>0</v>
      </c>
      <c r="Q29" s="14" t="s">
        <v>1120</v>
      </c>
      <c r="R29" t="s">
        <v>77</v>
      </c>
    </row>
    <row r="30" spans="1:18">
      <c r="A30" t="s">
        <v>36</v>
      </c>
      <c r="B30" t="s">
        <v>37</v>
      </c>
      <c r="C30" t="s">
        <v>38</v>
      </c>
      <c r="D30" t="s">
        <v>25</v>
      </c>
      <c r="E30" t="s">
        <v>26</v>
      </c>
      <c r="F30" t="s">
        <v>20</v>
      </c>
      <c r="G30" t="s">
        <v>39</v>
      </c>
      <c r="H30" s="13">
        <v>150000</v>
      </c>
      <c r="I30" s="13">
        <v>0</v>
      </c>
      <c r="J30">
        <v>1</v>
      </c>
      <c r="K30" t="s">
        <v>40</v>
      </c>
      <c r="L30" s="6">
        <v>39814</v>
      </c>
      <c r="M30" t="s">
        <v>41</v>
      </c>
      <c r="N30">
        <v>3</v>
      </c>
      <c r="O30" s="14" t="s">
        <v>1120</v>
      </c>
      <c r="P30">
        <v>0</v>
      </c>
      <c r="Q30" s="14" t="s">
        <v>1120</v>
      </c>
      <c r="R30" t="s">
        <v>36</v>
      </c>
    </row>
    <row r="31" spans="1:18">
      <c r="A31" t="s">
        <v>42</v>
      </c>
      <c r="B31" t="s">
        <v>31</v>
      </c>
      <c r="C31" t="s">
        <v>32</v>
      </c>
      <c r="D31" t="s">
        <v>25</v>
      </c>
      <c r="E31" t="s">
        <v>26</v>
      </c>
      <c r="F31" t="s">
        <v>20</v>
      </c>
      <c r="G31" t="s">
        <v>43</v>
      </c>
      <c r="H31" s="13">
        <v>126802</v>
      </c>
      <c r="I31" s="13">
        <v>0</v>
      </c>
      <c r="J31">
        <v>1</v>
      </c>
      <c r="K31" t="s">
        <v>44</v>
      </c>
      <c r="L31" s="6">
        <v>39814</v>
      </c>
      <c r="M31" t="s">
        <v>45</v>
      </c>
      <c r="N31">
        <v>6</v>
      </c>
      <c r="O31" s="14" t="s">
        <v>1120</v>
      </c>
      <c r="P31">
        <v>0</v>
      </c>
      <c r="Q31" s="14" t="s">
        <v>1120</v>
      </c>
      <c r="R31" t="s">
        <v>42</v>
      </c>
    </row>
    <row r="32" spans="1:18">
      <c r="A32" t="s">
        <v>50</v>
      </c>
      <c r="B32" t="s">
        <v>51</v>
      </c>
      <c r="C32" t="s">
        <v>32</v>
      </c>
      <c r="D32" t="s">
        <v>25</v>
      </c>
      <c r="E32" t="s">
        <v>26</v>
      </c>
      <c r="F32" t="s">
        <v>20</v>
      </c>
      <c r="G32" t="s">
        <v>52</v>
      </c>
      <c r="H32" s="13">
        <v>150000</v>
      </c>
      <c r="I32" s="13">
        <v>0</v>
      </c>
      <c r="J32">
        <v>1</v>
      </c>
      <c r="K32" t="s">
        <v>22</v>
      </c>
      <c r="L32" s="6">
        <v>39814</v>
      </c>
      <c r="M32" t="s">
        <v>53</v>
      </c>
      <c r="N32">
        <v>1</v>
      </c>
      <c r="O32" s="14" t="s">
        <v>1120</v>
      </c>
      <c r="P32">
        <v>0</v>
      </c>
      <c r="Q32" s="14" t="s">
        <v>1120</v>
      </c>
      <c r="R32" t="s">
        <v>50</v>
      </c>
    </row>
    <row r="33" spans="1:18">
      <c r="A33" t="s">
        <v>54</v>
      </c>
      <c r="B33" t="s">
        <v>37</v>
      </c>
      <c r="C33" t="s">
        <v>38</v>
      </c>
      <c r="D33" t="s">
        <v>25</v>
      </c>
      <c r="E33" t="s">
        <v>26</v>
      </c>
      <c r="F33" t="s">
        <v>20</v>
      </c>
      <c r="G33" t="s">
        <v>55</v>
      </c>
      <c r="H33" s="13">
        <v>150000</v>
      </c>
      <c r="I33" s="13">
        <v>0</v>
      </c>
      <c r="J33">
        <v>1</v>
      </c>
      <c r="K33" t="s">
        <v>22</v>
      </c>
      <c r="L33" s="6">
        <v>39814</v>
      </c>
      <c r="M33" t="s">
        <v>56</v>
      </c>
      <c r="N33">
        <v>0</v>
      </c>
      <c r="O33" s="14" t="s">
        <v>1120</v>
      </c>
      <c r="P33">
        <v>0</v>
      </c>
      <c r="Q33" s="14" t="s">
        <v>1120</v>
      </c>
      <c r="R33" t="s">
        <v>54</v>
      </c>
    </row>
    <row r="34" spans="1:18">
      <c r="A34" t="s">
        <v>57</v>
      </c>
      <c r="B34" t="s">
        <v>58</v>
      </c>
      <c r="C34" t="s">
        <v>17</v>
      </c>
      <c r="D34" t="s">
        <v>25</v>
      </c>
      <c r="E34" t="s">
        <v>26</v>
      </c>
      <c r="F34" t="s">
        <v>20</v>
      </c>
      <c r="G34" t="s">
        <v>59</v>
      </c>
      <c r="H34" s="13">
        <v>150000</v>
      </c>
      <c r="I34" s="13">
        <v>0</v>
      </c>
      <c r="J34">
        <v>1</v>
      </c>
      <c r="K34" t="s">
        <v>40</v>
      </c>
      <c r="L34" s="6">
        <v>39814</v>
      </c>
      <c r="M34" t="s">
        <v>60</v>
      </c>
      <c r="N34">
        <v>2</v>
      </c>
      <c r="O34" s="14" t="s">
        <v>1120</v>
      </c>
      <c r="P34">
        <v>0</v>
      </c>
      <c r="Q34" s="14" t="s">
        <v>1120</v>
      </c>
      <c r="R34" t="s">
        <v>57</v>
      </c>
    </row>
    <row r="35" spans="1:18">
      <c r="A35" t="s">
        <v>61</v>
      </c>
      <c r="B35" t="s">
        <v>51</v>
      </c>
      <c r="C35" t="s">
        <v>32</v>
      </c>
      <c r="D35" t="s">
        <v>25</v>
      </c>
      <c r="E35" t="s">
        <v>26</v>
      </c>
      <c r="F35" t="s">
        <v>20</v>
      </c>
      <c r="G35" t="s">
        <v>62</v>
      </c>
      <c r="H35" s="13">
        <v>150000</v>
      </c>
      <c r="I35" s="13">
        <v>0</v>
      </c>
      <c r="J35">
        <v>1</v>
      </c>
      <c r="K35" t="s">
        <v>28</v>
      </c>
      <c r="L35" s="6">
        <v>39814</v>
      </c>
      <c r="M35" t="s">
        <v>63</v>
      </c>
      <c r="N35">
        <v>4</v>
      </c>
      <c r="O35" s="14" t="s">
        <v>1120</v>
      </c>
      <c r="P35">
        <v>0</v>
      </c>
      <c r="Q35" s="14" t="s">
        <v>1120</v>
      </c>
      <c r="R35" t="s">
        <v>61</v>
      </c>
    </row>
    <row r="36" spans="1:18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s="13">
        <v>250000</v>
      </c>
      <c r="I36" s="13">
        <v>0</v>
      </c>
      <c r="J36">
        <v>1</v>
      </c>
      <c r="K36" t="s">
        <v>22</v>
      </c>
      <c r="L36" s="6">
        <v>39814</v>
      </c>
      <c r="M36" t="s">
        <v>23</v>
      </c>
      <c r="N36">
        <v>1</v>
      </c>
      <c r="O36" s="14" t="s">
        <v>1120</v>
      </c>
      <c r="P36">
        <v>0</v>
      </c>
      <c r="Q36" s="14" t="s">
        <v>1120</v>
      </c>
      <c r="R36" t="s">
        <v>15</v>
      </c>
    </row>
    <row r="37" spans="1:18">
      <c r="A37" t="s">
        <v>64</v>
      </c>
      <c r="B37" t="s">
        <v>65</v>
      </c>
      <c r="C37" t="s">
        <v>66</v>
      </c>
      <c r="D37" t="s">
        <v>25</v>
      </c>
      <c r="E37" t="s">
        <v>26</v>
      </c>
      <c r="F37" t="s">
        <v>20</v>
      </c>
      <c r="G37" t="s">
        <v>67</v>
      </c>
      <c r="H37" s="13">
        <v>150000</v>
      </c>
      <c r="I37" s="13">
        <v>0</v>
      </c>
      <c r="J37">
        <v>1</v>
      </c>
      <c r="K37" t="s">
        <v>22</v>
      </c>
      <c r="L37" s="6">
        <v>39814</v>
      </c>
      <c r="M37" t="s">
        <v>68</v>
      </c>
      <c r="N37">
        <v>3</v>
      </c>
      <c r="O37" s="14" t="s">
        <v>1120</v>
      </c>
      <c r="P37">
        <v>0</v>
      </c>
      <c r="Q37" s="14" t="s">
        <v>1120</v>
      </c>
      <c r="R37" t="s">
        <v>64</v>
      </c>
    </row>
    <row r="38" spans="1:18">
      <c r="A38" t="s">
        <v>74</v>
      </c>
      <c r="B38" t="s">
        <v>31</v>
      </c>
      <c r="C38" t="s">
        <v>32</v>
      </c>
      <c r="D38" t="s">
        <v>25</v>
      </c>
      <c r="E38" t="s">
        <v>26</v>
      </c>
      <c r="F38" t="s">
        <v>20</v>
      </c>
      <c r="G38" t="s">
        <v>75</v>
      </c>
      <c r="H38" s="13">
        <v>150000</v>
      </c>
      <c r="I38" s="13">
        <v>0</v>
      </c>
      <c r="J38">
        <v>1</v>
      </c>
      <c r="K38" t="s">
        <v>22</v>
      </c>
      <c r="L38" s="6">
        <v>39814</v>
      </c>
      <c r="M38" t="s">
        <v>76</v>
      </c>
      <c r="N38">
        <v>0</v>
      </c>
      <c r="O38" s="14" t="s">
        <v>1120</v>
      </c>
      <c r="P38">
        <v>0</v>
      </c>
      <c r="Q38" s="14" t="s">
        <v>1120</v>
      </c>
      <c r="R38" t="s">
        <v>74</v>
      </c>
    </row>
    <row r="39" spans="1:18">
      <c r="A39" t="s">
        <v>119</v>
      </c>
      <c r="B39" t="s">
        <v>31</v>
      </c>
      <c r="C39" t="s">
        <v>32</v>
      </c>
      <c r="D39" t="s">
        <v>18</v>
      </c>
      <c r="E39" t="s">
        <v>106</v>
      </c>
      <c r="F39" t="s">
        <v>20</v>
      </c>
      <c r="G39" t="s">
        <v>120</v>
      </c>
      <c r="H39" s="13">
        <v>73500</v>
      </c>
      <c r="I39" s="13">
        <v>0</v>
      </c>
      <c r="J39">
        <v>1</v>
      </c>
      <c r="K39" t="s">
        <v>28</v>
      </c>
      <c r="L39" s="6">
        <v>39995</v>
      </c>
      <c r="M39" t="s">
        <v>121</v>
      </c>
      <c r="N39">
        <v>1</v>
      </c>
      <c r="O39" s="14" t="s">
        <v>1120</v>
      </c>
      <c r="P39">
        <v>0</v>
      </c>
      <c r="Q39" s="14" t="s">
        <v>1120</v>
      </c>
      <c r="R39" t="s">
        <v>119</v>
      </c>
    </row>
    <row r="40" spans="1:18">
      <c r="A40" t="s">
        <v>122</v>
      </c>
      <c r="B40" t="s">
        <v>16</v>
      </c>
      <c r="C40" t="s">
        <v>17</v>
      </c>
      <c r="D40" t="s">
        <v>25</v>
      </c>
      <c r="E40" t="s">
        <v>123</v>
      </c>
      <c r="F40" t="s">
        <v>20</v>
      </c>
      <c r="G40" t="s">
        <v>124</v>
      </c>
      <c r="H40" s="13">
        <v>150000</v>
      </c>
      <c r="I40" s="13">
        <v>0</v>
      </c>
      <c r="J40">
        <v>1</v>
      </c>
      <c r="K40" t="s">
        <v>34</v>
      </c>
      <c r="L40" s="6">
        <v>39995</v>
      </c>
      <c r="M40" t="s">
        <v>125</v>
      </c>
      <c r="N40">
        <v>0</v>
      </c>
      <c r="O40" s="14" t="s">
        <v>1120</v>
      </c>
      <c r="P40">
        <v>0</v>
      </c>
      <c r="Q40" s="14" t="s">
        <v>1120</v>
      </c>
      <c r="R40" t="s">
        <v>122</v>
      </c>
    </row>
    <row r="41" spans="1:18">
      <c r="A41" t="s">
        <v>126</v>
      </c>
      <c r="B41" t="s">
        <v>70</v>
      </c>
      <c r="C41" t="s">
        <v>71</v>
      </c>
      <c r="D41" t="s">
        <v>25</v>
      </c>
      <c r="E41" t="s">
        <v>123</v>
      </c>
      <c r="F41" t="s">
        <v>20</v>
      </c>
      <c r="G41" t="s">
        <v>127</v>
      </c>
      <c r="H41" s="13">
        <v>137617</v>
      </c>
      <c r="I41" s="13">
        <v>0</v>
      </c>
      <c r="J41">
        <v>1</v>
      </c>
      <c r="K41" t="s">
        <v>28</v>
      </c>
      <c r="L41" s="6">
        <v>39995</v>
      </c>
      <c r="M41" t="s">
        <v>128</v>
      </c>
      <c r="N41">
        <v>0</v>
      </c>
      <c r="O41" s="14" t="s">
        <v>1120</v>
      </c>
      <c r="P41">
        <v>0</v>
      </c>
      <c r="Q41" s="14" t="s">
        <v>1120</v>
      </c>
      <c r="R41" t="s">
        <v>126</v>
      </c>
    </row>
    <row r="42" spans="1:18">
      <c r="A42" t="s">
        <v>129</v>
      </c>
      <c r="B42" t="s">
        <v>16</v>
      </c>
      <c r="C42" t="s">
        <v>17</v>
      </c>
      <c r="D42" t="s">
        <v>25</v>
      </c>
      <c r="E42" t="s">
        <v>123</v>
      </c>
      <c r="F42" t="s">
        <v>20</v>
      </c>
      <c r="G42" t="s">
        <v>130</v>
      </c>
      <c r="H42" s="13">
        <v>149752</v>
      </c>
      <c r="I42" s="13">
        <v>0</v>
      </c>
      <c r="J42">
        <v>1</v>
      </c>
      <c r="K42" t="s">
        <v>108</v>
      </c>
      <c r="L42" s="6">
        <v>39995</v>
      </c>
      <c r="M42" t="s">
        <v>131</v>
      </c>
      <c r="N42">
        <v>2</v>
      </c>
      <c r="O42" s="14" t="s">
        <v>1120</v>
      </c>
      <c r="P42">
        <v>0</v>
      </c>
      <c r="Q42" s="14" t="s">
        <v>1120</v>
      </c>
      <c r="R42" t="s">
        <v>129</v>
      </c>
    </row>
    <row r="43" spans="1:18">
      <c r="A43" t="s">
        <v>92</v>
      </c>
      <c r="B43" t="s">
        <v>93</v>
      </c>
      <c r="C43" t="s">
        <v>38</v>
      </c>
      <c r="D43" t="s">
        <v>94</v>
      </c>
      <c r="E43" t="s">
        <v>95</v>
      </c>
      <c r="F43" t="s">
        <v>20</v>
      </c>
      <c r="G43" t="s">
        <v>96</v>
      </c>
      <c r="H43" s="13">
        <v>150000</v>
      </c>
      <c r="I43" s="13">
        <v>0</v>
      </c>
      <c r="J43">
        <v>1</v>
      </c>
      <c r="K43" t="s">
        <v>22</v>
      </c>
      <c r="L43" s="6">
        <v>39995</v>
      </c>
      <c r="M43" t="s">
        <v>97</v>
      </c>
      <c r="N43">
        <v>1</v>
      </c>
      <c r="O43" s="14" t="s">
        <v>1120</v>
      </c>
      <c r="P43">
        <v>0</v>
      </c>
      <c r="Q43" s="14" t="s">
        <v>1120</v>
      </c>
      <c r="R43" t="s">
        <v>92</v>
      </c>
    </row>
    <row r="44" spans="1:18">
      <c r="A44" t="s">
        <v>105</v>
      </c>
      <c r="B44" t="s">
        <v>37</v>
      </c>
      <c r="C44" t="s">
        <v>38</v>
      </c>
      <c r="D44" t="s">
        <v>18</v>
      </c>
      <c r="E44" t="s">
        <v>106</v>
      </c>
      <c r="F44" t="s">
        <v>20</v>
      </c>
      <c r="G44" t="s">
        <v>107</v>
      </c>
      <c r="H44" s="13">
        <v>88399</v>
      </c>
      <c r="I44" s="13">
        <v>0</v>
      </c>
      <c r="J44">
        <v>1</v>
      </c>
      <c r="K44" t="s">
        <v>108</v>
      </c>
      <c r="L44" s="6">
        <v>39995</v>
      </c>
      <c r="M44" t="s">
        <v>109</v>
      </c>
      <c r="N44">
        <v>0</v>
      </c>
      <c r="O44" s="14" t="s">
        <v>1120</v>
      </c>
      <c r="P44">
        <v>0</v>
      </c>
      <c r="Q44" s="14" t="s">
        <v>1120</v>
      </c>
      <c r="R44" t="s">
        <v>105</v>
      </c>
    </row>
    <row r="45" spans="1:18">
      <c r="A45" t="s">
        <v>132</v>
      </c>
      <c r="B45" t="s">
        <v>111</v>
      </c>
      <c r="C45" t="s">
        <v>38</v>
      </c>
      <c r="D45" t="s">
        <v>25</v>
      </c>
      <c r="E45" t="s">
        <v>123</v>
      </c>
      <c r="F45" t="s">
        <v>20</v>
      </c>
      <c r="G45" t="s">
        <v>133</v>
      </c>
      <c r="H45" s="13">
        <v>116350</v>
      </c>
      <c r="I45" s="13">
        <v>6000</v>
      </c>
      <c r="J45">
        <v>1</v>
      </c>
      <c r="K45" t="s">
        <v>40</v>
      </c>
      <c r="L45" s="6">
        <v>39995</v>
      </c>
      <c r="M45" t="s">
        <v>134</v>
      </c>
      <c r="N45">
        <v>0</v>
      </c>
      <c r="O45" s="14" t="s">
        <v>1120</v>
      </c>
      <c r="P45">
        <v>0</v>
      </c>
      <c r="Q45" s="14" t="s">
        <v>1120</v>
      </c>
      <c r="R45" t="s">
        <v>132</v>
      </c>
    </row>
    <row r="46" spans="1:18">
      <c r="A46" t="s">
        <v>84</v>
      </c>
      <c r="B46" t="s">
        <v>16</v>
      </c>
      <c r="C46" t="s">
        <v>17</v>
      </c>
      <c r="D46" t="s">
        <v>85</v>
      </c>
      <c r="E46" t="s">
        <v>86</v>
      </c>
      <c r="F46" t="s">
        <v>20</v>
      </c>
      <c r="G46" t="s">
        <v>87</v>
      </c>
      <c r="H46" s="13">
        <v>149825</v>
      </c>
      <c r="I46" s="13">
        <v>0</v>
      </c>
      <c r="J46">
        <v>1</v>
      </c>
      <c r="K46" t="s">
        <v>28</v>
      </c>
      <c r="L46" s="6">
        <v>39995</v>
      </c>
      <c r="M46" t="s">
        <v>88</v>
      </c>
      <c r="N46">
        <v>0</v>
      </c>
      <c r="O46" s="14" t="s">
        <v>1120</v>
      </c>
      <c r="P46">
        <v>0</v>
      </c>
      <c r="Q46" s="14" t="s">
        <v>1120</v>
      </c>
      <c r="R46" t="s">
        <v>84</v>
      </c>
    </row>
    <row r="47" spans="1:18">
      <c r="A47" t="s">
        <v>110</v>
      </c>
      <c r="B47" t="s">
        <v>111</v>
      </c>
      <c r="C47" t="s">
        <v>38</v>
      </c>
      <c r="D47" t="s">
        <v>18</v>
      </c>
      <c r="E47" t="s">
        <v>106</v>
      </c>
      <c r="F47" t="s">
        <v>20</v>
      </c>
      <c r="G47" t="s">
        <v>112</v>
      </c>
      <c r="H47" s="13">
        <v>250000</v>
      </c>
      <c r="I47" s="13">
        <v>0</v>
      </c>
      <c r="J47">
        <v>1</v>
      </c>
      <c r="K47" t="s">
        <v>113</v>
      </c>
      <c r="L47" s="6">
        <v>39995</v>
      </c>
      <c r="M47" t="s">
        <v>114</v>
      </c>
      <c r="N47">
        <v>7</v>
      </c>
      <c r="O47" s="14" t="s">
        <v>1120</v>
      </c>
      <c r="P47">
        <v>0</v>
      </c>
      <c r="Q47" s="14" t="s">
        <v>1120</v>
      </c>
      <c r="R47" t="s">
        <v>110</v>
      </c>
    </row>
    <row r="48" spans="1:18">
      <c r="A48" t="s">
        <v>115</v>
      </c>
      <c r="B48" t="s">
        <v>116</v>
      </c>
      <c r="C48" t="s">
        <v>32</v>
      </c>
      <c r="D48" t="s">
        <v>18</v>
      </c>
      <c r="E48" t="s">
        <v>106</v>
      </c>
      <c r="F48" t="s">
        <v>20</v>
      </c>
      <c r="G48" t="s">
        <v>117</v>
      </c>
      <c r="H48" s="13">
        <v>250000</v>
      </c>
      <c r="I48" s="13">
        <v>0</v>
      </c>
      <c r="J48">
        <v>1</v>
      </c>
      <c r="K48" t="s">
        <v>108</v>
      </c>
      <c r="L48" s="6">
        <v>39995</v>
      </c>
      <c r="M48" t="s">
        <v>118</v>
      </c>
      <c r="N48">
        <v>10</v>
      </c>
      <c r="O48" s="14" t="s">
        <v>1120</v>
      </c>
      <c r="P48">
        <v>0</v>
      </c>
      <c r="Q48" s="14" t="s">
        <v>1120</v>
      </c>
      <c r="R48" t="s">
        <v>115</v>
      </c>
    </row>
    <row r="49" spans="1:18">
      <c r="A49" t="s">
        <v>135</v>
      </c>
      <c r="B49" t="s">
        <v>31</v>
      </c>
      <c r="C49" t="s">
        <v>32</v>
      </c>
      <c r="D49" t="s">
        <v>25</v>
      </c>
      <c r="E49" t="s">
        <v>123</v>
      </c>
      <c r="F49" t="s">
        <v>20</v>
      </c>
      <c r="G49" t="s">
        <v>136</v>
      </c>
      <c r="H49" s="13">
        <v>146000</v>
      </c>
      <c r="I49" s="13">
        <v>0</v>
      </c>
      <c r="J49">
        <v>1</v>
      </c>
      <c r="K49" t="s">
        <v>34</v>
      </c>
      <c r="L49" s="6">
        <v>39995</v>
      </c>
      <c r="M49" t="s">
        <v>137</v>
      </c>
      <c r="N49">
        <v>0</v>
      </c>
      <c r="O49" s="14" t="s">
        <v>1120</v>
      </c>
      <c r="P49">
        <v>0</v>
      </c>
      <c r="Q49" s="14" t="s">
        <v>1120</v>
      </c>
      <c r="R49" t="s">
        <v>135</v>
      </c>
    </row>
    <row r="50" spans="1:18">
      <c r="A50" t="s">
        <v>135</v>
      </c>
      <c r="B50" t="s">
        <v>31</v>
      </c>
      <c r="C50" t="s">
        <v>32</v>
      </c>
      <c r="D50" t="s">
        <v>18</v>
      </c>
      <c r="E50" t="s">
        <v>146</v>
      </c>
      <c r="F50" t="s">
        <v>20</v>
      </c>
      <c r="G50" t="s">
        <v>136</v>
      </c>
      <c r="H50" s="13">
        <v>293133</v>
      </c>
      <c r="I50" s="13">
        <v>0</v>
      </c>
      <c r="J50">
        <v>1</v>
      </c>
      <c r="K50" t="s">
        <v>34</v>
      </c>
      <c r="L50" s="6">
        <v>39995</v>
      </c>
      <c r="M50" t="s">
        <v>137</v>
      </c>
      <c r="N50">
        <v>2</v>
      </c>
      <c r="O50" s="14" t="s">
        <v>1120</v>
      </c>
      <c r="P50">
        <v>0</v>
      </c>
      <c r="Q50" s="14" t="s">
        <v>1120</v>
      </c>
      <c r="R50" t="s">
        <v>135</v>
      </c>
    </row>
    <row r="51" spans="1:18">
      <c r="A51" t="s">
        <v>89</v>
      </c>
      <c r="B51" t="s">
        <v>16</v>
      </c>
      <c r="C51" t="s">
        <v>17</v>
      </c>
      <c r="D51" t="s">
        <v>85</v>
      </c>
      <c r="E51" t="s">
        <v>86</v>
      </c>
      <c r="F51" t="s">
        <v>20</v>
      </c>
      <c r="G51" t="s">
        <v>90</v>
      </c>
      <c r="H51" s="13">
        <v>150000</v>
      </c>
      <c r="I51" s="13">
        <v>0</v>
      </c>
      <c r="J51">
        <v>1</v>
      </c>
      <c r="K51" t="s">
        <v>28</v>
      </c>
      <c r="L51" s="6">
        <v>39995</v>
      </c>
      <c r="M51" t="s">
        <v>91</v>
      </c>
      <c r="N51">
        <v>10</v>
      </c>
      <c r="O51" s="14" t="s">
        <v>1120</v>
      </c>
      <c r="P51">
        <v>0</v>
      </c>
      <c r="Q51" s="14" t="s">
        <v>1120</v>
      </c>
      <c r="R51" t="s">
        <v>89</v>
      </c>
    </row>
    <row r="52" spans="1:18">
      <c r="A52" t="s">
        <v>98</v>
      </c>
      <c r="B52" t="s">
        <v>99</v>
      </c>
      <c r="C52" t="s">
        <v>66</v>
      </c>
      <c r="D52" t="s">
        <v>94</v>
      </c>
      <c r="E52" t="s">
        <v>95</v>
      </c>
      <c r="F52" t="s">
        <v>20</v>
      </c>
      <c r="G52" t="s">
        <v>100</v>
      </c>
      <c r="H52" s="13">
        <v>150000</v>
      </c>
      <c r="I52" s="13">
        <v>0</v>
      </c>
      <c r="J52">
        <v>1</v>
      </c>
      <c r="K52" t="s">
        <v>22</v>
      </c>
      <c r="L52" s="6">
        <v>39995</v>
      </c>
      <c r="M52" t="s">
        <v>101</v>
      </c>
      <c r="N52">
        <v>0</v>
      </c>
      <c r="O52" s="14" t="s">
        <v>1120</v>
      </c>
      <c r="P52">
        <v>0</v>
      </c>
      <c r="Q52" s="14" t="s">
        <v>1120</v>
      </c>
      <c r="R52" t="s">
        <v>98</v>
      </c>
    </row>
    <row r="53" spans="1:18">
      <c r="A53" t="s">
        <v>102</v>
      </c>
      <c r="B53" t="s">
        <v>16</v>
      </c>
      <c r="C53" t="s">
        <v>17</v>
      </c>
      <c r="D53" t="s">
        <v>94</v>
      </c>
      <c r="E53" t="s">
        <v>95</v>
      </c>
      <c r="F53" t="s">
        <v>20</v>
      </c>
      <c r="G53" t="s">
        <v>103</v>
      </c>
      <c r="H53" s="13">
        <v>150000</v>
      </c>
      <c r="I53" s="13">
        <v>0</v>
      </c>
      <c r="J53">
        <v>1</v>
      </c>
      <c r="K53" t="s">
        <v>22</v>
      </c>
      <c r="L53" s="6">
        <v>39995</v>
      </c>
      <c r="M53" t="s">
        <v>104</v>
      </c>
      <c r="N53">
        <v>0</v>
      </c>
      <c r="O53" s="14" t="s">
        <v>1120</v>
      </c>
      <c r="P53">
        <v>0</v>
      </c>
      <c r="Q53" s="14" t="s">
        <v>1120</v>
      </c>
      <c r="R53" t="s">
        <v>102</v>
      </c>
    </row>
    <row r="54" spans="1:18">
      <c r="A54" t="s">
        <v>142</v>
      </c>
      <c r="B54" t="s">
        <v>143</v>
      </c>
      <c r="C54" t="s">
        <v>38</v>
      </c>
      <c r="D54" t="s">
        <v>25</v>
      </c>
      <c r="E54" t="s">
        <v>123</v>
      </c>
      <c r="F54" t="s">
        <v>20</v>
      </c>
      <c r="G54" t="s">
        <v>144</v>
      </c>
      <c r="H54" s="13">
        <v>149998</v>
      </c>
      <c r="I54" s="13">
        <v>0</v>
      </c>
      <c r="J54">
        <v>1</v>
      </c>
      <c r="K54" t="s">
        <v>34</v>
      </c>
      <c r="L54" s="6">
        <v>39995</v>
      </c>
      <c r="M54" t="s">
        <v>145</v>
      </c>
      <c r="N54">
        <v>1</v>
      </c>
      <c r="O54" s="14" t="s">
        <v>1120</v>
      </c>
      <c r="P54">
        <v>0</v>
      </c>
      <c r="Q54" s="14" t="s">
        <v>1120</v>
      </c>
      <c r="R54" t="s">
        <v>142</v>
      </c>
    </row>
    <row r="55" spans="1:18">
      <c r="A55" t="s">
        <v>158</v>
      </c>
      <c r="B55" t="s">
        <v>139</v>
      </c>
      <c r="C55" t="s">
        <v>32</v>
      </c>
      <c r="D55" t="s">
        <v>25</v>
      </c>
      <c r="E55" t="s">
        <v>159</v>
      </c>
      <c r="F55" t="s">
        <v>20</v>
      </c>
      <c r="G55" t="s">
        <v>160</v>
      </c>
      <c r="H55" s="13">
        <v>150000</v>
      </c>
      <c r="I55" s="13">
        <v>0</v>
      </c>
      <c r="J55">
        <v>1</v>
      </c>
      <c r="K55" t="s">
        <v>22</v>
      </c>
      <c r="L55" s="6">
        <v>40269</v>
      </c>
      <c r="M55" t="s">
        <v>161</v>
      </c>
      <c r="N55">
        <v>4</v>
      </c>
      <c r="O55" s="14" t="s">
        <v>1120</v>
      </c>
      <c r="P55">
        <v>0</v>
      </c>
      <c r="Q55" s="14" t="s">
        <v>1120</v>
      </c>
      <c r="R55" t="s">
        <v>158</v>
      </c>
    </row>
    <row r="56" spans="1:18">
      <c r="A56" t="s">
        <v>162</v>
      </c>
      <c r="B56" t="s">
        <v>163</v>
      </c>
      <c r="C56" t="s">
        <v>38</v>
      </c>
      <c r="D56" t="s">
        <v>25</v>
      </c>
      <c r="E56" t="s">
        <v>159</v>
      </c>
      <c r="F56" t="s">
        <v>20</v>
      </c>
      <c r="G56" t="s">
        <v>164</v>
      </c>
      <c r="H56" s="13">
        <v>130077</v>
      </c>
      <c r="I56" s="13">
        <v>12873</v>
      </c>
      <c r="J56">
        <v>1</v>
      </c>
      <c r="K56" t="s">
        <v>34</v>
      </c>
      <c r="L56" s="6">
        <v>40269</v>
      </c>
      <c r="M56" t="s">
        <v>165</v>
      </c>
      <c r="N56">
        <v>4</v>
      </c>
      <c r="O56" s="14" t="s">
        <v>1120</v>
      </c>
      <c r="P56">
        <v>0</v>
      </c>
      <c r="Q56" s="14" t="s">
        <v>1120</v>
      </c>
      <c r="R56" t="s">
        <v>162</v>
      </c>
    </row>
    <row r="57" spans="1:18">
      <c r="A57" t="s">
        <v>150</v>
      </c>
      <c r="B57" t="s">
        <v>16</v>
      </c>
      <c r="C57" t="s">
        <v>17</v>
      </c>
      <c r="D57" t="s">
        <v>18</v>
      </c>
      <c r="E57" t="s">
        <v>151</v>
      </c>
      <c r="F57" t="s">
        <v>20</v>
      </c>
      <c r="G57" t="s">
        <v>152</v>
      </c>
      <c r="H57" s="13">
        <v>101240</v>
      </c>
      <c r="I57" s="13">
        <v>0</v>
      </c>
      <c r="J57">
        <v>1</v>
      </c>
      <c r="K57" t="s">
        <v>34</v>
      </c>
      <c r="L57" s="6">
        <v>40269</v>
      </c>
      <c r="M57" t="s">
        <v>153</v>
      </c>
      <c r="N57">
        <v>7</v>
      </c>
      <c r="O57" s="14" t="s">
        <v>1120</v>
      </c>
      <c r="P57">
        <v>0</v>
      </c>
      <c r="Q57" s="14" t="s">
        <v>1120</v>
      </c>
      <c r="R57" t="s">
        <v>150</v>
      </c>
    </row>
    <row r="58" spans="1:18">
      <c r="A58" t="s">
        <v>166</v>
      </c>
      <c r="B58" t="s">
        <v>16</v>
      </c>
      <c r="C58" t="s">
        <v>17</v>
      </c>
      <c r="D58" t="s">
        <v>25</v>
      </c>
      <c r="E58" t="s">
        <v>159</v>
      </c>
      <c r="F58" t="s">
        <v>20</v>
      </c>
      <c r="G58" t="s">
        <v>167</v>
      </c>
      <c r="H58" s="13">
        <v>150000</v>
      </c>
      <c r="I58" s="13">
        <v>0</v>
      </c>
      <c r="J58">
        <v>1</v>
      </c>
      <c r="K58" t="s">
        <v>28</v>
      </c>
      <c r="L58" s="6">
        <v>40269</v>
      </c>
      <c r="M58" t="s">
        <v>168</v>
      </c>
      <c r="N58">
        <v>3</v>
      </c>
      <c r="O58" s="14" t="s">
        <v>1120</v>
      </c>
      <c r="P58">
        <v>0</v>
      </c>
      <c r="Q58" s="14" t="s">
        <v>1120</v>
      </c>
      <c r="R58" t="s">
        <v>166</v>
      </c>
    </row>
    <row r="59" spans="1:18">
      <c r="A59" t="s">
        <v>169</v>
      </c>
      <c r="B59" t="s">
        <v>31</v>
      </c>
      <c r="C59" t="s">
        <v>32</v>
      </c>
      <c r="D59" t="s">
        <v>25</v>
      </c>
      <c r="E59" t="s">
        <v>159</v>
      </c>
      <c r="F59" t="s">
        <v>20</v>
      </c>
      <c r="G59" t="s">
        <v>170</v>
      </c>
      <c r="H59" s="13">
        <v>122826</v>
      </c>
      <c r="I59" s="13">
        <v>0</v>
      </c>
      <c r="J59">
        <v>1</v>
      </c>
      <c r="K59" t="s">
        <v>28</v>
      </c>
      <c r="L59" s="6">
        <v>40269</v>
      </c>
      <c r="M59" t="s">
        <v>171</v>
      </c>
      <c r="N59">
        <v>2</v>
      </c>
      <c r="O59" s="14" t="s">
        <v>1120</v>
      </c>
      <c r="P59">
        <v>0</v>
      </c>
      <c r="Q59" s="14" t="s">
        <v>1120</v>
      </c>
      <c r="R59" t="s">
        <v>169</v>
      </c>
    </row>
    <row r="60" spans="1:18">
      <c r="A60" t="s">
        <v>175</v>
      </c>
      <c r="B60" t="s">
        <v>176</v>
      </c>
      <c r="C60" t="s">
        <v>38</v>
      </c>
      <c r="D60" t="s">
        <v>25</v>
      </c>
      <c r="E60" t="s">
        <v>159</v>
      </c>
      <c r="F60" t="s">
        <v>20</v>
      </c>
      <c r="G60" t="s">
        <v>177</v>
      </c>
      <c r="H60" s="13">
        <v>150000</v>
      </c>
      <c r="I60" s="13">
        <v>0</v>
      </c>
      <c r="J60">
        <v>1</v>
      </c>
      <c r="K60" t="s">
        <v>44</v>
      </c>
      <c r="L60" s="6">
        <v>40269</v>
      </c>
      <c r="M60" t="s">
        <v>178</v>
      </c>
      <c r="N60">
        <v>8</v>
      </c>
      <c r="O60" s="14" t="s">
        <v>1120</v>
      </c>
      <c r="P60">
        <v>0</v>
      </c>
      <c r="Q60" s="14" t="s">
        <v>1120</v>
      </c>
      <c r="R60" t="s">
        <v>175</v>
      </c>
    </row>
    <row r="61" spans="1:18">
      <c r="A61" t="s">
        <v>179</v>
      </c>
      <c r="B61" t="s">
        <v>180</v>
      </c>
      <c r="C61" t="s">
        <v>38</v>
      </c>
      <c r="D61" t="s">
        <v>25</v>
      </c>
      <c r="E61" t="s">
        <v>159</v>
      </c>
      <c r="F61" t="s">
        <v>20</v>
      </c>
      <c r="G61" t="s">
        <v>181</v>
      </c>
      <c r="H61" s="13">
        <v>150000</v>
      </c>
      <c r="I61" s="13">
        <v>0</v>
      </c>
      <c r="J61">
        <v>1</v>
      </c>
      <c r="K61" t="s">
        <v>28</v>
      </c>
      <c r="L61" s="6">
        <v>40269</v>
      </c>
      <c r="M61" t="s">
        <v>182</v>
      </c>
      <c r="N61">
        <v>1</v>
      </c>
      <c r="O61" s="14" t="s">
        <v>1120</v>
      </c>
      <c r="P61">
        <v>0</v>
      </c>
      <c r="Q61" s="14" t="s">
        <v>1120</v>
      </c>
      <c r="R61" t="s">
        <v>179</v>
      </c>
    </row>
    <row r="62" spans="1:18">
      <c r="A62" t="s">
        <v>183</v>
      </c>
      <c r="B62" t="s">
        <v>51</v>
      </c>
      <c r="C62" t="s">
        <v>32</v>
      </c>
      <c r="D62" t="s">
        <v>25</v>
      </c>
      <c r="E62" t="s">
        <v>159</v>
      </c>
      <c r="F62" t="s">
        <v>20</v>
      </c>
      <c r="G62" t="s">
        <v>184</v>
      </c>
      <c r="H62" s="13">
        <v>150000</v>
      </c>
      <c r="I62" s="13">
        <v>0</v>
      </c>
      <c r="J62">
        <v>1</v>
      </c>
      <c r="K62" t="s">
        <v>108</v>
      </c>
      <c r="L62" s="6">
        <v>40269</v>
      </c>
      <c r="M62" t="s">
        <v>185</v>
      </c>
      <c r="N62">
        <v>1</v>
      </c>
      <c r="O62" s="14" t="s">
        <v>1120</v>
      </c>
      <c r="P62">
        <v>0</v>
      </c>
      <c r="Q62" s="14" t="s">
        <v>1120</v>
      </c>
      <c r="R62" t="s">
        <v>183</v>
      </c>
    </row>
    <row r="63" spans="1:18">
      <c r="A63" t="s">
        <v>186</v>
      </c>
      <c r="B63" t="s">
        <v>139</v>
      </c>
      <c r="C63" t="s">
        <v>32</v>
      </c>
      <c r="D63" t="s">
        <v>25</v>
      </c>
      <c r="E63" t="s">
        <v>159</v>
      </c>
      <c r="F63" t="s">
        <v>20</v>
      </c>
      <c r="G63" t="s">
        <v>187</v>
      </c>
      <c r="H63" s="13">
        <v>149703</v>
      </c>
      <c r="I63" s="13">
        <v>0</v>
      </c>
      <c r="J63">
        <v>1</v>
      </c>
      <c r="K63" t="s">
        <v>28</v>
      </c>
      <c r="L63" s="6">
        <v>40269</v>
      </c>
      <c r="M63" t="s">
        <v>188</v>
      </c>
      <c r="N63">
        <v>0</v>
      </c>
      <c r="O63" s="14" t="s">
        <v>1120</v>
      </c>
      <c r="P63">
        <v>0</v>
      </c>
      <c r="Q63" s="14" t="s">
        <v>1120</v>
      </c>
      <c r="R63" t="s">
        <v>186</v>
      </c>
    </row>
    <row r="64" spans="1:18">
      <c r="A64" t="s">
        <v>189</v>
      </c>
      <c r="B64" t="s">
        <v>16</v>
      </c>
      <c r="C64" t="s">
        <v>17</v>
      </c>
      <c r="D64" t="s">
        <v>25</v>
      </c>
      <c r="E64" t="s">
        <v>159</v>
      </c>
      <c r="F64" t="s">
        <v>20</v>
      </c>
      <c r="G64" t="s">
        <v>190</v>
      </c>
      <c r="H64" s="13">
        <v>142989</v>
      </c>
      <c r="I64" s="13">
        <v>0</v>
      </c>
      <c r="J64">
        <v>1</v>
      </c>
      <c r="K64" t="s">
        <v>28</v>
      </c>
      <c r="L64" s="6">
        <v>40269</v>
      </c>
      <c r="M64" t="s">
        <v>191</v>
      </c>
      <c r="N64">
        <v>0</v>
      </c>
      <c r="O64" s="14" t="s">
        <v>1120</v>
      </c>
      <c r="P64">
        <v>0</v>
      </c>
      <c r="Q64" s="14" t="s">
        <v>1120</v>
      </c>
      <c r="R64" t="s">
        <v>189</v>
      </c>
    </row>
    <row r="65" spans="1:18">
      <c r="A65" t="s">
        <v>192</v>
      </c>
      <c r="B65" t="s">
        <v>193</v>
      </c>
      <c r="C65" t="s">
        <v>38</v>
      </c>
      <c r="D65" t="s">
        <v>25</v>
      </c>
      <c r="E65" t="s">
        <v>159</v>
      </c>
      <c r="F65" t="s">
        <v>20</v>
      </c>
      <c r="G65" t="s">
        <v>194</v>
      </c>
      <c r="H65" s="13">
        <v>150000</v>
      </c>
      <c r="I65" s="13">
        <v>0</v>
      </c>
      <c r="J65">
        <v>1</v>
      </c>
      <c r="K65" t="s">
        <v>40</v>
      </c>
      <c r="L65" s="6">
        <v>40269</v>
      </c>
      <c r="M65" t="s">
        <v>195</v>
      </c>
      <c r="N65">
        <v>0</v>
      </c>
      <c r="O65" s="14" t="s">
        <v>1120</v>
      </c>
      <c r="P65">
        <v>0</v>
      </c>
      <c r="Q65" s="14" t="s">
        <v>1120</v>
      </c>
      <c r="R65" t="s">
        <v>192</v>
      </c>
    </row>
    <row r="66" spans="1:18">
      <c r="A66" t="s">
        <v>196</v>
      </c>
      <c r="B66" t="s">
        <v>16</v>
      </c>
      <c r="C66" t="s">
        <v>17</v>
      </c>
      <c r="D66" t="s">
        <v>25</v>
      </c>
      <c r="E66" t="s">
        <v>159</v>
      </c>
      <c r="F66" t="s">
        <v>20</v>
      </c>
      <c r="G66" t="s">
        <v>197</v>
      </c>
      <c r="H66" s="13">
        <v>150000</v>
      </c>
      <c r="I66" s="13">
        <v>0</v>
      </c>
      <c r="J66">
        <v>1</v>
      </c>
      <c r="K66" t="s">
        <v>28</v>
      </c>
      <c r="L66" s="6">
        <v>40269</v>
      </c>
      <c r="M66" t="s">
        <v>198</v>
      </c>
      <c r="N66">
        <v>0</v>
      </c>
      <c r="O66" s="14" t="s">
        <v>1120</v>
      </c>
      <c r="P66">
        <v>0</v>
      </c>
      <c r="Q66" s="14" t="s">
        <v>1120</v>
      </c>
      <c r="R66" t="s">
        <v>196</v>
      </c>
    </row>
    <row r="67" spans="1:18">
      <c r="A67" t="s">
        <v>154</v>
      </c>
      <c r="B67" t="s">
        <v>155</v>
      </c>
      <c r="C67" t="s">
        <v>32</v>
      </c>
      <c r="D67" t="s">
        <v>18</v>
      </c>
      <c r="E67" t="s">
        <v>151</v>
      </c>
      <c r="F67" t="s">
        <v>20</v>
      </c>
      <c r="G67" t="s">
        <v>156</v>
      </c>
      <c r="H67" s="13">
        <v>250000</v>
      </c>
      <c r="I67" s="13">
        <v>0</v>
      </c>
      <c r="J67">
        <v>1</v>
      </c>
      <c r="K67" t="s">
        <v>113</v>
      </c>
      <c r="L67" s="6">
        <v>40269</v>
      </c>
      <c r="M67" t="s">
        <v>157</v>
      </c>
      <c r="N67">
        <v>3</v>
      </c>
      <c r="O67" s="14" t="s">
        <v>1120</v>
      </c>
      <c r="P67">
        <v>0</v>
      </c>
      <c r="Q67" s="14" t="s">
        <v>1120</v>
      </c>
      <c r="R67" t="s">
        <v>154</v>
      </c>
    </row>
    <row r="68" spans="1:18">
      <c r="A68" t="s">
        <v>199</v>
      </c>
      <c r="B68" t="s">
        <v>200</v>
      </c>
      <c r="C68" t="s">
        <v>38</v>
      </c>
      <c r="D68" t="s">
        <v>25</v>
      </c>
      <c r="E68" t="s">
        <v>159</v>
      </c>
      <c r="F68" t="s">
        <v>20</v>
      </c>
      <c r="G68" t="s">
        <v>201</v>
      </c>
      <c r="H68" s="13">
        <v>148139</v>
      </c>
      <c r="I68" s="13">
        <v>0</v>
      </c>
      <c r="J68">
        <v>1</v>
      </c>
      <c r="K68" t="s">
        <v>108</v>
      </c>
      <c r="L68" s="6">
        <v>40269</v>
      </c>
      <c r="M68" t="s">
        <v>202</v>
      </c>
      <c r="N68">
        <v>1</v>
      </c>
      <c r="O68" s="14" t="s">
        <v>1120</v>
      </c>
      <c r="P68">
        <v>0</v>
      </c>
      <c r="Q68" s="14" t="s">
        <v>1120</v>
      </c>
      <c r="R68" t="s">
        <v>199</v>
      </c>
    </row>
    <row r="69" spans="1:18">
      <c r="A69" t="s">
        <v>203</v>
      </c>
      <c r="B69" t="s">
        <v>204</v>
      </c>
      <c r="C69" t="s">
        <v>205</v>
      </c>
      <c r="D69" t="s">
        <v>25</v>
      </c>
      <c r="E69" t="s">
        <v>159</v>
      </c>
      <c r="F69" t="s">
        <v>20</v>
      </c>
      <c r="G69" t="s">
        <v>206</v>
      </c>
      <c r="H69" s="13">
        <v>148684</v>
      </c>
      <c r="I69" s="13">
        <v>0</v>
      </c>
      <c r="J69">
        <v>1</v>
      </c>
      <c r="K69" t="s">
        <v>44</v>
      </c>
      <c r="L69" s="6">
        <v>40269</v>
      </c>
      <c r="M69" t="s">
        <v>207</v>
      </c>
      <c r="N69">
        <v>2</v>
      </c>
      <c r="O69" s="14" t="s">
        <v>1120</v>
      </c>
      <c r="P69">
        <v>0</v>
      </c>
      <c r="Q69" s="14" t="s">
        <v>1120</v>
      </c>
      <c r="R69" t="s">
        <v>203</v>
      </c>
    </row>
    <row r="70" spans="1:18">
      <c r="A70" t="s">
        <v>203</v>
      </c>
      <c r="B70" t="s">
        <v>204</v>
      </c>
      <c r="C70" t="s">
        <v>205</v>
      </c>
      <c r="D70" t="s">
        <v>25</v>
      </c>
      <c r="E70" t="s">
        <v>159</v>
      </c>
      <c r="F70" t="s">
        <v>20</v>
      </c>
      <c r="G70" t="s">
        <v>208</v>
      </c>
      <c r="H70" s="13">
        <v>150000</v>
      </c>
      <c r="I70" s="13">
        <v>0</v>
      </c>
      <c r="J70">
        <v>1</v>
      </c>
      <c r="K70" t="s">
        <v>44</v>
      </c>
      <c r="L70" s="6">
        <v>40269</v>
      </c>
      <c r="M70" t="s">
        <v>209</v>
      </c>
      <c r="N70">
        <v>3</v>
      </c>
      <c r="O70" s="14" t="s">
        <v>1120</v>
      </c>
      <c r="P70">
        <v>0</v>
      </c>
      <c r="Q70" s="14" t="s">
        <v>1120</v>
      </c>
      <c r="R70" t="s">
        <v>203</v>
      </c>
    </row>
    <row r="71" spans="1:18">
      <c r="A71" t="s">
        <v>210</v>
      </c>
      <c r="B71" t="s">
        <v>99</v>
      </c>
      <c r="C71" t="s">
        <v>66</v>
      </c>
      <c r="D71" t="s">
        <v>25</v>
      </c>
      <c r="E71" t="s">
        <v>159</v>
      </c>
      <c r="F71" t="s">
        <v>20</v>
      </c>
      <c r="G71" t="s">
        <v>211</v>
      </c>
      <c r="H71" s="13">
        <v>150000</v>
      </c>
      <c r="I71" s="13">
        <v>0</v>
      </c>
      <c r="J71">
        <v>1</v>
      </c>
      <c r="K71" t="s">
        <v>28</v>
      </c>
      <c r="L71" s="6">
        <v>40269</v>
      </c>
      <c r="M71" t="s">
        <v>212</v>
      </c>
      <c r="N71">
        <v>3</v>
      </c>
      <c r="O71" s="14" t="s">
        <v>1120</v>
      </c>
      <c r="P71">
        <v>0</v>
      </c>
      <c r="Q71" s="14" t="s">
        <v>1120</v>
      </c>
      <c r="R71" t="s">
        <v>210</v>
      </c>
    </row>
    <row r="72" spans="1:18">
      <c r="A72" t="s">
        <v>213</v>
      </c>
      <c r="B72" t="s">
        <v>16</v>
      </c>
      <c r="C72" t="s">
        <v>17</v>
      </c>
      <c r="D72" t="s">
        <v>25</v>
      </c>
      <c r="E72" t="s">
        <v>159</v>
      </c>
      <c r="F72" t="s">
        <v>20</v>
      </c>
      <c r="G72" t="s">
        <v>214</v>
      </c>
      <c r="H72" s="13">
        <v>150000</v>
      </c>
      <c r="I72" s="13">
        <v>0</v>
      </c>
      <c r="J72">
        <v>1</v>
      </c>
      <c r="K72" t="s">
        <v>22</v>
      </c>
      <c r="L72" s="6">
        <v>40269</v>
      </c>
      <c r="M72" t="s">
        <v>215</v>
      </c>
      <c r="N72">
        <v>1</v>
      </c>
      <c r="O72" s="14" t="s">
        <v>1120</v>
      </c>
      <c r="P72">
        <v>0</v>
      </c>
      <c r="Q72" s="14" t="s">
        <v>1120</v>
      </c>
      <c r="R72" t="s">
        <v>213</v>
      </c>
    </row>
    <row r="73" spans="1:18">
      <c r="A73" t="s">
        <v>235</v>
      </c>
      <c r="B73" t="s">
        <v>236</v>
      </c>
      <c r="C73" t="s">
        <v>38</v>
      </c>
      <c r="D73" t="s">
        <v>25</v>
      </c>
      <c r="E73" t="s">
        <v>237</v>
      </c>
      <c r="F73" t="s">
        <v>20</v>
      </c>
      <c r="G73" t="s">
        <v>238</v>
      </c>
      <c r="H73" s="13">
        <v>159975</v>
      </c>
      <c r="I73" s="13">
        <v>0</v>
      </c>
      <c r="J73">
        <v>1</v>
      </c>
      <c r="K73" t="s">
        <v>108</v>
      </c>
      <c r="L73" s="6">
        <v>40452</v>
      </c>
      <c r="M73" t="s">
        <v>239</v>
      </c>
      <c r="N73">
        <v>1</v>
      </c>
      <c r="O73" s="14" t="s">
        <v>1120</v>
      </c>
      <c r="P73">
        <v>0</v>
      </c>
      <c r="Q73" s="14" t="s">
        <v>1120</v>
      </c>
      <c r="R73" t="s">
        <v>235</v>
      </c>
    </row>
    <row r="74" spans="1:18">
      <c r="A74" t="s">
        <v>240</v>
      </c>
      <c r="B74" t="s">
        <v>16</v>
      </c>
      <c r="C74" t="s">
        <v>17</v>
      </c>
      <c r="D74" t="s">
        <v>25</v>
      </c>
      <c r="E74" t="s">
        <v>237</v>
      </c>
      <c r="F74" t="s">
        <v>20</v>
      </c>
      <c r="G74" t="s">
        <v>241</v>
      </c>
      <c r="H74" s="13">
        <v>159750</v>
      </c>
      <c r="I74" s="13">
        <v>0</v>
      </c>
      <c r="J74">
        <v>1</v>
      </c>
      <c r="K74" t="s">
        <v>34</v>
      </c>
      <c r="L74" s="6">
        <v>40452</v>
      </c>
      <c r="M74" t="s">
        <v>242</v>
      </c>
      <c r="N74">
        <v>0</v>
      </c>
      <c r="O74" s="14" t="s">
        <v>1120</v>
      </c>
      <c r="P74">
        <v>0</v>
      </c>
      <c r="Q74" s="14" t="s">
        <v>1120</v>
      </c>
      <c r="R74" t="s">
        <v>240</v>
      </c>
    </row>
    <row r="75" spans="1:18">
      <c r="A75" t="s">
        <v>243</v>
      </c>
      <c r="B75" t="s">
        <v>244</v>
      </c>
      <c r="C75" t="s">
        <v>205</v>
      </c>
      <c r="D75" t="s">
        <v>25</v>
      </c>
      <c r="E75" t="s">
        <v>237</v>
      </c>
      <c r="F75" t="s">
        <v>20</v>
      </c>
      <c r="G75" t="s">
        <v>245</v>
      </c>
      <c r="H75" s="13">
        <v>108000</v>
      </c>
      <c r="I75" s="13">
        <v>10600</v>
      </c>
      <c r="J75">
        <v>1</v>
      </c>
      <c r="K75" t="s">
        <v>113</v>
      </c>
      <c r="L75" s="6">
        <v>40452</v>
      </c>
      <c r="M75" t="s">
        <v>246</v>
      </c>
      <c r="N75">
        <v>1</v>
      </c>
      <c r="O75" s="14" t="s">
        <v>1120</v>
      </c>
      <c r="P75">
        <v>0</v>
      </c>
      <c r="Q75" s="14" t="s">
        <v>1120</v>
      </c>
      <c r="R75" t="s">
        <v>243</v>
      </c>
    </row>
    <row r="76" spans="1:18">
      <c r="A76" t="s">
        <v>231</v>
      </c>
      <c r="B76" t="s">
        <v>116</v>
      </c>
      <c r="C76" t="s">
        <v>32</v>
      </c>
      <c r="D76" t="s">
        <v>18</v>
      </c>
      <c r="E76" t="s">
        <v>232</v>
      </c>
      <c r="F76" t="s">
        <v>20</v>
      </c>
      <c r="G76" t="s">
        <v>233</v>
      </c>
      <c r="H76" s="13">
        <v>300000</v>
      </c>
      <c r="I76" s="13">
        <v>0</v>
      </c>
      <c r="J76">
        <v>1</v>
      </c>
      <c r="K76" t="s">
        <v>40</v>
      </c>
      <c r="L76" s="6">
        <v>40452</v>
      </c>
      <c r="M76" t="s">
        <v>234</v>
      </c>
      <c r="N76">
        <v>1</v>
      </c>
      <c r="O76" s="14" t="s">
        <v>1120</v>
      </c>
      <c r="P76">
        <v>0</v>
      </c>
      <c r="Q76" s="14" t="s">
        <v>1120</v>
      </c>
      <c r="R76" t="s">
        <v>231</v>
      </c>
    </row>
    <row r="77" spans="1:18">
      <c r="A77" t="s">
        <v>247</v>
      </c>
      <c r="B77" t="s">
        <v>163</v>
      </c>
      <c r="C77" t="s">
        <v>38</v>
      </c>
      <c r="D77" t="s">
        <v>25</v>
      </c>
      <c r="E77" t="s">
        <v>237</v>
      </c>
      <c r="F77" t="s">
        <v>20</v>
      </c>
      <c r="G77" t="s">
        <v>248</v>
      </c>
      <c r="H77" s="13">
        <v>139840</v>
      </c>
      <c r="I77" s="13">
        <v>8395</v>
      </c>
      <c r="J77">
        <v>1</v>
      </c>
      <c r="K77" t="s">
        <v>34</v>
      </c>
      <c r="L77" s="6">
        <v>40452</v>
      </c>
      <c r="M77" t="s">
        <v>249</v>
      </c>
      <c r="N77">
        <v>1</v>
      </c>
      <c r="O77" s="14" t="s">
        <v>1120</v>
      </c>
      <c r="P77">
        <v>0</v>
      </c>
      <c r="Q77" s="14" t="s">
        <v>1120</v>
      </c>
      <c r="R77" t="s">
        <v>247</v>
      </c>
    </row>
    <row r="78" spans="1:18">
      <c r="A78" t="s">
        <v>220</v>
      </c>
      <c r="B78" t="s">
        <v>99</v>
      </c>
      <c r="C78" t="s">
        <v>66</v>
      </c>
      <c r="D78" t="s">
        <v>94</v>
      </c>
      <c r="E78" t="s">
        <v>221</v>
      </c>
      <c r="F78" t="s">
        <v>20</v>
      </c>
      <c r="G78" t="s">
        <v>222</v>
      </c>
      <c r="H78" s="13">
        <v>117929</v>
      </c>
      <c r="I78" s="13">
        <v>0</v>
      </c>
      <c r="J78">
        <v>1</v>
      </c>
      <c r="K78" t="s">
        <v>108</v>
      </c>
      <c r="L78" s="6">
        <v>40452</v>
      </c>
      <c r="M78" t="s">
        <v>223</v>
      </c>
      <c r="N78">
        <v>2</v>
      </c>
      <c r="O78" s="14" t="s">
        <v>1120</v>
      </c>
      <c r="P78">
        <v>0</v>
      </c>
      <c r="Q78" s="14" t="s">
        <v>1120</v>
      </c>
      <c r="R78" t="s">
        <v>220</v>
      </c>
    </row>
    <row r="79" spans="1:18">
      <c r="A79" t="s">
        <v>250</v>
      </c>
      <c r="B79" t="s">
        <v>251</v>
      </c>
      <c r="C79" t="s">
        <v>32</v>
      </c>
      <c r="D79" t="s">
        <v>25</v>
      </c>
      <c r="E79" t="s">
        <v>237</v>
      </c>
      <c r="F79" t="s">
        <v>20</v>
      </c>
      <c r="G79" t="s">
        <v>252</v>
      </c>
      <c r="H79" s="13">
        <v>160000</v>
      </c>
      <c r="I79" s="13">
        <v>0</v>
      </c>
      <c r="J79">
        <v>1</v>
      </c>
      <c r="K79" t="s">
        <v>34</v>
      </c>
      <c r="L79" s="6">
        <v>40452</v>
      </c>
      <c r="M79" t="s">
        <v>253</v>
      </c>
      <c r="N79">
        <v>0</v>
      </c>
      <c r="O79" s="14" t="s">
        <v>1120</v>
      </c>
      <c r="P79">
        <v>0</v>
      </c>
      <c r="Q79" s="14" t="s">
        <v>1120</v>
      </c>
      <c r="R79" t="s">
        <v>250</v>
      </c>
    </row>
    <row r="80" spans="1:18">
      <c r="A80" t="s">
        <v>254</v>
      </c>
      <c r="B80" t="s">
        <v>16</v>
      </c>
      <c r="C80" t="s">
        <v>17</v>
      </c>
      <c r="D80" t="s">
        <v>25</v>
      </c>
      <c r="E80" t="s">
        <v>237</v>
      </c>
      <c r="F80" t="s">
        <v>20</v>
      </c>
      <c r="G80" t="s">
        <v>255</v>
      </c>
      <c r="H80" s="13">
        <v>160000</v>
      </c>
      <c r="I80" s="13">
        <v>0</v>
      </c>
      <c r="J80">
        <v>1</v>
      </c>
      <c r="K80" t="s">
        <v>28</v>
      </c>
      <c r="L80" s="6">
        <v>40452</v>
      </c>
      <c r="M80" t="s">
        <v>256</v>
      </c>
      <c r="N80">
        <v>0</v>
      </c>
      <c r="O80" s="14" t="s">
        <v>1120</v>
      </c>
      <c r="P80">
        <v>0</v>
      </c>
      <c r="Q80" s="14" t="s">
        <v>1120</v>
      </c>
      <c r="R80" t="s">
        <v>254</v>
      </c>
    </row>
    <row r="81" spans="1:18">
      <c r="A81" t="s">
        <v>257</v>
      </c>
      <c r="B81" t="s">
        <v>258</v>
      </c>
      <c r="C81" t="s">
        <v>32</v>
      </c>
      <c r="D81" t="s">
        <v>25</v>
      </c>
      <c r="E81" t="s">
        <v>237</v>
      </c>
      <c r="F81" t="s">
        <v>20</v>
      </c>
      <c r="G81" t="s">
        <v>259</v>
      </c>
      <c r="H81" s="13">
        <v>155000</v>
      </c>
      <c r="I81" s="13">
        <v>0</v>
      </c>
      <c r="J81">
        <v>1</v>
      </c>
      <c r="K81" t="s">
        <v>34</v>
      </c>
      <c r="L81" s="6">
        <v>40452</v>
      </c>
      <c r="M81" t="s">
        <v>260</v>
      </c>
      <c r="N81">
        <v>3</v>
      </c>
      <c r="O81" s="14" t="s">
        <v>1120</v>
      </c>
      <c r="P81">
        <v>0</v>
      </c>
      <c r="Q81" s="14" t="s">
        <v>1120</v>
      </c>
      <c r="R81" t="s">
        <v>257</v>
      </c>
    </row>
    <row r="82" spans="1:18">
      <c r="A82" t="s">
        <v>261</v>
      </c>
      <c r="B82" t="s">
        <v>16</v>
      </c>
      <c r="C82" t="s">
        <v>17</v>
      </c>
      <c r="D82" t="s">
        <v>25</v>
      </c>
      <c r="E82" t="s">
        <v>237</v>
      </c>
      <c r="F82" t="s">
        <v>20</v>
      </c>
      <c r="G82" t="s">
        <v>262</v>
      </c>
      <c r="H82" s="13">
        <v>160000</v>
      </c>
      <c r="I82" s="13">
        <v>0</v>
      </c>
      <c r="J82">
        <v>1</v>
      </c>
      <c r="K82" t="s">
        <v>22</v>
      </c>
      <c r="L82" s="6">
        <v>40452</v>
      </c>
      <c r="M82" t="s">
        <v>263</v>
      </c>
      <c r="N82">
        <v>0</v>
      </c>
      <c r="O82" s="14" t="s">
        <v>1120</v>
      </c>
      <c r="P82">
        <v>0</v>
      </c>
      <c r="Q82" s="14" t="s">
        <v>1120</v>
      </c>
      <c r="R82" t="s">
        <v>261</v>
      </c>
    </row>
    <row r="83" spans="1:18">
      <c r="A83" t="s">
        <v>264</v>
      </c>
      <c r="B83" t="s">
        <v>265</v>
      </c>
      <c r="C83" t="s">
        <v>32</v>
      </c>
      <c r="D83" t="s">
        <v>25</v>
      </c>
      <c r="E83" t="s">
        <v>237</v>
      </c>
      <c r="F83" t="s">
        <v>20</v>
      </c>
      <c r="G83" t="s">
        <v>266</v>
      </c>
      <c r="H83" s="13">
        <v>160000</v>
      </c>
      <c r="I83" s="13">
        <v>0</v>
      </c>
      <c r="J83">
        <v>1</v>
      </c>
      <c r="K83" t="s">
        <v>28</v>
      </c>
      <c r="L83" s="6">
        <v>40452</v>
      </c>
      <c r="M83" t="s">
        <v>267</v>
      </c>
      <c r="N83">
        <v>0</v>
      </c>
      <c r="O83" s="14" t="s">
        <v>1120</v>
      </c>
      <c r="P83">
        <v>0</v>
      </c>
      <c r="Q83" s="14" t="s">
        <v>1120</v>
      </c>
      <c r="R83" t="s">
        <v>264</v>
      </c>
    </row>
    <row r="84" spans="1:18">
      <c r="A84" t="s">
        <v>268</v>
      </c>
      <c r="B84" t="s">
        <v>37</v>
      </c>
      <c r="C84" t="s">
        <v>38</v>
      </c>
      <c r="D84" t="s">
        <v>25</v>
      </c>
      <c r="E84" t="s">
        <v>237</v>
      </c>
      <c r="F84" t="s">
        <v>20</v>
      </c>
      <c r="G84" t="s">
        <v>269</v>
      </c>
      <c r="H84" s="13">
        <v>159996</v>
      </c>
      <c r="I84" s="13">
        <v>0</v>
      </c>
      <c r="J84">
        <v>1</v>
      </c>
      <c r="K84" t="s">
        <v>44</v>
      </c>
      <c r="L84" s="6">
        <v>40452</v>
      </c>
      <c r="M84" t="s">
        <v>270</v>
      </c>
      <c r="N84">
        <v>2</v>
      </c>
      <c r="O84" s="14" t="s">
        <v>1120</v>
      </c>
      <c r="P84">
        <v>0</v>
      </c>
      <c r="Q84" s="14" t="s">
        <v>1120</v>
      </c>
      <c r="R84" t="s">
        <v>268</v>
      </c>
    </row>
    <row r="85" spans="1:18">
      <c r="A85" t="s">
        <v>271</v>
      </c>
      <c r="B85" t="s">
        <v>272</v>
      </c>
      <c r="C85" t="s">
        <v>17</v>
      </c>
      <c r="D85" t="s">
        <v>25</v>
      </c>
      <c r="E85" t="s">
        <v>237</v>
      </c>
      <c r="F85" t="s">
        <v>20</v>
      </c>
      <c r="G85" t="s">
        <v>273</v>
      </c>
      <c r="H85" s="13">
        <v>160000</v>
      </c>
      <c r="I85" s="13">
        <v>0</v>
      </c>
      <c r="J85">
        <v>1</v>
      </c>
      <c r="K85" t="s">
        <v>28</v>
      </c>
      <c r="L85" s="6">
        <v>40452</v>
      </c>
      <c r="M85" t="s">
        <v>274</v>
      </c>
      <c r="N85">
        <v>1</v>
      </c>
      <c r="O85" s="14" t="s">
        <v>1120</v>
      </c>
      <c r="P85">
        <v>0</v>
      </c>
      <c r="Q85" s="14" t="s">
        <v>1120</v>
      </c>
      <c r="R85" t="s">
        <v>271</v>
      </c>
    </row>
    <row r="86" spans="1:18">
      <c r="A86" t="s">
        <v>228</v>
      </c>
      <c r="B86" t="s">
        <v>155</v>
      </c>
      <c r="C86" t="s">
        <v>32</v>
      </c>
      <c r="D86" t="s">
        <v>94</v>
      </c>
      <c r="E86" t="s">
        <v>221</v>
      </c>
      <c r="F86" t="s">
        <v>20</v>
      </c>
      <c r="G86" t="s">
        <v>229</v>
      </c>
      <c r="H86" s="13">
        <v>159750</v>
      </c>
      <c r="I86" s="13">
        <v>0</v>
      </c>
      <c r="J86">
        <v>1</v>
      </c>
      <c r="K86" t="s">
        <v>28</v>
      </c>
      <c r="L86" s="6">
        <v>40452</v>
      </c>
      <c r="M86" t="s">
        <v>230</v>
      </c>
      <c r="N86">
        <v>2</v>
      </c>
      <c r="O86" s="14" t="s">
        <v>1120</v>
      </c>
      <c r="P86">
        <v>0</v>
      </c>
      <c r="Q86" s="14" t="s">
        <v>1120</v>
      </c>
      <c r="R86" t="s">
        <v>228</v>
      </c>
    </row>
    <row r="87" spans="1:18">
      <c r="A87" t="s">
        <v>284</v>
      </c>
      <c r="B87" t="s">
        <v>285</v>
      </c>
      <c r="C87" t="s">
        <v>38</v>
      </c>
      <c r="D87" t="s">
        <v>25</v>
      </c>
      <c r="E87" t="s">
        <v>286</v>
      </c>
      <c r="F87" t="s">
        <v>20</v>
      </c>
      <c r="G87" t="s">
        <v>287</v>
      </c>
      <c r="H87" s="13">
        <v>136750</v>
      </c>
      <c r="I87" s="13">
        <v>0</v>
      </c>
      <c r="J87">
        <v>1</v>
      </c>
      <c r="K87" t="s">
        <v>22</v>
      </c>
      <c r="L87" s="6">
        <v>40634</v>
      </c>
      <c r="M87" t="s">
        <v>288</v>
      </c>
      <c r="N87">
        <v>3</v>
      </c>
      <c r="O87" s="14" t="s">
        <v>1120</v>
      </c>
      <c r="P87">
        <v>0</v>
      </c>
      <c r="Q87" s="14" t="s">
        <v>1120</v>
      </c>
      <c r="R87" t="s">
        <v>284</v>
      </c>
    </row>
    <row r="88" spans="1:18">
      <c r="A88" t="s">
        <v>289</v>
      </c>
      <c r="B88" t="s">
        <v>290</v>
      </c>
      <c r="C88" t="s">
        <v>291</v>
      </c>
      <c r="D88" t="s">
        <v>25</v>
      </c>
      <c r="E88" t="s">
        <v>286</v>
      </c>
      <c r="F88" t="s">
        <v>20</v>
      </c>
      <c r="G88" t="s">
        <v>292</v>
      </c>
      <c r="H88" s="13">
        <v>156920</v>
      </c>
      <c r="I88" s="13">
        <v>0</v>
      </c>
      <c r="J88">
        <v>1</v>
      </c>
      <c r="K88" t="s">
        <v>22</v>
      </c>
      <c r="L88" s="6">
        <v>40634</v>
      </c>
      <c r="M88" t="s">
        <v>293</v>
      </c>
      <c r="N88">
        <v>0</v>
      </c>
      <c r="O88" s="14" t="s">
        <v>1120</v>
      </c>
      <c r="P88">
        <v>0</v>
      </c>
      <c r="Q88" s="14" t="s">
        <v>1120</v>
      </c>
      <c r="R88" t="s">
        <v>289</v>
      </c>
    </row>
    <row r="89" spans="1:18">
      <c r="A89" t="s">
        <v>294</v>
      </c>
      <c r="B89" t="s">
        <v>163</v>
      </c>
      <c r="C89" t="s">
        <v>38</v>
      </c>
      <c r="D89" t="s">
        <v>25</v>
      </c>
      <c r="E89" t="s">
        <v>286</v>
      </c>
      <c r="F89" t="s">
        <v>20</v>
      </c>
      <c r="G89" t="s">
        <v>295</v>
      </c>
      <c r="H89" s="13">
        <v>153344</v>
      </c>
      <c r="I89" s="13">
        <v>0</v>
      </c>
      <c r="J89">
        <v>1</v>
      </c>
      <c r="K89" t="s">
        <v>28</v>
      </c>
      <c r="L89" s="6">
        <v>40634</v>
      </c>
      <c r="M89" t="s">
        <v>296</v>
      </c>
      <c r="N89">
        <v>0</v>
      </c>
      <c r="O89" s="14" t="s">
        <v>1120</v>
      </c>
      <c r="P89">
        <v>0</v>
      </c>
      <c r="Q89" s="14" t="s">
        <v>1120</v>
      </c>
      <c r="R89" t="s">
        <v>294</v>
      </c>
    </row>
    <row r="90" spans="1:18">
      <c r="A90" t="s">
        <v>92</v>
      </c>
      <c r="B90" t="s">
        <v>93</v>
      </c>
      <c r="C90" t="s">
        <v>38</v>
      </c>
      <c r="D90" t="s">
        <v>18</v>
      </c>
      <c r="E90" t="s">
        <v>275</v>
      </c>
      <c r="F90" t="s">
        <v>20</v>
      </c>
      <c r="G90" t="s">
        <v>276</v>
      </c>
      <c r="H90" s="13">
        <v>133277</v>
      </c>
      <c r="I90" s="13">
        <v>0</v>
      </c>
      <c r="J90">
        <v>1</v>
      </c>
      <c r="K90" t="s">
        <v>22</v>
      </c>
      <c r="L90" s="6">
        <v>40634</v>
      </c>
      <c r="M90" t="s">
        <v>277</v>
      </c>
      <c r="N90">
        <v>0</v>
      </c>
      <c r="O90" s="14" t="s">
        <v>1120</v>
      </c>
      <c r="P90">
        <v>0</v>
      </c>
      <c r="Q90" s="14" t="s">
        <v>1120</v>
      </c>
      <c r="R90" t="s">
        <v>92</v>
      </c>
    </row>
    <row r="91" spans="1:18">
      <c r="A91" t="s">
        <v>278</v>
      </c>
      <c r="B91" t="s">
        <v>16</v>
      </c>
      <c r="C91" t="s">
        <v>17</v>
      </c>
      <c r="D91" t="s">
        <v>18</v>
      </c>
      <c r="E91" t="s">
        <v>275</v>
      </c>
      <c r="F91" t="s">
        <v>20</v>
      </c>
      <c r="G91" t="s">
        <v>279</v>
      </c>
      <c r="H91" s="13">
        <v>149685</v>
      </c>
      <c r="I91" s="13">
        <v>0</v>
      </c>
      <c r="J91">
        <v>1</v>
      </c>
      <c r="K91" t="s">
        <v>22</v>
      </c>
      <c r="L91" s="6">
        <v>40634</v>
      </c>
      <c r="M91" t="s">
        <v>280</v>
      </c>
      <c r="N91">
        <v>1</v>
      </c>
      <c r="O91" s="14" t="s">
        <v>1120</v>
      </c>
      <c r="P91">
        <v>0</v>
      </c>
      <c r="Q91" s="14" t="s">
        <v>1120</v>
      </c>
      <c r="R91" t="s">
        <v>278</v>
      </c>
    </row>
    <row r="92" spans="1:18">
      <c r="A92" t="s">
        <v>300</v>
      </c>
      <c r="B92" t="s">
        <v>193</v>
      </c>
      <c r="C92" t="s">
        <v>38</v>
      </c>
      <c r="D92" t="s">
        <v>25</v>
      </c>
      <c r="E92" t="s">
        <v>286</v>
      </c>
      <c r="F92" t="s">
        <v>20</v>
      </c>
      <c r="G92" t="s">
        <v>301</v>
      </c>
      <c r="H92" s="13">
        <v>156022</v>
      </c>
      <c r="I92" s="13">
        <v>0</v>
      </c>
      <c r="J92">
        <v>1</v>
      </c>
      <c r="K92" t="s">
        <v>108</v>
      </c>
      <c r="L92" s="6">
        <v>40634</v>
      </c>
      <c r="M92" t="s">
        <v>302</v>
      </c>
      <c r="N92">
        <v>2</v>
      </c>
      <c r="O92" s="14" t="s">
        <v>1120</v>
      </c>
      <c r="P92">
        <v>0</v>
      </c>
      <c r="Q92" s="14" t="s">
        <v>1120</v>
      </c>
      <c r="R92" t="s">
        <v>300</v>
      </c>
    </row>
    <row r="93" spans="1:18">
      <c r="A93" t="s">
        <v>303</v>
      </c>
      <c r="B93" t="s">
        <v>304</v>
      </c>
      <c r="C93" t="s">
        <v>32</v>
      </c>
      <c r="D93" t="s">
        <v>25</v>
      </c>
      <c r="E93" t="s">
        <v>286</v>
      </c>
      <c r="F93" t="s">
        <v>20</v>
      </c>
      <c r="G93" t="s">
        <v>305</v>
      </c>
      <c r="H93" s="13">
        <v>112602</v>
      </c>
      <c r="I93" s="13">
        <v>0</v>
      </c>
      <c r="J93">
        <v>1</v>
      </c>
      <c r="K93" t="s">
        <v>28</v>
      </c>
      <c r="L93" s="6">
        <v>40634</v>
      </c>
      <c r="M93" t="s">
        <v>306</v>
      </c>
      <c r="N93">
        <v>1</v>
      </c>
      <c r="O93" s="14" t="s">
        <v>1120</v>
      </c>
      <c r="P93">
        <v>0</v>
      </c>
      <c r="Q93" s="14" t="s">
        <v>1120</v>
      </c>
      <c r="R93" t="s">
        <v>303</v>
      </c>
    </row>
    <row r="94" spans="1:18">
      <c r="A94" t="s">
        <v>307</v>
      </c>
      <c r="B94" t="s">
        <v>193</v>
      </c>
      <c r="C94" t="s">
        <v>38</v>
      </c>
      <c r="D94" t="s">
        <v>25</v>
      </c>
      <c r="E94" t="s">
        <v>286</v>
      </c>
      <c r="F94" t="s">
        <v>20</v>
      </c>
      <c r="G94" t="s">
        <v>308</v>
      </c>
      <c r="H94" s="13">
        <v>152499</v>
      </c>
      <c r="I94" s="13">
        <v>0</v>
      </c>
      <c r="J94">
        <v>1</v>
      </c>
      <c r="K94" t="s">
        <v>309</v>
      </c>
      <c r="L94" s="6">
        <v>40634</v>
      </c>
      <c r="M94" t="s">
        <v>310</v>
      </c>
      <c r="N94">
        <v>1</v>
      </c>
      <c r="O94" s="14" t="s">
        <v>1120</v>
      </c>
      <c r="P94">
        <v>0</v>
      </c>
      <c r="Q94" s="14" t="s">
        <v>1120</v>
      </c>
      <c r="R94" t="s">
        <v>307</v>
      </c>
    </row>
    <row r="95" spans="1:18">
      <c r="A95" t="s">
        <v>311</v>
      </c>
      <c r="B95" t="s">
        <v>51</v>
      </c>
      <c r="C95" t="s">
        <v>32</v>
      </c>
      <c r="D95" t="s">
        <v>25</v>
      </c>
      <c r="E95" t="s">
        <v>286</v>
      </c>
      <c r="F95" t="s">
        <v>20</v>
      </c>
      <c r="G95" t="s">
        <v>312</v>
      </c>
      <c r="H95" s="13">
        <v>155375</v>
      </c>
      <c r="I95" s="13">
        <v>0</v>
      </c>
      <c r="J95">
        <v>1</v>
      </c>
      <c r="K95" t="s">
        <v>108</v>
      </c>
      <c r="L95" s="6">
        <v>40634</v>
      </c>
      <c r="M95" t="s">
        <v>313</v>
      </c>
      <c r="N95">
        <v>2</v>
      </c>
      <c r="O95" s="14" t="s">
        <v>1120</v>
      </c>
      <c r="P95">
        <v>0</v>
      </c>
      <c r="Q95" s="14" t="s">
        <v>1120</v>
      </c>
      <c r="R95" t="s">
        <v>311</v>
      </c>
    </row>
    <row r="96" spans="1:18">
      <c r="A96" t="s">
        <v>314</v>
      </c>
      <c r="B96" t="s">
        <v>315</v>
      </c>
      <c r="C96" t="s">
        <v>32</v>
      </c>
      <c r="D96" t="s">
        <v>25</v>
      </c>
      <c r="E96" t="s">
        <v>286</v>
      </c>
      <c r="F96" t="s">
        <v>20</v>
      </c>
      <c r="G96" t="s">
        <v>316</v>
      </c>
      <c r="H96" s="13">
        <v>160000</v>
      </c>
      <c r="I96" s="13">
        <v>0</v>
      </c>
      <c r="J96">
        <v>1</v>
      </c>
      <c r="K96" t="s">
        <v>28</v>
      </c>
      <c r="L96" s="6">
        <v>40634</v>
      </c>
      <c r="M96" t="s">
        <v>317</v>
      </c>
      <c r="N96">
        <v>1</v>
      </c>
      <c r="O96" s="14" t="s">
        <v>1120</v>
      </c>
      <c r="P96">
        <v>0</v>
      </c>
      <c r="Q96" s="14" t="s">
        <v>1120</v>
      </c>
      <c r="R96" t="s">
        <v>314</v>
      </c>
    </row>
    <row r="97" spans="1:18">
      <c r="A97" t="s">
        <v>115</v>
      </c>
      <c r="B97" t="s">
        <v>116</v>
      </c>
      <c r="C97" t="s">
        <v>32</v>
      </c>
      <c r="D97" t="s">
        <v>25</v>
      </c>
      <c r="E97" t="s">
        <v>286</v>
      </c>
      <c r="F97" t="s">
        <v>20</v>
      </c>
      <c r="G97" t="s">
        <v>318</v>
      </c>
      <c r="H97" s="13">
        <v>160000</v>
      </c>
      <c r="I97" s="13">
        <v>0</v>
      </c>
      <c r="J97">
        <v>1</v>
      </c>
      <c r="K97" t="s">
        <v>108</v>
      </c>
      <c r="L97" s="6">
        <v>40634</v>
      </c>
      <c r="M97" t="s">
        <v>319</v>
      </c>
      <c r="N97">
        <v>3</v>
      </c>
      <c r="O97" s="14" t="s">
        <v>1120</v>
      </c>
      <c r="P97">
        <v>0</v>
      </c>
      <c r="Q97" s="14" t="s">
        <v>1120</v>
      </c>
      <c r="R97" t="s">
        <v>115</v>
      </c>
    </row>
    <row r="98" spans="1:18">
      <c r="A98" t="s">
        <v>320</v>
      </c>
      <c r="B98" t="s">
        <v>31</v>
      </c>
      <c r="C98" t="s">
        <v>32</v>
      </c>
      <c r="D98" t="s">
        <v>25</v>
      </c>
      <c r="E98" t="s">
        <v>286</v>
      </c>
      <c r="F98" t="s">
        <v>20</v>
      </c>
      <c r="G98" t="s">
        <v>321</v>
      </c>
      <c r="H98" s="13">
        <v>159950</v>
      </c>
      <c r="I98" s="13">
        <v>0</v>
      </c>
      <c r="J98">
        <v>1</v>
      </c>
      <c r="K98" t="s">
        <v>28</v>
      </c>
      <c r="L98" s="6">
        <v>40634</v>
      </c>
      <c r="M98" t="s">
        <v>322</v>
      </c>
      <c r="N98">
        <v>1</v>
      </c>
      <c r="O98" s="14" t="s">
        <v>1120</v>
      </c>
      <c r="P98">
        <v>0</v>
      </c>
      <c r="Q98" s="14" t="s">
        <v>1120</v>
      </c>
      <c r="R98" t="s">
        <v>320</v>
      </c>
    </row>
    <row r="99" spans="1:18">
      <c r="A99" t="s">
        <v>323</v>
      </c>
      <c r="B99" t="s">
        <v>31</v>
      </c>
      <c r="C99" t="s">
        <v>32</v>
      </c>
      <c r="D99" t="s">
        <v>25</v>
      </c>
      <c r="E99" t="s">
        <v>286</v>
      </c>
      <c r="F99" t="s">
        <v>20</v>
      </c>
      <c r="G99" t="s">
        <v>324</v>
      </c>
      <c r="H99" s="13">
        <v>120775</v>
      </c>
      <c r="I99" s="13">
        <v>0</v>
      </c>
      <c r="J99">
        <v>1</v>
      </c>
      <c r="K99" t="s">
        <v>28</v>
      </c>
      <c r="L99" s="6">
        <v>40634</v>
      </c>
      <c r="M99" t="s">
        <v>325</v>
      </c>
      <c r="N99">
        <v>2</v>
      </c>
      <c r="O99" s="14" t="s">
        <v>1120</v>
      </c>
      <c r="P99">
        <v>0</v>
      </c>
      <c r="Q99" s="14" t="s">
        <v>1120</v>
      </c>
      <c r="R99" t="s">
        <v>323</v>
      </c>
    </row>
    <row r="100" spans="1:18">
      <c r="A100" t="s">
        <v>192</v>
      </c>
      <c r="B100" t="s">
        <v>193</v>
      </c>
      <c r="C100" t="s">
        <v>38</v>
      </c>
      <c r="D100" t="s">
        <v>25</v>
      </c>
      <c r="E100" t="s">
        <v>286</v>
      </c>
      <c r="F100" t="s">
        <v>20</v>
      </c>
      <c r="G100" t="s">
        <v>326</v>
      </c>
      <c r="H100" s="13">
        <v>160000</v>
      </c>
      <c r="I100" s="13">
        <v>0</v>
      </c>
      <c r="J100">
        <v>1</v>
      </c>
      <c r="K100" t="s">
        <v>34</v>
      </c>
      <c r="L100" s="6">
        <v>40634</v>
      </c>
      <c r="M100" t="s">
        <v>327</v>
      </c>
      <c r="N100">
        <v>1</v>
      </c>
      <c r="O100" s="14" t="s">
        <v>1120</v>
      </c>
      <c r="P100">
        <v>0</v>
      </c>
      <c r="Q100" s="14" t="s">
        <v>1120</v>
      </c>
      <c r="R100" t="s">
        <v>192</v>
      </c>
    </row>
    <row r="101" spans="1:18">
      <c r="A101" t="s">
        <v>328</v>
      </c>
      <c r="B101" t="s">
        <v>180</v>
      </c>
      <c r="C101" t="s">
        <v>38</v>
      </c>
      <c r="D101" t="s">
        <v>25</v>
      </c>
      <c r="E101" t="s">
        <v>286</v>
      </c>
      <c r="F101" t="s">
        <v>20</v>
      </c>
      <c r="G101" t="s">
        <v>329</v>
      </c>
      <c r="H101" s="13">
        <v>156750</v>
      </c>
      <c r="I101" s="13">
        <v>0</v>
      </c>
      <c r="J101">
        <v>1</v>
      </c>
      <c r="K101" t="s">
        <v>28</v>
      </c>
      <c r="L101" s="6">
        <v>40634</v>
      </c>
      <c r="M101" t="s">
        <v>330</v>
      </c>
      <c r="N101">
        <v>1</v>
      </c>
      <c r="O101" s="14" t="s">
        <v>1120</v>
      </c>
      <c r="P101">
        <v>0</v>
      </c>
      <c r="Q101" s="14" t="s">
        <v>1120</v>
      </c>
      <c r="R101" t="s">
        <v>328</v>
      </c>
    </row>
    <row r="102" spans="1:18">
      <c r="A102" t="s">
        <v>331</v>
      </c>
      <c r="B102" t="s">
        <v>16</v>
      </c>
      <c r="C102" t="s">
        <v>17</v>
      </c>
      <c r="D102" t="s">
        <v>25</v>
      </c>
      <c r="E102" t="s">
        <v>286</v>
      </c>
      <c r="F102" t="s">
        <v>20</v>
      </c>
      <c r="G102" t="s">
        <v>332</v>
      </c>
      <c r="H102" s="13">
        <v>160000</v>
      </c>
      <c r="I102" s="13">
        <v>0</v>
      </c>
      <c r="J102">
        <v>1</v>
      </c>
      <c r="K102" t="s">
        <v>22</v>
      </c>
      <c r="L102" s="6">
        <v>40634</v>
      </c>
      <c r="M102" t="s">
        <v>333</v>
      </c>
      <c r="N102">
        <v>2</v>
      </c>
      <c r="O102" s="14" t="s">
        <v>1120</v>
      </c>
      <c r="P102">
        <v>0</v>
      </c>
      <c r="Q102" s="14" t="s">
        <v>1120</v>
      </c>
      <c r="R102" t="s">
        <v>331</v>
      </c>
    </row>
    <row r="103" spans="1:18">
      <c r="A103" t="s">
        <v>334</v>
      </c>
      <c r="B103" t="s">
        <v>16</v>
      </c>
      <c r="C103" t="s">
        <v>17</v>
      </c>
      <c r="D103" t="s">
        <v>25</v>
      </c>
      <c r="E103" t="s">
        <v>286</v>
      </c>
      <c r="F103" t="s">
        <v>20</v>
      </c>
      <c r="G103" t="s">
        <v>335</v>
      </c>
      <c r="H103" s="13">
        <v>146400</v>
      </c>
      <c r="I103" s="13">
        <v>0</v>
      </c>
      <c r="J103">
        <v>1</v>
      </c>
      <c r="K103" t="s">
        <v>108</v>
      </c>
      <c r="L103" s="6">
        <v>40634</v>
      </c>
      <c r="M103" t="s">
        <v>336</v>
      </c>
      <c r="N103">
        <v>0</v>
      </c>
      <c r="O103" s="14" t="s">
        <v>1120</v>
      </c>
      <c r="P103">
        <v>0</v>
      </c>
      <c r="Q103" s="14" t="s">
        <v>1120</v>
      </c>
      <c r="R103" t="s">
        <v>334</v>
      </c>
    </row>
    <row r="104" spans="1:18">
      <c r="A104" t="s">
        <v>281</v>
      </c>
      <c r="B104" t="s">
        <v>16</v>
      </c>
      <c r="C104" t="s">
        <v>17</v>
      </c>
      <c r="D104" t="s">
        <v>18</v>
      </c>
      <c r="E104" t="s">
        <v>275</v>
      </c>
      <c r="F104" t="s">
        <v>20</v>
      </c>
      <c r="G104" t="s">
        <v>282</v>
      </c>
      <c r="H104" s="13">
        <v>244071</v>
      </c>
      <c r="I104" s="13">
        <v>48211</v>
      </c>
      <c r="J104">
        <v>1</v>
      </c>
      <c r="K104" t="s">
        <v>28</v>
      </c>
      <c r="L104" s="6">
        <v>40634</v>
      </c>
      <c r="M104" t="s">
        <v>283</v>
      </c>
      <c r="N104">
        <v>8</v>
      </c>
      <c r="O104" s="14" t="s">
        <v>1120</v>
      </c>
      <c r="P104">
        <v>0</v>
      </c>
      <c r="Q104" s="14" t="s">
        <v>1120</v>
      </c>
      <c r="R104" t="s">
        <v>281</v>
      </c>
    </row>
    <row r="105" spans="1:18">
      <c r="A105" t="s">
        <v>353</v>
      </c>
      <c r="B105" t="s">
        <v>31</v>
      </c>
      <c r="C105" t="s">
        <v>32</v>
      </c>
      <c r="D105" t="s">
        <v>25</v>
      </c>
      <c r="E105" t="s">
        <v>354</v>
      </c>
      <c r="F105" t="s">
        <v>20</v>
      </c>
      <c r="G105" t="s">
        <v>355</v>
      </c>
      <c r="H105" s="13">
        <v>160000</v>
      </c>
      <c r="I105" s="13">
        <v>0</v>
      </c>
      <c r="J105">
        <v>1</v>
      </c>
      <c r="K105" t="s">
        <v>28</v>
      </c>
      <c r="L105" s="6">
        <v>40817</v>
      </c>
      <c r="M105" t="s">
        <v>356</v>
      </c>
      <c r="N105">
        <v>3</v>
      </c>
      <c r="O105" s="14" t="s">
        <v>1120</v>
      </c>
      <c r="P105">
        <v>0</v>
      </c>
      <c r="Q105" s="14" t="s">
        <v>1120</v>
      </c>
      <c r="R105" t="s">
        <v>353</v>
      </c>
    </row>
    <row r="106" spans="1:18">
      <c r="A106" t="s">
        <v>357</v>
      </c>
      <c r="B106" t="s">
        <v>16</v>
      </c>
      <c r="C106" t="s">
        <v>17</v>
      </c>
      <c r="D106" t="s">
        <v>25</v>
      </c>
      <c r="E106" t="s">
        <v>354</v>
      </c>
      <c r="F106" t="s">
        <v>20</v>
      </c>
      <c r="G106" t="s">
        <v>358</v>
      </c>
      <c r="H106" s="13">
        <v>159927</v>
      </c>
      <c r="I106" s="13">
        <v>0</v>
      </c>
      <c r="J106">
        <v>1</v>
      </c>
      <c r="K106" t="s">
        <v>28</v>
      </c>
      <c r="L106" s="6">
        <v>40817</v>
      </c>
      <c r="M106" t="s">
        <v>359</v>
      </c>
      <c r="N106">
        <v>0</v>
      </c>
      <c r="O106" s="14" t="s">
        <v>1120</v>
      </c>
      <c r="P106">
        <v>0</v>
      </c>
      <c r="Q106" s="14" t="s">
        <v>1120</v>
      </c>
      <c r="R106" t="s">
        <v>357</v>
      </c>
    </row>
    <row r="107" spans="1:18">
      <c r="A107" t="s">
        <v>360</v>
      </c>
      <c r="B107" t="s">
        <v>139</v>
      </c>
      <c r="C107" t="s">
        <v>32</v>
      </c>
      <c r="D107" t="s">
        <v>25</v>
      </c>
      <c r="E107" t="s">
        <v>354</v>
      </c>
      <c r="F107" t="s">
        <v>20</v>
      </c>
      <c r="G107" t="s">
        <v>361</v>
      </c>
      <c r="H107" s="13">
        <v>160000</v>
      </c>
      <c r="I107" s="13">
        <v>0</v>
      </c>
      <c r="J107">
        <v>1</v>
      </c>
      <c r="K107" t="s">
        <v>28</v>
      </c>
      <c r="L107" s="6">
        <v>40817</v>
      </c>
      <c r="M107" t="s">
        <v>362</v>
      </c>
      <c r="N107">
        <v>0</v>
      </c>
      <c r="O107" s="14" t="s">
        <v>1120</v>
      </c>
      <c r="P107">
        <v>0</v>
      </c>
      <c r="Q107" s="14" t="s">
        <v>1120</v>
      </c>
      <c r="R107" t="s">
        <v>360</v>
      </c>
    </row>
    <row r="108" spans="1:18">
      <c r="A108" t="s">
        <v>294</v>
      </c>
      <c r="B108" t="s">
        <v>163</v>
      </c>
      <c r="C108" t="s">
        <v>38</v>
      </c>
      <c r="D108" t="s">
        <v>18</v>
      </c>
      <c r="E108" t="s">
        <v>348</v>
      </c>
      <c r="F108" t="s">
        <v>20</v>
      </c>
      <c r="G108" t="s">
        <v>349</v>
      </c>
      <c r="H108" s="13">
        <v>147500</v>
      </c>
      <c r="I108" s="13">
        <v>0</v>
      </c>
      <c r="J108">
        <v>1</v>
      </c>
      <c r="K108" t="s">
        <v>28</v>
      </c>
      <c r="L108" s="6">
        <v>40817</v>
      </c>
      <c r="M108" t="s">
        <v>350</v>
      </c>
      <c r="N108">
        <v>0</v>
      </c>
      <c r="O108" s="14" t="s">
        <v>1120</v>
      </c>
      <c r="P108">
        <v>0</v>
      </c>
      <c r="Q108" s="14" t="s">
        <v>1120</v>
      </c>
      <c r="R108" t="s">
        <v>294</v>
      </c>
    </row>
    <row r="109" spans="1:18">
      <c r="A109" t="s">
        <v>366</v>
      </c>
      <c r="B109" t="s">
        <v>304</v>
      </c>
      <c r="C109" t="s">
        <v>32</v>
      </c>
      <c r="D109" t="s">
        <v>25</v>
      </c>
      <c r="E109" t="s">
        <v>354</v>
      </c>
      <c r="F109" t="s">
        <v>20</v>
      </c>
      <c r="G109" t="s">
        <v>367</v>
      </c>
      <c r="H109" s="13">
        <v>95000</v>
      </c>
      <c r="I109" s="13">
        <v>65000</v>
      </c>
      <c r="J109">
        <v>1</v>
      </c>
      <c r="K109" t="s">
        <v>22</v>
      </c>
      <c r="L109" s="6">
        <v>40817</v>
      </c>
      <c r="M109" t="s">
        <v>368</v>
      </c>
      <c r="N109">
        <v>0</v>
      </c>
      <c r="O109" s="14" t="s">
        <v>1120</v>
      </c>
      <c r="P109">
        <v>0</v>
      </c>
      <c r="Q109" s="14" t="s">
        <v>1120</v>
      </c>
      <c r="R109" t="s">
        <v>366</v>
      </c>
    </row>
    <row r="110" spans="1:18">
      <c r="A110" t="s">
        <v>369</v>
      </c>
      <c r="B110" t="s">
        <v>163</v>
      </c>
      <c r="C110" t="s">
        <v>38</v>
      </c>
      <c r="D110" t="s">
        <v>25</v>
      </c>
      <c r="E110" t="s">
        <v>354</v>
      </c>
      <c r="F110" t="s">
        <v>20</v>
      </c>
      <c r="G110" t="s">
        <v>370</v>
      </c>
      <c r="H110" s="13">
        <v>116402</v>
      </c>
      <c r="I110" s="13">
        <v>0</v>
      </c>
      <c r="J110">
        <v>1</v>
      </c>
      <c r="K110" t="s">
        <v>44</v>
      </c>
      <c r="L110" s="6">
        <v>40817</v>
      </c>
      <c r="M110" t="s">
        <v>371</v>
      </c>
      <c r="N110">
        <v>1</v>
      </c>
      <c r="O110" s="14" t="s">
        <v>1120</v>
      </c>
      <c r="P110">
        <v>0</v>
      </c>
      <c r="Q110" s="14" t="s">
        <v>1120</v>
      </c>
      <c r="R110" t="s">
        <v>369</v>
      </c>
    </row>
    <row r="111" spans="1:18">
      <c r="A111" t="s">
        <v>337</v>
      </c>
      <c r="B111" t="s">
        <v>16</v>
      </c>
      <c r="C111" t="s">
        <v>17</v>
      </c>
      <c r="D111" t="s">
        <v>94</v>
      </c>
      <c r="E111" t="s">
        <v>338</v>
      </c>
      <c r="F111" t="s">
        <v>20</v>
      </c>
      <c r="G111" t="s">
        <v>339</v>
      </c>
      <c r="H111" s="13">
        <v>160000</v>
      </c>
      <c r="I111" s="13">
        <v>0</v>
      </c>
      <c r="J111">
        <v>1</v>
      </c>
      <c r="K111" t="s">
        <v>44</v>
      </c>
      <c r="L111" s="6">
        <v>40817</v>
      </c>
      <c r="M111" t="s">
        <v>340</v>
      </c>
      <c r="N111">
        <v>1</v>
      </c>
      <c r="O111" s="14" t="s">
        <v>1120</v>
      </c>
      <c r="P111">
        <v>0</v>
      </c>
      <c r="Q111" s="14" t="s">
        <v>1120</v>
      </c>
      <c r="R111" t="s">
        <v>337</v>
      </c>
    </row>
    <row r="112" spans="1:18">
      <c r="A112" t="s">
        <v>372</v>
      </c>
      <c r="B112" t="s">
        <v>373</v>
      </c>
      <c r="C112" t="s">
        <v>38</v>
      </c>
      <c r="D112" t="s">
        <v>25</v>
      </c>
      <c r="E112" t="s">
        <v>354</v>
      </c>
      <c r="F112" t="s">
        <v>20</v>
      </c>
      <c r="G112" t="s">
        <v>374</v>
      </c>
      <c r="H112" s="13">
        <v>146850</v>
      </c>
      <c r="I112" s="13">
        <v>0</v>
      </c>
      <c r="J112">
        <v>1</v>
      </c>
      <c r="K112" t="s">
        <v>44</v>
      </c>
      <c r="L112" s="6">
        <v>40817</v>
      </c>
      <c r="M112" t="s">
        <v>375</v>
      </c>
      <c r="N112">
        <v>2</v>
      </c>
      <c r="O112" s="14" t="s">
        <v>1120</v>
      </c>
      <c r="P112">
        <v>0</v>
      </c>
      <c r="Q112" s="14" t="s">
        <v>1120</v>
      </c>
      <c r="R112" t="s">
        <v>372</v>
      </c>
    </row>
    <row r="113" spans="1:18">
      <c r="A113" t="s">
        <v>376</v>
      </c>
      <c r="B113" t="s">
        <v>31</v>
      </c>
      <c r="C113" t="s">
        <v>32</v>
      </c>
      <c r="D113" t="s">
        <v>25</v>
      </c>
      <c r="E113" t="s">
        <v>354</v>
      </c>
      <c r="F113" t="s">
        <v>20</v>
      </c>
      <c r="G113" t="s">
        <v>377</v>
      </c>
      <c r="H113" s="13">
        <v>160000</v>
      </c>
      <c r="I113" s="13">
        <v>0</v>
      </c>
      <c r="J113">
        <v>1</v>
      </c>
      <c r="K113" t="s">
        <v>28</v>
      </c>
      <c r="L113" s="6">
        <v>40817</v>
      </c>
      <c r="M113" t="s">
        <v>378</v>
      </c>
      <c r="N113">
        <v>1</v>
      </c>
      <c r="O113" s="14" t="s">
        <v>1120</v>
      </c>
      <c r="P113">
        <v>0</v>
      </c>
      <c r="Q113" s="14" t="s">
        <v>1120</v>
      </c>
      <c r="R113" t="s">
        <v>376</v>
      </c>
    </row>
    <row r="114" spans="1:18">
      <c r="A114" t="s">
        <v>379</v>
      </c>
      <c r="B114" t="s">
        <v>265</v>
      </c>
      <c r="C114" t="s">
        <v>32</v>
      </c>
      <c r="D114" t="s">
        <v>25</v>
      </c>
      <c r="E114" t="s">
        <v>354</v>
      </c>
      <c r="F114" t="s">
        <v>20</v>
      </c>
      <c r="G114" t="s">
        <v>380</v>
      </c>
      <c r="H114" s="13">
        <v>157925</v>
      </c>
      <c r="I114" s="13">
        <v>0</v>
      </c>
      <c r="J114">
        <v>1</v>
      </c>
      <c r="K114" t="s">
        <v>40</v>
      </c>
      <c r="L114" s="6">
        <v>40817</v>
      </c>
      <c r="M114" t="s">
        <v>381</v>
      </c>
      <c r="N114">
        <v>4</v>
      </c>
      <c r="O114" s="14" t="s">
        <v>1120</v>
      </c>
      <c r="P114">
        <v>0</v>
      </c>
      <c r="Q114" s="14" t="s">
        <v>1120</v>
      </c>
      <c r="R114" t="s">
        <v>379</v>
      </c>
    </row>
    <row r="115" spans="1:18">
      <c r="A115" t="s">
        <v>341</v>
      </c>
      <c r="B115" t="s">
        <v>342</v>
      </c>
      <c r="C115" t="s">
        <v>38</v>
      </c>
      <c r="D115" t="s">
        <v>94</v>
      </c>
      <c r="E115" t="s">
        <v>338</v>
      </c>
      <c r="F115" t="s">
        <v>20</v>
      </c>
      <c r="G115" t="s">
        <v>343</v>
      </c>
      <c r="H115" s="13">
        <v>160000</v>
      </c>
      <c r="I115" s="13">
        <v>0</v>
      </c>
      <c r="J115">
        <v>1</v>
      </c>
      <c r="K115" t="s">
        <v>40</v>
      </c>
      <c r="L115" s="6">
        <v>40817</v>
      </c>
      <c r="M115" t="s">
        <v>344</v>
      </c>
      <c r="N115">
        <v>1</v>
      </c>
      <c r="O115" s="14" t="s">
        <v>1120</v>
      </c>
      <c r="P115">
        <v>0</v>
      </c>
      <c r="Q115" s="14" t="s">
        <v>1120</v>
      </c>
      <c r="R115" t="s">
        <v>341</v>
      </c>
    </row>
    <row r="116" spans="1:18">
      <c r="A116" t="s">
        <v>345</v>
      </c>
      <c r="B116" t="s">
        <v>99</v>
      </c>
      <c r="C116" t="s">
        <v>66</v>
      </c>
      <c r="D116" t="s">
        <v>94</v>
      </c>
      <c r="E116" t="s">
        <v>338</v>
      </c>
      <c r="F116" t="s">
        <v>20</v>
      </c>
      <c r="G116" t="s">
        <v>346</v>
      </c>
      <c r="H116" s="13">
        <v>159196</v>
      </c>
      <c r="I116" s="13">
        <v>0</v>
      </c>
      <c r="J116">
        <v>1</v>
      </c>
      <c r="K116" t="s">
        <v>44</v>
      </c>
      <c r="L116" s="6">
        <v>40817</v>
      </c>
      <c r="M116" t="s">
        <v>347</v>
      </c>
      <c r="N116">
        <v>1</v>
      </c>
      <c r="O116" s="14" t="s">
        <v>1120</v>
      </c>
      <c r="P116">
        <v>0</v>
      </c>
      <c r="Q116" s="14" t="s">
        <v>1120</v>
      </c>
      <c r="R116" t="s">
        <v>345</v>
      </c>
    </row>
    <row r="117" spans="1:18">
      <c r="A117" t="s">
        <v>382</v>
      </c>
      <c r="B117" t="s">
        <v>37</v>
      </c>
      <c r="C117" t="s">
        <v>38</v>
      </c>
      <c r="D117" t="s">
        <v>25</v>
      </c>
      <c r="E117" t="s">
        <v>354</v>
      </c>
      <c r="F117" t="s">
        <v>20</v>
      </c>
      <c r="G117" t="s">
        <v>383</v>
      </c>
      <c r="H117" s="13">
        <v>85712</v>
      </c>
      <c r="I117" s="13">
        <v>74288</v>
      </c>
      <c r="J117">
        <v>1</v>
      </c>
      <c r="K117" t="s">
        <v>28</v>
      </c>
      <c r="L117" s="6">
        <v>40817</v>
      </c>
      <c r="M117" t="s">
        <v>384</v>
      </c>
      <c r="N117">
        <v>0</v>
      </c>
      <c r="O117" s="14" t="s">
        <v>1120</v>
      </c>
      <c r="P117">
        <v>0</v>
      </c>
      <c r="Q117" s="14" t="s">
        <v>1120</v>
      </c>
      <c r="R117" t="s">
        <v>382</v>
      </c>
    </row>
    <row r="118" spans="1:18">
      <c r="A118" t="s">
        <v>389</v>
      </c>
      <c r="B118" t="s">
        <v>16</v>
      </c>
      <c r="C118" t="s">
        <v>17</v>
      </c>
      <c r="D118" t="s">
        <v>25</v>
      </c>
      <c r="E118" t="s">
        <v>390</v>
      </c>
      <c r="F118" t="s">
        <v>20</v>
      </c>
      <c r="G118" t="s">
        <v>391</v>
      </c>
      <c r="H118" s="13">
        <v>157412</v>
      </c>
      <c r="I118" s="13">
        <v>0</v>
      </c>
      <c r="J118">
        <v>1</v>
      </c>
      <c r="K118" t="s">
        <v>28</v>
      </c>
      <c r="L118" s="6">
        <v>41000</v>
      </c>
      <c r="M118" t="s">
        <v>392</v>
      </c>
      <c r="N118">
        <v>0</v>
      </c>
      <c r="O118" s="14" t="s">
        <v>1120</v>
      </c>
      <c r="P118">
        <v>0</v>
      </c>
      <c r="Q118" s="14" t="s">
        <v>1120</v>
      </c>
      <c r="R118" t="s">
        <v>389</v>
      </c>
    </row>
    <row r="119" spans="1:18">
      <c r="A119" t="s">
        <v>385</v>
      </c>
      <c r="B119" t="s">
        <v>31</v>
      </c>
      <c r="C119" t="s">
        <v>32</v>
      </c>
      <c r="D119" t="s">
        <v>18</v>
      </c>
      <c r="E119" t="s">
        <v>386</v>
      </c>
      <c r="F119" t="s">
        <v>20</v>
      </c>
      <c r="G119" t="s">
        <v>387</v>
      </c>
      <c r="H119" s="13">
        <v>300000</v>
      </c>
      <c r="I119" s="13">
        <v>0</v>
      </c>
      <c r="J119">
        <v>1</v>
      </c>
      <c r="K119" t="s">
        <v>28</v>
      </c>
      <c r="L119" s="6">
        <v>41000</v>
      </c>
      <c r="M119" t="s">
        <v>388</v>
      </c>
      <c r="N119">
        <v>4</v>
      </c>
      <c r="O119" s="14" t="s">
        <v>1120</v>
      </c>
      <c r="P119">
        <v>0</v>
      </c>
      <c r="Q119" s="14" t="s">
        <v>1120</v>
      </c>
      <c r="R119" t="s">
        <v>385</v>
      </c>
    </row>
    <row r="120" spans="1:18">
      <c r="A120" t="s">
        <v>393</v>
      </c>
      <c r="B120" t="s">
        <v>16</v>
      </c>
      <c r="C120" t="s">
        <v>17</v>
      </c>
      <c r="D120" t="s">
        <v>25</v>
      </c>
      <c r="E120" t="s">
        <v>390</v>
      </c>
      <c r="F120" t="s">
        <v>20</v>
      </c>
      <c r="G120" t="s">
        <v>394</v>
      </c>
      <c r="H120" s="13">
        <v>160000</v>
      </c>
      <c r="I120" s="13">
        <v>0</v>
      </c>
      <c r="J120">
        <v>1</v>
      </c>
      <c r="K120" t="s">
        <v>44</v>
      </c>
      <c r="L120" s="6">
        <v>41000</v>
      </c>
      <c r="M120" t="s">
        <v>395</v>
      </c>
      <c r="N120">
        <v>1</v>
      </c>
      <c r="O120" s="14" t="s">
        <v>1120</v>
      </c>
      <c r="P120">
        <v>0</v>
      </c>
      <c r="Q120" s="14" t="s">
        <v>1120</v>
      </c>
      <c r="R120" t="s">
        <v>393</v>
      </c>
    </row>
    <row r="121" spans="1:18">
      <c r="A121" t="s">
        <v>396</v>
      </c>
      <c r="B121" t="s">
        <v>16</v>
      </c>
      <c r="C121" t="s">
        <v>17</v>
      </c>
      <c r="D121" t="s">
        <v>25</v>
      </c>
      <c r="E121" t="s">
        <v>390</v>
      </c>
      <c r="F121" t="s">
        <v>20</v>
      </c>
      <c r="G121" t="s">
        <v>397</v>
      </c>
      <c r="H121" s="13">
        <v>150932</v>
      </c>
      <c r="I121" s="13">
        <v>0</v>
      </c>
      <c r="J121">
        <v>1</v>
      </c>
      <c r="K121" t="s">
        <v>108</v>
      </c>
      <c r="L121" s="6">
        <v>41000</v>
      </c>
      <c r="M121" t="s">
        <v>398</v>
      </c>
      <c r="N121">
        <v>3</v>
      </c>
      <c r="O121" s="14" t="s">
        <v>1120</v>
      </c>
      <c r="P121">
        <v>0</v>
      </c>
      <c r="Q121" s="14" t="s">
        <v>1120</v>
      </c>
      <c r="R121" t="s">
        <v>396</v>
      </c>
    </row>
    <row r="122" spans="1:18">
      <c r="A122" t="s">
        <v>399</v>
      </c>
      <c r="B122" t="s">
        <v>304</v>
      </c>
      <c r="C122" t="s">
        <v>32</v>
      </c>
      <c r="D122" t="s">
        <v>25</v>
      </c>
      <c r="E122" t="s">
        <v>390</v>
      </c>
      <c r="F122" t="s">
        <v>20</v>
      </c>
      <c r="G122" t="s">
        <v>400</v>
      </c>
      <c r="H122" s="13">
        <v>149418</v>
      </c>
      <c r="I122" s="13">
        <v>0</v>
      </c>
      <c r="J122">
        <v>1</v>
      </c>
      <c r="K122" t="s">
        <v>28</v>
      </c>
      <c r="L122" s="6">
        <v>41000</v>
      </c>
      <c r="M122" t="s">
        <v>401</v>
      </c>
      <c r="N122">
        <v>0</v>
      </c>
      <c r="O122" s="14" t="s">
        <v>1120</v>
      </c>
      <c r="P122">
        <v>0</v>
      </c>
      <c r="Q122" s="14" t="s">
        <v>1120</v>
      </c>
      <c r="R122" t="s">
        <v>399</v>
      </c>
    </row>
    <row r="123" spans="1:18">
      <c r="A123" t="s">
        <v>402</v>
      </c>
      <c r="B123" t="s">
        <v>139</v>
      </c>
      <c r="C123" t="s">
        <v>32</v>
      </c>
      <c r="D123" t="s">
        <v>25</v>
      </c>
      <c r="E123" t="s">
        <v>390</v>
      </c>
      <c r="F123" t="s">
        <v>20</v>
      </c>
      <c r="G123" t="s">
        <v>403</v>
      </c>
      <c r="H123" s="13">
        <v>160000</v>
      </c>
      <c r="I123" s="13">
        <v>0</v>
      </c>
      <c r="J123">
        <v>1</v>
      </c>
      <c r="K123" t="s">
        <v>44</v>
      </c>
      <c r="L123" s="6">
        <v>41000</v>
      </c>
      <c r="M123" t="s">
        <v>404</v>
      </c>
      <c r="N123">
        <v>2</v>
      </c>
      <c r="O123" s="14" t="s">
        <v>1120</v>
      </c>
      <c r="P123">
        <v>0</v>
      </c>
      <c r="Q123" s="14" t="s">
        <v>1120</v>
      </c>
      <c r="R123" t="s">
        <v>402</v>
      </c>
    </row>
    <row r="124" spans="1:18">
      <c r="A124" t="s">
        <v>405</v>
      </c>
      <c r="B124" t="s">
        <v>373</v>
      </c>
      <c r="C124" t="s">
        <v>38</v>
      </c>
      <c r="D124" t="s">
        <v>25</v>
      </c>
      <c r="E124" t="s">
        <v>390</v>
      </c>
      <c r="F124" t="s">
        <v>20</v>
      </c>
      <c r="G124" t="s">
        <v>406</v>
      </c>
      <c r="H124" s="13">
        <v>160000</v>
      </c>
      <c r="I124" s="13">
        <v>0</v>
      </c>
      <c r="J124">
        <v>1</v>
      </c>
      <c r="K124" t="s">
        <v>28</v>
      </c>
      <c r="L124" s="6">
        <v>41000</v>
      </c>
      <c r="M124" t="s">
        <v>407</v>
      </c>
      <c r="N124">
        <v>0</v>
      </c>
      <c r="O124" s="14" t="s">
        <v>1120</v>
      </c>
      <c r="P124">
        <v>0</v>
      </c>
      <c r="Q124" s="14" t="s">
        <v>1120</v>
      </c>
      <c r="R124" t="s">
        <v>405</v>
      </c>
    </row>
    <row r="125" spans="1:18">
      <c r="A125" t="s">
        <v>46</v>
      </c>
      <c r="B125" t="s">
        <v>37</v>
      </c>
      <c r="C125" t="s">
        <v>38</v>
      </c>
      <c r="D125" t="s">
        <v>25</v>
      </c>
      <c r="E125" t="s">
        <v>390</v>
      </c>
      <c r="F125" t="s">
        <v>20</v>
      </c>
      <c r="G125" t="s">
        <v>408</v>
      </c>
      <c r="H125" s="13">
        <v>160000</v>
      </c>
      <c r="I125" s="13">
        <v>0</v>
      </c>
      <c r="J125">
        <v>1</v>
      </c>
      <c r="K125" t="s">
        <v>28</v>
      </c>
      <c r="L125" s="6">
        <v>41000</v>
      </c>
      <c r="M125" t="s">
        <v>409</v>
      </c>
      <c r="N125">
        <v>1</v>
      </c>
      <c r="O125" s="14" t="s">
        <v>1120</v>
      </c>
      <c r="P125">
        <v>0</v>
      </c>
      <c r="Q125" s="14" t="s">
        <v>1120</v>
      </c>
      <c r="R125" t="s">
        <v>46</v>
      </c>
    </row>
    <row r="126" spans="1:18">
      <c r="A126" t="s">
        <v>410</v>
      </c>
      <c r="B126" t="s">
        <v>31</v>
      </c>
      <c r="C126" t="s">
        <v>32</v>
      </c>
      <c r="D126" t="s">
        <v>25</v>
      </c>
      <c r="E126" t="s">
        <v>390</v>
      </c>
      <c r="F126" t="s">
        <v>20</v>
      </c>
      <c r="G126" t="s">
        <v>411</v>
      </c>
      <c r="H126" s="13">
        <v>150525</v>
      </c>
      <c r="I126" s="13">
        <v>0</v>
      </c>
      <c r="J126">
        <v>1</v>
      </c>
      <c r="K126" t="s">
        <v>34</v>
      </c>
      <c r="L126" s="6">
        <v>41000</v>
      </c>
      <c r="M126" t="s">
        <v>412</v>
      </c>
      <c r="N126">
        <v>1</v>
      </c>
      <c r="O126" s="14" t="s">
        <v>1120</v>
      </c>
      <c r="P126">
        <v>0</v>
      </c>
      <c r="Q126" s="14" t="s">
        <v>1120</v>
      </c>
      <c r="R126" t="s">
        <v>410</v>
      </c>
    </row>
    <row r="127" spans="1:18">
      <c r="A127" t="s">
        <v>175</v>
      </c>
      <c r="B127" t="s">
        <v>176</v>
      </c>
      <c r="C127" t="s">
        <v>38</v>
      </c>
      <c r="D127" t="s">
        <v>25</v>
      </c>
      <c r="E127" t="s">
        <v>390</v>
      </c>
      <c r="F127" t="s">
        <v>20</v>
      </c>
      <c r="G127" t="s">
        <v>413</v>
      </c>
      <c r="H127" s="13">
        <v>150000</v>
      </c>
      <c r="I127" s="13">
        <v>0</v>
      </c>
      <c r="J127">
        <v>1</v>
      </c>
      <c r="K127" t="s">
        <v>44</v>
      </c>
      <c r="L127" s="6">
        <v>41000</v>
      </c>
      <c r="M127" t="s">
        <v>414</v>
      </c>
      <c r="N127">
        <v>2</v>
      </c>
      <c r="O127" s="14" t="s">
        <v>1120</v>
      </c>
      <c r="P127">
        <v>0</v>
      </c>
      <c r="Q127" s="14" t="s">
        <v>1120</v>
      </c>
      <c r="R127" t="s">
        <v>175</v>
      </c>
    </row>
    <row r="128" spans="1:18">
      <c r="A128" t="s">
        <v>415</v>
      </c>
      <c r="B128" t="s">
        <v>236</v>
      </c>
      <c r="C128" t="s">
        <v>38</v>
      </c>
      <c r="D128" t="s">
        <v>25</v>
      </c>
      <c r="E128" t="s">
        <v>390</v>
      </c>
      <c r="F128" t="s">
        <v>20</v>
      </c>
      <c r="G128" t="s">
        <v>416</v>
      </c>
      <c r="H128" s="13">
        <v>157606</v>
      </c>
      <c r="I128" s="13">
        <v>0</v>
      </c>
      <c r="J128">
        <v>1</v>
      </c>
      <c r="K128" t="s">
        <v>44</v>
      </c>
      <c r="L128" s="6">
        <v>41000</v>
      </c>
      <c r="M128" t="s">
        <v>417</v>
      </c>
      <c r="N128">
        <v>2</v>
      </c>
      <c r="O128" s="14" t="s">
        <v>1120</v>
      </c>
      <c r="P128">
        <v>0</v>
      </c>
      <c r="Q128" s="14" t="s">
        <v>1120</v>
      </c>
      <c r="R128" t="s">
        <v>415</v>
      </c>
    </row>
    <row r="129" spans="1:18">
      <c r="A129" t="s">
        <v>421</v>
      </c>
      <c r="B129" t="s">
        <v>304</v>
      </c>
      <c r="C129" t="s">
        <v>32</v>
      </c>
      <c r="D129" t="s">
        <v>25</v>
      </c>
      <c r="E129" t="s">
        <v>390</v>
      </c>
      <c r="F129" t="s">
        <v>20</v>
      </c>
      <c r="G129" t="s">
        <v>422</v>
      </c>
      <c r="H129" s="13">
        <v>143827</v>
      </c>
      <c r="I129" s="13">
        <v>0</v>
      </c>
      <c r="J129">
        <v>1</v>
      </c>
      <c r="K129" t="s">
        <v>22</v>
      </c>
      <c r="L129" s="6">
        <v>41000</v>
      </c>
      <c r="M129" t="s">
        <v>423</v>
      </c>
      <c r="N129">
        <v>2</v>
      </c>
      <c r="O129" s="14" t="s">
        <v>1120</v>
      </c>
      <c r="P129">
        <v>0</v>
      </c>
      <c r="Q129" s="14" t="s">
        <v>1120</v>
      </c>
      <c r="R129" t="s">
        <v>421</v>
      </c>
    </row>
    <row r="130" spans="1:18">
      <c r="A130" t="s">
        <v>432</v>
      </c>
      <c r="B130" t="s">
        <v>99</v>
      </c>
      <c r="C130" t="s">
        <v>66</v>
      </c>
      <c r="D130" t="s">
        <v>25</v>
      </c>
      <c r="E130" t="s">
        <v>433</v>
      </c>
      <c r="F130" t="s">
        <v>20</v>
      </c>
      <c r="G130" t="s">
        <v>434</v>
      </c>
      <c r="H130" s="13">
        <v>159990</v>
      </c>
      <c r="I130" s="13">
        <v>0</v>
      </c>
      <c r="J130">
        <v>1</v>
      </c>
      <c r="K130" t="s">
        <v>22</v>
      </c>
      <c r="L130" s="6">
        <v>41183</v>
      </c>
      <c r="M130" t="s">
        <v>435</v>
      </c>
      <c r="N130">
        <v>2</v>
      </c>
      <c r="O130" s="14" t="s">
        <v>1120</v>
      </c>
      <c r="P130">
        <v>0</v>
      </c>
      <c r="Q130" s="14" t="s">
        <v>1120</v>
      </c>
      <c r="R130" t="s">
        <v>432</v>
      </c>
    </row>
    <row r="131" spans="1:18">
      <c r="A131" t="s">
        <v>439</v>
      </c>
      <c r="B131" t="s">
        <v>31</v>
      </c>
      <c r="C131" t="s">
        <v>32</v>
      </c>
      <c r="D131" t="s">
        <v>25</v>
      </c>
      <c r="E131" t="s">
        <v>433</v>
      </c>
      <c r="F131" t="s">
        <v>20</v>
      </c>
      <c r="G131" t="s">
        <v>440</v>
      </c>
      <c r="H131" s="13">
        <v>160000</v>
      </c>
      <c r="I131" s="13">
        <v>0</v>
      </c>
      <c r="J131">
        <v>1</v>
      </c>
      <c r="K131" t="s">
        <v>44</v>
      </c>
      <c r="L131" s="6">
        <v>41183</v>
      </c>
      <c r="M131" t="s">
        <v>441</v>
      </c>
      <c r="N131">
        <v>0</v>
      </c>
      <c r="O131" s="14" t="s">
        <v>1120</v>
      </c>
      <c r="P131">
        <v>0</v>
      </c>
      <c r="Q131" s="14" t="s">
        <v>1120</v>
      </c>
      <c r="R131" t="s">
        <v>439</v>
      </c>
    </row>
    <row r="132" spans="1:18">
      <c r="A132" t="s">
        <v>442</v>
      </c>
      <c r="B132" t="s">
        <v>16</v>
      </c>
      <c r="C132" t="s">
        <v>17</v>
      </c>
      <c r="D132" t="s">
        <v>25</v>
      </c>
      <c r="E132" t="s">
        <v>433</v>
      </c>
      <c r="F132" t="s">
        <v>20</v>
      </c>
      <c r="G132" t="s">
        <v>443</v>
      </c>
      <c r="H132" s="13">
        <v>154120</v>
      </c>
      <c r="I132" s="13">
        <v>0</v>
      </c>
      <c r="J132">
        <v>1</v>
      </c>
      <c r="K132" t="s">
        <v>22</v>
      </c>
      <c r="L132" s="6">
        <v>41183</v>
      </c>
      <c r="M132" t="s">
        <v>444</v>
      </c>
      <c r="N132">
        <v>11</v>
      </c>
      <c r="O132" s="14" t="s">
        <v>1120</v>
      </c>
      <c r="P132">
        <v>0</v>
      </c>
      <c r="Q132" s="14" t="s">
        <v>1120</v>
      </c>
      <c r="R132" t="s">
        <v>442</v>
      </c>
    </row>
    <row r="133" spans="1:18">
      <c r="A133" t="s">
        <v>426</v>
      </c>
      <c r="B133" t="s">
        <v>180</v>
      </c>
      <c r="C133" t="s">
        <v>38</v>
      </c>
      <c r="D133" t="s">
        <v>18</v>
      </c>
      <c r="E133" t="s">
        <v>427</v>
      </c>
      <c r="F133" t="s">
        <v>20</v>
      </c>
      <c r="G133" t="s">
        <v>428</v>
      </c>
      <c r="H133" s="13">
        <v>184100</v>
      </c>
      <c r="I133" s="13">
        <v>10600</v>
      </c>
      <c r="J133">
        <v>1</v>
      </c>
      <c r="K133" t="s">
        <v>34</v>
      </c>
      <c r="L133" s="6">
        <v>41183</v>
      </c>
      <c r="M133" t="s">
        <v>429</v>
      </c>
      <c r="N133">
        <v>0</v>
      </c>
      <c r="O133" s="14" t="s">
        <v>1120</v>
      </c>
      <c r="P133">
        <v>0</v>
      </c>
      <c r="Q133" s="14" t="s">
        <v>1120</v>
      </c>
      <c r="R133" t="s">
        <v>426</v>
      </c>
    </row>
    <row r="134" spans="1:18">
      <c r="A134" t="s">
        <v>445</v>
      </c>
      <c r="B134" t="s">
        <v>16</v>
      </c>
      <c r="C134" t="s">
        <v>17</v>
      </c>
      <c r="D134" t="s">
        <v>25</v>
      </c>
      <c r="E134" t="s">
        <v>433</v>
      </c>
      <c r="F134" t="s">
        <v>20</v>
      </c>
      <c r="G134" t="s">
        <v>446</v>
      </c>
      <c r="H134" s="13">
        <v>160000</v>
      </c>
      <c r="I134" s="13">
        <v>0</v>
      </c>
      <c r="J134">
        <v>1</v>
      </c>
      <c r="K134" t="s">
        <v>40</v>
      </c>
      <c r="L134" s="6">
        <v>41183</v>
      </c>
      <c r="M134" t="s">
        <v>447</v>
      </c>
      <c r="N134">
        <v>2</v>
      </c>
      <c r="O134" s="14" t="s">
        <v>1120</v>
      </c>
      <c r="P134">
        <v>0</v>
      </c>
      <c r="Q134" s="14" t="s">
        <v>1120</v>
      </c>
      <c r="R134" t="s">
        <v>445</v>
      </c>
    </row>
    <row r="135" spans="1:18">
      <c r="A135" t="s">
        <v>448</v>
      </c>
      <c r="B135" t="s">
        <v>315</v>
      </c>
      <c r="C135" t="s">
        <v>32</v>
      </c>
      <c r="D135" t="s">
        <v>25</v>
      </c>
      <c r="E135" t="s">
        <v>433</v>
      </c>
      <c r="F135" t="s">
        <v>20</v>
      </c>
      <c r="G135" t="s">
        <v>449</v>
      </c>
      <c r="H135" s="13">
        <v>145412</v>
      </c>
      <c r="I135" s="13">
        <v>13349</v>
      </c>
      <c r="J135">
        <v>1</v>
      </c>
      <c r="K135" t="s">
        <v>48</v>
      </c>
      <c r="L135" s="6">
        <v>41183</v>
      </c>
      <c r="M135" t="s">
        <v>450</v>
      </c>
      <c r="N135">
        <v>0</v>
      </c>
      <c r="O135" s="14" t="s">
        <v>1120</v>
      </c>
      <c r="P135">
        <v>0</v>
      </c>
      <c r="Q135" s="14" t="s">
        <v>1120</v>
      </c>
      <c r="R135" t="s">
        <v>448</v>
      </c>
    </row>
    <row r="136" spans="1:18">
      <c r="A136" t="s">
        <v>451</v>
      </c>
      <c r="B136" t="s">
        <v>452</v>
      </c>
      <c r="C136" t="s">
        <v>38</v>
      </c>
      <c r="D136" t="s">
        <v>25</v>
      </c>
      <c r="E136" t="s">
        <v>433</v>
      </c>
      <c r="F136" t="s">
        <v>20</v>
      </c>
      <c r="G136" t="s">
        <v>453</v>
      </c>
      <c r="H136" s="13">
        <v>160000</v>
      </c>
      <c r="I136" s="13">
        <v>0</v>
      </c>
      <c r="J136">
        <v>1</v>
      </c>
      <c r="K136" t="s">
        <v>28</v>
      </c>
      <c r="L136" s="6">
        <v>41183</v>
      </c>
      <c r="M136" t="s">
        <v>454</v>
      </c>
      <c r="N136">
        <v>2</v>
      </c>
      <c r="O136" s="14" t="s">
        <v>1120</v>
      </c>
      <c r="P136">
        <v>0</v>
      </c>
      <c r="Q136" s="14" t="s">
        <v>1120</v>
      </c>
      <c r="R136" t="s">
        <v>451</v>
      </c>
    </row>
    <row r="137" spans="1:18">
      <c r="A137" t="s">
        <v>186</v>
      </c>
      <c r="B137" t="s">
        <v>139</v>
      </c>
      <c r="C137" t="s">
        <v>32</v>
      </c>
      <c r="D137" t="s">
        <v>25</v>
      </c>
      <c r="E137" t="s">
        <v>433</v>
      </c>
      <c r="F137" t="s">
        <v>20</v>
      </c>
      <c r="G137" t="s">
        <v>455</v>
      </c>
      <c r="H137" s="13">
        <v>157880</v>
      </c>
      <c r="I137" s="13">
        <v>0</v>
      </c>
      <c r="J137">
        <v>1</v>
      </c>
      <c r="K137" t="s">
        <v>28</v>
      </c>
      <c r="L137" s="6">
        <v>41183</v>
      </c>
      <c r="M137" t="s">
        <v>456</v>
      </c>
      <c r="N137">
        <v>1</v>
      </c>
      <c r="O137" s="14" t="s">
        <v>1120</v>
      </c>
      <c r="P137">
        <v>0</v>
      </c>
      <c r="Q137" s="14" t="s">
        <v>1120</v>
      </c>
      <c r="R137" t="s">
        <v>186</v>
      </c>
    </row>
    <row r="138" spans="1:18">
      <c r="A138" t="s">
        <v>457</v>
      </c>
      <c r="B138" t="s">
        <v>458</v>
      </c>
      <c r="C138" t="s">
        <v>38</v>
      </c>
      <c r="D138" t="s">
        <v>25</v>
      </c>
      <c r="E138" t="s">
        <v>433</v>
      </c>
      <c r="F138" t="s">
        <v>20</v>
      </c>
      <c r="G138" t="s">
        <v>459</v>
      </c>
      <c r="H138" s="13">
        <v>156060</v>
      </c>
      <c r="I138" s="13">
        <v>0</v>
      </c>
      <c r="J138">
        <v>1</v>
      </c>
      <c r="K138" t="s">
        <v>460</v>
      </c>
      <c r="L138" s="6">
        <v>41183</v>
      </c>
      <c r="M138" t="s">
        <v>461</v>
      </c>
      <c r="N138">
        <v>1</v>
      </c>
      <c r="O138" s="14" t="s">
        <v>1120</v>
      </c>
      <c r="P138">
        <v>0</v>
      </c>
      <c r="Q138" s="14" t="s">
        <v>1120</v>
      </c>
      <c r="R138" t="s">
        <v>457</v>
      </c>
    </row>
    <row r="139" spans="1:18">
      <c r="A139" t="s">
        <v>462</v>
      </c>
      <c r="B139" t="s">
        <v>304</v>
      </c>
      <c r="C139" t="s">
        <v>32</v>
      </c>
      <c r="D139" t="s">
        <v>25</v>
      </c>
      <c r="E139" t="s">
        <v>433</v>
      </c>
      <c r="F139" t="s">
        <v>20</v>
      </c>
      <c r="G139" t="s">
        <v>463</v>
      </c>
      <c r="H139" s="13">
        <v>159149</v>
      </c>
      <c r="I139" s="13">
        <v>0</v>
      </c>
      <c r="J139">
        <v>1</v>
      </c>
      <c r="K139" t="s">
        <v>28</v>
      </c>
      <c r="L139" s="6">
        <v>41183</v>
      </c>
      <c r="M139" t="s">
        <v>464</v>
      </c>
      <c r="N139">
        <v>0</v>
      </c>
      <c r="O139" s="14" t="s">
        <v>1120</v>
      </c>
      <c r="P139">
        <v>0</v>
      </c>
      <c r="Q139" s="14" t="s">
        <v>1120</v>
      </c>
      <c r="R139" t="s">
        <v>462</v>
      </c>
    </row>
    <row r="140" spans="1:18">
      <c r="A140" t="s">
        <v>467</v>
      </c>
      <c r="B140" t="s">
        <v>31</v>
      </c>
      <c r="C140" t="s">
        <v>32</v>
      </c>
      <c r="D140" t="s">
        <v>25</v>
      </c>
      <c r="E140" t="s">
        <v>433</v>
      </c>
      <c r="F140" t="s">
        <v>20</v>
      </c>
      <c r="G140" t="s">
        <v>468</v>
      </c>
      <c r="H140" s="13">
        <v>160000</v>
      </c>
      <c r="I140" s="13">
        <v>0</v>
      </c>
      <c r="J140">
        <v>1</v>
      </c>
      <c r="K140" t="s">
        <v>48</v>
      </c>
      <c r="L140" s="6">
        <v>41183</v>
      </c>
      <c r="M140" t="s">
        <v>469</v>
      </c>
      <c r="N140">
        <v>0</v>
      </c>
      <c r="O140" s="14" t="s">
        <v>1120</v>
      </c>
      <c r="P140">
        <v>0</v>
      </c>
      <c r="Q140" s="14" t="s">
        <v>1120</v>
      </c>
      <c r="R140" t="s">
        <v>467</v>
      </c>
    </row>
    <row r="141" spans="1:18">
      <c r="A141" t="s">
        <v>470</v>
      </c>
      <c r="B141" t="s">
        <v>304</v>
      </c>
      <c r="C141" t="s">
        <v>32</v>
      </c>
      <c r="D141" t="s">
        <v>25</v>
      </c>
      <c r="E141" t="s">
        <v>433</v>
      </c>
      <c r="F141" t="s">
        <v>20</v>
      </c>
      <c r="G141" t="s">
        <v>471</v>
      </c>
      <c r="H141" s="13">
        <v>159252</v>
      </c>
      <c r="I141" s="13">
        <v>0</v>
      </c>
      <c r="J141">
        <v>1</v>
      </c>
      <c r="K141" t="s">
        <v>34</v>
      </c>
      <c r="L141" s="6">
        <v>41183</v>
      </c>
      <c r="M141" t="s">
        <v>472</v>
      </c>
      <c r="N141">
        <v>0</v>
      </c>
      <c r="O141" s="14" t="s">
        <v>1120</v>
      </c>
      <c r="P141">
        <v>0</v>
      </c>
      <c r="Q141" s="14" t="s">
        <v>1120</v>
      </c>
      <c r="R141" t="s">
        <v>470</v>
      </c>
    </row>
    <row r="142" spans="1:18">
      <c r="A142" t="s">
        <v>213</v>
      </c>
      <c r="B142" t="s">
        <v>16</v>
      </c>
      <c r="C142" t="s">
        <v>17</v>
      </c>
      <c r="D142" t="s">
        <v>18</v>
      </c>
      <c r="E142" t="s">
        <v>427</v>
      </c>
      <c r="F142" t="s">
        <v>20</v>
      </c>
      <c r="G142" t="s">
        <v>430</v>
      </c>
      <c r="H142" s="13">
        <v>297000</v>
      </c>
      <c r="I142" s="13">
        <v>0</v>
      </c>
      <c r="J142">
        <v>1</v>
      </c>
      <c r="K142" t="s">
        <v>22</v>
      </c>
      <c r="L142" s="6">
        <v>41183</v>
      </c>
      <c r="M142" t="s">
        <v>431</v>
      </c>
      <c r="N142">
        <v>3</v>
      </c>
      <c r="O142" s="14" t="s">
        <v>1120</v>
      </c>
      <c r="P142">
        <v>0</v>
      </c>
      <c r="Q142" s="14" t="s">
        <v>1120</v>
      </c>
      <c r="R142" t="s">
        <v>213</v>
      </c>
    </row>
    <row r="143" spans="1:18">
      <c r="A143" t="s">
        <v>487</v>
      </c>
      <c r="B143" t="s">
        <v>31</v>
      </c>
      <c r="C143" t="s">
        <v>32</v>
      </c>
      <c r="D143" t="s">
        <v>25</v>
      </c>
      <c r="E143" t="s">
        <v>488</v>
      </c>
      <c r="F143" t="s">
        <v>20</v>
      </c>
      <c r="G143" t="s">
        <v>489</v>
      </c>
      <c r="H143" s="13">
        <v>160000</v>
      </c>
      <c r="I143" s="13">
        <v>0</v>
      </c>
      <c r="J143">
        <v>1</v>
      </c>
      <c r="K143" t="s">
        <v>113</v>
      </c>
      <c r="L143" s="6">
        <v>41365</v>
      </c>
      <c r="M143" t="s">
        <v>490</v>
      </c>
      <c r="N143">
        <v>2</v>
      </c>
      <c r="O143" s="14" t="s">
        <v>1120</v>
      </c>
      <c r="P143">
        <v>0</v>
      </c>
      <c r="Q143" s="14" t="s">
        <v>1120</v>
      </c>
      <c r="R143" t="s">
        <v>487</v>
      </c>
    </row>
    <row r="144" spans="1:18">
      <c r="A144" t="s">
        <v>491</v>
      </c>
      <c r="B144" t="s">
        <v>16</v>
      </c>
      <c r="C144" t="s">
        <v>17</v>
      </c>
      <c r="D144" t="s">
        <v>25</v>
      </c>
      <c r="E144" t="s">
        <v>488</v>
      </c>
      <c r="F144" t="s">
        <v>20</v>
      </c>
      <c r="G144" t="s">
        <v>492</v>
      </c>
      <c r="H144" s="13">
        <v>158389</v>
      </c>
      <c r="I144" s="13">
        <v>0</v>
      </c>
      <c r="J144">
        <v>1</v>
      </c>
      <c r="K144" t="s">
        <v>34</v>
      </c>
      <c r="L144" s="6">
        <v>41365</v>
      </c>
      <c r="M144" t="s">
        <v>493</v>
      </c>
      <c r="N144">
        <v>0</v>
      </c>
      <c r="O144" s="14" t="s">
        <v>1120</v>
      </c>
      <c r="P144">
        <v>0</v>
      </c>
      <c r="Q144" s="14" t="s">
        <v>1120</v>
      </c>
      <c r="R144" t="s">
        <v>491</v>
      </c>
    </row>
    <row r="145" spans="1:18">
      <c r="A145" t="s">
        <v>476</v>
      </c>
      <c r="B145" t="s">
        <v>16</v>
      </c>
      <c r="C145" t="s">
        <v>17</v>
      </c>
      <c r="D145" t="s">
        <v>18</v>
      </c>
      <c r="E145" t="s">
        <v>477</v>
      </c>
      <c r="F145" t="s">
        <v>20</v>
      </c>
      <c r="G145" t="s">
        <v>478</v>
      </c>
      <c r="H145" s="13">
        <v>300000</v>
      </c>
      <c r="I145" s="13">
        <v>0</v>
      </c>
      <c r="J145">
        <v>1</v>
      </c>
      <c r="K145" t="s">
        <v>113</v>
      </c>
      <c r="L145" s="6">
        <v>41365</v>
      </c>
      <c r="M145" t="s">
        <v>479</v>
      </c>
      <c r="N145">
        <v>17</v>
      </c>
      <c r="O145" s="14" t="s">
        <v>1120</v>
      </c>
      <c r="P145">
        <v>0</v>
      </c>
      <c r="Q145" s="14" t="s">
        <v>1120</v>
      </c>
      <c r="R145" t="s">
        <v>476</v>
      </c>
    </row>
    <row r="146" spans="1:18">
      <c r="A146" t="s">
        <v>337</v>
      </c>
      <c r="B146" t="s">
        <v>16</v>
      </c>
      <c r="C146" t="s">
        <v>17</v>
      </c>
      <c r="D146" t="s">
        <v>25</v>
      </c>
      <c r="E146" t="s">
        <v>488</v>
      </c>
      <c r="F146" t="s">
        <v>20</v>
      </c>
      <c r="G146" t="s">
        <v>494</v>
      </c>
      <c r="H146" s="13">
        <v>160000</v>
      </c>
      <c r="I146" s="13">
        <v>0</v>
      </c>
      <c r="J146">
        <v>1</v>
      </c>
      <c r="K146" t="s">
        <v>22</v>
      </c>
      <c r="L146" s="6">
        <v>41365</v>
      </c>
      <c r="M146" t="s">
        <v>495</v>
      </c>
      <c r="N146">
        <v>4</v>
      </c>
      <c r="O146" s="14" t="s">
        <v>1120</v>
      </c>
      <c r="P146">
        <v>0</v>
      </c>
      <c r="Q146" s="14" t="s">
        <v>1120</v>
      </c>
      <c r="R146" t="s">
        <v>337</v>
      </c>
    </row>
    <row r="147" spans="1:18">
      <c r="A147" t="s">
        <v>166</v>
      </c>
      <c r="B147" t="s">
        <v>16</v>
      </c>
      <c r="C147" t="s">
        <v>17</v>
      </c>
      <c r="D147" t="s">
        <v>25</v>
      </c>
      <c r="E147" t="s">
        <v>488</v>
      </c>
      <c r="F147" t="s">
        <v>20</v>
      </c>
      <c r="G147" t="s">
        <v>496</v>
      </c>
      <c r="H147" s="13">
        <v>154829</v>
      </c>
      <c r="I147" s="13">
        <v>0</v>
      </c>
      <c r="J147">
        <v>1</v>
      </c>
      <c r="K147" t="s">
        <v>28</v>
      </c>
      <c r="L147" s="6">
        <v>41365</v>
      </c>
      <c r="M147" t="s">
        <v>497</v>
      </c>
      <c r="N147">
        <v>1</v>
      </c>
      <c r="O147" s="14" t="s">
        <v>1120</v>
      </c>
      <c r="P147">
        <v>0</v>
      </c>
      <c r="Q147" s="14" t="s">
        <v>1120</v>
      </c>
      <c r="R147" t="s">
        <v>166</v>
      </c>
    </row>
    <row r="148" spans="1:18">
      <c r="A148" t="s">
        <v>498</v>
      </c>
      <c r="B148" t="s">
        <v>99</v>
      </c>
      <c r="C148" t="s">
        <v>66</v>
      </c>
      <c r="D148" t="s">
        <v>25</v>
      </c>
      <c r="E148" t="s">
        <v>488</v>
      </c>
      <c r="F148" t="s">
        <v>20</v>
      </c>
      <c r="G148" t="s">
        <v>499</v>
      </c>
      <c r="H148" s="13">
        <v>156590</v>
      </c>
      <c r="I148" s="13">
        <v>0</v>
      </c>
      <c r="J148">
        <v>1</v>
      </c>
      <c r="K148" t="s">
        <v>22</v>
      </c>
      <c r="L148" s="6">
        <v>41365</v>
      </c>
      <c r="M148" t="s">
        <v>500</v>
      </c>
      <c r="N148">
        <v>0</v>
      </c>
      <c r="O148" s="14" t="s">
        <v>1120</v>
      </c>
      <c r="P148">
        <v>0</v>
      </c>
      <c r="Q148" s="14" t="s">
        <v>1120</v>
      </c>
      <c r="R148" t="s">
        <v>498</v>
      </c>
    </row>
    <row r="149" spans="1:18">
      <c r="A149" t="s">
        <v>501</v>
      </c>
      <c r="B149" t="s">
        <v>304</v>
      </c>
      <c r="C149" t="s">
        <v>32</v>
      </c>
      <c r="D149" t="s">
        <v>25</v>
      </c>
      <c r="E149" t="s">
        <v>488</v>
      </c>
      <c r="F149" t="s">
        <v>20</v>
      </c>
      <c r="G149" t="s">
        <v>502</v>
      </c>
      <c r="H149" s="13">
        <v>157350</v>
      </c>
      <c r="I149" s="13">
        <v>0</v>
      </c>
      <c r="J149">
        <v>1</v>
      </c>
      <c r="K149" t="s">
        <v>22</v>
      </c>
      <c r="L149" s="6">
        <v>41365</v>
      </c>
      <c r="M149" t="s">
        <v>503</v>
      </c>
      <c r="N149">
        <v>0</v>
      </c>
      <c r="O149" s="14" t="s">
        <v>1120</v>
      </c>
      <c r="P149">
        <v>0</v>
      </c>
      <c r="Q149" s="14" t="s">
        <v>1120</v>
      </c>
      <c r="R149" t="s">
        <v>501</v>
      </c>
    </row>
    <row r="150" spans="1:18">
      <c r="A150" t="s">
        <v>504</v>
      </c>
      <c r="B150" t="s">
        <v>31</v>
      </c>
      <c r="C150" t="s">
        <v>32</v>
      </c>
      <c r="D150" t="s">
        <v>25</v>
      </c>
      <c r="E150" t="s">
        <v>488</v>
      </c>
      <c r="F150" t="s">
        <v>20</v>
      </c>
      <c r="G150" t="s">
        <v>505</v>
      </c>
      <c r="H150" s="13">
        <v>156393</v>
      </c>
      <c r="I150" s="13">
        <v>0</v>
      </c>
      <c r="J150">
        <v>1</v>
      </c>
      <c r="K150" t="s">
        <v>108</v>
      </c>
      <c r="L150" s="6">
        <v>41365</v>
      </c>
      <c r="M150" t="s">
        <v>506</v>
      </c>
      <c r="N150">
        <v>4</v>
      </c>
      <c r="O150" s="14" t="s">
        <v>1120</v>
      </c>
      <c r="P150">
        <v>0</v>
      </c>
      <c r="Q150" s="14" t="s">
        <v>1120</v>
      </c>
      <c r="R150" t="s">
        <v>504</v>
      </c>
    </row>
    <row r="151" spans="1:18">
      <c r="A151" t="s">
        <v>507</v>
      </c>
      <c r="B151" t="s">
        <v>508</v>
      </c>
      <c r="C151" t="s">
        <v>17</v>
      </c>
      <c r="D151" t="s">
        <v>25</v>
      </c>
      <c r="E151" t="s">
        <v>488</v>
      </c>
      <c r="F151" t="s">
        <v>20</v>
      </c>
      <c r="G151" t="s">
        <v>509</v>
      </c>
      <c r="H151" s="13">
        <v>158464</v>
      </c>
      <c r="I151" s="13">
        <v>1536</v>
      </c>
      <c r="J151">
        <v>1</v>
      </c>
      <c r="K151" t="s">
        <v>34</v>
      </c>
      <c r="L151" s="6">
        <v>41365</v>
      </c>
      <c r="M151" t="s">
        <v>510</v>
      </c>
      <c r="N151">
        <v>0</v>
      </c>
      <c r="O151" s="14" t="s">
        <v>1120</v>
      </c>
      <c r="P151">
        <v>0</v>
      </c>
      <c r="Q151" s="14" t="s">
        <v>1120</v>
      </c>
      <c r="R151" t="s">
        <v>507</v>
      </c>
    </row>
    <row r="152" spans="1:18">
      <c r="A152" t="s">
        <v>480</v>
      </c>
      <c r="B152" t="s">
        <v>31</v>
      </c>
      <c r="C152" t="s">
        <v>32</v>
      </c>
      <c r="D152" t="s">
        <v>18</v>
      </c>
      <c r="E152" t="s">
        <v>477</v>
      </c>
      <c r="F152" t="s">
        <v>20</v>
      </c>
      <c r="G152" t="s">
        <v>481</v>
      </c>
      <c r="H152" s="13">
        <v>122670</v>
      </c>
      <c r="I152" s="13">
        <v>0</v>
      </c>
      <c r="J152">
        <v>1</v>
      </c>
      <c r="K152" t="s">
        <v>40</v>
      </c>
      <c r="L152" s="6">
        <v>41365</v>
      </c>
      <c r="M152" t="s">
        <v>482</v>
      </c>
      <c r="N152">
        <v>1</v>
      </c>
      <c r="O152" s="14" t="s">
        <v>1120</v>
      </c>
      <c r="P152">
        <v>0</v>
      </c>
      <c r="Q152" s="14" t="s">
        <v>1120</v>
      </c>
      <c r="R152" t="s">
        <v>480</v>
      </c>
    </row>
    <row r="153" spans="1:18">
      <c r="A153" t="s">
        <v>511</v>
      </c>
      <c r="B153" t="s">
        <v>37</v>
      </c>
      <c r="C153" t="s">
        <v>38</v>
      </c>
      <c r="D153" t="s">
        <v>25</v>
      </c>
      <c r="E153" t="s">
        <v>488</v>
      </c>
      <c r="F153" t="s">
        <v>20</v>
      </c>
      <c r="G153" t="s">
        <v>512</v>
      </c>
      <c r="H153" s="13">
        <v>157999</v>
      </c>
      <c r="I153" s="13">
        <v>0</v>
      </c>
      <c r="J153">
        <v>1</v>
      </c>
      <c r="K153" t="s">
        <v>44</v>
      </c>
      <c r="L153" s="6">
        <v>41365</v>
      </c>
      <c r="M153" t="s">
        <v>513</v>
      </c>
      <c r="N153">
        <v>0</v>
      </c>
      <c r="O153" s="14" t="s">
        <v>1120</v>
      </c>
      <c r="P153">
        <v>0</v>
      </c>
      <c r="Q153" s="14" t="s">
        <v>1120</v>
      </c>
      <c r="R153" t="s">
        <v>511</v>
      </c>
    </row>
    <row r="154" spans="1:18">
      <c r="A154" t="s">
        <v>514</v>
      </c>
      <c r="B154" t="s">
        <v>16</v>
      </c>
      <c r="C154" t="s">
        <v>17</v>
      </c>
      <c r="D154" t="s">
        <v>25</v>
      </c>
      <c r="E154" t="s">
        <v>488</v>
      </c>
      <c r="F154" t="s">
        <v>20</v>
      </c>
      <c r="G154" t="s">
        <v>515</v>
      </c>
      <c r="H154" s="13">
        <v>143074</v>
      </c>
      <c r="I154" s="13">
        <v>10850</v>
      </c>
      <c r="J154">
        <v>1</v>
      </c>
      <c r="K154" t="s">
        <v>28</v>
      </c>
      <c r="L154" s="6">
        <v>41365</v>
      </c>
      <c r="M154" t="s">
        <v>516</v>
      </c>
      <c r="N154">
        <v>5</v>
      </c>
      <c r="O154" s="14" t="s">
        <v>1120</v>
      </c>
      <c r="P154">
        <v>0</v>
      </c>
      <c r="Q154" s="14" t="s">
        <v>1120</v>
      </c>
      <c r="R154" t="s">
        <v>514</v>
      </c>
    </row>
    <row r="155" spans="1:18">
      <c r="A155" t="s">
        <v>483</v>
      </c>
      <c r="B155" t="s">
        <v>484</v>
      </c>
      <c r="C155" t="s">
        <v>32</v>
      </c>
      <c r="D155" t="s">
        <v>18</v>
      </c>
      <c r="E155" t="s">
        <v>477</v>
      </c>
      <c r="F155" t="s">
        <v>20</v>
      </c>
      <c r="G155" t="s">
        <v>485</v>
      </c>
      <c r="H155" s="13">
        <v>186128</v>
      </c>
      <c r="I155" s="13">
        <v>0</v>
      </c>
      <c r="J155">
        <v>1</v>
      </c>
      <c r="K155" t="s">
        <v>40</v>
      </c>
      <c r="L155" s="6">
        <v>41365</v>
      </c>
      <c r="M155" t="s">
        <v>486</v>
      </c>
      <c r="N155">
        <v>2</v>
      </c>
      <c r="O155" s="14" t="s">
        <v>1120</v>
      </c>
      <c r="P155">
        <v>0</v>
      </c>
      <c r="Q155" s="14" t="s">
        <v>1120</v>
      </c>
      <c r="R155" t="s">
        <v>483</v>
      </c>
    </row>
    <row r="156" spans="1:18">
      <c r="A156" t="s">
        <v>517</v>
      </c>
      <c r="B156" t="s">
        <v>180</v>
      </c>
      <c r="C156" t="s">
        <v>38</v>
      </c>
      <c r="D156" t="s">
        <v>25</v>
      </c>
      <c r="E156" t="s">
        <v>488</v>
      </c>
      <c r="F156" t="s">
        <v>20</v>
      </c>
      <c r="G156" t="s">
        <v>518</v>
      </c>
      <c r="H156" s="13">
        <v>145925</v>
      </c>
      <c r="I156" s="13">
        <v>10000</v>
      </c>
      <c r="J156">
        <v>1</v>
      </c>
      <c r="K156" t="s">
        <v>28</v>
      </c>
      <c r="L156" s="6">
        <v>41365</v>
      </c>
      <c r="M156" t="s">
        <v>519</v>
      </c>
      <c r="N156">
        <v>1</v>
      </c>
      <c r="O156" s="14" t="s">
        <v>1120</v>
      </c>
      <c r="P156">
        <v>0</v>
      </c>
      <c r="Q156" s="14" t="s">
        <v>1120</v>
      </c>
      <c r="R156" t="s">
        <v>517</v>
      </c>
    </row>
    <row r="157" spans="1:18">
      <c r="A157" t="s">
        <v>520</v>
      </c>
      <c r="B157" t="s">
        <v>37</v>
      </c>
      <c r="C157" t="s">
        <v>38</v>
      </c>
      <c r="D157" t="s">
        <v>25</v>
      </c>
      <c r="E157" t="s">
        <v>488</v>
      </c>
      <c r="F157" t="s">
        <v>20</v>
      </c>
      <c r="G157" t="s">
        <v>521</v>
      </c>
      <c r="H157" s="13">
        <v>160000</v>
      </c>
      <c r="I157" s="13">
        <v>0</v>
      </c>
      <c r="J157">
        <v>1</v>
      </c>
      <c r="K157" t="s">
        <v>28</v>
      </c>
      <c r="L157" s="6">
        <v>41365</v>
      </c>
      <c r="M157" t="s">
        <v>522</v>
      </c>
      <c r="N157">
        <v>3</v>
      </c>
      <c r="O157" s="14" t="s">
        <v>1120</v>
      </c>
      <c r="P157">
        <v>0</v>
      </c>
      <c r="Q157" s="14" t="s">
        <v>1120</v>
      </c>
      <c r="R157" t="s">
        <v>520</v>
      </c>
    </row>
    <row r="158" spans="1:18">
      <c r="A158" t="s">
        <v>523</v>
      </c>
      <c r="B158" t="s">
        <v>31</v>
      </c>
      <c r="C158" t="s">
        <v>32</v>
      </c>
      <c r="D158" t="s">
        <v>25</v>
      </c>
      <c r="E158" t="s">
        <v>488</v>
      </c>
      <c r="F158" t="s">
        <v>20</v>
      </c>
      <c r="G158" t="s">
        <v>524</v>
      </c>
      <c r="H158" s="13">
        <v>150160</v>
      </c>
      <c r="I158" s="13">
        <v>0</v>
      </c>
      <c r="J158">
        <v>1</v>
      </c>
      <c r="K158" t="s">
        <v>108</v>
      </c>
      <c r="L158" s="6">
        <v>41365</v>
      </c>
      <c r="M158" t="s">
        <v>525</v>
      </c>
      <c r="N158">
        <v>0</v>
      </c>
      <c r="O158" s="14" t="s">
        <v>1120</v>
      </c>
      <c r="P158">
        <v>0</v>
      </c>
      <c r="Q158" s="14" t="s">
        <v>1120</v>
      </c>
      <c r="R158" t="s">
        <v>523</v>
      </c>
    </row>
    <row r="159" spans="1:18">
      <c r="A159" t="s">
        <v>526</v>
      </c>
      <c r="B159" t="s">
        <v>139</v>
      </c>
      <c r="C159" t="s">
        <v>32</v>
      </c>
      <c r="D159" t="s">
        <v>25</v>
      </c>
      <c r="E159" t="s">
        <v>488</v>
      </c>
      <c r="F159" t="s">
        <v>20</v>
      </c>
      <c r="G159" t="s">
        <v>527</v>
      </c>
      <c r="H159" s="13">
        <v>160000</v>
      </c>
      <c r="I159" s="13">
        <v>0</v>
      </c>
      <c r="J159">
        <v>1</v>
      </c>
      <c r="K159" t="s">
        <v>48</v>
      </c>
      <c r="L159" s="6">
        <v>41365</v>
      </c>
      <c r="M159" t="s">
        <v>528</v>
      </c>
      <c r="N159">
        <v>3</v>
      </c>
      <c r="O159" s="14" t="s">
        <v>1120</v>
      </c>
      <c r="P159">
        <v>0</v>
      </c>
      <c r="Q159" s="14" t="s">
        <v>1120</v>
      </c>
      <c r="R159" t="s">
        <v>526</v>
      </c>
    </row>
    <row r="160" spans="1:18">
      <c r="A160" t="s">
        <v>432</v>
      </c>
      <c r="B160" t="s">
        <v>99</v>
      </c>
      <c r="C160" t="s">
        <v>66</v>
      </c>
      <c r="D160" t="s">
        <v>25</v>
      </c>
      <c r="E160" t="s">
        <v>536</v>
      </c>
      <c r="F160" t="s">
        <v>20</v>
      </c>
      <c r="G160" t="s">
        <v>537</v>
      </c>
      <c r="H160" s="13">
        <v>159984</v>
      </c>
      <c r="I160" s="13">
        <v>0</v>
      </c>
      <c r="J160">
        <v>1</v>
      </c>
      <c r="K160" t="s">
        <v>22</v>
      </c>
      <c r="L160" s="6">
        <v>41548</v>
      </c>
      <c r="M160" t="s">
        <v>538</v>
      </c>
      <c r="N160">
        <v>1</v>
      </c>
      <c r="O160" s="14" t="s">
        <v>1120</v>
      </c>
      <c r="P160">
        <v>0</v>
      </c>
      <c r="Q160" s="14" t="s">
        <v>1120</v>
      </c>
      <c r="R160" t="s">
        <v>432</v>
      </c>
    </row>
    <row r="161" spans="1:18">
      <c r="A161" t="s">
        <v>539</v>
      </c>
      <c r="B161" t="s">
        <v>139</v>
      </c>
      <c r="C161" t="s">
        <v>32</v>
      </c>
      <c r="D161" t="s">
        <v>25</v>
      </c>
      <c r="E161" t="s">
        <v>536</v>
      </c>
      <c r="F161" t="s">
        <v>20</v>
      </c>
      <c r="G161" t="s">
        <v>540</v>
      </c>
      <c r="H161" s="13">
        <v>160000</v>
      </c>
      <c r="I161" s="13">
        <v>0</v>
      </c>
      <c r="J161">
        <v>1</v>
      </c>
      <c r="K161" t="s">
        <v>44</v>
      </c>
      <c r="L161" s="6">
        <v>41548</v>
      </c>
      <c r="M161" t="s">
        <v>541</v>
      </c>
      <c r="N161">
        <v>1</v>
      </c>
      <c r="O161" s="14" t="s">
        <v>1120</v>
      </c>
      <c r="P161">
        <v>0</v>
      </c>
      <c r="Q161" s="14" t="s">
        <v>1120</v>
      </c>
      <c r="R161" t="s">
        <v>539</v>
      </c>
    </row>
    <row r="162" spans="1:18">
      <c r="A162" t="s">
        <v>542</v>
      </c>
      <c r="B162" t="s">
        <v>139</v>
      </c>
      <c r="C162" t="s">
        <v>32</v>
      </c>
      <c r="D162" t="s">
        <v>25</v>
      </c>
      <c r="E162" t="s">
        <v>536</v>
      </c>
      <c r="F162" t="s">
        <v>20</v>
      </c>
      <c r="G162" t="s">
        <v>543</v>
      </c>
      <c r="H162" s="13">
        <v>148348</v>
      </c>
      <c r="I162" s="13">
        <v>0</v>
      </c>
      <c r="J162">
        <v>1</v>
      </c>
      <c r="K162" t="s">
        <v>28</v>
      </c>
      <c r="L162" s="6">
        <v>41548</v>
      </c>
      <c r="M162" t="s">
        <v>544</v>
      </c>
      <c r="N162">
        <v>0</v>
      </c>
      <c r="O162" s="14" t="s">
        <v>1120</v>
      </c>
      <c r="P162">
        <v>0</v>
      </c>
      <c r="Q162" s="14" t="s">
        <v>1120</v>
      </c>
      <c r="R162" t="s">
        <v>542</v>
      </c>
    </row>
    <row r="163" spans="1:18">
      <c r="A163" t="s">
        <v>389</v>
      </c>
      <c r="B163" t="s">
        <v>16</v>
      </c>
      <c r="C163" t="s">
        <v>17</v>
      </c>
      <c r="D163" t="s">
        <v>18</v>
      </c>
      <c r="E163" t="s">
        <v>529</v>
      </c>
      <c r="F163" t="s">
        <v>20</v>
      </c>
      <c r="G163" t="s">
        <v>530</v>
      </c>
      <c r="H163" s="13">
        <v>294600</v>
      </c>
      <c r="I163" s="13">
        <v>0</v>
      </c>
      <c r="J163">
        <v>1</v>
      </c>
      <c r="K163" t="s">
        <v>28</v>
      </c>
      <c r="L163" s="6">
        <v>41548</v>
      </c>
      <c r="M163" t="s">
        <v>531</v>
      </c>
      <c r="N163">
        <v>2</v>
      </c>
      <c r="O163" s="14" t="s">
        <v>1120</v>
      </c>
      <c r="P163">
        <v>0</v>
      </c>
      <c r="Q163" s="14" t="s">
        <v>1120</v>
      </c>
      <c r="R163" t="s">
        <v>389</v>
      </c>
    </row>
    <row r="164" spans="1:18">
      <c r="A164" t="s">
        <v>402</v>
      </c>
      <c r="B164" t="s">
        <v>139</v>
      </c>
      <c r="C164" t="s">
        <v>32</v>
      </c>
      <c r="D164" t="s">
        <v>25</v>
      </c>
      <c r="E164" t="s">
        <v>536</v>
      </c>
      <c r="F164" t="s">
        <v>20</v>
      </c>
      <c r="G164" t="s">
        <v>548</v>
      </c>
      <c r="H164" s="13">
        <v>160000</v>
      </c>
      <c r="I164" s="13">
        <v>0</v>
      </c>
      <c r="J164">
        <v>1</v>
      </c>
      <c r="K164" t="s">
        <v>44</v>
      </c>
      <c r="L164" s="6">
        <v>41548</v>
      </c>
      <c r="M164" t="s">
        <v>549</v>
      </c>
      <c r="N164">
        <v>0</v>
      </c>
      <c r="O164" s="14" t="s">
        <v>1120</v>
      </c>
      <c r="P164">
        <v>0</v>
      </c>
      <c r="Q164" s="14" t="s">
        <v>1120</v>
      </c>
      <c r="R164" t="s">
        <v>402</v>
      </c>
    </row>
    <row r="165" spans="1:18">
      <c r="A165" t="s">
        <v>307</v>
      </c>
      <c r="B165" t="s">
        <v>193</v>
      </c>
      <c r="C165" t="s">
        <v>38</v>
      </c>
      <c r="D165" t="s">
        <v>25</v>
      </c>
      <c r="E165" t="s">
        <v>536</v>
      </c>
      <c r="F165" t="s">
        <v>20</v>
      </c>
      <c r="G165" t="s">
        <v>550</v>
      </c>
      <c r="H165" s="13">
        <v>154660</v>
      </c>
      <c r="I165" s="13">
        <v>0</v>
      </c>
      <c r="J165">
        <v>1</v>
      </c>
      <c r="K165" t="s">
        <v>309</v>
      </c>
      <c r="L165" s="6">
        <v>41548</v>
      </c>
      <c r="M165" t="s">
        <v>551</v>
      </c>
      <c r="N165">
        <v>0</v>
      </c>
      <c r="O165" s="14" t="s">
        <v>1120</v>
      </c>
      <c r="P165">
        <v>0</v>
      </c>
      <c r="Q165" s="14" t="s">
        <v>1120</v>
      </c>
      <c r="R165" t="s">
        <v>307</v>
      </c>
    </row>
    <row r="166" spans="1:18">
      <c r="A166" t="s">
        <v>451</v>
      </c>
      <c r="B166" t="s">
        <v>452</v>
      </c>
      <c r="C166" t="s">
        <v>38</v>
      </c>
      <c r="D166" t="s">
        <v>25</v>
      </c>
      <c r="E166" t="s">
        <v>536</v>
      </c>
      <c r="F166" t="s">
        <v>20</v>
      </c>
      <c r="G166" t="s">
        <v>552</v>
      </c>
      <c r="H166" s="13">
        <v>160000</v>
      </c>
      <c r="I166" s="13">
        <v>0</v>
      </c>
      <c r="J166">
        <v>1</v>
      </c>
      <c r="K166" t="s">
        <v>28</v>
      </c>
      <c r="L166" s="6">
        <v>41548</v>
      </c>
      <c r="M166" t="s">
        <v>553</v>
      </c>
      <c r="N166">
        <v>1</v>
      </c>
      <c r="O166" s="14" t="s">
        <v>1120</v>
      </c>
      <c r="P166">
        <v>0</v>
      </c>
      <c r="Q166" s="14" t="s">
        <v>1120</v>
      </c>
      <c r="R166" t="s">
        <v>451</v>
      </c>
    </row>
    <row r="167" spans="1:18">
      <c r="A167" t="s">
        <v>532</v>
      </c>
      <c r="B167" t="s">
        <v>16</v>
      </c>
      <c r="C167" t="s">
        <v>17</v>
      </c>
      <c r="D167" t="s">
        <v>18</v>
      </c>
      <c r="E167" t="s">
        <v>529</v>
      </c>
      <c r="F167" t="s">
        <v>20</v>
      </c>
      <c r="G167" t="s">
        <v>533</v>
      </c>
      <c r="H167" s="13">
        <v>300000</v>
      </c>
      <c r="I167" s="13">
        <v>0</v>
      </c>
      <c r="J167">
        <v>1</v>
      </c>
      <c r="K167" t="s">
        <v>534</v>
      </c>
      <c r="L167" s="6">
        <v>41548</v>
      </c>
      <c r="M167" t="s">
        <v>535</v>
      </c>
      <c r="N167">
        <v>4</v>
      </c>
      <c r="O167" s="14" t="s">
        <v>1120</v>
      </c>
      <c r="P167">
        <v>0</v>
      </c>
      <c r="Q167" s="14" t="s">
        <v>1120</v>
      </c>
      <c r="R167" t="s">
        <v>532</v>
      </c>
    </row>
    <row r="168" spans="1:18">
      <c r="A168" t="s">
        <v>216</v>
      </c>
      <c r="B168" t="s">
        <v>217</v>
      </c>
      <c r="C168" t="s">
        <v>38</v>
      </c>
      <c r="D168" t="s">
        <v>25</v>
      </c>
      <c r="E168" t="s">
        <v>536</v>
      </c>
      <c r="F168" t="s">
        <v>20</v>
      </c>
      <c r="G168" t="s">
        <v>558</v>
      </c>
      <c r="H168" s="13">
        <v>156230</v>
      </c>
      <c r="I168" s="13">
        <v>2200</v>
      </c>
      <c r="J168">
        <v>1</v>
      </c>
      <c r="K168" t="s">
        <v>108</v>
      </c>
      <c r="L168" s="6">
        <v>41548</v>
      </c>
      <c r="M168" t="s">
        <v>559</v>
      </c>
      <c r="N168">
        <v>21</v>
      </c>
      <c r="O168" s="14" t="s">
        <v>1120</v>
      </c>
      <c r="P168">
        <v>0</v>
      </c>
      <c r="Q168" s="14" t="s">
        <v>1120</v>
      </c>
      <c r="R168" t="s">
        <v>216</v>
      </c>
    </row>
    <row r="169" spans="1:18">
      <c r="A169" t="s">
        <v>567</v>
      </c>
      <c r="B169" t="s">
        <v>304</v>
      </c>
      <c r="C169" t="s">
        <v>32</v>
      </c>
      <c r="D169" t="s">
        <v>25</v>
      </c>
      <c r="E169" t="s">
        <v>568</v>
      </c>
      <c r="F169" t="s">
        <v>20</v>
      </c>
      <c r="G169" t="s">
        <v>569</v>
      </c>
      <c r="H169" s="13">
        <v>160000</v>
      </c>
      <c r="I169" s="13">
        <v>0</v>
      </c>
      <c r="J169">
        <v>1</v>
      </c>
      <c r="K169" t="s">
        <v>28</v>
      </c>
      <c r="L169" s="6">
        <v>41730</v>
      </c>
      <c r="M169" t="s">
        <v>570</v>
      </c>
      <c r="N169">
        <v>0</v>
      </c>
      <c r="O169" s="14" t="s">
        <v>1120</v>
      </c>
      <c r="P169">
        <v>0</v>
      </c>
      <c r="Q169" s="14" t="s">
        <v>1120</v>
      </c>
      <c r="R169" t="s">
        <v>567</v>
      </c>
    </row>
    <row r="170" spans="1:18">
      <c r="A170" t="s">
        <v>573</v>
      </c>
      <c r="B170" t="s">
        <v>574</v>
      </c>
      <c r="C170" t="s">
        <v>32</v>
      </c>
      <c r="D170" t="s">
        <v>25</v>
      </c>
      <c r="E170" t="s">
        <v>568</v>
      </c>
      <c r="F170" t="s">
        <v>20</v>
      </c>
      <c r="G170" t="s">
        <v>575</v>
      </c>
      <c r="H170" s="13">
        <v>159300</v>
      </c>
      <c r="I170" s="13">
        <v>0</v>
      </c>
      <c r="J170">
        <v>1</v>
      </c>
      <c r="K170" t="s">
        <v>34</v>
      </c>
      <c r="L170" s="6">
        <v>41730</v>
      </c>
      <c r="M170" t="s">
        <v>576</v>
      </c>
      <c r="N170">
        <v>2</v>
      </c>
      <c r="O170" s="14" t="s">
        <v>1120</v>
      </c>
      <c r="P170">
        <v>0</v>
      </c>
      <c r="Q170" s="14" t="s">
        <v>1120</v>
      </c>
      <c r="R170" t="s">
        <v>573</v>
      </c>
    </row>
    <row r="171" spans="1:18">
      <c r="A171" t="s">
        <v>577</v>
      </c>
      <c r="B171" t="s">
        <v>37</v>
      </c>
      <c r="C171" t="s">
        <v>38</v>
      </c>
      <c r="D171" t="s">
        <v>25</v>
      </c>
      <c r="E171" t="s">
        <v>568</v>
      </c>
      <c r="F171" t="s">
        <v>20</v>
      </c>
      <c r="G171" t="s">
        <v>578</v>
      </c>
      <c r="H171" s="13">
        <v>160000</v>
      </c>
      <c r="I171" s="13">
        <v>0</v>
      </c>
      <c r="J171">
        <v>1</v>
      </c>
      <c r="K171" t="s">
        <v>40</v>
      </c>
      <c r="L171" s="6">
        <v>41730</v>
      </c>
      <c r="M171" t="s">
        <v>579</v>
      </c>
      <c r="N171">
        <v>0</v>
      </c>
      <c r="O171" s="14" t="s">
        <v>1120</v>
      </c>
      <c r="P171">
        <v>0</v>
      </c>
      <c r="Q171" s="14" t="s">
        <v>1120</v>
      </c>
      <c r="R171" t="s">
        <v>577</v>
      </c>
    </row>
    <row r="172" spans="1:18">
      <c r="A172" t="s">
        <v>580</v>
      </c>
      <c r="B172" t="s">
        <v>111</v>
      </c>
      <c r="C172" t="s">
        <v>38</v>
      </c>
      <c r="D172" t="s">
        <v>25</v>
      </c>
      <c r="E172" t="s">
        <v>568</v>
      </c>
      <c r="F172" t="s">
        <v>20</v>
      </c>
      <c r="G172" t="s">
        <v>581</v>
      </c>
      <c r="H172" s="13">
        <v>148062</v>
      </c>
      <c r="I172" s="13">
        <v>0</v>
      </c>
      <c r="J172">
        <v>1</v>
      </c>
      <c r="K172" t="s">
        <v>309</v>
      </c>
      <c r="L172" s="6">
        <v>41730</v>
      </c>
      <c r="M172" t="s">
        <v>582</v>
      </c>
      <c r="N172">
        <v>1</v>
      </c>
      <c r="O172" s="14" t="s">
        <v>1120</v>
      </c>
      <c r="P172">
        <v>0</v>
      </c>
      <c r="Q172" s="14" t="s">
        <v>1120</v>
      </c>
      <c r="R172" t="s">
        <v>580</v>
      </c>
    </row>
    <row r="173" spans="1:18">
      <c r="A173" t="s">
        <v>583</v>
      </c>
      <c r="B173" t="s">
        <v>155</v>
      </c>
      <c r="C173" t="s">
        <v>32</v>
      </c>
      <c r="D173" t="s">
        <v>25</v>
      </c>
      <c r="E173" t="s">
        <v>568</v>
      </c>
      <c r="F173" t="s">
        <v>20</v>
      </c>
      <c r="G173" t="s">
        <v>584</v>
      </c>
      <c r="H173" s="13">
        <v>159550</v>
      </c>
      <c r="I173" s="13">
        <v>0</v>
      </c>
      <c r="J173">
        <v>1</v>
      </c>
      <c r="K173" t="s">
        <v>22</v>
      </c>
      <c r="L173" s="6">
        <v>41730</v>
      </c>
      <c r="M173" t="s">
        <v>585</v>
      </c>
      <c r="N173">
        <v>1</v>
      </c>
      <c r="O173" s="14" t="s">
        <v>1120</v>
      </c>
      <c r="P173">
        <v>0</v>
      </c>
      <c r="Q173" s="14" t="s">
        <v>1120</v>
      </c>
      <c r="R173" t="s">
        <v>583</v>
      </c>
    </row>
    <row r="174" spans="1:18">
      <c r="A174" t="s">
        <v>396</v>
      </c>
      <c r="B174" t="s">
        <v>16</v>
      </c>
      <c r="C174" t="s">
        <v>17</v>
      </c>
      <c r="D174" t="s">
        <v>25</v>
      </c>
      <c r="E174" t="s">
        <v>568</v>
      </c>
      <c r="F174" t="s">
        <v>20</v>
      </c>
      <c r="G174" t="s">
        <v>586</v>
      </c>
      <c r="H174" s="13">
        <v>147089</v>
      </c>
      <c r="I174" s="13">
        <v>0</v>
      </c>
      <c r="J174">
        <v>1</v>
      </c>
      <c r="K174" t="s">
        <v>108</v>
      </c>
      <c r="L174" s="6">
        <v>41730</v>
      </c>
      <c r="M174" t="s">
        <v>587</v>
      </c>
      <c r="N174">
        <v>2</v>
      </c>
      <c r="O174" s="14" t="s">
        <v>1120</v>
      </c>
      <c r="P174">
        <v>0</v>
      </c>
      <c r="Q174" s="14" t="s">
        <v>1120</v>
      </c>
      <c r="R174" t="s">
        <v>396</v>
      </c>
    </row>
    <row r="175" spans="1:18">
      <c r="A175" t="s">
        <v>588</v>
      </c>
      <c r="B175" t="s">
        <v>139</v>
      </c>
      <c r="C175" t="s">
        <v>32</v>
      </c>
      <c r="D175" t="s">
        <v>25</v>
      </c>
      <c r="E175" t="s">
        <v>568</v>
      </c>
      <c r="F175" t="s">
        <v>20</v>
      </c>
      <c r="G175" t="s">
        <v>589</v>
      </c>
      <c r="H175" s="13">
        <v>159700</v>
      </c>
      <c r="I175" s="13">
        <v>0</v>
      </c>
      <c r="J175">
        <v>1</v>
      </c>
      <c r="K175" t="s">
        <v>44</v>
      </c>
      <c r="L175" s="6">
        <v>41730</v>
      </c>
      <c r="M175" t="s">
        <v>590</v>
      </c>
      <c r="N175">
        <v>1</v>
      </c>
      <c r="O175" s="14" t="s">
        <v>1120</v>
      </c>
      <c r="P175">
        <v>0</v>
      </c>
      <c r="Q175" s="14" t="s">
        <v>1120</v>
      </c>
      <c r="R175" t="s">
        <v>588</v>
      </c>
    </row>
    <row r="176" spans="1:18">
      <c r="A176" t="s">
        <v>498</v>
      </c>
      <c r="B176" t="s">
        <v>99</v>
      </c>
      <c r="C176" t="s">
        <v>66</v>
      </c>
      <c r="D176" t="s">
        <v>25</v>
      </c>
      <c r="E176" t="s">
        <v>568</v>
      </c>
      <c r="F176" t="s">
        <v>20</v>
      </c>
      <c r="G176" t="s">
        <v>591</v>
      </c>
      <c r="H176" s="13">
        <v>159850</v>
      </c>
      <c r="I176" s="13">
        <v>0</v>
      </c>
      <c r="J176">
        <v>1</v>
      </c>
      <c r="K176" t="s">
        <v>22</v>
      </c>
      <c r="L176" s="6">
        <v>41730</v>
      </c>
      <c r="M176" t="s">
        <v>592</v>
      </c>
      <c r="N176">
        <v>3</v>
      </c>
      <c r="O176" s="14" t="s">
        <v>1120</v>
      </c>
      <c r="P176">
        <v>0</v>
      </c>
      <c r="Q176" s="14" t="s">
        <v>1120</v>
      </c>
      <c r="R176" t="s">
        <v>498</v>
      </c>
    </row>
    <row r="177" spans="1:18">
      <c r="A177" t="s">
        <v>593</v>
      </c>
      <c r="B177" t="s">
        <v>180</v>
      </c>
      <c r="C177" t="s">
        <v>38</v>
      </c>
      <c r="D177" t="s">
        <v>25</v>
      </c>
      <c r="E177" t="s">
        <v>568</v>
      </c>
      <c r="F177" t="s">
        <v>20</v>
      </c>
      <c r="G177" t="s">
        <v>594</v>
      </c>
      <c r="H177" s="13">
        <v>158375</v>
      </c>
      <c r="I177" s="13">
        <v>0</v>
      </c>
      <c r="J177">
        <v>1</v>
      </c>
      <c r="K177" t="s">
        <v>34</v>
      </c>
      <c r="L177" s="6">
        <v>41730</v>
      </c>
      <c r="M177" t="s">
        <v>595</v>
      </c>
      <c r="N177">
        <v>9</v>
      </c>
      <c r="O177" s="14" t="s">
        <v>1120</v>
      </c>
      <c r="P177">
        <v>0</v>
      </c>
      <c r="Q177" s="14" t="s">
        <v>1120</v>
      </c>
      <c r="R177" t="s">
        <v>593</v>
      </c>
    </row>
    <row r="178" spans="1:18">
      <c r="A178" t="s">
        <v>186</v>
      </c>
      <c r="B178" t="s">
        <v>139</v>
      </c>
      <c r="C178" t="s">
        <v>32</v>
      </c>
      <c r="D178" t="s">
        <v>25</v>
      </c>
      <c r="E178" t="s">
        <v>568</v>
      </c>
      <c r="F178" t="s">
        <v>20</v>
      </c>
      <c r="G178" t="s">
        <v>596</v>
      </c>
      <c r="H178" s="13">
        <v>159756</v>
      </c>
      <c r="I178" s="13">
        <v>0</v>
      </c>
      <c r="J178">
        <v>1</v>
      </c>
      <c r="K178" t="s">
        <v>28</v>
      </c>
      <c r="L178" s="6">
        <v>41730</v>
      </c>
      <c r="M178" t="s">
        <v>597</v>
      </c>
      <c r="N178">
        <v>0</v>
      </c>
      <c r="O178" s="14" t="s">
        <v>1120</v>
      </c>
      <c r="P178">
        <v>0</v>
      </c>
      <c r="Q178" s="14" t="s">
        <v>1120</v>
      </c>
      <c r="R178" t="s">
        <v>186</v>
      </c>
    </row>
    <row r="179" spans="1:18">
      <c r="A179" t="s">
        <v>189</v>
      </c>
      <c r="B179" t="s">
        <v>16</v>
      </c>
      <c r="C179" t="s">
        <v>17</v>
      </c>
      <c r="D179" t="s">
        <v>25</v>
      </c>
      <c r="E179" t="s">
        <v>568</v>
      </c>
      <c r="F179" t="s">
        <v>20</v>
      </c>
      <c r="G179" t="s">
        <v>598</v>
      </c>
      <c r="H179" s="13">
        <v>160000</v>
      </c>
      <c r="I179" s="13">
        <v>0</v>
      </c>
      <c r="J179">
        <v>1</v>
      </c>
      <c r="K179" t="s">
        <v>22</v>
      </c>
      <c r="L179" s="6">
        <v>41730</v>
      </c>
      <c r="M179" t="s">
        <v>599</v>
      </c>
      <c r="N179">
        <v>0</v>
      </c>
      <c r="O179" s="14" t="s">
        <v>1120</v>
      </c>
      <c r="P179">
        <v>0</v>
      </c>
      <c r="Q179" s="14" t="s">
        <v>1120</v>
      </c>
      <c r="R179" t="s">
        <v>189</v>
      </c>
    </row>
    <row r="180" spans="1:18">
      <c r="A180" t="s">
        <v>560</v>
      </c>
      <c r="B180" t="s">
        <v>561</v>
      </c>
      <c r="C180" t="s">
        <v>205</v>
      </c>
      <c r="D180" t="s">
        <v>18</v>
      </c>
      <c r="E180" t="s">
        <v>146</v>
      </c>
      <c r="F180" t="s">
        <v>20</v>
      </c>
      <c r="G180" t="s">
        <v>562</v>
      </c>
      <c r="H180" s="13">
        <v>145760</v>
      </c>
      <c r="I180" s="13">
        <v>0</v>
      </c>
      <c r="J180">
        <v>1</v>
      </c>
      <c r="K180" t="s">
        <v>108</v>
      </c>
      <c r="L180" s="6">
        <v>41730</v>
      </c>
      <c r="M180" t="s">
        <v>563</v>
      </c>
      <c r="N180">
        <v>0</v>
      </c>
      <c r="O180" s="14" t="s">
        <v>1120</v>
      </c>
      <c r="P180">
        <v>0</v>
      </c>
      <c r="Q180" s="14" t="s">
        <v>1120</v>
      </c>
      <c r="R180" t="s">
        <v>560</v>
      </c>
    </row>
    <row r="181" spans="1:18">
      <c r="A181" t="s">
        <v>600</v>
      </c>
      <c r="B181" t="s">
        <v>37</v>
      </c>
      <c r="C181" t="s">
        <v>38</v>
      </c>
      <c r="D181" t="s">
        <v>25</v>
      </c>
      <c r="E181" t="s">
        <v>568</v>
      </c>
      <c r="F181" t="s">
        <v>20</v>
      </c>
      <c r="G181" t="s">
        <v>601</v>
      </c>
      <c r="H181" s="13">
        <v>160000</v>
      </c>
      <c r="I181" s="13">
        <v>0</v>
      </c>
      <c r="J181">
        <v>1</v>
      </c>
      <c r="K181" t="s">
        <v>28</v>
      </c>
      <c r="L181" s="6">
        <v>41730</v>
      </c>
      <c r="M181" t="s">
        <v>602</v>
      </c>
      <c r="N181">
        <v>2</v>
      </c>
      <c r="O181" s="14" t="s">
        <v>1120</v>
      </c>
      <c r="P181">
        <v>0</v>
      </c>
      <c r="Q181" s="14" t="s">
        <v>1120</v>
      </c>
      <c r="R181" t="s">
        <v>600</v>
      </c>
    </row>
    <row r="182" spans="1:18">
      <c r="A182" t="s">
        <v>564</v>
      </c>
      <c r="B182" t="s">
        <v>99</v>
      </c>
      <c r="C182" t="s">
        <v>66</v>
      </c>
      <c r="D182" t="s">
        <v>18</v>
      </c>
      <c r="E182" t="s">
        <v>146</v>
      </c>
      <c r="F182" t="s">
        <v>20</v>
      </c>
      <c r="G182" t="s">
        <v>565</v>
      </c>
      <c r="H182" s="13">
        <v>143250</v>
      </c>
      <c r="I182" s="13">
        <v>0</v>
      </c>
      <c r="J182">
        <v>1</v>
      </c>
      <c r="K182" t="s">
        <v>22</v>
      </c>
      <c r="L182" s="6">
        <v>41730</v>
      </c>
      <c r="M182" t="s">
        <v>566</v>
      </c>
      <c r="N182">
        <v>0</v>
      </c>
      <c r="O182" s="14" t="s">
        <v>1120</v>
      </c>
      <c r="P182">
        <v>0</v>
      </c>
      <c r="Q182" s="14" t="s">
        <v>1120</v>
      </c>
      <c r="R182" t="s">
        <v>564</v>
      </c>
    </row>
    <row r="183" spans="1:18">
      <c r="A183" t="s">
        <v>609</v>
      </c>
      <c r="B183" t="s">
        <v>116</v>
      </c>
      <c r="C183" t="s">
        <v>32</v>
      </c>
      <c r="D183" t="s">
        <v>25</v>
      </c>
      <c r="E183" t="s">
        <v>610</v>
      </c>
      <c r="F183" t="s">
        <v>20</v>
      </c>
      <c r="G183" t="s">
        <v>611</v>
      </c>
      <c r="H183" s="13">
        <v>159612</v>
      </c>
      <c r="I183" s="13">
        <v>0</v>
      </c>
      <c r="J183">
        <v>1</v>
      </c>
      <c r="K183" t="s">
        <v>22</v>
      </c>
      <c r="L183" s="6">
        <v>41913</v>
      </c>
      <c r="M183" t="s">
        <v>612</v>
      </c>
      <c r="N183">
        <v>0</v>
      </c>
      <c r="O183" s="14" t="s">
        <v>1120</v>
      </c>
      <c r="P183">
        <v>0</v>
      </c>
      <c r="Q183" s="14" t="s">
        <v>1120</v>
      </c>
      <c r="R183" t="s">
        <v>609</v>
      </c>
    </row>
    <row r="184" spans="1:18">
      <c r="A184" t="s">
        <v>613</v>
      </c>
      <c r="B184" t="s">
        <v>614</v>
      </c>
      <c r="C184" t="s">
        <v>32</v>
      </c>
      <c r="D184" t="s">
        <v>25</v>
      </c>
      <c r="E184" t="s">
        <v>610</v>
      </c>
      <c r="F184" t="s">
        <v>20</v>
      </c>
      <c r="G184" t="s">
        <v>615</v>
      </c>
      <c r="H184" s="13">
        <v>160000</v>
      </c>
      <c r="I184" s="13">
        <v>0</v>
      </c>
      <c r="J184">
        <v>1</v>
      </c>
      <c r="K184" t="s">
        <v>113</v>
      </c>
      <c r="L184" s="6">
        <v>41913</v>
      </c>
      <c r="M184" t="s">
        <v>616</v>
      </c>
      <c r="N184">
        <v>1</v>
      </c>
      <c r="O184" s="14" t="s">
        <v>1120</v>
      </c>
      <c r="P184">
        <v>0</v>
      </c>
      <c r="Q184" s="14" t="s">
        <v>1120</v>
      </c>
      <c r="R184" t="s">
        <v>613</v>
      </c>
    </row>
    <row r="185" spans="1:18">
      <c r="A185" t="s">
        <v>617</v>
      </c>
      <c r="B185" t="s">
        <v>16</v>
      </c>
      <c r="C185" t="s">
        <v>17</v>
      </c>
      <c r="D185" t="s">
        <v>25</v>
      </c>
      <c r="E185" t="s">
        <v>610</v>
      </c>
      <c r="F185" t="s">
        <v>20</v>
      </c>
      <c r="G185" t="s">
        <v>618</v>
      </c>
      <c r="H185" s="13">
        <v>150030</v>
      </c>
      <c r="I185" s="13">
        <v>0</v>
      </c>
      <c r="J185">
        <v>1</v>
      </c>
      <c r="K185" t="s">
        <v>28</v>
      </c>
      <c r="L185" s="6">
        <v>41913</v>
      </c>
      <c r="M185" t="s">
        <v>619</v>
      </c>
      <c r="N185">
        <v>2</v>
      </c>
      <c r="O185" s="14" t="s">
        <v>1120</v>
      </c>
      <c r="P185">
        <v>0</v>
      </c>
      <c r="Q185" s="14" t="s">
        <v>1120</v>
      </c>
      <c r="R185" t="s">
        <v>617</v>
      </c>
    </row>
    <row r="186" spans="1:18">
      <c r="A186" t="s">
        <v>620</v>
      </c>
      <c r="B186" t="s">
        <v>16</v>
      </c>
      <c r="C186" t="s">
        <v>17</v>
      </c>
      <c r="D186" t="s">
        <v>25</v>
      </c>
      <c r="E186" t="s">
        <v>610</v>
      </c>
      <c r="F186" t="s">
        <v>20</v>
      </c>
      <c r="G186" t="s">
        <v>621</v>
      </c>
      <c r="H186" s="13">
        <v>160000</v>
      </c>
      <c r="I186" s="13">
        <v>0</v>
      </c>
      <c r="J186">
        <v>1</v>
      </c>
      <c r="K186" t="s">
        <v>113</v>
      </c>
      <c r="L186" s="6">
        <v>41913</v>
      </c>
      <c r="M186" t="s">
        <v>622</v>
      </c>
      <c r="N186">
        <v>0</v>
      </c>
      <c r="O186" s="14" t="s">
        <v>1120</v>
      </c>
      <c r="P186">
        <v>0</v>
      </c>
      <c r="Q186" s="14" t="s">
        <v>1120</v>
      </c>
      <c r="R186" t="s">
        <v>620</v>
      </c>
    </row>
    <row r="187" spans="1:18">
      <c r="A187" t="s">
        <v>603</v>
      </c>
      <c r="B187" t="s">
        <v>285</v>
      </c>
      <c r="C187" t="s">
        <v>38</v>
      </c>
      <c r="D187" t="s">
        <v>18</v>
      </c>
      <c r="E187" t="s">
        <v>604</v>
      </c>
      <c r="F187" t="s">
        <v>20</v>
      </c>
      <c r="G187" t="s">
        <v>605</v>
      </c>
      <c r="H187" s="13">
        <v>222143</v>
      </c>
      <c r="I187" s="13">
        <v>77857</v>
      </c>
      <c r="J187">
        <v>1</v>
      </c>
      <c r="K187" t="s">
        <v>22</v>
      </c>
      <c r="L187" s="6">
        <v>41913</v>
      </c>
      <c r="M187" t="s">
        <v>606</v>
      </c>
      <c r="N187">
        <v>5</v>
      </c>
      <c r="O187" s="14" t="s">
        <v>1120</v>
      </c>
      <c r="P187">
        <v>0</v>
      </c>
      <c r="Q187" s="14" t="s">
        <v>1120</v>
      </c>
      <c r="R187" t="s">
        <v>603</v>
      </c>
    </row>
    <row r="188" spans="1:18">
      <c r="A188" t="s">
        <v>623</v>
      </c>
      <c r="B188" t="s">
        <v>31</v>
      </c>
      <c r="C188" t="s">
        <v>32</v>
      </c>
      <c r="D188" t="s">
        <v>25</v>
      </c>
      <c r="E188" t="s">
        <v>610</v>
      </c>
      <c r="F188" t="s">
        <v>20</v>
      </c>
      <c r="G188" t="s">
        <v>624</v>
      </c>
      <c r="H188" s="13">
        <v>159946</v>
      </c>
      <c r="I188" s="13">
        <v>0</v>
      </c>
      <c r="J188">
        <v>1</v>
      </c>
      <c r="K188" t="s">
        <v>44</v>
      </c>
      <c r="L188" s="6">
        <v>41913</v>
      </c>
      <c r="M188" t="s">
        <v>625</v>
      </c>
      <c r="N188">
        <v>0</v>
      </c>
      <c r="O188" s="14" t="s">
        <v>1120</v>
      </c>
      <c r="P188">
        <v>0</v>
      </c>
      <c r="Q188" s="14" t="s">
        <v>1120</v>
      </c>
      <c r="R188" t="s">
        <v>623</v>
      </c>
    </row>
    <row r="189" spans="1:18">
      <c r="A189" t="s">
        <v>626</v>
      </c>
      <c r="B189" t="s">
        <v>31</v>
      </c>
      <c r="C189" t="s">
        <v>32</v>
      </c>
      <c r="D189" t="s">
        <v>25</v>
      </c>
      <c r="E189" t="s">
        <v>610</v>
      </c>
      <c r="F189" t="s">
        <v>20</v>
      </c>
      <c r="G189" t="s">
        <v>627</v>
      </c>
      <c r="H189" s="13">
        <v>159665</v>
      </c>
      <c r="I189" s="13">
        <v>0</v>
      </c>
      <c r="J189">
        <v>1</v>
      </c>
      <c r="K189" t="s">
        <v>34</v>
      </c>
      <c r="L189" s="6">
        <v>41913</v>
      </c>
      <c r="M189" t="s">
        <v>628</v>
      </c>
      <c r="N189">
        <v>2</v>
      </c>
      <c r="O189" s="14" t="s">
        <v>1120</v>
      </c>
      <c r="P189">
        <v>0</v>
      </c>
      <c r="Q189" s="14" t="s">
        <v>1120</v>
      </c>
      <c r="R189" t="s">
        <v>626</v>
      </c>
    </row>
    <row r="190" spans="1:18">
      <c r="A190" t="s">
        <v>629</v>
      </c>
      <c r="B190" t="s">
        <v>180</v>
      </c>
      <c r="C190" t="s">
        <v>38</v>
      </c>
      <c r="D190" t="s">
        <v>25</v>
      </c>
      <c r="E190" t="s">
        <v>610</v>
      </c>
      <c r="F190" t="s">
        <v>20</v>
      </c>
      <c r="G190" t="s">
        <v>630</v>
      </c>
      <c r="H190" s="13">
        <v>159845</v>
      </c>
      <c r="I190" s="13">
        <v>0</v>
      </c>
      <c r="J190">
        <v>1</v>
      </c>
      <c r="K190" t="s">
        <v>28</v>
      </c>
      <c r="L190" s="6">
        <v>41913</v>
      </c>
      <c r="M190" t="s">
        <v>631</v>
      </c>
      <c r="N190">
        <v>0</v>
      </c>
      <c r="O190" s="14" t="s">
        <v>1120</v>
      </c>
      <c r="P190">
        <v>0</v>
      </c>
      <c r="Q190" s="14" t="s">
        <v>1120</v>
      </c>
      <c r="R190" t="s">
        <v>629</v>
      </c>
    </row>
    <row r="191" spans="1:18">
      <c r="A191" t="s">
        <v>632</v>
      </c>
      <c r="B191" t="s">
        <v>16</v>
      </c>
      <c r="C191" t="s">
        <v>17</v>
      </c>
      <c r="D191" t="s">
        <v>25</v>
      </c>
      <c r="E191" t="s">
        <v>610</v>
      </c>
      <c r="F191" t="s">
        <v>20</v>
      </c>
      <c r="G191" t="s">
        <v>633</v>
      </c>
      <c r="H191" s="13">
        <v>159788</v>
      </c>
      <c r="I191" s="13">
        <v>0</v>
      </c>
      <c r="J191">
        <v>1</v>
      </c>
      <c r="K191" t="s">
        <v>34</v>
      </c>
      <c r="L191" s="6">
        <v>41913</v>
      </c>
      <c r="M191" t="s">
        <v>634</v>
      </c>
      <c r="N191">
        <v>1</v>
      </c>
      <c r="O191" s="14" t="s">
        <v>1120</v>
      </c>
      <c r="P191">
        <v>0</v>
      </c>
      <c r="Q191" s="14" t="s">
        <v>1120</v>
      </c>
      <c r="R191" t="s">
        <v>632</v>
      </c>
    </row>
    <row r="192" spans="1:18">
      <c r="A192" t="s">
        <v>46</v>
      </c>
      <c r="B192" t="s">
        <v>37</v>
      </c>
      <c r="C192" t="s">
        <v>38</v>
      </c>
      <c r="D192" t="s">
        <v>25</v>
      </c>
      <c r="E192" t="s">
        <v>610</v>
      </c>
      <c r="F192" t="s">
        <v>20</v>
      </c>
      <c r="G192" t="s">
        <v>635</v>
      </c>
      <c r="H192" s="13">
        <v>160000</v>
      </c>
      <c r="I192" s="13">
        <v>0</v>
      </c>
      <c r="J192">
        <v>1</v>
      </c>
      <c r="K192" t="s">
        <v>48</v>
      </c>
      <c r="L192" s="6">
        <v>41913</v>
      </c>
      <c r="M192" t="s">
        <v>636</v>
      </c>
      <c r="N192">
        <v>3</v>
      </c>
      <c r="O192" s="14" t="s">
        <v>1120</v>
      </c>
      <c r="P192">
        <v>0</v>
      </c>
      <c r="Q192" s="14" t="s">
        <v>1120</v>
      </c>
      <c r="R192" t="s">
        <v>46</v>
      </c>
    </row>
    <row r="193" spans="1:18">
      <c r="A193" t="s">
        <v>445</v>
      </c>
      <c r="B193" t="s">
        <v>16</v>
      </c>
      <c r="C193" t="s">
        <v>17</v>
      </c>
      <c r="D193" t="s">
        <v>18</v>
      </c>
      <c r="E193" t="s">
        <v>604</v>
      </c>
      <c r="F193" t="s">
        <v>20</v>
      </c>
      <c r="G193" t="s">
        <v>607</v>
      </c>
      <c r="H193" s="13">
        <v>289799</v>
      </c>
      <c r="I193" s="13">
        <v>5000</v>
      </c>
      <c r="J193">
        <v>1</v>
      </c>
      <c r="K193" t="s">
        <v>40</v>
      </c>
      <c r="L193" s="6">
        <v>41913</v>
      </c>
      <c r="M193" t="s">
        <v>608</v>
      </c>
      <c r="N193">
        <v>7</v>
      </c>
      <c r="O193" s="14" t="s">
        <v>1120</v>
      </c>
      <c r="P193">
        <v>0</v>
      </c>
      <c r="Q193" s="14" t="s">
        <v>1120</v>
      </c>
      <c r="R193" t="s">
        <v>445</v>
      </c>
    </row>
    <row r="194" spans="1:18">
      <c r="A194" t="s">
        <v>640</v>
      </c>
      <c r="B194" t="s">
        <v>373</v>
      </c>
      <c r="C194" t="s">
        <v>38</v>
      </c>
      <c r="D194" t="s">
        <v>25</v>
      </c>
      <c r="E194" t="s">
        <v>610</v>
      </c>
      <c r="F194" t="s">
        <v>20</v>
      </c>
      <c r="G194" t="s">
        <v>641</v>
      </c>
      <c r="H194" s="13">
        <v>159000</v>
      </c>
      <c r="I194" s="13">
        <v>0</v>
      </c>
      <c r="J194">
        <v>1</v>
      </c>
      <c r="K194" t="s">
        <v>22</v>
      </c>
      <c r="L194" s="6">
        <v>41913</v>
      </c>
      <c r="M194" t="s">
        <v>642</v>
      </c>
      <c r="N194">
        <v>1</v>
      </c>
      <c r="O194" s="14" t="s">
        <v>1120</v>
      </c>
      <c r="P194">
        <v>0</v>
      </c>
      <c r="Q194" s="14" t="s">
        <v>1120</v>
      </c>
      <c r="R194" t="s">
        <v>640</v>
      </c>
    </row>
    <row r="195" spans="1:18">
      <c r="A195" t="s">
        <v>643</v>
      </c>
      <c r="B195" t="s">
        <v>16</v>
      </c>
      <c r="C195" t="s">
        <v>17</v>
      </c>
      <c r="D195" t="s">
        <v>25</v>
      </c>
      <c r="E195" t="s">
        <v>610</v>
      </c>
      <c r="F195" t="s">
        <v>20</v>
      </c>
      <c r="G195" t="s">
        <v>644</v>
      </c>
      <c r="H195" s="13">
        <v>160000</v>
      </c>
      <c r="I195" s="13">
        <v>0</v>
      </c>
      <c r="J195">
        <v>1</v>
      </c>
      <c r="K195" t="s">
        <v>108</v>
      </c>
      <c r="L195" s="6">
        <v>41913</v>
      </c>
      <c r="M195" t="s">
        <v>645</v>
      </c>
      <c r="N195">
        <v>1</v>
      </c>
      <c r="O195" s="14" t="s">
        <v>1120</v>
      </c>
      <c r="P195">
        <v>0</v>
      </c>
      <c r="Q195" s="14" t="s">
        <v>1120</v>
      </c>
      <c r="R195" t="s">
        <v>643</v>
      </c>
    </row>
    <row r="196" spans="1:18">
      <c r="A196" t="s">
        <v>649</v>
      </c>
      <c r="B196" t="s">
        <v>31</v>
      </c>
      <c r="C196" t="s">
        <v>32</v>
      </c>
      <c r="D196" t="s">
        <v>25</v>
      </c>
      <c r="E196" t="s">
        <v>610</v>
      </c>
      <c r="F196" t="s">
        <v>20</v>
      </c>
      <c r="G196" t="s">
        <v>650</v>
      </c>
      <c r="H196" s="13">
        <v>160000</v>
      </c>
      <c r="I196" s="13">
        <v>0</v>
      </c>
      <c r="J196">
        <v>1</v>
      </c>
      <c r="K196" t="s">
        <v>108</v>
      </c>
      <c r="L196" s="6">
        <v>41913</v>
      </c>
      <c r="M196" t="s">
        <v>651</v>
      </c>
      <c r="N196">
        <v>1</v>
      </c>
      <c r="O196" s="14" t="s">
        <v>1120</v>
      </c>
      <c r="P196">
        <v>0</v>
      </c>
      <c r="Q196" s="14" t="s">
        <v>1120</v>
      </c>
      <c r="R196" t="s">
        <v>649</v>
      </c>
    </row>
    <row r="197" spans="1:18">
      <c r="A197" t="s">
        <v>657</v>
      </c>
      <c r="B197" t="s">
        <v>139</v>
      </c>
      <c r="C197" t="s">
        <v>32</v>
      </c>
      <c r="D197" t="s">
        <v>25</v>
      </c>
      <c r="E197" t="s">
        <v>658</v>
      </c>
      <c r="F197" t="s">
        <v>20</v>
      </c>
      <c r="G197" t="s">
        <v>659</v>
      </c>
      <c r="H197" s="13">
        <v>160000</v>
      </c>
      <c r="I197" s="13">
        <v>0</v>
      </c>
      <c r="J197">
        <v>1</v>
      </c>
      <c r="K197" t="s">
        <v>22</v>
      </c>
      <c r="L197" s="6">
        <v>42095</v>
      </c>
      <c r="M197" t="s">
        <v>660</v>
      </c>
      <c r="N197">
        <v>0</v>
      </c>
      <c r="O197" s="14" t="s">
        <v>1120</v>
      </c>
      <c r="P197">
        <v>0</v>
      </c>
      <c r="Q197" s="14" t="s">
        <v>1120</v>
      </c>
      <c r="R197" t="s">
        <v>657</v>
      </c>
    </row>
    <row r="198" spans="1:18">
      <c r="A198" t="s">
        <v>661</v>
      </c>
      <c r="B198" t="s">
        <v>180</v>
      </c>
      <c r="C198" t="s">
        <v>38</v>
      </c>
      <c r="D198" t="s">
        <v>25</v>
      </c>
      <c r="E198" t="s">
        <v>658</v>
      </c>
      <c r="F198" t="s">
        <v>20</v>
      </c>
      <c r="G198" t="s">
        <v>662</v>
      </c>
      <c r="H198" s="13">
        <v>149015</v>
      </c>
      <c r="I198" s="13">
        <v>10634</v>
      </c>
      <c r="J198">
        <v>1</v>
      </c>
      <c r="K198" t="s">
        <v>34</v>
      </c>
      <c r="L198" s="6">
        <v>42095</v>
      </c>
      <c r="M198" t="s">
        <v>663</v>
      </c>
      <c r="N198">
        <v>1</v>
      </c>
      <c r="O198" s="14" t="s">
        <v>1120</v>
      </c>
      <c r="P198">
        <v>0</v>
      </c>
      <c r="Q198" s="14" t="s">
        <v>1120</v>
      </c>
      <c r="R198" t="s">
        <v>661</v>
      </c>
    </row>
    <row r="199" spans="1:18">
      <c r="A199" t="s">
        <v>664</v>
      </c>
      <c r="B199" t="s">
        <v>16</v>
      </c>
      <c r="C199" t="s">
        <v>17</v>
      </c>
      <c r="D199" t="s">
        <v>25</v>
      </c>
      <c r="E199" t="s">
        <v>658</v>
      </c>
      <c r="F199" t="s">
        <v>20</v>
      </c>
      <c r="G199" t="s">
        <v>665</v>
      </c>
      <c r="H199" s="13">
        <v>160000</v>
      </c>
      <c r="I199" s="13">
        <v>0</v>
      </c>
      <c r="J199">
        <v>1</v>
      </c>
      <c r="K199" t="s">
        <v>40</v>
      </c>
      <c r="L199" s="6">
        <v>42095</v>
      </c>
      <c r="M199" t="s">
        <v>666</v>
      </c>
      <c r="N199">
        <v>2</v>
      </c>
      <c r="O199" s="14" t="s">
        <v>1120</v>
      </c>
      <c r="P199">
        <v>0</v>
      </c>
      <c r="Q199" s="14" t="s">
        <v>1120</v>
      </c>
      <c r="R199" t="s">
        <v>664</v>
      </c>
    </row>
    <row r="200" spans="1:18">
      <c r="A200" t="s">
        <v>667</v>
      </c>
      <c r="B200" t="s">
        <v>99</v>
      </c>
      <c r="C200" t="s">
        <v>66</v>
      </c>
      <c r="D200" t="s">
        <v>25</v>
      </c>
      <c r="E200" t="s">
        <v>658</v>
      </c>
      <c r="F200" t="s">
        <v>20</v>
      </c>
      <c r="G200" t="s">
        <v>668</v>
      </c>
      <c r="H200" s="13">
        <v>160000</v>
      </c>
      <c r="I200" s="13">
        <v>0</v>
      </c>
      <c r="J200">
        <v>1</v>
      </c>
      <c r="K200" t="s">
        <v>34</v>
      </c>
      <c r="L200" s="6">
        <v>42095</v>
      </c>
      <c r="M200" t="s">
        <v>669</v>
      </c>
      <c r="N200">
        <v>0</v>
      </c>
      <c r="O200" s="14" t="s">
        <v>1120</v>
      </c>
      <c r="P200">
        <v>0</v>
      </c>
      <c r="Q200" s="14" t="s">
        <v>1120</v>
      </c>
      <c r="R200" t="s">
        <v>667</v>
      </c>
    </row>
    <row r="201" spans="1:18">
      <c r="A201" t="s">
        <v>670</v>
      </c>
      <c r="B201" t="s">
        <v>111</v>
      </c>
      <c r="C201" t="s">
        <v>38</v>
      </c>
      <c r="D201" t="s">
        <v>25</v>
      </c>
      <c r="E201" t="s">
        <v>658</v>
      </c>
      <c r="F201" t="s">
        <v>20</v>
      </c>
      <c r="G201" t="s">
        <v>671</v>
      </c>
      <c r="H201" s="13">
        <v>160000</v>
      </c>
      <c r="I201" s="13">
        <v>0</v>
      </c>
      <c r="J201">
        <v>1</v>
      </c>
      <c r="K201" t="s">
        <v>108</v>
      </c>
      <c r="L201" s="6">
        <v>42095</v>
      </c>
      <c r="M201" t="s">
        <v>672</v>
      </c>
      <c r="N201">
        <v>1</v>
      </c>
      <c r="O201" s="14" t="s">
        <v>1120</v>
      </c>
      <c r="P201">
        <v>0</v>
      </c>
      <c r="Q201" s="14" t="s">
        <v>1120</v>
      </c>
      <c r="R201" t="s">
        <v>670</v>
      </c>
    </row>
    <row r="202" spans="1:18">
      <c r="A202" t="s">
        <v>673</v>
      </c>
      <c r="B202" t="s">
        <v>16</v>
      </c>
      <c r="C202" t="s">
        <v>17</v>
      </c>
      <c r="D202" t="s">
        <v>25</v>
      </c>
      <c r="E202" t="s">
        <v>658</v>
      </c>
      <c r="F202" t="s">
        <v>20</v>
      </c>
      <c r="G202" t="s">
        <v>674</v>
      </c>
      <c r="H202" s="13">
        <v>160000</v>
      </c>
      <c r="I202" s="13">
        <v>0</v>
      </c>
      <c r="J202">
        <v>1</v>
      </c>
      <c r="K202" t="s">
        <v>22</v>
      </c>
      <c r="L202" s="6">
        <v>42095</v>
      </c>
      <c r="M202" t="s">
        <v>675</v>
      </c>
      <c r="N202">
        <v>4</v>
      </c>
      <c r="O202" s="14" t="s">
        <v>1120</v>
      </c>
      <c r="P202">
        <v>0</v>
      </c>
      <c r="Q202" s="14" t="s">
        <v>1120</v>
      </c>
      <c r="R202" t="s">
        <v>673</v>
      </c>
    </row>
    <row r="203" spans="1:18">
      <c r="A203" t="s">
        <v>676</v>
      </c>
      <c r="B203" t="s">
        <v>37</v>
      </c>
      <c r="C203" t="s">
        <v>38</v>
      </c>
      <c r="D203" t="s">
        <v>25</v>
      </c>
      <c r="E203" t="s">
        <v>658</v>
      </c>
      <c r="F203" t="s">
        <v>20</v>
      </c>
      <c r="G203" t="s">
        <v>677</v>
      </c>
      <c r="H203" s="13">
        <v>149949</v>
      </c>
      <c r="I203" s="13">
        <v>0</v>
      </c>
      <c r="J203">
        <v>1</v>
      </c>
      <c r="K203" t="s">
        <v>44</v>
      </c>
      <c r="L203" s="6">
        <v>42095</v>
      </c>
      <c r="M203" t="s">
        <v>678</v>
      </c>
      <c r="N203">
        <v>1</v>
      </c>
      <c r="O203" s="14" t="s">
        <v>1120</v>
      </c>
      <c r="P203">
        <v>0</v>
      </c>
      <c r="Q203" s="14" t="s">
        <v>1120</v>
      </c>
      <c r="R203" t="s">
        <v>676</v>
      </c>
    </row>
    <row r="204" spans="1:18">
      <c r="A204" t="s">
        <v>679</v>
      </c>
      <c r="B204" t="s">
        <v>70</v>
      </c>
      <c r="C204" t="s">
        <v>71</v>
      </c>
      <c r="D204" t="s">
        <v>25</v>
      </c>
      <c r="E204" t="s">
        <v>658</v>
      </c>
      <c r="F204" t="s">
        <v>20</v>
      </c>
      <c r="G204" t="s">
        <v>680</v>
      </c>
      <c r="H204" s="13">
        <v>157633</v>
      </c>
      <c r="I204" s="13">
        <v>0</v>
      </c>
      <c r="J204">
        <v>1</v>
      </c>
      <c r="K204" t="s">
        <v>108</v>
      </c>
      <c r="L204" s="6">
        <v>42095</v>
      </c>
      <c r="M204" t="s">
        <v>681</v>
      </c>
      <c r="N204">
        <v>3</v>
      </c>
      <c r="O204" s="14" t="s">
        <v>1120</v>
      </c>
      <c r="P204">
        <v>0</v>
      </c>
      <c r="Q204" s="14" t="s">
        <v>1120</v>
      </c>
      <c r="R204" t="s">
        <v>679</v>
      </c>
    </row>
    <row r="205" spans="1:18">
      <c r="A205" t="s">
        <v>115</v>
      </c>
      <c r="B205" t="s">
        <v>116</v>
      </c>
      <c r="C205" t="s">
        <v>32</v>
      </c>
      <c r="D205" t="s">
        <v>25</v>
      </c>
      <c r="E205" t="s">
        <v>658</v>
      </c>
      <c r="F205" t="s">
        <v>20</v>
      </c>
      <c r="G205" t="s">
        <v>682</v>
      </c>
      <c r="H205" s="13">
        <v>160000</v>
      </c>
      <c r="I205" s="13">
        <v>0</v>
      </c>
      <c r="J205">
        <v>1</v>
      </c>
      <c r="K205" t="s">
        <v>108</v>
      </c>
      <c r="L205" s="6">
        <v>42095</v>
      </c>
      <c r="M205" t="s">
        <v>683</v>
      </c>
      <c r="N205">
        <v>0</v>
      </c>
      <c r="O205" s="14" t="s">
        <v>1120</v>
      </c>
      <c r="P205">
        <v>0</v>
      </c>
      <c r="Q205" s="14" t="s">
        <v>1120</v>
      </c>
      <c r="R205" t="s">
        <v>115</v>
      </c>
    </row>
    <row r="206" spans="1:18">
      <c r="A206" t="s">
        <v>507</v>
      </c>
      <c r="B206" t="s">
        <v>508</v>
      </c>
      <c r="C206" t="s">
        <v>17</v>
      </c>
      <c r="D206" t="s">
        <v>18</v>
      </c>
      <c r="E206" t="s">
        <v>652</v>
      </c>
      <c r="F206" t="s">
        <v>20</v>
      </c>
      <c r="G206" t="s">
        <v>653</v>
      </c>
      <c r="H206" s="13">
        <v>268499</v>
      </c>
      <c r="I206" s="13">
        <v>2000</v>
      </c>
      <c r="J206">
        <v>1</v>
      </c>
      <c r="K206" t="s">
        <v>34</v>
      </c>
      <c r="L206" s="6">
        <v>42095</v>
      </c>
      <c r="M206" t="s">
        <v>654</v>
      </c>
      <c r="N206">
        <v>2</v>
      </c>
      <c r="O206" s="14" t="s">
        <v>1120</v>
      </c>
      <c r="P206">
        <v>0</v>
      </c>
      <c r="Q206" s="14" t="s">
        <v>1120</v>
      </c>
      <c r="R206" t="s">
        <v>507</v>
      </c>
    </row>
    <row r="207" spans="1:18">
      <c r="A207" t="s">
        <v>511</v>
      </c>
      <c r="B207" t="s">
        <v>37</v>
      </c>
      <c r="C207" t="s">
        <v>38</v>
      </c>
      <c r="D207" t="s">
        <v>18</v>
      </c>
      <c r="E207" t="s">
        <v>652</v>
      </c>
      <c r="F207" t="s">
        <v>20</v>
      </c>
      <c r="G207" t="s">
        <v>655</v>
      </c>
      <c r="H207" s="13">
        <v>189920</v>
      </c>
      <c r="I207" s="13">
        <v>0</v>
      </c>
      <c r="J207">
        <v>1</v>
      </c>
      <c r="K207" t="s">
        <v>108</v>
      </c>
      <c r="L207" s="6">
        <v>42095</v>
      </c>
      <c r="M207" t="s">
        <v>656</v>
      </c>
      <c r="N207">
        <v>1</v>
      </c>
      <c r="O207" s="14" t="s">
        <v>1120</v>
      </c>
      <c r="P207">
        <v>0</v>
      </c>
      <c r="Q207" s="14" t="s">
        <v>1120</v>
      </c>
      <c r="R207" t="s">
        <v>511</v>
      </c>
    </row>
    <row r="208" spans="1:18">
      <c r="A208" t="s">
        <v>684</v>
      </c>
      <c r="B208" t="s">
        <v>37</v>
      </c>
      <c r="C208" t="s">
        <v>38</v>
      </c>
      <c r="D208" t="s">
        <v>25</v>
      </c>
      <c r="E208" t="s">
        <v>658</v>
      </c>
      <c r="F208" t="s">
        <v>20</v>
      </c>
      <c r="G208" t="s">
        <v>685</v>
      </c>
      <c r="H208" s="13">
        <v>159904</v>
      </c>
      <c r="I208" s="13">
        <v>0</v>
      </c>
      <c r="J208">
        <v>1</v>
      </c>
      <c r="K208" t="s">
        <v>309</v>
      </c>
      <c r="L208" s="6">
        <v>42095</v>
      </c>
      <c r="M208" t="s">
        <v>686</v>
      </c>
      <c r="N208">
        <v>4</v>
      </c>
      <c r="O208" s="14" t="s">
        <v>1120</v>
      </c>
      <c r="P208">
        <v>0</v>
      </c>
      <c r="Q208" s="14" t="s">
        <v>1120</v>
      </c>
      <c r="R208" t="s">
        <v>684</v>
      </c>
    </row>
    <row r="209" spans="1:18">
      <c r="A209" t="s">
        <v>687</v>
      </c>
      <c r="B209" t="s">
        <v>155</v>
      </c>
      <c r="C209" t="s">
        <v>32</v>
      </c>
      <c r="D209" t="s">
        <v>25</v>
      </c>
      <c r="E209" t="s">
        <v>658</v>
      </c>
      <c r="F209" t="s">
        <v>20</v>
      </c>
      <c r="G209" t="s">
        <v>688</v>
      </c>
      <c r="H209" s="13">
        <v>148240</v>
      </c>
      <c r="I209" s="13">
        <v>11000</v>
      </c>
      <c r="J209">
        <v>1</v>
      </c>
      <c r="K209" t="s">
        <v>28</v>
      </c>
      <c r="L209" s="6">
        <v>42095</v>
      </c>
      <c r="M209" t="s">
        <v>689</v>
      </c>
      <c r="N209">
        <v>0</v>
      </c>
      <c r="O209" s="14" t="s">
        <v>1120</v>
      </c>
      <c r="P209">
        <v>0</v>
      </c>
      <c r="Q209" s="14" t="s">
        <v>1120</v>
      </c>
      <c r="R209" t="s">
        <v>687</v>
      </c>
    </row>
    <row r="210" spans="1:18">
      <c r="A210" t="s">
        <v>690</v>
      </c>
      <c r="B210" t="s">
        <v>180</v>
      </c>
      <c r="C210" t="s">
        <v>38</v>
      </c>
      <c r="D210" t="s">
        <v>25</v>
      </c>
      <c r="E210" t="s">
        <v>658</v>
      </c>
      <c r="F210" t="s">
        <v>20</v>
      </c>
      <c r="G210" t="s">
        <v>691</v>
      </c>
      <c r="H210" s="13">
        <v>160000</v>
      </c>
      <c r="I210" s="13">
        <v>0</v>
      </c>
      <c r="J210">
        <v>1</v>
      </c>
      <c r="K210" t="s">
        <v>28</v>
      </c>
      <c r="L210" s="6">
        <v>42095</v>
      </c>
      <c r="M210" t="s">
        <v>692</v>
      </c>
      <c r="N210">
        <v>0</v>
      </c>
      <c r="O210" s="14" t="s">
        <v>1120</v>
      </c>
      <c r="P210">
        <v>0</v>
      </c>
      <c r="Q210" s="14" t="s">
        <v>1120</v>
      </c>
      <c r="R210" t="s">
        <v>690</v>
      </c>
    </row>
    <row r="211" spans="1:18">
      <c r="A211" t="s">
        <v>213</v>
      </c>
      <c r="B211" t="s">
        <v>16</v>
      </c>
      <c r="C211" t="s">
        <v>17</v>
      </c>
      <c r="D211" t="s">
        <v>25</v>
      </c>
      <c r="E211" t="s">
        <v>658</v>
      </c>
      <c r="F211" t="s">
        <v>20</v>
      </c>
      <c r="G211" t="s">
        <v>693</v>
      </c>
      <c r="H211" s="13">
        <v>159981</v>
      </c>
      <c r="I211" s="13">
        <v>0</v>
      </c>
      <c r="J211">
        <v>1</v>
      </c>
      <c r="K211" t="s">
        <v>48</v>
      </c>
      <c r="L211" s="6">
        <v>42095</v>
      </c>
      <c r="M211" t="s">
        <v>694</v>
      </c>
      <c r="N211">
        <v>5</v>
      </c>
      <c r="O211" s="14" t="s">
        <v>1120</v>
      </c>
      <c r="P211">
        <v>0</v>
      </c>
      <c r="Q211" s="14" t="s">
        <v>1120</v>
      </c>
      <c r="R211" t="s">
        <v>213</v>
      </c>
    </row>
    <row r="212" spans="1:18">
      <c r="A212" t="s">
        <v>564</v>
      </c>
      <c r="B212" t="s">
        <v>99</v>
      </c>
      <c r="C212" t="s">
        <v>66</v>
      </c>
      <c r="D212" t="s">
        <v>25</v>
      </c>
      <c r="E212" t="s">
        <v>658</v>
      </c>
      <c r="F212" t="s">
        <v>20</v>
      </c>
      <c r="G212" t="s">
        <v>695</v>
      </c>
      <c r="H212" s="13">
        <v>160000</v>
      </c>
      <c r="I212" s="13">
        <v>0</v>
      </c>
      <c r="J212">
        <v>1</v>
      </c>
      <c r="K212" t="s">
        <v>22</v>
      </c>
      <c r="L212" s="6">
        <v>42095</v>
      </c>
      <c r="M212" t="s">
        <v>696</v>
      </c>
      <c r="N212">
        <v>0</v>
      </c>
      <c r="O212" s="14" t="s">
        <v>1120</v>
      </c>
      <c r="P212">
        <v>0</v>
      </c>
      <c r="Q212" s="14" t="s">
        <v>1120</v>
      </c>
      <c r="R212" t="s">
        <v>564</v>
      </c>
    </row>
    <row r="213" spans="1:18">
      <c r="A213" t="s">
        <v>697</v>
      </c>
      <c r="B213" t="s">
        <v>58</v>
      </c>
      <c r="C213" t="s">
        <v>17</v>
      </c>
      <c r="D213" t="s">
        <v>25</v>
      </c>
      <c r="E213" t="s">
        <v>658</v>
      </c>
      <c r="F213" t="s">
        <v>20</v>
      </c>
      <c r="G213" t="s">
        <v>698</v>
      </c>
      <c r="H213" s="13">
        <v>157500</v>
      </c>
      <c r="I213" s="13">
        <v>0</v>
      </c>
      <c r="J213">
        <v>1</v>
      </c>
      <c r="K213" t="s">
        <v>108</v>
      </c>
      <c r="L213" s="6">
        <v>42095</v>
      </c>
      <c r="M213" t="s">
        <v>699</v>
      </c>
      <c r="N213">
        <v>6</v>
      </c>
      <c r="O213" s="14" t="s">
        <v>1120</v>
      </c>
      <c r="P213">
        <v>0</v>
      </c>
      <c r="Q213" s="14" t="s">
        <v>1120</v>
      </c>
      <c r="R213" t="s">
        <v>697</v>
      </c>
    </row>
    <row r="214" spans="1:18">
      <c r="A214" t="s">
        <v>700</v>
      </c>
      <c r="B214" t="s">
        <v>51</v>
      </c>
      <c r="C214" t="s">
        <v>32</v>
      </c>
      <c r="D214" t="s">
        <v>18</v>
      </c>
      <c r="E214" t="s">
        <v>701</v>
      </c>
      <c r="F214" t="s">
        <v>20</v>
      </c>
      <c r="G214" t="s">
        <v>702</v>
      </c>
      <c r="H214" s="13">
        <v>299934</v>
      </c>
      <c r="I214" s="13">
        <v>0</v>
      </c>
      <c r="J214">
        <v>1</v>
      </c>
      <c r="K214" t="s">
        <v>28</v>
      </c>
      <c r="L214" s="6">
        <v>42278</v>
      </c>
      <c r="M214" t="s">
        <v>703</v>
      </c>
      <c r="N214">
        <v>1</v>
      </c>
      <c r="O214" s="14" t="s">
        <v>1120</v>
      </c>
      <c r="P214">
        <v>0</v>
      </c>
      <c r="Q214" s="14" t="s">
        <v>1120</v>
      </c>
      <c r="R214" t="s">
        <v>700</v>
      </c>
    </row>
    <row r="215" spans="1:18">
      <c r="A215" t="s">
        <v>714</v>
      </c>
      <c r="B215" t="s">
        <v>155</v>
      </c>
      <c r="C215" t="s">
        <v>32</v>
      </c>
      <c r="D215" t="s">
        <v>25</v>
      </c>
      <c r="E215" t="s">
        <v>711</v>
      </c>
      <c r="F215" t="s">
        <v>20</v>
      </c>
      <c r="G215" t="s">
        <v>715</v>
      </c>
      <c r="H215" s="13">
        <v>131513</v>
      </c>
      <c r="I215" s="13">
        <v>0</v>
      </c>
      <c r="J215">
        <v>1</v>
      </c>
      <c r="K215" t="s">
        <v>22</v>
      </c>
      <c r="L215" s="6">
        <v>42278</v>
      </c>
      <c r="M215" t="s">
        <v>716</v>
      </c>
      <c r="N215">
        <v>0</v>
      </c>
      <c r="O215" s="14" t="s">
        <v>1120</v>
      </c>
      <c r="P215">
        <v>0</v>
      </c>
      <c r="Q215" s="14" t="s">
        <v>1120</v>
      </c>
      <c r="R215" t="s">
        <v>714</v>
      </c>
    </row>
    <row r="216" spans="1:18">
      <c r="A216" t="s">
        <v>717</v>
      </c>
      <c r="B216" t="s">
        <v>143</v>
      </c>
      <c r="C216" t="s">
        <v>38</v>
      </c>
      <c r="D216" t="s">
        <v>25</v>
      </c>
      <c r="E216" t="s">
        <v>711</v>
      </c>
      <c r="F216" t="s">
        <v>20</v>
      </c>
      <c r="G216" t="s">
        <v>718</v>
      </c>
      <c r="H216" s="13">
        <v>115768</v>
      </c>
      <c r="I216" s="13">
        <v>0</v>
      </c>
      <c r="J216">
        <v>1</v>
      </c>
      <c r="K216" t="s">
        <v>22</v>
      </c>
      <c r="L216" s="6">
        <v>42278</v>
      </c>
      <c r="M216" t="s">
        <v>719</v>
      </c>
      <c r="N216">
        <v>0</v>
      </c>
      <c r="O216" s="14" t="s">
        <v>1120</v>
      </c>
      <c r="P216">
        <v>0</v>
      </c>
      <c r="Q216" s="14" t="s">
        <v>1120</v>
      </c>
      <c r="R216" t="s">
        <v>717</v>
      </c>
    </row>
    <row r="217" spans="1:18">
      <c r="A217" t="s">
        <v>720</v>
      </c>
      <c r="B217" t="s">
        <v>16</v>
      </c>
      <c r="C217" t="s">
        <v>17</v>
      </c>
      <c r="D217" t="s">
        <v>25</v>
      </c>
      <c r="E217" t="s">
        <v>711</v>
      </c>
      <c r="F217" t="s">
        <v>20</v>
      </c>
      <c r="G217" t="s">
        <v>721</v>
      </c>
      <c r="H217" s="13">
        <v>158740</v>
      </c>
      <c r="I217" s="13">
        <v>0</v>
      </c>
      <c r="J217">
        <v>1</v>
      </c>
      <c r="K217" t="s">
        <v>34</v>
      </c>
      <c r="L217" s="6">
        <v>42278</v>
      </c>
      <c r="M217" t="s">
        <v>722</v>
      </c>
      <c r="N217">
        <v>2</v>
      </c>
      <c r="O217" s="14" t="s">
        <v>1120</v>
      </c>
      <c r="P217">
        <v>0</v>
      </c>
      <c r="Q217" s="14" t="s">
        <v>1120</v>
      </c>
      <c r="R217" t="s">
        <v>720</v>
      </c>
    </row>
    <row r="218" spans="1:18">
      <c r="A218" t="s">
        <v>723</v>
      </c>
      <c r="B218" t="s">
        <v>458</v>
      </c>
      <c r="C218" t="s">
        <v>38</v>
      </c>
      <c r="D218" t="s">
        <v>25</v>
      </c>
      <c r="E218" t="s">
        <v>711</v>
      </c>
      <c r="F218" t="s">
        <v>20</v>
      </c>
      <c r="G218" t="s">
        <v>724</v>
      </c>
      <c r="H218" s="13">
        <v>159941</v>
      </c>
      <c r="I218" s="13">
        <v>0</v>
      </c>
      <c r="J218">
        <v>1</v>
      </c>
      <c r="K218" t="s">
        <v>113</v>
      </c>
      <c r="L218" s="6">
        <v>42278</v>
      </c>
      <c r="M218" t="s">
        <v>725</v>
      </c>
      <c r="N218">
        <v>3</v>
      </c>
      <c r="O218" s="14" t="s">
        <v>1120</v>
      </c>
      <c r="P218">
        <v>0</v>
      </c>
      <c r="Q218" s="14" t="s">
        <v>1120</v>
      </c>
      <c r="R218" t="s">
        <v>723</v>
      </c>
    </row>
    <row r="219" spans="1:18">
      <c r="A219" t="s">
        <v>704</v>
      </c>
      <c r="B219" t="s">
        <v>99</v>
      </c>
      <c r="C219" t="s">
        <v>66</v>
      </c>
      <c r="D219" t="s">
        <v>18</v>
      </c>
      <c r="E219" t="s">
        <v>701</v>
      </c>
      <c r="F219" t="s">
        <v>20</v>
      </c>
      <c r="G219" t="s">
        <v>705</v>
      </c>
      <c r="H219" s="13">
        <v>145440</v>
      </c>
      <c r="I219" s="13">
        <v>0</v>
      </c>
      <c r="J219">
        <v>1</v>
      </c>
      <c r="K219" t="s">
        <v>34</v>
      </c>
      <c r="L219" s="6">
        <v>42278</v>
      </c>
      <c r="M219" t="s">
        <v>706</v>
      </c>
      <c r="N219">
        <v>2</v>
      </c>
      <c r="O219" s="14" t="s">
        <v>1120</v>
      </c>
      <c r="P219">
        <v>0</v>
      </c>
      <c r="Q219" s="14" t="s">
        <v>1120</v>
      </c>
      <c r="R219" t="s">
        <v>704</v>
      </c>
    </row>
    <row r="220" spans="1:18">
      <c r="A220" t="s">
        <v>726</v>
      </c>
      <c r="B220" t="s">
        <v>236</v>
      </c>
      <c r="C220" t="s">
        <v>38</v>
      </c>
      <c r="D220" t="s">
        <v>25</v>
      </c>
      <c r="E220" t="s">
        <v>711</v>
      </c>
      <c r="F220" t="s">
        <v>20</v>
      </c>
      <c r="G220" t="s">
        <v>727</v>
      </c>
      <c r="H220" s="13">
        <v>160000</v>
      </c>
      <c r="I220" s="13">
        <v>0</v>
      </c>
      <c r="J220">
        <v>1</v>
      </c>
      <c r="K220" t="s">
        <v>309</v>
      </c>
      <c r="L220" s="6">
        <v>42278</v>
      </c>
      <c r="M220" t="s">
        <v>728</v>
      </c>
      <c r="N220">
        <v>0</v>
      </c>
      <c r="O220" s="14" t="s">
        <v>1120</v>
      </c>
      <c r="P220">
        <v>0</v>
      </c>
      <c r="Q220" s="14" t="s">
        <v>1120</v>
      </c>
      <c r="R220" t="s">
        <v>726</v>
      </c>
    </row>
    <row r="221" spans="1:18">
      <c r="A221" t="s">
        <v>729</v>
      </c>
      <c r="B221" t="s">
        <v>16</v>
      </c>
      <c r="C221" t="s">
        <v>17</v>
      </c>
      <c r="D221" t="s">
        <v>25</v>
      </c>
      <c r="E221" t="s">
        <v>711</v>
      </c>
      <c r="F221" t="s">
        <v>20</v>
      </c>
      <c r="G221" t="s">
        <v>730</v>
      </c>
      <c r="H221" s="13">
        <v>160000</v>
      </c>
      <c r="I221" s="13">
        <v>0</v>
      </c>
      <c r="J221">
        <v>1</v>
      </c>
      <c r="K221" t="s">
        <v>28</v>
      </c>
      <c r="L221" s="6">
        <v>42278</v>
      </c>
      <c r="M221" t="s">
        <v>731</v>
      </c>
      <c r="N221">
        <v>0</v>
      </c>
      <c r="O221" s="14" t="s">
        <v>1120</v>
      </c>
      <c r="P221">
        <v>0</v>
      </c>
      <c r="Q221" s="14" t="s">
        <v>1120</v>
      </c>
      <c r="R221" t="s">
        <v>729</v>
      </c>
    </row>
    <row r="222" spans="1:18">
      <c r="A222" t="s">
        <v>84</v>
      </c>
      <c r="B222" t="s">
        <v>16</v>
      </c>
      <c r="C222" t="s">
        <v>17</v>
      </c>
      <c r="D222" t="s">
        <v>25</v>
      </c>
      <c r="E222" t="s">
        <v>711</v>
      </c>
      <c r="F222" t="s">
        <v>20</v>
      </c>
      <c r="G222" t="s">
        <v>732</v>
      </c>
      <c r="H222" s="13">
        <v>146470</v>
      </c>
      <c r="I222" s="13">
        <v>0</v>
      </c>
      <c r="J222">
        <v>1</v>
      </c>
      <c r="K222" t="s">
        <v>28</v>
      </c>
      <c r="L222" s="6">
        <v>42278</v>
      </c>
      <c r="M222" t="s">
        <v>733</v>
      </c>
      <c r="N222">
        <v>1</v>
      </c>
      <c r="O222" s="14" t="s">
        <v>1120</v>
      </c>
      <c r="P222">
        <v>0</v>
      </c>
      <c r="Q222" s="14" t="s">
        <v>1120</v>
      </c>
      <c r="R222" t="s">
        <v>84</v>
      </c>
    </row>
    <row r="223" spans="1:18">
      <c r="A223" t="s">
        <v>734</v>
      </c>
      <c r="B223" t="s">
        <v>51</v>
      </c>
      <c r="C223" t="s">
        <v>32</v>
      </c>
      <c r="D223" t="s">
        <v>25</v>
      </c>
      <c r="E223" t="s">
        <v>711</v>
      </c>
      <c r="F223" t="s">
        <v>20</v>
      </c>
      <c r="G223" t="s">
        <v>735</v>
      </c>
      <c r="H223" s="13">
        <v>151459</v>
      </c>
      <c r="I223" s="13">
        <v>0</v>
      </c>
      <c r="J223">
        <v>1</v>
      </c>
      <c r="K223" t="s">
        <v>22</v>
      </c>
      <c r="L223" s="6">
        <v>42278</v>
      </c>
      <c r="M223" t="s">
        <v>736</v>
      </c>
      <c r="N223">
        <v>1</v>
      </c>
      <c r="O223" s="14" t="s">
        <v>1120</v>
      </c>
      <c r="P223">
        <v>0</v>
      </c>
      <c r="Q223" s="14" t="s">
        <v>1120</v>
      </c>
      <c r="R223" t="s">
        <v>734</v>
      </c>
    </row>
    <row r="224" spans="1:18">
      <c r="A224" t="s">
        <v>737</v>
      </c>
      <c r="B224" t="s">
        <v>37</v>
      </c>
      <c r="C224" t="s">
        <v>38</v>
      </c>
      <c r="D224" t="s">
        <v>25</v>
      </c>
      <c r="E224" t="s">
        <v>711</v>
      </c>
      <c r="F224" t="s">
        <v>20</v>
      </c>
      <c r="G224" t="s">
        <v>738</v>
      </c>
      <c r="H224" s="13">
        <v>160000</v>
      </c>
      <c r="I224" s="13">
        <v>0</v>
      </c>
      <c r="J224">
        <v>1</v>
      </c>
      <c r="K224" t="s">
        <v>28</v>
      </c>
      <c r="L224" s="6">
        <v>42278</v>
      </c>
      <c r="M224" t="s">
        <v>739</v>
      </c>
      <c r="N224">
        <v>0</v>
      </c>
      <c r="O224" s="14" t="s">
        <v>1120</v>
      </c>
      <c r="P224">
        <v>0</v>
      </c>
      <c r="Q224" s="14" t="s">
        <v>1120</v>
      </c>
      <c r="R224" t="s">
        <v>737</v>
      </c>
    </row>
    <row r="225" spans="1:18">
      <c r="A225" t="s">
        <v>526</v>
      </c>
      <c r="B225" t="s">
        <v>139</v>
      </c>
      <c r="C225" t="s">
        <v>32</v>
      </c>
      <c r="D225" t="s">
        <v>25</v>
      </c>
      <c r="E225" t="s">
        <v>711</v>
      </c>
      <c r="F225" t="s">
        <v>20</v>
      </c>
      <c r="G225" t="s">
        <v>740</v>
      </c>
      <c r="H225" s="13">
        <v>159931</v>
      </c>
      <c r="I225" s="13">
        <v>0</v>
      </c>
      <c r="J225">
        <v>1</v>
      </c>
      <c r="K225" t="s">
        <v>113</v>
      </c>
      <c r="L225" s="6">
        <v>42278</v>
      </c>
      <c r="M225" t="s">
        <v>741</v>
      </c>
      <c r="N225">
        <v>1</v>
      </c>
      <c r="O225" s="14" t="s">
        <v>1120</v>
      </c>
      <c r="P225">
        <v>0</v>
      </c>
      <c r="Q225" s="14" t="s">
        <v>1120</v>
      </c>
      <c r="R225" t="s">
        <v>526</v>
      </c>
    </row>
    <row r="226" spans="1:18">
      <c r="A226" t="s">
        <v>742</v>
      </c>
      <c r="B226" t="s">
        <v>236</v>
      </c>
      <c r="C226" t="s">
        <v>38</v>
      </c>
      <c r="D226" t="s">
        <v>25</v>
      </c>
      <c r="E226" t="s">
        <v>711</v>
      </c>
      <c r="F226" t="s">
        <v>20</v>
      </c>
      <c r="G226" t="s">
        <v>743</v>
      </c>
      <c r="H226" s="13">
        <v>160000</v>
      </c>
      <c r="I226" s="13">
        <v>0</v>
      </c>
      <c r="J226">
        <v>1</v>
      </c>
      <c r="K226" t="s">
        <v>309</v>
      </c>
      <c r="L226" s="6">
        <v>42278</v>
      </c>
      <c r="M226" t="s">
        <v>744</v>
      </c>
      <c r="N226">
        <v>2</v>
      </c>
      <c r="O226" s="14" t="s">
        <v>1120</v>
      </c>
      <c r="P226">
        <v>0</v>
      </c>
      <c r="Q226" s="14" t="s">
        <v>1120</v>
      </c>
      <c r="R226" t="s">
        <v>742</v>
      </c>
    </row>
    <row r="227" spans="1:18">
      <c r="A227" t="s">
        <v>228</v>
      </c>
      <c r="B227" t="s">
        <v>155</v>
      </c>
      <c r="C227" t="s">
        <v>32</v>
      </c>
      <c r="D227" t="s">
        <v>25</v>
      </c>
      <c r="E227" t="s">
        <v>711</v>
      </c>
      <c r="F227" t="s">
        <v>20</v>
      </c>
      <c r="G227" t="s">
        <v>745</v>
      </c>
      <c r="H227" s="13">
        <v>160000</v>
      </c>
      <c r="I227" s="13">
        <v>0</v>
      </c>
      <c r="J227">
        <v>1</v>
      </c>
      <c r="K227" t="s">
        <v>28</v>
      </c>
      <c r="L227" s="6">
        <v>42278</v>
      </c>
      <c r="M227" t="s">
        <v>746</v>
      </c>
      <c r="N227">
        <v>2</v>
      </c>
      <c r="O227" s="14" t="s">
        <v>1120</v>
      </c>
      <c r="P227">
        <v>0</v>
      </c>
      <c r="Q227" s="14" t="s">
        <v>1120</v>
      </c>
      <c r="R227" t="s">
        <v>228</v>
      </c>
    </row>
    <row r="228" spans="1:18">
      <c r="A228" t="s">
        <v>707</v>
      </c>
      <c r="B228" t="s">
        <v>180</v>
      </c>
      <c r="C228" t="s">
        <v>38</v>
      </c>
      <c r="D228" t="s">
        <v>18</v>
      </c>
      <c r="E228" t="s">
        <v>701</v>
      </c>
      <c r="F228" t="s">
        <v>20</v>
      </c>
      <c r="G228" t="s">
        <v>708</v>
      </c>
      <c r="H228" s="13">
        <v>183670</v>
      </c>
      <c r="I228" s="13">
        <v>35500</v>
      </c>
      <c r="J228">
        <v>1</v>
      </c>
      <c r="K228" t="s">
        <v>28</v>
      </c>
      <c r="L228" s="6">
        <v>42278</v>
      </c>
      <c r="M228" t="s">
        <v>709</v>
      </c>
      <c r="N228">
        <v>2</v>
      </c>
      <c r="O228" s="14" t="s">
        <v>1120</v>
      </c>
      <c r="P228">
        <v>0</v>
      </c>
      <c r="Q228" s="14" t="s">
        <v>1120</v>
      </c>
      <c r="R228" t="s">
        <v>707</v>
      </c>
    </row>
    <row r="229" spans="1:18">
      <c r="A229" t="s">
        <v>220</v>
      </c>
      <c r="B229" t="s">
        <v>99</v>
      </c>
      <c r="C229" t="s">
        <v>66</v>
      </c>
      <c r="D229" t="s">
        <v>25</v>
      </c>
      <c r="E229" t="s">
        <v>755</v>
      </c>
      <c r="F229" t="s">
        <v>20</v>
      </c>
      <c r="G229" t="s">
        <v>756</v>
      </c>
      <c r="H229" s="13">
        <v>160000</v>
      </c>
      <c r="I229" s="13">
        <v>0</v>
      </c>
      <c r="J229">
        <v>1</v>
      </c>
      <c r="K229" t="s">
        <v>108</v>
      </c>
      <c r="L229" s="6">
        <v>42461</v>
      </c>
      <c r="M229" t="s">
        <v>757</v>
      </c>
      <c r="N229">
        <v>0</v>
      </c>
      <c r="O229" s="14" t="s">
        <v>1120</v>
      </c>
      <c r="P229">
        <v>0</v>
      </c>
      <c r="Q229" s="14" t="s">
        <v>1120</v>
      </c>
      <c r="R229" t="s">
        <v>220</v>
      </c>
    </row>
    <row r="230" spans="1:18">
      <c r="A230" t="s">
        <v>758</v>
      </c>
      <c r="B230" t="s">
        <v>180</v>
      </c>
      <c r="C230" t="s">
        <v>38</v>
      </c>
      <c r="D230" t="s">
        <v>25</v>
      </c>
      <c r="E230" t="s">
        <v>755</v>
      </c>
      <c r="F230" t="s">
        <v>20</v>
      </c>
      <c r="G230" t="s">
        <v>759</v>
      </c>
      <c r="H230" s="13">
        <v>137401</v>
      </c>
      <c r="I230" s="13">
        <v>0</v>
      </c>
      <c r="J230">
        <v>1</v>
      </c>
      <c r="K230" t="s">
        <v>113</v>
      </c>
      <c r="L230" s="6">
        <v>42461</v>
      </c>
      <c r="M230" t="s">
        <v>760</v>
      </c>
      <c r="N230">
        <v>0</v>
      </c>
      <c r="O230" s="14" t="s">
        <v>1120</v>
      </c>
      <c r="P230">
        <v>0</v>
      </c>
      <c r="Q230" s="14" t="s">
        <v>1120</v>
      </c>
      <c r="R230" t="s">
        <v>758</v>
      </c>
    </row>
    <row r="231" spans="1:18">
      <c r="A231" t="s">
        <v>580</v>
      </c>
      <c r="B231" t="s">
        <v>111</v>
      </c>
      <c r="C231" t="s">
        <v>38</v>
      </c>
      <c r="D231" t="s">
        <v>25</v>
      </c>
      <c r="E231" t="s">
        <v>755</v>
      </c>
      <c r="F231" t="s">
        <v>20</v>
      </c>
      <c r="G231" t="s">
        <v>761</v>
      </c>
      <c r="H231" s="13">
        <v>143110</v>
      </c>
      <c r="I231" s="13">
        <v>10313</v>
      </c>
      <c r="J231">
        <v>1</v>
      </c>
      <c r="K231" t="s">
        <v>28</v>
      </c>
      <c r="L231" s="6">
        <v>42461</v>
      </c>
      <c r="M231" t="s">
        <v>762</v>
      </c>
      <c r="N231">
        <v>0</v>
      </c>
      <c r="O231" s="14" t="s">
        <v>1120</v>
      </c>
      <c r="P231">
        <v>0</v>
      </c>
      <c r="Q231" s="14" t="s">
        <v>1120</v>
      </c>
      <c r="R231" t="s">
        <v>580</v>
      </c>
    </row>
    <row r="232" spans="1:18">
      <c r="A232" t="s">
        <v>763</v>
      </c>
      <c r="B232" t="s">
        <v>31</v>
      </c>
      <c r="C232" t="s">
        <v>32</v>
      </c>
      <c r="D232" t="s">
        <v>25</v>
      </c>
      <c r="E232" t="s">
        <v>755</v>
      </c>
      <c r="F232" t="s">
        <v>20</v>
      </c>
      <c r="G232" t="s">
        <v>764</v>
      </c>
      <c r="H232" s="13">
        <v>160000</v>
      </c>
      <c r="I232" s="13">
        <v>0</v>
      </c>
      <c r="J232">
        <v>1</v>
      </c>
      <c r="K232" t="s">
        <v>44</v>
      </c>
      <c r="L232" s="6">
        <v>42461</v>
      </c>
      <c r="M232" t="s">
        <v>765</v>
      </c>
      <c r="N232">
        <v>4</v>
      </c>
      <c r="O232" s="14" t="s">
        <v>1120</v>
      </c>
      <c r="P232">
        <v>0</v>
      </c>
      <c r="Q232" s="14" t="s">
        <v>1120</v>
      </c>
      <c r="R232" t="s">
        <v>763</v>
      </c>
    </row>
    <row r="233" spans="1:18">
      <c r="A233" t="s">
        <v>307</v>
      </c>
      <c r="B233" t="s">
        <v>193</v>
      </c>
      <c r="C233" t="s">
        <v>38</v>
      </c>
      <c r="D233" t="s">
        <v>25</v>
      </c>
      <c r="E233" t="s">
        <v>755</v>
      </c>
      <c r="F233" t="s">
        <v>20</v>
      </c>
      <c r="G233" t="s">
        <v>766</v>
      </c>
      <c r="H233" s="13">
        <v>160000</v>
      </c>
      <c r="I233" s="13">
        <v>0</v>
      </c>
      <c r="J233">
        <v>1</v>
      </c>
      <c r="K233" t="s">
        <v>309</v>
      </c>
      <c r="L233" s="6">
        <v>42461</v>
      </c>
      <c r="M233" t="s">
        <v>767</v>
      </c>
      <c r="N233">
        <v>0</v>
      </c>
      <c r="O233" s="14" t="s">
        <v>1120</v>
      </c>
      <c r="P233">
        <v>0</v>
      </c>
      <c r="Q233" s="14" t="s">
        <v>1120</v>
      </c>
      <c r="R233" t="s">
        <v>307</v>
      </c>
    </row>
    <row r="234" spans="1:18">
      <c r="A234" t="s">
        <v>257</v>
      </c>
      <c r="B234" t="s">
        <v>258</v>
      </c>
      <c r="C234" t="s">
        <v>32</v>
      </c>
      <c r="D234" t="s">
        <v>25</v>
      </c>
      <c r="E234" t="s">
        <v>755</v>
      </c>
      <c r="F234" t="s">
        <v>20</v>
      </c>
      <c r="G234" t="s">
        <v>768</v>
      </c>
      <c r="H234" s="13">
        <v>141000</v>
      </c>
      <c r="I234" s="13">
        <v>0</v>
      </c>
      <c r="J234">
        <v>1</v>
      </c>
      <c r="K234" t="s">
        <v>28</v>
      </c>
      <c r="L234" s="6">
        <v>42461</v>
      </c>
      <c r="M234" t="s">
        <v>769</v>
      </c>
      <c r="N234">
        <v>0</v>
      </c>
      <c r="O234" s="14" t="s">
        <v>1120</v>
      </c>
      <c r="P234">
        <v>0</v>
      </c>
      <c r="Q234" s="14" t="s">
        <v>1120</v>
      </c>
      <c r="R234" t="s">
        <v>257</v>
      </c>
    </row>
    <row r="235" spans="1:18">
      <c r="A235" t="s">
        <v>175</v>
      </c>
      <c r="B235" t="s">
        <v>176</v>
      </c>
      <c r="C235" t="s">
        <v>38</v>
      </c>
      <c r="D235" t="s">
        <v>18</v>
      </c>
      <c r="E235" t="s">
        <v>750</v>
      </c>
      <c r="F235" t="s">
        <v>20</v>
      </c>
      <c r="G235" t="s">
        <v>751</v>
      </c>
      <c r="H235" s="13">
        <v>299101</v>
      </c>
      <c r="I235" s="13">
        <v>0</v>
      </c>
      <c r="J235">
        <v>1</v>
      </c>
      <c r="K235" t="s">
        <v>44</v>
      </c>
      <c r="L235" s="6">
        <v>42461</v>
      </c>
      <c r="M235" t="s">
        <v>752</v>
      </c>
      <c r="N235">
        <v>4</v>
      </c>
      <c r="O235" s="14" t="s">
        <v>1120</v>
      </c>
      <c r="P235">
        <v>0</v>
      </c>
      <c r="Q235" s="14" t="s">
        <v>1120</v>
      </c>
      <c r="R235" t="s">
        <v>175</v>
      </c>
    </row>
    <row r="236" spans="1:18">
      <c r="A236" t="s">
        <v>770</v>
      </c>
      <c r="B236" t="s">
        <v>16</v>
      </c>
      <c r="C236" t="s">
        <v>17</v>
      </c>
      <c r="D236" t="s">
        <v>25</v>
      </c>
      <c r="E236" t="s">
        <v>755</v>
      </c>
      <c r="F236" t="s">
        <v>20</v>
      </c>
      <c r="G236" t="s">
        <v>771</v>
      </c>
      <c r="H236" s="13">
        <v>160000</v>
      </c>
      <c r="I236" s="13">
        <v>0</v>
      </c>
      <c r="J236">
        <v>1</v>
      </c>
      <c r="K236" t="s">
        <v>28</v>
      </c>
      <c r="L236" s="6">
        <v>42461</v>
      </c>
      <c r="M236" t="s">
        <v>772</v>
      </c>
      <c r="N236">
        <v>1</v>
      </c>
      <c r="O236" s="14" t="s">
        <v>1120</v>
      </c>
      <c r="P236">
        <v>0</v>
      </c>
      <c r="Q236" s="14" t="s">
        <v>1120</v>
      </c>
      <c r="R236" t="s">
        <v>770</v>
      </c>
    </row>
    <row r="237" spans="1:18">
      <c r="A237" t="s">
        <v>186</v>
      </c>
      <c r="B237" t="s">
        <v>139</v>
      </c>
      <c r="C237" t="s">
        <v>32</v>
      </c>
      <c r="D237" t="s">
        <v>25</v>
      </c>
      <c r="E237" t="s">
        <v>755</v>
      </c>
      <c r="F237" t="s">
        <v>20</v>
      </c>
      <c r="G237" t="s">
        <v>773</v>
      </c>
      <c r="H237" s="13">
        <v>157700</v>
      </c>
      <c r="I237" s="13">
        <v>2300</v>
      </c>
      <c r="J237">
        <v>1</v>
      </c>
      <c r="K237" t="s">
        <v>28</v>
      </c>
      <c r="L237" s="6">
        <v>42461</v>
      </c>
      <c r="M237" t="s">
        <v>774</v>
      </c>
      <c r="N237">
        <v>1</v>
      </c>
      <c r="O237" s="14" t="s">
        <v>1120</v>
      </c>
      <c r="P237">
        <v>0</v>
      </c>
      <c r="Q237" s="14" t="s">
        <v>1120</v>
      </c>
      <c r="R237" t="s">
        <v>186</v>
      </c>
    </row>
    <row r="238" spans="1:18">
      <c r="A238" t="s">
        <v>189</v>
      </c>
      <c r="B238" t="s">
        <v>16</v>
      </c>
      <c r="C238" t="s">
        <v>17</v>
      </c>
      <c r="D238" t="s">
        <v>25</v>
      </c>
      <c r="E238" t="s">
        <v>755</v>
      </c>
      <c r="F238" t="s">
        <v>20</v>
      </c>
      <c r="G238" t="s">
        <v>775</v>
      </c>
      <c r="H238" s="13">
        <v>150059</v>
      </c>
      <c r="I238" s="13">
        <v>0</v>
      </c>
      <c r="J238">
        <v>1</v>
      </c>
      <c r="K238" t="s">
        <v>48</v>
      </c>
      <c r="L238" s="6">
        <v>42461</v>
      </c>
      <c r="M238" t="s">
        <v>776</v>
      </c>
      <c r="N238">
        <v>2</v>
      </c>
      <c r="O238" s="14" t="s">
        <v>1120</v>
      </c>
      <c r="P238">
        <v>0</v>
      </c>
      <c r="Q238" s="14" t="s">
        <v>1120</v>
      </c>
      <c r="R238" t="s">
        <v>189</v>
      </c>
    </row>
    <row r="239" spans="1:18">
      <c r="A239" t="s">
        <v>511</v>
      </c>
      <c r="B239" t="s">
        <v>37</v>
      </c>
      <c r="C239" t="s">
        <v>38</v>
      </c>
      <c r="D239" t="s">
        <v>25</v>
      </c>
      <c r="E239" t="s">
        <v>755</v>
      </c>
      <c r="F239" t="s">
        <v>20</v>
      </c>
      <c r="G239" t="s">
        <v>777</v>
      </c>
      <c r="H239" s="13">
        <v>155600</v>
      </c>
      <c r="I239" s="13">
        <v>0</v>
      </c>
      <c r="J239">
        <v>1</v>
      </c>
      <c r="K239" t="s">
        <v>108</v>
      </c>
      <c r="L239" s="6">
        <v>42461</v>
      </c>
      <c r="M239" t="s">
        <v>778</v>
      </c>
      <c r="N239">
        <v>1</v>
      </c>
      <c r="O239" s="14" t="s">
        <v>1120</v>
      </c>
      <c r="P239">
        <v>0</v>
      </c>
      <c r="Q239" s="14" t="s">
        <v>1120</v>
      </c>
      <c r="R239" t="s">
        <v>511</v>
      </c>
    </row>
    <row r="240" spans="1:18">
      <c r="A240" t="s">
        <v>154</v>
      </c>
      <c r="B240" t="s">
        <v>155</v>
      </c>
      <c r="C240" t="s">
        <v>32</v>
      </c>
      <c r="D240" t="s">
        <v>18</v>
      </c>
      <c r="E240" t="s">
        <v>750</v>
      </c>
      <c r="F240" t="s">
        <v>20</v>
      </c>
      <c r="G240" t="s">
        <v>753</v>
      </c>
      <c r="H240" s="13">
        <v>300000</v>
      </c>
      <c r="I240" s="13">
        <v>0</v>
      </c>
      <c r="J240">
        <v>1</v>
      </c>
      <c r="K240" t="s">
        <v>44</v>
      </c>
      <c r="L240" s="6">
        <v>42461</v>
      </c>
      <c r="M240" t="s">
        <v>754</v>
      </c>
      <c r="N240">
        <v>5</v>
      </c>
      <c r="O240" s="14" t="s">
        <v>1120</v>
      </c>
      <c r="P240">
        <v>0</v>
      </c>
      <c r="Q240" s="14" t="s">
        <v>1120</v>
      </c>
      <c r="R240" t="s">
        <v>154</v>
      </c>
    </row>
    <row r="241" spans="1:18">
      <c r="A241" t="s">
        <v>779</v>
      </c>
      <c r="B241" t="s">
        <v>99</v>
      </c>
      <c r="C241" t="s">
        <v>66</v>
      </c>
      <c r="D241" t="s">
        <v>25</v>
      </c>
      <c r="E241" t="s">
        <v>755</v>
      </c>
      <c r="F241" t="s">
        <v>20</v>
      </c>
      <c r="G241" t="s">
        <v>780</v>
      </c>
      <c r="H241" s="13">
        <v>157126</v>
      </c>
      <c r="I241" s="13">
        <v>0</v>
      </c>
      <c r="J241">
        <v>1</v>
      </c>
      <c r="K241" t="s">
        <v>40</v>
      </c>
      <c r="L241" s="6">
        <v>42461</v>
      </c>
      <c r="M241" t="s">
        <v>781</v>
      </c>
      <c r="N241">
        <v>0</v>
      </c>
      <c r="O241" s="14" t="s">
        <v>1120</v>
      </c>
      <c r="P241">
        <v>0</v>
      </c>
      <c r="Q241" s="14" t="s">
        <v>1120</v>
      </c>
      <c r="R241" t="s">
        <v>779</v>
      </c>
    </row>
    <row r="242" spans="1:18">
      <c r="A242" t="s">
        <v>782</v>
      </c>
      <c r="B242" t="s">
        <v>16</v>
      </c>
      <c r="C242" t="s">
        <v>17</v>
      </c>
      <c r="D242" t="s">
        <v>25</v>
      </c>
      <c r="E242" t="s">
        <v>755</v>
      </c>
      <c r="F242" t="s">
        <v>20</v>
      </c>
      <c r="G242" t="s">
        <v>783</v>
      </c>
      <c r="H242" s="13">
        <v>160000</v>
      </c>
      <c r="I242" s="13">
        <v>0</v>
      </c>
      <c r="J242">
        <v>1</v>
      </c>
      <c r="K242" t="s">
        <v>44</v>
      </c>
      <c r="L242" s="6">
        <v>42461</v>
      </c>
      <c r="M242" t="s">
        <v>784</v>
      </c>
      <c r="N242">
        <v>0</v>
      </c>
      <c r="O242" s="14" t="s">
        <v>1120</v>
      </c>
      <c r="P242">
        <v>0</v>
      </c>
      <c r="Q242" s="14" t="s">
        <v>1120</v>
      </c>
      <c r="R242" t="s">
        <v>782</v>
      </c>
    </row>
    <row r="243" spans="1:18">
      <c r="A243" t="s">
        <v>785</v>
      </c>
      <c r="B243" t="s">
        <v>163</v>
      </c>
      <c r="C243" t="s">
        <v>38</v>
      </c>
      <c r="D243" t="s">
        <v>25</v>
      </c>
      <c r="E243" t="s">
        <v>755</v>
      </c>
      <c r="F243" t="s">
        <v>20</v>
      </c>
      <c r="G243" t="s">
        <v>786</v>
      </c>
      <c r="H243" s="13">
        <v>160000</v>
      </c>
      <c r="I243" s="13">
        <v>0</v>
      </c>
      <c r="J243">
        <v>1</v>
      </c>
      <c r="K243" t="s">
        <v>108</v>
      </c>
      <c r="L243" s="6">
        <v>42461</v>
      </c>
      <c r="M243" t="s">
        <v>787</v>
      </c>
      <c r="N243">
        <v>2</v>
      </c>
      <c r="O243" s="14" t="s">
        <v>1120</v>
      </c>
      <c r="P243">
        <v>0</v>
      </c>
      <c r="Q243" s="14" t="s">
        <v>1120</v>
      </c>
      <c r="R243" t="s">
        <v>785</v>
      </c>
    </row>
    <row r="244" spans="1:18">
      <c r="A244" t="s">
        <v>788</v>
      </c>
      <c r="B244" t="s">
        <v>180</v>
      </c>
      <c r="C244" t="s">
        <v>38</v>
      </c>
      <c r="D244" t="s">
        <v>25</v>
      </c>
      <c r="E244" t="s">
        <v>755</v>
      </c>
      <c r="F244" t="s">
        <v>20</v>
      </c>
      <c r="G244" t="s">
        <v>789</v>
      </c>
      <c r="H244" s="13">
        <v>160000</v>
      </c>
      <c r="I244" s="13">
        <v>0</v>
      </c>
      <c r="J244">
        <v>1</v>
      </c>
      <c r="K244" t="s">
        <v>108</v>
      </c>
      <c r="L244" s="6">
        <v>42461</v>
      </c>
      <c r="M244" t="s">
        <v>790</v>
      </c>
      <c r="N244">
        <v>1</v>
      </c>
      <c r="O244" s="14" t="s">
        <v>1120</v>
      </c>
      <c r="P244">
        <v>0</v>
      </c>
      <c r="Q244" s="14" t="s">
        <v>1120</v>
      </c>
      <c r="R244" t="s">
        <v>788</v>
      </c>
    </row>
    <row r="245" spans="1:18">
      <c r="A245" t="s">
        <v>360</v>
      </c>
      <c r="B245" t="s">
        <v>139</v>
      </c>
      <c r="C245" t="s">
        <v>32</v>
      </c>
      <c r="D245" t="s">
        <v>791</v>
      </c>
      <c r="E245" t="s">
        <v>792</v>
      </c>
      <c r="F245" t="s">
        <v>80</v>
      </c>
      <c r="G245" t="s">
        <v>793</v>
      </c>
      <c r="H245" s="13">
        <v>497250</v>
      </c>
      <c r="I245" s="13">
        <v>0</v>
      </c>
      <c r="J245">
        <v>3</v>
      </c>
      <c r="K245" t="s">
        <v>28</v>
      </c>
      <c r="L245" s="6">
        <v>43191</v>
      </c>
      <c r="M245" t="s">
        <v>794</v>
      </c>
      <c r="N245">
        <v>0</v>
      </c>
      <c r="O245" s="14" t="s">
        <v>1120</v>
      </c>
      <c r="P245">
        <v>0</v>
      </c>
      <c r="Q245" s="14" t="s">
        <v>1120</v>
      </c>
      <c r="R245" t="s">
        <v>360</v>
      </c>
    </row>
    <row r="246" spans="1:18">
      <c r="A246" t="s">
        <v>795</v>
      </c>
      <c r="B246" t="s">
        <v>236</v>
      </c>
      <c r="C246" t="s">
        <v>38</v>
      </c>
      <c r="D246" t="s">
        <v>791</v>
      </c>
      <c r="E246" t="s">
        <v>792</v>
      </c>
      <c r="F246" t="s">
        <v>80</v>
      </c>
      <c r="G246" t="s">
        <v>796</v>
      </c>
      <c r="H246" s="13">
        <v>512550</v>
      </c>
      <c r="I246" s="13">
        <v>0</v>
      </c>
      <c r="J246">
        <v>3</v>
      </c>
      <c r="K246" t="s">
        <v>34</v>
      </c>
      <c r="L246" s="6">
        <v>43191</v>
      </c>
      <c r="M246" t="s">
        <v>797</v>
      </c>
      <c r="N246">
        <v>0</v>
      </c>
      <c r="O246" s="14" t="s">
        <v>1120</v>
      </c>
      <c r="P246">
        <v>0</v>
      </c>
      <c r="Q246" s="14" t="s">
        <v>1120</v>
      </c>
      <c r="R246" t="s">
        <v>795</v>
      </c>
    </row>
    <row r="247" spans="1:18">
      <c r="A247" t="s">
        <v>798</v>
      </c>
      <c r="B247" t="s">
        <v>16</v>
      </c>
      <c r="C247" t="s">
        <v>17</v>
      </c>
      <c r="D247" t="s">
        <v>791</v>
      </c>
      <c r="E247" t="s">
        <v>792</v>
      </c>
      <c r="F247" t="s">
        <v>80</v>
      </c>
      <c r="G247" t="s">
        <v>799</v>
      </c>
      <c r="H247" s="13">
        <v>351900</v>
      </c>
      <c r="I247" s="13">
        <v>0</v>
      </c>
      <c r="J247">
        <v>2</v>
      </c>
      <c r="K247" t="s">
        <v>28</v>
      </c>
      <c r="L247" s="6">
        <v>43191</v>
      </c>
      <c r="M247" t="s">
        <v>800</v>
      </c>
      <c r="N247">
        <v>3</v>
      </c>
      <c r="O247" s="14" t="s">
        <v>1120</v>
      </c>
      <c r="P247">
        <v>0</v>
      </c>
      <c r="Q247" s="14" t="s">
        <v>1120</v>
      </c>
      <c r="R247" t="s">
        <v>798</v>
      </c>
    </row>
    <row r="248" spans="1:18">
      <c r="A248" t="s">
        <v>186</v>
      </c>
      <c r="B248" t="s">
        <v>139</v>
      </c>
      <c r="C248" t="s">
        <v>32</v>
      </c>
      <c r="D248" t="s">
        <v>791</v>
      </c>
      <c r="E248" t="s">
        <v>792</v>
      </c>
      <c r="F248" t="s">
        <v>80</v>
      </c>
      <c r="G248" t="s">
        <v>801</v>
      </c>
      <c r="H248" s="13">
        <v>279226</v>
      </c>
      <c r="I248" s="13">
        <v>0</v>
      </c>
      <c r="J248">
        <v>2</v>
      </c>
      <c r="K248" t="s">
        <v>28</v>
      </c>
      <c r="L248" s="6">
        <v>43191</v>
      </c>
      <c r="M248" t="s">
        <v>802</v>
      </c>
      <c r="N248">
        <v>2</v>
      </c>
      <c r="O248" s="14" t="s">
        <v>1120</v>
      </c>
      <c r="P248">
        <v>0</v>
      </c>
      <c r="Q248" s="14" t="s">
        <v>1120</v>
      </c>
      <c r="R248" t="s">
        <v>186</v>
      </c>
    </row>
    <row r="249" spans="1:18">
      <c r="A249" t="s">
        <v>803</v>
      </c>
      <c r="B249" t="s">
        <v>65</v>
      </c>
      <c r="C249" t="s">
        <v>66</v>
      </c>
      <c r="D249" t="s">
        <v>791</v>
      </c>
      <c r="E249" t="s">
        <v>792</v>
      </c>
      <c r="F249" t="s">
        <v>80</v>
      </c>
      <c r="G249" t="s">
        <v>804</v>
      </c>
      <c r="H249" s="13">
        <v>520200</v>
      </c>
      <c r="I249" s="13">
        <v>0</v>
      </c>
      <c r="J249">
        <v>3</v>
      </c>
      <c r="K249" t="s">
        <v>534</v>
      </c>
      <c r="L249" s="6">
        <v>43191</v>
      </c>
      <c r="M249" t="s">
        <v>805</v>
      </c>
      <c r="N249">
        <v>2</v>
      </c>
      <c r="O249" s="14" t="s">
        <v>1120</v>
      </c>
      <c r="P249">
        <v>0</v>
      </c>
      <c r="Q249" s="14" t="s">
        <v>1120</v>
      </c>
      <c r="R249" t="s">
        <v>803</v>
      </c>
    </row>
    <row r="250" spans="1:18">
      <c r="A250" t="s">
        <v>203</v>
      </c>
      <c r="B250" t="s">
        <v>180</v>
      </c>
      <c r="C250" t="s">
        <v>38</v>
      </c>
      <c r="D250" t="s">
        <v>791</v>
      </c>
      <c r="E250" t="s">
        <v>792</v>
      </c>
      <c r="F250" t="s">
        <v>80</v>
      </c>
      <c r="G250" t="s">
        <v>806</v>
      </c>
      <c r="H250" s="13">
        <v>765000</v>
      </c>
      <c r="I250" s="13">
        <v>0</v>
      </c>
      <c r="J250">
        <v>4</v>
      </c>
      <c r="K250" t="s">
        <v>44</v>
      </c>
      <c r="L250" s="6">
        <v>43191</v>
      </c>
      <c r="M250" t="s">
        <v>807</v>
      </c>
      <c r="N250">
        <v>1</v>
      </c>
      <c r="O250" s="14" t="s">
        <v>1120</v>
      </c>
      <c r="P250">
        <v>0</v>
      </c>
      <c r="Q250" s="14" t="s">
        <v>1120</v>
      </c>
      <c r="R250" t="s">
        <v>203</v>
      </c>
    </row>
    <row r="251" spans="1:18">
      <c r="A251" t="s">
        <v>281</v>
      </c>
      <c r="B251" t="s">
        <v>16</v>
      </c>
      <c r="C251" t="s">
        <v>17</v>
      </c>
      <c r="D251" t="s">
        <v>791</v>
      </c>
      <c r="E251" t="s">
        <v>792</v>
      </c>
      <c r="F251" t="s">
        <v>80</v>
      </c>
      <c r="G251" t="s">
        <v>808</v>
      </c>
      <c r="H251" s="13">
        <v>508724</v>
      </c>
      <c r="I251" s="13">
        <v>0</v>
      </c>
      <c r="J251">
        <v>4</v>
      </c>
      <c r="K251" t="s">
        <v>28</v>
      </c>
      <c r="L251" s="6">
        <v>43191</v>
      </c>
      <c r="M251" t="s">
        <v>809</v>
      </c>
      <c r="N251">
        <v>1</v>
      </c>
      <c r="O251" s="14" t="s">
        <v>1120</v>
      </c>
      <c r="P251">
        <v>0</v>
      </c>
      <c r="Q251" s="14" t="s">
        <v>1120</v>
      </c>
      <c r="R251" t="s">
        <v>281</v>
      </c>
    </row>
    <row r="252" spans="1:18">
      <c r="A252" t="s">
        <v>810</v>
      </c>
      <c r="B252" t="s">
        <v>70</v>
      </c>
      <c r="C252" t="s">
        <v>71</v>
      </c>
      <c r="D252" t="s">
        <v>791</v>
      </c>
      <c r="E252" t="s">
        <v>811</v>
      </c>
      <c r="F252" t="s">
        <v>80</v>
      </c>
      <c r="G252" t="s">
        <v>812</v>
      </c>
      <c r="H252" s="13">
        <v>367200</v>
      </c>
      <c r="I252" s="13">
        <v>0</v>
      </c>
      <c r="J252">
        <v>3</v>
      </c>
      <c r="K252" t="s">
        <v>34</v>
      </c>
      <c r="L252" s="6">
        <v>43374</v>
      </c>
      <c r="M252" t="s">
        <v>813</v>
      </c>
      <c r="N252">
        <v>0</v>
      </c>
      <c r="O252" s="14" t="s">
        <v>1120</v>
      </c>
      <c r="P252">
        <v>0</v>
      </c>
      <c r="Q252" s="14" t="s">
        <v>1120</v>
      </c>
      <c r="R252" t="s">
        <v>810</v>
      </c>
    </row>
    <row r="253" spans="1:18">
      <c r="A253" t="s">
        <v>814</v>
      </c>
      <c r="B253" t="s">
        <v>176</v>
      </c>
      <c r="C253" t="s">
        <v>38</v>
      </c>
      <c r="D253" t="s">
        <v>791</v>
      </c>
      <c r="E253" t="s">
        <v>811</v>
      </c>
      <c r="F253" t="s">
        <v>80</v>
      </c>
      <c r="G253" t="s">
        <v>815</v>
      </c>
      <c r="H253" s="13">
        <v>550800</v>
      </c>
      <c r="I253" s="13">
        <v>0</v>
      </c>
      <c r="J253">
        <v>3</v>
      </c>
      <c r="K253" t="s">
        <v>44</v>
      </c>
      <c r="L253" s="6">
        <v>43374</v>
      </c>
      <c r="M253" t="s">
        <v>816</v>
      </c>
      <c r="N253">
        <v>4</v>
      </c>
      <c r="O253" s="14" t="s">
        <v>1120</v>
      </c>
      <c r="P253">
        <v>0</v>
      </c>
      <c r="Q253" s="14" t="s">
        <v>1120</v>
      </c>
      <c r="R253" t="s">
        <v>814</v>
      </c>
    </row>
    <row r="254" spans="1:18">
      <c r="A254" t="s">
        <v>817</v>
      </c>
      <c r="B254" t="s">
        <v>217</v>
      </c>
      <c r="C254" t="s">
        <v>38</v>
      </c>
      <c r="D254" t="s">
        <v>791</v>
      </c>
      <c r="E254" t="s">
        <v>811</v>
      </c>
      <c r="F254" t="s">
        <v>80</v>
      </c>
      <c r="G254" t="s">
        <v>818</v>
      </c>
      <c r="H254" s="13">
        <v>602438</v>
      </c>
      <c r="I254" s="13">
        <v>0</v>
      </c>
      <c r="J254">
        <v>3</v>
      </c>
      <c r="K254" t="s">
        <v>108</v>
      </c>
      <c r="L254" s="6">
        <v>43374</v>
      </c>
      <c r="M254" t="s">
        <v>819</v>
      </c>
      <c r="N254">
        <v>0</v>
      </c>
      <c r="O254" s="14" t="s">
        <v>1120</v>
      </c>
      <c r="P254">
        <v>0</v>
      </c>
      <c r="Q254" s="14" t="s">
        <v>1120</v>
      </c>
      <c r="R254" t="s">
        <v>817</v>
      </c>
    </row>
    <row r="255" spans="1:18">
      <c r="A255" t="s">
        <v>820</v>
      </c>
      <c r="B255" t="s">
        <v>16</v>
      </c>
      <c r="C255" t="s">
        <v>17</v>
      </c>
      <c r="D255" t="s">
        <v>791</v>
      </c>
      <c r="E255" t="s">
        <v>821</v>
      </c>
      <c r="F255" t="s">
        <v>80</v>
      </c>
      <c r="G255" t="s">
        <v>822</v>
      </c>
      <c r="H255" s="13">
        <v>539324</v>
      </c>
      <c r="I255" s="13">
        <v>0</v>
      </c>
      <c r="J255">
        <v>4</v>
      </c>
      <c r="K255" t="s">
        <v>28</v>
      </c>
      <c r="L255" s="6">
        <v>43556</v>
      </c>
      <c r="M255" t="s">
        <v>823</v>
      </c>
      <c r="N255">
        <v>0</v>
      </c>
      <c r="O255" s="14" t="s">
        <v>1120</v>
      </c>
      <c r="P255">
        <v>0</v>
      </c>
      <c r="Q255" s="14" t="s">
        <v>1120</v>
      </c>
      <c r="R255" t="s">
        <v>820</v>
      </c>
    </row>
    <row r="256" spans="1:18">
      <c r="A256" t="s">
        <v>828</v>
      </c>
      <c r="B256" t="s">
        <v>58</v>
      </c>
      <c r="C256" t="s">
        <v>17</v>
      </c>
      <c r="D256" t="s">
        <v>791</v>
      </c>
      <c r="E256" t="s">
        <v>821</v>
      </c>
      <c r="F256" t="s">
        <v>80</v>
      </c>
      <c r="G256" t="s">
        <v>829</v>
      </c>
      <c r="H256" s="13">
        <v>493425</v>
      </c>
      <c r="I256" s="13">
        <v>0</v>
      </c>
      <c r="J256">
        <v>3</v>
      </c>
      <c r="K256" t="s">
        <v>113</v>
      </c>
      <c r="L256" s="6">
        <v>43556</v>
      </c>
      <c r="M256" t="s">
        <v>830</v>
      </c>
      <c r="N256">
        <v>3</v>
      </c>
      <c r="O256" s="14" t="s">
        <v>1120</v>
      </c>
      <c r="P256">
        <v>0</v>
      </c>
      <c r="Q256" s="14" t="s">
        <v>1120</v>
      </c>
      <c r="R256" t="s">
        <v>828</v>
      </c>
    </row>
    <row r="257" spans="1:18">
      <c r="A257" t="s">
        <v>831</v>
      </c>
      <c r="B257" t="s">
        <v>832</v>
      </c>
      <c r="C257" t="s">
        <v>32</v>
      </c>
      <c r="D257" t="s">
        <v>791</v>
      </c>
      <c r="E257" t="s">
        <v>821</v>
      </c>
      <c r="F257" t="s">
        <v>80</v>
      </c>
      <c r="G257" t="s">
        <v>833</v>
      </c>
      <c r="H257" s="13">
        <v>371024</v>
      </c>
      <c r="I257" s="13">
        <v>0</v>
      </c>
      <c r="J257">
        <v>3</v>
      </c>
      <c r="K257" t="s">
        <v>28</v>
      </c>
      <c r="L257" s="6">
        <v>43556</v>
      </c>
      <c r="M257" t="s">
        <v>834</v>
      </c>
      <c r="N257">
        <v>3</v>
      </c>
      <c r="O257" s="14" t="s">
        <v>1120</v>
      </c>
      <c r="P257">
        <v>0</v>
      </c>
      <c r="Q257" s="14" t="s">
        <v>1120</v>
      </c>
      <c r="R257" t="s">
        <v>831</v>
      </c>
    </row>
    <row r="258" spans="1:18">
      <c r="A258" t="s">
        <v>600</v>
      </c>
      <c r="B258" t="s">
        <v>37</v>
      </c>
      <c r="C258" t="s">
        <v>38</v>
      </c>
      <c r="D258" t="s">
        <v>791</v>
      </c>
      <c r="E258" t="s">
        <v>821</v>
      </c>
      <c r="F258" t="s">
        <v>80</v>
      </c>
      <c r="G258" t="s">
        <v>835</v>
      </c>
      <c r="H258" s="13">
        <v>470475</v>
      </c>
      <c r="I258" s="13">
        <v>0</v>
      </c>
      <c r="J258">
        <v>3</v>
      </c>
      <c r="K258" t="s">
        <v>28</v>
      </c>
      <c r="L258" s="6">
        <v>43556</v>
      </c>
      <c r="M258" t="s">
        <v>836</v>
      </c>
      <c r="N258">
        <v>0</v>
      </c>
      <c r="O258" s="14" t="s">
        <v>1120</v>
      </c>
      <c r="P258">
        <v>0</v>
      </c>
      <c r="Q258" s="14" t="s">
        <v>1120</v>
      </c>
      <c r="R258" t="s">
        <v>600</v>
      </c>
    </row>
    <row r="259" spans="1:18">
      <c r="A259" t="s">
        <v>837</v>
      </c>
      <c r="B259" t="s">
        <v>143</v>
      </c>
      <c r="C259" t="s">
        <v>38</v>
      </c>
      <c r="D259" t="s">
        <v>791</v>
      </c>
      <c r="E259" t="s">
        <v>821</v>
      </c>
      <c r="F259" t="s">
        <v>80</v>
      </c>
      <c r="G259" t="s">
        <v>838</v>
      </c>
      <c r="H259" s="13">
        <v>573752</v>
      </c>
      <c r="I259" s="13">
        <v>0</v>
      </c>
      <c r="J259">
        <v>4</v>
      </c>
      <c r="K259" t="s">
        <v>28</v>
      </c>
      <c r="L259" s="6">
        <v>43556</v>
      </c>
      <c r="M259" t="s">
        <v>839</v>
      </c>
      <c r="N259">
        <v>1</v>
      </c>
      <c r="O259" s="14" t="s">
        <v>1120</v>
      </c>
      <c r="P259">
        <v>0</v>
      </c>
      <c r="Q259" s="14" t="s">
        <v>1120</v>
      </c>
      <c r="R259" t="s">
        <v>837</v>
      </c>
    </row>
    <row r="260" spans="1:18">
      <c r="A260" t="s">
        <v>432</v>
      </c>
      <c r="B260" t="s">
        <v>99</v>
      </c>
      <c r="C260" t="s">
        <v>66</v>
      </c>
      <c r="D260" t="s">
        <v>791</v>
      </c>
      <c r="E260" t="s">
        <v>840</v>
      </c>
      <c r="F260" t="s">
        <v>80</v>
      </c>
      <c r="G260" t="s">
        <v>841</v>
      </c>
      <c r="H260" s="13">
        <v>367200</v>
      </c>
      <c r="I260" s="13">
        <v>0</v>
      </c>
      <c r="J260">
        <v>3</v>
      </c>
      <c r="K260" t="s">
        <v>22</v>
      </c>
      <c r="L260" s="6">
        <v>43739</v>
      </c>
      <c r="M260" t="s">
        <v>842</v>
      </c>
      <c r="N260">
        <v>0</v>
      </c>
      <c r="O260" s="14" t="s">
        <v>1120</v>
      </c>
      <c r="P260">
        <v>0</v>
      </c>
      <c r="Q260" s="14" t="s">
        <v>1120</v>
      </c>
      <c r="R260" t="s">
        <v>432</v>
      </c>
    </row>
    <row r="261" spans="1:18">
      <c r="A261" t="s">
        <v>843</v>
      </c>
      <c r="B261" t="s">
        <v>16</v>
      </c>
      <c r="C261" t="s">
        <v>17</v>
      </c>
      <c r="D261" t="s">
        <v>791</v>
      </c>
      <c r="E261" t="s">
        <v>840</v>
      </c>
      <c r="F261" t="s">
        <v>80</v>
      </c>
      <c r="G261" t="s">
        <v>844</v>
      </c>
      <c r="H261" s="13">
        <v>573750</v>
      </c>
      <c r="I261" s="13">
        <v>0</v>
      </c>
      <c r="J261">
        <v>3</v>
      </c>
      <c r="K261" t="s">
        <v>28</v>
      </c>
      <c r="L261" s="6">
        <v>43739</v>
      </c>
      <c r="M261" t="s">
        <v>845</v>
      </c>
      <c r="N261">
        <v>2</v>
      </c>
      <c r="O261" s="14" t="s">
        <v>1120</v>
      </c>
      <c r="P261">
        <v>0</v>
      </c>
      <c r="Q261" s="14" t="s">
        <v>1120</v>
      </c>
      <c r="R261" t="s">
        <v>843</v>
      </c>
    </row>
    <row r="262" spans="1:18">
      <c r="A262" t="s">
        <v>707</v>
      </c>
      <c r="B262" t="s">
        <v>180</v>
      </c>
      <c r="C262" t="s">
        <v>38</v>
      </c>
      <c r="D262" t="s">
        <v>791</v>
      </c>
      <c r="E262" t="s">
        <v>840</v>
      </c>
      <c r="F262" t="s">
        <v>80</v>
      </c>
      <c r="G262" t="s">
        <v>846</v>
      </c>
      <c r="H262" s="13">
        <v>703800</v>
      </c>
      <c r="I262" s="13">
        <v>0</v>
      </c>
      <c r="J262">
        <v>4</v>
      </c>
      <c r="K262" t="s">
        <v>28</v>
      </c>
      <c r="L262" s="6">
        <v>43739</v>
      </c>
      <c r="M262" t="s">
        <v>847</v>
      </c>
      <c r="N262">
        <v>5</v>
      </c>
      <c r="O262" s="14" t="s">
        <v>1120</v>
      </c>
      <c r="P262">
        <v>0</v>
      </c>
      <c r="Q262" s="14" t="s">
        <v>1120</v>
      </c>
      <c r="R262" t="s">
        <v>707</v>
      </c>
    </row>
    <row r="263" spans="1:18">
      <c r="A263" t="s">
        <v>69</v>
      </c>
      <c r="B263" t="s">
        <v>70</v>
      </c>
      <c r="C263" t="s">
        <v>71</v>
      </c>
      <c r="D263" t="s">
        <v>848</v>
      </c>
      <c r="E263" t="s">
        <v>849</v>
      </c>
      <c r="F263" t="s">
        <v>80</v>
      </c>
      <c r="G263" t="s">
        <v>850</v>
      </c>
      <c r="H263" s="13">
        <v>100000</v>
      </c>
      <c r="I263" s="13">
        <v>0</v>
      </c>
      <c r="J263">
        <v>1</v>
      </c>
      <c r="K263" t="s">
        <v>22</v>
      </c>
      <c r="L263" s="6">
        <v>43891</v>
      </c>
      <c r="M263" t="s">
        <v>851</v>
      </c>
      <c r="N263">
        <v>0</v>
      </c>
      <c r="O263" s="14" t="s">
        <v>1120</v>
      </c>
      <c r="P263">
        <v>0</v>
      </c>
      <c r="Q263" s="14" t="s">
        <v>1120</v>
      </c>
      <c r="R263" t="s">
        <v>69</v>
      </c>
    </row>
    <row r="264" spans="1:18">
      <c r="A264" t="s">
        <v>69</v>
      </c>
      <c r="B264" t="s">
        <v>70</v>
      </c>
      <c r="C264" t="s">
        <v>71</v>
      </c>
      <c r="D264" t="s">
        <v>791</v>
      </c>
      <c r="E264" t="s">
        <v>852</v>
      </c>
      <c r="F264" t="s">
        <v>80</v>
      </c>
      <c r="G264" t="s">
        <v>850</v>
      </c>
      <c r="H264" s="13">
        <v>654075</v>
      </c>
      <c r="I264" s="13">
        <v>0</v>
      </c>
      <c r="J264">
        <v>4</v>
      </c>
      <c r="K264" t="s">
        <v>22</v>
      </c>
      <c r="L264" s="6">
        <v>43891</v>
      </c>
      <c r="M264" t="s">
        <v>851</v>
      </c>
      <c r="N264">
        <v>3</v>
      </c>
      <c r="O264" s="14" t="s">
        <v>1120</v>
      </c>
      <c r="P264">
        <v>0</v>
      </c>
      <c r="Q264" s="14" t="s">
        <v>1120</v>
      </c>
      <c r="R264" t="s">
        <v>69</v>
      </c>
    </row>
    <row r="265" spans="1:18">
      <c r="A265" t="s">
        <v>853</v>
      </c>
      <c r="B265" t="s">
        <v>854</v>
      </c>
      <c r="C265" t="s">
        <v>38</v>
      </c>
      <c r="D265" t="s">
        <v>791</v>
      </c>
      <c r="E265" t="s">
        <v>855</v>
      </c>
      <c r="F265" t="s">
        <v>80</v>
      </c>
      <c r="G265" t="s">
        <v>856</v>
      </c>
      <c r="H265" s="13">
        <v>409276</v>
      </c>
      <c r="I265" s="13">
        <v>0</v>
      </c>
      <c r="J265">
        <v>3</v>
      </c>
      <c r="K265" t="s">
        <v>309</v>
      </c>
      <c r="L265" s="6">
        <v>43922</v>
      </c>
      <c r="M265" t="s">
        <v>857</v>
      </c>
      <c r="N265">
        <v>0</v>
      </c>
      <c r="O265" s="14" t="s">
        <v>1120</v>
      </c>
      <c r="P265">
        <v>0</v>
      </c>
      <c r="Q265" s="14" t="s">
        <v>1120</v>
      </c>
      <c r="R265" t="s">
        <v>853</v>
      </c>
    </row>
    <row r="266" spans="1:18">
      <c r="A266" t="s">
        <v>858</v>
      </c>
      <c r="B266" t="s">
        <v>16</v>
      </c>
      <c r="C266" t="s">
        <v>17</v>
      </c>
      <c r="D266" t="s">
        <v>791</v>
      </c>
      <c r="E266" t="s">
        <v>855</v>
      </c>
      <c r="F266" t="s">
        <v>80</v>
      </c>
      <c r="G266" t="s">
        <v>859</v>
      </c>
      <c r="H266" s="13">
        <v>317475</v>
      </c>
      <c r="I266" s="13">
        <v>0</v>
      </c>
      <c r="J266">
        <v>1.8333333329999999</v>
      </c>
      <c r="K266" t="s">
        <v>22</v>
      </c>
      <c r="L266" s="6">
        <v>43922</v>
      </c>
      <c r="M266" t="s">
        <v>860</v>
      </c>
      <c r="N266">
        <v>0</v>
      </c>
      <c r="O266" s="14" t="s">
        <v>1120</v>
      </c>
      <c r="P266">
        <v>0</v>
      </c>
      <c r="Q266" s="14" t="s">
        <v>1120</v>
      </c>
      <c r="R266" t="s">
        <v>858</v>
      </c>
    </row>
    <row r="267" spans="1:18">
      <c r="A267" t="s">
        <v>451</v>
      </c>
      <c r="B267" t="s">
        <v>16</v>
      </c>
      <c r="C267" t="s">
        <v>17</v>
      </c>
      <c r="D267" t="s">
        <v>791</v>
      </c>
      <c r="E267" t="s">
        <v>855</v>
      </c>
      <c r="F267" t="s">
        <v>80</v>
      </c>
      <c r="G267" t="s">
        <v>861</v>
      </c>
      <c r="H267" s="13">
        <v>524026</v>
      </c>
      <c r="I267" s="13">
        <v>0</v>
      </c>
      <c r="J267">
        <v>3</v>
      </c>
      <c r="K267" t="s">
        <v>44</v>
      </c>
      <c r="L267" s="6">
        <v>43922</v>
      </c>
      <c r="M267" t="s">
        <v>862</v>
      </c>
      <c r="N267">
        <v>1</v>
      </c>
      <c r="O267" s="14" t="s">
        <v>1120</v>
      </c>
      <c r="P267">
        <v>0</v>
      </c>
      <c r="Q267" s="14" t="s">
        <v>1120</v>
      </c>
      <c r="R267" t="s">
        <v>451</v>
      </c>
    </row>
    <row r="268" spans="1:18">
      <c r="A268" t="s">
        <v>729</v>
      </c>
      <c r="B268" t="s">
        <v>16</v>
      </c>
      <c r="C268" t="s">
        <v>17</v>
      </c>
      <c r="D268" t="s">
        <v>791</v>
      </c>
      <c r="E268" t="s">
        <v>855</v>
      </c>
      <c r="F268" t="s">
        <v>80</v>
      </c>
      <c r="G268" t="s">
        <v>863</v>
      </c>
      <c r="H268" s="13">
        <v>524026</v>
      </c>
      <c r="I268" s="13">
        <v>0</v>
      </c>
      <c r="J268">
        <v>3</v>
      </c>
      <c r="K268" t="s">
        <v>28</v>
      </c>
      <c r="L268" s="6">
        <v>43922</v>
      </c>
      <c r="M268" t="s">
        <v>864</v>
      </c>
      <c r="N268">
        <v>0</v>
      </c>
      <c r="O268" s="14" t="s">
        <v>1120</v>
      </c>
      <c r="P268">
        <v>0</v>
      </c>
      <c r="Q268" s="14" t="s">
        <v>1120</v>
      </c>
      <c r="R268" t="s">
        <v>729</v>
      </c>
    </row>
    <row r="269" spans="1:18">
      <c r="A269" t="s">
        <v>865</v>
      </c>
      <c r="B269" t="s">
        <v>139</v>
      </c>
      <c r="C269" t="s">
        <v>32</v>
      </c>
      <c r="D269" t="s">
        <v>791</v>
      </c>
      <c r="E269" t="s">
        <v>852</v>
      </c>
      <c r="F269" t="s">
        <v>80</v>
      </c>
      <c r="G269" t="s">
        <v>866</v>
      </c>
      <c r="H269" s="13">
        <v>550800</v>
      </c>
      <c r="I269" s="13">
        <v>0</v>
      </c>
      <c r="J269">
        <v>5</v>
      </c>
      <c r="K269" t="s">
        <v>44</v>
      </c>
      <c r="L269" s="6">
        <v>44105</v>
      </c>
      <c r="M269" t="s">
        <v>867</v>
      </c>
      <c r="N269">
        <v>0</v>
      </c>
      <c r="O269" s="14" t="s">
        <v>1120</v>
      </c>
      <c r="P269">
        <v>0</v>
      </c>
      <c r="Q269" s="14" t="s">
        <v>1120</v>
      </c>
      <c r="R269" t="s">
        <v>865</v>
      </c>
    </row>
    <row r="270" spans="1:18">
      <c r="A270" t="s">
        <v>868</v>
      </c>
      <c r="B270" t="s">
        <v>854</v>
      </c>
      <c r="C270" t="s">
        <v>38</v>
      </c>
      <c r="D270" t="s">
        <v>791</v>
      </c>
      <c r="E270" t="s">
        <v>852</v>
      </c>
      <c r="F270" t="s">
        <v>80</v>
      </c>
      <c r="G270" t="s">
        <v>869</v>
      </c>
      <c r="H270" s="13">
        <v>485774</v>
      </c>
      <c r="I270" s="13">
        <v>0</v>
      </c>
      <c r="J270">
        <v>3</v>
      </c>
      <c r="K270" t="s">
        <v>309</v>
      </c>
      <c r="L270" s="6">
        <v>44105</v>
      </c>
      <c r="M270" t="s">
        <v>870</v>
      </c>
      <c r="N270">
        <v>0</v>
      </c>
      <c r="O270" s="14" t="s">
        <v>1120</v>
      </c>
      <c r="P270">
        <v>0</v>
      </c>
      <c r="Q270" s="14" t="s">
        <v>1120</v>
      </c>
      <c r="R270" t="s">
        <v>868</v>
      </c>
    </row>
    <row r="271" spans="1:18">
      <c r="A271" t="s">
        <v>871</v>
      </c>
      <c r="B271" t="s">
        <v>99</v>
      </c>
      <c r="C271" t="s">
        <v>66</v>
      </c>
      <c r="D271" t="s">
        <v>791</v>
      </c>
      <c r="E271" t="s">
        <v>852</v>
      </c>
      <c r="F271" t="s">
        <v>80</v>
      </c>
      <c r="G271" t="s">
        <v>872</v>
      </c>
      <c r="H271" s="13">
        <v>558450</v>
      </c>
      <c r="I271" s="13">
        <v>0</v>
      </c>
      <c r="J271">
        <v>3</v>
      </c>
      <c r="K271" t="s">
        <v>309</v>
      </c>
      <c r="L271" s="6">
        <v>44105</v>
      </c>
      <c r="M271" t="s">
        <v>873</v>
      </c>
      <c r="N271">
        <v>5</v>
      </c>
      <c r="O271" s="14" t="s">
        <v>1120</v>
      </c>
      <c r="P271">
        <v>0</v>
      </c>
      <c r="Q271" s="14" t="s">
        <v>1120</v>
      </c>
      <c r="R271" t="s">
        <v>871</v>
      </c>
    </row>
    <row r="272" spans="1:18">
      <c r="A272" t="s">
        <v>874</v>
      </c>
      <c r="B272" t="s">
        <v>111</v>
      </c>
      <c r="C272" t="s">
        <v>38</v>
      </c>
      <c r="D272" t="s">
        <v>791</v>
      </c>
      <c r="E272" t="s">
        <v>875</v>
      </c>
      <c r="F272" t="s">
        <v>80</v>
      </c>
      <c r="G272" t="s">
        <v>876</v>
      </c>
      <c r="H272" s="13">
        <v>367200</v>
      </c>
      <c r="I272" s="13">
        <v>0</v>
      </c>
      <c r="J272">
        <v>2</v>
      </c>
      <c r="K272" t="s">
        <v>34</v>
      </c>
      <c r="L272" s="6">
        <v>44287</v>
      </c>
      <c r="M272" t="s">
        <v>877</v>
      </c>
      <c r="N272">
        <v>1</v>
      </c>
      <c r="O272" s="14" t="s">
        <v>1120</v>
      </c>
      <c r="P272">
        <v>0</v>
      </c>
      <c r="Q272" s="14" t="s">
        <v>1120</v>
      </c>
      <c r="R272" t="s">
        <v>874</v>
      </c>
    </row>
    <row r="273" spans="1:18">
      <c r="A273" t="s">
        <v>445</v>
      </c>
      <c r="B273" t="s">
        <v>16</v>
      </c>
      <c r="C273" t="s">
        <v>17</v>
      </c>
      <c r="D273" t="s">
        <v>791</v>
      </c>
      <c r="E273" t="s">
        <v>875</v>
      </c>
      <c r="F273" t="s">
        <v>80</v>
      </c>
      <c r="G273" t="s">
        <v>878</v>
      </c>
      <c r="H273" s="13">
        <v>520199</v>
      </c>
      <c r="I273" s="13">
        <v>0</v>
      </c>
      <c r="J273">
        <v>3</v>
      </c>
      <c r="K273" t="s">
        <v>22</v>
      </c>
      <c r="L273" s="6">
        <v>44287</v>
      </c>
      <c r="M273" t="s">
        <v>879</v>
      </c>
      <c r="N273">
        <v>2</v>
      </c>
      <c r="O273" s="14" t="s">
        <v>1120</v>
      </c>
      <c r="P273">
        <v>0</v>
      </c>
      <c r="Q273" s="14" t="s">
        <v>1120</v>
      </c>
      <c r="R273" t="s">
        <v>445</v>
      </c>
    </row>
    <row r="274" spans="1:18">
      <c r="A274" t="s">
        <v>884</v>
      </c>
      <c r="B274" t="s">
        <v>373</v>
      </c>
      <c r="C274" t="s">
        <v>38</v>
      </c>
      <c r="D274" t="s">
        <v>791</v>
      </c>
      <c r="E274" t="s">
        <v>885</v>
      </c>
      <c r="F274" t="s">
        <v>80</v>
      </c>
      <c r="G274" t="s">
        <v>886</v>
      </c>
      <c r="H274" s="13">
        <v>504900</v>
      </c>
      <c r="I274" s="13">
        <v>0</v>
      </c>
      <c r="J274">
        <v>3</v>
      </c>
      <c r="K274" t="s">
        <v>28</v>
      </c>
      <c r="L274" s="6">
        <v>44470</v>
      </c>
      <c r="M274" t="s">
        <v>887</v>
      </c>
      <c r="N274">
        <v>0</v>
      </c>
      <c r="O274" s="14" t="s">
        <v>1120</v>
      </c>
      <c r="P274">
        <v>0</v>
      </c>
      <c r="Q274" s="14" t="s">
        <v>1120</v>
      </c>
      <c r="R274" t="s">
        <v>884</v>
      </c>
    </row>
    <row r="275" spans="1:18">
      <c r="A275" t="s">
        <v>154</v>
      </c>
      <c r="B275" t="s">
        <v>155</v>
      </c>
      <c r="C275" t="s">
        <v>32</v>
      </c>
      <c r="D275" t="s">
        <v>880</v>
      </c>
      <c r="E275" t="s">
        <v>881</v>
      </c>
      <c r="F275" t="s">
        <v>80</v>
      </c>
      <c r="G275" t="s">
        <v>882</v>
      </c>
      <c r="H275" s="13">
        <v>100000</v>
      </c>
      <c r="I275" s="13">
        <v>0</v>
      </c>
      <c r="J275">
        <v>1</v>
      </c>
      <c r="K275" t="s">
        <v>28</v>
      </c>
      <c r="L275" s="6">
        <v>44470</v>
      </c>
      <c r="M275" t="s">
        <v>883</v>
      </c>
      <c r="N275">
        <v>0</v>
      </c>
      <c r="O275" s="14" t="s">
        <v>1120</v>
      </c>
      <c r="P275">
        <v>0</v>
      </c>
      <c r="Q275" s="14" t="s">
        <v>1120</v>
      </c>
      <c r="R275" t="s">
        <v>154</v>
      </c>
    </row>
    <row r="276" spans="1:18">
      <c r="A276" t="s">
        <v>154</v>
      </c>
      <c r="B276" t="s">
        <v>155</v>
      </c>
      <c r="C276" t="s">
        <v>32</v>
      </c>
      <c r="D276" t="s">
        <v>791</v>
      </c>
      <c r="E276" t="s">
        <v>885</v>
      </c>
      <c r="F276" t="s">
        <v>80</v>
      </c>
      <c r="G276" t="s">
        <v>882</v>
      </c>
      <c r="H276" s="13">
        <v>650251</v>
      </c>
      <c r="I276" s="13">
        <v>0</v>
      </c>
      <c r="J276">
        <v>2</v>
      </c>
      <c r="K276" t="s">
        <v>28</v>
      </c>
      <c r="L276" s="6">
        <v>44470</v>
      </c>
      <c r="M276" t="s">
        <v>883</v>
      </c>
      <c r="N276">
        <v>5</v>
      </c>
      <c r="O276" s="14" t="s">
        <v>1120</v>
      </c>
      <c r="P276">
        <v>0</v>
      </c>
      <c r="Q276" s="14" t="s">
        <v>1120</v>
      </c>
      <c r="R276" t="s">
        <v>154</v>
      </c>
    </row>
    <row r="277" spans="1:18">
      <c r="A277" t="s">
        <v>888</v>
      </c>
      <c r="B277" t="s">
        <v>272</v>
      </c>
      <c r="C277" t="s">
        <v>17</v>
      </c>
      <c r="D277" t="s">
        <v>791</v>
      </c>
      <c r="E277" t="s">
        <v>885</v>
      </c>
      <c r="F277" t="s">
        <v>80</v>
      </c>
      <c r="G277" t="s">
        <v>889</v>
      </c>
      <c r="H277" s="13">
        <v>489600</v>
      </c>
      <c r="I277" s="13">
        <v>0</v>
      </c>
      <c r="J277">
        <v>4</v>
      </c>
      <c r="K277" t="s">
        <v>44</v>
      </c>
      <c r="L277" s="6">
        <v>44470</v>
      </c>
      <c r="M277" t="s">
        <v>890</v>
      </c>
      <c r="N277">
        <v>0</v>
      </c>
      <c r="O277" s="14" t="s">
        <v>1120</v>
      </c>
      <c r="P277">
        <v>0</v>
      </c>
      <c r="Q277" s="14" t="s">
        <v>1120</v>
      </c>
      <c r="R277" t="s">
        <v>888</v>
      </c>
    </row>
    <row r="278" spans="1:18">
      <c r="A278" t="s">
        <v>281</v>
      </c>
      <c r="B278" t="s">
        <v>16</v>
      </c>
      <c r="C278" t="s">
        <v>17</v>
      </c>
      <c r="D278" t="s">
        <v>791</v>
      </c>
      <c r="E278" t="s">
        <v>885</v>
      </c>
      <c r="F278" t="s">
        <v>80</v>
      </c>
      <c r="G278" t="s">
        <v>891</v>
      </c>
      <c r="H278" s="13">
        <v>742051</v>
      </c>
      <c r="I278" s="13">
        <v>0</v>
      </c>
      <c r="J278">
        <v>4</v>
      </c>
      <c r="K278" t="s">
        <v>28</v>
      </c>
      <c r="L278" s="6">
        <v>44470</v>
      </c>
      <c r="M278" t="s">
        <v>892</v>
      </c>
      <c r="N278">
        <v>0</v>
      </c>
      <c r="O278" s="14" t="s">
        <v>1120</v>
      </c>
      <c r="P278">
        <v>0</v>
      </c>
      <c r="Q278" s="14" t="s">
        <v>1120</v>
      </c>
      <c r="R278" t="s">
        <v>281</v>
      </c>
    </row>
    <row r="279" spans="1:18">
      <c r="A279" t="s">
        <v>898</v>
      </c>
      <c r="B279" t="s">
        <v>116</v>
      </c>
      <c r="C279" t="s">
        <v>32</v>
      </c>
      <c r="D279" t="s">
        <v>899</v>
      </c>
      <c r="E279" t="s">
        <v>900</v>
      </c>
      <c r="F279" t="s">
        <v>80</v>
      </c>
      <c r="G279" t="s">
        <v>901</v>
      </c>
      <c r="H279" s="13">
        <v>100000</v>
      </c>
      <c r="I279" s="13">
        <v>0</v>
      </c>
      <c r="J279">
        <v>1</v>
      </c>
      <c r="K279" t="s">
        <v>28</v>
      </c>
      <c r="L279" s="6">
        <v>44621</v>
      </c>
      <c r="M279" t="s">
        <v>902</v>
      </c>
      <c r="N279">
        <v>0</v>
      </c>
      <c r="O279" s="14" t="s">
        <v>1120</v>
      </c>
      <c r="P279">
        <v>0</v>
      </c>
      <c r="Q279" s="14" t="s">
        <v>1120</v>
      </c>
      <c r="R279" t="s">
        <v>898</v>
      </c>
    </row>
    <row r="280" spans="1:18">
      <c r="A280" t="s">
        <v>893</v>
      </c>
      <c r="B280" t="s">
        <v>16</v>
      </c>
      <c r="C280" t="s">
        <v>17</v>
      </c>
      <c r="D280" t="s">
        <v>894</v>
      </c>
      <c r="E280" t="s">
        <v>895</v>
      </c>
      <c r="F280" t="s">
        <v>80</v>
      </c>
      <c r="G280" t="s">
        <v>896</v>
      </c>
      <c r="H280" s="13">
        <v>100000</v>
      </c>
      <c r="I280" s="13">
        <v>0</v>
      </c>
      <c r="J280">
        <v>1</v>
      </c>
      <c r="K280" t="s">
        <v>48</v>
      </c>
      <c r="L280" s="6">
        <v>44621</v>
      </c>
      <c r="M280" t="s">
        <v>897</v>
      </c>
      <c r="N280">
        <v>0</v>
      </c>
      <c r="O280" s="14" t="s">
        <v>1120</v>
      </c>
      <c r="P280">
        <v>0</v>
      </c>
      <c r="Q280" s="14" t="s">
        <v>1120</v>
      </c>
      <c r="R280" t="s">
        <v>893</v>
      </c>
    </row>
    <row r="281" spans="1:18">
      <c r="A281" t="s">
        <v>903</v>
      </c>
      <c r="B281" t="s">
        <v>143</v>
      </c>
      <c r="C281" t="s">
        <v>38</v>
      </c>
      <c r="D281" t="s">
        <v>791</v>
      </c>
      <c r="E281" t="s">
        <v>904</v>
      </c>
      <c r="F281" t="s">
        <v>80</v>
      </c>
      <c r="G281" t="s">
        <v>905</v>
      </c>
      <c r="H281" s="13">
        <v>428400</v>
      </c>
      <c r="I281" s="13">
        <v>0</v>
      </c>
      <c r="J281">
        <v>4</v>
      </c>
      <c r="K281" t="s">
        <v>34</v>
      </c>
      <c r="L281" s="6">
        <v>44652</v>
      </c>
      <c r="M281" t="s">
        <v>906</v>
      </c>
      <c r="N281">
        <v>0</v>
      </c>
      <c r="O281" s="14" t="s">
        <v>1120</v>
      </c>
      <c r="P281">
        <v>0</v>
      </c>
      <c r="Q281" s="14" t="s">
        <v>1120</v>
      </c>
      <c r="R281" t="s">
        <v>903</v>
      </c>
    </row>
    <row r="282" spans="1:18">
      <c r="A282" t="s">
        <v>907</v>
      </c>
      <c r="B282" t="s">
        <v>373</v>
      </c>
      <c r="C282" t="s">
        <v>38</v>
      </c>
      <c r="D282" t="s">
        <v>791</v>
      </c>
      <c r="E282" t="s">
        <v>904</v>
      </c>
      <c r="F282" t="s">
        <v>80</v>
      </c>
      <c r="G282" t="s">
        <v>908</v>
      </c>
      <c r="H282" s="13">
        <v>531674</v>
      </c>
      <c r="I282" s="13">
        <v>0</v>
      </c>
      <c r="J282">
        <v>3</v>
      </c>
      <c r="K282" t="s">
        <v>113</v>
      </c>
      <c r="L282" s="6">
        <v>44652</v>
      </c>
      <c r="M282" t="s">
        <v>909</v>
      </c>
      <c r="N282">
        <v>0</v>
      </c>
      <c r="O282" s="14" t="s">
        <v>1120</v>
      </c>
      <c r="P282">
        <v>0</v>
      </c>
      <c r="Q282" s="14" t="s">
        <v>1120</v>
      </c>
      <c r="R282" t="s">
        <v>907</v>
      </c>
    </row>
    <row r="283" spans="1:18">
      <c r="A283" t="s">
        <v>910</v>
      </c>
      <c r="B283" t="s">
        <v>16</v>
      </c>
      <c r="C283" t="s">
        <v>17</v>
      </c>
      <c r="D283" t="s">
        <v>791</v>
      </c>
      <c r="E283" t="s">
        <v>904</v>
      </c>
      <c r="F283" t="s">
        <v>80</v>
      </c>
      <c r="G283" t="s">
        <v>911</v>
      </c>
      <c r="H283" s="13">
        <v>1147500</v>
      </c>
      <c r="I283" s="13">
        <v>0</v>
      </c>
      <c r="J283">
        <v>5</v>
      </c>
      <c r="K283" t="s">
        <v>28</v>
      </c>
      <c r="L283" s="6">
        <v>44652</v>
      </c>
      <c r="M283" t="s">
        <v>912</v>
      </c>
      <c r="N283">
        <v>0</v>
      </c>
      <c r="O283" s="14" t="s">
        <v>1120</v>
      </c>
      <c r="P283">
        <v>0</v>
      </c>
      <c r="Q283" s="14" t="s">
        <v>1120</v>
      </c>
      <c r="R283" t="s">
        <v>910</v>
      </c>
    </row>
    <row r="284" spans="1:18">
      <c r="A284" t="s">
        <v>913</v>
      </c>
      <c r="B284" t="s">
        <v>193</v>
      </c>
      <c r="C284" t="s">
        <v>38</v>
      </c>
      <c r="D284" t="s">
        <v>791</v>
      </c>
      <c r="E284" t="s">
        <v>914</v>
      </c>
      <c r="F284" t="s">
        <v>80</v>
      </c>
      <c r="G284" t="s">
        <v>915</v>
      </c>
      <c r="H284" s="13">
        <v>336600</v>
      </c>
      <c r="I284" s="13">
        <v>0</v>
      </c>
      <c r="J284">
        <v>2</v>
      </c>
      <c r="K284" t="s">
        <v>22</v>
      </c>
      <c r="L284" s="6">
        <v>44835</v>
      </c>
      <c r="M284" t="s">
        <v>916</v>
      </c>
      <c r="N284">
        <v>0</v>
      </c>
      <c r="O284" s="14" t="s">
        <v>1120</v>
      </c>
      <c r="P284">
        <v>0</v>
      </c>
      <c r="Q284" s="14" t="s">
        <v>1120</v>
      </c>
      <c r="R284" t="s">
        <v>913</v>
      </c>
    </row>
    <row r="285" spans="1:18">
      <c r="A285" t="s">
        <v>917</v>
      </c>
      <c r="B285" t="s">
        <v>37</v>
      </c>
      <c r="C285" t="s">
        <v>38</v>
      </c>
      <c r="D285" t="s">
        <v>791</v>
      </c>
      <c r="E285" t="s">
        <v>914</v>
      </c>
      <c r="F285" t="s">
        <v>80</v>
      </c>
      <c r="G285" t="s">
        <v>918</v>
      </c>
      <c r="H285" s="13">
        <v>535501</v>
      </c>
      <c r="I285" s="13">
        <v>0</v>
      </c>
      <c r="J285">
        <v>4</v>
      </c>
      <c r="K285" t="s">
        <v>108</v>
      </c>
      <c r="L285" s="6">
        <v>44835</v>
      </c>
      <c r="M285" t="s">
        <v>919</v>
      </c>
      <c r="N285">
        <v>1</v>
      </c>
      <c r="O285" s="14" t="s">
        <v>1120</v>
      </c>
      <c r="P285">
        <v>0</v>
      </c>
      <c r="Q285" s="14" t="s">
        <v>1120</v>
      </c>
      <c r="R285" t="s">
        <v>917</v>
      </c>
    </row>
    <row r="286" spans="1:18">
      <c r="A286" t="s">
        <v>920</v>
      </c>
      <c r="B286" t="s">
        <v>373</v>
      </c>
      <c r="C286" t="s">
        <v>38</v>
      </c>
      <c r="D286" t="s">
        <v>791</v>
      </c>
      <c r="E286" t="s">
        <v>914</v>
      </c>
      <c r="F286" t="s">
        <v>80</v>
      </c>
      <c r="G286" t="s">
        <v>921</v>
      </c>
      <c r="H286" s="13">
        <v>279225</v>
      </c>
      <c r="I286" s="13">
        <v>0</v>
      </c>
      <c r="J286">
        <v>2</v>
      </c>
      <c r="K286" t="s">
        <v>34</v>
      </c>
      <c r="L286" s="6">
        <v>44835</v>
      </c>
      <c r="M286" t="s">
        <v>922</v>
      </c>
      <c r="N286">
        <v>0</v>
      </c>
      <c r="O286" s="14" t="s">
        <v>1120</v>
      </c>
      <c r="P286">
        <v>0</v>
      </c>
      <c r="Q286" s="14" t="s">
        <v>1120</v>
      </c>
      <c r="R286" t="s">
        <v>920</v>
      </c>
    </row>
    <row r="287" spans="1:18">
      <c r="A287" t="s">
        <v>923</v>
      </c>
      <c r="B287" t="s">
        <v>99</v>
      </c>
      <c r="C287" t="s">
        <v>66</v>
      </c>
      <c r="D287" t="s">
        <v>791</v>
      </c>
      <c r="E287" t="s">
        <v>914</v>
      </c>
      <c r="F287" t="s">
        <v>80</v>
      </c>
      <c r="G287" t="s">
        <v>924</v>
      </c>
      <c r="H287" s="13">
        <v>1009800</v>
      </c>
      <c r="I287" s="13">
        <v>0</v>
      </c>
      <c r="J287">
        <v>5</v>
      </c>
      <c r="K287" t="s">
        <v>48</v>
      </c>
      <c r="L287" s="6">
        <v>44835</v>
      </c>
      <c r="M287" t="s">
        <v>925</v>
      </c>
      <c r="N287">
        <v>3</v>
      </c>
      <c r="O287" s="14" t="s">
        <v>1120</v>
      </c>
      <c r="P287">
        <v>0</v>
      </c>
      <c r="Q287" s="14" t="s">
        <v>1120</v>
      </c>
      <c r="R287" t="s">
        <v>923</v>
      </c>
    </row>
    <row r="288" spans="1:18">
      <c r="A288" t="s">
        <v>926</v>
      </c>
      <c r="B288" t="s">
        <v>58</v>
      </c>
      <c r="C288" t="s">
        <v>17</v>
      </c>
      <c r="D288" t="s">
        <v>927</v>
      </c>
      <c r="E288" t="s">
        <v>928</v>
      </c>
      <c r="F288" t="s">
        <v>80</v>
      </c>
      <c r="G288" t="s">
        <v>929</v>
      </c>
      <c r="H288" s="13">
        <v>100000</v>
      </c>
      <c r="I288" s="13">
        <v>0</v>
      </c>
      <c r="J288">
        <v>1</v>
      </c>
      <c r="K288" t="s">
        <v>28</v>
      </c>
      <c r="L288" s="6">
        <v>44986</v>
      </c>
      <c r="M288" t="s">
        <v>930</v>
      </c>
      <c r="N288">
        <v>0</v>
      </c>
      <c r="O288" s="14" t="s">
        <v>1120</v>
      </c>
      <c r="P288">
        <v>0</v>
      </c>
      <c r="Q288" s="14" t="s">
        <v>1120</v>
      </c>
      <c r="R288" t="s">
        <v>926</v>
      </c>
    </row>
    <row r="289" spans="1:18">
      <c r="A289" t="s">
        <v>931</v>
      </c>
      <c r="B289" t="s">
        <v>932</v>
      </c>
      <c r="C289" t="s">
        <v>38</v>
      </c>
      <c r="D289" t="s">
        <v>78</v>
      </c>
      <c r="E289" t="s">
        <v>933</v>
      </c>
      <c r="F289" t="s">
        <v>80</v>
      </c>
      <c r="G289" t="s">
        <v>934</v>
      </c>
      <c r="H289" s="13">
        <v>100000</v>
      </c>
      <c r="I289" s="13">
        <v>0</v>
      </c>
      <c r="J289">
        <v>1</v>
      </c>
      <c r="K289" t="s">
        <v>22</v>
      </c>
      <c r="L289" s="6">
        <v>44986</v>
      </c>
      <c r="M289" t="s">
        <v>935</v>
      </c>
      <c r="N289">
        <v>0</v>
      </c>
      <c r="O289" s="14" t="s">
        <v>1120</v>
      </c>
      <c r="P289">
        <v>0</v>
      </c>
      <c r="Q289" s="14" t="s">
        <v>1120</v>
      </c>
      <c r="R289" t="s">
        <v>931</v>
      </c>
    </row>
    <row r="290" spans="1:18">
      <c r="A290" t="s">
        <v>936</v>
      </c>
      <c r="B290" t="s">
        <v>51</v>
      </c>
      <c r="C290" t="s">
        <v>32</v>
      </c>
      <c r="D290" t="s">
        <v>791</v>
      </c>
      <c r="E290" t="s">
        <v>937</v>
      </c>
      <c r="F290" t="s">
        <v>80</v>
      </c>
      <c r="G290" t="s">
        <v>938</v>
      </c>
      <c r="H290" s="13">
        <v>1503225</v>
      </c>
      <c r="I290" s="13">
        <v>0</v>
      </c>
      <c r="J290">
        <v>5</v>
      </c>
      <c r="K290" t="s">
        <v>48</v>
      </c>
      <c r="L290" s="6">
        <v>45017</v>
      </c>
      <c r="M290" t="s">
        <v>939</v>
      </c>
      <c r="N290">
        <v>0</v>
      </c>
      <c r="O290" s="14" t="s">
        <v>1120</v>
      </c>
      <c r="P290">
        <v>0</v>
      </c>
      <c r="Q290" s="14" t="s">
        <v>1120</v>
      </c>
      <c r="R290" t="s">
        <v>936</v>
      </c>
    </row>
    <row r="291" spans="1:18">
      <c r="A291" t="s">
        <v>898</v>
      </c>
      <c r="B291" t="s">
        <v>116</v>
      </c>
      <c r="C291" t="s">
        <v>32</v>
      </c>
      <c r="D291" t="s">
        <v>791</v>
      </c>
      <c r="E291" t="s">
        <v>937</v>
      </c>
      <c r="F291" t="s">
        <v>80</v>
      </c>
      <c r="G291" t="s">
        <v>940</v>
      </c>
      <c r="H291" s="13">
        <v>765000</v>
      </c>
      <c r="I291" s="13">
        <v>0</v>
      </c>
      <c r="J291">
        <v>4</v>
      </c>
      <c r="K291" t="s">
        <v>28</v>
      </c>
      <c r="L291" s="6">
        <v>45017</v>
      </c>
      <c r="M291" t="s">
        <v>941</v>
      </c>
      <c r="N291">
        <v>1</v>
      </c>
      <c r="O291" s="14" t="s">
        <v>1120</v>
      </c>
      <c r="P291">
        <v>0</v>
      </c>
      <c r="Q291" s="14" t="s">
        <v>1120</v>
      </c>
      <c r="R291" t="s">
        <v>898</v>
      </c>
    </row>
    <row r="292" spans="1:18">
      <c r="A292" t="s">
        <v>445</v>
      </c>
      <c r="B292" t="s">
        <v>16</v>
      </c>
      <c r="C292" t="s">
        <v>17</v>
      </c>
      <c r="D292" t="s">
        <v>791</v>
      </c>
      <c r="E292" t="s">
        <v>937</v>
      </c>
      <c r="F292" t="s">
        <v>80</v>
      </c>
      <c r="G292" t="s">
        <v>942</v>
      </c>
      <c r="H292" s="13">
        <v>803250</v>
      </c>
      <c r="I292" s="13">
        <v>0</v>
      </c>
      <c r="J292">
        <v>3</v>
      </c>
      <c r="K292" t="s">
        <v>22</v>
      </c>
      <c r="L292" s="6">
        <v>45017</v>
      </c>
      <c r="M292" t="s">
        <v>943</v>
      </c>
      <c r="N292">
        <v>4</v>
      </c>
      <c r="O292" s="14" t="s">
        <v>1120</v>
      </c>
      <c r="P292">
        <v>0</v>
      </c>
      <c r="Q292" s="14" t="s">
        <v>1120</v>
      </c>
      <c r="R292" t="s">
        <v>445</v>
      </c>
    </row>
    <row r="293" spans="1:18">
      <c r="A293" t="s">
        <v>947</v>
      </c>
      <c r="B293" t="s">
        <v>315</v>
      </c>
      <c r="C293" t="s">
        <v>32</v>
      </c>
      <c r="D293" t="s">
        <v>791</v>
      </c>
      <c r="E293" t="s">
        <v>937</v>
      </c>
      <c r="F293" t="s">
        <v>80</v>
      </c>
      <c r="G293" t="s">
        <v>948</v>
      </c>
      <c r="H293" s="13">
        <v>833851</v>
      </c>
      <c r="I293" s="13">
        <v>0</v>
      </c>
      <c r="J293">
        <v>3</v>
      </c>
      <c r="K293" t="s">
        <v>44</v>
      </c>
      <c r="L293" s="6">
        <v>45017</v>
      </c>
      <c r="M293" t="s">
        <v>949</v>
      </c>
      <c r="N293">
        <v>0</v>
      </c>
      <c r="O293" s="14" t="s">
        <v>1120</v>
      </c>
      <c r="P293">
        <v>0</v>
      </c>
      <c r="Q293" s="14" t="s">
        <v>1120</v>
      </c>
      <c r="R293" t="s">
        <v>947</v>
      </c>
    </row>
    <row r="294" spans="1:18">
      <c r="A294" t="s">
        <v>950</v>
      </c>
      <c r="B294" t="s">
        <v>200</v>
      </c>
      <c r="C294" t="s">
        <v>38</v>
      </c>
      <c r="D294" t="s">
        <v>791</v>
      </c>
      <c r="E294" t="s">
        <v>937</v>
      </c>
      <c r="F294" t="s">
        <v>80</v>
      </c>
      <c r="G294" t="s">
        <v>951</v>
      </c>
      <c r="H294" s="13">
        <v>891226</v>
      </c>
      <c r="I294" s="13">
        <v>0</v>
      </c>
      <c r="J294">
        <v>3</v>
      </c>
      <c r="K294" t="s">
        <v>28</v>
      </c>
      <c r="L294" s="6">
        <v>45017</v>
      </c>
      <c r="M294" t="s">
        <v>952</v>
      </c>
      <c r="N294">
        <v>1</v>
      </c>
      <c r="O294" s="14" t="s">
        <v>1120</v>
      </c>
      <c r="P294">
        <v>0</v>
      </c>
      <c r="Q294" s="14" t="s">
        <v>1120</v>
      </c>
      <c r="R294" t="s">
        <v>950</v>
      </c>
    </row>
    <row r="295" spans="1:18">
      <c r="A295" t="s">
        <v>953</v>
      </c>
      <c r="B295" t="s">
        <v>99</v>
      </c>
      <c r="C295" t="s">
        <v>66</v>
      </c>
      <c r="D295" t="s">
        <v>791</v>
      </c>
      <c r="E295" t="s">
        <v>954</v>
      </c>
      <c r="F295" t="s">
        <v>80</v>
      </c>
      <c r="G295" t="s">
        <v>955</v>
      </c>
      <c r="H295" s="13">
        <v>100000</v>
      </c>
      <c r="I295" s="13">
        <v>0</v>
      </c>
      <c r="J295">
        <v>1</v>
      </c>
      <c r="K295" t="s">
        <v>28</v>
      </c>
      <c r="L295" s="6">
        <v>45017</v>
      </c>
      <c r="M295" t="s">
        <v>956</v>
      </c>
      <c r="N295">
        <v>0</v>
      </c>
      <c r="O295" s="14" t="s">
        <v>1120</v>
      </c>
      <c r="P295">
        <v>0</v>
      </c>
      <c r="Q295" s="14" t="s">
        <v>1120</v>
      </c>
      <c r="R295" t="s">
        <v>953</v>
      </c>
    </row>
    <row r="296" spans="1:18">
      <c r="A296" t="s">
        <v>957</v>
      </c>
      <c r="B296" t="s">
        <v>58</v>
      </c>
      <c r="C296" t="s">
        <v>17</v>
      </c>
      <c r="D296" t="s">
        <v>791</v>
      </c>
      <c r="E296" t="s">
        <v>954</v>
      </c>
      <c r="F296" t="s">
        <v>80</v>
      </c>
      <c r="G296" t="s">
        <v>958</v>
      </c>
      <c r="H296" s="13">
        <v>100000</v>
      </c>
      <c r="I296" s="13">
        <v>0</v>
      </c>
      <c r="J296">
        <v>1</v>
      </c>
      <c r="K296" t="s">
        <v>22</v>
      </c>
      <c r="L296" s="6">
        <v>45017</v>
      </c>
      <c r="M296" t="s">
        <v>959</v>
      </c>
      <c r="N296">
        <v>0</v>
      </c>
      <c r="O296" s="14" t="s">
        <v>1120</v>
      </c>
      <c r="P296">
        <v>0</v>
      </c>
      <c r="Q296" s="14" t="s">
        <v>1120</v>
      </c>
      <c r="R296" t="s">
        <v>957</v>
      </c>
    </row>
    <row r="297" spans="1:18">
      <c r="A297" t="s">
        <v>960</v>
      </c>
      <c r="B297" t="s">
        <v>272</v>
      </c>
      <c r="C297" t="s">
        <v>17</v>
      </c>
      <c r="D297" t="s">
        <v>791</v>
      </c>
      <c r="E297" t="s">
        <v>961</v>
      </c>
      <c r="F297" t="s">
        <v>80</v>
      </c>
      <c r="G297" t="s">
        <v>962</v>
      </c>
      <c r="H297" s="13">
        <v>332776</v>
      </c>
      <c r="I297" s="13">
        <v>0</v>
      </c>
      <c r="J297">
        <v>2</v>
      </c>
      <c r="K297" t="s">
        <v>108</v>
      </c>
      <c r="L297" s="6">
        <v>45200</v>
      </c>
      <c r="M297" t="s">
        <v>963</v>
      </c>
      <c r="N297">
        <v>0</v>
      </c>
      <c r="O297" s="14" t="s">
        <v>1120</v>
      </c>
      <c r="P297">
        <v>0</v>
      </c>
      <c r="Q297" s="14" t="s">
        <v>1120</v>
      </c>
      <c r="R297" t="s">
        <v>960</v>
      </c>
    </row>
    <row r="298" spans="1:18">
      <c r="A298" t="s">
        <v>926</v>
      </c>
      <c r="B298" t="s">
        <v>58</v>
      </c>
      <c r="C298" t="s">
        <v>17</v>
      </c>
      <c r="D298" t="s">
        <v>791</v>
      </c>
      <c r="E298" t="s">
        <v>961</v>
      </c>
      <c r="F298" t="s">
        <v>80</v>
      </c>
      <c r="G298" t="s">
        <v>964</v>
      </c>
      <c r="H298" s="13">
        <v>956250</v>
      </c>
      <c r="I298" s="13">
        <v>0</v>
      </c>
      <c r="J298">
        <v>3</v>
      </c>
      <c r="K298" t="s">
        <v>28</v>
      </c>
      <c r="L298" s="6">
        <v>45200</v>
      </c>
      <c r="M298" t="s">
        <v>965</v>
      </c>
      <c r="N298">
        <v>0</v>
      </c>
      <c r="O298" s="14" t="s">
        <v>1120</v>
      </c>
      <c r="P298">
        <v>0</v>
      </c>
      <c r="Q298" s="14" t="s">
        <v>1120</v>
      </c>
      <c r="R298" t="s">
        <v>926</v>
      </c>
    </row>
    <row r="299" spans="1:18">
      <c r="A299" t="s">
        <v>947</v>
      </c>
      <c r="B299" t="s">
        <v>315</v>
      </c>
      <c r="C299" t="s">
        <v>32</v>
      </c>
      <c r="D299" t="s">
        <v>791</v>
      </c>
      <c r="E299" t="s">
        <v>961</v>
      </c>
      <c r="F299" t="s">
        <v>80</v>
      </c>
      <c r="G299" t="s">
        <v>966</v>
      </c>
      <c r="H299" s="13">
        <v>516376</v>
      </c>
      <c r="I299" s="13">
        <v>0</v>
      </c>
      <c r="J299">
        <v>3</v>
      </c>
      <c r="K299" t="s">
        <v>44</v>
      </c>
      <c r="L299" s="6">
        <v>45200</v>
      </c>
      <c r="M299" t="s">
        <v>967</v>
      </c>
      <c r="N299">
        <v>0</v>
      </c>
      <c r="O299" s="14" t="s">
        <v>1120</v>
      </c>
      <c r="P299">
        <v>0</v>
      </c>
      <c r="Q299" s="14" t="s">
        <v>1120</v>
      </c>
      <c r="R299" t="s">
        <v>947</v>
      </c>
    </row>
    <row r="300" spans="1:18">
      <c r="A300" t="s">
        <v>968</v>
      </c>
      <c r="B300" t="s">
        <v>236</v>
      </c>
      <c r="C300" t="s">
        <v>38</v>
      </c>
      <c r="D300" t="s">
        <v>791</v>
      </c>
      <c r="E300" t="s">
        <v>961</v>
      </c>
      <c r="F300" t="s">
        <v>80</v>
      </c>
      <c r="G300" t="s">
        <v>969</v>
      </c>
      <c r="H300" s="13">
        <v>240976</v>
      </c>
      <c r="I300" s="13">
        <v>0</v>
      </c>
      <c r="J300">
        <v>1</v>
      </c>
      <c r="K300" t="s">
        <v>28</v>
      </c>
      <c r="L300" s="6">
        <v>45200</v>
      </c>
      <c r="M300" t="s">
        <v>970</v>
      </c>
      <c r="N300">
        <v>1</v>
      </c>
      <c r="O300" s="14" t="s">
        <v>1120</v>
      </c>
      <c r="P300">
        <v>0</v>
      </c>
      <c r="Q300" s="14" t="s">
        <v>1120</v>
      </c>
      <c r="R300" t="s">
        <v>968</v>
      </c>
    </row>
    <row r="301" spans="1:18">
      <c r="A301" t="s">
        <v>803</v>
      </c>
      <c r="B301" t="s">
        <v>65</v>
      </c>
      <c r="C301" t="s">
        <v>66</v>
      </c>
      <c r="D301" t="s">
        <v>791</v>
      </c>
      <c r="E301" t="s">
        <v>961</v>
      </c>
      <c r="F301" t="s">
        <v>80</v>
      </c>
      <c r="G301" t="s">
        <v>971</v>
      </c>
      <c r="H301" s="13">
        <v>780300</v>
      </c>
      <c r="I301" s="13">
        <v>0</v>
      </c>
      <c r="J301">
        <v>3</v>
      </c>
      <c r="K301" t="s">
        <v>534</v>
      </c>
      <c r="L301" s="6">
        <v>45200</v>
      </c>
      <c r="M301" t="s">
        <v>972</v>
      </c>
      <c r="N301">
        <v>0</v>
      </c>
      <c r="O301" s="14" t="s">
        <v>1120</v>
      </c>
      <c r="P301">
        <v>0</v>
      </c>
      <c r="Q301" s="14" t="s">
        <v>1120</v>
      </c>
      <c r="R301" t="s">
        <v>803</v>
      </c>
    </row>
    <row r="302" spans="1:18">
      <c r="A302" t="s">
        <v>973</v>
      </c>
      <c r="B302" t="s">
        <v>200</v>
      </c>
      <c r="C302" t="s">
        <v>38</v>
      </c>
      <c r="D302" t="s">
        <v>791</v>
      </c>
      <c r="E302" t="s">
        <v>961</v>
      </c>
      <c r="F302" t="s">
        <v>80</v>
      </c>
      <c r="G302" t="s">
        <v>974</v>
      </c>
      <c r="H302" s="13">
        <v>665550</v>
      </c>
      <c r="I302" s="13">
        <v>0</v>
      </c>
      <c r="J302">
        <v>3</v>
      </c>
      <c r="K302" t="s">
        <v>44</v>
      </c>
      <c r="L302" s="6">
        <v>45200</v>
      </c>
      <c r="M302" t="s">
        <v>975</v>
      </c>
      <c r="N302">
        <v>0</v>
      </c>
      <c r="O302" s="14" t="s">
        <v>1120</v>
      </c>
      <c r="P302">
        <v>0</v>
      </c>
      <c r="Q302" s="14" t="s">
        <v>1120</v>
      </c>
      <c r="R302" t="s">
        <v>973</v>
      </c>
    </row>
    <row r="303" spans="1:18">
      <c r="A303" t="s">
        <v>976</v>
      </c>
      <c r="B303" t="s">
        <v>99</v>
      </c>
      <c r="C303" t="s">
        <v>66</v>
      </c>
      <c r="D303" t="s">
        <v>791</v>
      </c>
      <c r="E303" t="s">
        <v>961</v>
      </c>
      <c r="F303" t="s">
        <v>80</v>
      </c>
      <c r="G303" t="s">
        <v>977</v>
      </c>
      <c r="H303" s="13">
        <v>818550</v>
      </c>
      <c r="I303" s="13">
        <v>0</v>
      </c>
      <c r="J303">
        <v>3</v>
      </c>
      <c r="K303" t="s">
        <v>40</v>
      </c>
      <c r="L303" s="6">
        <v>45200</v>
      </c>
      <c r="M303" t="s">
        <v>978</v>
      </c>
      <c r="N303">
        <v>0</v>
      </c>
      <c r="O303" s="14" t="s">
        <v>1120</v>
      </c>
      <c r="P303">
        <v>0</v>
      </c>
      <c r="Q303" s="14" t="s">
        <v>1120</v>
      </c>
      <c r="R303" t="s">
        <v>976</v>
      </c>
    </row>
    <row r="304" spans="1:18">
      <c r="A304" t="s">
        <v>979</v>
      </c>
      <c r="B304" t="s">
        <v>51</v>
      </c>
      <c r="C304" t="s">
        <v>32</v>
      </c>
      <c r="D304" t="s">
        <v>791</v>
      </c>
      <c r="E304" t="s">
        <v>980</v>
      </c>
      <c r="F304" t="s">
        <v>80</v>
      </c>
      <c r="G304" t="s">
        <v>981</v>
      </c>
      <c r="H304" s="13">
        <v>451350</v>
      </c>
      <c r="I304" s="13">
        <v>0</v>
      </c>
      <c r="J304">
        <v>2</v>
      </c>
      <c r="K304" t="s">
        <v>40</v>
      </c>
      <c r="L304" s="6">
        <v>45352</v>
      </c>
      <c r="M304" t="s">
        <v>982</v>
      </c>
      <c r="N304">
        <v>0</v>
      </c>
      <c r="O304" s="14" t="s">
        <v>1120</v>
      </c>
      <c r="P304">
        <v>0</v>
      </c>
      <c r="Q304" s="14" t="s">
        <v>1120</v>
      </c>
      <c r="R304" t="s">
        <v>979</v>
      </c>
    </row>
    <row r="305" spans="1:18">
      <c r="A305" t="s">
        <v>77</v>
      </c>
      <c r="B305" t="s">
        <v>16</v>
      </c>
      <c r="C305" t="s">
        <v>17</v>
      </c>
      <c r="D305" t="s">
        <v>78</v>
      </c>
      <c r="E305" t="s">
        <v>987</v>
      </c>
      <c r="F305" t="s">
        <v>80</v>
      </c>
      <c r="G305" t="s">
        <v>81</v>
      </c>
      <c r="H305" s="13">
        <v>100000</v>
      </c>
      <c r="I305" s="13">
        <v>0</v>
      </c>
      <c r="J305">
        <v>1</v>
      </c>
      <c r="K305" t="s">
        <v>82</v>
      </c>
      <c r="L305" s="6">
        <v>45352</v>
      </c>
      <c r="M305" t="s">
        <v>83</v>
      </c>
      <c r="N305">
        <v>0</v>
      </c>
      <c r="O305" s="14" t="s">
        <v>1120</v>
      </c>
      <c r="P305">
        <v>0</v>
      </c>
      <c r="Q305" s="14" t="s">
        <v>1120</v>
      </c>
      <c r="R305" t="s">
        <v>77</v>
      </c>
    </row>
    <row r="306" spans="1:18">
      <c r="A306" t="s">
        <v>983</v>
      </c>
      <c r="B306" t="s">
        <v>139</v>
      </c>
      <c r="C306" t="s">
        <v>32</v>
      </c>
      <c r="D306" t="s">
        <v>899</v>
      </c>
      <c r="E306" t="s">
        <v>984</v>
      </c>
      <c r="F306" t="s">
        <v>80</v>
      </c>
      <c r="G306" t="s">
        <v>985</v>
      </c>
      <c r="H306" s="13">
        <v>100000</v>
      </c>
      <c r="I306" s="13">
        <v>0</v>
      </c>
      <c r="J306">
        <v>1</v>
      </c>
      <c r="K306" t="s">
        <v>28</v>
      </c>
      <c r="L306" s="6">
        <v>45352</v>
      </c>
      <c r="M306" t="s">
        <v>986</v>
      </c>
      <c r="N306">
        <v>0</v>
      </c>
      <c r="O306" s="14" t="s">
        <v>1120</v>
      </c>
      <c r="P306">
        <v>0</v>
      </c>
      <c r="Q306" s="14" t="s">
        <v>1120</v>
      </c>
      <c r="R306" t="s">
        <v>983</v>
      </c>
    </row>
    <row r="307" spans="1:18">
      <c r="A307" t="s">
        <v>998</v>
      </c>
      <c r="B307" t="s">
        <v>555</v>
      </c>
      <c r="C307" t="s">
        <v>38</v>
      </c>
      <c r="D307" t="s">
        <v>899</v>
      </c>
      <c r="E307" t="s">
        <v>984</v>
      </c>
      <c r="F307" t="s">
        <v>80</v>
      </c>
      <c r="G307" t="s">
        <v>999</v>
      </c>
      <c r="H307" s="13">
        <v>100000</v>
      </c>
      <c r="I307" s="13">
        <v>0</v>
      </c>
      <c r="J307">
        <v>1</v>
      </c>
      <c r="K307" t="s">
        <v>28</v>
      </c>
      <c r="L307" s="6">
        <v>45383</v>
      </c>
      <c r="M307" t="s">
        <v>1000</v>
      </c>
      <c r="N307">
        <v>0</v>
      </c>
      <c r="O307" s="14" t="s">
        <v>1120</v>
      </c>
      <c r="P307">
        <v>0</v>
      </c>
      <c r="Q307" s="14" t="s">
        <v>1120</v>
      </c>
      <c r="R307" t="s">
        <v>998</v>
      </c>
    </row>
    <row r="308" spans="1:18">
      <c r="A308" t="s">
        <v>820</v>
      </c>
      <c r="B308" t="s">
        <v>16</v>
      </c>
      <c r="C308" t="s">
        <v>17</v>
      </c>
      <c r="D308" t="s">
        <v>791</v>
      </c>
      <c r="E308" t="s">
        <v>980</v>
      </c>
      <c r="F308" t="s">
        <v>80</v>
      </c>
      <c r="G308" t="s">
        <v>988</v>
      </c>
      <c r="H308" s="13">
        <v>474300</v>
      </c>
      <c r="I308" s="13">
        <v>0</v>
      </c>
      <c r="J308">
        <v>4</v>
      </c>
      <c r="K308" t="s">
        <v>28</v>
      </c>
      <c r="L308" s="6">
        <v>45383</v>
      </c>
      <c r="M308" t="s">
        <v>989</v>
      </c>
      <c r="N308">
        <v>0</v>
      </c>
      <c r="O308" s="14" t="s">
        <v>1120</v>
      </c>
      <c r="P308">
        <v>0</v>
      </c>
      <c r="Q308" s="14" t="s">
        <v>1120</v>
      </c>
      <c r="R308" t="s">
        <v>820</v>
      </c>
    </row>
    <row r="309" spans="1:18">
      <c r="A309" t="s">
        <v>990</v>
      </c>
      <c r="B309" t="s">
        <v>373</v>
      </c>
      <c r="C309" t="s">
        <v>38</v>
      </c>
      <c r="D309" t="s">
        <v>791</v>
      </c>
      <c r="E309" t="s">
        <v>980</v>
      </c>
      <c r="F309" t="s">
        <v>80</v>
      </c>
      <c r="G309" t="s">
        <v>991</v>
      </c>
      <c r="H309" s="13">
        <v>634949</v>
      </c>
      <c r="I309" s="13">
        <v>0</v>
      </c>
      <c r="J309">
        <v>3</v>
      </c>
      <c r="K309" t="s">
        <v>460</v>
      </c>
      <c r="L309" s="6">
        <v>45383</v>
      </c>
      <c r="M309" t="s">
        <v>992</v>
      </c>
      <c r="N309">
        <v>1</v>
      </c>
      <c r="O309" s="14" t="s">
        <v>1120</v>
      </c>
      <c r="P309">
        <v>0</v>
      </c>
      <c r="Q309" s="14" t="s">
        <v>1120</v>
      </c>
      <c r="R309" t="s">
        <v>990</v>
      </c>
    </row>
    <row r="310" spans="1:18">
      <c r="A310" t="s">
        <v>843</v>
      </c>
      <c r="B310" t="s">
        <v>16</v>
      </c>
      <c r="C310" t="s">
        <v>17</v>
      </c>
      <c r="D310" t="s">
        <v>791</v>
      </c>
      <c r="E310" t="s">
        <v>980</v>
      </c>
      <c r="F310" t="s">
        <v>80</v>
      </c>
      <c r="G310" t="s">
        <v>993</v>
      </c>
      <c r="H310" s="13">
        <v>979200</v>
      </c>
      <c r="I310" s="13">
        <v>0</v>
      </c>
      <c r="J310">
        <v>4</v>
      </c>
      <c r="K310" t="s">
        <v>28</v>
      </c>
      <c r="L310" s="6">
        <v>45383</v>
      </c>
      <c r="M310" t="s">
        <v>994</v>
      </c>
      <c r="N310">
        <v>0</v>
      </c>
      <c r="O310" s="14" t="s">
        <v>1120</v>
      </c>
      <c r="P310">
        <v>0</v>
      </c>
      <c r="Q310" s="14" t="s">
        <v>1120</v>
      </c>
      <c r="R310" t="s">
        <v>843</v>
      </c>
    </row>
    <row r="311" spans="1:18">
      <c r="A311" t="s">
        <v>995</v>
      </c>
      <c r="B311" t="s">
        <v>236</v>
      </c>
      <c r="C311" t="s">
        <v>38</v>
      </c>
      <c r="D311" t="s">
        <v>791</v>
      </c>
      <c r="E311" t="s">
        <v>980</v>
      </c>
      <c r="F311" t="s">
        <v>80</v>
      </c>
      <c r="G311" t="s">
        <v>996</v>
      </c>
      <c r="H311" s="13">
        <v>719101</v>
      </c>
      <c r="I311" s="13">
        <v>0</v>
      </c>
      <c r="J311">
        <v>3</v>
      </c>
      <c r="K311" t="s">
        <v>48</v>
      </c>
      <c r="L311" s="6">
        <v>45383</v>
      </c>
      <c r="M311" t="s">
        <v>997</v>
      </c>
      <c r="N311">
        <v>0</v>
      </c>
      <c r="O311" s="14" t="s">
        <v>1120</v>
      </c>
      <c r="P311">
        <v>0</v>
      </c>
      <c r="Q311" s="14" t="s">
        <v>1120</v>
      </c>
      <c r="R311" t="s">
        <v>995</v>
      </c>
    </row>
    <row r="312" spans="1:18">
      <c r="A312" t="s">
        <v>998</v>
      </c>
      <c r="B312" t="s">
        <v>555</v>
      </c>
      <c r="C312" t="s">
        <v>38</v>
      </c>
      <c r="D312" t="s">
        <v>899</v>
      </c>
      <c r="E312" t="s">
        <v>1017</v>
      </c>
      <c r="F312" t="s">
        <v>80</v>
      </c>
      <c r="G312" t="s">
        <v>999</v>
      </c>
      <c r="H312" s="13">
        <v>100000</v>
      </c>
      <c r="I312" s="13">
        <v>0</v>
      </c>
      <c r="J312">
        <v>1</v>
      </c>
      <c r="K312" t="s">
        <v>28</v>
      </c>
      <c r="L312" s="6">
        <v>45566</v>
      </c>
      <c r="M312" t="s">
        <v>1000</v>
      </c>
      <c r="N312">
        <v>0</v>
      </c>
      <c r="O312" s="14" t="s">
        <v>1120</v>
      </c>
      <c r="P312">
        <v>0</v>
      </c>
      <c r="Q312" s="14" t="s">
        <v>1120</v>
      </c>
      <c r="R312" t="s">
        <v>998</v>
      </c>
    </row>
    <row r="313" spans="1:18">
      <c r="A313" t="s">
        <v>1001</v>
      </c>
      <c r="B313" t="s">
        <v>236</v>
      </c>
      <c r="C313" t="s">
        <v>38</v>
      </c>
      <c r="D313" t="s">
        <v>791</v>
      </c>
      <c r="E313" t="s">
        <v>1002</v>
      </c>
      <c r="F313" t="s">
        <v>80</v>
      </c>
      <c r="G313" t="s">
        <v>1003</v>
      </c>
      <c r="H313" s="13">
        <v>325125</v>
      </c>
      <c r="I313" s="13">
        <v>0</v>
      </c>
      <c r="J313">
        <v>2</v>
      </c>
      <c r="K313" t="s">
        <v>34</v>
      </c>
      <c r="L313" s="6">
        <v>45566</v>
      </c>
      <c r="M313" t="s">
        <v>1004</v>
      </c>
      <c r="N313">
        <v>0</v>
      </c>
      <c r="O313" s="14" t="s">
        <v>1120</v>
      </c>
      <c r="P313">
        <v>0</v>
      </c>
      <c r="Q313" s="14" t="s">
        <v>1120</v>
      </c>
      <c r="R313" t="s">
        <v>1001</v>
      </c>
    </row>
    <row r="314" spans="1:18">
      <c r="A314" t="s">
        <v>1005</v>
      </c>
      <c r="B314" t="s">
        <v>16</v>
      </c>
      <c r="C314" t="s">
        <v>17</v>
      </c>
      <c r="D314" t="s">
        <v>791</v>
      </c>
      <c r="E314" t="s">
        <v>1002</v>
      </c>
      <c r="F314" t="s">
        <v>80</v>
      </c>
      <c r="G314" t="s">
        <v>1006</v>
      </c>
      <c r="H314" s="13">
        <v>730576</v>
      </c>
      <c r="I314" s="13">
        <v>0</v>
      </c>
      <c r="J314">
        <v>4</v>
      </c>
      <c r="K314" t="s">
        <v>28</v>
      </c>
      <c r="L314" s="6">
        <v>45566</v>
      </c>
      <c r="M314" t="s">
        <v>1007</v>
      </c>
      <c r="N314">
        <v>0</v>
      </c>
      <c r="O314" s="14" t="s">
        <v>1120</v>
      </c>
      <c r="P314">
        <v>0</v>
      </c>
      <c r="Q314" s="14" t="s">
        <v>1120</v>
      </c>
      <c r="R314" t="s">
        <v>1005</v>
      </c>
    </row>
    <row r="315" spans="1:18">
      <c r="A315" t="s">
        <v>1008</v>
      </c>
      <c r="B315" t="s">
        <v>143</v>
      </c>
      <c r="C315" t="s">
        <v>38</v>
      </c>
      <c r="D315" t="s">
        <v>791</v>
      </c>
      <c r="E315" t="s">
        <v>1002</v>
      </c>
      <c r="F315" t="s">
        <v>80</v>
      </c>
      <c r="G315" t="s">
        <v>1009</v>
      </c>
      <c r="H315" s="13">
        <v>726750</v>
      </c>
      <c r="I315" s="13">
        <v>0</v>
      </c>
      <c r="J315">
        <v>3</v>
      </c>
      <c r="K315" t="s">
        <v>40</v>
      </c>
      <c r="L315" s="6">
        <v>45566</v>
      </c>
      <c r="M315" t="s">
        <v>1010</v>
      </c>
      <c r="N315">
        <v>1</v>
      </c>
      <c r="O315" s="14" t="s">
        <v>1120</v>
      </c>
      <c r="P315">
        <v>0</v>
      </c>
      <c r="Q315" s="14" t="s">
        <v>1120</v>
      </c>
      <c r="R315" t="s">
        <v>1008</v>
      </c>
    </row>
    <row r="316" spans="1:18">
      <c r="A316" t="s">
        <v>1011</v>
      </c>
      <c r="B316" t="s">
        <v>217</v>
      </c>
      <c r="C316" t="s">
        <v>38</v>
      </c>
      <c r="D316" t="s">
        <v>791</v>
      </c>
      <c r="E316" t="s">
        <v>1002</v>
      </c>
      <c r="F316" t="s">
        <v>80</v>
      </c>
      <c r="G316" t="s">
        <v>1012</v>
      </c>
      <c r="H316" s="13">
        <v>501076</v>
      </c>
      <c r="I316" s="13">
        <v>0</v>
      </c>
      <c r="J316">
        <v>3</v>
      </c>
      <c r="K316" t="s">
        <v>34</v>
      </c>
      <c r="L316" s="6">
        <v>45566</v>
      </c>
      <c r="M316" t="s">
        <v>1013</v>
      </c>
      <c r="N316">
        <v>0</v>
      </c>
      <c r="O316" s="14" t="s">
        <v>1120</v>
      </c>
      <c r="P316">
        <v>0</v>
      </c>
      <c r="Q316" s="14" t="s">
        <v>1120</v>
      </c>
      <c r="R316" t="s">
        <v>1011</v>
      </c>
    </row>
    <row r="317" spans="1:18">
      <c r="A317" t="s">
        <v>1014</v>
      </c>
      <c r="B317" t="s">
        <v>37</v>
      </c>
      <c r="C317" t="s">
        <v>38</v>
      </c>
      <c r="D317" t="s">
        <v>791</v>
      </c>
      <c r="E317" t="s">
        <v>1002</v>
      </c>
      <c r="F317" t="s">
        <v>80</v>
      </c>
      <c r="G317" t="s">
        <v>1015</v>
      </c>
      <c r="H317" s="13">
        <v>508725</v>
      </c>
      <c r="I317" s="13">
        <v>0</v>
      </c>
      <c r="J317">
        <v>2</v>
      </c>
      <c r="K317" t="s">
        <v>34</v>
      </c>
      <c r="L317" s="6">
        <v>45566</v>
      </c>
      <c r="M317" t="s">
        <v>1016</v>
      </c>
      <c r="N317">
        <v>1</v>
      </c>
      <c r="O317" s="14" t="s">
        <v>1120</v>
      </c>
      <c r="P317">
        <v>0</v>
      </c>
      <c r="Q317" s="14" t="s">
        <v>1120</v>
      </c>
      <c r="R317" t="s">
        <v>1014</v>
      </c>
    </row>
    <row r="318" spans="1:18">
      <c r="L318" s="6"/>
    </row>
  </sheetData>
  <sortState xmlns:xlrd2="http://schemas.microsoft.com/office/spreadsheetml/2017/richdata2" ref="O2:R25">
    <sortCondition ref="Q2:Q25"/>
    <sortCondition ref="O2:O2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4F36-B997-7D48-B838-65DF6C3965AB}">
  <sheetPr codeName="Sheet3"/>
  <dimension ref="A1:AD28"/>
  <sheetViews>
    <sheetView tabSelected="1" zoomScaleNormal="100" workbookViewId="0">
      <selection activeCell="F28" sqref="F28"/>
    </sheetView>
  </sheetViews>
  <sheetFormatPr defaultColWidth="10.625" defaultRowHeight="15.75"/>
  <cols>
    <col min="6" max="6" width="16.375" customWidth="1"/>
    <col min="8" max="8" width="13.875" customWidth="1"/>
    <col min="10" max="10" width="14.625" customWidth="1"/>
    <col min="12" max="12" width="13" customWidth="1"/>
    <col min="16" max="16" width="13.375" customWidth="1"/>
    <col min="18" max="19" width="14.625" customWidth="1"/>
    <col min="20" max="20" width="14.625" style="58" customWidth="1"/>
    <col min="21" max="21" width="14.625" customWidth="1"/>
    <col min="26" max="26" width="11.625" bestFit="1" customWidth="1"/>
    <col min="27" max="27" width="28" customWidth="1"/>
  </cols>
  <sheetData>
    <row r="1" spans="1:30">
      <c r="A1" t="s">
        <v>1065</v>
      </c>
      <c r="B1" t="s">
        <v>1066</v>
      </c>
      <c r="C1" t="s">
        <v>1043</v>
      </c>
      <c r="D1" t="s">
        <v>1067</v>
      </c>
      <c r="E1" t="s">
        <v>1068</v>
      </c>
      <c r="F1" t="s">
        <v>1069</v>
      </c>
      <c r="G1" t="s">
        <v>1070</v>
      </c>
      <c r="H1" t="s">
        <v>1071</v>
      </c>
      <c r="I1" t="s">
        <v>1072</v>
      </c>
      <c r="J1" t="s">
        <v>1073</v>
      </c>
      <c r="K1" t="s">
        <v>1074</v>
      </c>
      <c r="L1" t="s">
        <v>1075</v>
      </c>
      <c r="M1" t="s">
        <v>1076</v>
      </c>
      <c r="N1" t="s">
        <v>1077</v>
      </c>
      <c r="O1" t="s">
        <v>1078</v>
      </c>
      <c r="P1" t="s">
        <v>1079</v>
      </c>
      <c r="Q1" t="s">
        <v>1080</v>
      </c>
      <c r="R1" t="s">
        <v>1081</v>
      </c>
      <c r="S1" t="s">
        <v>1137</v>
      </c>
      <c r="T1" s="58" t="s">
        <v>1145</v>
      </c>
      <c r="U1" t="s">
        <v>1146</v>
      </c>
      <c r="V1" t="s">
        <v>1082</v>
      </c>
      <c r="W1" t="s">
        <v>1083</v>
      </c>
      <c r="X1" t="s">
        <v>1140</v>
      </c>
      <c r="Y1" t="s">
        <v>1067</v>
      </c>
      <c r="Z1" t="s">
        <v>1147</v>
      </c>
      <c r="AA1" t="s">
        <v>1041</v>
      </c>
      <c r="AB1" t="s">
        <v>1042</v>
      </c>
      <c r="AC1" t="s">
        <v>1043</v>
      </c>
      <c r="AD1" s="59" t="s">
        <v>0</v>
      </c>
    </row>
    <row r="2" spans="1:30">
      <c r="A2">
        <v>176</v>
      </c>
      <c r="B2">
        <v>6</v>
      </c>
      <c r="C2" t="s">
        <v>1045</v>
      </c>
      <c r="D2" t="s">
        <v>1064</v>
      </c>
      <c r="E2" t="b">
        <v>0</v>
      </c>
      <c r="F2">
        <v>0</v>
      </c>
      <c r="G2" t="b">
        <v>0</v>
      </c>
      <c r="H2">
        <v>0</v>
      </c>
      <c r="I2" t="b">
        <v>0</v>
      </c>
      <c r="J2">
        <v>0</v>
      </c>
      <c r="K2" t="b">
        <v>0</v>
      </c>
      <c r="L2">
        <v>0</v>
      </c>
      <c r="M2" t="b">
        <v>0</v>
      </c>
      <c r="N2">
        <v>0</v>
      </c>
      <c r="O2" t="s">
        <v>1093</v>
      </c>
      <c r="P2" s="7">
        <v>100000000</v>
      </c>
      <c r="Q2" t="b">
        <v>0</v>
      </c>
      <c r="R2">
        <v>0</v>
      </c>
      <c r="S2" s="60">
        <f t="shared" ref="S2:S26" si="0">SUM(F2+H2+J2+L2+N2+P2+R2)</f>
        <v>100000000</v>
      </c>
      <c r="T2" s="61">
        <f t="shared" ref="T2:T26" si="1">S2/Z2</f>
        <v>333.33333333333331</v>
      </c>
      <c r="U2" s="62">
        <v>2.5228787452803374</v>
      </c>
      <c r="V2" t="s">
        <v>1094</v>
      </c>
      <c r="W2" t="s">
        <v>1086</v>
      </c>
      <c r="X2" t="s">
        <v>1093</v>
      </c>
      <c r="Y2" t="s">
        <v>1064</v>
      </c>
      <c r="Z2" s="60">
        <v>300000</v>
      </c>
      <c r="AA2" t="s">
        <v>1064</v>
      </c>
      <c r="AB2">
        <v>1</v>
      </c>
      <c r="AC2" t="s">
        <v>1045</v>
      </c>
      <c r="AD2" s="59" t="s">
        <v>196</v>
      </c>
    </row>
    <row r="3" spans="1:30">
      <c r="A3">
        <v>203</v>
      </c>
      <c r="B3">
        <v>23</v>
      </c>
      <c r="C3" t="s">
        <v>1045</v>
      </c>
      <c r="D3" t="s">
        <v>1050</v>
      </c>
      <c r="E3" t="b">
        <v>1</v>
      </c>
      <c r="F3" s="7">
        <v>11300000</v>
      </c>
      <c r="G3" t="b">
        <v>1</v>
      </c>
      <c r="H3" s="7">
        <v>41400000</v>
      </c>
      <c r="I3" t="s">
        <v>1138</v>
      </c>
      <c r="J3">
        <v>1</v>
      </c>
      <c r="K3" t="b">
        <v>1</v>
      </c>
      <c r="L3" s="7">
        <v>80000000</v>
      </c>
      <c r="M3" t="b">
        <v>0</v>
      </c>
      <c r="N3">
        <v>0</v>
      </c>
      <c r="O3" t="s">
        <v>1138</v>
      </c>
      <c r="P3">
        <v>1</v>
      </c>
      <c r="Q3" t="s">
        <v>1</v>
      </c>
      <c r="R3" s="7">
        <v>80000000</v>
      </c>
      <c r="S3" s="60">
        <f t="shared" si="0"/>
        <v>212700002</v>
      </c>
      <c r="T3" s="61">
        <f t="shared" si="1"/>
        <v>664.68750624999996</v>
      </c>
      <c r="U3" s="62">
        <v>2.8226175115828229</v>
      </c>
      <c r="V3" t="s">
        <v>1106</v>
      </c>
      <c r="W3" t="s">
        <v>1107</v>
      </c>
      <c r="X3" t="s">
        <v>1093</v>
      </c>
      <c r="Y3" t="s">
        <v>1050</v>
      </c>
      <c r="Z3" s="57">
        <v>320000</v>
      </c>
      <c r="AA3" t="s">
        <v>1050</v>
      </c>
      <c r="AB3">
        <v>1</v>
      </c>
      <c r="AC3" t="s">
        <v>1045</v>
      </c>
      <c r="AD3" s="59" t="s">
        <v>1150</v>
      </c>
    </row>
    <row r="4" spans="1:30">
      <c r="A4">
        <v>54</v>
      </c>
      <c r="B4">
        <v>20</v>
      </c>
      <c r="C4" t="s">
        <v>1045</v>
      </c>
      <c r="D4" t="s">
        <v>1098</v>
      </c>
      <c r="E4" t="b">
        <v>1</v>
      </c>
      <c r="F4" s="7">
        <v>4000000</v>
      </c>
      <c r="G4" t="b">
        <v>1</v>
      </c>
      <c r="H4" s="7">
        <v>3620325</v>
      </c>
      <c r="I4" t="b">
        <v>1</v>
      </c>
      <c r="J4" s="7">
        <v>8471560</v>
      </c>
      <c r="K4" t="b">
        <v>0</v>
      </c>
      <c r="L4">
        <v>0</v>
      </c>
      <c r="M4" t="b">
        <v>0</v>
      </c>
      <c r="N4">
        <v>0</v>
      </c>
      <c r="O4" t="s">
        <v>1099</v>
      </c>
      <c r="P4" s="7">
        <v>45000000</v>
      </c>
      <c r="Q4" t="s">
        <v>1139</v>
      </c>
      <c r="R4">
        <v>1</v>
      </c>
      <c r="S4" s="60">
        <f t="shared" si="0"/>
        <v>61091886</v>
      </c>
      <c r="T4" s="61">
        <f t="shared" si="1"/>
        <v>841.19636488812398</v>
      </c>
      <c r="U4" s="62">
        <v>2.9564792241613937</v>
      </c>
      <c r="V4" t="s">
        <v>1100</v>
      </c>
      <c r="W4" t="s">
        <v>1086</v>
      </c>
      <c r="X4" t="s">
        <v>1093</v>
      </c>
      <c r="Y4" t="s">
        <v>1098</v>
      </c>
      <c r="Z4" s="57">
        <v>72625</v>
      </c>
      <c r="AA4" t="s">
        <v>1098</v>
      </c>
      <c r="AB4">
        <v>2</v>
      </c>
      <c r="AC4" t="s">
        <v>1045</v>
      </c>
      <c r="AD4" s="59" t="s">
        <v>363</v>
      </c>
    </row>
    <row r="5" spans="1:30">
      <c r="A5">
        <v>202</v>
      </c>
      <c r="B5">
        <v>5</v>
      </c>
      <c r="C5" t="s">
        <v>1045</v>
      </c>
      <c r="D5" t="s">
        <v>1092</v>
      </c>
      <c r="E5" t="s">
        <v>1138</v>
      </c>
      <c r="F5">
        <v>1</v>
      </c>
      <c r="G5" t="b">
        <v>0</v>
      </c>
      <c r="H5">
        <v>0</v>
      </c>
      <c r="I5" t="b">
        <v>0</v>
      </c>
      <c r="J5">
        <v>0</v>
      </c>
      <c r="K5" t="b">
        <v>0</v>
      </c>
      <c r="L5">
        <v>0</v>
      </c>
      <c r="M5" t="b">
        <v>0</v>
      </c>
      <c r="N5">
        <v>0</v>
      </c>
      <c r="O5" t="b">
        <v>0</v>
      </c>
      <c r="P5">
        <v>0</v>
      </c>
      <c r="Q5" t="b">
        <v>0</v>
      </c>
      <c r="R5">
        <v>0</v>
      </c>
      <c r="S5" s="60">
        <f t="shared" si="0"/>
        <v>1</v>
      </c>
      <c r="T5" s="61">
        <f t="shared" si="1"/>
        <v>6.2500000000000003E-6</v>
      </c>
      <c r="U5" s="62" t="e">
        <v>#NUM!</v>
      </c>
      <c r="X5" t="s">
        <v>1093</v>
      </c>
      <c r="Y5" t="s">
        <v>1092</v>
      </c>
      <c r="Z5" s="60">
        <v>160000</v>
      </c>
      <c r="AA5" t="s">
        <v>1092</v>
      </c>
      <c r="AB5">
        <v>1</v>
      </c>
      <c r="AC5" t="s">
        <v>1045</v>
      </c>
      <c r="AD5" s="59" t="s">
        <v>646</v>
      </c>
    </row>
    <row r="6" spans="1:30">
      <c r="A6">
        <v>84</v>
      </c>
      <c r="B6">
        <v>3</v>
      </c>
      <c r="C6" t="s">
        <v>1045</v>
      </c>
      <c r="D6" t="s">
        <v>1054</v>
      </c>
      <c r="E6" t="b">
        <v>1</v>
      </c>
      <c r="F6" s="63">
        <v>398235</v>
      </c>
      <c r="G6" t="b">
        <v>0</v>
      </c>
      <c r="H6">
        <v>0</v>
      </c>
      <c r="I6" t="b">
        <v>0</v>
      </c>
      <c r="J6">
        <v>0</v>
      </c>
      <c r="K6" t="b">
        <v>0</v>
      </c>
      <c r="L6">
        <v>0</v>
      </c>
      <c r="M6" t="b">
        <v>0</v>
      </c>
      <c r="N6">
        <v>0</v>
      </c>
      <c r="O6" t="b">
        <v>0</v>
      </c>
      <c r="P6">
        <v>0</v>
      </c>
      <c r="Q6" t="b">
        <v>0</v>
      </c>
      <c r="R6">
        <v>0</v>
      </c>
      <c r="S6" s="60">
        <f t="shared" si="0"/>
        <v>398235</v>
      </c>
      <c r="T6" s="61">
        <f t="shared" si="1"/>
        <v>2.4899958732977354</v>
      </c>
      <c r="U6" s="62">
        <v>0.53642189027122844</v>
      </c>
      <c r="Y6" t="s">
        <v>1054</v>
      </c>
      <c r="Z6" s="60">
        <v>159934</v>
      </c>
      <c r="AA6" t="s">
        <v>1054</v>
      </c>
      <c r="AB6">
        <v>1</v>
      </c>
      <c r="AC6" t="s">
        <v>1045</v>
      </c>
      <c r="AD6" s="59" t="s">
        <v>297</v>
      </c>
    </row>
    <row r="7" spans="1:30">
      <c r="A7">
        <v>119</v>
      </c>
      <c r="B7">
        <v>8</v>
      </c>
      <c r="C7" t="s">
        <v>1045</v>
      </c>
      <c r="D7" t="s">
        <v>1061</v>
      </c>
      <c r="E7" t="b">
        <v>1</v>
      </c>
      <c r="F7" s="7">
        <v>272244</v>
      </c>
      <c r="G7" t="b">
        <v>1</v>
      </c>
      <c r="H7" s="7">
        <v>1810162</v>
      </c>
      <c r="I7" t="b">
        <v>0</v>
      </c>
      <c r="J7">
        <v>0</v>
      </c>
      <c r="K7" t="b">
        <v>0</v>
      </c>
      <c r="L7">
        <v>0</v>
      </c>
      <c r="M7" t="b">
        <v>0</v>
      </c>
      <c r="N7">
        <v>0</v>
      </c>
      <c r="O7" t="b">
        <v>0</v>
      </c>
      <c r="P7">
        <v>0</v>
      </c>
      <c r="Q7" t="b">
        <v>0</v>
      </c>
      <c r="R7">
        <v>0</v>
      </c>
      <c r="S7" s="60">
        <f t="shared" si="0"/>
        <v>2082406</v>
      </c>
      <c r="T7" s="61">
        <f t="shared" si="1"/>
        <v>2.7357746434464567</v>
      </c>
      <c r="U7" s="62">
        <v>0.57730304022109402</v>
      </c>
      <c r="V7" t="s">
        <v>1095</v>
      </c>
      <c r="W7" t="s">
        <v>1089</v>
      </c>
      <c r="Y7" t="s">
        <v>1061</v>
      </c>
      <c r="Z7" s="60">
        <v>761176</v>
      </c>
      <c r="AA7" t="s">
        <v>1061</v>
      </c>
      <c r="AB7">
        <v>1</v>
      </c>
      <c r="AC7" t="s">
        <v>1045</v>
      </c>
      <c r="AD7" s="59" t="s">
        <v>893</v>
      </c>
    </row>
    <row r="8" spans="1:30">
      <c r="A8">
        <v>208</v>
      </c>
      <c r="B8">
        <v>7</v>
      </c>
      <c r="C8" t="s">
        <v>1045</v>
      </c>
      <c r="D8" t="s">
        <v>1056</v>
      </c>
      <c r="E8" t="b">
        <v>1</v>
      </c>
      <c r="F8" s="7">
        <v>2700000</v>
      </c>
      <c r="G8" t="b">
        <v>0</v>
      </c>
      <c r="H8">
        <v>0</v>
      </c>
      <c r="I8" t="b">
        <v>0</v>
      </c>
      <c r="J8">
        <v>0</v>
      </c>
      <c r="K8" t="b">
        <v>0</v>
      </c>
      <c r="L8">
        <v>0</v>
      </c>
      <c r="M8" t="b">
        <v>0</v>
      </c>
      <c r="N8">
        <v>0</v>
      </c>
      <c r="O8" t="b">
        <v>0</v>
      </c>
      <c r="P8">
        <v>0</v>
      </c>
      <c r="Q8" t="b">
        <v>0</v>
      </c>
      <c r="R8">
        <v>0</v>
      </c>
      <c r="S8" s="60">
        <f t="shared" si="0"/>
        <v>2700000</v>
      </c>
      <c r="T8" s="61">
        <f t="shared" si="1"/>
        <v>18.934081346423561</v>
      </c>
      <c r="U8" s="62">
        <v>1.2772442386431406</v>
      </c>
      <c r="W8" t="s">
        <v>1086</v>
      </c>
      <c r="Y8" t="s">
        <v>1056</v>
      </c>
      <c r="Z8" s="60">
        <v>142600</v>
      </c>
      <c r="AA8" t="s">
        <v>1056</v>
      </c>
      <c r="AB8">
        <v>1</v>
      </c>
      <c r="AC8" t="s">
        <v>1045</v>
      </c>
      <c r="AD8" s="59" t="s">
        <v>138</v>
      </c>
    </row>
    <row r="9" spans="1:30">
      <c r="A9">
        <v>239</v>
      </c>
      <c r="B9">
        <v>4</v>
      </c>
      <c r="C9" t="s">
        <v>1045</v>
      </c>
      <c r="D9" t="s">
        <v>1062</v>
      </c>
      <c r="E9" t="b">
        <v>1</v>
      </c>
      <c r="F9" s="7">
        <v>10000000</v>
      </c>
      <c r="G9" t="b">
        <v>0</v>
      </c>
      <c r="H9">
        <v>0</v>
      </c>
      <c r="I9" t="b">
        <v>0</v>
      </c>
      <c r="J9">
        <v>0</v>
      </c>
      <c r="K9" t="b">
        <v>0</v>
      </c>
      <c r="L9">
        <v>0</v>
      </c>
      <c r="M9" t="b">
        <v>0</v>
      </c>
      <c r="N9">
        <v>0</v>
      </c>
      <c r="O9" t="b">
        <v>0</v>
      </c>
      <c r="P9">
        <v>0</v>
      </c>
      <c r="Q9" t="b">
        <v>0</v>
      </c>
      <c r="R9">
        <v>0</v>
      </c>
      <c r="S9" s="60">
        <f t="shared" si="0"/>
        <v>10000000</v>
      </c>
      <c r="T9" s="61">
        <f t="shared" si="1"/>
        <v>62.578222778473091</v>
      </c>
      <c r="U9" s="62">
        <v>1.7964232250220273</v>
      </c>
      <c r="V9" t="s">
        <v>1090</v>
      </c>
      <c r="W9" t="s">
        <v>1089</v>
      </c>
      <c r="Y9" t="s">
        <v>1062</v>
      </c>
      <c r="Z9" s="60">
        <v>159800</v>
      </c>
      <c r="AA9" t="s">
        <v>1062</v>
      </c>
      <c r="AB9">
        <v>1</v>
      </c>
      <c r="AC9" t="s">
        <v>1045</v>
      </c>
      <c r="AD9" s="59" t="s">
        <v>747</v>
      </c>
    </row>
    <row r="10" spans="1:30">
      <c r="A10">
        <v>236</v>
      </c>
      <c r="B10">
        <v>10</v>
      </c>
      <c r="C10" t="s">
        <v>1045</v>
      </c>
      <c r="D10" t="s">
        <v>1059</v>
      </c>
      <c r="E10" t="b">
        <v>1</v>
      </c>
      <c r="F10" s="7">
        <v>72406</v>
      </c>
      <c r="G10" t="b">
        <v>0</v>
      </c>
      <c r="H10">
        <v>0</v>
      </c>
      <c r="I10" t="b">
        <v>0</v>
      </c>
      <c r="J10">
        <v>0</v>
      </c>
      <c r="K10" t="b">
        <v>0</v>
      </c>
      <c r="L10">
        <v>0</v>
      </c>
      <c r="M10" t="b">
        <v>0</v>
      </c>
      <c r="N10">
        <v>0</v>
      </c>
      <c r="O10" t="b">
        <v>0</v>
      </c>
      <c r="P10">
        <v>0</v>
      </c>
      <c r="Q10" t="s">
        <v>1091</v>
      </c>
      <c r="R10" s="7">
        <v>9940000</v>
      </c>
      <c r="S10" s="60">
        <f t="shared" si="0"/>
        <v>10012406</v>
      </c>
      <c r="T10" s="61">
        <f t="shared" si="1"/>
        <v>66.756494026029443</v>
      </c>
      <c r="U10" s="62">
        <v>1.8256887809688844</v>
      </c>
      <c r="V10" t="s">
        <v>1096</v>
      </c>
      <c r="W10" t="s">
        <v>1089</v>
      </c>
      <c r="Y10" t="s">
        <v>1059</v>
      </c>
      <c r="Z10" s="60">
        <v>149984</v>
      </c>
      <c r="AA10" t="s">
        <v>1059</v>
      </c>
      <c r="AB10">
        <v>1</v>
      </c>
      <c r="AC10" t="s">
        <v>1045</v>
      </c>
      <c r="AD10" s="59" t="s">
        <v>216</v>
      </c>
    </row>
    <row r="11" spans="1:30">
      <c r="A11">
        <v>224</v>
      </c>
      <c r="B11">
        <v>21</v>
      </c>
      <c r="C11" t="s">
        <v>1045</v>
      </c>
      <c r="D11" t="s">
        <v>1105</v>
      </c>
      <c r="E11" t="b">
        <v>1</v>
      </c>
      <c r="F11" s="7">
        <v>7000000</v>
      </c>
      <c r="G11" t="b">
        <v>0</v>
      </c>
      <c r="H11">
        <v>0</v>
      </c>
      <c r="I11" t="b">
        <v>0</v>
      </c>
      <c r="J11">
        <v>0</v>
      </c>
      <c r="K11" t="b">
        <v>0</v>
      </c>
      <c r="L11">
        <v>0</v>
      </c>
      <c r="M11" t="b">
        <v>0</v>
      </c>
      <c r="N11">
        <v>0</v>
      </c>
      <c r="O11" t="b">
        <v>0</v>
      </c>
      <c r="P11">
        <v>0</v>
      </c>
      <c r="Q11" t="b">
        <v>0</v>
      </c>
      <c r="R11">
        <v>0</v>
      </c>
      <c r="S11" s="60">
        <f t="shared" si="0"/>
        <v>7000000</v>
      </c>
      <c r="T11" s="61">
        <f t="shared" si="1"/>
        <v>70</v>
      </c>
      <c r="U11" s="62">
        <v>1.8450980400142569</v>
      </c>
      <c r="Y11" t="s">
        <v>1105</v>
      </c>
      <c r="Z11" s="57">
        <v>100000</v>
      </c>
      <c r="AA11" t="s">
        <v>1055</v>
      </c>
      <c r="AB11">
        <v>2</v>
      </c>
      <c r="AC11" t="s">
        <v>1045</v>
      </c>
      <c r="AD11" s="59" t="s">
        <v>147</v>
      </c>
    </row>
    <row r="12" spans="1:30">
      <c r="A12">
        <v>152</v>
      </c>
      <c r="B12">
        <v>13</v>
      </c>
      <c r="C12" t="s">
        <v>1045</v>
      </c>
      <c r="D12" t="s">
        <v>825</v>
      </c>
      <c r="E12" t="b">
        <v>1</v>
      </c>
      <c r="F12" s="7">
        <v>40000000</v>
      </c>
      <c r="G12" t="b">
        <v>0</v>
      </c>
      <c r="H12">
        <v>0</v>
      </c>
      <c r="I12" t="b">
        <v>0</v>
      </c>
      <c r="J12">
        <v>0</v>
      </c>
      <c r="K12" t="b">
        <v>0</v>
      </c>
      <c r="L12">
        <v>0</v>
      </c>
      <c r="M12" t="b">
        <v>0</v>
      </c>
      <c r="N12">
        <v>0</v>
      </c>
      <c r="O12" t="b">
        <v>0</v>
      </c>
      <c r="P12">
        <v>0</v>
      </c>
      <c r="Q12" t="b">
        <v>0</v>
      </c>
      <c r="R12">
        <v>0</v>
      </c>
      <c r="S12" s="60">
        <f t="shared" si="0"/>
        <v>40000000</v>
      </c>
      <c r="T12" s="61">
        <f t="shared" si="1"/>
        <v>80.442595158562412</v>
      </c>
      <c r="U12" s="62">
        <v>1.9054860729249907</v>
      </c>
      <c r="W12" t="s">
        <v>1089</v>
      </c>
      <c r="Y12" t="s">
        <v>825</v>
      </c>
      <c r="Z12" s="60">
        <v>497249</v>
      </c>
      <c r="AA12" t="s">
        <v>825</v>
      </c>
      <c r="AB12">
        <v>1</v>
      </c>
      <c r="AC12" t="s">
        <v>1045</v>
      </c>
      <c r="AD12" s="59" t="s">
        <v>824</v>
      </c>
    </row>
    <row r="13" spans="1:30">
      <c r="A13">
        <v>112</v>
      </c>
      <c r="B13">
        <v>11</v>
      </c>
      <c r="C13" t="s">
        <v>1045</v>
      </c>
      <c r="D13" t="s">
        <v>1060</v>
      </c>
      <c r="E13" t="b">
        <v>1</v>
      </c>
      <c r="F13" s="7">
        <v>2700000</v>
      </c>
      <c r="G13" t="b">
        <v>0</v>
      </c>
      <c r="H13">
        <v>0</v>
      </c>
      <c r="I13" t="b">
        <v>0</v>
      </c>
      <c r="J13">
        <v>0</v>
      </c>
      <c r="K13" t="b">
        <v>0</v>
      </c>
      <c r="L13">
        <v>0</v>
      </c>
      <c r="M13" t="b">
        <v>0</v>
      </c>
      <c r="N13">
        <v>0</v>
      </c>
      <c r="O13" t="b">
        <v>0</v>
      </c>
      <c r="P13">
        <v>0</v>
      </c>
      <c r="Q13" t="s">
        <v>1091</v>
      </c>
      <c r="R13" s="7">
        <v>11300000</v>
      </c>
      <c r="S13" s="60">
        <f t="shared" si="0"/>
        <v>14000000</v>
      </c>
      <c r="T13" s="61">
        <f t="shared" si="1"/>
        <v>87.5</v>
      </c>
      <c r="U13" s="62">
        <v>1.9420080530223132</v>
      </c>
      <c r="V13" t="s">
        <v>1097</v>
      </c>
      <c r="W13" t="s">
        <v>1089</v>
      </c>
      <c r="Y13" t="s">
        <v>1060</v>
      </c>
      <c r="Z13" s="60">
        <v>160000</v>
      </c>
      <c r="AA13" t="s">
        <v>1060</v>
      </c>
      <c r="AB13">
        <v>1</v>
      </c>
      <c r="AC13" t="s">
        <v>1045</v>
      </c>
      <c r="AD13" s="59" t="s">
        <v>637</v>
      </c>
    </row>
    <row r="14" spans="1:30">
      <c r="A14">
        <v>32</v>
      </c>
      <c r="B14">
        <v>22</v>
      </c>
      <c r="C14" t="s">
        <v>1045</v>
      </c>
      <c r="D14" t="s">
        <v>1058</v>
      </c>
      <c r="E14" t="b">
        <v>1</v>
      </c>
      <c r="F14" s="7">
        <v>38500000</v>
      </c>
      <c r="G14" t="b">
        <v>0</v>
      </c>
      <c r="H14">
        <v>0</v>
      </c>
      <c r="I14" t="b">
        <v>0</v>
      </c>
      <c r="J14">
        <v>0</v>
      </c>
      <c r="K14" t="b">
        <v>0</v>
      </c>
      <c r="L14">
        <v>0</v>
      </c>
      <c r="M14" t="b">
        <v>0</v>
      </c>
      <c r="N14">
        <v>0</v>
      </c>
      <c r="O14" t="b">
        <v>0</v>
      </c>
      <c r="P14">
        <v>0</v>
      </c>
      <c r="Q14" t="b">
        <v>0</v>
      </c>
      <c r="R14">
        <v>0</v>
      </c>
      <c r="S14" s="60">
        <f t="shared" si="0"/>
        <v>38500000</v>
      </c>
      <c r="T14" s="61">
        <f t="shared" si="1"/>
        <v>248.09898182755509</v>
      </c>
      <c r="U14" s="62">
        <v>2.3946249819764343</v>
      </c>
      <c r="W14" t="s">
        <v>1089</v>
      </c>
      <c r="Y14" t="s">
        <v>1058</v>
      </c>
      <c r="Z14" s="60">
        <v>155180</v>
      </c>
      <c r="AA14" t="s">
        <v>1058</v>
      </c>
      <c r="AB14">
        <v>1</v>
      </c>
      <c r="AC14" t="s">
        <v>1045</v>
      </c>
      <c r="AD14" s="59" t="s">
        <v>545</v>
      </c>
    </row>
    <row r="15" spans="1:30">
      <c r="A15">
        <v>108</v>
      </c>
      <c r="B15">
        <v>26</v>
      </c>
      <c r="C15" t="s">
        <v>1045</v>
      </c>
      <c r="D15" t="s">
        <v>1052</v>
      </c>
      <c r="E15" t="b">
        <v>1</v>
      </c>
      <c r="F15" s="7">
        <v>12200000</v>
      </c>
      <c r="G15" t="b">
        <v>1</v>
      </c>
      <c r="H15" s="7">
        <v>25500000</v>
      </c>
      <c r="I15" t="b">
        <v>0</v>
      </c>
      <c r="J15">
        <v>0</v>
      </c>
      <c r="K15" t="b">
        <v>0</v>
      </c>
      <c r="L15">
        <v>0</v>
      </c>
      <c r="M15" t="b">
        <v>0</v>
      </c>
      <c r="N15">
        <v>0</v>
      </c>
      <c r="O15" t="b">
        <v>0</v>
      </c>
      <c r="P15">
        <v>0</v>
      </c>
      <c r="Q15" t="b">
        <v>0</v>
      </c>
      <c r="R15">
        <v>0</v>
      </c>
      <c r="S15" s="60">
        <f t="shared" si="0"/>
        <v>37700000</v>
      </c>
      <c r="T15" s="61">
        <f t="shared" si="1"/>
        <v>251.33333333333334</v>
      </c>
      <c r="U15" s="62">
        <v>2.4002500911501117</v>
      </c>
      <c r="W15" t="s">
        <v>1089</v>
      </c>
      <c r="Y15" t="s">
        <v>1052</v>
      </c>
      <c r="Z15" s="60">
        <v>150000</v>
      </c>
      <c r="AA15" t="s">
        <v>1052</v>
      </c>
      <c r="AB15">
        <v>1</v>
      </c>
      <c r="AC15" t="s">
        <v>1045</v>
      </c>
      <c r="AD15" s="59" t="s">
        <v>46</v>
      </c>
    </row>
    <row r="16" spans="1:30">
      <c r="A16">
        <v>246</v>
      </c>
      <c r="B16">
        <v>19</v>
      </c>
      <c r="C16" t="s">
        <v>1045</v>
      </c>
      <c r="D16" t="s">
        <v>1044</v>
      </c>
      <c r="E16" t="b">
        <v>1</v>
      </c>
      <c r="F16" s="7">
        <v>17000000</v>
      </c>
      <c r="G16" t="b">
        <v>1</v>
      </c>
      <c r="H16" s="7">
        <v>25000000</v>
      </c>
      <c r="I16" t="b">
        <v>0</v>
      </c>
      <c r="J16">
        <v>0</v>
      </c>
      <c r="K16" t="b">
        <v>0</v>
      </c>
      <c r="L16">
        <v>0</v>
      </c>
      <c r="M16" t="b">
        <v>0</v>
      </c>
      <c r="N16">
        <v>0</v>
      </c>
      <c r="O16" t="b">
        <v>0</v>
      </c>
      <c r="P16">
        <v>0</v>
      </c>
      <c r="Q16" t="b">
        <v>0</v>
      </c>
      <c r="R16">
        <v>0</v>
      </c>
      <c r="S16" s="60">
        <f t="shared" si="0"/>
        <v>42000000</v>
      </c>
      <c r="T16" s="61">
        <f t="shared" si="1"/>
        <v>276.93524990109455</v>
      </c>
      <c r="U16" s="62">
        <v>2.4423782387473567</v>
      </c>
      <c r="W16" t="s">
        <v>1086</v>
      </c>
      <c r="Y16" t="s">
        <v>1044</v>
      </c>
      <c r="Z16" s="60">
        <v>151660</v>
      </c>
      <c r="AA16" t="s">
        <v>1044</v>
      </c>
      <c r="AB16">
        <v>1</v>
      </c>
      <c r="AC16" t="s">
        <v>1045</v>
      </c>
      <c r="AD16" s="59" t="s">
        <v>473</v>
      </c>
    </row>
    <row r="17" spans="1:30">
      <c r="A17">
        <v>105</v>
      </c>
      <c r="B17">
        <v>14</v>
      </c>
      <c r="C17" t="s">
        <v>1045</v>
      </c>
      <c r="D17" t="s">
        <v>1051</v>
      </c>
      <c r="E17" t="b">
        <v>1</v>
      </c>
      <c r="F17" s="7">
        <v>17000000</v>
      </c>
      <c r="G17" t="b">
        <v>1</v>
      </c>
      <c r="H17" s="7">
        <v>42000000</v>
      </c>
      <c r="I17" t="b">
        <v>0</v>
      </c>
      <c r="J17">
        <v>0</v>
      </c>
      <c r="K17" t="b">
        <v>0</v>
      </c>
      <c r="L17">
        <v>0</v>
      </c>
      <c r="M17" t="b">
        <v>0</v>
      </c>
      <c r="N17">
        <v>0</v>
      </c>
      <c r="O17" t="b">
        <v>0</v>
      </c>
      <c r="P17">
        <v>0</v>
      </c>
      <c r="Q17" t="b">
        <v>0</v>
      </c>
      <c r="R17">
        <v>0</v>
      </c>
      <c r="S17" s="60">
        <f t="shared" si="0"/>
        <v>59000000</v>
      </c>
      <c r="T17" s="61">
        <f t="shared" si="1"/>
        <v>393.33333333333331</v>
      </c>
      <c r="U17" s="62">
        <v>2.5947607525864629</v>
      </c>
      <c r="V17" t="s">
        <v>1101</v>
      </c>
      <c r="W17" t="s">
        <v>1089</v>
      </c>
      <c r="Y17" t="s">
        <v>1051</v>
      </c>
      <c r="Z17" s="60">
        <v>150000</v>
      </c>
      <c r="AA17" t="s">
        <v>1051</v>
      </c>
      <c r="AB17">
        <v>1</v>
      </c>
      <c r="AC17" t="s">
        <v>1045</v>
      </c>
      <c r="AD17" s="59" t="s">
        <v>172</v>
      </c>
    </row>
    <row r="18" spans="1:30">
      <c r="A18">
        <v>54</v>
      </c>
      <c r="B18">
        <v>20</v>
      </c>
      <c r="C18" t="s">
        <v>1045</v>
      </c>
      <c r="D18" t="s">
        <v>1103</v>
      </c>
      <c r="E18" t="b">
        <v>0</v>
      </c>
      <c r="F18">
        <v>0</v>
      </c>
      <c r="G18" t="b">
        <v>0</v>
      </c>
      <c r="H18">
        <v>0</v>
      </c>
      <c r="I18" t="b">
        <v>1</v>
      </c>
      <c r="J18" s="7">
        <v>11700000</v>
      </c>
      <c r="K18" t="b">
        <v>0</v>
      </c>
      <c r="L18">
        <v>0</v>
      </c>
      <c r="M18" t="b">
        <v>0</v>
      </c>
      <c r="N18">
        <v>0</v>
      </c>
      <c r="O18" t="s">
        <v>1104</v>
      </c>
      <c r="P18" s="7">
        <v>27500000</v>
      </c>
      <c r="Q18" t="b">
        <v>0</v>
      </c>
      <c r="R18">
        <v>0</v>
      </c>
      <c r="S18" s="60">
        <f t="shared" si="0"/>
        <v>39200000</v>
      </c>
      <c r="T18" s="61">
        <f t="shared" si="1"/>
        <v>539.75903614457832</v>
      </c>
      <c r="U18" s="62">
        <v>2.7321999216220703</v>
      </c>
      <c r="W18" t="s">
        <v>1089</v>
      </c>
      <c r="Y18" t="s">
        <v>1103</v>
      </c>
      <c r="Z18" s="57">
        <v>72625</v>
      </c>
      <c r="AA18" t="s">
        <v>1057</v>
      </c>
      <c r="AB18">
        <v>2</v>
      </c>
      <c r="AC18" t="s">
        <v>1045</v>
      </c>
      <c r="AD18" s="59" t="s">
        <v>363</v>
      </c>
    </row>
    <row r="19" spans="1:30">
      <c r="A19">
        <v>28</v>
      </c>
      <c r="B19">
        <v>0</v>
      </c>
      <c r="C19" t="s">
        <v>1045</v>
      </c>
      <c r="D19" t="s">
        <v>1053</v>
      </c>
      <c r="E19" t="b">
        <v>1</v>
      </c>
      <c r="F19" s="7">
        <v>6516585</v>
      </c>
      <c r="G19" t="b">
        <v>1</v>
      </c>
      <c r="H19" s="7">
        <v>21721950</v>
      </c>
      <c r="I19" t="b">
        <v>1</v>
      </c>
      <c r="J19" s="7">
        <v>21721950</v>
      </c>
      <c r="K19" t="b">
        <v>0</v>
      </c>
      <c r="L19">
        <v>0</v>
      </c>
      <c r="M19" t="b">
        <v>0</v>
      </c>
      <c r="N19">
        <v>0</v>
      </c>
      <c r="O19" t="s">
        <v>1084</v>
      </c>
      <c r="P19" s="7">
        <v>18898096</v>
      </c>
      <c r="Q19" t="b">
        <v>0</v>
      </c>
      <c r="R19">
        <v>0</v>
      </c>
      <c r="S19" s="60">
        <f t="shared" si="0"/>
        <v>68858581</v>
      </c>
      <c r="T19" s="61">
        <f t="shared" si="1"/>
        <v>432.80879589181444</v>
      </c>
      <c r="U19" s="62">
        <v>2.77651852645318</v>
      </c>
      <c r="V19" t="s">
        <v>1085</v>
      </c>
      <c r="W19" t="s">
        <v>1086</v>
      </c>
      <c r="Y19" t="s">
        <v>1053</v>
      </c>
      <c r="Z19" s="60">
        <v>159097</v>
      </c>
      <c r="AA19" t="s">
        <v>1053</v>
      </c>
      <c r="AB19">
        <v>1</v>
      </c>
      <c r="AC19" t="s">
        <v>1045</v>
      </c>
      <c r="AD19" s="59" t="s">
        <v>436</v>
      </c>
    </row>
    <row r="20" spans="1:30">
      <c r="A20">
        <v>18</v>
      </c>
      <c r="B20">
        <v>1</v>
      </c>
      <c r="C20" t="s">
        <v>1045</v>
      </c>
      <c r="D20" t="s">
        <v>1046</v>
      </c>
      <c r="E20" t="b">
        <v>1</v>
      </c>
      <c r="F20" s="7">
        <v>11000000</v>
      </c>
      <c r="G20" t="b">
        <v>1</v>
      </c>
      <c r="H20" s="7">
        <v>75000000</v>
      </c>
      <c r="I20" t="b">
        <v>1</v>
      </c>
      <c r="J20" s="7">
        <v>175000000</v>
      </c>
      <c r="K20" t="b">
        <v>0</v>
      </c>
      <c r="L20">
        <v>0</v>
      </c>
      <c r="M20" t="b">
        <v>0</v>
      </c>
      <c r="N20">
        <v>0</v>
      </c>
      <c r="O20" t="b">
        <v>0</v>
      </c>
      <c r="P20">
        <v>0</v>
      </c>
      <c r="Q20" t="b">
        <v>0</v>
      </c>
      <c r="R20">
        <v>0</v>
      </c>
      <c r="S20" s="60">
        <f t="shared" si="0"/>
        <v>261000000</v>
      </c>
      <c r="T20" s="61">
        <f t="shared" si="1"/>
        <v>1631.25</v>
      </c>
      <c r="U20" s="62">
        <v>3.2125205246823563</v>
      </c>
      <c r="V20" s="64" t="s">
        <v>1087</v>
      </c>
      <c r="W20" t="s">
        <v>1086</v>
      </c>
      <c r="Y20" t="s">
        <v>1046</v>
      </c>
      <c r="Z20" s="60">
        <v>160000</v>
      </c>
      <c r="AA20" t="s">
        <v>1046</v>
      </c>
      <c r="AB20">
        <v>1</v>
      </c>
      <c r="AC20" t="s">
        <v>1045</v>
      </c>
      <c r="AD20" s="59" t="s">
        <v>710</v>
      </c>
    </row>
    <row r="21" spans="1:30">
      <c r="A21">
        <v>114</v>
      </c>
      <c r="B21">
        <v>12</v>
      </c>
      <c r="C21" t="s">
        <v>1045</v>
      </c>
      <c r="D21" t="s">
        <v>1047</v>
      </c>
      <c r="E21" t="b">
        <v>0</v>
      </c>
      <c r="F21">
        <v>0</v>
      </c>
      <c r="G21" t="b">
        <v>0</v>
      </c>
      <c r="H21">
        <v>0</v>
      </c>
      <c r="I21" t="b">
        <v>0</v>
      </c>
      <c r="J21">
        <v>0</v>
      </c>
      <c r="K21" t="b">
        <v>0</v>
      </c>
      <c r="L21">
        <v>0</v>
      </c>
      <c r="M21" t="b">
        <v>0</v>
      </c>
      <c r="N21">
        <v>0</v>
      </c>
      <c r="O21" t="b">
        <v>0</v>
      </c>
      <c r="P21">
        <v>0</v>
      </c>
      <c r="Q21" t="b">
        <v>0</v>
      </c>
      <c r="R21">
        <v>0</v>
      </c>
      <c r="S21" s="60">
        <f t="shared" si="0"/>
        <v>0</v>
      </c>
      <c r="T21" s="61">
        <f t="shared" si="1"/>
        <v>0</v>
      </c>
      <c r="U21" s="62" t="e">
        <v>#NUM!</v>
      </c>
      <c r="Y21" t="s">
        <v>1047</v>
      </c>
      <c r="Z21" s="60">
        <v>665550</v>
      </c>
      <c r="AA21" t="s">
        <v>1047</v>
      </c>
      <c r="AB21">
        <v>1</v>
      </c>
      <c r="AC21" t="s">
        <v>1045</v>
      </c>
      <c r="AD21" s="59" t="s">
        <v>944</v>
      </c>
    </row>
    <row r="22" spans="1:30">
      <c r="A22">
        <v>156</v>
      </c>
      <c r="B22">
        <v>15</v>
      </c>
      <c r="C22" t="s">
        <v>1045</v>
      </c>
      <c r="D22" t="s">
        <v>1102</v>
      </c>
      <c r="E22" t="b">
        <v>0</v>
      </c>
      <c r="F22">
        <v>0</v>
      </c>
      <c r="G22" t="b">
        <v>0</v>
      </c>
      <c r="H22">
        <v>0</v>
      </c>
      <c r="I22" t="b">
        <v>0</v>
      </c>
      <c r="J22">
        <v>0</v>
      </c>
      <c r="K22" t="b">
        <v>0</v>
      </c>
      <c r="L22">
        <v>0</v>
      </c>
      <c r="M22" t="b">
        <v>0</v>
      </c>
      <c r="N22">
        <v>0</v>
      </c>
      <c r="O22" t="b">
        <v>0</v>
      </c>
      <c r="P22">
        <v>0</v>
      </c>
      <c r="Q22" t="b">
        <v>0</v>
      </c>
      <c r="R22">
        <v>0</v>
      </c>
      <c r="S22" s="60">
        <f t="shared" si="0"/>
        <v>0</v>
      </c>
      <c r="T22" s="61">
        <f t="shared" si="1"/>
        <v>0</v>
      </c>
      <c r="U22" s="62" t="e">
        <v>#NUM!</v>
      </c>
      <c r="Y22" t="s">
        <v>1102</v>
      </c>
      <c r="Z22" s="60">
        <v>135557</v>
      </c>
      <c r="AA22" t="s">
        <v>1102</v>
      </c>
      <c r="AB22">
        <v>1</v>
      </c>
      <c r="AC22" t="s">
        <v>1045</v>
      </c>
      <c r="AD22" s="59" t="s">
        <v>418</v>
      </c>
    </row>
    <row r="23" spans="1:30">
      <c r="A23">
        <v>180</v>
      </c>
      <c r="B23">
        <v>18</v>
      </c>
      <c r="C23" t="s">
        <v>1045</v>
      </c>
      <c r="D23" t="s">
        <v>1049</v>
      </c>
      <c r="E23" t="b">
        <v>0</v>
      </c>
      <c r="F23">
        <v>0</v>
      </c>
      <c r="G23" t="b">
        <v>0</v>
      </c>
      <c r="H23">
        <v>0</v>
      </c>
      <c r="I23" t="b">
        <v>0</v>
      </c>
      <c r="J23">
        <v>0</v>
      </c>
      <c r="K23" t="b">
        <v>0</v>
      </c>
      <c r="L23">
        <v>0</v>
      </c>
      <c r="M23" t="b">
        <v>0</v>
      </c>
      <c r="N23">
        <v>0</v>
      </c>
      <c r="O23" t="b">
        <v>0</v>
      </c>
      <c r="P23">
        <v>0</v>
      </c>
      <c r="Q23" t="b">
        <v>0</v>
      </c>
      <c r="R23">
        <v>0</v>
      </c>
      <c r="S23" s="60">
        <f t="shared" si="0"/>
        <v>0</v>
      </c>
      <c r="T23" s="61">
        <f t="shared" si="1"/>
        <v>0</v>
      </c>
      <c r="U23" s="62" t="e">
        <v>#NUM!</v>
      </c>
      <c r="Y23" t="s">
        <v>1049</v>
      </c>
      <c r="Z23" s="60">
        <v>157600</v>
      </c>
      <c r="AA23" t="s">
        <v>1049</v>
      </c>
      <c r="AB23">
        <v>1</v>
      </c>
      <c r="AC23" t="s">
        <v>1045</v>
      </c>
      <c r="AD23" s="59" t="s">
        <v>154</v>
      </c>
    </row>
    <row r="24" spans="1:30">
      <c r="A24">
        <v>185</v>
      </c>
      <c r="B24">
        <v>16</v>
      </c>
      <c r="C24" t="s">
        <v>1045</v>
      </c>
      <c r="D24" t="s">
        <v>1063</v>
      </c>
      <c r="E24" t="b">
        <v>0</v>
      </c>
      <c r="F24">
        <v>0</v>
      </c>
      <c r="G24" t="b">
        <v>0</v>
      </c>
      <c r="H24">
        <v>0</v>
      </c>
      <c r="I24" t="b">
        <v>0</v>
      </c>
      <c r="J24">
        <v>0</v>
      </c>
      <c r="K24" t="b">
        <v>0</v>
      </c>
      <c r="L24">
        <v>0</v>
      </c>
      <c r="M24" t="b">
        <v>0</v>
      </c>
      <c r="N24">
        <v>0</v>
      </c>
      <c r="O24" t="b">
        <v>0</v>
      </c>
      <c r="P24">
        <v>0</v>
      </c>
      <c r="Q24" t="b">
        <v>0</v>
      </c>
      <c r="R24">
        <v>0</v>
      </c>
      <c r="S24" s="60">
        <f t="shared" si="0"/>
        <v>0</v>
      </c>
      <c r="T24" s="61">
        <f t="shared" si="1"/>
        <v>0</v>
      </c>
      <c r="U24" s="62" t="e">
        <v>#NUM!</v>
      </c>
      <c r="Y24" t="s">
        <v>1063</v>
      </c>
      <c r="Z24" s="60">
        <v>160000</v>
      </c>
      <c r="AA24" t="s">
        <v>1063</v>
      </c>
      <c r="AB24">
        <v>1</v>
      </c>
      <c r="AC24" t="s">
        <v>1045</v>
      </c>
      <c r="AD24" s="59" t="s">
        <v>69</v>
      </c>
    </row>
    <row r="25" spans="1:30">
      <c r="A25">
        <v>211</v>
      </c>
      <c r="B25">
        <v>9</v>
      </c>
      <c r="C25" t="s">
        <v>1045</v>
      </c>
      <c r="D25" t="s">
        <v>225</v>
      </c>
      <c r="E25" t="b">
        <v>0</v>
      </c>
      <c r="F25">
        <v>0</v>
      </c>
      <c r="G25" t="b">
        <v>0</v>
      </c>
      <c r="H25">
        <v>0</v>
      </c>
      <c r="I25" t="b">
        <v>0</v>
      </c>
      <c r="J25">
        <v>0</v>
      </c>
      <c r="K25" t="b">
        <v>0</v>
      </c>
      <c r="L25">
        <v>0</v>
      </c>
      <c r="M25" t="b">
        <v>0</v>
      </c>
      <c r="N25">
        <v>0</v>
      </c>
      <c r="O25" t="b">
        <v>0</v>
      </c>
      <c r="P25">
        <v>0</v>
      </c>
      <c r="Q25" t="b">
        <v>0</v>
      </c>
      <c r="R25">
        <v>0</v>
      </c>
      <c r="S25" s="60">
        <f t="shared" si="0"/>
        <v>0</v>
      </c>
      <c r="T25" s="61">
        <f t="shared" si="1"/>
        <v>0</v>
      </c>
      <c r="U25" s="62" t="e">
        <v>#NUM!</v>
      </c>
      <c r="Y25" t="s">
        <v>225</v>
      </c>
      <c r="Z25" s="60">
        <v>158850</v>
      </c>
      <c r="AA25" t="s">
        <v>225</v>
      </c>
      <c r="AB25">
        <v>1</v>
      </c>
      <c r="AC25" t="s">
        <v>1045</v>
      </c>
      <c r="AD25" s="59" t="s">
        <v>224</v>
      </c>
    </row>
    <row r="26" spans="1:30">
      <c r="A26">
        <v>224</v>
      </c>
      <c r="B26">
        <v>21</v>
      </c>
      <c r="C26" t="s">
        <v>1045</v>
      </c>
      <c r="D26" t="s">
        <v>1088</v>
      </c>
      <c r="E26" t="b">
        <v>0</v>
      </c>
      <c r="F26">
        <v>0</v>
      </c>
      <c r="G26" t="b">
        <v>0</v>
      </c>
      <c r="H26">
        <v>0</v>
      </c>
      <c r="I26" t="b">
        <v>0</v>
      </c>
      <c r="J26">
        <v>0</v>
      </c>
      <c r="K26" t="b">
        <v>0</v>
      </c>
      <c r="L26">
        <v>0</v>
      </c>
      <c r="M26" t="b">
        <v>0</v>
      </c>
      <c r="N26">
        <v>0</v>
      </c>
      <c r="O26" t="b">
        <v>0</v>
      </c>
      <c r="P26">
        <v>0</v>
      </c>
      <c r="Q26" t="b">
        <v>0</v>
      </c>
      <c r="R26">
        <v>0</v>
      </c>
      <c r="S26" s="60">
        <f t="shared" si="0"/>
        <v>0</v>
      </c>
      <c r="T26" s="61">
        <f t="shared" si="1"/>
        <v>0</v>
      </c>
      <c r="U26" s="62" t="e">
        <v>#NUM!</v>
      </c>
      <c r="Y26" t="s">
        <v>1088</v>
      </c>
      <c r="Z26" s="57">
        <v>100000</v>
      </c>
      <c r="AA26" t="s">
        <v>1088</v>
      </c>
      <c r="AB26">
        <v>2</v>
      </c>
      <c r="AC26" t="s">
        <v>1045</v>
      </c>
      <c r="AD26" s="59" t="s">
        <v>147</v>
      </c>
    </row>
    <row r="28" spans="1:30">
      <c r="Z28" s="57"/>
    </row>
  </sheetData>
  <sortState xmlns:xlrd2="http://schemas.microsoft.com/office/spreadsheetml/2017/richdata2" ref="A2:AD26">
    <sortCondition ref="X2:X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9DE7-89D3-B44E-8757-F54D80C404D5}">
  <sheetPr codeName="Sheet2"/>
  <dimension ref="A1:X294"/>
  <sheetViews>
    <sheetView topLeftCell="P1" zoomScaleNormal="100" workbookViewId="0">
      <selection activeCell="R17" sqref="R17"/>
    </sheetView>
  </sheetViews>
  <sheetFormatPr defaultColWidth="10.625" defaultRowHeight="15.75"/>
  <cols>
    <col min="1" max="1" width="27" bestFit="1" customWidth="1"/>
    <col min="2" max="2" width="13.625" bestFit="1" customWidth="1"/>
    <col min="3" max="3" width="22.125" bestFit="1" customWidth="1"/>
    <col min="4" max="4" width="9.5" customWidth="1"/>
    <col min="5" max="5" width="29.5" customWidth="1"/>
    <col min="6" max="6" width="21.5" bestFit="1" customWidth="1"/>
    <col min="7" max="7" width="23" bestFit="1" customWidth="1"/>
    <col min="8" max="8" width="13" bestFit="1" customWidth="1"/>
    <col min="9" max="9" width="21.875" bestFit="1" customWidth="1"/>
    <col min="10" max="10" width="13.625" bestFit="1" customWidth="1"/>
    <col min="11" max="11" width="13" bestFit="1" customWidth="1"/>
    <col min="12" max="12" width="13.5" bestFit="1" customWidth="1"/>
    <col min="13" max="13" width="11.125" customWidth="1"/>
    <col min="14" max="14" width="16.875" bestFit="1" customWidth="1"/>
    <col min="15" max="15" width="13.5" bestFit="1" customWidth="1"/>
    <col min="16" max="16" width="25" bestFit="1" customWidth="1"/>
    <col min="17" max="17" width="23.875" customWidth="1"/>
    <col min="18" max="18" width="13.5" bestFit="1" customWidth="1"/>
    <col min="19" max="19" width="12.625" customWidth="1"/>
    <col min="20" max="20" width="13.375" customWidth="1"/>
    <col min="21" max="21" width="14" bestFit="1" customWidth="1"/>
    <col min="22" max="22" width="10" customWidth="1"/>
    <col min="23" max="23" width="10.5" customWidth="1"/>
    <col min="24" max="24" width="48.5" bestFit="1" customWidth="1"/>
    <col min="25" max="25" width="13.5" bestFit="1" customWidth="1"/>
    <col min="26" max="26" width="10.875" customWidth="1"/>
    <col min="27" max="27" width="10.375" customWidth="1"/>
    <col min="28" max="28" width="30.625" bestFit="1" customWidth="1"/>
    <col min="29" max="29" width="25.375" bestFit="1" customWidth="1"/>
    <col min="30" max="30" width="19.125" bestFit="1" customWidth="1"/>
    <col min="31" max="31" width="15" bestFit="1" customWidth="1"/>
    <col min="32" max="32" width="29.875" bestFit="1" customWidth="1"/>
    <col min="33" max="33" width="20.125" bestFit="1" customWidth="1"/>
    <col min="34" max="34" width="31.625" bestFit="1" customWidth="1"/>
    <col min="35" max="35" width="13.125" bestFit="1" customWidth="1"/>
    <col min="36" max="36" width="26.125" bestFit="1" customWidth="1"/>
    <col min="37" max="37" width="29.125" bestFit="1" customWidth="1"/>
    <col min="38" max="38" width="12.125" bestFit="1" customWidth="1"/>
    <col min="39" max="39" width="39" bestFit="1" customWidth="1"/>
    <col min="40" max="40" width="31.625" bestFit="1" customWidth="1"/>
    <col min="41" max="41" width="38.375" bestFit="1" customWidth="1"/>
    <col min="42" max="42" width="15.125" bestFit="1" customWidth="1"/>
    <col min="43" max="43" width="8.625" bestFit="1" customWidth="1"/>
    <col min="44" max="44" width="15" bestFit="1" customWidth="1"/>
    <col min="45" max="45" width="29.875" bestFit="1" customWidth="1"/>
    <col min="46" max="46" width="16.375" bestFit="1" customWidth="1"/>
    <col min="47" max="47" width="8.375" bestFit="1" customWidth="1"/>
    <col min="48" max="48" width="39" bestFit="1" customWidth="1"/>
    <col min="49" max="49" width="20.125" bestFit="1" customWidth="1"/>
    <col min="50" max="50" width="31.625" bestFit="1" customWidth="1"/>
    <col min="51" max="51" width="38.375" bestFit="1" customWidth="1"/>
    <col min="52" max="52" width="30.625" bestFit="1" customWidth="1"/>
    <col min="53" max="53" width="11.5" bestFit="1" customWidth="1"/>
    <col min="54" max="54" width="8.875" bestFit="1" customWidth="1"/>
    <col min="55" max="55" width="15" bestFit="1" customWidth="1"/>
    <col min="56" max="56" width="29.875" bestFit="1" customWidth="1"/>
    <col min="57" max="57" width="8.375" bestFit="1" customWidth="1"/>
    <col min="58" max="58" width="20.125" bestFit="1" customWidth="1"/>
    <col min="59" max="59" width="31.625" bestFit="1" customWidth="1"/>
    <col min="60" max="60" width="38.375" bestFit="1" customWidth="1"/>
    <col min="61" max="61" width="30.625" bestFit="1" customWidth="1"/>
    <col min="62" max="62" width="11.625" bestFit="1" customWidth="1"/>
    <col min="63" max="63" width="8.125" bestFit="1" customWidth="1"/>
    <col min="64" max="64" width="11.125" bestFit="1" customWidth="1"/>
    <col min="65" max="65" width="10.375" bestFit="1" customWidth="1"/>
  </cols>
  <sheetData>
    <row r="1" spans="1:24" ht="21">
      <c r="A1" s="11" t="s">
        <v>1112</v>
      </c>
      <c r="Q1" s="16" t="s">
        <v>1141</v>
      </c>
    </row>
    <row r="2" spans="1:24">
      <c r="A2" s="1" t="s">
        <v>1018</v>
      </c>
      <c r="B2" t="s">
        <v>1019</v>
      </c>
      <c r="C2" t="s">
        <v>1108</v>
      </c>
      <c r="E2" s="1" t="s">
        <v>1018</v>
      </c>
      <c r="F2" t="s">
        <v>1020</v>
      </c>
      <c r="G2" t="s">
        <v>1021</v>
      </c>
      <c r="H2" t="s">
        <v>1114</v>
      </c>
      <c r="I2" t="s">
        <v>1108</v>
      </c>
      <c r="K2" s="1" t="s">
        <v>1018</v>
      </c>
      <c r="L2" t="s">
        <v>1019</v>
      </c>
      <c r="N2" s="1" t="s">
        <v>1018</v>
      </c>
      <c r="O2" t="s">
        <v>1019</v>
      </c>
      <c r="Q2" t="s">
        <v>1149</v>
      </c>
      <c r="S2">
        <v>246</v>
      </c>
      <c r="U2" s="15"/>
    </row>
    <row r="3" spans="1:24">
      <c r="A3" s="2" t="s">
        <v>66</v>
      </c>
      <c r="B3">
        <v>22</v>
      </c>
      <c r="C3" s="3">
        <f>B3/$B$10</f>
        <v>6.9620253164556958E-2</v>
      </c>
      <c r="E3" s="2" t="s">
        <v>66</v>
      </c>
      <c r="F3">
        <v>6443855</v>
      </c>
      <c r="G3">
        <v>0</v>
      </c>
      <c r="H3" s="8">
        <f>SUM(F3:G3)/1000000</f>
        <v>6.4438550000000001</v>
      </c>
      <c r="I3" s="3">
        <f>H3/$H$10</f>
        <v>8.2382093217563859E-2</v>
      </c>
      <c r="K3" s="2" t="s">
        <v>1023</v>
      </c>
      <c r="L3">
        <v>31</v>
      </c>
      <c r="N3" s="2" t="s">
        <v>80</v>
      </c>
      <c r="O3">
        <v>77</v>
      </c>
      <c r="Q3" t="s">
        <v>1142</v>
      </c>
      <c r="S3">
        <v>19</v>
      </c>
      <c r="X3" s="9"/>
    </row>
    <row r="4" spans="1:24">
      <c r="A4" s="2" t="s">
        <v>17</v>
      </c>
      <c r="B4">
        <v>83</v>
      </c>
      <c r="C4" s="3">
        <f t="shared" ref="C4:C10" si="0">B4/$B$10</f>
        <v>0.26265822784810128</v>
      </c>
      <c r="E4" s="2" t="s">
        <v>17</v>
      </c>
      <c r="F4">
        <v>22551602</v>
      </c>
      <c r="G4">
        <v>67597</v>
      </c>
      <c r="H4" s="8">
        <f t="shared" ref="H4:H10" si="1">SUM(F4:G4)/1000000</f>
        <v>22.619198999999998</v>
      </c>
      <c r="I4" s="3">
        <f t="shared" ref="I4:I10" si="2">H4/$H$10</f>
        <v>0.28917735742418582</v>
      </c>
      <c r="K4" s="2" t="s">
        <v>1024</v>
      </c>
      <c r="L4">
        <v>36</v>
      </c>
      <c r="N4" s="2" t="s">
        <v>20</v>
      </c>
      <c r="O4">
        <v>239</v>
      </c>
      <c r="Q4" t="s">
        <v>1143</v>
      </c>
      <c r="S4" s="56">
        <f>S3/S2</f>
        <v>7.7235772357723581E-2</v>
      </c>
    </row>
    <row r="5" spans="1:24">
      <c r="A5" s="2" t="s">
        <v>71</v>
      </c>
      <c r="B5">
        <v>7</v>
      </c>
      <c r="C5" s="3">
        <f t="shared" si="0"/>
        <v>2.2151898734177215E-2</v>
      </c>
      <c r="E5" s="2" t="s">
        <v>71</v>
      </c>
      <c r="F5">
        <v>1726525</v>
      </c>
      <c r="G5">
        <v>0</v>
      </c>
      <c r="H5" s="8">
        <f t="shared" si="1"/>
        <v>1.7265250000000001</v>
      </c>
      <c r="I5" s="3">
        <f t="shared" si="2"/>
        <v>2.207292738468734E-2</v>
      </c>
      <c r="K5" s="2" t="s">
        <v>1025</v>
      </c>
      <c r="L5">
        <v>34</v>
      </c>
      <c r="N5" s="2" t="s">
        <v>1022</v>
      </c>
      <c r="O5">
        <v>316</v>
      </c>
      <c r="Q5" t="s">
        <v>1144</v>
      </c>
      <c r="S5">
        <v>5</v>
      </c>
      <c r="U5" s="3"/>
      <c r="V5" s="3"/>
    </row>
    <row r="6" spans="1:24">
      <c r="A6" s="2" t="s">
        <v>291</v>
      </c>
      <c r="B6">
        <v>1</v>
      </c>
      <c r="C6" s="3">
        <f t="shared" si="0"/>
        <v>3.1645569620253164E-3</v>
      </c>
      <c r="E6" s="2" t="s">
        <v>291</v>
      </c>
      <c r="F6">
        <v>156920</v>
      </c>
      <c r="G6">
        <v>0</v>
      </c>
      <c r="H6" s="8">
        <f t="shared" si="1"/>
        <v>0.15692</v>
      </c>
      <c r="I6" s="3">
        <f t="shared" si="2"/>
        <v>2.0061590566051099E-3</v>
      </c>
      <c r="K6" s="2" t="s">
        <v>1026</v>
      </c>
      <c r="L6">
        <v>30</v>
      </c>
      <c r="Q6" t="s">
        <v>1143</v>
      </c>
      <c r="S6" s="56">
        <f>S5/S2</f>
        <v>2.032520325203252E-2</v>
      </c>
    </row>
    <row r="7" spans="1:24">
      <c r="A7" s="2" t="s">
        <v>205</v>
      </c>
      <c r="B7">
        <v>6</v>
      </c>
      <c r="C7" s="3">
        <f t="shared" si="0"/>
        <v>1.8987341772151899E-2</v>
      </c>
      <c r="E7" s="2" t="s">
        <v>205</v>
      </c>
      <c r="F7">
        <v>860575</v>
      </c>
      <c r="G7">
        <v>21500</v>
      </c>
      <c r="H7" s="8">
        <f t="shared" si="1"/>
        <v>0.88207500000000005</v>
      </c>
      <c r="I7" s="3">
        <f t="shared" si="2"/>
        <v>1.1276973934839106E-2</v>
      </c>
      <c r="K7" s="2" t="s">
        <v>1027</v>
      </c>
      <c r="L7">
        <v>28</v>
      </c>
      <c r="N7" s="1" t="s">
        <v>1018</v>
      </c>
      <c r="O7" t="s">
        <v>1019</v>
      </c>
      <c r="Q7" t="s">
        <v>1148</v>
      </c>
      <c r="S7" s="7">
        <f>AVERAGE('COM - Companies'!S6:S26)</f>
        <v>30116744.19047619</v>
      </c>
      <c r="U7" s="15"/>
    </row>
    <row r="8" spans="1:24">
      <c r="A8" s="2" t="s">
        <v>38</v>
      </c>
      <c r="B8">
        <v>104</v>
      </c>
      <c r="C8" s="3">
        <f t="shared" si="0"/>
        <v>0.32911392405063289</v>
      </c>
      <c r="E8" s="2" t="s">
        <v>38</v>
      </c>
      <c r="F8">
        <v>25347698</v>
      </c>
      <c r="G8">
        <v>323660</v>
      </c>
      <c r="H8" s="8">
        <f t="shared" si="1"/>
        <v>25.671358000000001</v>
      </c>
      <c r="I8" s="3">
        <f t="shared" si="2"/>
        <v>0.32819798207399981</v>
      </c>
      <c r="K8" s="2" t="s">
        <v>1028</v>
      </c>
      <c r="L8">
        <v>31</v>
      </c>
      <c r="N8" s="2" t="s">
        <v>894</v>
      </c>
      <c r="O8">
        <v>1</v>
      </c>
    </row>
    <row r="9" spans="1:24">
      <c r="A9" s="2" t="s">
        <v>32</v>
      </c>
      <c r="B9">
        <v>93</v>
      </c>
      <c r="C9" s="3">
        <f t="shared" si="0"/>
        <v>0.29430379746835444</v>
      </c>
      <c r="E9" s="2" t="s">
        <v>32</v>
      </c>
      <c r="F9">
        <v>20627541</v>
      </c>
      <c r="G9">
        <v>91649</v>
      </c>
      <c r="H9" s="8">
        <f t="shared" si="1"/>
        <v>20.719190000000001</v>
      </c>
      <c r="I9" s="3">
        <f t="shared" si="2"/>
        <v>0.26488650690811899</v>
      </c>
      <c r="K9" s="2" t="s">
        <v>1029</v>
      </c>
      <c r="L9">
        <v>34</v>
      </c>
      <c r="N9" s="2" t="s">
        <v>791</v>
      </c>
      <c r="O9">
        <v>66</v>
      </c>
    </row>
    <row r="10" spans="1:24">
      <c r="A10" s="2" t="s">
        <v>1022</v>
      </c>
      <c r="B10">
        <v>316</v>
      </c>
      <c r="C10" s="3">
        <f t="shared" si="0"/>
        <v>1</v>
      </c>
      <c r="E10" s="2" t="s">
        <v>1022</v>
      </c>
      <c r="F10">
        <v>77714716</v>
      </c>
      <c r="G10">
        <v>504406</v>
      </c>
      <c r="H10" s="8">
        <f t="shared" si="1"/>
        <v>78.219121999999999</v>
      </c>
      <c r="I10" s="3">
        <f t="shared" si="2"/>
        <v>1</v>
      </c>
      <c r="K10" s="2" t="s">
        <v>1030</v>
      </c>
      <c r="L10">
        <v>16</v>
      </c>
      <c r="N10" s="2" t="s">
        <v>899</v>
      </c>
      <c r="O10">
        <v>4</v>
      </c>
      <c r="U10" s="3"/>
      <c r="V10" s="3"/>
    </row>
    <row r="11" spans="1:24">
      <c r="K11" s="2" t="s">
        <v>1031</v>
      </c>
      <c r="L11">
        <v>10</v>
      </c>
      <c r="N11" s="2" t="s">
        <v>880</v>
      </c>
      <c r="O11">
        <v>1</v>
      </c>
    </row>
    <row r="12" spans="1:24">
      <c r="A12" s="1" t="s">
        <v>1018</v>
      </c>
      <c r="B12" t="s">
        <v>1019</v>
      </c>
      <c r="C12" s="3" t="s">
        <v>1108</v>
      </c>
      <c r="E12" s="1" t="s">
        <v>1018</v>
      </c>
      <c r="F12" t="s">
        <v>1021</v>
      </c>
      <c r="G12" t="s">
        <v>1020</v>
      </c>
      <c r="H12" t="s">
        <v>1114</v>
      </c>
      <c r="I12" t="s">
        <v>1108</v>
      </c>
      <c r="K12" s="2" t="s">
        <v>1032</v>
      </c>
      <c r="L12">
        <v>9</v>
      </c>
      <c r="N12" s="2" t="s">
        <v>78</v>
      </c>
      <c r="O12">
        <v>3</v>
      </c>
      <c r="U12" s="15"/>
    </row>
    <row r="13" spans="1:24">
      <c r="A13" s="2" t="s">
        <v>113</v>
      </c>
      <c r="B13">
        <v>13</v>
      </c>
      <c r="C13" s="3">
        <f>B13/$B$25</f>
        <v>4.1139240506329111E-2</v>
      </c>
      <c r="E13" s="2" t="s">
        <v>113</v>
      </c>
      <c r="F13">
        <v>14600</v>
      </c>
      <c r="G13">
        <v>3026172</v>
      </c>
      <c r="H13">
        <f>SUM(F13:G13)/1000000</f>
        <v>3.040772</v>
      </c>
      <c r="I13" s="3">
        <f t="shared" ref="I13:I25" si="3">H13/$H$25</f>
        <v>3.887504643685466E-2</v>
      </c>
      <c r="K13" s="2" t="s">
        <v>1033</v>
      </c>
      <c r="L13">
        <v>9</v>
      </c>
      <c r="N13" s="2" t="s">
        <v>927</v>
      </c>
      <c r="O13">
        <v>1</v>
      </c>
    </row>
    <row r="14" spans="1:24">
      <c r="A14" s="2" t="s">
        <v>28</v>
      </c>
      <c r="B14">
        <v>101</v>
      </c>
      <c r="C14" s="3">
        <f t="shared" ref="C14:C25" si="4">B14/$B$25</f>
        <v>0.31962025316455694</v>
      </c>
      <c r="E14" s="2" t="s">
        <v>28</v>
      </c>
      <c r="F14">
        <v>263462</v>
      </c>
      <c r="G14">
        <v>26188946</v>
      </c>
      <c r="H14">
        <f t="shared" ref="H14:H25" si="5">SUM(F14:G14)/1000000</f>
        <v>26.452407999999998</v>
      </c>
      <c r="I14" s="3">
        <f t="shared" si="3"/>
        <v>0.33818339203551784</v>
      </c>
      <c r="K14" s="2" t="s">
        <v>1034</v>
      </c>
      <c r="L14">
        <v>7</v>
      </c>
      <c r="N14" s="2" t="s">
        <v>848</v>
      </c>
      <c r="O14">
        <v>1</v>
      </c>
    </row>
    <row r="15" spans="1:24">
      <c r="A15" s="2" t="s">
        <v>34</v>
      </c>
      <c r="B15">
        <v>35</v>
      </c>
      <c r="C15" s="3">
        <f t="shared" si="4"/>
        <v>0.11075949367088607</v>
      </c>
      <c r="E15" s="2" t="s">
        <v>34</v>
      </c>
      <c r="F15">
        <v>46038</v>
      </c>
      <c r="G15">
        <v>7669271</v>
      </c>
      <c r="H15">
        <f t="shared" si="5"/>
        <v>7.7153090000000004</v>
      </c>
      <c r="I15" s="3">
        <f t="shared" si="3"/>
        <v>9.8637120984303564E-2</v>
      </c>
      <c r="K15" s="2" t="s">
        <v>1035</v>
      </c>
      <c r="L15">
        <v>10</v>
      </c>
      <c r="N15" s="2" t="s">
        <v>85</v>
      </c>
      <c r="O15">
        <v>2</v>
      </c>
      <c r="U15" s="3"/>
      <c r="V15" s="3"/>
    </row>
    <row r="16" spans="1:24">
      <c r="A16" s="2" t="s">
        <v>460</v>
      </c>
      <c r="B16">
        <v>2</v>
      </c>
      <c r="C16" s="3">
        <f t="shared" si="4"/>
        <v>6.3291139240506328E-3</v>
      </c>
      <c r="E16" s="2" t="s">
        <v>460</v>
      </c>
      <c r="F16">
        <v>0</v>
      </c>
      <c r="G16">
        <v>791009</v>
      </c>
      <c r="H16">
        <f t="shared" si="5"/>
        <v>0.79100899999999996</v>
      </c>
      <c r="I16" s="3">
        <f t="shared" si="3"/>
        <v>1.0112731769093495E-2</v>
      </c>
      <c r="K16" s="2" t="s">
        <v>1036</v>
      </c>
      <c r="L16">
        <v>17</v>
      </c>
      <c r="N16" s="2" t="s">
        <v>25</v>
      </c>
      <c r="O16">
        <v>194</v>
      </c>
    </row>
    <row r="17" spans="1:24">
      <c r="A17" s="2" t="s">
        <v>48</v>
      </c>
      <c r="B17">
        <v>12</v>
      </c>
      <c r="C17" s="3">
        <f t="shared" si="4"/>
        <v>3.7974683544303799E-2</v>
      </c>
      <c r="E17" s="2" t="s">
        <v>48</v>
      </c>
      <c r="F17">
        <v>13349</v>
      </c>
      <c r="G17">
        <v>5178754</v>
      </c>
      <c r="H17">
        <f t="shared" si="5"/>
        <v>5.1921030000000004</v>
      </c>
      <c r="I17" s="3">
        <f t="shared" si="3"/>
        <v>6.6378947592891674E-2</v>
      </c>
      <c r="K17" s="2" t="s">
        <v>1037</v>
      </c>
      <c r="L17">
        <v>14</v>
      </c>
      <c r="N17" s="2" t="s">
        <v>18</v>
      </c>
      <c r="O17">
        <v>34</v>
      </c>
    </row>
    <row r="18" spans="1:24">
      <c r="A18" s="2" t="s">
        <v>534</v>
      </c>
      <c r="B18">
        <v>3</v>
      </c>
      <c r="C18" s="3">
        <f t="shared" si="4"/>
        <v>9.4936708860759497E-3</v>
      </c>
      <c r="E18" s="2" t="s">
        <v>534</v>
      </c>
      <c r="F18">
        <v>0</v>
      </c>
      <c r="G18">
        <v>1600500</v>
      </c>
      <c r="H18">
        <f t="shared" si="5"/>
        <v>1.6005</v>
      </c>
      <c r="I18" s="3">
        <f t="shared" si="3"/>
        <v>2.0461748471173071E-2</v>
      </c>
      <c r="K18" s="2" t="s">
        <v>1022</v>
      </c>
      <c r="L18">
        <v>316</v>
      </c>
      <c r="N18" s="2" t="s">
        <v>94</v>
      </c>
      <c r="O18">
        <v>9</v>
      </c>
      <c r="X18" s="9"/>
    </row>
    <row r="19" spans="1:24">
      <c r="A19" s="2" t="s">
        <v>309</v>
      </c>
      <c r="B19">
        <v>11</v>
      </c>
      <c r="C19" s="3">
        <f t="shared" si="4"/>
        <v>3.4810126582278479E-2</v>
      </c>
      <c r="E19" s="2" t="s">
        <v>309</v>
      </c>
      <c r="F19">
        <v>0</v>
      </c>
      <c r="G19">
        <v>2707722</v>
      </c>
      <c r="H19">
        <f t="shared" si="5"/>
        <v>2.707722</v>
      </c>
      <c r="I19" s="3">
        <f t="shared" si="3"/>
        <v>3.4617136203599935E-2</v>
      </c>
      <c r="N19" s="2" t="s">
        <v>1022</v>
      </c>
      <c r="O19">
        <v>316</v>
      </c>
    </row>
    <row r="20" spans="1:24">
      <c r="A20" s="2" t="s">
        <v>22</v>
      </c>
      <c r="B20">
        <v>50</v>
      </c>
      <c r="C20" s="3">
        <f t="shared" si="4"/>
        <v>0.15822784810126583</v>
      </c>
      <c r="E20" s="2" t="s">
        <v>22</v>
      </c>
      <c r="F20">
        <v>142857</v>
      </c>
      <c r="G20">
        <v>9831437</v>
      </c>
      <c r="H20">
        <f t="shared" si="5"/>
        <v>9.9742940000000004</v>
      </c>
      <c r="I20" s="3">
        <f t="shared" si="3"/>
        <v>0.12751733521120323</v>
      </c>
    </row>
    <row r="21" spans="1:24">
      <c r="A21" s="2" t="s">
        <v>108</v>
      </c>
      <c r="B21">
        <v>34</v>
      </c>
      <c r="C21" s="3">
        <f t="shared" si="4"/>
        <v>0.10759493670886076</v>
      </c>
      <c r="E21" s="2" t="s">
        <v>108</v>
      </c>
      <c r="F21">
        <v>13100</v>
      </c>
      <c r="G21">
        <v>6283217</v>
      </c>
      <c r="H21">
        <f t="shared" si="5"/>
        <v>6.2963170000000002</v>
      </c>
      <c r="I21" s="3">
        <f t="shared" si="3"/>
        <v>8.0495879255714484E-2</v>
      </c>
    </row>
    <row r="22" spans="1:24">
      <c r="A22" s="2" t="s">
        <v>44</v>
      </c>
      <c r="B22">
        <v>33</v>
      </c>
      <c r="C22" s="3">
        <f t="shared" si="4"/>
        <v>0.10443037974683544</v>
      </c>
      <c r="E22" s="2" t="s">
        <v>44</v>
      </c>
      <c r="F22">
        <v>0</v>
      </c>
      <c r="G22">
        <v>9028234</v>
      </c>
      <c r="H22">
        <f t="shared" si="5"/>
        <v>9.0282339999999994</v>
      </c>
      <c r="I22" s="3">
        <f t="shared" si="3"/>
        <v>0.11542233879843346</v>
      </c>
    </row>
    <row r="23" spans="1:24">
      <c r="A23" s="2" t="s">
        <v>40</v>
      </c>
      <c r="B23">
        <v>20</v>
      </c>
      <c r="C23" s="3">
        <f t="shared" si="4"/>
        <v>6.3291139240506333E-2</v>
      </c>
      <c r="E23" s="2" t="s">
        <v>40</v>
      </c>
      <c r="F23">
        <v>11000</v>
      </c>
      <c r="G23">
        <v>5209454</v>
      </c>
      <c r="H23">
        <f t="shared" si="5"/>
        <v>5.2204540000000001</v>
      </c>
      <c r="I23" s="3">
        <f t="shared" si="3"/>
        <v>6.6741403719668455E-2</v>
      </c>
    </row>
    <row r="24" spans="1:24">
      <c r="A24" s="2" t="s">
        <v>82</v>
      </c>
      <c r="B24">
        <v>2</v>
      </c>
      <c r="C24" s="3">
        <f t="shared" si="4"/>
        <v>6.3291139240506328E-3</v>
      </c>
      <c r="E24" s="2" t="s">
        <v>82</v>
      </c>
      <c r="F24">
        <v>0</v>
      </c>
      <c r="G24">
        <v>200000</v>
      </c>
      <c r="H24">
        <f t="shared" si="5"/>
        <v>0.2</v>
      </c>
      <c r="I24" s="3">
        <f t="shared" si="3"/>
        <v>2.5569195215461508E-3</v>
      </c>
    </row>
    <row r="25" spans="1:24">
      <c r="A25" s="2" t="s">
        <v>1022</v>
      </c>
      <c r="B25">
        <v>316</v>
      </c>
      <c r="C25" s="3">
        <f t="shared" si="4"/>
        <v>1</v>
      </c>
      <c r="E25" s="2" t="s">
        <v>1022</v>
      </c>
      <c r="F25">
        <v>504406</v>
      </c>
      <c r="G25">
        <v>77714716</v>
      </c>
      <c r="H25">
        <f t="shared" si="5"/>
        <v>78.219121999999999</v>
      </c>
      <c r="I25" s="3">
        <f t="shared" si="3"/>
        <v>1</v>
      </c>
    </row>
    <row r="27" spans="1:24" ht="21">
      <c r="A27" s="12" t="s">
        <v>1113</v>
      </c>
    </row>
    <row r="28" spans="1:24">
      <c r="A28" s="1" t="s">
        <v>1018</v>
      </c>
      <c r="B28" t="s">
        <v>1038</v>
      </c>
      <c r="C28" s="3" t="s">
        <v>1108</v>
      </c>
      <c r="E28" s="1" t="s">
        <v>1018</v>
      </c>
      <c r="F28" t="s">
        <v>1038</v>
      </c>
      <c r="G28" s="3" t="s">
        <v>1108</v>
      </c>
      <c r="I28" s="1" t="s">
        <v>1018</v>
      </c>
      <c r="J28" t="s">
        <v>1038</v>
      </c>
    </row>
    <row r="29" spans="1:24">
      <c r="A29" s="2" t="s">
        <v>66</v>
      </c>
      <c r="B29">
        <v>27</v>
      </c>
      <c r="C29" s="3">
        <f>B29/$B$36</f>
        <v>4.72027972027972E-2</v>
      </c>
      <c r="E29" s="2" t="s">
        <v>113</v>
      </c>
      <c r="F29">
        <v>57</v>
      </c>
      <c r="G29" s="3">
        <f>F29/$F$41</f>
        <v>9.9650349650349648E-2</v>
      </c>
      <c r="I29" s="2" t="s">
        <v>1023</v>
      </c>
      <c r="J29">
        <v>71</v>
      </c>
    </row>
    <row r="30" spans="1:24">
      <c r="A30" s="2" t="s">
        <v>17</v>
      </c>
      <c r="B30">
        <v>173</v>
      </c>
      <c r="C30" s="3">
        <f t="shared" ref="C30:C36" si="6">B30/$B$36</f>
        <v>0.30244755244755245</v>
      </c>
      <c r="E30" s="2" t="s">
        <v>28</v>
      </c>
      <c r="F30">
        <v>153</v>
      </c>
      <c r="G30" s="3">
        <f t="shared" ref="G30:G41" si="7">F30/$F$41</f>
        <v>0.2674825174825175</v>
      </c>
      <c r="I30" s="2" t="s">
        <v>1024</v>
      </c>
      <c r="J30">
        <v>77</v>
      </c>
    </row>
    <row r="31" spans="1:24">
      <c r="A31" s="2" t="s">
        <v>71</v>
      </c>
      <c r="B31">
        <v>15</v>
      </c>
      <c r="C31" s="3">
        <f t="shared" si="6"/>
        <v>2.6223776223776224E-2</v>
      </c>
      <c r="E31" s="2" t="s">
        <v>34</v>
      </c>
      <c r="F31">
        <v>46</v>
      </c>
      <c r="G31" s="3">
        <f t="shared" si="7"/>
        <v>8.0419580419580416E-2</v>
      </c>
      <c r="I31" s="2" t="s">
        <v>1025</v>
      </c>
      <c r="J31">
        <v>60</v>
      </c>
    </row>
    <row r="32" spans="1:24">
      <c r="A32" s="2" t="s">
        <v>291</v>
      </c>
      <c r="B32">
        <v>0</v>
      </c>
      <c r="C32" s="3">
        <f t="shared" si="6"/>
        <v>0</v>
      </c>
      <c r="E32" s="2" t="s">
        <v>460</v>
      </c>
      <c r="F32">
        <v>2</v>
      </c>
      <c r="G32" s="3">
        <f t="shared" si="7"/>
        <v>3.4965034965034965E-3</v>
      </c>
      <c r="I32" s="2" t="s">
        <v>1026</v>
      </c>
      <c r="J32">
        <v>68</v>
      </c>
    </row>
    <row r="33" spans="1:24">
      <c r="A33" s="2" t="s">
        <v>205</v>
      </c>
      <c r="B33">
        <v>10</v>
      </c>
      <c r="C33" s="3">
        <f t="shared" si="6"/>
        <v>1.7482517482517484E-2</v>
      </c>
      <c r="E33" s="2" t="s">
        <v>48</v>
      </c>
      <c r="F33">
        <v>24</v>
      </c>
      <c r="G33" s="3">
        <f t="shared" si="7"/>
        <v>4.195804195804196E-2</v>
      </c>
      <c r="I33" s="2" t="s">
        <v>1027</v>
      </c>
      <c r="J33">
        <v>78</v>
      </c>
    </row>
    <row r="34" spans="1:24">
      <c r="A34" s="2" t="s">
        <v>38</v>
      </c>
      <c r="B34">
        <v>206</v>
      </c>
      <c r="C34" s="3">
        <f t="shared" si="6"/>
        <v>0.36013986013986016</v>
      </c>
      <c r="E34" s="2" t="s">
        <v>534</v>
      </c>
      <c r="F34">
        <v>6</v>
      </c>
      <c r="G34" s="3">
        <f t="shared" si="7"/>
        <v>1.048951048951049E-2</v>
      </c>
      <c r="I34" s="2" t="s">
        <v>1028</v>
      </c>
      <c r="J34">
        <v>58</v>
      </c>
    </row>
    <row r="35" spans="1:24">
      <c r="A35" s="2" t="s">
        <v>32</v>
      </c>
      <c r="B35">
        <v>141</v>
      </c>
      <c r="C35" s="3">
        <f t="shared" si="6"/>
        <v>0.24650349650349651</v>
      </c>
      <c r="E35" s="2" t="s">
        <v>309</v>
      </c>
      <c r="F35">
        <v>16</v>
      </c>
      <c r="G35" s="3">
        <f t="shared" si="7"/>
        <v>2.7972027972027972E-2</v>
      </c>
      <c r="I35" s="2" t="s">
        <v>1029</v>
      </c>
      <c r="J35">
        <v>74</v>
      </c>
    </row>
    <row r="36" spans="1:24">
      <c r="A36" s="2" t="s">
        <v>1022</v>
      </c>
      <c r="B36">
        <v>572</v>
      </c>
      <c r="C36" s="3">
        <f t="shared" si="6"/>
        <v>1</v>
      </c>
      <c r="E36" s="2" t="s">
        <v>22</v>
      </c>
      <c r="F36">
        <v>78</v>
      </c>
      <c r="G36" s="3">
        <f t="shared" si="7"/>
        <v>0.13636363636363635</v>
      </c>
      <c r="I36" s="2" t="s">
        <v>1030</v>
      </c>
      <c r="J36">
        <v>21</v>
      </c>
    </row>
    <row r="37" spans="1:24">
      <c r="E37" s="2" t="s">
        <v>108</v>
      </c>
      <c r="F37">
        <v>83</v>
      </c>
      <c r="G37" s="3">
        <f t="shared" si="7"/>
        <v>0.1451048951048951</v>
      </c>
      <c r="I37" s="2" t="s">
        <v>1031</v>
      </c>
      <c r="J37">
        <v>13</v>
      </c>
    </row>
    <row r="38" spans="1:24">
      <c r="E38" s="2" t="s">
        <v>44</v>
      </c>
      <c r="F38">
        <v>59</v>
      </c>
      <c r="G38" s="3">
        <f t="shared" si="7"/>
        <v>0.10314685314685315</v>
      </c>
      <c r="I38" s="2" t="s">
        <v>1032</v>
      </c>
      <c r="J38">
        <v>17</v>
      </c>
    </row>
    <row r="39" spans="1:24">
      <c r="E39" s="2" t="s">
        <v>40</v>
      </c>
      <c r="F39">
        <v>48</v>
      </c>
      <c r="G39" s="3">
        <f t="shared" si="7"/>
        <v>8.3916083916083919E-2</v>
      </c>
      <c r="I39" s="2" t="s">
        <v>1033</v>
      </c>
      <c r="J39">
        <v>9</v>
      </c>
    </row>
    <row r="40" spans="1:24">
      <c r="E40" s="2" t="s">
        <v>82</v>
      </c>
      <c r="F40">
        <v>0</v>
      </c>
      <c r="G40" s="3">
        <f t="shared" si="7"/>
        <v>0</v>
      </c>
      <c r="I40" s="2" t="s">
        <v>1034</v>
      </c>
      <c r="J40">
        <v>8</v>
      </c>
    </row>
    <row r="41" spans="1:24">
      <c r="E41" s="2" t="s">
        <v>1022</v>
      </c>
      <c r="F41">
        <v>572</v>
      </c>
      <c r="G41" s="3">
        <f t="shared" si="7"/>
        <v>1</v>
      </c>
      <c r="I41" s="2" t="s">
        <v>1035</v>
      </c>
      <c r="J41">
        <v>7</v>
      </c>
    </row>
    <row r="42" spans="1:24">
      <c r="I42" s="2" t="s">
        <v>1036</v>
      </c>
      <c r="J42">
        <v>8</v>
      </c>
    </row>
    <row r="43" spans="1:24">
      <c r="I43" s="2" t="s">
        <v>1037</v>
      </c>
      <c r="J43">
        <v>3</v>
      </c>
    </row>
    <row r="44" spans="1:24">
      <c r="I44" s="2" t="s">
        <v>1022</v>
      </c>
      <c r="J44">
        <v>572</v>
      </c>
    </row>
    <row r="45" spans="1:24" ht="21">
      <c r="X45" s="16"/>
    </row>
    <row r="46" spans="1:24">
      <c r="A46" s="17" t="s">
        <v>1109</v>
      </c>
      <c r="E46" t="s">
        <v>1110</v>
      </c>
      <c r="F46" t="s">
        <v>1111</v>
      </c>
      <c r="H46" s="10"/>
      <c r="I46" s="17" t="s">
        <v>1122</v>
      </c>
      <c r="L46" t="s">
        <v>1110</v>
      </c>
      <c r="M46" t="s">
        <v>1111</v>
      </c>
      <c r="P46" s="17" t="s">
        <v>1123</v>
      </c>
      <c r="S46" t="s">
        <v>1110</v>
      </c>
      <c r="T46" t="s">
        <v>1111</v>
      </c>
    </row>
    <row r="47" spans="1:24">
      <c r="A47" s="1" t="s">
        <v>1018</v>
      </c>
      <c r="B47" t="s">
        <v>1038</v>
      </c>
      <c r="C47" t="s">
        <v>1121</v>
      </c>
      <c r="E47">
        <f>SUM(F52:F61)</f>
        <v>161</v>
      </c>
      <c r="F47">
        <f>F51</f>
        <v>85</v>
      </c>
      <c r="I47" s="1" t="s">
        <v>3</v>
      </c>
      <c r="J47" t="s">
        <v>32</v>
      </c>
      <c r="L47">
        <f>SUM(M52:M61)</f>
        <v>50</v>
      </c>
      <c r="M47">
        <f>M51</f>
        <v>25</v>
      </c>
      <c r="P47" s="1" t="s">
        <v>11</v>
      </c>
      <c r="Q47" t="s">
        <v>34</v>
      </c>
      <c r="S47">
        <f>SUM(T52:T61)</f>
        <v>20</v>
      </c>
      <c r="T47">
        <f>T51</f>
        <v>13</v>
      </c>
    </row>
    <row r="48" spans="1:24">
      <c r="A48" s="2" t="s">
        <v>487</v>
      </c>
      <c r="B48">
        <v>2</v>
      </c>
      <c r="C48">
        <v>0</v>
      </c>
      <c r="E48" s="56">
        <f>E47/SUM(E47:F47)</f>
        <v>0.65447154471544711</v>
      </c>
      <c r="F48" s="56">
        <f>F47/SUM(E47:F47)</f>
        <v>0.34552845528455284</v>
      </c>
      <c r="L48" s="56">
        <f>L47/SUM(L47:M47)</f>
        <v>0.66666666666666663</v>
      </c>
      <c r="M48" s="56">
        <f>M47/SUM(L47:M47)</f>
        <v>0.33333333333333331</v>
      </c>
      <c r="S48" s="56">
        <f>S47/SUM(S47:T47)</f>
        <v>0.60606060606060608</v>
      </c>
      <c r="T48" s="56">
        <f>T47/SUM(S47:T47)</f>
        <v>0.39393939393939392</v>
      </c>
    </row>
    <row r="49" spans="1:21">
      <c r="A49" s="2" t="s">
        <v>432</v>
      </c>
      <c r="B49">
        <v>3</v>
      </c>
      <c r="C49">
        <v>0</v>
      </c>
      <c r="I49" s="1" t="s">
        <v>1018</v>
      </c>
      <c r="J49" t="s">
        <v>1038</v>
      </c>
      <c r="P49" s="1" t="s">
        <v>1018</v>
      </c>
      <c r="Q49" t="s">
        <v>1038</v>
      </c>
    </row>
    <row r="50" spans="1:21">
      <c r="A50" s="2" t="s">
        <v>960</v>
      </c>
      <c r="B50">
        <v>0</v>
      </c>
      <c r="C50">
        <v>0</v>
      </c>
      <c r="E50" t="s">
        <v>1115</v>
      </c>
      <c r="F50" t="s">
        <v>1116</v>
      </c>
      <c r="G50" t="s">
        <v>1117</v>
      </c>
      <c r="I50" s="2" t="s">
        <v>487</v>
      </c>
      <c r="J50">
        <v>2</v>
      </c>
      <c r="L50" t="s">
        <v>1115</v>
      </c>
      <c r="M50" t="s">
        <v>1116</v>
      </c>
      <c r="N50" t="s">
        <v>1119</v>
      </c>
      <c r="P50" s="2" t="s">
        <v>122</v>
      </c>
      <c r="Q50">
        <v>0</v>
      </c>
      <c r="S50" t="s">
        <v>1115</v>
      </c>
      <c r="T50" t="s">
        <v>1116</v>
      </c>
      <c r="U50" t="s">
        <v>1118</v>
      </c>
    </row>
    <row r="51" spans="1:21">
      <c r="A51" s="2" t="s">
        <v>998</v>
      </c>
      <c r="B51">
        <v>0</v>
      </c>
      <c r="C51">
        <v>0</v>
      </c>
      <c r="E51">
        <v>0</v>
      </c>
      <c r="F51">
        <f t="shared" ref="F51:F60" si="8">COUNTIF($B$48:$B$293, E51)</f>
        <v>85</v>
      </c>
      <c r="G51" s="56">
        <f t="shared" ref="G51:G61" si="9">F51/SUM($F$51:$F$61)</f>
        <v>0.34552845528455284</v>
      </c>
      <c r="I51" s="2" t="s">
        <v>353</v>
      </c>
      <c r="J51">
        <v>3</v>
      </c>
      <c r="L51">
        <v>0</v>
      </c>
      <c r="M51">
        <f>COUNTIF($J$50:$J$124, L51)</f>
        <v>25</v>
      </c>
      <c r="N51" s="56">
        <f t="shared" ref="N51:N61" si="10">M51/SUM($M$51:$M$61)</f>
        <v>0.33333333333333331</v>
      </c>
      <c r="P51" s="2" t="s">
        <v>240</v>
      </c>
      <c r="Q51">
        <v>0</v>
      </c>
      <c r="S51">
        <v>0</v>
      </c>
      <c r="T51">
        <f>COUNTIF($Q$50:$Q$82, S51)</f>
        <v>13</v>
      </c>
      <c r="U51" s="56">
        <f t="shared" ref="U51:U61" si="11">T51/SUM($T$51:$T$61)</f>
        <v>0.39393939393939392</v>
      </c>
    </row>
    <row r="52" spans="1:21">
      <c r="A52" s="2" t="s">
        <v>353</v>
      </c>
      <c r="B52">
        <v>3</v>
      </c>
      <c r="C52">
        <v>0</v>
      </c>
      <c r="E52">
        <v>1</v>
      </c>
      <c r="F52">
        <f t="shared" si="8"/>
        <v>58</v>
      </c>
      <c r="G52" s="56">
        <f t="shared" si="9"/>
        <v>0.23577235772357724</v>
      </c>
      <c r="I52" s="2" t="s">
        <v>609</v>
      </c>
      <c r="J52">
        <v>0</v>
      </c>
      <c r="L52">
        <v>1</v>
      </c>
      <c r="M52">
        <f t="shared" ref="M52:M60" si="12">COUNTIF($J$50:$J$124, L52)</f>
        <v>20</v>
      </c>
      <c r="N52" s="56">
        <f t="shared" si="10"/>
        <v>0.26666666666666666</v>
      </c>
      <c r="P52" s="2" t="s">
        <v>1001</v>
      </c>
      <c r="Q52">
        <v>0</v>
      </c>
      <c r="S52">
        <v>1</v>
      </c>
      <c r="T52">
        <f t="shared" ref="T52:T61" si="13">COUNTIF($Q$50:$Q$82, S52)</f>
        <v>9</v>
      </c>
      <c r="U52" s="56">
        <f t="shared" si="11"/>
        <v>0.27272727272727271</v>
      </c>
    </row>
    <row r="53" spans="1:21">
      <c r="A53" s="2" t="s">
        <v>609</v>
      </c>
      <c r="B53">
        <v>0</v>
      </c>
      <c r="C53">
        <v>0</v>
      </c>
      <c r="E53">
        <v>2</v>
      </c>
      <c r="F53">
        <f t="shared" si="8"/>
        <v>32</v>
      </c>
      <c r="G53" s="56">
        <f t="shared" si="9"/>
        <v>0.13008130081300814</v>
      </c>
      <c r="I53" s="2" t="s">
        <v>567</v>
      </c>
      <c r="J53">
        <v>0</v>
      </c>
      <c r="L53">
        <v>2</v>
      </c>
      <c r="M53">
        <f t="shared" si="12"/>
        <v>11</v>
      </c>
      <c r="N53" s="56">
        <f t="shared" si="10"/>
        <v>0.14666666666666667</v>
      </c>
      <c r="P53" s="2" t="s">
        <v>491</v>
      </c>
      <c r="Q53">
        <v>0</v>
      </c>
      <c r="S53">
        <v>2</v>
      </c>
      <c r="T53">
        <f t="shared" si="13"/>
        <v>7</v>
      </c>
      <c r="U53" s="56">
        <f t="shared" si="11"/>
        <v>0.21212121212121213</v>
      </c>
    </row>
    <row r="54" spans="1:21">
      <c r="A54" s="2" t="s">
        <v>122</v>
      </c>
      <c r="B54">
        <v>0</v>
      </c>
      <c r="C54">
        <v>0</v>
      </c>
      <c r="E54">
        <v>3</v>
      </c>
      <c r="F54">
        <f t="shared" si="8"/>
        <v>18</v>
      </c>
      <c r="G54" s="56">
        <f t="shared" si="9"/>
        <v>7.3170731707317069E-2</v>
      </c>
      <c r="I54" s="2" t="s">
        <v>539</v>
      </c>
      <c r="J54">
        <v>1</v>
      </c>
      <c r="L54">
        <v>3</v>
      </c>
      <c r="M54">
        <f t="shared" si="12"/>
        <v>4</v>
      </c>
      <c r="N54" s="56">
        <f t="shared" si="10"/>
        <v>5.3333333333333337E-2</v>
      </c>
      <c r="P54" s="2" t="s">
        <v>545</v>
      </c>
      <c r="Q54">
        <v>2</v>
      </c>
      <c r="S54">
        <v>3</v>
      </c>
      <c r="T54">
        <f t="shared" si="13"/>
        <v>1</v>
      </c>
      <c r="U54" s="56">
        <f t="shared" si="11"/>
        <v>3.0303030303030304E-2</v>
      </c>
    </row>
    <row r="55" spans="1:21">
      <c r="A55" s="2" t="s">
        <v>235</v>
      </c>
      <c r="B55">
        <v>1</v>
      </c>
      <c r="C55">
        <v>0</v>
      </c>
      <c r="E55">
        <v>4</v>
      </c>
      <c r="F55">
        <f>COUNTIF($B$48:$B$293, E55)</f>
        <v>20</v>
      </c>
      <c r="G55" s="56">
        <f t="shared" si="9"/>
        <v>8.1300813008130079E-2</v>
      </c>
      <c r="I55" s="2" t="s">
        <v>657</v>
      </c>
      <c r="J55">
        <v>0</v>
      </c>
      <c r="L55">
        <v>4</v>
      </c>
      <c r="M55">
        <f t="shared" si="12"/>
        <v>10</v>
      </c>
      <c r="N55" s="56">
        <f t="shared" si="10"/>
        <v>0.13333333333333333</v>
      </c>
      <c r="P55" s="2" t="s">
        <v>30</v>
      </c>
      <c r="Q55">
        <v>1</v>
      </c>
      <c r="S55">
        <v>4</v>
      </c>
      <c r="T55">
        <f t="shared" si="13"/>
        <v>1</v>
      </c>
      <c r="U55" s="56">
        <f t="shared" si="11"/>
        <v>3.0303030303030304E-2</v>
      </c>
    </row>
    <row r="56" spans="1:21">
      <c r="A56" s="2" t="s">
        <v>240</v>
      </c>
      <c r="B56">
        <v>0</v>
      </c>
      <c r="C56">
        <v>0</v>
      </c>
      <c r="E56">
        <v>5</v>
      </c>
      <c r="F56">
        <f t="shared" si="8"/>
        <v>6</v>
      </c>
      <c r="G56" s="56">
        <f t="shared" si="9"/>
        <v>2.4390243902439025E-2</v>
      </c>
      <c r="I56" s="2" t="s">
        <v>613</v>
      </c>
      <c r="J56">
        <v>1</v>
      </c>
      <c r="L56">
        <v>5</v>
      </c>
      <c r="M56">
        <f t="shared" si="12"/>
        <v>0</v>
      </c>
      <c r="N56" s="56">
        <f t="shared" si="10"/>
        <v>0</v>
      </c>
      <c r="P56" s="2" t="s">
        <v>573</v>
      </c>
      <c r="Q56">
        <v>2</v>
      </c>
      <c r="S56">
        <v>5</v>
      </c>
      <c r="T56">
        <f t="shared" si="13"/>
        <v>0</v>
      </c>
      <c r="U56" s="56">
        <f t="shared" si="11"/>
        <v>0</v>
      </c>
    </row>
    <row r="57" spans="1:21">
      <c r="A57" s="2" t="s">
        <v>126</v>
      </c>
      <c r="B57">
        <v>0</v>
      </c>
      <c r="C57">
        <v>0</v>
      </c>
      <c r="E57">
        <v>6</v>
      </c>
      <c r="F57">
        <f t="shared" si="8"/>
        <v>4</v>
      </c>
      <c r="G57" s="56">
        <f t="shared" si="9"/>
        <v>1.6260162601626018E-2</v>
      </c>
      <c r="I57" s="2" t="s">
        <v>865</v>
      </c>
      <c r="J57">
        <v>0</v>
      </c>
      <c r="L57">
        <v>6</v>
      </c>
      <c r="M57">
        <f t="shared" si="12"/>
        <v>2</v>
      </c>
      <c r="N57" s="56">
        <f t="shared" si="10"/>
        <v>2.6666666666666668E-2</v>
      </c>
      <c r="P57" s="2" t="s">
        <v>661</v>
      </c>
      <c r="Q57">
        <v>1</v>
      </c>
      <c r="S57">
        <v>6</v>
      </c>
      <c r="T57">
        <f t="shared" si="13"/>
        <v>0</v>
      </c>
      <c r="U57" s="56">
        <f t="shared" si="11"/>
        <v>0</v>
      </c>
    </row>
    <row r="58" spans="1:21">
      <c r="A58" s="2" t="s">
        <v>24</v>
      </c>
      <c r="B58">
        <v>0</v>
      </c>
      <c r="C58">
        <v>0</v>
      </c>
      <c r="E58">
        <v>7</v>
      </c>
      <c r="F58">
        <f t="shared" si="8"/>
        <v>5</v>
      </c>
      <c r="G58" s="56">
        <f t="shared" si="9"/>
        <v>2.032520325203252E-2</v>
      </c>
      <c r="I58" s="2" t="s">
        <v>158</v>
      </c>
      <c r="J58">
        <v>4</v>
      </c>
      <c r="L58">
        <v>7</v>
      </c>
      <c r="M58">
        <f t="shared" si="12"/>
        <v>1</v>
      </c>
      <c r="N58" s="56">
        <f t="shared" si="10"/>
        <v>1.3333333333333334E-2</v>
      </c>
      <c r="P58" s="2" t="s">
        <v>795</v>
      </c>
      <c r="Q58">
        <v>0</v>
      </c>
      <c r="S58">
        <v>7</v>
      </c>
      <c r="T58">
        <f t="shared" si="13"/>
        <v>1</v>
      </c>
      <c r="U58" s="56">
        <f t="shared" si="11"/>
        <v>3.0303030303030304E-2</v>
      </c>
    </row>
    <row r="59" spans="1:21">
      <c r="A59" s="2" t="s">
        <v>1001</v>
      </c>
      <c r="B59">
        <v>0</v>
      </c>
      <c r="C59">
        <v>0</v>
      </c>
      <c r="E59">
        <v>8</v>
      </c>
      <c r="F59">
        <f t="shared" si="8"/>
        <v>2</v>
      </c>
      <c r="G59" s="56">
        <f t="shared" si="9"/>
        <v>8.130081300813009E-3</v>
      </c>
      <c r="I59" s="2" t="s">
        <v>542</v>
      </c>
      <c r="J59">
        <v>0</v>
      </c>
      <c r="L59">
        <v>8</v>
      </c>
      <c r="M59">
        <f t="shared" si="12"/>
        <v>0</v>
      </c>
      <c r="N59" s="56">
        <f t="shared" si="10"/>
        <v>0</v>
      </c>
      <c r="P59" s="2" t="s">
        <v>162</v>
      </c>
      <c r="Q59">
        <v>4</v>
      </c>
      <c r="S59">
        <v>8</v>
      </c>
      <c r="T59">
        <f t="shared" si="13"/>
        <v>0</v>
      </c>
      <c r="U59" s="56">
        <f t="shared" si="11"/>
        <v>0</v>
      </c>
    </row>
    <row r="60" spans="1:21">
      <c r="A60" s="2" t="s">
        <v>567</v>
      </c>
      <c r="B60">
        <v>0</v>
      </c>
      <c r="C60">
        <v>0</v>
      </c>
      <c r="E60">
        <v>9</v>
      </c>
      <c r="F60">
        <f t="shared" si="8"/>
        <v>5</v>
      </c>
      <c r="G60" s="56">
        <f t="shared" si="9"/>
        <v>2.032520325203252E-2</v>
      </c>
      <c r="I60" s="2" t="s">
        <v>936</v>
      </c>
      <c r="J60">
        <v>0</v>
      </c>
      <c r="L60">
        <v>9</v>
      </c>
      <c r="M60">
        <f t="shared" si="12"/>
        <v>0</v>
      </c>
      <c r="N60" s="56">
        <f t="shared" si="10"/>
        <v>0</v>
      </c>
      <c r="P60" s="2" t="s">
        <v>247</v>
      </c>
      <c r="Q60">
        <v>1</v>
      </c>
      <c r="S60">
        <v>9</v>
      </c>
      <c r="T60">
        <f t="shared" si="13"/>
        <v>1</v>
      </c>
      <c r="U60" s="56">
        <f t="shared" si="11"/>
        <v>3.0303030303030304E-2</v>
      </c>
    </row>
    <row r="61" spans="1:21">
      <c r="A61" s="2" t="s">
        <v>539</v>
      </c>
      <c r="B61">
        <v>1</v>
      </c>
      <c r="C61">
        <v>0</v>
      </c>
      <c r="E61" t="s">
        <v>1039</v>
      </c>
      <c r="F61">
        <f>SUM(F63:F71)</f>
        <v>11</v>
      </c>
      <c r="G61" s="56">
        <f t="shared" si="9"/>
        <v>4.4715447154471545E-2</v>
      </c>
      <c r="I61" s="2" t="s">
        <v>700</v>
      </c>
      <c r="J61">
        <v>1</v>
      </c>
      <c r="L61" t="s">
        <v>1039</v>
      </c>
      <c r="M61">
        <f>SUM(M63:M71)</f>
        <v>2</v>
      </c>
      <c r="N61" s="56">
        <f t="shared" si="10"/>
        <v>2.6666666666666668E-2</v>
      </c>
      <c r="P61" s="2" t="s">
        <v>874</v>
      </c>
      <c r="Q61">
        <v>1</v>
      </c>
      <c r="S61" t="s">
        <v>1039</v>
      </c>
      <c r="T61">
        <f t="shared" si="13"/>
        <v>0</v>
      </c>
      <c r="U61" s="56">
        <f t="shared" si="11"/>
        <v>0</v>
      </c>
    </row>
    <row r="62" spans="1:21">
      <c r="A62" s="2" t="s">
        <v>926</v>
      </c>
      <c r="B62">
        <v>0</v>
      </c>
      <c r="C62">
        <v>0</v>
      </c>
      <c r="G62" s="3"/>
      <c r="I62" s="2" t="s">
        <v>545</v>
      </c>
      <c r="J62">
        <v>2</v>
      </c>
      <c r="N62" s="3"/>
      <c r="P62" s="2" t="s">
        <v>720</v>
      </c>
      <c r="Q62">
        <v>2</v>
      </c>
      <c r="U62" s="3"/>
    </row>
    <row r="63" spans="1:21">
      <c r="A63" s="2" t="s">
        <v>284</v>
      </c>
      <c r="B63">
        <v>8</v>
      </c>
      <c r="C63">
        <v>1</v>
      </c>
      <c r="E63">
        <v>10</v>
      </c>
      <c r="F63">
        <f t="shared" ref="F63:F71" si="14">COUNTIF($B$48:$B$293, E63)</f>
        <v>1</v>
      </c>
      <c r="G63" s="3"/>
      <c r="I63" s="2" t="s">
        <v>714</v>
      </c>
      <c r="J63">
        <v>0</v>
      </c>
      <c r="L63">
        <v>10</v>
      </c>
      <c r="M63">
        <f>COUNTIF($J$50:$J$124, L63)</f>
        <v>0</v>
      </c>
      <c r="N63" s="3"/>
      <c r="P63" s="2" t="s">
        <v>667</v>
      </c>
      <c r="Q63">
        <v>0</v>
      </c>
      <c r="S63">
        <v>10</v>
      </c>
      <c r="T63">
        <f>COUNTIF($Q$50:$Q$82, S63)</f>
        <v>0</v>
      </c>
      <c r="U63" s="3"/>
    </row>
    <row r="64" spans="1:21">
      <c r="A64" s="2" t="s">
        <v>710</v>
      </c>
      <c r="B64">
        <v>8</v>
      </c>
      <c r="C64">
        <v>1</v>
      </c>
      <c r="E64">
        <v>11</v>
      </c>
      <c r="F64">
        <f t="shared" si="14"/>
        <v>1</v>
      </c>
      <c r="G64" s="3"/>
      <c r="I64" s="2" t="s">
        <v>30</v>
      </c>
      <c r="J64">
        <v>1</v>
      </c>
      <c r="L64">
        <v>11</v>
      </c>
      <c r="M64">
        <f t="shared" ref="M64:M71" si="15">COUNTIF($J$50:$J$124, L64)</f>
        <v>0</v>
      </c>
      <c r="N64" s="3"/>
      <c r="P64" s="2" t="s">
        <v>150</v>
      </c>
      <c r="Q64">
        <v>7</v>
      </c>
      <c r="S64">
        <v>11</v>
      </c>
      <c r="T64">
        <f t="shared" ref="T64:T71" si="16">COUNTIF($Q$50:$Q$82, S64)</f>
        <v>0</v>
      </c>
      <c r="U64" s="3"/>
    </row>
    <row r="65" spans="1:21">
      <c r="A65" s="2" t="s">
        <v>657</v>
      </c>
      <c r="B65">
        <v>0</v>
      </c>
      <c r="C65">
        <v>0</v>
      </c>
      <c r="E65">
        <v>12</v>
      </c>
      <c r="F65">
        <f t="shared" si="14"/>
        <v>1</v>
      </c>
      <c r="G65" s="3"/>
      <c r="I65" s="2" t="s">
        <v>360</v>
      </c>
      <c r="J65">
        <v>0</v>
      </c>
      <c r="L65">
        <v>12</v>
      </c>
      <c r="M65">
        <f t="shared" si="15"/>
        <v>0</v>
      </c>
      <c r="N65" s="3"/>
      <c r="P65" s="2" t="s">
        <v>704</v>
      </c>
      <c r="Q65">
        <v>2</v>
      </c>
      <c r="S65">
        <v>12</v>
      </c>
      <c r="T65">
        <f t="shared" si="16"/>
        <v>0</v>
      </c>
      <c r="U65" s="3"/>
    </row>
    <row r="66" spans="1:21">
      <c r="A66" s="2" t="s">
        <v>491</v>
      </c>
      <c r="B66">
        <v>0</v>
      </c>
      <c r="C66">
        <v>0</v>
      </c>
      <c r="E66">
        <v>13</v>
      </c>
      <c r="F66">
        <f t="shared" si="14"/>
        <v>1</v>
      </c>
      <c r="G66" s="3"/>
      <c r="I66" s="2" t="s">
        <v>385</v>
      </c>
      <c r="J66">
        <v>4</v>
      </c>
      <c r="L66">
        <v>13</v>
      </c>
      <c r="M66">
        <f t="shared" si="15"/>
        <v>1</v>
      </c>
      <c r="N66" s="3"/>
      <c r="P66" s="2" t="s">
        <v>920</v>
      </c>
      <c r="Q66">
        <v>0</v>
      </c>
      <c r="S66">
        <v>13</v>
      </c>
      <c r="T66">
        <f t="shared" si="16"/>
        <v>0</v>
      </c>
      <c r="U66" s="3"/>
    </row>
    <row r="67" spans="1:21">
      <c r="A67" s="2" t="s">
        <v>853</v>
      </c>
      <c r="B67">
        <v>0</v>
      </c>
      <c r="C67">
        <v>0</v>
      </c>
      <c r="E67">
        <v>14</v>
      </c>
      <c r="F67">
        <f t="shared" si="14"/>
        <v>1</v>
      </c>
      <c r="G67" s="3"/>
      <c r="I67" s="2" t="s">
        <v>573</v>
      </c>
      <c r="J67">
        <v>2</v>
      </c>
      <c r="L67">
        <v>14</v>
      </c>
      <c r="M67">
        <f t="shared" si="15"/>
        <v>0</v>
      </c>
      <c r="N67" s="3"/>
      <c r="P67" s="2" t="s">
        <v>626</v>
      </c>
      <c r="Q67">
        <v>2</v>
      </c>
      <c r="S67">
        <v>14</v>
      </c>
      <c r="T67">
        <f t="shared" si="16"/>
        <v>0</v>
      </c>
      <c r="U67" s="3"/>
    </row>
    <row r="68" spans="1:21">
      <c r="A68" s="2" t="s">
        <v>357</v>
      </c>
      <c r="B68">
        <v>0</v>
      </c>
      <c r="C68">
        <v>0</v>
      </c>
      <c r="E68">
        <v>15</v>
      </c>
      <c r="F68">
        <f t="shared" si="14"/>
        <v>3</v>
      </c>
      <c r="G68" s="3"/>
      <c r="I68" s="2" t="s">
        <v>231</v>
      </c>
      <c r="J68">
        <v>1</v>
      </c>
      <c r="L68">
        <v>15</v>
      </c>
      <c r="M68">
        <f t="shared" si="15"/>
        <v>1</v>
      </c>
      <c r="N68" s="3"/>
      <c r="P68" s="2" t="s">
        <v>426</v>
      </c>
      <c r="Q68">
        <v>0</v>
      </c>
      <c r="S68">
        <v>15</v>
      </c>
      <c r="T68">
        <f t="shared" si="16"/>
        <v>0</v>
      </c>
      <c r="U68" s="3"/>
    </row>
    <row r="69" spans="1:21">
      <c r="A69" s="2" t="s">
        <v>613</v>
      </c>
      <c r="B69">
        <v>1</v>
      </c>
      <c r="C69">
        <v>0</v>
      </c>
      <c r="E69">
        <v>17</v>
      </c>
      <c r="F69">
        <f t="shared" si="14"/>
        <v>1</v>
      </c>
      <c r="G69" s="3"/>
      <c r="I69" s="2" t="s">
        <v>979</v>
      </c>
      <c r="J69">
        <v>0</v>
      </c>
      <c r="L69">
        <v>17</v>
      </c>
      <c r="M69">
        <f t="shared" si="15"/>
        <v>0</v>
      </c>
      <c r="N69" s="3"/>
      <c r="P69" s="2" t="s">
        <v>632</v>
      </c>
      <c r="Q69">
        <v>1</v>
      </c>
      <c r="S69">
        <v>17</v>
      </c>
      <c r="T69">
        <f t="shared" si="16"/>
        <v>0</v>
      </c>
      <c r="U69" s="3"/>
    </row>
    <row r="70" spans="1:21">
      <c r="A70" s="2" t="s">
        <v>865</v>
      </c>
      <c r="B70">
        <v>0</v>
      </c>
      <c r="C70">
        <v>0</v>
      </c>
      <c r="E70">
        <v>19</v>
      </c>
      <c r="F70">
        <f t="shared" si="14"/>
        <v>1</v>
      </c>
      <c r="I70" s="2" t="s">
        <v>439</v>
      </c>
      <c r="J70">
        <v>0</v>
      </c>
      <c r="L70">
        <v>19</v>
      </c>
      <c r="M70">
        <f t="shared" si="15"/>
        <v>0</v>
      </c>
      <c r="P70" s="2" t="s">
        <v>810</v>
      </c>
      <c r="Q70">
        <v>0</v>
      </c>
      <c r="S70">
        <v>19</v>
      </c>
      <c r="T70">
        <f t="shared" si="16"/>
        <v>0</v>
      </c>
    </row>
    <row r="71" spans="1:21">
      <c r="A71" s="2" t="s">
        <v>158</v>
      </c>
      <c r="B71">
        <v>4</v>
      </c>
      <c r="C71">
        <v>0</v>
      </c>
      <c r="E71">
        <v>25</v>
      </c>
      <c r="F71">
        <f t="shared" si="14"/>
        <v>1</v>
      </c>
      <c r="I71" s="2" t="s">
        <v>623</v>
      </c>
      <c r="J71">
        <v>0</v>
      </c>
      <c r="L71">
        <v>25</v>
      </c>
      <c r="M71">
        <f t="shared" si="15"/>
        <v>0</v>
      </c>
      <c r="P71" s="2" t="s">
        <v>250</v>
      </c>
      <c r="Q71">
        <v>0</v>
      </c>
      <c r="S71">
        <v>25</v>
      </c>
      <c r="T71">
        <f t="shared" si="16"/>
        <v>0</v>
      </c>
    </row>
    <row r="72" spans="1:21">
      <c r="A72" s="2" t="s">
        <v>289</v>
      </c>
      <c r="B72">
        <v>0</v>
      </c>
      <c r="C72">
        <v>0</v>
      </c>
      <c r="I72" s="2" t="s">
        <v>366</v>
      </c>
      <c r="J72">
        <v>0</v>
      </c>
      <c r="P72" s="2" t="s">
        <v>410</v>
      </c>
      <c r="Q72">
        <v>1</v>
      </c>
    </row>
    <row r="73" spans="1:21">
      <c r="A73" s="2" t="s">
        <v>542</v>
      </c>
      <c r="B73">
        <v>0</v>
      </c>
      <c r="C73">
        <v>0</v>
      </c>
      <c r="E73" t="s">
        <v>1132</v>
      </c>
      <c r="F73" t="s">
        <v>1133</v>
      </c>
      <c r="G73" s="56"/>
      <c r="I73" s="2" t="s">
        <v>583</v>
      </c>
      <c r="J73">
        <v>1</v>
      </c>
      <c r="P73" s="2" t="s">
        <v>257</v>
      </c>
      <c r="Q73">
        <v>3</v>
      </c>
    </row>
    <row r="74" spans="1:21">
      <c r="A74" s="2" t="s">
        <v>436</v>
      </c>
      <c r="B74">
        <v>3</v>
      </c>
      <c r="C74">
        <v>1</v>
      </c>
      <c r="E74">
        <f>SUM(F79:F80)</f>
        <v>24</v>
      </c>
      <c r="F74">
        <f>F78</f>
        <v>222</v>
      </c>
      <c r="G74" s="56"/>
      <c r="I74" s="2" t="s">
        <v>763</v>
      </c>
      <c r="J74">
        <v>4</v>
      </c>
      <c r="P74" s="2" t="s">
        <v>593</v>
      </c>
      <c r="Q74">
        <v>9</v>
      </c>
    </row>
    <row r="75" spans="1:21">
      <c r="A75" s="2" t="s">
        <v>936</v>
      </c>
      <c r="B75">
        <v>0</v>
      </c>
      <c r="C75">
        <v>0</v>
      </c>
      <c r="E75" s="56">
        <f>E74/SUM(E74:F74)</f>
        <v>9.7560975609756101E-2</v>
      </c>
      <c r="F75" s="56">
        <f>F74/SUM(E74:F74)</f>
        <v>0.90243902439024393</v>
      </c>
      <c r="G75" s="56"/>
      <c r="I75" s="2" t="s">
        <v>399</v>
      </c>
      <c r="J75">
        <v>0</v>
      </c>
      <c r="P75" s="2" t="s">
        <v>135</v>
      </c>
      <c r="Q75">
        <v>2</v>
      </c>
    </row>
    <row r="76" spans="1:21">
      <c r="A76" s="2" t="s">
        <v>858</v>
      </c>
      <c r="B76">
        <v>0</v>
      </c>
      <c r="C76">
        <v>0</v>
      </c>
      <c r="G76" s="56"/>
      <c r="I76" s="2" t="s">
        <v>402</v>
      </c>
      <c r="J76">
        <v>2</v>
      </c>
      <c r="P76" s="2" t="s">
        <v>903</v>
      </c>
      <c r="Q76">
        <v>0</v>
      </c>
    </row>
    <row r="77" spans="1:21">
      <c r="A77" s="2" t="s">
        <v>700</v>
      </c>
      <c r="B77">
        <v>1</v>
      </c>
      <c r="C77">
        <v>0</v>
      </c>
      <c r="E77" t="s">
        <v>1134</v>
      </c>
      <c r="F77" t="s">
        <v>1135</v>
      </c>
      <c r="G77" s="56" t="s">
        <v>1136</v>
      </c>
      <c r="I77" s="2" t="s">
        <v>898</v>
      </c>
      <c r="J77">
        <v>1</v>
      </c>
      <c r="P77" s="2" t="s">
        <v>507</v>
      </c>
      <c r="Q77">
        <v>2</v>
      </c>
    </row>
    <row r="78" spans="1:21">
      <c r="A78" s="2" t="s">
        <v>545</v>
      </c>
      <c r="B78">
        <v>2</v>
      </c>
      <c r="C78">
        <v>1</v>
      </c>
      <c r="E78">
        <v>0</v>
      </c>
      <c r="F78">
        <f>COUNTIF($C$48:$C$293, E78)</f>
        <v>222</v>
      </c>
      <c r="G78" s="56">
        <f>F78/SUM($F$78:$F$80)</f>
        <v>0.90243902439024393</v>
      </c>
      <c r="I78" s="2" t="s">
        <v>626</v>
      </c>
      <c r="J78">
        <v>2</v>
      </c>
      <c r="P78" s="2" t="s">
        <v>192</v>
      </c>
      <c r="Q78">
        <v>1</v>
      </c>
    </row>
    <row r="79" spans="1:21">
      <c r="A79" s="2" t="s">
        <v>243</v>
      </c>
      <c r="B79">
        <v>1</v>
      </c>
      <c r="C79">
        <v>0</v>
      </c>
      <c r="E79">
        <v>1</v>
      </c>
      <c r="F79">
        <f t="shared" ref="F79:F80" si="17">COUNTIF($C$48:$C$293, E79)</f>
        <v>22</v>
      </c>
      <c r="G79" s="56">
        <f t="shared" ref="G79:G80" si="18">F79/SUM($F$78:$F$80)</f>
        <v>8.943089430894309E-2</v>
      </c>
      <c r="I79" s="2" t="s">
        <v>588</v>
      </c>
      <c r="J79">
        <v>1</v>
      </c>
      <c r="P79" s="2" t="s">
        <v>1011</v>
      </c>
      <c r="Q79">
        <v>0</v>
      </c>
    </row>
    <row r="80" spans="1:21">
      <c r="A80" s="2" t="s">
        <v>714</v>
      </c>
      <c r="B80">
        <v>0</v>
      </c>
      <c r="C80">
        <v>0</v>
      </c>
      <c r="E80">
        <v>2</v>
      </c>
      <c r="F80">
        <f t="shared" si="17"/>
        <v>2</v>
      </c>
      <c r="G80" s="56">
        <f t="shared" si="18"/>
        <v>8.130081300813009E-3</v>
      </c>
      <c r="I80" s="2" t="s">
        <v>42</v>
      </c>
      <c r="J80">
        <v>6</v>
      </c>
      <c r="P80" s="2" t="s">
        <v>142</v>
      </c>
      <c r="Q80">
        <v>1</v>
      </c>
    </row>
    <row r="81" spans="1:17">
      <c r="A81" s="2" t="s">
        <v>30</v>
      </c>
      <c r="B81">
        <v>1</v>
      </c>
      <c r="C81">
        <v>0</v>
      </c>
      <c r="I81" s="2" t="s">
        <v>303</v>
      </c>
      <c r="J81">
        <v>1</v>
      </c>
      <c r="P81" s="2" t="s">
        <v>1014</v>
      </c>
      <c r="Q81">
        <v>1</v>
      </c>
    </row>
    <row r="82" spans="1:17">
      <c r="A82" s="2" t="s">
        <v>389</v>
      </c>
      <c r="B82">
        <v>2</v>
      </c>
      <c r="C82">
        <v>0</v>
      </c>
      <c r="I82" s="2" t="s">
        <v>169</v>
      </c>
      <c r="J82">
        <v>2</v>
      </c>
      <c r="P82" s="2" t="s">
        <v>470</v>
      </c>
      <c r="Q82">
        <v>0</v>
      </c>
    </row>
    <row r="83" spans="1:17">
      <c r="A83" s="2" t="s">
        <v>360</v>
      </c>
      <c r="B83">
        <v>0</v>
      </c>
      <c r="C83">
        <v>0</v>
      </c>
      <c r="I83" s="2" t="s">
        <v>172</v>
      </c>
      <c r="J83">
        <v>7</v>
      </c>
      <c r="P83" s="2" t="s">
        <v>1022</v>
      </c>
      <c r="Q83">
        <v>46</v>
      </c>
    </row>
    <row r="84" spans="1:17">
      <c r="A84" s="2" t="s">
        <v>476</v>
      </c>
      <c r="B84">
        <v>17</v>
      </c>
      <c r="C84">
        <v>0</v>
      </c>
      <c r="I84" s="2" t="s">
        <v>250</v>
      </c>
      <c r="J84">
        <v>0</v>
      </c>
    </row>
    <row r="85" spans="1:17">
      <c r="A85" s="2" t="s">
        <v>385</v>
      </c>
      <c r="B85">
        <v>4</v>
      </c>
      <c r="C85">
        <v>0</v>
      </c>
      <c r="I85" s="2" t="s">
        <v>944</v>
      </c>
      <c r="J85">
        <v>1</v>
      </c>
    </row>
    <row r="86" spans="1:17">
      <c r="A86" s="2" t="s">
        <v>573</v>
      </c>
      <c r="B86">
        <v>2</v>
      </c>
      <c r="C86">
        <v>0</v>
      </c>
      <c r="I86" s="2" t="s">
        <v>410</v>
      </c>
      <c r="J86">
        <v>1</v>
      </c>
    </row>
    <row r="87" spans="1:17">
      <c r="A87" s="2" t="s">
        <v>661</v>
      </c>
      <c r="B87">
        <v>1</v>
      </c>
      <c r="C87">
        <v>0</v>
      </c>
      <c r="I87" s="2" t="s">
        <v>448</v>
      </c>
      <c r="J87">
        <v>0</v>
      </c>
    </row>
    <row r="88" spans="1:17">
      <c r="A88" s="2" t="s">
        <v>231</v>
      </c>
      <c r="B88">
        <v>1</v>
      </c>
      <c r="C88">
        <v>0</v>
      </c>
      <c r="I88" s="2" t="s">
        <v>257</v>
      </c>
      <c r="J88">
        <v>3</v>
      </c>
    </row>
    <row r="89" spans="1:17">
      <c r="A89" s="2" t="s">
        <v>979</v>
      </c>
      <c r="B89">
        <v>0</v>
      </c>
      <c r="C89">
        <v>0</v>
      </c>
      <c r="I89" s="2" t="s">
        <v>983</v>
      </c>
      <c r="J89">
        <v>0</v>
      </c>
    </row>
    <row r="90" spans="1:17">
      <c r="A90" s="2" t="s">
        <v>617</v>
      </c>
      <c r="B90">
        <v>2</v>
      </c>
      <c r="C90">
        <v>0</v>
      </c>
      <c r="I90" s="2" t="s">
        <v>947</v>
      </c>
      <c r="J90">
        <v>0</v>
      </c>
    </row>
    <row r="91" spans="1:17">
      <c r="A91" s="2" t="s">
        <v>294</v>
      </c>
      <c r="B91">
        <v>0</v>
      </c>
      <c r="C91">
        <v>0</v>
      </c>
      <c r="I91" s="2" t="s">
        <v>501</v>
      </c>
      <c r="J91">
        <v>0</v>
      </c>
    </row>
    <row r="92" spans="1:17">
      <c r="A92" s="2" t="s">
        <v>439</v>
      </c>
      <c r="B92">
        <v>0</v>
      </c>
      <c r="C92">
        <v>0</v>
      </c>
      <c r="I92" s="2" t="s">
        <v>311</v>
      </c>
      <c r="J92">
        <v>2</v>
      </c>
    </row>
    <row r="93" spans="1:17">
      <c r="A93" s="2" t="s">
        <v>795</v>
      </c>
      <c r="B93">
        <v>0</v>
      </c>
      <c r="C93">
        <v>0</v>
      </c>
      <c r="I93" s="2" t="s">
        <v>314</v>
      </c>
      <c r="J93">
        <v>1</v>
      </c>
    </row>
    <row r="94" spans="1:17">
      <c r="A94" s="2" t="s">
        <v>620</v>
      </c>
      <c r="B94">
        <v>0</v>
      </c>
      <c r="C94">
        <v>0</v>
      </c>
      <c r="I94" s="2" t="s">
        <v>264</v>
      </c>
      <c r="J94">
        <v>0</v>
      </c>
    </row>
    <row r="95" spans="1:17">
      <c r="A95" s="2" t="s">
        <v>129</v>
      </c>
      <c r="B95">
        <v>2</v>
      </c>
      <c r="C95">
        <v>0</v>
      </c>
      <c r="I95" s="2" t="s">
        <v>115</v>
      </c>
      <c r="J95">
        <v>13</v>
      </c>
    </row>
    <row r="96" spans="1:17">
      <c r="A96" s="2" t="s">
        <v>162</v>
      </c>
      <c r="B96">
        <v>4</v>
      </c>
      <c r="C96">
        <v>0</v>
      </c>
      <c r="I96" s="2" t="s">
        <v>504</v>
      </c>
      <c r="J96">
        <v>4</v>
      </c>
    </row>
    <row r="97" spans="1:10">
      <c r="A97" s="2" t="s">
        <v>577</v>
      </c>
      <c r="B97">
        <v>0</v>
      </c>
      <c r="C97">
        <v>0</v>
      </c>
      <c r="I97" s="2" t="s">
        <v>50</v>
      </c>
      <c r="J97">
        <v>1</v>
      </c>
    </row>
    <row r="98" spans="1:10">
      <c r="A98" s="2" t="s">
        <v>247</v>
      </c>
      <c r="B98">
        <v>1</v>
      </c>
      <c r="C98">
        <v>0</v>
      </c>
      <c r="I98" s="2" t="s">
        <v>320</v>
      </c>
      <c r="J98">
        <v>1</v>
      </c>
    </row>
    <row r="99" spans="1:10">
      <c r="A99" s="2" t="s">
        <v>393</v>
      </c>
      <c r="B99">
        <v>1</v>
      </c>
      <c r="C99">
        <v>0</v>
      </c>
      <c r="I99" s="2" t="s">
        <v>824</v>
      </c>
      <c r="J99">
        <v>3</v>
      </c>
    </row>
    <row r="100" spans="1:10">
      <c r="A100" s="2" t="s">
        <v>363</v>
      </c>
      <c r="B100">
        <v>9</v>
      </c>
      <c r="C100">
        <v>2</v>
      </c>
      <c r="I100" s="2" t="s">
        <v>119</v>
      </c>
      <c r="J100">
        <v>1</v>
      </c>
    </row>
    <row r="101" spans="1:10">
      <c r="A101" s="2" t="s">
        <v>1005</v>
      </c>
      <c r="B101">
        <v>0</v>
      </c>
      <c r="C101">
        <v>0</v>
      </c>
      <c r="I101" s="2" t="s">
        <v>376</v>
      </c>
      <c r="J101">
        <v>1</v>
      </c>
    </row>
    <row r="102" spans="1:10">
      <c r="A102" s="2" t="s">
        <v>717</v>
      </c>
      <c r="B102">
        <v>0</v>
      </c>
      <c r="C102">
        <v>0</v>
      </c>
      <c r="I102" s="2" t="s">
        <v>323</v>
      </c>
      <c r="J102">
        <v>2</v>
      </c>
    </row>
    <row r="103" spans="1:10">
      <c r="A103" s="2" t="s">
        <v>931</v>
      </c>
      <c r="B103">
        <v>0</v>
      </c>
      <c r="C103">
        <v>0</v>
      </c>
      <c r="I103" s="2" t="s">
        <v>183</v>
      </c>
      <c r="J103">
        <v>1</v>
      </c>
    </row>
    <row r="104" spans="1:10">
      <c r="A104" s="2" t="s">
        <v>603</v>
      </c>
      <c r="B104">
        <v>5</v>
      </c>
      <c r="C104">
        <v>0</v>
      </c>
      <c r="I104" s="2" t="s">
        <v>186</v>
      </c>
      <c r="J104">
        <v>4</v>
      </c>
    </row>
    <row r="105" spans="1:10">
      <c r="A105" s="2" t="s">
        <v>913</v>
      </c>
      <c r="B105">
        <v>0</v>
      </c>
      <c r="C105">
        <v>0</v>
      </c>
      <c r="I105" s="2" t="s">
        <v>135</v>
      </c>
      <c r="J105">
        <v>2</v>
      </c>
    </row>
    <row r="106" spans="1:10">
      <c r="A106" s="2" t="s">
        <v>92</v>
      </c>
      <c r="B106">
        <v>1</v>
      </c>
      <c r="C106">
        <v>0</v>
      </c>
      <c r="I106" s="2" t="s">
        <v>379</v>
      </c>
      <c r="J106">
        <v>4</v>
      </c>
    </row>
    <row r="107" spans="1:10">
      <c r="A107" s="2" t="s">
        <v>220</v>
      </c>
      <c r="B107">
        <v>2</v>
      </c>
      <c r="C107">
        <v>0</v>
      </c>
      <c r="I107" s="2" t="s">
        <v>61</v>
      </c>
      <c r="J107">
        <v>4</v>
      </c>
    </row>
    <row r="108" spans="1:10">
      <c r="A108" s="2" t="s">
        <v>874</v>
      </c>
      <c r="B108">
        <v>1</v>
      </c>
      <c r="C108">
        <v>0</v>
      </c>
      <c r="I108" s="2" t="s">
        <v>421</v>
      </c>
      <c r="J108">
        <v>2</v>
      </c>
    </row>
    <row r="109" spans="1:10">
      <c r="A109" s="2" t="s">
        <v>664</v>
      </c>
      <c r="B109">
        <v>2</v>
      </c>
      <c r="C109">
        <v>0</v>
      </c>
      <c r="I109" s="2" t="s">
        <v>480</v>
      </c>
      <c r="J109">
        <v>1</v>
      </c>
    </row>
    <row r="110" spans="1:10">
      <c r="A110" s="2" t="s">
        <v>720</v>
      </c>
      <c r="B110">
        <v>2</v>
      </c>
      <c r="C110">
        <v>0</v>
      </c>
      <c r="I110" s="2" t="s">
        <v>462</v>
      </c>
      <c r="J110">
        <v>0</v>
      </c>
    </row>
    <row r="111" spans="1:10">
      <c r="A111" s="2" t="s">
        <v>758</v>
      </c>
      <c r="B111">
        <v>0</v>
      </c>
      <c r="C111">
        <v>0</v>
      </c>
      <c r="I111" s="2" t="s">
        <v>154</v>
      </c>
      <c r="J111">
        <v>15</v>
      </c>
    </row>
    <row r="112" spans="1:10">
      <c r="A112" s="2" t="s">
        <v>667</v>
      </c>
      <c r="B112">
        <v>0</v>
      </c>
      <c r="C112">
        <v>0</v>
      </c>
      <c r="I112" s="2" t="s">
        <v>483</v>
      </c>
      <c r="J112">
        <v>2</v>
      </c>
    </row>
    <row r="113" spans="1:10">
      <c r="A113" s="2" t="s">
        <v>580</v>
      </c>
      <c r="B113">
        <v>1</v>
      </c>
      <c r="C113">
        <v>0</v>
      </c>
      <c r="I113" s="2" t="s">
        <v>734</v>
      </c>
      <c r="J113">
        <v>1</v>
      </c>
    </row>
    <row r="114" spans="1:10">
      <c r="A114" s="2" t="s">
        <v>278</v>
      </c>
      <c r="B114">
        <v>1</v>
      </c>
      <c r="C114">
        <v>0</v>
      </c>
      <c r="I114" s="2" t="s">
        <v>467</v>
      </c>
      <c r="J114">
        <v>0</v>
      </c>
    </row>
    <row r="115" spans="1:10">
      <c r="A115" s="2" t="s">
        <v>670</v>
      </c>
      <c r="B115">
        <v>1</v>
      </c>
      <c r="C115">
        <v>0</v>
      </c>
      <c r="I115" s="2" t="s">
        <v>74</v>
      </c>
      <c r="J115">
        <v>0</v>
      </c>
    </row>
    <row r="116" spans="1:10">
      <c r="A116" s="2" t="s">
        <v>623</v>
      </c>
      <c r="B116">
        <v>0</v>
      </c>
      <c r="C116">
        <v>0</v>
      </c>
      <c r="I116" s="2" t="s">
        <v>831</v>
      </c>
      <c r="J116">
        <v>3</v>
      </c>
    </row>
    <row r="117" spans="1:10">
      <c r="A117" s="2" t="s">
        <v>77</v>
      </c>
      <c r="B117">
        <v>0</v>
      </c>
      <c r="C117">
        <v>0</v>
      </c>
      <c r="I117" s="2" t="s">
        <v>649</v>
      </c>
      <c r="J117">
        <v>1</v>
      </c>
    </row>
    <row r="118" spans="1:10">
      <c r="A118" s="2" t="s">
        <v>36</v>
      </c>
      <c r="B118">
        <v>3</v>
      </c>
      <c r="C118">
        <v>0</v>
      </c>
      <c r="I118" s="2" t="s">
        <v>523</v>
      </c>
      <c r="J118">
        <v>0</v>
      </c>
    </row>
    <row r="119" spans="1:10">
      <c r="A119" s="2" t="s">
        <v>366</v>
      </c>
      <c r="B119">
        <v>0</v>
      </c>
      <c r="C119">
        <v>0</v>
      </c>
      <c r="I119" s="2" t="s">
        <v>138</v>
      </c>
      <c r="J119">
        <v>6</v>
      </c>
    </row>
    <row r="120" spans="1:10">
      <c r="A120" s="2" t="s">
        <v>820</v>
      </c>
      <c r="B120">
        <v>0</v>
      </c>
      <c r="C120">
        <v>0</v>
      </c>
      <c r="I120" s="2" t="s">
        <v>526</v>
      </c>
      <c r="J120">
        <v>4</v>
      </c>
    </row>
    <row r="121" spans="1:10">
      <c r="A121" s="2" t="s">
        <v>583</v>
      </c>
      <c r="B121">
        <v>1</v>
      </c>
      <c r="C121">
        <v>0</v>
      </c>
      <c r="I121" s="2" t="s">
        <v>224</v>
      </c>
      <c r="J121">
        <v>4</v>
      </c>
    </row>
    <row r="122" spans="1:10">
      <c r="A122" s="2" t="s">
        <v>396</v>
      </c>
      <c r="B122">
        <v>5</v>
      </c>
      <c r="C122">
        <v>0</v>
      </c>
      <c r="I122" s="2" t="s">
        <v>687</v>
      </c>
      <c r="J122">
        <v>0</v>
      </c>
    </row>
    <row r="123" spans="1:10">
      <c r="A123" s="2" t="s">
        <v>723</v>
      </c>
      <c r="B123">
        <v>3</v>
      </c>
      <c r="C123">
        <v>0</v>
      </c>
      <c r="I123" s="2" t="s">
        <v>470</v>
      </c>
      <c r="J123">
        <v>0</v>
      </c>
    </row>
    <row r="124" spans="1:10">
      <c r="A124" s="2" t="s">
        <v>798</v>
      </c>
      <c r="B124">
        <v>3</v>
      </c>
      <c r="C124">
        <v>0</v>
      </c>
      <c r="I124" s="2" t="s">
        <v>228</v>
      </c>
      <c r="J124">
        <v>4</v>
      </c>
    </row>
    <row r="125" spans="1:10">
      <c r="A125" s="2" t="s">
        <v>105</v>
      </c>
      <c r="B125">
        <v>0</v>
      </c>
      <c r="C125">
        <v>0</v>
      </c>
      <c r="I125" s="2" t="s">
        <v>1022</v>
      </c>
      <c r="J125">
        <v>141</v>
      </c>
    </row>
    <row r="126" spans="1:10">
      <c r="A126" s="2" t="s">
        <v>763</v>
      </c>
      <c r="B126">
        <v>4</v>
      </c>
      <c r="C126">
        <v>0</v>
      </c>
    </row>
    <row r="127" spans="1:10">
      <c r="A127" s="2" t="s">
        <v>399</v>
      </c>
      <c r="B127">
        <v>0</v>
      </c>
      <c r="C127">
        <v>0</v>
      </c>
    </row>
    <row r="128" spans="1:10">
      <c r="A128" s="2" t="s">
        <v>917</v>
      </c>
      <c r="B128">
        <v>1</v>
      </c>
      <c r="C128">
        <v>0</v>
      </c>
    </row>
    <row r="129" spans="1:3">
      <c r="A129" s="2" t="s">
        <v>369</v>
      </c>
      <c r="B129">
        <v>1</v>
      </c>
      <c r="C129">
        <v>0</v>
      </c>
    </row>
    <row r="130" spans="1:3">
      <c r="A130" s="2" t="s">
        <v>150</v>
      </c>
      <c r="B130">
        <v>7</v>
      </c>
      <c r="C130">
        <v>0</v>
      </c>
    </row>
    <row r="131" spans="1:3">
      <c r="A131" s="2" t="s">
        <v>297</v>
      </c>
      <c r="B131">
        <v>1</v>
      </c>
      <c r="C131">
        <v>1</v>
      </c>
    </row>
    <row r="132" spans="1:3">
      <c r="A132" s="2" t="s">
        <v>704</v>
      </c>
      <c r="B132">
        <v>2</v>
      </c>
      <c r="C132">
        <v>0</v>
      </c>
    </row>
    <row r="133" spans="1:3">
      <c r="A133" s="2" t="s">
        <v>673</v>
      </c>
      <c r="B133">
        <v>4</v>
      </c>
      <c r="C133">
        <v>0</v>
      </c>
    </row>
    <row r="134" spans="1:3">
      <c r="A134" s="2" t="s">
        <v>920</v>
      </c>
      <c r="B134">
        <v>0</v>
      </c>
      <c r="C134">
        <v>0</v>
      </c>
    </row>
    <row r="135" spans="1:3">
      <c r="A135" s="2" t="s">
        <v>300</v>
      </c>
      <c r="B135">
        <v>2</v>
      </c>
      <c r="C135">
        <v>0</v>
      </c>
    </row>
    <row r="136" spans="1:3">
      <c r="A136" s="2" t="s">
        <v>402</v>
      </c>
      <c r="B136">
        <v>2</v>
      </c>
      <c r="C136">
        <v>0</v>
      </c>
    </row>
    <row r="137" spans="1:3">
      <c r="A137" s="2" t="s">
        <v>898</v>
      </c>
      <c r="B137">
        <v>1</v>
      </c>
      <c r="C137">
        <v>0</v>
      </c>
    </row>
    <row r="138" spans="1:3">
      <c r="A138" s="2" t="s">
        <v>337</v>
      </c>
      <c r="B138">
        <v>5</v>
      </c>
      <c r="C138">
        <v>0</v>
      </c>
    </row>
    <row r="139" spans="1:3">
      <c r="A139" s="2" t="s">
        <v>626</v>
      </c>
      <c r="B139">
        <v>2</v>
      </c>
      <c r="C139">
        <v>0</v>
      </c>
    </row>
    <row r="140" spans="1:3">
      <c r="A140" s="2" t="s">
        <v>442</v>
      </c>
      <c r="B140">
        <v>11</v>
      </c>
      <c r="C140">
        <v>0</v>
      </c>
    </row>
    <row r="141" spans="1:3">
      <c r="A141" s="2" t="s">
        <v>405</v>
      </c>
      <c r="B141">
        <v>0</v>
      </c>
      <c r="C141">
        <v>0</v>
      </c>
    </row>
    <row r="142" spans="1:3">
      <c r="A142" s="2" t="s">
        <v>588</v>
      </c>
      <c r="B142">
        <v>1</v>
      </c>
      <c r="C142">
        <v>0</v>
      </c>
    </row>
    <row r="143" spans="1:3">
      <c r="A143" s="2" t="s">
        <v>42</v>
      </c>
      <c r="B143">
        <v>6</v>
      </c>
      <c r="C143">
        <v>0</v>
      </c>
    </row>
    <row r="144" spans="1:3">
      <c r="A144" s="2" t="s">
        <v>303</v>
      </c>
      <c r="B144">
        <v>1</v>
      </c>
      <c r="C144">
        <v>0</v>
      </c>
    </row>
    <row r="145" spans="1:3">
      <c r="A145" s="2" t="s">
        <v>132</v>
      </c>
      <c r="B145">
        <v>0</v>
      </c>
      <c r="C145">
        <v>0</v>
      </c>
    </row>
    <row r="146" spans="1:3">
      <c r="A146" s="2" t="s">
        <v>166</v>
      </c>
      <c r="B146">
        <v>4</v>
      </c>
      <c r="C146">
        <v>0</v>
      </c>
    </row>
    <row r="147" spans="1:3">
      <c r="A147" s="2" t="s">
        <v>426</v>
      </c>
      <c r="B147">
        <v>0</v>
      </c>
      <c r="C147">
        <v>0</v>
      </c>
    </row>
    <row r="148" spans="1:3">
      <c r="A148" s="2" t="s">
        <v>1008</v>
      </c>
      <c r="B148">
        <v>1</v>
      </c>
      <c r="C148">
        <v>0</v>
      </c>
    </row>
    <row r="149" spans="1:3">
      <c r="A149" s="2" t="s">
        <v>629</v>
      </c>
      <c r="B149">
        <v>0</v>
      </c>
      <c r="C149">
        <v>0</v>
      </c>
    </row>
    <row r="150" spans="1:3">
      <c r="A150" s="2" t="s">
        <v>307</v>
      </c>
      <c r="B150">
        <v>1</v>
      </c>
      <c r="C150">
        <v>0</v>
      </c>
    </row>
    <row r="151" spans="1:3">
      <c r="A151" s="2" t="s">
        <v>169</v>
      </c>
      <c r="B151">
        <v>2</v>
      </c>
      <c r="C151">
        <v>0</v>
      </c>
    </row>
    <row r="152" spans="1:3">
      <c r="A152" s="2" t="s">
        <v>172</v>
      </c>
      <c r="B152">
        <v>7</v>
      </c>
      <c r="C152">
        <v>1</v>
      </c>
    </row>
    <row r="153" spans="1:3">
      <c r="A153" s="2" t="s">
        <v>632</v>
      </c>
      <c r="B153">
        <v>1</v>
      </c>
      <c r="C153">
        <v>0</v>
      </c>
    </row>
    <row r="154" spans="1:3">
      <c r="A154" s="2" t="s">
        <v>810</v>
      </c>
      <c r="B154">
        <v>0</v>
      </c>
      <c r="C154">
        <v>0</v>
      </c>
    </row>
    <row r="155" spans="1:3">
      <c r="A155" s="2" t="s">
        <v>46</v>
      </c>
      <c r="B155">
        <v>9</v>
      </c>
      <c r="C155">
        <v>1</v>
      </c>
    </row>
    <row r="156" spans="1:3">
      <c r="A156" s="2" t="s">
        <v>726</v>
      </c>
      <c r="B156">
        <v>0</v>
      </c>
      <c r="C156">
        <v>0</v>
      </c>
    </row>
    <row r="157" spans="1:3">
      <c r="A157" s="2" t="s">
        <v>445</v>
      </c>
      <c r="B157">
        <v>15</v>
      </c>
      <c r="C157">
        <v>0</v>
      </c>
    </row>
    <row r="158" spans="1:3">
      <c r="A158" s="2" t="s">
        <v>676</v>
      </c>
      <c r="B158">
        <v>1</v>
      </c>
      <c r="C158">
        <v>0</v>
      </c>
    </row>
    <row r="159" spans="1:3">
      <c r="A159" s="2" t="s">
        <v>637</v>
      </c>
      <c r="B159">
        <v>4</v>
      </c>
      <c r="C159">
        <v>1</v>
      </c>
    </row>
    <row r="160" spans="1:3">
      <c r="A160" s="2" t="s">
        <v>250</v>
      </c>
      <c r="B160">
        <v>0</v>
      </c>
      <c r="C160">
        <v>0</v>
      </c>
    </row>
    <row r="161" spans="1:3">
      <c r="A161" s="2" t="s">
        <v>944</v>
      </c>
      <c r="B161">
        <v>1</v>
      </c>
      <c r="C161">
        <v>1</v>
      </c>
    </row>
    <row r="162" spans="1:3">
      <c r="A162" s="2" t="s">
        <v>410</v>
      </c>
      <c r="B162">
        <v>1</v>
      </c>
      <c r="C162">
        <v>0</v>
      </c>
    </row>
    <row r="163" spans="1:3">
      <c r="A163" s="2" t="s">
        <v>498</v>
      </c>
      <c r="B163">
        <v>3</v>
      </c>
      <c r="C163">
        <v>0</v>
      </c>
    </row>
    <row r="164" spans="1:3">
      <c r="A164" s="2" t="s">
        <v>868</v>
      </c>
      <c r="B164">
        <v>0</v>
      </c>
      <c r="C164">
        <v>0</v>
      </c>
    </row>
    <row r="165" spans="1:3">
      <c r="A165" s="2" t="s">
        <v>254</v>
      </c>
      <c r="B165">
        <v>0</v>
      </c>
      <c r="C165">
        <v>0</v>
      </c>
    </row>
    <row r="166" spans="1:3">
      <c r="A166" s="2" t="s">
        <v>893</v>
      </c>
      <c r="B166">
        <v>3</v>
      </c>
      <c r="C166">
        <v>1</v>
      </c>
    </row>
    <row r="167" spans="1:3">
      <c r="A167" s="2" t="s">
        <v>448</v>
      </c>
      <c r="B167">
        <v>0</v>
      </c>
      <c r="C167">
        <v>0</v>
      </c>
    </row>
    <row r="168" spans="1:3">
      <c r="A168" s="2" t="s">
        <v>990</v>
      </c>
      <c r="B168">
        <v>1</v>
      </c>
      <c r="C168">
        <v>0</v>
      </c>
    </row>
    <row r="169" spans="1:3">
      <c r="A169" s="2" t="s">
        <v>257</v>
      </c>
      <c r="B169">
        <v>3</v>
      </c>
      <c r="C169">
        <v>0</v>
      </c>
    </row>
    <row r="170" spans="1:3">
      <c r="A170" s="2" t="s">
        <v>451</v>
      </c>
      <c r="B170">
        <v>4</v>
      </c>
      <c r="C170">
        <v>0</v>
      </c>
    </row>
    <row r="171" spans="1:3">
      <c r="A171" s="2" t="s">
        <v>983</v>
      </c>
      <c r="B171">
        <v>0</v>
      </c>
      <c r="C171">
        <v>0</v>
      </c>
    </row>
    <row r="172" spans="1:3">
      <c r="A172" s="2" t="s">
        <v>175</v>
      </c>
      <c r="B172">
        <v>14</v>
      </c>
      <c r="C172">
        <v>0</v>
      </c>
    </row>
    <row r="173" spans="1:3">
      <c r="A173" s="2" t="s">
        <v>179</v>
      </c>
      <c r="B173">
        <v>1</v>
      </c>
      <c r="C173">
        <v>0</v>
      </c>
    </row>
    <row r="174" spans="1:3">
      <c r="A174" s="2" t="s">
        <v>679</v>
      </c>
      <c r="B174">
        <v>3</v>
      </c>
      <c r="C174">
        <v>0</v>
      </c>
    </row>
    <row r="175" spans="1:3">
      <c r="A175" s="2" t="s">
        <v>947</v>
      </c>
      <c r="B175">
        <v>0</v>
      </c>
      <c r="C175">
        <v>0</v>
      </c>
    </row>
    <row r="176" spans="1:3">
      <c r="A176" s="2" t="s">
        <v>729</v>
      </c>
      <c r="B176">
        <v>0</v>
      </c>
      <c r="C176">
        <v>0</v>
      </c>
    </row>
    <row r="177" spans="1:3">
      <c r="A177" s="2" t="s">
        <v>84</v>
      </c>
      <c r="B177">
        <v>1</v>
      </c>
      <c r="C177">
        <v>0</v>
      </c>
    </row>
    <row r="178" spans="1:3">
      <c r="A178" s="2" t="s">
        <v>640</v>
      </c>
      <c r="B178">
        <v>1</v>
      </c>
      <c r="C178">
        <v>0</v>
      </c>
    </row>
    <row r="179" spans="1:3">
      <c r="A179" s="2" t="s">
        <v>415</v>
      </c>
      <c r="B179">
        <v>2</v>
      </c>
      <c r="C179">
        <v>0</v>
      </c>
    </row>
    <row r="180" spans="1:3">
      <c r="A180" s="2" t="s">
        <v>501</v>
      </c>
      <c r="B180">
        <v>0</v>
      </c>
      <c r="C180">
        <v>0</v>
      </c>
    </row>
    <row r="181" spans="1:3">
      <c r="A181" s="2" t="s">
        <v>110</v>
      </c>
      <c r="B181">
        <v>7</v>
      </c>
      <c r="C181">
        <v>0</v>
      </c>
    </row>
    <row r="182" spans="1:3">
      <c r="A182" s="2" t="s">
        <v>311</v>
      </c>
      <c r="B182">
        <v>2</v>
      </c>
      <c r="C182">
        <v>0</v>
      </c>
    </row>
    <row r="183" spans="1:3">
      <c r="A183" s="2" t="s">
        <v>770</v>
      </c>
      <c r="B183">
        <v>1</v>
      </c>
      <c r="C183">
        <v>0</v>
      </c>
    </row>
    <row r="184" spans="1:3">
      <c r="A184" s="2" t="s">
        <v>261</v>
      </c>
      <c r="B184">
        <v>0</v>
      </c>
      <c r="C184">
        <v>0</v>
      </c>
    </row>
    <row r="185" spans="1:3">
      <c r="A185" s="2" t="s">
        <v>532</v>
      </c>
      <c r="B185">
        <v>4</v>
      </c>
      <c r="C185">
        <v>0</v>
      </c>
    </row>
    <row r="186" spans="1:3">
      <c r="A186" s="2" t="s">
        <v>314</v>
      </c>
      <c r="B186">
        <v>1</v>
      </c>
      <c r="C186">
        <v>0</v>
      </c>
    </row>
    <row r="187" spans="1:3">
      <c r="A187" s="2" t="s">
        <v>264</v>
      </c>
      <c r="B187">
        <v>0</v>
      </c>
      <c r="C187">
        <v>0</v>
      </c>
    </row>
    <row r="188" spans="1:3">
      <c r="A188" s="2" t="s">
        <v>843</v>
      </c>
      <c r="B188">
        <v>2</v>
      </c>
      <c r="C188">
        <v>0</v>
      </c>
    </row>
    <row r="189" spans="1:3">
      <c r="A189" s="2" t="s">
        <v>372</v>
      </c>
      <c r="B189">
        <v>2</v>
      </c>
      <c r="C189">
        <v>0</v>
      </c>
    </row>
    <row r="190" spans="1:3">
      <c r="A190" s="2" t="s">
        <v>115</v>
      </c>
      <c r="B190">
        <v>13</v>
      </c>
      <c r="C190">
        <v>0</v>
      </c>
    </row>
    <row r="191" spans="1:3">
      <c r="A191" s="2" t="s">
        <v>884</v>
      </c>
      <c r="B191">
        <v>0</v>
      </c>
      <c r="C191">
        <v>0</v>
      </c>
    </row>
    <row r="192" spans="1:3">
      <c r="A192" s="2" t="s">
        <v>950</v>
      </c>
      <c r="B192">
        <v>1</v>
      </c>
      <c r="C192">
        <v>0</v>
      </c>
    </row>
    <row r="193" spans="1:3">
      <c r="A193" s="2" t="s">
        <v>593</v>
      </c>
      <c r="B193">
        <v>9</v>
      </c>
      <c r="C193">
        <v>0</v>
      </c>
    </row>
    <row r="194" spans="1:3">
      <c r="A194" s="2" t="s">
        <v>504</v>
      </c>
      <c r="B194">
        <v>4</v>
      </c>
      <c r="C194">
        <v>0</v>
      </c>
    </row>
    <row r="195" spans="1:3">
      <c r="A195" s="2" t="s">
        <v>50</v>
      </c>
      <c r="B195">
        <v>1</v>
      </c>
      <c r="C195">
        <v>0</v>
      </c>
    </row>
    <row r="196" spans="1:3">
      <c r="A196" s="2" t="s">
        <v>320</v>
      </c>
      <c r="B196">
        <v>1</v>
      </c>
      <c r="C196">
        <v>0</v>
      </c>
    </row>
    <row r="197" spans="1:3">
      <c r="A197" s="2" t="s">
        <v>871</v>
      </c>
      <c r="B197">
        <v>5</v>
      </c>
      <c r="C197">
        <v>0</v>
      </c>
    </row>
    <row r="198" spans="1:3">
      <c r="A198" s="2" t="s">
        <v>54</v>
      </c>
      <c r="B198">
        <v>0</v>
      </c>
      <c r="C198">
        <v>0</v>
      </c>
    </row>
    <row r="199" spans="1:3">
      <c r="A199" s="2" t="s">
        <v>824</v>
      </c>
      <c r="B199">
        <v>3</v>
      </c>
      <c r="C199">
        <v>1</v>
      </c>
    </row>
    <row r="200" spans="1:3">
      <c r="A200" s="2" t="s">
        <v>119</v>
      </c>
      <c r="B200">
        <v>1</v>
      </c>
      <c r="C200">
        <v>0</v>
      </c>
    </row>
    <row r="201" spans="1:3">
      <c r="A201" s="2" t="s">
        <v>995</v>
      </c>
      <c r="B201">
        <v>0</v>
      </c>
      <c r="C201">
        <v>0</v>
      </c>
    </row>
    <row r="202" spans="1:3">
      <c r="A202" s="2" t="s">
        <v>376</v>
      </c>
      <c r="B202">
        <v>1</v>
      </c>
      <c r="C202">
        <v>0</v>
      </c>
    </row>
    <row r="203" spans="1:3">
      <c r="A203" s="2" t="s">
        <v>418</v>
      </c>
      <c r="B203">
        <v>15</v>
      </c>
      <c r="C203">
        <v>1</v>
      </c>
    </row>
    <row r="204" spans="1:3">
      <c r="A204" s="2" t="s">
        <v>323</v>
      </c>
      <c r="B204">
        <v>2</v>
      </c>
      <c r="C204">
        <v>0</v>
      </c>
    </row>
    <row r="205" spans="1:3">
      <c r="A205" s="2" t="s">
        <v>183</v>
      </c>
      <c r="B205">
        <v>1</v>
      </c>
      <c r="C205">
        <v>0</v>
      </c>
    </row>
    <row r="206" spans="1:3">
      <c r="A206" s="2" t="s">
        <v>57</v>
      </c>
      <c r="B206">
        <v>2</v>
      </c>
      <c r="C206">
        <v>0</v>
      </c>
    </row>
    <row r="207" spans="1:3">
      <c r="A207" s="2" t="s">
        <v>186</v>
      </c>
      <c r="B207">
        <v>4</v>
      </c>
      <c r="C207">
        <v>0</v>
      </c>
    </row>
    <row r="208" spans="1:3">
      <c r="A208" s="2" t="s">
        <v>135</v>
      </c>
      <c r="B208">
        <v>2</v>
      </c>
      <c r="C208">
        <v>0</v>
      </c>
    </row>
    <row r="209" spans="1:3">
      <c r="A209" s="2" t="s">
        <v>457</v>
      </c>
      <c r="B209">
        <v>1</v>
      </c>
      <c r="C209">
        <v>0</v>
      </c>
    </row>
    <row r="210" spans="1:3">
      <c r="A210" s="2" t="s">
        <v>379</v>
      </c>
      <c r="B210">
        <v>4</v>
      </c>
      <c r="C210">
        <v>0</v>
      </c>
    </row>
    <row r="211" spans="1:3">
      <c r="A211" s="2" t="s">
        <v>643</v>
      </c>
      <c r="B211">
        <v>1</v>
      </c>
      <c r="C211">
        <v>0</v>
      </c>
    </row>
    <row r="212" spans="1:3">
      <c r="A212" s="2" t="s">
        <v>903</v>
      </c>
      <c r="B212">
        <v>0</v>
      </c>
      <c r="C212">
        <v>0</v>
      </c>
    </row>
    <row r="213" spans="1:3">
      <c r="A213" s="2" t="s">
        <v>61</v>
      </c>
      <c r="B213">
        <v>4</v>
      </c>
      <c r="C213">
        <v>0</v>
      </c>
    </row>
    <row r="214" spans="1:3">
      <c r="A214" s="2" t="s">
        <v>15</v>
      </c>
      <c r="B214">
        <v>1</v>
      </c>
      <c r="C214">
        <v>0</v>
      </c>
    </row>
    <row r="215" spans="1:3">
      <c r="A215" s="2" t="s">
        <v>89</v>
      </c>
      <c r="B215">
        <v>10</v>
      </c>
      <c r="C215">
        <v>0</v>
      </c>
    </row>
    <row r="216" spans="1:3">
      <c r="A216" s="2" t="s">
        <v>507</v>
      </c>
      <c r="B216">
        <v>2</v>
      </c>
      <c r="C216">
        <v>0</v>
      </c>
    </row>
    <row r="217" spans="1:3">
      <c r="A217" s="2" t="s">
        <v>421</v>
      </c>
      <c r="B217">
        <v>2</v>
      </c>
      <c r="C217">
        <v>0</v>
      </c>
    </row>
    <row r="218" spans="1:3">
      <c r="A218" s="2" t="s">
        <v>341</v>
      </c>
      <c r="B218">
        <v>1</v>
      </c>
      <c r="C218">
        <v>0</v>
      </c>
    </row>
    <row r="219" spans="1:3">
      <c r="A219" s="2" t="s">
        <v>189</v>
      </c>
      <c r="B219">
        <v>2</v>
      </c>
      <c r="C219">
        <v>0</v>
      </c>
    </row>
    <row r="220" spans="1:3">
      <c r="A220" s="2" t="s">
        <v>192</v>
      </c>
      <c r="B220">
        <v>1</v>
      </c>
      <c r="C220">
        <v>0</v>
      </c>
    </row>
    <row r="221" spans="1:3">
      <c r="A221" s="2" t="s">
        <v>480</v>
      </c>
      <c r="B221">
        <v>1</v>
      </c>
      <c r="C221">
        <v>0</v>
      </c>
    </row>
    <row r="222" spans="1:3">
      <c r="A222" s="2" t="s">
        <v>511</v>
      </c>
      <c r="B222">
        <v>2</v>
      </c>
      <c r="C222">
        <v>0</v>
      </c>
    </row>
    <row r="223" spans="1:3">
      <c r="A223" s="2" t="s">
        <v>196</v>
      </c>
      <c r="B223">
        <v>7</v>
      </c>
      <c r="C223">
        <v>1</v>
      </c>
    </row>
    <row r="224" spans="1:3">
      <c r="A224" s="2" t="s">
        <v>514</v>
      </c>
      <c r="B224">
        <v>5</v>
      </c>
      <c r="C224">
        <v>0</v>
      </c>
    </row>
    <row r="225" spans="1:3">
      <c r="A225" s="2" t="s">
        <v>462</v>
      </c>
      <c r="B225">
        <v>0</v>
      </c>
      <c r="C225">
        <v>0</v>
      </c>
    </row>
    <row r="226" spans="1:3">
      <c r="A226" s="2" t="s">
        <v>64</v>
      </c>
      <c r="B226">
        <v>3</v>
      </c>
      <c r="C226">
        <v>0</v>
      </c>
    </row>
    <row r="227" spans="1:3">
      <c r="A227" s="2" t="s">
        <v>154</v>
      </c>
      <c r="B227">
        <v>15</v>
      </c>
      <c r="C227">
        <v>1</v>
      </c>
    </row>
    <row r="228" spans="1:3">
      <c r="A228" s="2" t="s">
        <v>828</v>
      </c>
      <c r="B228">
        <v>3</v>
      </c>
      <c r="C228">
        <v>0</v>
      </c>
    </row>
    <row r="229" spans="1:3">
      <c r="A229" s="2" t="s">
        <v>98</v>
      </c>
      <c r="B229">
        <v>0</v>
      </c>
      <c r="C229">
        <v>0</v>
      </c>
    </row>
    <row r="230" spans="1:3">
      <c r="A230" s="2" t="s">
        <v>328</v>
      </c>
      <c r="B230">
        <v>1</v>
      </c>
      <c r="C230">
        <v>0</v>
      </c>
    </row>
    <row r="231" spans="1:3">
      <c r="A231" s="2" t="s">
        <v>331</v>
      </c>
      <c r="B231">
        <v>2</v>
      </c>
      <c r="C231">
        <v>0</v>
      </c>
    </row>
    <row r="232" spans="1:3">
      <c r="A232" s="2" t="s">
        <v>69</v>
      </c>
      <c r="B232">
        <v>12</v>
      </c>
      <c r="C232">
        <v>1</v>
      </c>
    </row>
    <row r="233" spans="1:3">
      <c r="A233" s="2" t="s">
        <v>483</v>
      </c>
      <c r="B233">
        <v>2</v>
      </c>
      <c r="C233">
        <v>0</v>
      </c>
    </row>
    <row r="234" spans="1:3">
      <c r="A234" s="2" t="s">
        <v>779</v>
      </c>
      <c r="B234">
        <v>0</v>
      </c>
      <c r="C234">
        <v>0</v>
      </c>
    </row>
    <row r="235" spans="1:3">
      <c r="A235" s="2" t="s">
        <v>907</v>
      </c>
      <c r="B235">
        <v>0</v>
      </c>
      <c r="C235">
        <v>0</v>
      </c>
    </row>
    <row r="236" spans="1:3">
      <c r="A236" s="2" t="s">
        <v>734</v>
      </c>
      <c r="B236">
        <v>1</v>
      </c>
      <c r="C236">
        <v>0</v>
      </c>
    </row>
    <row r="237" spans="1:3">
      <c r="A237" s="2" t="s">
        <v>517</v>
      </c>
      <c r="B237">
        <v>1</v>
      </c>
      <c r="C237">
        <v>0</v>
      </c>
    </row>
    <row r="238" spans="1:3">
      <c r="A238" s="2" t="s">
        <v>968</v>
      </c>
      <c r="B238">
        <v>1</v>
      </c>
      <c r="C238">
        <v>0</v>
      </c>
    </row>
    <row r="239" spans="1:3">
      <c r="A239" s="2" t="s">
        <v>268</v>
      </c>
      <c r="B239">
        <v>2</v>
      </c>
      <c r="C239">
        <v>0</v>
      </c>
    </row>
    <row r="240" spans="1:3">
      <c r="A240" s="2" t="s">
        <v>814</v>
      </c>
      <c r="B240">
        <v>4</v>
      </c>
      <c r="C240">
        <v>0</v>
      </c>
    </row>
    <row r="241" spans="1:3">
      <c r="A241" s="2" t="s">
        <v>737</v>
      </c>
      <c r="B241">
        <v>0</v>
      </c>
      <c r="C241">
        <v>0</v>
      </c>
    </row>
    <row r="242" spans="1:3">
      <c r="A242" s="2" t="s">
        <v>684</v>
      </c>
      <c r="B242">
        <v>4</v>
      </c>
      <c r="C242">
        <v>0</v>
      </c>
    </row>
    <row r="243" spans="1:3">
      <c r="A243" s="2" t="s">
        <v>345</v>
      </c>
      <c r="B243">
        <v>1</v>
      </c>
      <c r="C243">
        <v>0</v>
      </c>
    </row>
    <row r="244" spans="1:3">
      <c r="A244" s="2" t="s">
        <v>467</v>
      </c>
      <c r="B244">
        <v>0</v>
      </c>
      <c r="C244">
        <v>0</v>
      </c>
    </row>
    <row r="245" spans="1:3">
      <c r="A245" s="2" t="s">
        <v>782</v>
      </c>
      <c r="B245">
        <v>0</v>
      </c>
      <c r="C245">
        <v>0</v>
      </c>
    </row>
    <row r="246" spans="1:3">
      <c r="A246" s="2" t="s">
        <v>74</v>
      </c>
      <c r="B246">
        <v>0</v>
      </c>
      <c r="C246">
        <v>0</v>
      </c>
    </row>
    <row r="247" spans="1:3">
      <c r="A247" s="2" t="s">
        <v>831</v>
      </c>
      <c r="B247">
        <v>3</v>
      </c>
      <c r="C247">
        <v>0</v>
      </c>
    </row>
    <row r="248" spans="1:3">
      <c r="A248" s="2" t="s">
        <v>520</v>
      </c>
      <c r="B248">
        <v>3</v>
      </c>
      <c r="C248">
        <v>0</v>
      </c>
    </row>
    <row r="249" spans="1:3">
      <c r="A249" s="2" t="s">
        <v>646</v>
      </c>
      <c r="B249">
        <v>4</v>
      </c>
      <c r="C249">
        <v>1</v>
      </c>
    </row>
    <row r="250" spans="1:3">
      <c r="A250" s="2" t="s">
        <v>554</v>
      </c>
      <c r="B250">
        <v>3</v>
      </c>
      <c r="C250">
        <v>1</v>
      </c>
    </row>
    <row r="251" spans="1:3">
      <c r="A251" s="2" t="s">
        <v>803</v>
      </c>
      <c r="B251">
        <v>2</v>
      </c>
      <c r="C251">
        <v>0</v>
      </c>
    </row>
    <row r="252" spans="1:3">
      <c r="A252" s="2" t="s">
        <v>649</v>
      </c>
      <c r="B252">
        <v>1</v>
      </c>
      <c r="C252">
        <v>0</v>
      </c>
    </row>
    <row r="253" spans="1:3">
      <c r="A253" s="2" t="s">
        <v>523</v>
      </c>
      <c r="B253">
        <v>0</v>
      </c>
      <c r="C253">
        <v>0</v>
      </c>
    </row>
    <row r="254" spans="1:3">
      <c r="A254" s="2" t="s">
        <v>1011</v>
      </c>
      <c r="B254">
        <v>0</v>
      </c>
      <c r="C254">
        <v>0</v>
      </c>
    </row>
    <row r="255" spans="1:3">
      <c r="A255" s="2" t="s">
        <v>138</v>
      </c>
      <c r="B255">
        <v>6</v>
      </c>
      <c r="C255">
        <v>1</v>
      </c>
    </row>
    <row r="256" spans="1:3">
      <c r="A256" s="2" t="s">
        <v>817</v>
      </c>
      <c r="B256">
        <v>0</v>
      </c>
      <c r="C256">
        <v>0</v>
      </c>
    </row>
    <row r="257" spans="1:3">
      <c r="A257" s="2" t="s">
        <v>526</v>
      </c>
      <c r="B257">
        <v>4</v>
      </c>
      <c r="C257">
        <v>0</v>
      </c>
    </row>
    <row r="258" spans="1:3">
      <c r="A258" s="2" t="s">
        <v>224</v>
      </c>
      <c r="B258">
        <v>4</v>
      </c>
      <c r="C258">
        <v>1</v>
      </c>
    </row>
    <row r="259" spans="1:3">
      <c r="A259" s="2" t="s">
        <v>687</v>
      </c>
      <c r="B259">
        <v>0</v>
      </c>
      <c r="C259">
        <v>0</v>
      </c>
    </row>
    <row r="260" spans="1:3">
      <c r="A260" s="2" t="s">
        <v>690</v>
      </c>
      <c r="B260">
        <v>0</v>
      </c>
      <c r="C260">
        <v>0</v>
      </c>
    </row>
    <row r="261" spans="1:3">
      <c r="A261" s="2" t="s">
        <v>102</v>
      </c>
      <c r="B261">
        <v>0</v>
      </c>
      <c r="C261">
        <v>0</v>
      </c>
    </row>
    <row r="262" spans="1:3">
      <c r="A262" s="2" t="s">
        <v>953</v>
      </c>
      <c r="B262">
        <v>0</v>
      </c>
      <c r="C262">
        <v>0</v>
      </c>
    </row>
    <row r="263" spans="1:3">
      <c r="A263" s="2" t="s">
        <v>334</v>
      </c>
      <c r="B263">
        <v>0</v>
      </c>
      <c r="C263">
        <v>0</v>
      </c>
    </row>
    <row r="264" spans="1:3">
      <c r="A264" s="2" t="s">
        <v>957</v>
      </c>
      <c r="B264">
        <v>0</v>
      </c>
      <c r="C264">
        <v>0</v>
      </c>
    </row>
    <row r="265" spans="1:3">
      <c r="A265" s="2" t="s">
        <v>973</v>
      </c>
      <c r="B265">
        <v>0</v>
      </c>
      <c r="C265">
        <v>0</v>
      </c>
    </row>
    <row r="266" spans="1:3">
      <c r="A266" s="2" t="s">
        <v>142</v>
      </c>
      <c r="B266">
        <v>1</v>
      </c>
      <c r="C266">
        <v>0</v>
      </c>
    </row>
    <row r="267" spans="1:3">
      <c r="A267" s="2" t="s">
        <v>199</v>
      </c>
      <c r="B267">
        <v>1</v>
      </c>
      <c r="C267">
        <v>0</v>
      </c>
    </row>
    <row r="268" spans="1:3">
      <c r="A268" s="2" t="s">
        <v>1014</v>
      </c>
      <c r="B268">
        <v>1</v>
      </c>
      <c r="C268">
        <v>0</v>
      </c>
    </row>
    <row r="269" spans="1:3">
      <c r="A269" s="2" t="s">
        <v>470</v>
      </c>
      <c r="B269">
        <v>0</v>
      </c>
      <c r="C269">
        <v>0</v>
      </c>
    </row>
    <row r="270" spans="1:3">
      <c r="A270" s="2" t="s">
        <v>910</v>
      </c>
      <c r="B270">
        <v>0</v>
      </c>
      <c r="C270">
        <v>0</v>
      </c>
    </row>
    <row r="271" spans="1:3">
      <c r="A271" s="2" t="s">
        <v>147</v>
      </c>
      <c r="B271">
        <v>5</v>
      </c>
      <c r="C271">
        <v>2</v>
      </c>
    </row>
    <row r="272" spans="1:3">
      <c r="A272" s="2" t="s">
        <v>203</v>
      </c>
      <c r="B272">
        <v>6</v>
      </c>
      <c r="C272">
        <v>0</v>
      </c>
    </row>
    <row r="273" spans="1:3">
      <c r="A273" s="2" t="s">
        <v>271</v>
      </c>
      <c r="B273">
        <v>1</v>
      </c>
      <c r="C273">
        <v>0</v>
      </c>
    </row>
    <row r="274" spans="1:3">
      <c r="A274" s="2" t="s">
        <v>210</v>
      </c>
      <c r="B274">
        <v>3</v>
      </c>
      <c r="C274">
        <v>0</v>
      </c>
    </row>
    <row r="275" spans="1:3">
      <c r="A275" s="2" t="s">
        <v>742</v>
      </c>
      <c r="B275">
        <v>2</v>
      </c>
      <c r="C275">
        <v>0</v>
      </c>
    </row>
    <row r="276" spans="1:3">
      <c r="A276" s="2" t="s">
        <v>785</v>
      </c>
      <c r="B276">
        <v>2</v>
      </c>
      <c r="C276">
        <v>0</v>
      </c>
    </row>
    <row r="277" spans="1:3">
      <c r="A277" s="2" t="s">
        <v>888</v>
      </c>
      <c r="B277">
        <v>0</v>
      </c>
      <c r="C277">
        <v>0</v>
      </c>
    </row>
    <row r="278" spans="1:3">
      <c r="A278" s="2" t="s">
        <v>560</v>
      </c>
      <c r="B278">
        <v>0</v>
      </c>
      <c r="C278">
        <v>0</v>
      </c>
    </row>
    <row r="279" spans="1:3">
      <c r="A279" s="2" t="s">
        <v>788</v>
      </c>
      <c r="B279">
        <v>1</v>
      </c>
      <c r="C279">
        <v>0</v>
      </c>
    </row>
    <row r="280" spans="1:3">
      <c r="A280" s="2" t="s">
        <v>213</v>
      </c>
      <c r="B280">
        <v>9</v>
      </c>
      <c r="C280">
        <v>0</v>
      </c>
    </row>
    <row r="281" spans="1:3">
      <c r="A281" s="2" t="s">
        <v>228</v>
      </c>
      <c r="B281">
        <v>4</v>
      </c>
      <c r="C281">
        <v>0</v>
      </c>
    </row>
    <row r="282" spans="1:3">
      <c r="A282" s="2" t="s">
        <v>600</v>
      </c>
      <c r="B282">
        <v>2</v>
      </c>
      <c r="C282">
        <v>0</v>
      </c>
    </row>
    <row r="283" spans="1:3">
      <c r="A283" s="2" t="s">
        <v>216</v>
      </c>
      <c r="B283">
        <v>25</v>
      </c>
      <c r="C283">
        <v>1</v>
      </c>
    </row>
    <row r="284" spans="1:3">
      <c r="A284" s="2" t="s">
        <v>564</v>
      </c>
      <c r="B284">
        <v>0</v>
      </c>
      <c r="C284">
        <v>0</v>
      </c>
    </row>
    <row r="285" spans="1:3">
      <c r="A285" s="2" t="s">
        <v>923</v>
      </c>
      <c r="B285">
        <v>3</v>
      </c>
      <c r="C285">
        <v>0</v>
      </c>
    </row>
    <row r="286" spans="1:3">
      <c r="A286" s="2" t="s">
        <v>747</v>
      </c>
      <c r="B286">
        <v>19</v>
      </c>
      <c r="C286">
        <v>1</v>
      </c>
    </row>
    <row r="287" spans="1:3">
      <c r="A287" s="2" t="s">
        <v>697</v>
      </c>
      <c r="B287">
        <v>6</v>
      </c>
      <c r="C287">
        <v>0</v>
      </c>
    </row>
    <row r="288" spans="1:3">
      <c r="A288" s="2" t="s">
        <v>837</v>
      </c>
      <c r="B288">
        <v>1</v>
      </c>
      <c r="C288">
        <v>0</v>
      </c>
    </row>
    <row r="289" spans="1:3">
      <c r="A289" s="2" t="s">
        <v>382</v>
      </c>
      <c r="B289">
        <v>0</v>
      </c>
      <c r="C289">
        <v>0</v>
      </c>
    </row>
    <row r="290" spans="1:3">
      <c r="A290" s="2" t="s">
        <v>976</v>
      </c>
      <c r="B290">
        <v>0</v>
      </c>
      <c r="C290">
        <v>0</v>
      </c>
    </row>
    <row r="291" spans="1:3">
      <c r="A291" s="2" t="s">
        <v>281</v>
      </c>
      <c r="B291">
        <v>9</v>
      </c>
      <c r="C291">
        <v>0</v>
      </c>
    </row>
    <row r="292" spans="1:3">
      <c r="A292" s="2" t="s">
        <v>707</v>
      </c>
      <c r="B292">
        <v>7</v>
      </c>
      <c r="C292">
        <v>0</v>
      </c>
    </row>
    <row r="293" spans="1:3">
      <c r="A293" s="2" t="s">
        <v>473</v>
      </c>
      <c r="B293">
        <v>4</v>
      </c>
      <c r="C293">
        <v>1</v>
      </c>
    </row>
    <row r="294" spans="1:3">
      <c r="A294" s="2" t="s">
        <v>1022</v>
      </c>
      <c r="B294">
        <v>572</v>
      </c>
      <c r="C294">
        <v>26</v>
      </c>
    </row>
  </sheetData>
  <sortState xmlns:xlrd2="http://schemas.microsoft.com/office/spreadsheetml/2017/richdata2" ref="E48:E293">
    <sortCondition ref="E48:E29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8AC59-3BB1-1E4F-AC85-9D9966F979E5}">
  <sheetPr codeName="Sheet4"/>
  <dimension ref="B1:I32"/>
  <sheetViews>
    <sheetView workbookViewId="0">
      <selection activeCell="I3" sqref="I3"/>
    </sheetView>
  </sheetViews>
  <sheetFormatPr defaultColWidth="10.625" defaultRowHeight="15.75"/>
  <cols>
    <col min="2" max="2" width="30.375" customWidth="1"/>
    <col min="3" max="3" width="12.625" bestFit="1" customWidth="1"/>
  </cols>
  <sheetData>
    <row r="1" spans="2:9" ht="16.5" thickBot="1">
      <c r="B1" s="20"/>
      <c r="I1" s="4"/>
    </row>
    <row r="2" spans="2:9" ht="33" thickTop="1" thickBot="1">
      <c r="B2" s="20" t="s">
        <v>3</v>
      </c>
      <c r="C2" s="19" t="s">
        <v>1124</v>
      </c>
      <c r="D2" s="19" t="s">
        <v>1125</v>
      </c>
      <c r="E2" s="19" t="s">
        <v>1124</v>
      </c>
      <c r="F2" s="19" t="s">
        <v>1125</v>
      </c>
      <c r="G2" s="19" t="s">
        <v>1124</v>
      </c>
      <c r="H2" s="19" t="s">
        <v>1125</v>
      </c>
      <c r="I2" s="5" t="s">
        <v>1130</v>
      </c>
    </row>
    <row r="3" spans="2:9" ht="16.5" thickBot="1">
      <c r="B3" s="46" t="s">
        <v>38</v>
      </c>
      <c r="C3" s="40">
        <v>25.671358000000001</v>
      </c>
      <c r="D3" s="38">
        <v>0.32819798207399981</v>
      </c>
      <c r="E3" s="49">
        <v>471.11634500000002</v>
      </c>
      <c r="F3" s="50">
        <v>0.46629595415214181</v>
      </c>
      <c r="G3" s="49">
        <v>2234.7346040000002</v>
      </c>
      <c r="H3" s="50">
        <v>0.40086408239780125</v>
      </c>
      <c r="I3" s="5">
        <f t="shared" ref="I3:I13" si="0">D3+F3+H3</f>
        <v>1.195358018623943</v>
      </c>
    </row>
    <row r="4" spans="2:9" ht="16.5" thickTop="1">
      <c r="B4" s="37" t="s">
        <v>32</v>
      </c>
      <c r="C4" s="47">
        <v>20.719190000000001</v>
      </c>
      <c r="D4" s="48">
        <v>0.26488650690811899</v>
      </c>
      <c r="E4" s="41">
        <v>259.010221</v>
      </c>
      <c r="F4" s="39">
        <v>0.25636006777975856</v>
      </c>
      <c r="G4" s="41">
        <v>1817.0779339999999</v>
      </c>
      <c r="H4" s="39">
        <v>0.3259453168865874</v>
      </c>
      <c r="I4" s="5">
        <f t="shared" si="0"/>
        <v>0.84719189157446495</v>
      </c>
    </row>
    <row r="5" spans="2:9">
      <c r="B5" s="25" t="s">
        <v>17</v>
      </c>
      <c r="C5" s="42">
        <v>22.619198999999998</v>
      </c>
      <c r="D5" s="34">
        <v>0.28917735742418582</v>
      </c>
      <c r="E5" s="42">
        <v>160.96257700000001</v>
      </c>
      <c r="F5" s="34">
        <v>0.15931563237315105</v>
      </c>
      <c r="G5" s="42">
        <v>598.40881000000002</v>
      </c>
      <c r="H5" s="34">
        <v>0.10734187320948209</v>
      </c>
      <c r="I5" s="5">
        <f t="shared" si="0"/>
        <v>0.55583486300681895</v>
      </c>
    </row>
    <row r="6" spans="2:9">
      <c r="B6" s="25" t="s">
        <v>66</v>
      </c>
      <c r="C6" s="42">
        <v>6.4438550000000001</v>
      </c>
      <c r="D6" s="34">
        <v>8.2382093217563859E-2</v>
      </c>
      <c r="E6" s="42">
        <v>77.383250000000004</v>
      </c>
      <c r="F6" s="34">
        <v>7.6591476345707607E-2</v>
      </c>
      <c r="G6" s="42">
        <v>630.00596299999995</v>
      </c>
      <c r="H6" s="34">
        <v>0.11300973359928251</v>
      </c>
      <c r="I6" s="5">
        <f t="shared" si="0"/>
        <v>0.27198330316255398</v>
      </c>
    </row>
    <row r="7" spans="2:9">
      <c r="B7" s="25" t="s">
        <v>71</v>
      </c>
      <c r="C7" s="42">
        <v>1.7265250000000001</v>
      </c>
      <c r="D7" s="34">
        <v>2.207292738468734E-2</v>
      </c>
      <c r="E7" s="42">
        <v>15.202750999999999</v>
      </c>
      <c r="F7" s="34">
        <v>1.5047198762085885E-2</v>
      </c>
      <c r="G7" s="42">
        <v>120.275098</v>
      </c>
      <c r="H7" s="34">
        <v>2.1574806560374728E-2</v>
      </c>
      <c r="I7" s="5">
        <f t="shared" si="0"/>
        <v>5.869493270714795E-2</v>
      </c>
    </row>
    <row r="8" spans="2:9">
      <c r="B8" s="25" t="s">
        <v>205</v>
      </c>
      <c r="C8" s="42">
        <v>0.88207500000000005</v>
      </c>
      <c r="D8" s="34">
        <v>1.1276973934839106E-2</v>
      </c>
      <c r="E8" s="42">
        <v>17.159468</v>
      </c>
      <c r="F8" s="34">
        <v>1.6983894931098482E-2</v>
      </c>
      <c r="G8" s="42">
        <v>99.442207999999994</v>
      </c>
      <c r="H8" s="34">
        <v>1.7837827091494434E-2</v>
      </c>
      <c r="I8" s="5">
        <f t="shared" si="0"/>
        <v>4.6098695957432018E-2</v>
      </c>
    </row>
    <row r="9" spans="2:9">
      <c r="B9" s="25" t="s">
        <v>1126</v>
      </c>
      <c r="C9" s="42">
        <v>0</v>
      </c>
      <c r="D9" s="34">
        <v>0</v>
      </c>
      <c r="E9" s="42">
        <v>7.8210800000000003</v>
      </c>
      <c r="F9" s="34">
        <v>7.7410558979867979E-3</v>
      </c>
      <c r="G9" s="42">
        <v>44.006576000000003</v>
      </c>
      <c r="H9" s="34">
        <v>7.8938481894600416E-3</v>
      </c>
      <c r="I9" s="5">
        <f t="shared" si="0"/>
        <v>1.563490408744684E-2</v>
      </c>
    </row>
    <row r="10" spans="2:9">
      <c r="B10" s="25" t="s">
        <v>291</v>
      </c>
      <c r="C10" s="42">
        <v>0.15692</v>
      </c>
      <c r="D10" s="34">
        <v>2.0061590566051099E-3</v>
      </c>
      <c r="E10" s="42">
        <v>0.36720199999999997</v>
      </c>
      <c r="F10" s="22">
        <v>3.6344484493862074E-4</v>
      </c>
      <c r="G10" s="42">
        <v>27.350807</v>
      </c>
      <c r="H10" s="34">
        <v>4.9061558053782924E-3</v>
      </c>
      <c r="I10" s="5">
        <f t="shared" si="0"/>
        <v>7.2757597069220232E-3</v>
      </c>
    </row>
    <row r="11" spans="2:9">
      <c r="B11" s="25" t="s">
        <v>1127</v>
      </c>
      <c r="C11" s="42">
        <v>0</v>
      </c>
      <c r="D11" s="34">
        <v>0</v>
      </c>
      <c r="E11" s="42">
        <v>0.69593000000000005</v>
      </c>
      <c r="F11" s="34">
        <v>6.8880934999845966E-4</v>
      </c>
      <c r="G11" s="42">
        <v>2.1649500000000002</v>
      </c>
      <c r="H11" s="22">
        <v>3.88346201662486E-4</v>
      </c>
      <c r="I11" s="5">
        <f t="shared" si="0"/>
        <v>1.0771555516609457E-3</v>
      </c>
    </row>
    <row r="12" spans="2:9" ht="16.5" thickBot="1">
      <c r="B12" s="26" t="s">
        <v>1128</v>
      </c>
      <c r="C12" s="42">
        <v>0</v>
      </c>
      <c r="D12" s="34">
        <v>0</v>
      </c>
      <c r="E12" s="43">
        <v>0.61879700000000004</v>
      </c>
      <c r="F12" s="35">
        <v>6.124655631327818E-4</v>
      </c>
      <c r="G12" s="43">
        <v>1.326857</v>
      </c>
      <c r="H12" s="23">
        <v>2.3801005847676906E-4</v>
      </c>
      <c r="I12" s="5">
        <f t="shared" si="0"/>
        <v>8.5047562160955089E-4</v>
      </c>
    </row>
    <row r="13" spans="2:9" ht="17.25" thickTop="1" thickBot="1">
      <c r="B13" s="24" t="s">
        <v>1129</v>
      </c>
      <c r="C13" s="42">
        <v>78.219121999999999</v>
      </c>
      <c r="D13" s="34">
        <v>1</v>
      </c>
      <c r="E13" s="44">
        <v>1010.337621</v>
      </c>
      <c r="F13" s="45">
        <v>1</v>
      </c>
      <c r="G13" s="44">
        <v>5574.793807</v>
      </c>
      <c r="H13" s="45">
        <v>1</v>
      </c>
      <c r="I13" s="5">
        <f t="shared" si="0"/>
        <v>3</v>
      </c>
    </row>
    <row r="14" spans="2:9" ht="16.5" thickBot="1"/>
    <row r="15" spans="2:9" ht="33" thickTop="1" thickBot="1">
      <c r="B15" s="29" t="s">
        <v>1131</v>
      </c>
      <c r="C15" s="18" t="s">
        <v>1124</v>
      </c>
      <c r="D15" s="18" t="s">
        <v>1125</v>
      </c>
      <c r="E15" s="18" t="s">
        <v>1124</v>
      </c>
      <c r="F15" s="18" t="s">
        <v>1125</v>
      </c>
      <c r="G15" s="18" t="s">
        <v>1124</v>
      </c>
      <c r="H15" s="18" t="s">
        <v>1125</v>
      </c>
      <c r="I15" s="5" t="s">
        <v>1130</v>
      </c>
    </row>
    <row r="16" spans="2:9">
      <c r="B16" s="27" t="s">
        <v>28</v>
      </c>
      <c r="C16" s="51">
        <v>26.452407999999998</v>
      </c>
      <c r="D16" s="31">
        <v>0.33818339203551784</v>
      </c>
      <c r="E16" s="53">
        <v>620.18757000000005</v>
      </c>
      <c r="F16" s="33">
        <v>0.61384190503186264</v>
      </c>
      <c r="G16" s="51">
        <v>417.93495200000001</v>
      </c>
      <c r="H16" s="31">
        <v>7.4968683411253567E-2</v>
      </c>
      <c r="I16" s="21">
        <f t="shared" ref="I16:I29" si="1">D16+F16+H16</f>
        <v>1.0269939804786341</v>
      </c>
    </row>
    <row r="17" spans="2:9" ht="31.5">
      <c r="B17" s="25" t="s">
        <v>44</v>
      </c>
      <c r="C17" s="52">
        <v>9.0282339999999994</v>
      </c>
      <c r="D17" s="30">
        <v>0.11542233879843346</v>
      </c>
      <c r="E17" s="42">
        <v>70.757677000000001</v>
      </c>
      <c r="F17" s="34">
        <v>7.0033695201774535E-2</v>
      </c>
      <c r="G17" s="52">
        <v>1218.979564</v>
      </c>
      <c r="H17" s="30">
        <v>0.21865913004161447</v>
      </c>
      <c r="I17" s="21">
        <f t="shared" si="1"/>
        <v>0.40411516404182246</v>
      </c>
    </row>
    <row r="18" spans="2:9">
      <c r="B18" s="25" t="s">
        <v>22</v>
      </c>
      <c r="C18" s="52">
        <v>9.9742940000000004</v>
      </c>
      <c r="D18" s="30">
        <v>0.12751733521120323</v>
      </c>
      <c r="E18" s="42">
        <v>66.107601000000003</v>
      </c>
      <c r="F18" s="34">
        <v>6.5431198072747998E-2</v>
      </c>
      <c r="G18" s="52">
        <v>831.22542799999997</v>
      </c>
      <c r="H18" s="30">
        <v>0.14910424614382514</v>
      </c>
      <c r="I18" s="21">
        <f t="shared" si="1"/>
        <v>0.34205277942777634</v>
      </c>
    </row>
    <row r="19" spans="2:9">
      <c r="B19" s="25" t="s">
        <v>34</v>
      </c>
      <c r="C19" s="52">
        <v>7.7153090000000004</v>
      </c>
      <c r="D19" s="30">
        <v>9.8637120984303564E-2</v>
      </c>
      <c r="E19" s="42">
        <v>96.324198999999993</v>
      </c>
      <c r="F19" s="34">
        <v>9.5338624433940575E-2</v>
      </c>
      <c r="G19" s="52">
        <v>707.02454799999998</v>
      </c>
      <c r="H19" s="30">
        <v>0.12682523739482945</v>
      </c>
      <c r="I19" s="21">
        <f t="shared" si="1"/>
        <v>0.32080098281307357</v>
      </c>
    </row>
    <row r="20" spans="2:9">
      <c r="B20" s="25" t="s">
        <v>48</v>
      </c>
      <c r="C20" s="52">
        <v>5.1921030000000004</v>
      </c>
      <c r="D20" s="30">
        <v>6.6378947592891674E-2</v>
      </c>
      <c r="E20" s="42">
        <v>20.004670999999998</v>
      </c>
      <c r="F20" s="34">
        <v>1.979998624637971E-2</v>
      </c>
      <c r="G20" s="52">
        <v>741.14189599999997</v>
      </c>
      <c r="H20" s="30">
        <v>0.13294516741935528</v>
      </c>
      <c r="I20" s="21">
        <f t="shared" si="1"/>
        <v>0.21912410125862666</v>
      </c>
    </row>
    <row r="21" spans="2:9">
      <c r="B21" s="25" t="s">
        <v>108</v>
      </c>
      <c r="C21" s="52">
        <v>6.2963170000000002</v>
      </c>
      <c r="D21" s="30">
        <v>8.0495879255714484E-2</v>
      </c>
      <c r="E21" s="42">
        <v>64.601695000000007</v>
      </c>
      <c r="F21" s="34">
        <v>6.394070027409185E-2</v>
      </c>
      <c r="G21" s="52">
        <v>320.31857500000001</v>
      </c>
      <c r="H21" s="30">
        <v>5.7458371751398479E-2</v>
      </c>
      <c r="I21" s="21">
        <f t="shared" si="1"/>
        <v>0.2018949512812048</v>
      </c>
    </row>
    <row r="22" spans="2:9">
      <c r="B22" s="25" t="s">
        <v>40</v>
      </c>
      <c r="C22" s="52">
        <v>5.2204540000000001</v>
      </c>
      <c r="D22" s="30">
        <v>6.6741403719668455E-2</v>
      </c>
      <c r="E22" s="42">
        <v>16.935397999999999</v>
      </c>
      <c r="F22" s="34">
        <v>1.6762117581287216E-2</v>
      </c>
      <c r="G22" s="52">
        <v>478.11328600000002</v>
      </c>
      <c r="H22" s="30">
        <v>8.5763402657091314E-2</v>
      </c>
      <c r="I22" s="21">
        <f t="shared" si="1"/>
        <v>0.16926692395804699</v>
      </c>
    </row>
    <row r="23" spans="2:9" ht="31.5">
      <c r="B23" s="25" t="s">
        <v>309</v>
      </c>
      <c r="C23" s="52">
        <v>2.707722</v>
      </c>
      <c r="D23" s="30">
        <v>3.4617136203599935E-2</v>
      </c>
      <c r="E23" s="42">
        <v>19.856594999999999</v>
      </c>
      <c r="F23" s="34">
        <v>1.9653425337509033E-2</v>
      </c>
      <c r="G23" s="52">
        <v>394.55641200000002</v>
      </c>
      <c r="H23" s="30">
        <v>7.0775068219487244E-2</v>
      </c>
      <c r="I23" s="21">
        <f t="shared" si="1"/>
        <v>0.12504562976059622</v>
      </c>
    </row>
    <row r="24" spans="2:9">
      <c r="B24" s="25" t="s">
        <v>113</v>
      </c>
      <c r="C24" s="52">
        <v>3.040772</v>
      </c>
      <c r="D24" s="30">
        <v>3.887504643685466E-2</v>
      </c>
      <c r="E24" s="42">
        <v>18.125724999999999</v>
      </c>
      <c r="F24" s="34">
        <v>1.7940265336313752E-2</v>
      </c>
      <c r="G24" s="52">
        <v>287.51568400000002</v>
      </c>
      <c r="H24" s="30">
        <v>5.1574227487836487E-2</v>
      </c>
      <c r="I24" s="21">
        <f t="shared" si="1"/>
        <v>0.10838953926100489</v>
      </c>
    </row>
    <row r="25" spans="2:9">
      <c r="B25" s="25" t="s">
        <v>460</v>
      </c>
      <c r="C25" s="52">
        <v>0.79100899999999996</v>
      </c>
      <c r="D25" s="30">
        <v>1.0112731769093495E-2</v>
      </c>
      <c r="E25" s="42">
        <v>8.1831259999999997</v>
      </c>
      <c r="F25" s="34">
        <v>8.0993974983338754E-3</v>
      </c>
      <c r="G25" s="52">
        <v>85.679659999999998</v>
      </c>
      <c r="H25" s="30">
        <v>1.5369117310207273E-2</v>
      </c>
      <c r="I25" s="21">
        <f t="shared" si="1"/>
        <v>3.3581246577634644E-2</v>
      </c>
    </row>
    <row r="26" spans="2:9">
      <c r="B26" s="25" t="s">
        <v>534</v>
      </c>
      <c r="C26" s="52">
        <v>1.6005</v>
      </c>
      <c r="D26" s="30">
        <v>2.0461748471173071E-2</v>
      </c>
      <c r="E26" s="42">
        <v>2.3552970000000002</v>
      </c>
      <c r="F26" s="34">
        <v>2.3311979590236401E-3</v>
      </c>
      <c r="G26" s="52">
        <v>32.459136999999998</v>
      </c>
      <c r="H26" s="30">
        <v>5.8224820726539925E-3</v>
      </c>
      <c r="I26" s="21">
        <f t="shared" si="1"/>
        <v>2.8615428502850704E-2</v>
      </c>
    </row>
    <row r="27" spans="2:9">
      <c r="B27" s="25" t="s">
        <v>82</v>
      </c>
      <c r="C27" s="52">
        <v>0.2</v>
      </c>
      <c r="D27" s="30">
        <v>2.5569195215461508E-3</v>
      </c>
      <c r="E27" s="42">
        <v>6.2980669999999996</v>
      </c>
      <c r="F27" s="34">
        <v>6.2336261355549379E-3</v>
      </c>
      <c r="G27" s="52">
        <v>44.62782</v>
      </c>
      <c r="H27" s="30">
        <v>8.0052862123730917E-3</v>
      </c>
      <c r="I27" s="21">
        <f t="shared" si="1"/>
        <v>1.6795831869474181E-2</v>
      </c>
    </row>
    <row r="28" spans="2:9" ht="16.5" thickBot="1">
      <c r="B28" s="26" t="s">
        <v>1040</v>
      </c>
      <c r="C28" s="52">
        <v>0</v>
      </c>
      <c r="D28" s="30">
        <v>0</v>
      </c>
      <c r="E28" s="43">
        <v>0.6</v>
      </c>
      <c r="F28" s="35">
        <v>5.938608911802562E-4</v>
      </c>
      <c r="G28" s="55">
        <v>15.216844999999999</v>
      </c>
      <c r="H28" s="32">
        <v>2.7295798780742242E-3</v>
      </c>
      <c r="I28" s="21">
        <f t="shared" si="1"/>
        <v>3.3234407692544804E-3</v>
      </c>
    </row>
    <row r="29" spans="2:9" ht="17.25" thickTop="1" thickBot="1">
      <c r="B29" s="28" t="s">
        <v>1129</v>
      </c>
      <c r="C29" s="52">
        <v>78.219121999999999</v>
      </c>
      <c r="D29" s="30">
        <v>1</v>
      </c>
      <c r="E29" s="54">
        <v>1010.337621</v>
      </c>
      <c r="F29" s="36">
        <v>1</v>
      </c>
      <c r="G29" s="54">
        <v>5574.793807</v>
      </c>
      <c r="H29" s="36">
        <v>1</v>
      </c>
      <c r="I29" s="21">
        <f t="shared" si="1"/>
        <v>3</v>
      </c>
    </row>
    <row r="30" spans="2:9" ht="16.5" thickTop="1"/>
    <row r="32" spans="2:9">
      <c r="F32" s="3">
        <v>1</v>
      </c>
    </row>
  </sheetData>
  <sortState xmlns:xlrd2="http://schemas.microsoft.com/office/spreadsheetml/2017/richdata2" ref="B15:I28">
    <sortCondition descending="1" ref="I16:I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FD2BC003D584BB21DD38425BC03A1" ma:contentTypeVersion="3" ma:contentTypeDescription="Create a new document." ma:contentTypeScope="" ma:versionID="a13558884cf16fe63c45b09ba0b177fe">
  <xsd:schema xmlns:xsd="http://www.w3.org/2001/XMLSchema" xmlns:xs="http://www.w3.org/2001/XMLSchema" xmlns:p="http://schemas.microsoft.com/office/2006/metadata/properties" xmlns:ns2="f9abba5c-c6ac-40f6-9bce-df6fe0d5849d" targetNamespace="http://schemas.microsoft.com/office/2006/metadata/properties" ma:root="true" ma:fieldsID="024070713647e44e29b9722142610afe" ns2:_="">
    <xsd:import namespace="f9abba5c-c6ac-40f6-9bce-df6fe0d58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bba5c-c6ac-40f6-9bce-df6fe0d58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4D018A-4720-4C52-B174-34C50E885E2C}">
  <ds:schemaRefs>
    <ds:schemaRef ds:uri="http://schemas.microsoft.com/office/2006/documentManagement/types"/>
    <ds:schemaRef ds:uri="http://purl.org/dc/terms/"/>
    <ds:schemaRef ds:uri="f9abba5c-c6ac-40f6-9bce-df6fe0d5849d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609129-A63C-477E-85B4-B08983B78B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bba5c-c6ac-40f6-9bce-df6fe0d58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1DD8FB-5025-4694-A573-FD582985FA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</vt:lpstr>
      <vt:lpstr>COM - Companies</vt:lpstr>
      <vt:lpstr>COM - Data Analysis</vt:lpstr>
      <vt:lpstr>PPT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Noah Kornberg</cp:lastModifiedBy>
  <cp:revision/>
  <dcterms:created xsi:type="dcterms:W3CDTF">2025-06-23T22:16:14Z</dcterms:created>
  <dcterms:modified xsi:type="dcterms:W3CDTF">2025-08-15T16:41:51Z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0x0101005F7FD2BC003D584BB21DD38425BC03A1</vt:lpwstr>
  </property>
</Properties>
</file>