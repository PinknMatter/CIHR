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https://d.docs.live.net/cd089068972272aa/Desktop/Project Jayce/CIHR/"/>
    </mc:Choice>
  </mc:AlternateContent>
  <xr:revisionPtr revIDLastSave="3" documentId="8_{35E79FF7-94DD-4248-A321-129E04F59880}" xr6:coauthVersionLast="47" xr6:coauthVersionMax="47" xr10:uidLastSave="{9840FF6C-569F-4BCF-A5E1-045643E9EA0D}"/>
  <bookViews>
    <workbookView xWindow="-120" yWindow="-120" windowWidth="29040" windowHeight="15720" xr2:uid="{09E673F7-5294-324E-A1A7-47D27B312160}"/>
  </bookViews>
  <sheets>
    <sheet name="TECH" sheetId="1" r:id="rId1"/>
    <sheet name="TECH - Data Analysis" sheetId="2"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2" l="1"/>
  <c r="I3" i="2"/>
  <c r="I4" i="2"/>
  <c r="I5" i="2"/>
  <c r="I6" i="2"/>
  <c r="I7" i="2"/>
  <c r="I8" i="2"/>
  <c r="I9" i="2"/>
  <c r="I10" i="2"/>
  <c r="I11" i="2"/>
  <c r="I12" i="2"/>
  <c r="I2" i="2"/>
  <c r="I15" i="2"/>
  <c r="J15" i="2" s="1"/>
  <c r="C16" i="2"/>
  <c r="C17" i="2"/>
  <c r="C18" i="2"/>
  <c r="C19" i="2"/>
  <c r="C20" i="2"/>
  <c r="C21" i="2"/>
  <c r="C22" i="2"/>
  <c r="C23" i="2"/>
  <c r="C24" i="2"/>
  <c r="C25" i="2"/>
  <c r="C26" i="2"/>
  <c r="C27" i="2"/>
  <c r="C28" i="2"/>
  <c r="C15" i="2"/>
  <c r="C7" i="2"/>
  <c r="C3" i="2"/>
  <c r="C4" i="2"/>
  <c r="C5" i="2"/>
  <c r="C6" i="2"/>
  <c r="C8" i="2"/>
  <c r="C9" i="2"/>
  <c r="C10" i="2"/>
  <c r="C11" i="2"/>
  <c r="C12" i="2"/>
  <c r="C2" i="2"/>
  <c r="I16" i="2"/>
  <c r="J16" i="2" s="1"/>
  <c r="I17" i="2"/>
  <c r="J17" i="2" s="1"/>
  <c r="I18" i="2"/>
  <c r="J18" i="2" s="1"/>
  <c r="I19" i="2"/>
  <c r="J19" i="2" s="1"/>
  <c r="I20" i="2"/>
  <c r="J20" i="2" s="1"/>
  <c r="I21" i="2"/>
  <c r="J21" i="2" s="1"/>
  <c r="I22" i="2"/>
  <c r="J22" i="2" s="1"/>
  <c r="I23" i="2"/>
  <c r="J23" i="2" s="1"/>
  <c r="I24" i="2"/>
  <c r="J24" i="2" s="1"/>
  <c r="I25" i="2"/>
  <c r="I26" i="2"/>
  <c r="J26" i="2" s="1"/>
  <c r="I27" i="2"/>
  <c r="J27" i="2" s="1"/>
  <c r="I28" i="2"/>
  <c r="J28" i="2" s="1"/>
  <c r="J12" i="2"/>
  <c r="J4" i="2" l="1"/>
  <c r="J3" i="2"/>
  <c r="J5" i="2"/>
  <c r="J6" i="2"/>
  <c r="J10" i="2"/>
  <c r="J7" i="2"/>
  <c r="J11" i="2"/>
  <c r="J9" i="2"/>
  <c r="J2" i="2"/>
  <c r="J8" i="2"/>
  <c r="H56" i="2"/>
  <c r="I56" i="2"/>
</calcChain>
</file>

<file path=xl/sharedStrings.xml><?xml version="1.0" encoding="utf-8"?>
<sst xmlns="http://schemas.openxmlformats.org/spreadsheetml/2006/main" count="20968" uniqueCount="6296">
  <si>
    <t>Name</t>
  </si>
  <si>
    <t>Institution_Paid</t>
  </si>
  <si>
    <t>Provinces</t>
  </si>
  <si>
    <t>Program_Name</t>
  </si>
  <si>
    <t>Competition_CD</t>
  </si>
  <si>
    <t>PRC_Name</t>
  </si>
  <si>
    <t>Project_Title</t>
  </si>
  <si>
    <t>CIHR_Contribution</t>
  </si>
  <si>
    <t>CIHR_Equipment</t>
  </si>
  <si>
    <t>External_Funding</t>
  </si>
  <si>
    <t>External_Funding_Partner</t>
  </si>
  <si>
    <t>Term_Years_Months</t>
  </si>
  <si>
    <t>Primary_Institute</t>
  </si>
  <si>
    <t>Research_Categories</t>
  </si>
  <si>
    <t>Funding_Start</t>
  </si>
  <si>
    <t>Funding_End</t>
  </si>
  <si>
    <t>Patents</t>
  </si>
  <si>
    <t>title_keywords</t>
  </si>
  <si>
    <t>Ailles, Laurie E</t>
  </si>
  <si>
    <t>University Health Network (Toronto)</t>
  </si>
  <si>
    <t>Ontario</t>
  </si>
  <si>
    <t>Operating Grant</t>
  </si>
  <si>
    <t>201209MOP</t>
  </si>
  <si>
    <t>Cancer Progression &amp; Therapeutics 2</t>
  </si>
  <si>
    <t>Tumour-Initiating Cells in Oral Cancer Patients: Predictors of Outcome and Identification of Candidate Therapeutic Targets</t>
  </si>
  <si>
    <t xml:space="preserve">4 yrs 0 mth </t>
  </si>
  <si>
    <t>Cancer Research</t>
  </si>
  <si>
    <t>NEOPLASMS; CANCER; HEALTH RESEARCH</t>
  </si>
  <si>
    <t>Tumour-Initiating Cells, Oral Cancer, Therapeutic Targets</t>
  </si>
  <si>
    <t>Children's Hospital of Eastern Ontario Research Institute Inc</t>
  </si>
  <si>
    <t>Project Grant - PA: Breast Cancer Research</t>
  </si>
  <si>
    <t>202209PLL</t>
  </si>
  <si>
    <t>Cancer Biology &amp; Therapeutics</t>
  </si>
  <si>
    <t>Viralyzing transgenes to improve oncolytic immunotherapy</t>
  </si>
  <si>
    <t xml:space="preserve">1 yr 0 mth </t>
  </si>
  <si>
    <t>Biomedical Engineering-Biomaterials, Nanotechnology and Biomechanics; Genetics-Genomics, Transcriptomics and Proteomics; Immunology and Infection-Virology</t>
  </si>
  <si>
    <t>Viralyzing, transgenes, immunotherapy</t>
  </si>
  <si>
    <t>Alaoui-Jamali, Moulay A</t>
  </si>
  <si>
    <t>Quebec</t>
  </si>
  <si>
    <t>Operating Grant - Priority Announcement: Breast Cancer</t>
  </si>
  <si>
    <t>201003COP</t>
  </si>
  <si>
    <t>Investigation of the Filamin Signaling Network's Function in Cancer Progression</t>
  </si>
  <si>
    <t xml:space="preserve">5 yrs 0 mth </t>
  </si>
  <si>
    <t>CANCER THERAPY GENERAL; NEOPLASMS; CANCER; CELL BIOLOGY</t>
  </si>
  <si>
    <t>Filamin, Signaling, Cancer</t>
  </si>
  <si>
    <t>Operating Grant - PA: Institute of Cancer Research (bridge funding)</t>
  </si>
  <si>
    <t>200909IC3</t>
  </si>
  <si>
    <t>Cancer Progression &amp; Therapeutics</t>
  </si>
  <si>
    <t>Molecular and Translational Studies of Filamin Signaling Network in Invasive Cancer</t>
  </si>
  <si>
    <t>University of British Columbia</t>
  </si>
  <si>
    <t>British Columbia</t>
  </si>
  <si>
    <t>Project Grant</t>
  </si>
  <si>
    <t>202010PJT</t>
  </si>
  <si>
    <t>Biomedical Engineering</t>
  </si>
  <si>
    <t>Materials and Technologies for Highly Sensitive Biomarker Analysis of Extracellular Vesicles Toward Cancer Diagnostics</t>
  </si>
  <si>
    <t xml:space="preserve">3 yrs 0 mth </t>
  </si>
  <si>
    <t>Biomedical Engineering-Biomaterials, Nanotechnology and Biomechanics; Methods Development and Modelling-Quantitative Methods Development for Health Research</t>
  </si>
  <si>
    <t>Biomarker, Extracellular Vesicles, Cancer</t>
  </si>
  <si>
    <t>Aoudjit, Fawzi</t>
  </si>
  <si>
    <t>Universite Laval</t>
  </si>
  <si>
    <t>201403MOP</t>
  </si>
  <si>
    <t>Elucidating the role of alpha2beta1 integrin in the chemoresistance of acute lymphoblastic leukemia.</t>
  </si>
  <si>
    <t>LEUKAEMIAS; CANCER THERAPY GENERAL; CANCER</t>
  </si>
  <si>
    <t>alpha2beta1 integrin, chemoresistance, leukemia</t>
  </si>
  <si>
    <t>Project Grant - Priority Announcement: Pediatric Cancer Research</t>
  </si>
  <si>
    <t>202209PDI</t>
  </si>
  <si>
    <t>Understanding the role of beta1 integrins in chemoresistance of acute lymphoblastic leukemia and therapeutic implications</t>
  </si>
  <si>
    <t>Cancer-Mechanisms of Carcinogenesis; Cancer-Pediatric Cancer</t>
  </si>
  <si>
    <t>beta1 integrins, chemoresistance, leukemia</t>
  </si>
  <si>
    <t>Aparicio, Samuel J</t>
  </si>
  <si>
    <t>202303PJT</t>
  </si>
  <si>
    <t>Mechanisms and targeting of repair deficient cancers with G-quadruplex small molecule ligands</t>
  </si>
  <si>
    <t>Cancer-Cancer Progression and Metastasis</t>
  </si>
  <si>
    <t>G-quadruplex, small molecule, cancers</t>
  </si>
  <si>
    <t>201109MOP</t>
  </si>
  <si>
    <t>PP2a protein serine/threonine phosphatase mutations in cancer: functional consequences and clinical relevance</t>
  </si>
  <si>
    <t>BREAST CANCER; GENITO/URINARY SYSTEM</t>
  </si>
  <si>
    <t>PP2a, phosphatase, cancer</t>
  </si>
  <si>
    <t>Arcand, JoAnne</t>
  </si>
  <si>
    <t>Ontario Tech University</t>
  </si>
  <si>
    <t>Catalyst Grant: Personalized Health Catalyst Grants</t>
  </si>
  <si>
    <t>201706PCG</t>
  </si>
  <si>
    <t>Personalized Health - novel e-health applications</t>
  </si>
  <si>
    <t>Improving heart failure outcomes through apps that support self-management and adherence</t>
  </si>
  <si>
    <t xml:space="preserve">2 yrs 0 mth </t>
  </si>
  <si>
    <t>Nutrition, Metabolism and Diabetes</t>
  </si>
  <si>
    <t>STROKE, HEART FAILURE; HEALTH PROMOTION; CARDIOVASCULAR; NUTRITION</t>
  </si>
  <si>
    <t>heart failure, self-management, adherence</t>
  </si>
  <si>
    <t>Archambault, Denis</t>
  </si>
  <si>
    <t>Universite du Quebec e Montreal</t>
  </si>
  <si>
    <t>Operating Grant: COVID-19 Rapid Research Funding Opportunity - Vaccines</t>
  </si>
  <si>
    <t>202005VR1</t>
  </si>
  <si>
    <t>COVID-19 Rapid Research - Vaccines</t>
  </si>
  <si>
    <t>SARS-CoV-2 immunization strategies to enhance protective immunity with reduced risk of antibody-dependent enhancement (ADE)</t>
  </si>
  <si>
    <t>Infection and Immunity</t>
  </si>
  <si>
    <t>VIRAL; PNEUMONIA; VIROLOGY; HEALTH RESEARCH</t>
  </si>
  <si>
    <t>SARS-CoV-2, immunization, antibody-dependent enhancement</t>
  </si>
  <si>
    <t>Arnold, Donald M</t>
  </si>
  <si>
    <t>McMaster University</t>
  </si>
  <si>
    <t>Operating Grant: COVID-19 Rapid Research Funding Opportunity - Therapeutics</t>
  </si>
  <si>
    <t>202005VR3</t>
  </si>
  <si>
    <t>COVID-19 Rapid Research - Therapeutics</t>
  </si>
  <si>
    <t>A Randomized Open-Label Trial of CONvalescent Plasma for Hospitalized Adults With Acute COVID-19 Respiratory Illness (CONCOR-1)</t>
  </si>
  <si>
    <t>Circulatory and Respiratory Health</t>
  </si>
  <si>
    <t>BLOOD; VIRAL; IMMUNOLOGY-TRANSPLANTATION</t>
  </si>
  <si>
    <t>Convalescent Plasma, COVID-19, Respiratory Illness</t>
  </si>
  <si>
    <t>Arnold, Douglas L</t>
  </si>
  <si>
    <t>McGill University</t>
  </si>
  <si>
    <t>201303MOP</t>
  </si>
  <si>
    <t>Medical Physics &amp; Imaging</t>
  </si>
  <si>
    <t>Magnetic Resonance Imaging of Multiple Sclerosis</t>
  </si>
  <si>
    <t>Neurosciences, Mental Health and Addiction</t>
  </si>
  <si>
    <t>MULTIPLE SCLEROSIS; IMAGING; NERVOUS SYSTEM</t>
  </si>
  <si>
    <t>Magnetic Resonance, Imaging, Multiple Sclerosis</t>
  </si>
  <si>
    <t>University of Toronto</t>
  </si>
  <si>
    <t>Ashkar, Ali A</t>
  </si>
  <si>
    <t>201803PJT</t>
  </si>
  <si>
    <t>Utilizing chimeric antigen receptors to direct autologous NK cell cytotoxicity to breast cancer</t>
  </si>
  <si>
    <t>Cancer-Cancer Drug Development and Therapeutics; Immunology and Infection-Transplantation, Immune Tolerance and Tumor Immunology</t>
  </si>
  <si>
    <t>chimeric antigen receptors, NK cell, breast cancer</t>
  </si>
  <si>
    <t>Auer, Rebecca Ann C</t>
  </si>
  <si>
    <t>Ottawa Hospital Research Institute</t>
  </si>
  <si>
    <t>201903PJT</t>
  </si>
  <si>
    <t>Perioperative Targeting of Myeloid Derived Suppressor Cells to Alleviate Postoperative Immunosuppression and Metastases</t>
  </si>
  <si>
    <t>Cancer-Cancer Drug Development and Therapeutics; Cancer-Cancer Progression and Metastasis; Immunology and Infection-Transplantation, Immune Tolerance and Tumor Immunology; Pharmacological sciences - drug design and development</t>
  </si>
  <si>
    <t>Myeloid Derived Suppressor Cells, Immunosuppression, Metastases</t>
  </si>
  <si>
    <t>Ontario Institute for Cancer Research (Toronto, Ontario)</t>
  </si>
  <si>
    <t>202203PJT</t>
  </si>
  <si>
    <t>Cancer Biology &amp; Therapeutics 2</t>
  </si>
  <si>
    <t>Preparing for the Recovery from the Effects of the PAndemic on cancer control using Real-world Evidence in Canada (PREPARE-Canada)</t>
  </si>
  <si>
    <t>Cancer-Mechanisms of Carcinogenesis; Population and Health-Health Promotion and Disease Prevention</t>
  </si>
  <si>
    <t>cancer, real-world evidence, pandemic</t>
  </si>
  <si>
    <t>Azad, Taha</t>
  </si>
  <si>
    <t>Universite de Sherbrooke</t>
  </si>
  <si>
    <t>Bioengineering viruses to create safer and more effective oncolytic viruses</t>
  </si>
  <si>
    <t>Cancer-Cancer Drug Development and Therapeutics</t>
  </si>
  <si>
    <t>bioengineering, viruses, oncolytic</t>
  </si>
  <si>
    <t>University of Regina (Saskatchewan)</t>
  </si>
  <si>
    <t>Saskatchewan</t>
  </si>
  <si>
    <t>Operating Grant: COVID-19 Rapid Research Funding Opportunity - Diagnostics</t>
  </si>
  <si>
    <t>202005VR2</t>
  </si>
  <si>
    <t>COVID-19 Rapid Research - Diagnostics</t>
  </si>
  <si>
    <t>Development of SARS-CoV-2 Peptide Therapeutics and Point-of-Care Salivary Diagnostics for Rapid Viral Detection</t>
  </si>
  <si>
    <t>Genetics</t>
  </si>
  <si>
    <t>VIRAL; DRUGS- PHARMACEUTICAL SCIENCE/CHEMISTRY &amp; NON MEDICAL USE OF DRUGS; DRUG RESEARCH; VIROLOGY</t>
  </si>
  <si>
    <t>SARS-CoV-2, Peptide, Diagnostics</t>
  </si>
  <si>
    <t>VIRAL; VIROLOGY</t>
  </si>
  <si>
    <t>Bahlis, Nizar J</t>
  </si>
  <si>
    <t>University of Calgary</t>
  </si>
  <si>
    <t>Alberta</t>
  </si>
  <si>
    <t>Operating Grant - PA: Alberta Cancer Foundation - Research (bridge funding)</t>
  </si>
  <si>
    <t>201109OAC</t>
  </si>
  <si>
    <t>Bortezomib mediated BRCAness in Myeloma cells: novel therapeutic approach combining PARP1-2 and 26S proteasome inhibitors.</t>
  </si>
  <si>
    <t>Alberta Cancer Foundation</t>
  </si>
  <si>
    <t>CANCER THERAPY GENERAL; NEOPLASMS; CANCER; BLOOD</t>
  </si>
  <si>
    <t>Bortezomib, BRCAness, PARP1-2</t>
  </si>
  <si>
    <t>Bailey, Swneke D</t>
  </si>
  <si>
    <t>Research Institute of the McGill University Health Centre</t>
  </si>
  <si>
    <t>201909PJT</t>
  </si>
  <si>
    <t>Investigating the Molecular Determinants of Peritoneal Metastasis from Gastro-Esophageal Adenocarcinomas</t>
  </si>
  <si>
    <t>Peritoneal metastasis, Molecular determinants, Gastro-Esophageal adenocarcinomas</t>
  </si>
  <si>
    <t>Baker, Kristi</t>
  </si>
  <si>
    <t>University of Alberta</t>
  </si>
  <si>
    <t>201809PJT</t>
  </si>
  <si>
    <t>Chemokine-mediated control of anti-tumor immunity in DNA-repair deficient colorectal cancer</t>
  </si>
  <si>
    <t>Cancer-Cancer Progression and Metastasis; Immunology and Infection-Transplantation, Immune Tolerance and Tumor Immunology</t>
  </si>
  <si>
    <t>Chemokine, DNA-repair, colorectal cancer</t>
  </si>
  <si>
    <t>202209PJT</t>
  </si>
  <si>
    <t>Harnessing dendritic cells to regulate antitumor immunity in colorectal cancer</t>
  </si>
  <si>
    <t>Cancer-Mechanisms of Carcinogenesis; Immunology and Infection-Transplantation, Immune Tolerance and Tumor Immunology; Cancer-Cancer Progression and Metastasis</t>
  </si>
  <si>
    <t>dendritic cells, antitumor immunity, colorectal cancer</t>
  </si>
  <si>
    <t>Bally, Marcel B</t>
  </si>
  <si>
    <t>201003MOP</t>
  </si>
  <si>
    <t>Identifying Cytoprotective Responses Triggered Following Initial Exposure to Targeted Therapy: Defining Improved Treatment Strategies for Patients with HER-2 Positive Breast Cancer.</t>
  </si>
  <si>
    <t>BREAST CANCER THERAPY; DRUGS- PHARMACEUTICAL SCIENCE/CHEMISTRY &amp; NON MEDICAL USE OF DRUGS; DRUG RESEARCH; CANCER</t>
  </si>
  <si>
    <t>Cytoprotective responses, HER-2, breast cancer</t>
  </si>
  <si>
    <t>Biology of S100A8 and S100A9 proteins in Human Acute Myeloid Leukemia</t>
  </si>
  <si>
    <t>S100A8, S100A9, Leukemia</t>
  </si>
  <si>
    <t>Role of the RAS Pathway Activation on the Biology and Drug Response of Acute Myeloid Leukemias</t>
  </si>
  <si>
    <t>Cancer-Cancer Progression and Metastasis; Cancer-Cancer Drug Development and Therapeutics; Cancer-Pediatric Cancer</t>
  </si>
  <si>
    <t>RAS, Leukemias, Pathway</t>
  </si>
  <si>
    <t>Baracos, Vickie E</t>
  </si>
  <si>
    <t>Sarcopenia: a predictor of cancer treatment response, treatment toxicity &amp; drug metabolism</t>
  </si>
  <si>
    <t>LUNG CANCER THERAPY; CANCER THERAPY GENERAL; CANCER</t>
  </si>
  <si>
    <t>Sarcopenia, cancer, metabolism</t>
  </si>
  <si>
    <t>Barakat, Khaled H</t>
  </si>
  <si>
    <t>202104PJT</t>
  </si>
  <si>
    <t>Investigating the cell-based activity of a new class of cytotoxic T-lymphocyte antigen-4 (CTLA-4) small molecule inhibitors</t>
  </si>
  <si>
    <t>Immunology and Infection-Immunology and Autoimmune Diseases (including rheumatology)</t>
  </si>
  <si>
    <t>cytotoxic T-lymphocyte, CTLA-4, small molecule</t>
  </si>
  <si>
    <t>Bardakjian, Berj L</t>
  </si>
  <si>
    <t>Classification and control of the electrical activities in the brain's neural networks under epileptic seizure conditions</t>
  </si>
  <si>
    <t>EPILEPSY; MENTAL DISABILITY; BIOPHYSICS; NERVOUS SYSTEM</t>
  </si>
  <si>
    <t>brain, neural networks, epilepsy</t>
  </si>
  <si>
    <t>200903MOP</t>
  </si>
  <si>
    <t>Baron, Corey A</t>
  </si>
  <si>
    <t>Western University (Ontario)</t>
  </si>
  <si>
    <t>202109PJT</t>
  </si>
  <si>
    <t>Microstructural MRI in Temporal Lobe Epilepsy</t>
  </si>
  <si>
    <t>Biomedical Engineering-Biomedical Imaging; Neurosciences-Neurological disorders</t>
  </si>
  <si>
    <t>Microstructural MRI, Temporal Lobe Epilepsy</t>
  </si>
  <si>
    <t>VIRAL; INFECTIOUS AND PARASITIC; VIROLOGY; MOLECULAR BIOLOGY</t>
  </si>
  <si>
    <t>Barralet, Jake E</t>
  </si>
  <si>
    <t>Autosynthetics: Cranial Regeneration</t>
  </si>
  <si>
    <t>Musculoskeletal Health and Arthritis</t>
  </si>
  <si>
    <t>Musculoskeletal Health-Bone, Skin and Cartilage Sciences</t>
  </si>
  <si>
    <t>Autosynthetics, Cranial, Regeneration</t>
  </si>
  <si>
    <t>Barsyte-Lovejoy, Dalia</t>
  </si>
  <si>
    <t>202309PJT</t>
  </si>
  <si>
    <t>Targeting protein arginine methylation in the 9p21.3 loss tumor microenvironment</t>
  </si>
  <si>
    <t>protein, arginine methylation, tumor microenvironment</t>
  </si>
  <si>
    <t>202210PJT</t>
  </si>
  <si>
    <t>Targeting protein arginine methylation in tumor-associated macrophages</t>
  </si>
  <si>
    <t>protein, arginine, methylation</t>
  </si>
  <si>
    <t>Bartha, Robert</t>
  </si>
  <si>
    <t>200910MOP</t>
  </si>
  <si>
    <t>Magnetic Resonance PARACEST Imaging of In-vivo Protease Activity</t>
  </si>
  <si>
    <t>Aging</t>
  </si>
  <si>
    <t>ALZHEIMER'S DISEASE; AGING; IMAGING; BIOPHYSICS</t>
  </si>
  <si>
    <t>Magnetic Resonance, PARACEST, Protease</t>
  </si>
  <si>
    <t>Prostate cancer risk stratification for active surveillance using computer-aided analysis of histopathology and transcriptomics</t>
  </si>
  <si>
    <t>Cancer-Clinical Oncology; Artificial Intelligence-Machine Learning; Genetics-Genomics, Transcriptomics and Proteomics</t>
  </si>
  <si>
    <t>prostate cancer, histopathology, transcriptomics</t>
  </si>
  <si>
    <t>202403PJT</t>
  </si>
  <si>
    <t>aRtificial intelligence-driven computational pathology platform for blAdder Cancer subTyping (REACT)</t>
  </si>
  <si>
    <t>Artificial Intelligence-Machine Learning; Biomedical Engineering-Biomedical Imaging; Cancer-Cancer Drug Development and Therapeutics</t>
  </si>
  <si>
    <t>artificial intelligence, computational pathology, bladder cancer</t>
  </si>
  <si>
    <t>Basik, Mark</t>
  </si>
  <si>
    <t>202309PLL</t>
  </si>
  <si>
    <t>Altering the gut microbiome in Triple- negative breast cancer: a pilot study</t>
  </si>
  <si>
    <t>gut microbiome, breast cancer, triple-negative</t>
  </si>
  <si>
    <t>Targeting lipid metabolism in chemoresistant breast cancer</t>
  </si>
  <si>
    <t>lipid metabolism, chemoresistant, breast cancer</t>
  </si>
  <si>
    <t>Batist, Gerald</t>
  </si>
  <si>
    <t>Novel strategy to selectively target tumor cell growth and chemosensitivity</t>
  </si>
  <si>
    <t>CANCER THERAPY GENERAL; NONE OF THE ABOVE; CANCER; MOLECULAR BIOLOGY</t>
  </si>
  <si>
    <t>tumor, cell growth, chemosensitivity</t>
  </si>
  <si>
    <t>Unity Health Toronto</t>
  </si>
  <si>
    <t>Health Services and Policy Research</t>
  </si>
  <si>
    <t>Bazett-Jones, David P</t>
  </si>
  <si>
    <t>Hospital for Sick Children (Toronto)</t>
  </si>
  <si>
    <t>Catalyst Grant: Invention and High-Risk, High-Benefit Research</t>
  </si>
  <si>
    <t>200903NHG</t>
  </si>
  <si>
    <t>Inventions, Technologies, or High Risk Grants</t>
  </si>
  <si>
    <t>Nanomanipulation and high resolution in situ gene mapping</t>
  </si>
  <si>
    <t>LEUKAEMIAS; MULTIPLE DISEASE RELEVANCE; CELL BIOLOGY; CANCER</t>
  </si>
  <si>
    <t>Nanomanipulation, gene mapping, in situ</t>
  </si>
  <si>
    <t>Beauchemin, Nicole</t>
  </si>
  <si>
    <t>CEACAM1 in colon cancer progression and metastasis</t>
  </si>
  <si>
    <t>GASTRO-INTESTINAL CANCER; GASTRO-INTESTINAL CANCER THERAPY; CANCER; CELL BIOLOGY</t>
  </si>
  <si>
    <t>CEACAM1, colon cancer, metastasis</t>
  </si>
  <si>
    <t>Beaulieu, Christian</t>
  </si>
  <si>
    <t>Development of Novel Diffusion Magnetic Resonance Methods for the Brain: Initial Applications to Stroke</t>
  </si>
  <si>
    <t>STROKE, HEART FAILURE; MULTIDISCIPLINARY; IMAGING; NERVOUS SYSTEM</t>
  </si>
  <si>
    <t>Diffusion, Magnetic Resonance, Stroke</t>
  </si>
  <si>
    <t>200809MOP</t>
  </si>
  <si>
    <t>Quantitative Magnetic Resonance Imaging of Neurodevelopment</t>
  </si>
  <si>
    <t>CNS ORGANIC; MENTAL AND BEHAVIOURAL DISEASES; IMAGING; NERVOUS SYSTEM</t>
  </si>
  <si>
    <t>Magnetic Resonance, Imaging, Neurodevelopment</t>
  </si>
  <si>
    <t>202003PJT</t>
  </si>
  <si>
    <t>Set-up of a mass spectrometry-based stool test for colorectal cancer screening</t>
  </si>
  <si>
    <t>Cancer-Clinical Oncology</t>
  </si>
  <si>
    <t>mass spectrometry, stool test, colorectal cancer</t>
  </si>
  <si>
    <t>Beaulieu, Luc</t>
  </si>
  <si>
    <t>An Integrated Real-Time 3D Ultrasound Guidance System for Multi-catheters Breast Brachytherapy</t>
  </si>
  <si>
    <t>BREAST CANCER; BREAST CANCER THERAPY; CANCER; IMAGING</t>
  </si>
  <si>
    <t>Ultrasound, Brachytherapy, Guidance</t>
  </si>
  <si>
    <t>The impact of Monte Carlo dose calculations on prostate and breast low-dose rate brachytherapy dose-outcome relationships and radiobiological modeling.</t>
  </si>
  <si>
    <t>Monte Carlo, brachytherapy, radiobiological</t>
  </si>
  <si>
    <t>Towards Personalized Dosimetry-Based Radioligand Therapy of Prostate Cancer as a New Standard of Practice</t>
  </si>
  <si>
    <t>Biomedical Engineering-Biomedical Imaging; Cancer-Cancer Drug Development and Therapeutics; Artificial Intelligence-Machine Learning</t>
  </si>
  <si>
    <t>Dosimetry, Radioligand, Prostate Cancer</t>
  </si>
  <si>
    <t>Bell, Brendan B</t>
  </si>
  <si>
    <t>Catalyst Grant: Innovation in HIV Vaccine and HIV Cure Research</t>
  </si>
  <si>
    <t>201211CHR</t>
  </si>
  <si>
    <t>HIV Vaccine and Cure Research</t>
  </si>
  <si>
    <t>Core promoter-binding complexes as novel targets to cure HIV/AIDS</t>
  </si>
  <si>
    <t>AIDS; VIRAL; VIROLOGY; MOLECULAR BIOLOGY</t>
  </si>
  <si>
    <t>core promoter, binding complexes, HIV/AIDS</t>
  </si>
  <si>
    <t>Bell, John C</t>
  </si>
  <si>
    <t>Development of Vaccines to Prevent SARS-CoV-2 Infection of High Risk Individuals</t>
  </si>
  <si>
    <t>DRUGS- PHARMACEUTICAL SCIENCE/CHEMISTRY &amp; NON MEDICAL USE OF DRUGS; DRUG RESEARCH</t>
  </si>
  <si>
    <t>Vaccines,SARS-CoV-2,Infection</t>
  </si>
  <si>
    <t>202304PJT</t>
  </si>
  <si>
    <t>Overcoming barriers to effective cancer immunotherapy with an engineered virus based therapeutic</t>
  </si>
  <si>
    <t>cancer, immunotherapy, virus</t>
  </si>
  <si>
    <t>Ben-David, Yaacov</t>
  </si>
  <si>
    <t>201009MOP</t>
  </si>
  <si>
    <t>Interaction of cancer initiating cells with the tumor microenvironment during leukemogenesis</t>
  </si>
  <si>
    <t>LEUKAEMIAS; BLOOD; CANCER</t>
  </si>
  <si>
    <t>cancer cells, tumor microenvironment, leukemogenesis</t>
  </si>
  <si>
    <t>Bennewith, Kevin L</t>
  </si>
  <si>
    <t>Hypoxia in tumour-draining lymph nodes as an indication of immune activation and immunotherapy response</t>
  </si>
  <si>
    <t>Cancer-Cancer Progression and Metastasis; Cancer-Cancer Drug Development and Therapeutics</t>
  </si>
  <si>
    <t>hypoxia, lymph nodes, immunotherapy</t>
  </si>
  <si>
    <t>201109COP</t>
  </si>
  <si>
    <t>Promotion of breast cancer metastasis by tumour hypoxia and myeloid cells.</t>
  </si>
  <si>
    <t>BREAST CANCER; CANCER THERAPY GENERAL; CANCER; GENETICS</t>
  </si>
  <si>
    <t>breast cancer, metastasis, hypoxia</t>
  </si>
  <si>
    <t>Targeting cancer-associated fibroblasts and tumour hypoxia with angiotensin II receptor blockers</t>
  </si>
  <si>
    <t>cancer-associated fibroblasts, tumour hypoxia, angiotensin II receptor blockers</t>
  </si>
  <si>
    <t>Benoit, Yannick D</t>
  </si>
  <si>
    <t>University of Ottawa</t>
  </si>
  <si>
    <t>Defining the role of dopamine transporter in the hierarchical organization of colorectal tumors</t>
  </si>
  <si>
    <t>Cancer-Cancer Drug Development and Therapeutics; Cancer-Mechanisms of Carcinogenesis</t>
  </si>
  <si>
    <t>dopamine transporter, colorectal tumors</t>
  </si>
  <si>
    <t>Berman, Jason N</t>
  </si>
  <si>
    <t>Identifying novel strategies for leukemia prevention using zebrafish models of dnajc21-mutant Shwachman Diamond syndrome</t>
  </si>
  <si>
    <t>Cancer-Pediatric Cancer</t>
  </si>
  <si>
    <t>leukemia, zebrafish, dnajc21</t>
  </si>
  <si>
    <t>IWK Health Centre (Halifax)</t>
  </si>
  <si>
    <t>Nova Scotia</t>
  </si>
  <si>
    <t>Operating Grant - PA: Regional Partnership Program - Nova Scotia</t>
  </si>
  <si>
    <t>201103RNS</t>
  </si>
  <si>
    <t>Molecular interrogation and a small molecule screen of NUP98-HOXA9 induced AML in the zebrafish</t>
  </si>
  <si>
    <t>LEUKAEMIAS; CANCER; BLOOD</t>
  </si>
  <si>
    <t>NUP98-HOXA9, small molecule, AML</t>
  </si>
  <si>
    <t>New insights into mast cell development and contribution to malignant progression - further exploitation of the zebrafish model</t>
  </si>
  <si>
    <t>LEUKAEMIAS; CANCER; IMMUNOLOGY-TRANSPLANTATION</t>
  </si>
  <si>
    <t>mast cell, zebrafish, malignant progression</t>
  </si>
  <si>
    <t>Using the zebrafish as a model for chemoprevention for TP53 mutation carriers</t>
  </si>
  <si>
    <t>Genetics-Molecular and Functional Genetics and Epigenetics; Cancer-Pediatric Cancer; Pharmacological, Toxicological and Pharmaceutical Sciences-Translational and Clinical Pharmacology</t>
  </si>
  <si>
    <t>zebrafish, chemoprevention, TP53</t>
  </si>
  <si>
    <t>200909MOP</t>
  </si>
  <si>
    <t>Zebrafish as an in vivo model of vertebrate mast cell development and systemic mastocytosis</t>
  </si>
  <si>
    <t>BLOOD; LEUKAEMIAS; CANCER</t>
  </si>
  <si>
    <t>zebrafish, mast cell, systemic mastocytosis</t>
  </si>
  <si>
    <t>Bernard, Nicole F</t>
  </si>
  <si>
    <t>Determinants of the functional cure profile observed in HIV infected Elite Controllers.</t>
  </si>
  <si>
    <t>AIDS; VIRAL; IMMUNOLOGY-TRANSPLANTATION; VIROLOGY</t>
  </si>
  <si>
    <t>HIV, Elite Controllers, functional cure</t>
  </si>
  <si>
    <t>Bernasconi, Andrea</t>
  </si>
  <si>
    <t>Magnetic resonance imaging of epilepsy</t>
  </si>
  <si>
    <t>EPILEPSY; IMAGING; NERVOUS SYSTEM</t>
  </si>
  <si>
    <t>Magnetic resonance imaging, epilepsy</t>
  </si>
  <si>
    <t>Berthod, Franeois</t>
  </si>
  <si>
    <t>Peau reconstruite par genie tissulaire: etude de l'influence de l'innervation cutanee sur la guerison des plaies</t>
  </si>
  <si>
    <t>SKIN AND SUBCUTANEOUS TISSUS; INJURY, REGENERATION; CELL BIOLOGY; BIOCHEMISTRY</t>
  </si>
  <si>
    <t>Reparation des lesions des nerfs peripheriques par genie tissulaire</t>
  </si>
  <si>
    <t>Biomedical Engineering-Regenerative Medicine and Tissue Engineering</t>
  </si>
  <si>
    <t>nerfs, tissulaire, lesions</t>
  </si>
  <si>
    <t>Operating Grant - PA: INMHA (bridge funding)</t>
  </si>
  <si>
    <t>201503INO</t>
  </si>
  <si>
    <t>Strategies de reparation des transsections des nerfs peripheriques par genie tissulaire</t>
  </si>
  <si>
    <t>INJURY, REGENERATION; NONE OF THE ABOVE; CELL BIOLOGY; NERVOUS SYSTEM</t>
  </si>
  <si>
    <t>nerfs, tissulaire, reparation</t>
  </si>
  <si>
    <t>Bertrand, Richard</t>
  </si>
  <si>
    <t>Centre hospitalier de l'Universite de Montreal (CHUM)</t>
  </si>
  <si>
    <t>Bcl-xL regulation and function during G2 and mitotic spindle assembly checkpoints</t>
  </si>
  <si>
    <t>NEOPLASMS; CANCER THERAPY GENERAL; CANCER; MOLECULAR BIOLOGY</t>
  </si>
  <si>
    <t>Bcl-xL, mitotic spindle, checkpoints</t>
  </si>
  <si>
    <t>Beug, Shawn T</t>
  </si>
  <si>
    <t>Targeted immunotherapy for the treatment of brain cancer</t>
  </si>
  <si>
    <t>immunotherapy, brain cancer</t>
  </si>
  <si>
    <t>Bhattacharjee, Rabindra</t>
  </si>
  <si>
    <t>London Health Sciences Centre Res. Inc. (Ont.)</t>
  </si>
  <si>
    <t>Biomedical Engineering 2</t>
  </si>
  <si>
    <t>Drug repositioning in a simulated ischemia-reperfusion injury model for the preservation of donor kidneys at room temperature</t>
  </si>
  <si>
    <t>Methods Development and Modelling-Quantitative Methods Development for Health Research</t>
  </si>
  <si>
    <t>drug repositioning, ischemia-reperfusion injury, kidney preservation</t>
  </si>
  <si>
    <t>University of Waterloo (Ontario)</t>
  </si>
  <si>
    <t>Non-contact, high-resolution optical approach to assessing retinal neurovascular coupling in the healthy and glaucomatous retina</t>
  </si>
  <si>
    <t>Biomedical Engineering-Biomedical Imaging; Neurosciences-Sensory Systems (including visual, auditory and pain); Neurosciences-Neurodegeneration; Aging - related to neurodegeneration of the visual system</t>
  </si>
  <si>
    <t>retinal, neurovascular, optical</t>
  </si>
  <si>
    <t>Optical system for in-vivo imaging and label-free identification of stem cells in the human corneo-scleral limbus for treatment of corneal blindness</t>
  </si>
  <si>
    <t>Biomedical Engineering-Biomedical Imaging; Neurosciences-Sensory Systems (including visual, auditory and pain)</t>
  </si>
  <si>
    <t>optical, imaging, stem cells</t>
  </si>
  <si>
    <t>Blades, Michael W</t>
  </si>
  <si>
    <t>201003NHG</t>
  </si>
  <si>
    <t>A New Tool for the Comprehensive Analysis of Peptides and Proteins in Biological and Biomedical Research</t>
  </si>
  <si>
    <t>MULTIPLE DISEASE RELEVANCE; QUALITATIVE METHODS; GENOMICS, PROTEOMICS, AND BIOINFORMATICS; BIOPHYSICS</t>
  </si>
  <si>
    <t>peptides, proteins, analysis</t>
  </si>
  <si>
    <t>Blakney, Anna</t>
  </si>
  <si>
    <t>Engineering next-generation self-amplifying RNA therapeutics encoding bispecific T cell engager (BiTE) antibodies for treatment of ovarian cancer</t>
  </si>
  <si>
    <t>Biomedical Engineering-Biomaterials, Nanotechnology and Biomechanics; Cancer-Cancer Drug Development and Therapeutics</t>
  </si>
  <si>
    <t>RNA, bispecific T cell engager, ovarian cancer</t>
  </si>
  <si>
    <t>Blank, Volker</t>
  </si>
  <si>
    <t>201203MOP</t>
  </si>
  <si>
    <t>Regulation and function of NFE2L3: linking transcription factor activity to carcinogenesis.</t>
  </si>
  <si>
    <t>NEOPLASMS; CARCINOGENS (INCL ENVIRONMENTAL); CANCER; MOLECULAR BIOLOGY</t>
  </si>
  <si>
    <t>NFE2L3, transcription factor, carcinogenesis</t>
  </si>
  <si>
    <t>Regulation and function of NFE2L3: linking transcription factor activity to colorectal cancer</t>
  </si>
  <si>
    <t>Cancer-Mechanisms of Carcinogenesis; Molecular, Cellular and Systems Biology-Molecular Biology</t>
  </si>
  <si>
    <t>NFE2L3, transcription factor, colorectal cancer</t>
  </si>
  <si>
    <t>Characterization and efficacy of bisphosphonate eluting orthopaedic implants</t>
  </si>
  <si>
    <t>MUSCULO SKELETAL; ARTHRITIS/OSTEOARTHRITIS; MUSCLE, BONE, OR JOINT; DRUG RESEARCH</t>
  </si>
  <si>
    <t>bisphosphonate, orthopaedic implants, eluting</t>
  </si>
  <si>
    <t>Boffa, Michael B</t>
  </si>
  <si>
    <t>Development of a Novel Therapy to Prevent Breast Cancer Metastasis: Modulation of TAFI, a Master Regulator of Extracellular Proteolysis</t>
  </si>
  <si>
    <t>Cancer-Cancer Progression and Metastasis; Molecular, Cellular and Systems Biology-Biochemistry; Cancer - Cancer Drug Development and Therapeutics</t>
  </si>
  <si>
    <t>Breast cancer, metastasis, TAFI</t>
  </si>
  <si>
    <t>Boisvert, Francois-Michel</t>
  </si>
  <si>
    <t>Subcellular Redistribution of Proteins Following DNA Damage: A Role for the MCM Complex in DNA Repair.</t>
  </si>
  <si>
    <t>CANCER THERAPY GENERAL; ENVIRONMENTAL INFLUENCES ON HEALTH; GENOMICS, PROTEOMICS, AND BIOINFORMATICS; CELL BIOLOGY</t>
  </si>
  <si>
    <t>Proteins, DNA repair, MCM complex</t>
  </si>
  <si>
    <t>Operating Grant - PA: Cancer Research (bridge funding)</t>
  </si>
  <si>
    <t>201109IC1</t>
  </si>
  <si>
    <t>Subcellular Redistribution of Proteins Following DNA Damage: A Role for the MCM-ASF1 Complex in DNA Repair.</t>
  </si>
  <si>
    <t>Proteins,DNA Repair,MCM-ASF1</t>
  </si>
  <si>
    <t>Boivin, Guy</t>
  </si>
  <si>
    <t>Bolduc, Stephane</t>
  </si>
  <si>
    <t>La methode d'auto-assemblage pour l'elaboration de tissus urologiques autologues reconstruits par genie tissulaire.</t>
  </si>
  <si>
    <t>GENITO/URINARY SYSTEM; INJURY, REGENERATION; RENAL FUNCTION, NEPHROLOGY, UROLOGY</t>
  </si>
  <si>
    <t>auto-assemblage, tissus, g√©nie tissulaire</t>
  </si>
  <si>
    <t>Reconstruction de tissus urologiques par genie tissulaire.</t>
  </si>
  <si>
    <t>GENITO/URINARY SYSTEM; INJURY, REGENERATION; RENAL FUNCTION, NEPHROLOGY, UROLOGY; CELL BIOLOGY</t>
  </si>
  <si>
    <t>201709PJT</t>
  </si>
  <si>
    <t>Tissue Engineering of a functional Urethra for Autologous Reconstruction.</t>
  </si>
  <si>
    <t>Biomedical Engineering-Regenerative Medicine and Tissue Engineering; Digestive, Endocrine and Excretory Systems-Nephrology and Urology; Molecular, Cellular and Systems Biology-Cell Biology and Physiology</t>
  </si>
  <si>
    <t>Tissue Engineering, Urethra, Autologous</t>
  </si>
  <si>
    <t>Project Grant - PA: Sex and Gender in Health Research (Bridge funding)</t>
  </si>
  <si>
    <t>202010PJX</t>
  </si>
  <si>
    <t>Tissue-engineered solutions for uro-genital reconstruction, and replacing banned synthetic meshes.</t>
  </si>
  <si>
    <t>Gender and Health</t>
  </si>
  <si>
    <t>Biomedical Engineering-Regenerative Medicine and Tissue Engineering; Reproduction and Development-Developmental Biology and Organogenesis; Molecular, Cellular and Systems Biology-Cell Biology and Physiology</t>
  </si>
  <si>
    <t>tissue-engineered, uro-genital, synthetic meshes</t>
  </si>
  <si>
    <t>202403PJX</t>
  </si>
  <si>
    <t>Urethral reconstruction using tissue engineering, final steps towards clinical translation</t>
  </si>
  <si>
    <t>Biomedical Engineering-Regenerative Medicine and Tissue Engineering; Digestive, Endocrine and Excretory Systems-Nephrology and Urology; Reproduction and Development-Developmental Biology and Organogenesis</t>
  </si>
  <si>
    <t>urethral, tissue engineering, clinical</t>
  </si>
  <si>
    <t>Project Grant - Priority Announcement: Early Detection/Cancer Prevention</t>
  </si>
  <si>
    <t>202209DCP</t>
  </si>
  <si>
    <t>Hepatic stellate cells as a driver of the pre-metastatic niche in uveal melanoma</t>
  </si>
  <si>
    <t>Biomedical Engineering-Regenerative Medicine and Tissue Engineering; Cancer-Cancer Progression and Metastasis; Molecular, Cellular and Systems Biology-Cell Biology and Physiology</t>
  </si>
  <si>
    <t>hepatic stellate cells, pre-metastatic niche, uveal melanoma</t>
  </si>
  <si>
    <t>Bouchard, Maxime L</t>
  </si>
  <si>
    <t>Role of Gata3 in prostate stem cells and cancer</t>
  </si>
  <si>
    <t>PROSTATE AND BLADDER CANCER; GENITO/URINARY SYSTEM; CANCER; GENETICS</t>
  </si>
  <si>
    <t>Gata3, prostate, stem cells</t>
  </si>
  <si>
    <t>200909IC1</t>
  </si>
  <si>
    <t>Cooperation between the Notch and the kRas signaling pathways in pancreatic cancer progression.</t>
  </si>
  <si>
    <t>GASTRO-INTESTINAL CANCER; GASTRO-INTESTINAL CANCER THERAPY; CANCER; GASTROINTESTINAL (LIVER)</t>
  </si>
  <si>
    <t>Notch, kRas, pancreatic cancer</t>
  </si>
  <si>
    <t>Bouffet, Eric</t>
  </si>
  <si>
    <t>Combined MEK inhibition and metronomic chemotherapy for recurrent/refractory paediatric low grade gliomas</t>
  </si>
  <si>
    <t>MEK inhibition, chemotherapy, gliomas</t>
  </si>
  <si>
    <t>Upfront Adaptive Immunotherapy Approach for Hypermutant Glioblastoma in Children, Adolescents and Young Adults</t>
  </si>
  <si>
    <t>Cancer-Cancer Drug Development and Therapeutics; Cancer-Clinical Oncology</t>
  </si>
  <si>
    <t>Adaptive Immunotherapy, Glioblastoma, Hypermutant</t>
  </si>
  <si>
    <t>Bourgeois-Daigneault, Marie-Claude</t>
  </si>
  <si>
    <t>To uncover, understand and exploit the estrogen-oncolytic virus crosstalk to improve therapy</t>
  </si>
  <si>
    <t>estrogen, oncolytic virus, crosstalk</t>
  </si>
  <si>
    <t>Boutopoulos, Christos</t>
  </si>
  <si>
    <t>An OCT-controlled system for precise and reproducible subretinal drug injection in mice</t>
  </si>
  <si>
    <t xml:space="preserve">2 yrs 6 mths </t>
  </si>
  <si>
    <t>Biomedical Engineering-Biophysics, Medical Technologies and Instrumentation; Biomedical Engineering-Biomedical Imaging</t>
  </si>
  <si>
    <t>OCT, subretinal injection, mice</t>
  </si>
  <si>
    <t>Boutros, Paul C</t>
  </si>
  <si>
    <t>The evolution of prostate cancer</t>
  </si>
  <si>
    <t>prostate cancer</t>
  </si>
  <si>
    <t>Boyd, Steven K</t>
  </si>
  <si>
    <t>A biomedical engineering approach to investigating bone quality across the lifespan</t>
  </si>
  <si>
    <t>OSTEOPOROSIS; MUSCULO SKELETAL; MUSCLE, BONE, OR JOINT; HEALTH RESEARCH</t>
  </si>
  <si>
    <t>biomedical engineering, bone quality, lifespan</t>
  </si>
  <si>
    <t>Advanced multi-modal imaging to monitor progressive joint adaptation in the knee following an acute ligament injury</t>
  </si>
  <si>
    <t>Biomedical Engineering-Biomedical Imaging; Musculoskeletal Health-Bone, Skin and Cartilage Sciences</t>
  </si>
  <si>
    <t>multi-modal imaging, joint adaptation, ligament injury</t>
  </si>
  <si>
    <t>Predicting fragility fractures by non-invasive high-resolution imaging and advanced morphometrics</t>
  </si>
  <si>
    <t>Biomedical Engineering-Biomedical Imaging</t>
  </si>
  <si>
    <t>fragility fractures, high-resolution imaging, morphometrics</t>
  </si>
  <si>
    <t>Universite de Montreal</t>
  </si>
  <si>
    <t>Long-lasting recovery of lysosomal acid lipase deficiency using non-viral delivery of non-integrating episomal DNA constructs.</t>
  </si>
  <si>
    <t>Biomedical Engineering-Biomaterials, Nanotechnology and Biomechanics; Pharmacological, Toxicological and Pharmaceutical Sciences-Drug Discovery, Design and Delivery</t>
  </si>
  <si>
    <t>lysosomal acid lipase, non-viral delivery, episomal DNA</t>
  </si>
  <si>
    <t>Bramson, Jonathan L</t>
  </si>
  <si>
    <t>CAR-engineered CD4+ T cells for tumor immunotherapy</t>
  </si>
  <si>
    <t>CANCER THERAPY GENERAL; BREAST CANCER THERAPY; CANCER; IMMUNOLOGY-TRANSPLANTATION</t>
  </si>
  <si>
    <t>CAR, CD4+, T cells</t>
  </si>
  <si>
    <t>Genomics-based radiosensitization for HPV-negative squamous cell carcinoma of the aerodigestive tract</t>
  </si>
  <si>
    <t>Cancer-Cancer Drug Development and Therapeutics; Pharmacological, Toxicological and Pharmaceutical Sciences-Translational and Clinical Pharmacology</t>
  </si>
  <si>
    <t>Genomics, radiosensitization, carcinoma</t>
  </si>
  <si>
    <t>Lung cancer early detection and classification using methylome analysis of plasma cell free DNA</t>
  </si>
  <si>
    <t>lung cancer, methylome, plasma cell free DNA</t>
  </si>
  <si>
    <t>Bremner, Rod</t>
  </si>
  <si>
    <t>Sinai Health System (Toronto)</t>
  </si>
  <si>
    <t>Role of YAP and TAZ in Acute Myeloid Leukemia</t>
  </si>
  <si>
    <t>Genetics-Molecular and Functional Genetics and Epigenetics; Cancer-Cancer Drug Development and Therapeutics</t>
  </si>
  <si>
    <t>YAP, TAZ, Leukemia</t>
  </si>
  <si>
    <t>Brindley, David N</t>
  </si>
  <si>
    <t>Targeting lysophosphatidate (LPA) signaling to improve therapeutic outcomes  for breast cancer patients</t>
  </si>
  <si>
    <t>lysophosphatidate, signaling, breast cancer</t>
  </si>
  <si>
    <t>Brinkman, Ryan</t>
  </si>
  <si>
    <t>Operating Grant: Priority Announcement (IHSPR)</t>
  </si>
  <si>
    <t>200809IHP</t>
  </si>
  <si>
    <t>Statistical analysis of clinical lymphoma data for automated quality assurance of diagnosis and biomarker identification</t>
  </si>
  <si>
    <t>CANCER THERAPY GENERAL; HEALTH SERVICES RESEARCH; CANCER</t>
  </si>
  <si>
    <t>statistical analysis, lymphoma, biomarker</t>
  </si>
  <si>
    <t>Brock, Kristy K</t>
  </si>
  <si>
    <t>A Finite Element Model Approach to Modeling Changes of the Head and Neck</t>
  </si>
  <si>
    <t>CANCER THERAPY GENERAL; CANCER; IMAGING</t>
  </si>
  <si>
    <t>Finite Element, Head, Neck</t>
  </si>
  <si>
    <t>Brodt, Pnina</t>
  </si>
  <si>
    <t>Regulatory circuits controlling the immune microenvironment of liver metastases</t>
  </si>
  <si>
    <t>Cancer-Cancer Progression and Metastasis; Molecular, Cellular and Systems Biology-Cell Signaling</t>
  </si>
  <si>
    <t>regulatory circuits, immune microenvironment, liver metastases</t>
  </si>
  <si>
    <t>Role of the microenvironment in liver metastasis</t>
  </si>
  <si>
    <t>NEOPLASMS; GASTRO-INTESTINAL CANCER; CANCER; MOLECULAR BIOLOGY</t>
  </si>
  <si>
    <t>microenvironment, liver, metastasis</t>
  </si>
  <si>
    <t>Brown, Jeremy A</t>
  </si>
  <si>
    <t>Dalhousie University (Nova Scotia)</t>
  </si>
  <si>
    <t>Precision Image-Guided Ultrasound Ablation of Brain Tumors: A Longitudinal Pre-Clinical Study using a Newly Developed Platform</t>
  </si>
  <si>
    <t>Biomedical Engineering-Biomedical Imaging; Cancer-Cancer Drug Development and Therapeutics; Biomedical Engineering-Biophysics, Medical Technologies and Instrumentation</t>
  </si>
  <si>
    <t>Image-Guided, Ultrasound, Ablation</t>
  </si>
  <si>
    <t>Brunette, Donald M</t>
  </si>
  <si>
    <t>Regulation of cell behaviour on implants by surface topography</t>
  </si>
  <si>
    <t>DENTAL DISEASE (INCL. ORAL BIOLOGY); DENTAL SCIENCE - Oral Biology; MUSCLE, BONE, OR JOINT</t>
  </si>
  <si>
    <t>cell, surface, topography</t>
  </si>
  <si>
    <t>Buckstein, Rena J</t>
  </si>
  <si>
    <t>201103IC1</t>
  </si>
  <si>
    <t>Myelodysplastic Syndromes (MDS) in Canada:  A national prospective study of the epidemiology, quality of life and impact of co-morbidity/frailty on disease outcome</t>
  </si>
  <si>
    <t>BLOOD; EPIDEMIOLOGY; CANCER; HEALTH RESEARCH</t>
  </si>
  <si>
    <t>Myelodysplastic Syndromes, epidemiology, co-morbidity</t>
  </si>
  <si>
    <t>Burnier, Julia</t>
  </si>
  <si>
    <t>Modelling cancer cell-derived extracellular vesicles using synthetic nanoparticles</t>
  </si>
  <si>
    <t>Cancer-Cancer Progression and Metastasis; Biomedical Engineering-Biomaterials, Nanotechnology and Biomechanics</t>
  </si>
  <si>
    <t>cancer, extracellular vesicles, nanoparticles</t>
  </si>
  <si>
    <t>Burns, Peter N</t>
  </si>
  <si>
    <t>Acoustically activated submicron droplets of liquid perfluorocarbon as a new contrast agent for ultrasound imaging</t>
  </si>
  <si>
    <t>NEOPLASMS; BREAST CANCER; IMAGING; BIOPHYSICS</t>
  </si>
  <si>
    <t>acoustically activated, submicron droplets, ultrasound imaging</t>
  </si>
  <si>
    <t>Ultrasound Imaging Investigation of Resistance and Adaptation to Targeted Anti-cancer Therapeutics</t>
  </si>
  <si>
    <t>CANCER THERAPY GENERAL; IMAGING; BIOPHYSICS</t>
  </si>
  <si>
    <t>Ultrasound, Imaging, Anti-cancer</t>
  </si>
  <si>
    <t>Buschmann, Michael D</t>
  </si>
  <si>
    <t>Operating Grant - PA: Inst of Nutrition, Metabolism and Diabetes -Bridge Funding</t>
  </si>
  <si>
    <t>200903NMD</t>
  </si>
  <si>
    <t>Chitosan/Plasmid-DNA Polyelectrolyte Complexes for Delivery of Glucagon-Like Peptide-1 (GLP-1) in Diabetes Type 2 Models</t>
  </si>
  <si>
    <t>DIABETES MELLITUS; OBESITY; METABOLISM/DIABETES; BIOPHYSICS</t>
  </si>
  <si>
    <t>Chitosan, Plasmid-DNA, GLP-1</t>
  </si>
  <si>
    <t>Operating Grant - PA: Musculoskeletal Health, Arthritis, Skin and Oral Health</t>
  </si>
  <si>
    <t>201009IMH</t>
  </si>
  <si>
    <t>Mechanisms and optimisation of marrow stimulated cartilage repair</t>
  </si>
  <si>
    <t>ARTHRITIS/OSTEOARTHRITIS; INJURY, REGENERATION; MUSCLE, BONE, OR JOINT</t>
  </si>
  <si>
    <t>marrow, cartilage, repair</t>
  </si>
  <si>
    <t>201103MOP</t>
  </si>
  <si>
    <t>Polymer-based Gene Delivery for Rheumatoid Arthritis</t>
  </si>
  <si>
    <t>ARTHRITIS/OSTEOARTHRITIS; MUSCLE, BONE, OR JOINT</t>
  </si>
  <si>
    <t>Polymer, Gene Delivery, Rheumatoid Arthritis</t>
  </si>
  <si>
    <t>Busque, Lambert</t>
  </si>
  <si>
    <t>Relationship between clonal architecture of aging hematopoiesis and the risk of developing age-associated myeloid cancers.</t>
  </si>
  <si>
    <t>LEUKAEMIAS; AGING; BLOOD; GENETICS</t>
  </si>
  <si>
    <t>clonal architecture, hematopoiesis, myeloid cancers</t>
  </si>
  <si>
    <t>Buttyan, Ralph</t>
  </si>
  <si>
    <t>Interference with Gli to Control Castration Resistant Prostate Cancer</t>
  </si>
  <si>
    <t>Cancer-Cancer Drug Development and Therapeutics; Sex-and-Gender Health-Sex Differences in Cells, Tissues and Animals</t>
  </si>
  <si>
    <t>Gli, prostate cancer, interference</t>
  </si>
  <si>
    <t>Paracrine Hedgehog as a Mediator of Castration Resistant Prostate Cancer</t>
  </si>
  <si>
    <t>PROSTATE AND BLADDER CANCER; ENDOCRINOLOGY; CANCER</t>
  </si>
  <si>
    <t>Hedgehog, Paracrine, Prostate Cancer</t>
  </si>
  <si>
    <t>201503MOP</t>
  </si>
  <si>
    <t>Personalizing Radionuclide Therapy of Neuroendocrine Tumours</t>
  </si>
  <si>
    <t>CANCER THERAPY GENERAL; MULTIDISCIPLINARY; CANCER; IMAGING</t>
  </si>
  <si>
    <t>Radionuclide, Neuroendocrine, Tumours</t>
  </si>
  <si>
    <t>Campbell, Robert E</t>
  </si>
  <si>
    <t>200902NHG</t>
  </si>
  <si>
    <t>Intracellular biosensors based on engineered fluorescent proteins: new tools and techniques for imaging the spatiotemporal dynamics of correlated biochemical events in single cells</t>
  </si>
  <si>
    <t>CANCER THERAPY GENERAL; BREAST CANCER; BIOCHEMISTRY; IMAGING</t>
  </si>
  <si>
    <t>biosensors, fluorescent proteins, imaging</t>
  </si>
  <si>
    <t>New tools for real-time imaging of multiple signaling events in single cells: design, construction, and biological applications of genetically encoded biosensors</t>
  </si>
  <si>
    <t>DIABETES MELLITUS; CANCER THERAPY GENERAL; IMAGING; BIOCHEMISTRY</t>
  </si>
  <si>
    <t>imaging, biosensors, signaling</t>
  </si>
  <si>
    <t>Carreau, Madeleine</t>
  </si>
  <si>
    <t>Understanding Head and Neck Squamous Cell Carcinoma onset in young adults</t>
  </si>
  <si>
    <t>Head, Neck, Carcinoma</t>
  </si>
  <si>
    <t>The Use of Extended Peri-operative Low Molecular Weight Heparin to Improve Cancer Specific Survival Following Surgical Resection of Colon Cancer: A Randomized Controlled Trial</t>
  </si>
  <si>
    <t>GASTRO-INTESTINAL CANCER; CLOTTING DEFECTS/THROMBOSIS; CANCER; HEALTH RESEARCH</t>
  </si>
  <si>
    <t>Heparin, Cancer, Surgery</t>
  </si>
  <si>
    <t>Carson, Jeffrey J</t>
  </si>
  <si>
    <t>Development of a photoacoustic imaging system for lesion characterization during breast cancer diagnostics</t>
  </si>
  <si>
    <t>BREAST CANCER; IMAGING; CANCER</t>
  </si>
  <si>
    <t>photoacoustic, imaging, breast cancer</t>
  </si>
  <si>
    <t>Catelas, Isabelle</t>
  </si>
  <si>
    <t>201309MOP</t>
  </si>
  <si>
    <t>Identification and modulation of molecular mechanisms involved in the biological response to wear and corrosion of hip implants</t>
  </si>
  <si>
    <t>MUSCULO SKELETAL; MULTIDISCIPLINARY; MUSCLE, BONE, OR JOINT; CELL BIOLOGY</t>
  </si>
  <si>
    <t>molecular mechanisms, biological response, hip implants</t>
  </si>
  <si>
    <t>Project Grant - PA: MSK, Skin and Oral Health: Clinical Research - MSK Health</t>
  </si>
  <si>
    <t>201803PJ5</t>
  </si>
  <si>
    <t>Identification of molecular mechanisms involved in the biological response to implant wear and corrosion</t>
  </si>
  <si>
    <t>Biomedical Engineering-Biomaterials, Nanotechnology and Biomechanics; Musculoskeletal Health-Bone, Skin and Cartilage Sciences</t>
  </si>
  <si>
    <t>molecular mechanisms, implant wear, corrosion</t>
  </si>
  <si>
    <t>Cattral, Mark S</t>
  </si>
  <si>
    <t>Investigation of Dendritic Cell De-differentiation in Cancer</t>
  </si>
  <si>
    <t>CANCER THERAPY GENERAL; NEOPLASMS; CANCER</t>
  </si>
  <si>
    <t>Dendritic cell, De-differentiation, Cancer</t>
  </si>
  <si>
    <t>Transformation of the Tumor Microenvironment with Genetically-modifed Dendritic Cells for T cell-mediated Immunotherapy</t>
  </si>
  <si>
    <t>Tumor, Dendritic Cells, Immunotherapy</t>
  </si>
  <si>
    <t>Cellot, Sonia</t>
  </si>
  <si>
    <t>Centre hospitalier universitaire Sainte-Justine (Montreal, Quebec)</t>
  </si>
  <si>
    <t>Exploiting induction of mitochondrial apoptosis as a therapeutic vulnerability in high fatality pediatric leukemia</t>
  </si>
  <si>
    <t>mitochondrial apoptosis, pediatric leukemia, therapeutic vulnerability</t>
  </si>
  <si>
    <t>Cescon, David W</t>
  </si>
  <si>
    <t>Discovery and validation of vulnerabilities and therapeutic strategies for cyclin-dependent kinase 4/6 inhibitor-resistant hormone receptor positive breast cancer</t>
  </si>
  <si>
    <t>cyclin-dependent kinase, inhibitor, breast cancer</t>
  </si>
  <si>
    <t>Chakravarty, Megha M</t>
  </si>
  <si>
    <t>Studying prenatal exposure to maternal immune activation as risk factor for neurodevelopmental disorders: from the fetus to adulthood</t>
  </si>
  <si>
    <t>Mental Health and Behavioural Conditions-Psychology and Psychiatry; Biomedical Engineering-Biomedical Imaging; Methods Development and Modelling-Computational Biology</t>
  </si>
  <si>
    <t>prenatal exposure, maternal immune activation, neurodevelopmental disorders</t>
  </si>
  <si>
    <t>Champagne, Pierre-Olivier</t>
  </si>
  <si>
    <t>Organogenese de muqueuse nasale autologue pour la reconstruction endoscopique endonasale en chirurgie de la base du crene</t>
  </si>
  <si>
    <t>Biomedical Engineering-Biomaterials, Nanotechnology and Biomechanics</t>
  </si>
  <si>
    <t>organogenese, muqueuse nasale, reconstruction</t>
  </si>
  <si>
    <t>Chan, Jennifer A</t>
  </si>
  <si>
    <t>The role of CIC in oligodendroglioma</t>
  </si>
  <si>
    <t>BRAIN TUMORS (INCL. RETINAL TUMORS); CANCER; NERVOUS SYSTEM</t>
  </si>
  <si>
    <t>CIC, oligodendroglioma</t>
  </si>
  <si>
    <t>Chan, Steven M</t>
  </si>
  <si>
    <t>PINK1 Inhibition as a Novel Therapeutic Strategy to Target Acute Myeloid Leukemia Stem Cells</t>
  </si>
  <si>
    <t>PINK1, Inhibition, Leukemia</t>
  </si>
  <si>
    <t>Repurposing Metformin to Target TET2 Mutation Driven Clonal Hematopoiesis and Malignant Transformation</t>
  </si>
  <si>
    <t>Metformin, TET2, Hematopoiesis</t>
  </si>
  <si>
    <t>Role of Thrombopoietin Receptor (TPO-R) Signaling in TET2 Mutation-Driven Clonal Hematopoiesis</t>
  </si>
  <si>
    <t>Cancer-Cancer Progression and Metastasis; Cancer-Mechanisms of Carcinogenesis; Cancer-Cancer Drug Development and Therapeutics</t>
  </si>
  <si>
    <t>Thrombopoietin, Receptor, TET2</t>
  </si>
  <si>
    <t>Chan, Warren C</t>
  </si>
  <si>
    <t>Assessing the Size Dependent Cancer Targeting of Herceptin-coated Nanoparticles</t>
  </si>
  <si>
    <t>BREAST CANCER; BIOPHYSICS; CANCER</t>
  </si>
  <si>
    <t>Herceptin, nanoparticles, cancer</t>
  </si>
  <si>
    <t>Charron, Frederic</t>
  </si>
  <si>
    <t>Hedgehog signaling and medulloblastoma tumorigenesis</t>
  </si>
  <si>
    <t>BRAIN TUMORS (INCL. RETINAL TUMORS); NEOPLASMS; CANCER; GENETICS</t>
  </si>
  <si>
    <t>Hedgehog signaling, medulloblastoma, tumorigenesis</t>
  </si>
  <si>
    <t>Investigation of a novel tumor suppressor mechanism in medulloblastoma</t>
  </si>
  <si>
    <t>tumor suppressor, medulloblastoma</t>
  </si>
  <si>
    <t>BREAST CANCER; PROSTATE AND BLADDER CANCER; CANCER; IMAGING</t>
  </si>
  <si>
    <t>Chen, Guojun</t>
  </si>
  <si>
    <t>202109PLL</t>
  </si>
  <si>
    <t>Engineering injectable cold atmospheric plasma-preserved hydrogel to treat breast cancer</t>
  </si>
  <si>
    <t>injectable, plasma, hydrogel</t>
  </si>
  <si>
    <t>Chen, Jing J</t>
  </si>
  <si>
    <t>Baycrest Centre for Geriatric Care (Toronto)</t>
  </si>
  <si>
    <t>Project Grant - PA: Neurosciences, Mental Health and Addiction</t>
  </si>
  <si>
    <t>201909PJ8</t>
  </si>
  <si>
    <t>Mapping cellular and extracellular white-matter changes in aging using MRI: Towards clinical translation</t>
  </si>
  <si>
    <t>Biomedical Engineering-Biomedical Imaging; Aging-Aging Process and Biological Determinants of Aging</t>
  </si>
  <si>
    <t>white-matter, MRI, aging</t>
  </si>
  <si>
    <t>Physiology Basis of Resting-State Functional MRI</t>
  </si>
  <si>
    <t>AGING; STROKE, HEART FAILURE</t>
  </si>
  <si>
    <t>Resting-State, Functional MRI, Physiology</t>
  </si>
  <si>
    <t>Chen, Junjian Z</t>
  </si>
  <si>
    <t>A high throughput platform for discovery and noninvasive detection of tumor-specific fusion genes in human cancer</t>
  </si>
  <si>
    <t>PROSTATE AND BLADDER CANCER; NEOPLASMS; CANCER; GENETICS</t>
  </si>
  <si>
    <t>high throughput, fusion genes, cancer</t>
  </si>
  <si>
    <t>Cheng, Hai-Ling M</t>
  </si>
  <si>
    <t>A Novel Targeted MRI Probe for Safe and Early Detection of Fibrosis</t>
  </si>
  <si>
    <t>Biomedical Engineering-Biomedical Imaging; Biomedical Engineering-Biophysics, Medical Technologies and Instrumentation</t>
  </si>
  <si>
    <t>MRI, Probe, Fibrosis</t>
  </si>
  <si>
    <t>Multimodal Image-based Simulation Tool to Support Decision-Making in Scoliosis Surgery</t>
  </si>
  <si>
    <t>Multimodal, Image-based, Scoliosis</t>
  </si>
  <si>
    <t>Non-Invasive Assessment of Scoliotic Trunk Mobility for an Effective Management of Patients</t>
  </si>
  <si>
    <t>Non-Invasive, Scoliotic, Mobility</t>
  </si>
  <si>
    <t>Cherkasov, Artem</t>
  </si>
  <si>
    <t>DRUGS- PHARMACEUTICAL SCIENCE/CHEMISTRY &amp; NON MEDICAL USE OF DRUGS; INFECTIOUS AND PARASITIC; DRUG RESEARCH; INTERNATIONAL HEALTH</t>
  </si>
  <si>
    <t>Computer-aided discovery of synergistic drug combinations with Remdevisir for COVID-19 through mechanism-based drug repurposing and combinatorial organoid screening.</t>
  </si>
  <si>
    <t>drug combinations, COVID-19, organoid screening</t>
  </si>
  <si>
    <t>Design and evaluation of small molecules that target the dimerization interface of full-length and splice-variant forms of the androgen receptor as a potential treatment for advanced prostate cancer</t>
  </si>
  <si>
    <t>small molecules, androgen receptor, prostate cancer</t>
  </si>
  <si>
    <t>Chevrette, Mario</t>
  </si>
  <si>
    <t>CD9 and its partners: their role in induction of mitotic catastrophe and in irradiation and microtubule-targeted drug sensitivity.</t>
  </si>
  <si>
    <t>PROSTATE AND BLADDER CANCER; PROSTATE AND BLADDER CANCER THERAPY; CANCER; CELL BIOLOGY</t>
  </si>
  <si>
    <t>CD9, mitotic catastrophe, microtubules</t>
  </si>
  <si>
    <t>Cheyne, Douglas O</t>
  </si>
  <si>
    <t>Medical Physics &amp; Imaging 2</t>
  </si>
  <si>
    <t>Non-invasive imaging of sensorimotor plasticity following cranial nerve repair</t>
  </si>
  <si>
    <t>Biomedical Engineering-Biomedical Imaging; Neurosciences-Motor Systems; Neurosciences-Neurodevelopment</t>
  </si>
  <si>
    <t>imaging, sensorimotor, cranial nerve</t>
  </si>
  <si>
    <t>Chiew, Mark</t>
  </si>
  <si>
    <t>202309DCP</t>
  </si>
  <si>
    <t>Rapid Diagnostic Imaging of Brain Metastases using Computational MRI</t>
  </si>
  <si>
    <t>Biomedical Engineering-Biomedical Imaging; Artificial Intelligence-Machine Learning; Cancer-Cancer Progression and Metastasis</t>
  </si>
  <si>
    <t>Diagnostic, Imaging, MRI</t>
  </si>
  <si>
    <t>Chithrani, Devika B</t>
  </si>
  <si>
    <t>University of Victoria (British Columbia)</t>
  </si>
  <si>
    <t>Exploiting the full potential of cancer radiotherapy using a novel combined treatment approach to treat locally advanced tumors</t>
  </si>
  <si>
    <t>cancer, radiotherapy, tumors</t>
  </si>
  <si>
    <t>Chou, Leo</t>
  </si>
  <si>
    <t>Lymph node targeting of DNA nanostructured vaccines</t>
  </si>
  <si>
    <t>Lymph node, DNA nanostructures, vaccines</t>
  </si>
  <si>
    <t>Clemente Casares, Javier</t>
  </si>
  <si>
    <t>The Role of CSF2RB1 Ligands in Cancer-Associated Cachexia</t>
  </si>
  <si>
    <t>Cancer-Cancer Progression and Metastasis; Musculoskeletal Health-Skeletal Muscle Biology and Physiology; Immunology and Infection-Immunology and Autoimmune Diseases (including rheumatology)</t>
  </si>
  <si>
    <t>CSF2RB1, Ligands, Cancer-Associated Cachexia</t>
  </si>
  <si>
    <t>Cloutier, Guy</t>
  </si>
  <si>
    <t>Inflammatory phenotype, senescence, and viscoelasticity imaging of macrophages in HIV</t>
  </si>
  <si>
    <t>inflammatory, senescence, macrophages</t>
  </si>
  <si>
    <t>Plane-wave quantitative ultrasound imaging of blood mechanical properties</t>
  </si>
  <si>
    <t>BLOOD; MULTIDISCIPLINARY; IMAGING; CARDIOVASCULAR</t>
  </si>
  <si>
    <t>plane-wave, ultrasound, blood</t>
  </si>
  <si>
    <t>Premature carotid atherosclerosis evolution and plaque vulnerability assessed by quantitative ultrasound biomarkers in HIV-infected individuals</t>
  </si>
  <si>
    <t>carotid atherosclerosis, ultrasound biomarkers, plaque vulnerability</t>
  </si>
  <si>
    <t>Cobb, Jennifer A</t>
  </si>
  <si>
    <t>Nej1 and Lif1 form structural filaments that bridge the ends of DNA at a DSB</t>
  </si>
  <si>
    <t>CANCER THERAPY GENERAL; GENETICS; CANCER</t>
  </si>
  <si>
    <t>Nej1, Lif1, DNA</t>
  </si>
  <si>
    <t>Collins, Colin C</t>
  </si>
  <si>
    <t>Uncovering early mediators of lineage plasticity and validation of a metabolic vulnerability in neuroendocrine prostate cancer</t>
  </si>
  <si>
    <t>Cancer-Cancer Progression and Metastasis; Molecular, Cellular and Systems Biology-Molecular Biology</t>
  </si>
  <si>
    <t>lineage plasticity, metabolic vulnerability, neuroendocrine prostate cancer</t>
  </si>
  <si>
    <t>Collins, Donald L</t>
  </si>
  <si>
    <t>Development and validation of MRI biomarkers for diagnosis and prognosis of prodromal Alzheimer's disease</t>
  </si>
  <si>
    <t>ALZHEIMER'S DISEASE; MULTIDISCIPLINARY; AGING; IMAGING</t>
  </si>
  <si>
    <t>MRI, biomarkers, Alzheimer's</t>
  </si>
  <si>
    <t>Operating Grant: Fall 2008 Priority Announcement (IMHA)</t>
  </si>
  <si>
    <t>200809MUS</t>
  </si>
  <si>
    <t>MUSCULO SKELETAL; SPINAL CORD DISEASE; NERVOUS SYSTEM; IMAGING</t>
  </si>
  <si>
    <t>Image guided neurosurgery: Improving guidance during spinal surgery.</t>
  </si>
  <si>
    <t>Image, neurosurgery, guidance</t>
  </si>
  <si>
    <t>Radiation-free neuronavigation system for spinal tumor surgery: an intraoperative augmented reality guided surgery platform</t>
  </si>
  <si>
    <t>neuronavigation, augmented reality, spinal tumor</t>
  </si>
  <si>
    <t>Coombs, Kevin M</t>
  </si>
  <si>
    <t>University of Manitoba</t>
  </si>
  <si>
    <t>Manitoba</t>
  </si>
  <si>
    <t>Integrated multi-omic delineation of SARS-CoV-2-dysregulated cellular processes</t>
  </si>
  <si>
    <t>VIRAL; INFECTIOUS AND PARASITIC; VIROLOGY; CELL BIOLOGY</t>
  </si>
  <si>
    <t>multi-omic, SARS-CoV-2, cellular processes</t>
  </si>
  <si>
    <t>Development of novel OCT-based clinical measurements of ocular elasticity and retinal deformation as risk factors in glaucoma.</t>
  </si>
  <si>
    <t>GLAUCOMA; MULTIDISCIPLINARY; IMAGING; VISION</t>
  </si>
  <si>
    <t>OCT, ocular elasticity, retinal deformation</t>
  </si>
  <si>
    <t>Local and global biomechanical properties of the eye as new glaucoma risk factors</t>
  </si>
  <si>
    <t>biomechanical properties, eye, glaucoma</t>
  </si>
  <si>
    <t>Cottrell, Tricia</t>
  </si>
  <si>
    <t>Queen's University (Kingston, Ontario)</t>
  </si>
  <si>
    <t>Immunophenotyping Malignant Pleural Mesothelioma: Identifying Predictive and Prognostic Biomarkers for Combinatorial Immunotherapy</t>
  </si>
  <si>
    <t>Immunophenotyping, Mesothelioma, Biomarkers</t>
  </si>
  <si>
    <t>Craig, Andrew W</t>
  </si>
  <si>
    <t>Roles of F-BAR proteins in lung cancer progression and metastases</t>
  </si>
  <si>
    <t>LUNG CANCER; CANCER THERAPY GENERAL; CANCER; CELL BIOLOGY</t>
  </si>
  <si>
    <t>F-BAR, lung cancer, metastases</t>
  </si>
  <si>
    <t>Targeting TGF-beta signaling to achieve durable therapy responses in preclinical ovarian cancer models</t>
  </si>
  <si>
    <t>Cancer-Cancer Drug Development and Therapeutics; Cancer-Cancer Progression and Metastasis</t>
  </si>
  <si>
    <t>TGF-beta, signaling, ovarian cancer</t>
  </si>
  <si>
    <t>Translating synthetic lethality with common driver events into targeted therapies for high fatality cancers</t>
  </si>
  <si>
    <t>synthetic lethality, driver events, targeted therapies</t>
  </si>
  <si>
    <t>Cripton, Peter A</t>
  </si>
  <si>
    <t>Kinematics and Muscle Activation of the Cervical Spine During Impending Head First Impacts in Motor Vehicle Rollovers</t>
  </si>
  <si>
    <t>MUSCULO SKELETAL; INJURY, REGENERATION; MUSCLE, BONE, OR JOINT; BIOPHYSICS</t>
  </si>
  <si>
    <t>Kinematics, Muscle Activation, Cervical Spine</t>
  </si>
  <si>
    <t>Neck Muscle and Head-Neck Dynamics in Rollover Crashes</t>
  </si>
  <si>
    <t>Biomedical Engineering-Biomaterials, Nanotechnology and Biomechanics; Musculoskeletal Health-Skeletal Muscle Biology and Physiology; Neurosciences-Sensory Systems (including visual, auditory and pain)</t>
  </si>
  <si>
    <t>neck, muscle, rollover</t>
  </si>
  <si>
    <t>Towards a Cervical Spine Injury Tolerance Criterion that incorporates Lateral Bending Loading</t>
  </si>
  <si>
    <t>MUSCULO SKELETAL; INJURY, REGENERATION; MUSCLE, BONE, OR JOINT; NERVOUS SYSTEM</t>
  </si>
  <si>
    <t>Cervical Spine, Injury Tolerance, Lateral Bending</t>
  </si>
  <si>
    <t>Harnessing innate lymphoid cells to improve hematopoietic stem cell transplant outcomes</t>
  </si>
  <si>
    <t>Cancer-Cancer Drug Development and Therapeutics; Immunology and Infection-Transplantation, Immune Tolerance and Tumor Immunology; Immunology and Infection-Immunology and Autoimmune Diseases (including rheumatology)</t>
  </si>
  <si>
    <t>innate lymphoid cells, hematopoietic stem cell, transplant</t>
  </si>
  <si>
    <t>Population and Public Health</t>
  </si>
  <si>
    <t>Cullis, Pieter R</t>
  </si>
  <si>
    <t>Development of LNP/mRNA systems for direct transfection and generation of functional Chimeric Antigen Receptor (CAR) T-cells in-vivo for treatment of blood and other cancer cell types</t>
  </si>
  <si>
    <t>Biomedical Engineering-Biomaterials, Nanotechnology and Biomechanics; Cancer-Cancer Drug Development and Therapeutics; Molecular, Cellular and Systems Biology-Biochemistry</t>
  </si>
  <si>
    <t>LNP, mRNA, CAR T-cells</t>
  </si>
  <si>
    <t>200810MOP</t>
  </si>
  <si>
    <t>Investigations of nanoparticulate formulations of lipophilic prodrugs</t>
  </si>
  <si>
    <t>CANCER THERAPY GENERAL; DRUGS- PHARMACEUTICAL SCIENCE/CHEMISTRY &amp; NON MEDICAL USE OF DRUGS; CANCER; BIOPHYSICS</t>
  </si>
  <si>
    <t>nanoparticulate, lipophilic, prodrugs</t>
  </si>
  <si>
    <t>Liver as a bioreactor for robust production of SARS-CoV-2 neutralizing antibodies</t>
  </si>
  <si>
    <t>DRUGS- PHARMACEUTICAL SCIENCE/CHEMISTRY &amp; NON MEDICAL USE OF DRUGS; VIRAL; DRUG RESEARCH; HEALTH RESEARCH</t>
  </si>
  <si>
    <t>liver, bioreactor, antibodies</t>
  </si>
  <si>
    <t>Newly Optimized LNP Systems for Genetic drugs and Gene therapy in Neurological diseases</t>
  </si>
  <si>
    <t>LNP, gene therapy, neurological diseases</t>
  </si>
  <si>
    <t>Rational Design of Lipid Nanoparticle Systems for mRNA Delivery</t>
  </si>
  <si>
    <t>Lipid Nanoparticle, mRNA, Delivery</t>
  </si>
  <si>
    <t>Cunningham, Charles H</t>
  </si>
  <si>
    <t>Characterization and Validation of Hyperpolarized Carbon-13 Signals Associated with Heart Failure</t>
  </si>
  <si>
    <t>CARDIOLOGY; MYOCARDIAL INFARCTION; IMAGING; CARDIOVASCULAR</t>
  </si>
  <si>
    <t>Hyperpolarized, Carbon-13, Heart Failure</t>
  </si>
  <si>
    <t>Imaging Lactate Production and Consumption in the Human Brain</t>
  </si>
  <si>
    <t>Biomedical Engineering-Biomedical Imaging; Cancer-Cancer Progression and Metastasis; Neurosciences-Neurodegeneration</t>
  </si>
  <si>
    <t>Imaging, Lactate, Brain</t>
  </si>
  <si>
    <t>Cunningham, Ian A</t>
  </si>
  <si>
    <t>Energy-Subtraction Cardiac Angiography: A New Approach in X-Ray Imaging</t>
  </si>
  <si>
    <t>CARDIOLOGY; IMAGING; CARDIOVASCULAR</t>
  </si>
  <si>
    <t>Energy-Subtraction, Cardiac Angiography, X-Ray Imaging</t>
  </si>
  <si>
    <t>High-Performance X-Ray Detectors that Maximize Image Quality and Reduce Patient Exposures</t>
  </si>
  <si>
    <t>X-Ray, Detectors, Image Quality</t>
  </si>
  <si>
    <t>Establishing strategies to preserve donor lungs for multiple days: Cyclic Normothermic Ex vivo Lung Perfusion and Mitochondrial Transplantation .</t>
  </si>
  <si>
    <t>Molecular, Cellular and Systems Biology-Molecular Biology; Cardiovascular, Respiratory and Circulatory Systems-Respiratory System Pathologies and Clinical Interventions</t>
  </si>
  <si>
    <t>lung perfusion, normothermic, mitochondrial</t>
  </si>
  <si>
    <t>Czarnota, Gregory J</t>
  </si>
  <si>
    <t>Novel Ultrasound-Activated Microbubble Enhancement of Radiation Response: Optimization of Response</t>
  </si>
  <si>
    <t>CANCER THERAPY GENERAL; BREAST CANCER THERAPY; CANCER; BIOPHYSICS</t>
  </si>
  <si>
    <t>Ultrasound, Microbubble, Radiation</t>
  </si>
  <si>
    <t>Quantitative Ultrasound for A Priori Breast Cancer Chemoerthapy Response Prediction</t>
  </si>
  <si>
    <t>Ultrasound, Breast Cancer, Chemotherapy</t>
  </si>
  <si>
    <t>201710PJT</t>
  </si>
  <si>
    <t>Quantitative Ultrasound for A Priori Breast Cancer Chemotherapy Response Prediction</t>
  </si>
  <si>
    <t>Biomedical Engineering-Biomedical Imaging; Cancer-Cancer Drug Development and Therapeutics</t>
  </si>
  <si>
    <t>Ultrasound-Stimulated Microbubble Enhancement of Tumour Radiation Response</t>
  </si>
  <si>
    <t>Biomedical Engineering-Biophysics, Medical Technologies and Instrumentation; Cancer-Cancer Drug Development and Therapeutics</t>
  </si>
  <si>
    <t>Dacosta, Ralph S</t>
  </si>
  <si>
    <t>Developing Preclinical Optical Imaging Tools for Studying Vasculature, Microenvironment, and Radiation Response of Solid Tumours In Vivo.</t>
  </si>
  <si>
    <t>CANCER THERAPY GENERAL</t>
  </si>
  <si>
    <t>Optical imaging, Vasculature, Tumours</t>
  </si>
  <si>
    <t>Portable Intraoperative Fluorescence Imaging for Real-time Margin Assessment and Guidance During Breast Cancer Surgery</t>
  </si>
  <si>
    <t>BREAST CANCER; BREAST CANCER THERAPY; IMAGING; CANCER</t>
  </si>
  <si>
    <t>Intraoperative, Fluorescence Imaging, Breast Cancer</t>
  </si>
  <si>
    <t>Probing the Temporal Dynamics of Tumor Cell Kill and Vascular Damage in Radiation Therapy using Optical Molecular Imaging Techniques</t>
  </si>
  <si>
    <t>Tumor, Radiation, Imaging</t>
  </si>
  <si>
    <t>Understanding the Interaction of Acute Myeloid Leukemia with the Bone Marrow Microenvironment: Elucidating New Therapeutic Targets Through In Vivo Imaging</t>
  </si>
  <si>
    <t>Cancer-Cancer Drug Development and Therapeutics; Cancer-Cancer Progression and Metastasis; Molecular, Cellular and Systems Biology-Cell Biology and Physiology</t>
  </si>
  <si>
    <t>Acute Myeloid Leukemia, Bone Marrow, In Vivo Imaging</t>
  </si>
  <si>
    <t>Dagnino, Lina</t>
  </si>
  <si>
    <t>Integrin-linked kinase in epidermal stem cells</t>
  </si>
  <si>
    <t>SKIN AND SUBCUTANEOUS TISSUS; MULTIPLE DISEASE RELEVANCE; CELL BIOLOGY</t>
  </si>
  <si>
    <t>Integrin, kinase, epidermal stem cells</t>
  </si>
  <si>
    <t>Daniel, Juliet M</t>
  </si>
  <si>
    <t>Kaiso, Triple Negative Breast Cancer and Women of African Ancestry.</t>
  </si>
  <si>
    <t>Molecular, Cellular and Systems Biology-Cell Signaling; Cancer-Cancer Progression and Metastasis; Genetics-Genomics, Transcriptomics and Proteomics</t>
  </si>
  <si>
    <t>Kaiso, Breast Cancer, African Ancestry</t>
  </si>
  <si>
    <t>Das, Sunit</t>
  </si>
  <si>
    <t>Targeting bevacizumb resistance via LIVE-mediated vascular mimicry in glioblastoma.</t>
  </si>
  <si>
    <t>BRAIN TUMORS (INCL. RETINAL TUMORS); BRAIN TUMORS THERAPY; CELL BIOLOGY; CANCER</t>
  </si>
  <si>
    <t>bevacizumab, vascular mimicry, glioblastoma</t>
  </si>
  <si>
    <t>Davenport Huyer, Locke S</t>
  </si>
  <si>
    <t>Metabolite-based Immunoregulatory Polymer Surgical Meshes for Pelvic Floor Reconstructive Surgery</t>
  </si>
  <si>
    <t>Metabolite, Immunoregulatory, Polymer</t>
  </si>
  <si>
    <t>Davie, James R</t>
  </si>
  <si>
    <t>CIHR/Regional Partnership Program/Operating Grants</t>
  </si>
  <si>
    <t>200903ROP</t>
  </si>
  <si>
    <t>Nucleosomal response and immediate early gene expression</t>
  </si>
  <si>
    <t>NEOPLASMS; CARCINOGENS (INCL ENVIRONMENTAL); CANCER; CELL BIOLOGY</t>
  </si>
  <si>
    <t>Nucleosomal, gene expression, immediate early</t>
  </si>
  <si>
    <t>De Carvalho, Daniel</t>
  </si>
  <si>
    <t>Disruption of the SPT-ADA-GCN5-ACETYLTRANSFERASE (SAGA) complex in adoptive cell therapies to enhance killing capacity and long-term immune cells effector function</t>
  </si>
  <si>
    <t>Genetics-Genomics, Transcriptomics and Proteomics; Cancer-Cancer Drug Development and Therapeutics</t>
  </si>
  <si>
    <t>SAGA, cell therapies, immune cells</t>
  </si>
  <si>
    <t>Viral mimicry tolerance as a mechanism of early tumor immune evasion</t>
  </si>
  <si>
    <t>Cancer-Mechanisms of Carcinogenesis; Cancer-Cancer Progression and Metastasis; Immunology and Infection-Transplantation, Immune Tolerance and Tumor Immunology</t>
  </si>
  <si>
    <t>viral, mimicry, immune</t>
  </si>
  <si>
    <t>De Ribaupierre, Sandrine</t>
  </si>
  <si>
    <t>Development and validation of new technologies to monitor hydrocephalus</t>
  </si>
  <si>
    <t>Human Development, Child and Youth Health</t>
  </si>
  <si>
    <t>PERINATAL; MULTIDISCIPLINARY; IMAGING; NERVOUS SYSTEM</t>
  </si>
  <si>
    <t>hydrocephalus, monitoring, validation</t>
  </si>
  <si>
    <t>Deblois, Genevieve</t>
  </si>
  <si>
    <t>Project Grant - PA: Epigenetics/epigenomics in human health or disease</t>
  </si>
  <si>
    <t>202003PJG</t>
  </si>
  <si>
    <t>Investigating the metabolic determinants of triple-negative breast cancer progression through chromatin dependencies</t>
  </si>
  <si>
    <t>Cancer-Cancer Progression and Metastasis; Cancer-Mechanisms of Carcinogenesis; Molecular, Cellular and Systems Biology-Systems Biology; Cancer - Treatment Genetics - Molecular and Functional Genetics and Epigenetics</t>
  </si>
  <si>
    <t>metabolic, breast cancer, chromatin</t>
  </si>
  <si>
    <t>202104PJG</t>
  </si>
  <si>
    <t>Dedhar, Shoukat R</t>
  </si>
  <si>
    <t>Development of therapeutic antibodies targeting carbonic anhydrase IX (CAIX)</t>
  </si>
  <si>
    <t>CANCER THERAPY GENERAL; BREAST CANCER</t>
  </si>
  <si>
    <t>therapeutic antibodies, carbonic anhydrase IX, CAIX</t>
  </si>
  <si>
    <t>Investigation of Neutrophil Extracellular Trap DNA ( NET-DNA) induced signaling in the progression of Pancreatic Ductal Adenocarcinoma</t>
  </si>
  <si>
    <t>Neutrophil, NET-DNA, Adenocarcinoma</t>
  </si>
  <si>
    <t>201303COP</t>
  </si>
  <si>
    <t>Role of ILK/Rictor complex in the TGF-b and Hippo signaling pathway mediated EMT, cancer stem cell function and tumor progression</t>
  </si>
  <si>
    <t>BREAST CANCER; CANCER THERAPY GENERAL; CANCER; CELL BIOLOGY</t>
  </si>
  <si>
    <t>ILK, Rictor, TGF-b</t>
  </si>
  <si>
    <t>Targeting Carbonic Anhydrase IX and Hypoxia for the diagnosis and treatment of aggresive breast cancers</t>
  </si>
  <si>
    <t>BREAST CANCER; BREAST CANCER THERAPY; CANCER; DRUG RESEARCH</t>
  </si>
  <si>
    <t>Carbonic Anhydrase, Hypoxia, Breast Cancers</t>
  </si>
  <si>
    <t>Del Rincon, Sonia V</t>
  </si>
  <si>
    <t>Inhibiting the MNK1/2-eIF4E axis, to favor anti-tumor immunity in melanoma.</t>
  </si>
  <si>
    <t>MNK1, eIF4E, melanoma</t>
  </si>
  <si>
    <t>Targeting mRNA translation to effectively treat uveal melanoma.</t>
  </si>
  <si>
    <t>mRNA, translation, melanoma</t>
  </si>
  <si>
    <t>Dellaire, Graham P</t>
  </si>
  <si>
    <t>Characterization of HR-Killer1 and identification of small molecules for cancer therapy and enhanced gene editing using CRISPR/Cas9-based DNA repair strategies</t>
  </si>
  <si>
    <t>Cancer-Cancer Drug Development and Therapeutics; Molecular, Cellular and Systems Biology-Molecular Biology; Molecular Biology - DNA Repair Genetics - Gene therapy</t>
  </si>
  <si>
    <t>HR-Killer1, small molecules, CRISPR</t>
  </si>
  <si>
    <t>The promyelocytic leukemia protein and nuclear domain function in DNA damage signalling and tumour suppression</t>
  </si>
  <si>
    <t>NEOPLASMS; MULTIPLE DISEASE RELEVANCE; CANCER; CELL BIOLOGY</t>
  </si>
  <si>
    <t>promyelocytic leukemia, DNA damage, tumour suppression</t>
  </si>
  <si>
    <t>Functional micro-ultrasound imaging of the neurovascular response to focal ischemia</t>
  </si>
  <si>
    <t>micro-ultrasound, neurovascular, ischemia</t>
  </si>
  <si>
    <t>Non-canonical role of initiator caspases in colorectal cancer</t>
  </si>
  <si>
    <t>Cancer-Cancer Progression and Metastasis; Cancer-Mechanisms of Carcinogenesis</t>
  </si>
  <si>
    <t>caspases, colorectal cancer, initiator</t>
  </si>
  <si>
    <t>Dennis, James W</t>
  </si>
  <si>
    <t>Metabolic reprogramming in cancer cells and the hexosamine biosynthesis pathway</t>
  </si>
  <si>
    <t>CANCER THERAPY GENERAL; METABOLISM AND NUTRITION; CANCER; METABOLISM/DIABETES</t>
  </si>
  <si>
    <t>metabolic reprogramming, cancer cells, hexosamine biosynthesis</t>
  </si>
  <si>
    <t>Derda, Ratmir</t>
  </si>
  <si>
    <t>Glycans, Immunooncology, Arrays</t>
  </si>
  <si>
    <t>CT Angiography Prediction of Vascular events In noncardiac Surgery patients cOhort evaluatioN (CTA-VISION)</t>
  </si>
  <si>
    <t>CARDIOLOGY; CORONARY CIRCULATION (INCL. INSUFFICIENCY); HEALTH RESEARCH; IMAGING</t>
  </si>
  <si>
    <t>CT, Angiography, Vascular</t>
  </si>
  <si>
    <t>Di Martino, Elena S</t>
  </si>
  <si>
    <t>Precision assessment of the abdominal aortic aneurysm: role of heterogeneity at the macro and micro scales</t>
  </si>
  <si>
    <t>Biomedical Engineering-Biomedical Imaging; Biomedical Engineering-Biomaterials, Nanotechnology and Biomechanics; Artificial Intelligence-Machine Learning</t>
  </si>
  <si>
    <t>abdominal aortic aneurysm, heterogeneity, assessment</t>
  </si>
  <si>
    <t>Di Noia, Javier M</t>
  </si>
  <si>
    <t>Coordinating DNA deamination, double strand break and repair to prevent genomic instability during antibody gene diversification.</t>
  </si>
  <si>
    <t>MULTIPLE DISEASE RELEVANCE; MOLECULAR BIOLOGY; CANCER</t>
  </si>
  <si>
    <t>DNA, deamination, repair</t>
  </si>
  <si>
    <t>Diallo, Jean-Simon</t>
  </si>
  <si>
    <t>Development of Viral Sensitizing Antibody Drug Conjugate and Oncolytic virus Combination Regimens for the Treatment of Breast Cancer</t>
  </si>
  <si>
    <t>Viral, Antibody, Oncolytic</t>
  </si>
  <si>
    <t>Diamandis, Eleftherios P</t>
  </si>
  <si>
    <t>Genetic, Epigenetic and Proteomic Analysis of the Kallikrein Family in Search for Novel Diagnostic Prognostic and Risk Susceptibility Algorithms for Prostate Cancer</t>
  </si>
  <si>
    <t>PROSTATE AND BLADDER CANCER; GENITO/URINARY SYSTEM; GENOMICS, PROTEOMICS, AND BIOINFORMATICS; CANCER</t>
  </si>
  <si>
    <t>Genetic, Epigenetic, Proteomic</t>
  </si>
  <si>
    <t>Integrated Approach to Discover Prostate Cancer Biomarkers in Seminal Plasma</t>
  </si>
  <si>
    <t>PROSTATE AND BLADDER CANCER; CANCER; GENOMICS, PROTEOMICS, AND BIOINFORMATICS</t>
  </si>
  <si>
    <t>Prostate, Biomarkers, Seminal Plasma</t>
  </si>
  <si>
    <t>Diamandis, Phedias</t>
  </si>
  <si>
    <t>Automated computational pathology workflows for resolving patterns of heterogeneity in cancer</t>
  </si>
  <si>
    <t>Cancer-Cancer Progression and Metastasis; Artificial Intelligence-Artificial Intelligence; Methods Development and Modelling-Quantitative Methods Development for Health Research</t>
  </si>
  <si>
    <t>computational pathology, heterogeneity, cancer</t>
  </si>
  <si>
    <t>Deciphering communication networks across glioblastoma cell states</t>
  </si>
  <si>
    <t>Molecular, Cellular and Systems Biology-Molecular Biology</t>
  </si>
  <si>
    <t>communication, networks, glioblastoma</t>
  </si>
  <si>
    <t>Mapping and targeting the niche-specific proteomes of glioblastoma</t>
  </si>
  <si>
    <t>glioblastoma, proteomes, mapping</t>
  </si>
  <si>
    <t>Dick, Frederick A</t>
  </si>
  <si>
    <t>Differential control of E2F transcription factors by pRB in  normal and cancer cells</t>
  </si>
  <si>
    <t>NEOPLASMS; CANCER THERAPY GENERAL; CANCER; GENETICS</t>
  </si>
  <si>
    <t>E2F, pRB, transcription factors</t>
  </si>
  <si>
    <t>Dick, John E</t>
  </si>
  <si>
    <t>Discovery of epigenetic determinants regulating stemness to target the eradication of human pre-leukemic and leukemic stem cells</t>
  </si>
  <si>
    <t>epigenetic, stem cells, leukemia</t>
  </si>
  <si>
    <t>Phenotypic and Functional Characterization of Relapse-Fated Cells Present at Diagnosis in AML leading to improved therapeutic targeting and monitoring</t>
  </si>
  <si>
    <t>Cancer-Cancer Progression and Metastasis; Molecular, Cellular and Systems Biology-Cell Biology and Physiology</t>
  </si>
  <si>
    <t>Phenotypic, Functional, AML</t>
  </si>
  <si>
    <t>Dimitroulakos, Jim</t>
  </si>
  <si>
    <t>Targeting the mevalonate pathway in novel combination based therapeutic approaches</t>
  </si>
  <si>
    <t>CANCER THERAPY GENERAL; NEOPLASMS; CANCER; BIOCHEMISTRY</t>
  </si>
  <si>
    <t>mevalonate pathway, combination therapy</t>
  </si>
  <si>
    <t>201203IC1</t>
  </si>
  <si>
    <t>The cellular stress response regulator ATF3 is a novel mediator of platin induced tumour cell cytotoxicity and resistance</t>
  </si>
  <si>
    <t>CANCER THERAPY GENERAL; NEOPLASMS; CANCER; DRUG RESEARCH</t>
  </si>
  <si>
    <t>ATF3, platin, cytotoxicity</t>
  </si>
  <si>
    <t>Dirks, Peter B</t>
  </si>
  <si>
    <t>Determining the cellular mechanisms of initiation and evolution of hypermutant glioma</t>
  </si>
  <si>
    <t>Cancer-Mechanisms of Carcinogenesis; Neurosciences-Neurogenesis, Neurodifferentiation and Plasticity</t>
  </si>
  <si>
    <t>cellular, glioma, hypermutant</t>
  </si>
  <si>
    <t>202303PDI</t>
  </si>
  <si>
    <t>Injury Reprogramming at the Root of Glioblastoma Initiation and Progression</t>
  </si>
  <si>
    <t>injury, reprogramming, glioblastoma</t>
  </si>
  <si>
    <t>Modeling brain cancer in a regionally defined human neural stem cell system</t>
  </si>
  <si>
    <t>Cancer-Mechanisms of Carcinogenesis; Cancer-Pediatric Cancer; Neurosciences-Neurodevelopment; cancer progression, pediatric cancer</t>
  </si>
  <si>
    <t>brain cancer, neural stem cells, modeling</t>
  </si>
  <si>
    <t>Tracing the Cellular and Molecular Origins of Mouse and Human Medulloblastoma</t>
  </si>
  <si>
    <t>Cancer-Pediatric Cancer; Cancer-Mechanisms of Carcinogenesis; Neurosciences-Neurodevelopment</t>
  </si>
  <si>
    <t>cellular, molecular, medulloblastoma</t>
  </si>
  <si>
    <t>Done, Susan J</t>
  </si>
  <si>
    <t>Circulating tumour cells and breast cancer heterogeneity</t>
  </si>
  <si>
    <t>circulating tumour cells, breast cancer, heterogeneity</t>
  </si>
  <si>
    <t>Towards a Better Understanding of Breast Cancer Intratumoural Heterogeneity</t>
  </si>
  <si>
    <t>BREAST CANCER; NEOPLASMS; CANCER; GENETICS</t>
  </si>
  <si>
    <t>breast cancer, intratumoural heterogeneity</t>
  </si>
  <si>
    <t>Triple negative breast cancer intratumour heterogeneity and disease progression</t>
  </si>
  <si>
    <t>breast cancer, intratumour heterogeneity, disease progression</t>
  </si>
  <si>
    <t>Dong, Xuesen</t>
  </si>
  <si>
    <t>Design a Double-Bolt Lock to Control Cancer Cell Growth</t>
  </si>
  <si>
    <t>Double-Bolt Lock, Cancer Cell, Control</t>
  </si>
  <si>
    <t>Lin28b as a therapeutic target for prostate cancer progression</t>
  </si>
  <si>
    <t>Lin28b, prostate cancer, progression</t>
  </si>
  <si>
    <t>Drabovich, Andrei P</t>
  </si>
  <si>
    <t>Rational design and standardization of serology diagnostics using immunoaffinity-targeted proteomics assays</t>
  </si>
  <si>
    <t>Public Health Agency of Canada</t>
  </si>
  <si>
    <t>VIRAL; BLOOD; GENOMICS, PROTEOMICS, AND BIOINFORMATICS</t>
  </si>
  <si>
    <t>serology, immunoaffinity, proteomics</t>
  </si>
  <si>
    <t>Drake, James M</t>
  </si>
  <si>
    <t>An MRI-compatible focused ultrasound platform for non-invasive treatment of intraventricular hemorrhage of prematurity</t>
  </si>
  <si>
    <t>Biomedical Engineering-Biophysics, Medical Technologies and Instrumentation; Biomedical Engineering-Biomedical Imaging; Reproduction and Development-Clinical Embryology, Neonatology and Pediatrics</t>
  </si>
  <si>
    <t>MRI, ultrasound, hemorrhage</t>
  </si>
  <si>
    <t>Application of Magnetically Actuated Robotic System for Minimally Invasive Epilepsy Surgery</t>
  </si>
  <si>
    <t>Biomedical Engineering-Biophysics, Medical Technologies and Instrumentation</t>
  </si>
  <si>
    <t>Magnetically Actuated, Robotic System, Epilepsy</t>
  </si>
  <si>
    <t>Magnetic Resonance-guided Focused Ultrasound for Incisionless Musculotendinous Contracture Release</t>
  </si>
  <si>
    <t>Musculoskeletal Health-Skeletal Muscle Biology and Physiology; Biomedical Engineering-Biophysics, Medical Technologies and Instrumentation</t>
  </si>
  <si>
    <t>Magnetic Resonance, Focused Ultrasound, Musculotendinous</t>
  </si>
  <si>
    <t>Minimally Invasive Robotic Surgical Tools for In-utero Repair of Open Spina Bifida</t>
  </si>
  <si>
    <t>Robotic, Surgical, Spina Bifida</t>
  </si>
  <si>
    <t>Drangova, Maria</t>
  </si>
  <si>
    <t>Advanced techniques for image assisted cardiac interventions</t>
  </si>
  <si>
    <t>ARRHYTHMIAS; CARDIOLOGY; IMAGING; CARDIOVASCULAR</t>
  </si>
  <si>
    <t>image, cardiac, interventions</t>
  </si>
  <si>
    <t>Characterizing cerebral thrombus composition with Phase-based MRI</t>
  </si>
  <si>
    <t>cerebral thrombus, MRI, phase-based</t>
  </si>
  <si>
    <t>Drews, Steven J</t>
  </si>
  <si>
    <t>Population-based seroprevalence of prior infection with COVID-19 in Canada: implications for testing, economic revitalization and population health.</t>
  </si>
  <si>
    <t>INFECTIOUS AND PARASITIC; EPIDEMIOLOGY; VIROLOGY; IMMUNOLOGY-TRANSPLANTATION</t>
  </si>
  <si>
    <t>seroprevalence, COVID-19, infection</t>
  </si>
  <si>
    <t>Drobetsky, Elliot A</t>
  </si>
  <si>
    <t>Regulation of UV Damage Repair by the ATR-mediated DNA Damage Checkpoint in Malignant Melanoma</t>
  </si>
  <si>
    <t>CARCINOGENS (INCL ENVIRONMENTAL); ENVIRONMENTAL INFLUENCES ON HEALTH; CANCER; MOLECULAR BIOLOGY</t>
  </si>
  <si>
    <t>UV damage, DNA repair, melanoma</t>
  </si>
  <si>
    <t>Replicative stress as a primary determinant of chemotherapeutic outcome in ovarian cancer</t>
  </si>
  <si>
    <t>Cancer-Cancer Drug Development and Therapeutics; Genetics-Genomics, Transcriptomics and Proteomics</t>
  </si>
  <si>
    <t>replicative stress, chemotherapeutic, ovarian cancer</t>
  </si>
  <si>
    <t>PRevention of COVID-19 with high dose Oral Vitamin D supplemental Therapy in Essential healthCare Teams (PROTECT)</t>
  </si>
  <si>
    <t>INFECTIOUS AND PARASITIC; METABOLISM AND NUTRITION; DRUG RESEARCH; HEALTH RESEARCH</t>
  </si>
  <si>
    <t>COVID-19, Vitamin D, supplementation</t>
  </si>
  <si>
    <t>Dudley, Roy W</t>
  </si>
  <si>
    <t>Development of intraoperative label-free Raman Spectroscopy techniques to delineate Focal Cortical Dysplasia borders in Epilepsy surgery and detect cells carrying somatic variants</t>
  </si>
  <si>
    <t>Biomedical Engineering-Biophysics, Medical Technologies and Instrumentation; Neurosciences-Neurological disorders</t>
  </si>
  <si>
    <t>Raman Spectroscopy, Focal Cortical Dysplasia, Epilepsy</t>
  </si>
  <si>
    <t>Dunn, Jeff F</t>
  </si>
  <si>
    <t>Does inflammation in brain cause hypoxia, which then exacerbates inflammation: a multimodal study using the EAE inflammation model of multiple sclerosis.</t>
  </si>
  <si>
    <t>Biomedical Engineering-Biomedical Imaging; Neurosciences-Neuroinflammation</t>
  </si>
  <si>
    <t>inflammation, hypoxia, multiple sclerosis</t>
  </si>
  <si>
    <t>Functional near-infrared spectroscopic measures of coherence as a new bio-marker of injury in mTBI patients</t>
  </si>
  <si>
    <t>Mental Health and Behavioural Conditions-Mental Health and Addiction; Biomedical Engineering-Biomedical Imaging</t>
  </si>
  <si>
    <t>near-infrared, spectroscopic, mTBI</t>
  </si>
  <si>
    <t>Non-invasive near-infrared spectroscopic measures of brain oxygenation and function--a potential biomarker of disease severity and progression in Multiple Sclerosis</t>
  </si>
  <si>
    <t>near-infrared, spectroscopy, brain oxygenation</t>
  </si>
  <si>
    <t>Dunn, Sandra E</t>
  </si>
  <si>
    <t>Pioneering novel approaches to manage cancer recurrence  through the use of YB-1 inhibitors and off-patent drugs.</t>
  </si>
  <si>
    <t>BREAST CANCER; CANCER THERAPY GENERAL; CANCER; DRUG RESEARCH</t>
  </si>
  <si>
    <t>YB-1 inhibitors, cancer recurrence, off-patent drugs</t>
  </si>
  <si>
    <t>Targeting the YB-1 pathway to overcome breast cancer recurrence</t>
  </si>
  <si>
    <t>BREAST CANCER THERAPY; BREAST CANCER; MOLECULAR BIOLOGY; CANCER</t>
  </si>
  <si>
    <t>YB-1, breast cancer, pathway</t>
  </si>
  <si>
    <t>Durocher, Daniel</t>
  </si>
  <si>
    <t>Functional genomics of the response to DNA double-strand breaks</t>
  </si>
  <si>
    <t>CANCER THERAPY GENERAL; CARCINOGENS (INCL ENVIRONMENTAL); CANCER; GENETICS</t>
  </si>
  <si>
    <t>genomics, DNA breaks, double-strand</t>
  </si>
  <si>
    <t>Understanding DNA repair pathway choice control.</t>
  </si>
  <si>
    <t>CANCER THERAPY GENERAL; CARCINOGENS (INCL ENVIRONMENTAL); MOLECULAR BIOLOGY; CANCER</t>
  </si>
  <si>
    <t>DNA, repair, pathway</t>
  </si>
  <si>
    <t>Understanding and exploiting the CIP2A-BRCA synthetic lethality</t>
  </si>
  <si>
    <t>Cancer-Cancer Drug Development and Therapeutics; Genetics-Molecular and Functional Genetics and Epigenetics; Molecular, Cellular and Systems Biology-Molecular Biology</t>
  </si>
  <si>
    <t>CIP2A, BRCA, synthetic lethality</t>
  </si>
  <si>
    <t>Durocher, Francine</t>
  </si>
  <si>
    <t>TBC1D9: therapeutic target of the aggressiveness of triple negative breast cancer</t>
  </si>
  <si>
    <t>TBC1D9, breast cancer, triple negative</t>
  </si>
  <si>
    <t>Duronio, Vincent</t>
  </si>
  <si>
    <t>MCL-1: Functions in the nucleus regulating cell cycle and DNA damage response</t>
  </si>
  <si>
    <t>MULTIPLE DISEASE RELEVANCE; CANCER THERAPY GENERAL; CANCER; CELL BIOLOGY</t>
  </si>
  <si>
    <t>MCL-1, cell cycle, DNA damage</t>
  </si>
  <si>
    <t>Improving Repositioning Adherence in Home Care: Supporting Pressure Injury Care and Prevention</t>
  </si>
  <si>
    <t>Repositioning, Pressure Injury, Home Care</t>
  </si>
  <si>
    <t>Vaccines of the 21st Century</t>
  </si>
  <si>
    <t>200903CVC</t>
  </si>
  <si>
    <t>Catalyst Grant: Vaccines of the 21st Century</t>
  </si>
  <si>
    <t>Duval, Michel</t>
  </si>
  <si>
    <t>Adoptive transfers of in vitro differentiated plasmacytoid dendritic cells to prevent acute lymphoblastic leukemia relapse: mechanisms and biomarkers of sensitivity</t>
  </si>
  <si>
    <t>Cancer-Cancer Drug Development and Therapeutics; Cancer-Pediatric Cancer; Immunology and Infection-Transplantation, Immune Tolerance and Tumor Immunology</t>
  </si>
  <si>
    <t>dendritic cells, leukemia, biomarkers</t>
  </si>
  <si>
    <t>Phase I first-in-human trial for ThINKK adoptive immunotherapy in children with high-risk cancers</t>
  </si>
  <si>
    <t>Cancer-Pediatric Cancer; Cancer-Cancer Drug Development and Therapeutics; Youth Health-Prevention, Treatment and Support</t>
  </si>
  <si>
    <t>immunotherapy, adoptive, cancers</t>
  </si>
  <si>
    <t>Phase I first-in-human trial of ThINKK adoptive immunotherapy in children with high-risk cancers</t>
  </si>
  <si>
    <t>Preclinical models of natural killer cell-based immunotherapy to cure refractory childhood acute lymphoblastic leukemia</t>
  </si>
  <si>
    <t>CANCER THERAPY GENERAL; LEUKAEMIAS; CANCER; BLOOD</t>
  </si>
  <si>
    <t>natural killer, immunotherapy, leukemia</t>
  </si>
  <si>
    <t>Toward the cure of neuroblastoma: innovative immunotherapeutic approaches</t>
  </si>
  <si>
    <t>CANCER THERAPY GENERAL; CANCER</t>
  </si>
  <si>
    <t>neuroblastoma, immunotherapy, approaches</t>
  </si>
  <si>
    <t>Dzavik, Vladimir</t>
  </si>
  <si>
    <t>Semaglutide to reduce Myocardial injury in PATIents with COVID-19 (SEMPATICO): An exploratory randomized controlled clinical trial</t>
  </si>
  <si>
    <t>CARDIOLOGY; MULTIPLE DISEASE RELEVANCE; CARDIOVASCULAR</t>
  </si>
  <si>
    <t>Semaglutide, Myocardial injury, COVID-19</t>
  </si>
  <si>
    <t>BREAST CANCER; CANCER</t>
  </si>
  <si>
    <t>Edwards, W. Brent</t>
  </si>
  <si>
    <t>Quantifying the relationship between intracortical remodeling, microdamage, and bone quality in a novel in vivo loading model</t>
  </si>
  <si>
    <t>Biomedical Engineering-Biomaterials, Nanotechnology and Biomechanics; Biomedical Engineering-Biomedical Imaging</t>
  </si>
  <si>
    <t>intracortical remodeling, microdamage, bone quality</t>
  </si>
  <si>
    <t>Egan, Sean E</t>
  </si>
  <si>
    <t>Targeting the immune landscape at presentation and relapse of Immune-Related Lobular Breast Cancer</t>
  </si>
  <si>
    <t>Cancer-Cancer Drug Development and Therapeutics; Cancer-Cancer Progression and Metastasis; Immunology and Infection-Transplantation, Immune Tolerance and Tumor Immunology</t>
  </si>
  <si>
    <t>immune, lobular breast cancer, relapse</t>
  </si>
  <si>
    <t>Anti-Coronavirus Therapy (ACT) to prevent COVID-19 disease progression: a clinical trial platform</t>
  </si>
  <si>
    <t>VIRAL; NOT CLASSIFIED</t>
  </si>
  <si>
    <t>Anti-Coronavirus, COVID-19, clinical trial</t>
  </si>
  <si>
    <t>El Naqa, Issam M</t>
  </si>
  <si>
    <t>Hybrid Image Analysis for Radiotherapy</t>
  </si>
  <si>
    <t>CANCER THERAPY GENERAL; MULTIDISCIPLINARY; BIOPHYSICS; CANCER</t>
  </si>
  <si>
    <t>Image analysis, radiotherapy</t>
  </si>
  <si>
    <t>Modelling of Radiotherapy Induced Damage in Locally Advanced Lung Cancer by a Novel System Radiobiology Approach</t>
  </si>
  <si>
    <t>LUNG CANCER THERAPY; LUNG CANCER; CANCER</t>
  </si>
  <si>
    <t>Radiotherapy, Lung Cancer, Radiobiology</t>
  </si>
  <si>
    <t>Elahi, Shokrollah</t>
  </si>
  <si>
    <t>Erythroid progenitors and precursors impair tumor immunogenicity and promote tumour progression in breast cancer</t>
  </si>
  <si>
    <t>erythroid progenitors, tumor immunogenicity, breast cancer</t>
  </si>
  <si>
    <t>202303PLL</t>
  </si>
  <si>
    <t>Elliott, Bruce E</t>
  </si>
  <si>
    <t>A novel Src/ezrin signalling network as a potential marker for breast cancer metastasis</t>
  </si>
  <si>
    <t>BREAST CANCER; BREAST CANCER THERAPY; CANCER; CELL BIOLOGY</t>
  </si>
  <si>
    <t>Src, ezrin, metastasis</t>
  </si>
  <si>
    <t>Cryobiology and Cryopreservation of Corneal Endothelial Monolayers</t>
  </si>
  <si>
    <t>Cryobiology, Cryopreservation, Corneal Endothelial</t>
  </si>
  <si>
    <t>201110MOP</t>
  </si>
  <si>
    <t>Cryobiology and Preservation of Cells and Tissues</t>
  </si>
  <si>
    <t>MULTIDISCIPLINARY; MULTIPLE DISEASE RELEVANCE; NOT CLASSIFIED; BIOPHYSICS</t>
  </si>
  <si>
    <t>Cryobiology, Preservation, Cells</t>
  </si>
  <si>
    <t>201209INO</t>
  </si>
  <si>
    <t>201303INO</t>
  </si>
  <si>
    <t>Cryobiology of Cardiomyocytes and Engineered Living Cardiac Tissue</t>
  </si>
  <si>
    <t>Biomedical Engineering-Regenerative Medicine and Tissue Engineering; Cardiovascular, Respiratory and Circulatory Systems-Cardiovascular and Circulatory Sciences</t>
  </si>
  <si>
    <t>Cryobiology, Cardiomyocytes, Cardiac tissue</t>
  </si>
  <si>
    <t>Ellis, Christopher G</t>
  </si>
  <si>
    <t>A Systems Approach to Sepsis: Pathological versus Adaptive Microvascular Responses</t>
  </si>
  <si>
    <t>MULTIPLE DISEASE RELEVANCE; BLOOD; CARDIOVASCULAR; IMAGING</t>
  </si>
  <si>
    <t>Sepsis, Microvascular, Responses</t>
  </si>
  <si>
    <t>Eppert, Kolja</t>
  </si>
  <si>
    <t>Identification of the mechanisms underlying the early stages of leukemogenesis in human hematopoietic stem cells.</t>
  </si>
  <si>
    <t>Cancer-Cancer Progression and Metastasis; Cancer-Mechanisms of Carcinogenesis; Molecular, Cellular and Systems Biology-Cell Biology and Physiology</t>
  </si>
  <si>
    <t>leukemogenesis, hematopoietic stem cells, mechanisms</t>
  </si>
  <si>
    <t>Novel targeted therapeutics against leukemia stem cells</t>
  </si>
  <si>
    <t>targeted therapeutics, leukemia, stem cells</t>
  </si>
  <si>
    <t>Evans, David H</t>
  </si>
  <si>
    <t>The development of safer oncolytic poxviruses dependent on cellular dNTP synthesis</t>
  </si>
  <si>
    <t>CANCER THERAPY GENERAL; VIRAL; CANCER; VIROLOGY</t>
  </si>
  <si>
    <t>oncolytic poxviruses, dNTP synthesis</t>
  </si>
  <si>
    <t>Evgin, Laura E</t>
  </si>
  <si>
    <t>Leveraging TCR reactivity to improve CAR T therapy</t>
  </si>
  <si>
    <t>Cancer-Cancer Drug Development and Therapeutics; Immunology and Infection-Transplantation, Immune Tolerance and Tumor Immunology; Genetics-Molecular and Functional Genetics and Epigenetics</t>
  </si>
  <si>
    <t>TCR, CAR T, reactivity</t>
  </si>
  <si>
    <t>Falzarano, Darryl</t>
  </si>
  <si>
    <t>University of Saskatchewan</t>
  </si>
  <si>
    <t>VIRAL; PNEUMONIA; VIROLOGY; IMMUNOLOGY-TRANSPLANTATION</t>
  </si>
  <si>
    <t>Vaccine efficacy in nonhuman primates against SARS-CoV-2: protection, cross-protection and immune enhancement</t>
  </si>
  <si>
    <t>Vaccine, SARS-CoV-2, primates</t>
  </si>
  <si>
    <t>Fenster, Aaron</t>
  </si>
  <si>
    <t>3D ultrasound-guided trans-perineal focal prostate therapy platform</t>
  </si>
  <si>
    <t>PROSTATE AND BLADDER CANCER; IMAGING; RENAL FUNCTION, NEPHROLOGY, UROLOGY</t>
  </si>
  <si>
    <t>ultrasound, prostate, therapy</t>
  </si>
  <si>
    <t>MR-Guided Focal Laser Thermal Ablation for Prostate Cancer therapy</t>
  </si>
  <si>
    <t>PROSTATE AND BLADDER CANCER THERAPY; IMAGING; CANCER</t>
  </si>
  <si>
    <t>MR-guided, laser ablation, prostate cancer</t>
  </si>
  <si>
    <t>201405MOP</t>
  </si>
  <si>
    <t>MR-Guided Focal Laser Thermal Ablation of Prostate Cancer therapy</t>
  </si>
  <si>
    <t>MR, Laser, Prostate</t>
  </si>
  <si>
    <t>Ferbeyre, Gerardo</t>
  </si>
  <si>
    <t>Mechanisms of the tumor suppression activity of the ERK pathway</t>
  </si>
  <si>
    <t>NEOPLASMS; AGING; CANCER; CELL BIOLOGY</t>
  </si>
  <si>
    <t>tumor suppression, ERK pathway</t>
  </si>
  <si>
    <t>Targeting ribosomal RNA biogenesis to restore the senescence tumor suppression mechanism</t>
  </si>
  <si>
    <t>Cancer-Mechanisms of Carcinogenesis; Cancer-Cancer Drug Development and Therapeutics; Molecular, Cellular and Systems Biology-Cell Biology and Physiology</t>
  </si>
  <si>
    <t>ribosomal RNA, biogenesis, tumor suppression</t>
  </si>
  <si>
    <t>Ferri, Lorenzo</t>
  </si>
  <si>
    <t>Acute bacterial infection promotes cancer metastasis through toll like receptor signal transduction</t>
  </si>
  <si>
    <t>LUNG CANCER; PNEUMONIA; CANCER</t>
  </si>
  <si>
    <t>bacterial infection, toll like receptor, metastasis</t>
  </si>
  <si>
    <t>Investigating the Role of Neutrophil Extracellular Traps In Cancer Metastasis</t>
  </si>
  <si>
    <t>LUNG CANCER; GASTRO-INTESTINAL CANCER; CANCER; CELL BIOLOGY</t>
  </si>
  <si>
    <t>Neutrophil, Extracellular Traps, Cancer</t>
  </si>
  <si>
    <t>The Role of Systemic Inflammation in Esophageal Cancer Metastasis: Exploring Neutrophil Dependent and Independent Mechanisms</t>
  </si>
  <si>
    <t>GASTRO-INTESTINAL CANCER; NEOPLASMS; CANCER; CELL BIOLOGY</t>
  </si>
  <si>
    <t>Systemic Inflammation, Esophageal Cancer, Metastasis</t>
  </si>
  <si>
    <t>Identification of Naturally-Occurring anti-HIV-1 Neutralizing Molecules from a Cohort of Highly-HIV-1-Exposed Seronegative Individuals</t>
  </si>
  <si>
    <t>AIDS; VIRAL; VISION; MOLECULAR BIOLOGY</t>
  </si>
  <si>
    <t>anti-HIV, neutralizing molecules, seronegative</t>
  </si>
  <si>
    <t>Fitzpatrick, Lindsay</t>
  </si>
  <si>
    <t>MyD88-dependent modulation of host response to insulin infusion cannulas</t>
  </si>
  <si>
    <t>Biomedical Engineering-Biomaterials, Nanotechnology and Biomechanics; Immunology and Infection-Immunology and Autoimmune Diseases (including rheumatology); Molecular, Cellular and Systems Biology-Cell Signaling</t>
  </si>
  <si>
    <t>MyD88, insulin infusion, host response</t>
  </si>
  <si>
    <t>Flamand, Louis</t>
  </si>
  <si>
    <t>COVID-19 trilogy: ARDS, inflammation and coagulopathy.</t>
  </si>
  <si>
    <t>COVID-19, ARDS, coagulopathy</t>
  </si>
  <si>
    <t>Ocular Biomechanics and Glaucoma:  Finite Element Modeling of the Optic Nerve's Response to Biomechanical Insult and it's Role in Astrocyte Activation</t>
  </si>
  <si>
    <t>GLAUCOMA; DISEASES AFFECTING SPEECH/VISION/HEARING; VISION; BIOPHYSICS</t>
  </si>
  <si>
    <t>ocular, biomechanics, glaucoma</t>
  </si>
  <si>
    <t>Flynn, Lauren E</t>
  </si>
  <si>
    <t>Engineering Adipogenesis for Soft Tissue Regeneration</t>
  </si>
  <si>
    <t>SKIN AND SUBCUTANEOUS TISSUS; INJURY, REGENERATION; CELL BIOLOGY; MOLECULAR BIOLOGY</t>
  </si>
  <si>
    <t>Adipogenesis, Soft Tissue, Regeneration</t>
  </si>
  <si>
    <t>Forkert, Nils Daniel</t>
  </si>
  <si>
    <t>Distributed Machine Learning for Diagnosis and Treatment Decision Support of Pediatric Brain Tumors</t>
  </si>
  <si>
    <t>Cancer-Pediatric Cancer; Artificial Intelligence-Machine Learning</t>
  </si>
  <si>
    <t>Distributed, Machine Learning, Diagnosis</t>
  </si>
  <si>
    <t>Anatomically relevant brachytherapy implants by a 3D printing and radiosensitizing approach</t>
  </si>
  <si>
    <t>Biomedical Engineering-Biomaterials, Nanotechnology and Biomechanics; 3D-printing, additive manufacturing, new processes for biomaterials and devices</t>
  </si>
  <si>
    <t>brachytherapy, 3D printing, radiosensitizing</t>
  </si>
  <si>
    <t>Fortin, Sebastien</t>
  </si>
  <si>
    <t>L'AIMZ-938, un nouveau promedicament anticancereux pour le traitement des cancers du sein humain refractaires aux traitements actuels et exprimant le cytochrome P450 1A1</t>
  </si>
  <si>
    <t>Pharmacological, Toxicological and Pharmaceutical Sciences-Drug Discovery, Design and Delivery; Cancer-Cancer Drug Development and Therapeutics</t>
  </si>
  <si>
    <t>anticancer, breast cancer, cytochrome P450</t>
  </si>
  <si>
    <t>Foster, F. Stuart</t>
  </si>
  <si>
    <t>Development of biogenic gas nanostructures as a new class of molecular reporters for ultrasound</t>
  </si>
  <si>
    <t>CANCER THERAPY GENERAL; IMAGING; CANCER</t>
  </si>
  <si>
    <t>biogenic gas, nanostructures, ultrasound</t>
  </si>
  <si>
    <t>Multifrequency Ultrasound: Technology and Applications</t>
  </si>
  <si>
    <t>Ultrasound, Multifrequency</t>
  </si>
  <si>
    <t>Foster, Paula J</t>
  </si>
  <si>
    <t>Development of Magnetic Particle Imaging for In Vivo Cell Tracking</t>
  </si>
  <si>
    <t>Biomedical Engineering-Biomedical Imaging; cell therapy</t>
  </si>
  <si>
    <t>Magnetic Particle Imaging, In Vivo, Cell Tracking</t>
  </si>
  <si>
    <t>In Vivo Investigation of Mechanisms of Brain Metastasis and Metastatic Recurrence</t>
  </si>
  <si>
    <t>BREAST CANCER; BRAIN TUMORS (INCL. RETINAL TUMORS); CANCER; IMAGING</t>
  </si>
  <si>
    <t>brain, metastasis, recurrence</t>
  </si>
  <si>
    <t>AIDS; VIRAL; VIROLOGY; GENETICS</t>
  </si>
  <si>
    <t>Fradet, Yves</t>
  </si>
  <si>
    <t>Optimization of immunotherapy of bladder cancer: response to various non-specific immunomodulators</t>
  </si>
  <si>
    <t>PROSTATE AND BLADDER CANCER; PROSTATE AND BLADDER CANCER THERAPY; CANCER; IMMUNOLOGY-TRANSPLANTATION</t>
  </si>
  <si>
    <t>immunotherapy, bladder cancer, immunomodulators</t>
  </si>
  <si>
    <t>Unraveling the molecular mechanisms that promote replication stress and resistance to chemoradiation in oropharyngeal cancer caused by human papillomavirus</t>
  </si>
  <si>
    <t>Cancer-Cancer Progression and Metastasis; Immunology and Infection-Virology; Molecular, Cellular and Systems Biology-Cell Signaling</t>
  </si>
  <si>
    <t>replication stress, chemoradiation, oropharyngeal cancer</t>
  </si>
  <si>
    <t>Fradette, Julie</t>
  </si>
  <si>
    <t>Engineering bioactive dressings from mesenchymal cells to enhance healing of irradiated skin wounds</t>
  </si>
  <si>
    <t>Biomedical Engineering-Regenerative Medicine and Tissue Engineering; Musculoskeletal Health-Bone, Skin and Cartilage Sciences; Molecular, Cellular and Systems Biology-Cell Biology and Physiology</t>
  </si>
  <si>
    <t>bioactive, dressings, skin</t>
  </si>
  <si>
    <t>Tissu adipeux humain reconstruit par genie tissulaire: substituts endothelialises et compatibles avec la clinique</t>
  </si>
  <si>
    <t>INJURY, REGENERATION; SKIN AND SUBCUTANEOUS TISSUS; CELL BIOLOGY; MOLECULAR BIOLOGY</t>
  </si>
  <si>
    <t>Frampton, John P</t>
  </si>
  <si>
    <t>Collagen Fiber Scaffolds for Emergency Treatment of Corneal Injury</t>
  </si>
  <si>
    <t>Biomedical Engineering-Biomaterials, Nanotechnology and Biomechanics; Biomedical Engineering-Regenerative Medicine and Tissue Engineering</t>
  </si>
  <si>
    <t>Collagen, Fiber, Corneal</t>
  </si>
  <si>
    <t>Franklin, Daniel</t>
  </si>
  <si>
    <t>Advancing Pulse Oximetry Accuracy and Equity through Wearable Spectroscopy Devices</t>
  </si>
  <si>
    <t>Pulse Oximetry, Spectroscopy, Wearable</t>
  </si>
  <si>
    <t>Frayne, Richard</t>
  </si>
  <si>
    <t>Imaging of Small Vessel Disease in Dementia</t>
  </si>
  <si>
    <t>STROKE, HEART FAILURE; ALZHEIMER'S DISEASE; CARDIOVASCULAR; AGING</t>
  </si>
  <si>
    <t>Imaging, Small Vessel Disease, Dementia</t>
  </si>
  <si>
    <t>Targeting the EGFR/EphA2 crosstalk in triple negative breast cancer</t>
  </si>
  <si>
    <t>Cancer-Cancer Drug Development and Therapeutics; Molecular, Cellular and Systems Biology-Systems Biology</t>
  </si>
  <si>
    <t>EGFR, EphA2, breast cancer</t>
  </si>
  <si>
    <t>Targeting the EphA2 receptor in triple-negative breast cancer</t>
  </si>
  <si>
    <t>EphA2, receptor, breast cancer</t>
  </si>
  <si>
    <t>Modelling and machine learning for newborn hearing screening</t>
  </si>
  <si>
    <t>Neurosciences-Sensory Systems (including visual, auditory and pain); Methods Development and Modelling-Computational Biology; Biomedical Engineering-Biomaterials, Nanotechnology and Biomechanics; Computational biology is here taken to include, for example, mathematical modelling of biomechanics</t>
  </si>
  <si>
    <t>modelling, machine learning, hearing screening</t>
  </si>
  <si>
    <t>Gaiti, Federico</t>
  </si>
  <si>
    <t>Dissecting the determinants and dynamics of cellular states promoting glioma evolution</t>
  </si>
  <si>
    <t>BRAIN TUMORS (INCL. RETINAL TUMORS); CANCER THERAPY GENERAL; CANCER; MOLECULAR BIOLOGY</t>
  </si>
  <si>
    <t>glioma, cellular states, evolution</t>
  </si>
  <si>
    <t>Galipeau, Jacques</t>
  </si>
  <si>
    <t>A study of novel anti-cancer immunomodulatory fusion proteins and transgenic cell therapy</t>
  </si>
  <si>
    <t>CANCER THERAPY GENERAL; CANCER; DRUG RESEARCH</t>
  </si>
  <si>
    <t>anti-cancer, immunomodulatory, fusion proteins</t>
  </si>
  <si>
    <t>Gallinger, Steven</t>
  </si>
  <si>
    <t>Patient derived organoids as a platform for inferring treatment response in pancreatic cancer patients</t>
  </si>
  <si>
    <t>organoids, pancreatic cancer, treatment response</t>
  </si>
  <si>
    <t>Gallo, Marco</t>
  </si>
  <si>
    <t>202203PDI</t>
  </si>
  <si>
    <t>Recurrent 3D genome features in PFA ependymoma</t>
  </si>
  <si>
    <t xml:space="preserve">1 yr 5 mths </t>
  </si>
  <si>
    <t>Cancer-Pediatric Cancer; Cancer-Cancer Progression and Metastasis; Cancer-Mechanisms of Carcinogenesis</t>
  </si>
  <si>
    <t>3D genome, PFA ependymoma, recurrent</t>
  </si>
  <si>
    <t>Gamper, Armin</t>
  </si>
  <si>
    <t>Cancer Therapy exploiting Conditional Synthetic Lethality based on Genotoxic Stress levels</t>
  </si>
  <si>
    <t>Cancer, Synthetic Lethality, Genotoxic Stress</t>
  </si>
  <si>
    <t>Gangloff, Anne</t>
  </si>
  <si>
    <t>Multi-pathway cholesterol depletion on top of FOLFIRINOX in newly diagnosed metastatic pancreatic adenocarcinoma: a feasibility and proof-of-concept study</t>
  </si>
  <si>
    <t>Digestive, Endocrine and Excretory Systems-Gastroenterology and Hepatology</t>
  </si>
  <si>
    <t>cholesterol depletion, FOLFIRINOX, pancreatic adenocarcinoma</t>
  </si>
  <si>
    <t>Garcia, Damien</t>
  </si>
  <si>
    <t>Echocardiographic assessment of global and regional left ventricular function using an original modality of coupled wall-fluid dynamics mapping.</t>
  </si>
  <si>
    <t>echocardiographic, ventricular, wall-fluid</t>
  </si>
  <si>
    <t>Gariepy, Jean</t>
  </si>
  <si>
    <t>200903IC1</t>
  </si>
  <si>
    <t>Targeted imaging and therapy of breast cancers using Tn antigen-specific DNA aptamers</t>
  </si>
  <si>
    <t>BREAST CANCER; DRUGS- PHARMACEUTICAL SCIENCE/CHEMISTRY &amp; NON MEDICAL USE OF DRUGS; CANCER; DRUG RESEARCH</t>
  </si>
  <si>
    <t>imaging, DNA aptamers, breast cancers</t>
  </si>
  <si>
    <t>Garnis, Cathie</t>
  </si>
  <si>
    <t>Deciphering and reconstituting genetic events in oral cancer progression</t>
  </si>
  <si>
    <t>NEOPLASMS; MOLECULAR BIOLOGY; CANCER</t>
  </si>
  <si>
    <t>genetic, oral cancer, reconstitution</t>
  </si>
  <si>
    <t>Evaluation of circulating small RNA markers as simple blood test biomarkers for detecting and predicting outcomes in oral cancer</t>
  </si>
  <si>
    <t>DENTAL DISEASE (INCL. ORAL BIOLOGY); CANCER; MOLECULAR BIOLOGY</t>
  </si>
  <si>
    <t>small RNA, biomarkers, oral cancer</t>
  </si>
  <si>
    <t>Garzia, Livia</t>
  </si>
  <si>
    <t>Epigenetic mechanisms of osteosarcoma pathogenesis and progression.</t>
  </si>
  <si>
    <t>Cancer-Cancer Progression and Metastasis; Cancer-Pediatric Cancer</t>
  </si>
  <si>
    <t>epigenetic, osteosarcoma, mechanisms</t>
  </si>
  <si>
    <t>Genetic drivers of medulloblastoma metastasis</t>
  </si>
  <si>
    <t>Cancer-Pediatric Cancer; Cancer-Cancer Progression and Metastasis</t>
  </si>
  <si>
    <t>genetic, medulloblastoma, metastasis</t>
  </si>
  <si>
    <t>Gascoyne, Randy D</t>
  </si>
  <si>
    <t>Genetic mechanisms underlying immune escape in malignant lymphomas</t>
  </si>
  <si>
    <t>NEOPLASMS; BLOOD; CANCER; HEALTH RESEARCH</t>
  </si>
  <si>
    <t>genetic, immune escape, lymphomas</t>
  </si>
  <si>
    <t>Gatignol, Anne</t>
  </si>
  <si>
    <t>Development of small interfering RNAs (siRNAs) for the treatment of Severe Acute Respiratory Syndrome-Coronavirus-2 (SARS-CoV-2)</t>
  </si>
  <si>
    <t>INFECTIOUS AND PARASITIC; VIRAL; VIROLOGY; DRUG RESEARCH</t>
  </si>
  <si>
    <t>siRNAs, RNA, SARS-CoV-2</t>
  </si>
  <si>
    <t>Gendron, Fernand-Pierre</t>
  </si>
  <si>
    <t>Regulation and role of P2Y6 nucleotide receptor in colorectal cancer</t>
  </si>
  <si>
    <t>GASTRO-INTESTINAL DISEASE; GASTRO-INTESTINAL CANCER; CELL BIOLOGY; MOLECULAR BIOLOGY</t>
  </si>
  <si>
    <t>P2Y6, nucleotide receptor, colorectal cancer</t>
  </si>
  <si>
    <t>Germain, Lucie</t>
  </si>
  <si>
    <t>Cornee reconstruite in vitro par genie tissulaire pour des applications experimentales et cliniques</t>
  </si>
  <si>
    <t>DISEASES AFFECTING SPEECH/VISION/HEARING; INJURY, REGENERATION; CELL BIOLOGY; MOLECULAR BIOLOGY</t>
  </si>
  <si>
    <t>Deciphering the role of the nuclear receptor LRH-1 in the establishment of a specific transcriptional program in triple negative breast cancer.</t>
  </si>
  <si>
    <t>Molecular, Cellular and Systems Biology-Molecular Biology; Cancer-Mechanisms of Carcinogenesis; Genetics-Genomics, Transcriptomics and Proteomics</t>
  </si>
  <si>
    <t>nuclear receptor, LRH-1, breast cancer</t>
  </si>
  <si>
    <t>Geyer, Clarence R</t>
  </si>
  <si>
    <t>The Role of Natural Antisense Transcripts in Silencing Transforming Growth Factor Beta Regulated Genes in Acute Myeloid Leukemia</t>
  </si>
  <si>
    <t>LEUKAEMIAS; CANCER THERAPY GENERAL; CANCER; MOLECULAR BIOLOGY</t>
  </si>
  <si>
    <t>Antisense transcripts, Gene regulation, Leukemia</t>
  </si>
  <si>
    <t>Ghahary, Aziz</t>
  </si>
  <si>
    <t>Project Grant - PA: MSK/Skin/Oral Health: Clinical Research - Skin Health</t>
  </si>
  <si>
    <t>201903PJ6</t>
  </si>
  <si>
    <t>Development and application of a Multifunctional Nutrient-rich Composite Scaffold for Treatment of Complex Wounds</t>
  </si>
  <si>
    <t>Nutrient-rich, Composite Scaffold, Wounds</t>
  </si>
  <si>
    <t>Prophylactic Antibiotic Regimens in Tumor Surgery (PARITY): A Multi-Center Randomized Controlled Trial</t>
  </si>
  <si>
    <t>BONE CANCER THERAPY; BONE CANCER; CANCER; MUSCLE, BONE, OR JOINT</t>
  </si>
  <si>
    <t>Antibiotic, Tumor, Surgery</t>
  </si>
  <si>
    <t>Diagnosing Ovarian Cancer Early (DOvE)by targeting symptomatic women</t>
  </si>
  <si>
    <t>NEOPLASMS; GENITO/URINARY SYSTEM; CANCER; HEALTH SERVICES RESEARCH</t>
  </si>
  <si>
    <t>Ovarian cancer, diagnosis, symptomatic women</t>
  </si>
  <si>
    <t>Gilbert, Penney M</t>
  </si>
  <si>
    <t>Evaluating the nerve-muscle connection as a Duchenne muscular dystrophy therapeutic target</t>
  </si>
  <si>
    <t>Biomedical Engineering-Regenerative Medicine and Tissue Engineering; Musculoskeletal Health-Skeletal Muscle Biology and Physiology</t>
  </si>
  <si>
    <t>nerve-muscle, Duchenne muscular dystrophy, therapeutic</t>
  </si>
  <si>
    <t>Operating Grant - PA: IMHA - New Invest.- Musculoskeletal Health Bridge Funding</t>
  </si>
  <si>
    <t>201403ONM</t>
  </si>
  <si>
    <t>Matrix biomechanics and satellite cell aging</t>
  </si>
  <si>
    <t>AGING; MUSCULO SKELETAL; MUSCLE, BONE, OR JOINT</t>
  </si>
  <si>
    <t>matrix, biomechanics, satellite cell</t>
  </si>
  <si>
    <t>Developing a Patient-Specific Surgical Decision-Assistance Tool to Improve Reverse Shoulder Replacement Outcomes</t>
  </si>
  <si>
    <t>Biomedical Engineering-Biomaterials, Nanotechnology and Biomechanics; Artificial Intelligence-Machine Learning</t>
  </si>
  <si>
    <t>Patient-specific, Surgical, Reverse shoulder</t>
  </si>
  <si>
    <t>Omics, Histopathology and AI: An Integrative Approach for Biomarker Discovery in Ovarian Cancer</t>
  </si>
  <si>
    <t>Biomedical Engineering-Biomedical Imaging; Genetics-Genomics, Transcriptomics and Proteomics; Methods Development and Modelling-Quantitative Methods Development for Health Research</t>
  </si>
  <si>
    <t>Omics, Histopathology, AI</t>
  </si>
  <si>
    <t>Gladdy, Rebecca A</t>
  </si>
  <si>
    <t>Whole Genome Sequencing Defines Leiomyosarcoma Evolution and Identifies Therapeutic Opportunities in the DNA Damage Pathway</t>
  </si>
  <si>
    <t>Cancer-Cancer Progression and Metastasis; Genetics-Genomics, Transcriptomics and Proteomics; Molecular, Cellular and Systems Biology-Molecular Biology</t>
  </si>
  <si>
    <t>Genome, Sequencing, Leiomyosarcoma</t>
  </si>
  <si>
    <t>Identification of HOXB13 inhibitors to treat castrate-resistant prostate cancer</t>
  </si>
  <si>
    <t>HOXB13, inhibitors, prostate cancer</t>
  </si>
  <si>
    <t>Understanding the function and regulation of the new metastasis suppressor gene Growth Arrest Specific 1 (GAS1)</t>
  </si>
  <si>
    <t>SKIN AND SUBCUTANEOUS TISSUS; NEOPLASMS; CANCER; MOLECULAR BIOLOGY</t>
  </si>
  <si>
    <t>metastasis, suppressor gene, GAS1</t>
  </si>
  <si>
    <t>Godbout, Roseline</t>
  </si>
  <si>
    <t>201203OAC</t>
  </si>
  <si>
    <t>Role of Brain Fatty Acid-binding Protein in Malignant Glioma Progression</t>
  </si>
  <si>
    <t>BRAIN TUMORS (INCL. RETINAL TUMORS); NEOPLASMS; CANCER; MOLECULAR BIOLOGY</t>
  </si>
  <si>
    <t>Brain, Fatty Acid-binding Protein, Glioma</t>
  </si>
  <si>
    <t>Goertz, David E</t>
  </si>
  <si>
    <t>Enhancing immunotherapy with ultrasound stimulated bubbles</t>
  </si>
  <si>
    <t>immunotherapy, ultrasound, bubbles</t>
  </si>
  <si>
    <t>Novel Catheter Based Therapeutic Ultrasound Approach for the Treatment of Coronary Artery Occlusions</t>
  </si>
  <si>
    <t>Biomedical Engineering-Biophysics, Medical Technologies and Instrumentation; Cardiovascular, Respiratory and Circulatory Systems-Cardiovascular and Circulatory Sciences</t>
  </si>
  <si>
    <t>Catheter, Ultrasound, Coronary Artery</t>
  </si>
  <si>
    <t>Goodarzi, Aaron</t>
  </si>
  <si>
    <t>Chromatin remodeling dynamics during human DNA double strand break repair</t>
  </si>
  <si>
    <t>CANCER THERAPY GENERAL; AGING; CELL BIOLOGY; MOLECULAR BIOLOGY</t>
  </si>
  <si>
    <t>chromatin remodeling, DNA repair, double strand break</t>
  </si>
  <si>
    <t>High-Throughput Analysis of Low Dose, Repetitive Alpha Particle Irradiation as a source of Radon-Induced Lung Cancer</t>
  </si>
  <si>
    <t>Cancer-Mechanisms of Carcinogenesis</t>
  </si>
  <si>
    <t>Alpha particle, irradiation, lung cancer</t>
  </si>
  <si>
    <t>Gorczynski, Reginald M</t>
  </si>
  <si>
    <t>Characterization of importance of sCD200 levels for prognosis in CLL patients</t>
  </si>
  <si>
    <t>LEUKAEMIAS; CANCER THERAPY GENERAL; CANCER; BLOOD</t>
  </si>
  <si>
    <t>sCD200, prognosis, CLL</t>
  </si>
  <si>
    <t>Gorski, Sharon M</t>
  </si>
  <si>
    <t>Simon Fraser University (Burnaby, B.C.)</t>
  </si>
  <si>
    <t>Operating Grant - Priority Announcement: Breast Cancer Research (AVON)</t>
  </si>
  <si>
    <t>201209OBC</t>
  </si>
  <si>
    <t>Autophagy inhibition for the treatment of chemotherapy-refractory triple-negative breast cancer</t>
  </si>
  <si>
    <t>Avon Foundation for Women - Canada</t>
  </si>
  <si>
    <t>Autophagy, chemotherapy, breast cancer</t>
  </si>
  <si>
    <t>Project Grant - Priority Announcement: Cancer Research</t>
  </si>
  <si>
    <t>202309PJS</t>
  </si>
  <si>
    <t>Targeting adaptive autophagy to enhance treatment response in pancreatic cancer</t>
  </si>
  <si>
    <t>autophagy, pancreatic cancer, treatment response</t>
  </si>
  <si>
    <t>Gotman, Jean</t>
  </si>
  <si>
    <t>Electrical and metobolic analysis of human epileptogenic lesions</t>
  </si>
  <si>
    <t>EPILEPSY; NERVOUS SYSTEM; IMAGING</t>
  </si>
  <si>
    <t>Electrical, metabolic, epileptogenic</t>
  </si>
  <si>
    <t>Graham, Charles H</t>
  </si>
  <si>
    <t>Mechanisms of hypoxia-induced immune escape in cancer and their regulation by nitric oxide</t>
  </si>
  <si>
    <t>CANCER THERAPY GENERAL; NONE OF THE ABOVE; CANCER; CELL BIOLOGY</t>
  </si>
  <si>
    <t>hypoxia, immune escape, nitric oxide</t>
  </si>
  <si>
    <t>Nitric oxide-mediated inhibition of hypoxia-induced immune escape in cancer</t>
  </si>
  <si>
    <t>CANCER THERAPY GENERAL; NONE OF THE ABOVE; CELL BIOLOGY; CANCER</t>
  </si>
  <si>
    <t>Nitric oxide, hypoxia, immune escape</t>
  </si>
  <si>
    <t>Role of trained immunity in the response to BCG immunotherapy of bladder cancer</t>
  </si>
  <si>
    <t>Immunology and Infection-Transplantation, Immune Tolerance and Tumor Immunology</t>
  </si>
  <si>
    <t>trained immunity, BCG, bladder cancer</t>
  </si>
  <si>
    <t>Graham, Simon J</t>
  </si>
  <si>
    <t>Modernizing Classic Tests of Cognition using Computerized Tablets, Eye-tracking and Functional Neuroimaging</t>
  </si>
  <si>
    <t>Neurosciences-Cognition, Communication and Behaviour (including sleep and memory)</t>
  </si>
  <si>
    <t>Cognition, Eye-tracking, Neuroimaging</t>
  </si>
  <si>
    <t>Parallel Radiofrequency Transmission MRI Applied to Deep Brain Stimulation</t>
  </si>
  <si>
    <t>Neurosciences-Neurological disorders</t>
  </si>
  <si>
    <t>Radiofrequency, MRI, Brain Stimulation</t>
  </si>
  <si>
    <t>Grandvaux, Nathalie</t>
  </si>
  <si>
    <t>Oncogenic signaling pathways in breast cancer: regulation and function of the IKKepsilon kinase.</t>
  </si>
  <si>
    <t>BREAST CANCER; CANCER; CELL BIOLOGY</t>
  </si>
  <si>
    <t>oncogenic, signaling pathways, IKKepsilon kinase</t>
  </si>
  <si>
    <t>Grant, Michael D</t>
  </si>
  <si>
    <t>Memorial University of Newfoundland</t>
  </si>
  <si>
    <t>Newfoundland and Labrador</t>
  </si>
  <si>
    <t>Characterization of Cellular and Humoral Immunity Against SARS-CoV-2</t>
  </si>
  <si>
    <t>VIRAL; HEALTH PROMOTION; IMMUNOLOGY-TRANSPLANTATION; VIROLOGY</t>
  </si>
  <si>
    <t>Cellular immunity, Humoral immunity, SARS-CoV-2</t>
  </si>
  <si>
    <t>Catalyst Grant: HIV/AIDS Vaccine Discovery Research (Can HIV Vaccine Initiative)</t>
  </si>
  <si>
    <t>200811CHV</t>
  </si>
  <si>
    <t>HIV Vaccine Discovery</t>
  </si>
  <si>
    <t>Heteroclitic Peptides to Increase Human Immunodeficiency Virus-specific CD8+ T cell Interleukin-2 Production</t>
  </si>
  <si>
    <t>Heteroclitic Peptides, Immunodeficiency Virus, CD8+ T cells</t>
  </si>
  <si>
    <t>Greer, Peter A</t>
  </si>
  <si>
    <t>201804PJT</t>
  </si>
  <si>
    <t>Calpain as a novel therapeutic target in breast cancer</t>
  </si>
  <si>
    <t>Calpain, breast cancer, therapeutic target</t>
  </si>
  <si>
    <t>Genetic and cell biological analysis of calpain: a potential therapeutic target in breast cancer</t>
  </si>
  <si>
    <t>CANCER THERAPY GENERAL; BREAST CANCER; CANCER; MOLECULAR BIOLOGY</t>
  </si>
  <si>
    <t>calpain, genetic, breast cancer</t>
  </si>
  <si>
    <t>Targeting the calpain protease in breast cancer</t>
  </si>
  <si>
    <t>calpain, protease, breast cancer</t>
  </si>
  <si>
    <t>Gregorieff, Alex</t>
  </si>
  <si>
    <t>Role of Hippo signaling in myofibroblasts during gut regeneration and tumorigenesis.</t>
  </si>
  <si>
    <t>Digestive, Endocrine and Excretory Systems-Gastroenterology and Hepatology; Cancer-Cancer Progression and Metastasis; Molecular, Cellular and Systems Biology-Cell Signaling</t>
  </si>
  <si>
    <t>Hippo signaling, myofibroblasts, gut regeneration</t>
  </si>
  <si>
    <t>Pro-regeneration biomimetic corneal implants with anti-microbial and anti-inflammatory activity</t>
  </si>
  <si>
    <t>Biomedical Engineering-Regenerative Medicine and Tissue Engineering; Biomedical Engineering-Biomaterials, Nanotechnology and Biomechanics; Neurosciences-Sensory Systems (including visual, auditory and pain)</t>
  </si>
  <si>
    <t>biomimetic, corneal, implants</t>
  </si>
  <si>
    <t>Gros-Louis, Francois</t>
  </si>
  <si>
    <t>Depicting disease heterogeneity in neurofibromatosis type 1 and the role of dermal fibroblasts in the establishment of microenvironment favouring NF1-associated skin tumor formation using personalized tissue-engineered 3D models</t>
  </si>
  <si>
    <t>neurofibromatosis, dermal fibroblasts, tissue-engineered</t>
  </si>
  <si>
    <t>Pro. Gr. - PA: Inst. of Musculoskeletal Health and Arthritis: IMHA Mandate Areas</t>
  </si>
  <si>
    <t>202209MHM</t>
  </si>
  <si>
    <t>Depicting disease heterogeneity in neurofibromatosis type 1 and the role of microenvironment in NF1-associated skin tumor formation through personalized tissue-engineered 3D models</t>
  </si>
  <si>
    <t>neurofibromatosis, microenvironment, tissue-engineered</t>
  </si>
  <si>
    <t>Grova, Christophe</t>
  </si>
  <si>
    <t>Concordia University (Montreal, Quebec)</t>
  </si>
  <si>
    <t>How is neurovascular coupling impacted by the occurrence of epileptic activity during sleep: a whole night personalized EEG/fNIRS investigation</t>
  </si>
  <si>
    <t>Biomedical Engineering-Biomedical Imaging; Neurosciences-Neurological disorders; Neurosciences-Neural Circuits and Systems</t>
  </si>
  <si>
    <t>neurovascular, epileptic activity, EEG/fNIRS</t>
  </si>
  <si>
    <t>Multimodal identification of the neurovascular coupling within the epileptogenic network</t>
  </si>
  <si>
    <t>neurovascular, coupling, epileptogenic</t>
  </si>
  <si>
    <t>The importance of connector hubs in focal epilepsy: a multimodal investigation</t>
  </si>
  <si>
    <t>connector hubs, focal epilepsy, multimodal</t>
  </si>
  <si>
    <t>Guerin, Brigitte</t>
  </si>
  <si>
    <t>Radiolabelled peptides to improve cancer diagnosis by positron emission tomography / Peptides radiomarques pour ameliorer le diagnostic du cancer par tomographie e emission de positron</t>
  </si>
  <si>
    <t>radiolabelled peptides, cancer diagnosis, positron emission tomography</t>
  </si>
  <si>
    <t>Guerin, Sylvain L</t>
  </si>
  <si>
    <t>A human tissue-engineered three-layer cornea (hTEC) supplemented with macrophages as a biomaterial for in vitro studies</t>
  </si>
  <si>
    <t>Biomedical Engineering-Regenerative Medicine and Tissue Engineering; Biomedical Engineering-Biomaterials, Nanotechnology and Biomechanics; Molecular, Cellular and Systems Biology-Cell Signaling</t>
  </si>
  <si>
    <t>tissue-engineered, cornea, macrophages</t>
  </si>
  <si>
    <t>Gueziri, Houssem-Eddine</t>
  </si>
  <si>
    <t>Advancing Neurosurgery Training: A Realistic Simulation Platform with Sensorless Force Feedback Tutoring</t>
  </si>
  <si>
    <t>Biomedical Engineering-Biomedical Imaging; Methods Development and Modelling-Quantitative Methods Development for Health Research</t>
  </si>
  <si>
    <t>Neurosurgery, Simulation, Force Feedback</t>
  </si>
  <si>
    <t>Guha, Abhijit</t>
  </si>
  <si>
    <t>GATA4 and GATA6 Transcription Factors in Gliomagenesis</t>
  </si>
  <si>
    <t>BRAIN TUMORS (INCL. RETINAL TUMORS); BRAIN TUMORS THERAPY; CANCER; NERVOUS SYSTEM</t>
  </si>
  <si>
    <t>GATA4, GATA6, Gliomagenesis</t>
  </si>
  <si>
    <t>Guidolin, Leila M</t>
  </si>
  <si>
    <t>Carleton University (Ottawa)</t>
  </si>
  <si>
    <t>Mapping ECM Remodelling in Asthma Using Multimodal Imaging and Physiologically-Relevant Tissue Models</t>
  </si>
  <si>
    <t>Biomedical Engineering-Biomedical Imaging; Cardiovascular, Respiratory and Circulatory Systems-Respiratory Sciences</t>
  </si>
  <si>
    <t>ECM, Imaging, Asthma</t>
  </si>
  <si>
    <t>Gujar, Shashi A</t>
  </si>
  <si>
    <t>Biotherapeutic implications for oncolytic virus-induced MHC class I ligandomes</t>
  </si>
  <si>
    <t>oncolytic virus, MHC class I, ligandomes</t>
  </si>
  <si>
    <t>Haas, Kurt</t>
  </si>
  <si>
    <t>Contribution of genetic variation of ACE2, the receptor for SARS-CoV-2, to COVID-19 disease expression and development of therapeutics</t>
  </si>
  <si>
    <t>INFECTIOUS AND PARASITIC; MOLECULAR BIOLOGY</t>
  </si>
  <si>
    <t>ACE2, SARS-CoV-2, genetics</t>
  </si>
  <si>
    <t>Haddad, Elie</t>
  </si>
  <si>
    <t>Alternatives to current Chimeric-Antigen Receptor (CAR)-T cell therapy in acute lymphoblastic leukemia</t>
  </si>
  <si>
    <t>Chimeric-Antigen Receptor, CAR-T, leukemia</t>
  </si>
  <si>
    <t>Project Grant - Priority Announcement: Pediatric Cancer</t>
  </si>
  <si>
    <t>202109PAE</t>
  </si>
  <si>
    <t>New Modalities of Chimeric Antigen Receptor (CAR) Therapies in Pediatric Rhabdomyosarcoma</t>
  </si>
  <si>
    <t>Cancer-Cancer Drug Development and Therapeutics; Immunology and Infection-Transplantation, Immune Tolerance and Tumor Immunology; Cancer-Pediatric Cancer</t>
  </si>
  <si>
    <t>Chimeric Antigen Receptor, CAR, Rhabdomyosarcoma</t>
  </si>
  <si>
    <t>Curve progression, tissue remodelling and disease-modifying drugs in idiopathic scoliosis.</t>
  </si>
  <si>
    <t>Musculoskeletal Health-Bone, Skin and Cartilage Sciences; Youth Health-Prevention, Treatment and Support</t>
  </si>
  <si>
    <t>curve, tissue remodelling, scoliosis</t>
  </si>
  <si>
    <t>Development and comparison of radiomics models for prognosis and monitoring</t>
  </si>
  <si>
    <t>radiomics, prognosis, monitoring</t>
  </si>
  <si>
    <t>Haigh, Jody J</t>
  </si>
  <si>
    <t>Deciphering the Role of ZEB2 transcription factor in B cell Ontogeny and Transformation.</t>
  </si>
  <si>
    <t>Cancer-Pediatric Cancer; Genetics-Genomics, Transcriptomics and Proteomics; Cancer-Cancer Drug Development and Therapeutics</t>
  </si>
  <si>
    <t>ZEB2, transcription factor, B cell</t>
  </si>
  <si>
    <t>EMT Transcription factor corruption of epigenetic regulators in Acute Myeloid Leukemia</t>
  </si>
  <si>
    <t>Cancer-Cancer Drug Development and Therapeutics; Genetics-Molecular and Functional Genetics and Epigenetics; Cancer-Cancer Progression and Metastasis</t>
  </si>
  <si>
    <t>EMT, epigenetic, leukemia</t>
  </si>
  <si>
    <t>Haji Reza, Parsin</t>
  </si>
  <si>
    <t>Accurate Retinal Oximetry for the Pre-Symptomatic Diagnosis of Major Blinding Diseases</t>
  </si>
  <si>
    <t>Molecular, Cellular and Systems Biology-Molecular Biology; Biomedical Engineering-Biophysics, Medical Technologies and Instrumentation</t>
  </si>
  <si>
    <t>Retinal oximetry, diagnosis, blinding diseases</t>
  </si>
  <si>
    <t>Next Generation Surgical Microscopes for Rapid Virtual Histopathology</t>
  </si>
  <si>
    <t>Biomedical Engineering-Biomedical Imaging; Cancer-Clinical Oncology; Artificial Intelligence-Artificial Intelligence</t>
  </si>
  <si>
    <t>Surgical Microscopes, Virtual Histopathology</t>
  </si>
  <si>
    <t>Hakem, Razqallah</t>
  </si>
  <si>
    <t>Novel contrasting functions of RNF168 and RNF169 in breast cancer and therapeutic implications.</t>
  </si>
  <si>
    <t>Cancer-Mechanisms of Carcinogenesis; Cancer-Cancer Progression and Metastasis</t>
  </si>
  <si>
    <t>RNF168, RNF169, breast cancer</t>
  </si>
  <si>
    <t>Targeting transcription-replication conflicts as vulnerabilities in BRCA1 mutant and homologous recombination-deficient breast and ovarian cancers</t>
  </si>
  <si>
    <t>transcription-replication conflicts, BRCA1, homologous recombination</t>
  </si>
  <si>
    <t>Hamilton, Douglas W</t>
  </si>
  <si>
    <t>Development of Matricellular Protein-Containing Granulation Tissue Biomimetic Scaffolds to Enhance Skin Regeneration</t>
  </si>
  <si>
    <t>SKIN AND SUBCUTANEOUS TISSUS; CELL BIOLOGY; MOLECULAR BIOLOGY</t>
  </si>
  <si>
    <t>Matricellular protein, Granulation tissue, Skin regeneration</t>
  </si>
  <si>
    <t>Matricellular Protein Biomimetic Scaffolds to Enhance Skin Regeneration</t>
  </si>
  <si>
    <t>Matricellular, Biomimetic, Scaffolds</t>
  </si>
  <si>
    <t>Novel Biomaterials-Based Strategies to Stimulate Periodontal Tissue Regeneration</t>
  </si>
  <si>
    <t>Musculoskeletal Health-Oral Health; Biomedical Engineering-Regenerative Medicine and Tissue Engineering; Biomedical Engineering-Biomaterials, Nanotechnology and Biomechanics</t>
  </si>
  <si>
    <t>Biomaterials, Periodontal, Regeneration</t>
  </si>
  <si>
    <t>Hamoui, Anas</t>
  </si>
  <si>
    <t>Neural Encoding in the Visual Cortex: Engineering Principles for Advanced Neural Prosthetics</t>
  </si>
  <si>
    <t>MULTIDISCIPLINARY; CNS ORGANIC; NERVOUS SYSTEM; VISION</t>
  </si>
  <si>
    <t>Neural encoding, visual cortex, neural prosthetics</t>
  </si>
  <si>
    <t>Tailored adjuvant therapy in POLE-mutated and p53-wildtype early stage endometrial cancer (TAPER)</t>
  </si>
  <si>
    <t xml:space="preserve">6 yrs 0 mth </t>
  </si>
  <si>
    <t>Cancer-Clinical Oncology; Health Services and Systems-Personalized Medicine</t>
  </si>
  <si>
    <t>adjuvant therapy, POLE-mutated, endometrial cancer</t>
  </si>
  <si>
    <t>Hancock, Robert Ernest W</t>
  </si>
  <si>
    <t>Diagnosing the onset of severe Covid-19 disease</t>
  </si>
  <si>
    <t>INFECTIOUS AND PARASITIC; GENOMICS, PROTEOMICS, AND BIOINFORMATICS; HEALTH RESEARCH</t>
  </si>
  <si>
    <t>Covid-19, diagnosis, disease</t>
  </si>
  <si>
    <t>Harding, Shane M</t>
  </si>
  <si>
    <t>Radiotherapy-driven remodelling of the tumour microenvironment dictates response to immune checkpoint blockade</t>
  </si>
  <si>
    <t>Radiotherapy, tumor microenvironment, immune checkpoint</t>
  </si>
  <si>
    <t>Hardisty, Michael R</t>
  </si>
  <si>
    <t>Quantifying Osteosarcopenia Progression with Imaging Biomarkers in Prostate Cancer</t>
  </si>
  <si>
    <t>Biomedical Engineering-Biomedical Imaging; Musculoskeletal Health-Skeletal Muscle Biology and Physiology; Cancer-Cancer Progression and Metastasis</t>
  </si>
  <si>
    <t>Osteosarcopenia, Imaging, Biomarkers</t>
  </si>
  <si>
    <t>Hardy, Pierre</t>
  </si>
  <si>
    <t>Investigation of the antineoplastic effect of miRNA-181a and development a novel pharmaceutical approaches for treating advanced retinoblastoma</t>
  </si>
  <si>
    <t>Cancer-Pediatric Cancer; Pharmacological, Toxicological and Pharmaceutical Sciences-Drug Discovery, Design and Delivery; Molecular, Cellular and Systems Biology-Cell Signaling</t>
  </si>
  <si>
    <t>miRNA-181a, retinoblastoma, antineoplastic</t>
  </si>
  <si>
    <t>Harvey, Edward J</t>
  </si>
  <si>
    <t>Advanced sensors for acute and chronic brain injury</t>
  </si>
  <si>
    <t>sensors, brain injury</t>
  </si>
  <si>
    <t>Hassell, John A</t>
  </si>
  <si>
    <t>201403COP</t>
  </si>
  <si>
    <t>Identification and characterization of drugs affecting serotonin signalling that may be repurposed to treat breast cancer</t>
  </si>
  <si>
    <t>BREAST CANCER; CANCER THERAPY GENERAL; CANCER; MOLECULAR BIOLOGY</t>
  </si>
  <si>
    <t>serotonin, drugs, breast cancer</t>
  </si>
  <si>
    <t>Mechanism of action of drugs affecting serotonin signalling in breast cancer stem cells</t>
  </si>
  <si>
    <t>serotonin, breast cancer, stem cells</t>
  </si>
  <si>
    <t>Hawkins, Cynthia E</t>
  </si>
  <si>
    <t>Defining the role of the histone 3 (H3.3G34R) mutation in the pathogenesis of pediatric high grade astrocytoma</t>
  </si>
  <si>
    <t>Cancer-Cancer Drug Development and Therapeutics; Genetics-Molecular and Functional Genetics and Epigenetics</t>
  </si>
  <si>
    <t>histone, mutation, astrocytoma</t>
  </si>
  <si>
    <t>Investigating diffuse midline glioma evolution and treatment resistance</t>
  </si>
  <si>
    <t>glioma, evolution, resistance</t>
  </si>
  <si>
    <t>Molecular based approach for discovery and improved outcome for children and young adults with low grade glioma</t>
  </si>
  <si>
    <t>molecular, glioma, children</t>
  </si>
  <si>
    <t>Next generation precision oncology for pediatric-type AYA gliomas</t>
  </si>
  <si>
    <t>Cancer-Cancer Drug Development and Therapeutics; Cancer-Pediatric Cancer</t>
  </si>
  <si>
    <t>precision, oncology, gliomas</t>
  </si>
  <si>
    <t>Targeting Paediatric Brainstem Glioma Using Integrated Whole Genome Analysis</t>
  </si>
  <si>
    <t>BRAIN TUMORS (INCL. RETINAL TUMORS); BRAIN TUMORS THERAPY; CANCER; GENOMICS, PROTEOMICS, AND BIOINFORMATICS</t>
  </si>
  <si>
    <t>Paediatric, Brainstem Glioma, Whole Genome</t>
  </si>
  <si>
    <t>The TACtful Trial: A first-in-human multi-centre trial of BCMA specific T-cell antigen coupler infusion, generated from cryopreserved G-CSF-mobilized peripheral blood, in patients with relapsed and refractory multiple myeloma.</t>
  </si>
  <si>
    <t>BCMA, T-cell, multiple myeloma</t>
  </si>
  <si>
    <t>A Phase I first-in-human trial of CLIC-2201, a VHH-CD22 CAR-T cell product for the treatment of relapsed/refractory CD22 positive B-cell non-Hodgkin lymphoma</t>
  </si>
  <si>
    <t>Cancer-Cancer Drug Development and Therapeutics; Immunology and Infection-Immunology and Autoimmune Diseases (including rheumatology)</t>
  </si>
  <si>
    <t>CAR-T, CD22, B-cell</t>
  </si>
  <si>
    <t>He, Housheng H</t>
  </si>
  <si>
    <t>Epigenetic Regulation and Noncoding RNA in Prostate Cancer Progression</t>
  </si>
  <si>
    <t>PROSTATE AND BLADDER CANCER THERAPY; CANCER THERAPY GENERAL; CANCER; GENETICS</t>
  </si>
  <si>
    <t>Epigenetic, Noncoding RNA, Prostate Cancer</t>
  </si>
  <si>
    <t>Function of LSD1 in aggressive prostate cancer</t>
  </si>
  <si>
    <t>LSD1, prostate cancer</t>
  </si>
  <si>
    <t>Function of OC2 in Neuroendocrine Transdifferentiation and NEPC</t>
  </si>
  <si>
    <t>OC2, Neuroendocrine, Transdifferentiation</t>
  </si>
  <si>
    <t>Hedley, David W</t>
  </si>
  <si>
    <t>Hypoxia in micrometastases as a cause of treatment failure in the adjuvant setting</t>
  </si>
  <si>
    <t>GASTRO-INTESTINAL CANCER; GASTRO-INTESTINAL CANCER THERAPY; CANCER; HEALTH RESEARCH</t>
  </si>
  <si>
    <t>hypoxia, micrometastases, treatment failure</t>
  </si>
  <si>
    <t>Helfield, Brandon</t>
  </si>
  <si>
    <t>Ultrasound-assisted microRNA delivery towards the treatment of pathological cardiac hypertrophy</t>
  </si>
  <si>
    <t>ultrasound, microRNA, cardiac hypertrophy</t>
  </si>
  <si>
    <t>Hendzel, Michael J</t>
  </si>
  <si>
    <t>Structure-function relationships at DNA double-strand break repair centers</t>
  </si>
  <si>
    <t>DNA, double-strand break, repair</t>
  </si>
  <si>
    <t>Henkelman, R. Mark</t>
  </si>
  <si>
    <t>The Effect of Flow on Atherogenesis in Mice</t>
  </si>
  <si>
    <t>ATHEROSCLEROSIS; IMAGING; CARDIOVASCULAR</t>
  </si>
  <si>
    <t>Flow, Atherogenesis, Mice</t>
  </si>
  <si>
    <t>Herzog, Walter</t>
  </si>
  <si>
    <t>Chondrocyte mechanics and biology in the intact joint: towards an understanding of osteoarthritis development in vivo</t>
  </si>
  <si>
    <t>MUSCULO SKELETAL; ARTHRITIS/OSTEOARTHRITIS; MUSCLE, BONE, OR JOINT; MOLECULAR BIOLOGY</t>
  </si>
  <si>
    <t>chondrocyte, biomechanics, osteoarthritis</t>
  </si>
  <si>
    <t>The functional role of titin in muscle contraction</t>
  </si>
  <si>
    <t>MUSCULO SKELETAL; MUSCLE, BONE, OR JOINT</t>
  </si>
  <si>
    <t>titin, muscle contraction</t>
  </si>
  <si>
    <t>Hypoxia:  Effects on Tumour Response and Progression in Cervix Cancer</t>
  </si>
  <si>
    <t>CANCER THERAPY GENERAL; CANCER; CELL BIOLOGY</t>
  </si>
  <si>
    <t>Hypoxia, Tumour, Cervix Cancer</t>
  </si>
  <si>
    <t>LUNG CANCER THERAPY; CANCER THERAPY GENERAL; CANCER; RESPIRATION</t>
  </si>
  <si>
    <t>Hirano, Naoto</t>
  </si>
  <si>
    <t>Development of TCR-engineered T cells against novel NY-ESO-1 epitopes for the treatment of triple negative breast cancer</t>
  </si>
  <si>
    <t>TCR, T cells, NY-ESO-1</t>
  </si>
  <si>
    <t>Development of a novel mesothelin CAR-T immunotherapy and pharmacologic combinations for triple negative breast cancer</t>
  </si>
  <si>
    <t>mesothelin, CAR-T, breast cancer</t>
  </si>
  <si>
    <t>Development of bi-specific T cell engagers (BiTEs) for the treatment of acute myeloid leukemia (AML)</t>
  </si>
  <si>
    <t>bi-specific T cell engagers, AML, leukemia</t>
  </si>
  <si>
    <t>Hitzler, Johann H</t>
  </si>
  <si>
    <t>Mechanisms and Risk Stratification for Treatment of Acute Myeloid Leukemia in Children with Down  syndrome</t>
  </si>
  <si>
    <t>LEUKAEMIAS; CANCER; MOLECULAR BIOLOGY</t>
  </si>
  <si>
    <t>Acute Myeloid Leukemia, Risk Stratification, Down syndrome</t>
  </si>
  <si>
    <t>Uncovering tumor specific antigens and vulnerabilities in ETP-acute lymphoblastic leukemia</t>
  </si>
  <si>
    <t>tumor antigens, vulnerabilities, leukemia</t>
  </si>
  <si>
    <t>Hoemann, Caroline D</t>
  </si>
  <si>
    <t>Defining therapeutic inflammation for cartilage repair</t>
  </si>
  <si>
    <t>ARTHRITIS/OSTEOARTHRITIS; INJURY, REGENERATION</t>
  </si>
  <si>
    <t>therapeutic inflammation, cartilage repair</t>
  </si>
  <si>
    <t>Hoesli, Corinne</t>
  </si>
  <si>
    <t>Endothelial progenitor cell adhesion to biomimetic vascular substitutes</t>
  </si>
  <si>
    <t>ATHEROSCLEROSIS; STROKE, HEART FAILURE; CARDIOVASCULAR; CELL BIOLOGY</t>
  </si>
  <si>
    <t>endothelial, progenitor, biomimetic</t>
  </si>
  <si>
    <t>Engineering a vascularized macroencapsulation device for diabetes cellular therapy</t>
  </si>
  <si>
    <t>Biomedical Engineering-Regenerative Medicine and Tissue Engineering; Molecular, Cellular and Systems Biology-Cell Differentiation</t>
  </si>
  <si>
    <t>vascularized, macroencapsulation, diabetes</t>
  </si>
  <si>
    <t>Hoge, Richard D</t>
  </si>
  <si>
    <t>CIUSSS du Centre-Sud-de-l'ele-de-Montreal (Montreal, Quebec)</t>
  </si>
  <si>
    <t>MRI characterization of neurovascular function in carotid artery disease</t>
  </si>
  <si>
    <t>ATHEROSCLEROSIS; MENTAL AND BEHAVIOURAL DISEASES; IMAGING; NERVOUS SYSTEM</t>
  </si>
  <si>
    <t>MRI, neurovascular, carotid artery</t>
  </si>
  <si>
    <t>Holdsworth, David W</t>
  </si>
  <si>
    <t>Combined gamma probe and ultrasound imaging system for cancer surgery</t>
  </si>
  <si>
    <t>gamma probe, ultrasound, imaging</t>
  </si>
  <si>
    <t>Dynamic micro-computed tomography for pre-clinical musculoskeletal research</t>
  </si>
  <si>
    <t>MUSCULO SKELETAL; ARTHRITIS/OSTEOARTHRITIS; IMAGING; MUSCLE, BONE, OR JOINT</t>
  </si>
  <si>
    <t>micro-computed tomography, musculoskeletal, pre-clinical</t>
  </si>
  <si>
    <t>Real-time microscopy during high-frequency mechanostimulation of living cells</t>
  </si>
  <si>
    <t>microscopy, mechanostimulation, cells</t>
  </si>
  <si>
    <t>Single-plane dynamic radiography for quantification of bone and joint motion</t>
  </si>
  <si>
    <t>radiography, bone, joint</t>
  </si>
  <si>
    <t>Holt, Rob</t>
  </si>
  <si>
    <t>Engineering T cells to overcome an immunosuppressive solid tumour microenvironment</t>
  </si>
  <si>
    <t>Immunology and Infection-Transplantation, Immune Tolerance and Tumor Immunology; Molecular, Cellular and Systems Biology-Molecular Biology</t>
  </si>
  <si>
    <t>T cells, immunosuppressive, tumour</t>
  </si>
  <si>
    <t>Immunogenicity and HLA restriction of kinase mutations in colorectal adenoma and carcinoma patients</t>
  </si>
  <si>
    <t>GASTRO-INTESTINAL CANCER; CANCER</t>
  </si>
  <si>
    <t>Immunogenicity, HLA, kinase mutations</t>
  </si>
  <si>
    <t>Lentiviral infusion as a universal approach for genetically modified immune effector cell therapies.</t>
  </si>
  <si>
    <t>Cancer-Cancer Drug Development and Therapeutics; Immunology and Infection-Transplantation, Immune Tolerance and Tumor Immunology; Genetics-Bioinformatics</t>
  </si>
  <si>
    <t>Lentiviral, infusion, immune effector cells</t>
  </si>
  <si>
    <t>Hope, Kristin</t>
  </si>
  <si>
    <t>Characterizing the stress granule network as a determinant of leukemic stem cells and novel therapeutic target in acute myeloid leukemia</t>
  </si>
  <si>
    <t>stress granule, leukemic stem cells, acute myeloid leukemia</t>
  </si>
  <si>
    <t>Huang, Annie</t>
  </si>
  <si>
    <t>Delineating mechanisms of cellular and phenotypic heterogeneity in ETMRs</t>
  </si>
  <si>
    <t>cellular, heterogeneity, ETMRs</t>
  </si>
  <si>
    <t>Delineating transforming pathways in childhood primitive neuro-ectodermal brain tumours</t>
  </si>
  <si>
    <t>BRAIN TUMORS THERAPY; CANCER THERAPY GENERAL; CANCER; CELL BIOLOGY</t>
  </si>
  <si>
    <t>neuro-ectodermal, brain tumours, pathways</t>
  </si>
  <si>
    <t>Discovery and characterization of C19MC a novel oncogenic miRNA locus in malignant brain tumors</t>
  </si>
  <si>
    <t>BRAIN TUMORS (INCL. RETINAL TUMORS); BRAIN TUMORS THERAPY; CANCER; MOLECULAR BIOLOGY</t>
  </si>
  <si>
    <t>C19MC, miRNA, brain tumors</t>
  </si>
  <si>
    <t>Molecular Basis of Clinical Heterogeneity in Rhabdoid Brain Tumours</t>
  </si>
  <si>
    <t>Molecular, Rhabdoid, Brain Tumours</t>
  </si>
  <si>
    <t>Targeting Thrombospondin-1 in medulloblastoma</t>
  </si>
  <si>
    <t>BRAIN TUMORS THERAPY; CANCER THERAPY GENERAL; CANCER; MOLECULAR BIOLOGY</t>
  </si>
  <si>
    <t>Thrombospondin-1, medulloblastoma</t>
  </si>
  <si>
    <t>Huang, Sidong</t>
  </si>
  <si>
    <t>Drug resistance driven by SWI/SNF chromatin remodelers in lung cancer</t>
  </si>
  <si>
    <t>CANCER THERAPY GENERAL; LUNG CANCER THERAPY; CANCER; GENETICS</t>
  </si>
  <si>
    <t>drug resistance, SWI/SNF, chromatin remodeling</t>
  </si>
  <si>
    <t>Exploiting genetic vulnerabilities to improve outcomes in small cell carcinoma of the ovary</t>
  </si>
  <si>
    <t>genetic, vulnerabilities, small cell carcinoma</t>
  </si>
  <si>
    <t>Targeting vulnerabilities in SMARCA4-deficient lung cancers</t>
  </si>
  <si>
    <t>SMARCA4, lung cancer, vulnerabilities</t>
  </si>
  <si>
    <t>p300 histone acetyltransferase-dependency in SWI/SNF-deficient cancers: mechanisms and therapeutic implications</t>
  </si>
  <si>
    <t>p300, histone acetyltransferase, SWI/SNF</t>
  </si>
  <si>
    <t>Huang, Xi</t>
  </si>
  <si>
    <t>Targeting potassium channel to disrupt the cellular hierarchy and suppress malignant growth of pediatric brain tumor</t>
  </si>
  <si>
    <t>potassium channel, cellular hierarchy, malignant growth</t>
  </si>
  <si>
    <t>Hulea, Laura</t>
  </si>
  <si>
    <t>Targeting translational machinery to overcome kinase inhibitor resistance of cancer cells</t>
  </si>
  <si>
    <t>translational machinery, kinase inhibitor, cancer cells</t>
  </si>
  <si>
    <t>Huntsman, David G</t>
  </si>
  <si>
    <t>Clinical and functional significance of a pathognomonic FOXL2 mutation in granulosa cell tumours of the ovary</t>
  </si>
  <si>
    <t>NEOPLASMS; CANCER; GENOMICS, PROTEOMICS, AND BIOINFORMATICS</t>
  </si>
  <si>
    <t>FOXL2, granulosa cells, tumours</t>
  </si>
  <si>
    <t>Mutations in the SWI/SNF chromatin remodelling complex genes: an alternative mechanism for ovarian carcinogenesis</t>
  </si>
  <si>
    <t>SWI/SNF, chromatin remodelling, ovarian carcinogenesis</t>
  </si>
  <si>
    <t>Hynynen, Kullervo H</t>
  </si>
  <si>
    <t>Feasibility of focused ultrasound treatment of deep vein thrombosis</t>
  </si>
  <si>
    <t>CLOTTING DEFECTS/THROMBOSIS; IMAGING</t>
  </si>
  <si>
    <t>focused ultrasound, deep vein thrombosis</t>
  </si>
  <si>
    <t>Investigation of the bioeffects of blood-brain barrier disruption by focused ultrasound: A multifaceted imaging approach</t>
  </si>
  <si>
    <t>ALZHEIMER'S DISEASE; AGING; IMAGING; NERVOUS SYSTEM</t>
  </si>
  <si>
    <t>blood-brain barrier, focused ultrasound, imaging</t>
  </si>
  <si>
    <t>Ilangumaran, Subburaj</t>
  </si>
  <si>
    <t>Project - PA: Cancer Prevention and Early Detection of Hard to Treat Cancers</t>
  </si>
  <si>
    <t>202104PQQ</t>
  </si>
  <si>
    <t>Role of SOCS1 in maintaining prostate homeostasis and in suppressing malignant growth</t>
  </si>
  <si>
    <t>SOCS1, prostate, malignancy</t>
  </si>
  <si>
    <t>Tumor immunotherapy: enhancing the efficacy of cytotoxic T lymphocytes by IL-21 and IL-15</t>
  </si>
  <si>
    <t>CANCER THERAPY GENERAL; CANCER; IMMUNOLOGY-TRANSPLANTATION</t>
  </si>
  <si>
    <t>tumor, immunotherapy, cytotoxic T lymphocytes</t>
  </si>
  <si>
    <t>Targeting Relapsed Metastatic Neuroblastoma</t>
  </si>
  <si>
    <t>Relapsed, Metastatic, Neuroblastoma</t>
  </si>
  <si>
    <t>Targeting metastatic neuroblastoma</t>
  </si>
  <si>
    <t>BRAIN TUMORS (INCL. RETINAL TUMORS); BONE CANCER; CANCER; CELL BIOLOGY</t>
  </si>
  <si>
    <t>metastatic, neuroblastoma</t>
  </si>
  <si>
    <t>Women's College Hospital (Toronto)</t>
  </si>
  <si>
    <t>Jabado, Nada</t>
  </si>
  <si>
    <t>Identification and characterization of genes involved in the genesis and progression of pediatric astrocytomas.</t>
  </si>
  <si>
    <t>BRAIN TUMORS (INCL. RETINAL TUMORS); BRAIN TUMORS THERAPY; CANCER; GENETICS</t>
  </si>
  <si>
    <t>genes, astrocytomas, pediatric</t>
  </si>
  <si>
    <t>Role of chromatin remodeling in the genesis of pediatric and young adult astrocytomas</t>
  </si>
  <si>
    <t>chromatin remodeling, astrocytomas, genesis</t>
  </si>
  <si>
    <t>Targeting vulnerabilities in oncohistone-mediated gliomas</t>
  </si>
  <si>
    <t>Cancer-Pediatric Cancer; Cancer-Cancer Drug Development and Therapeutics; Molecular, Cellular and Systems Biology-Cell Signaling</t>
  </si>
  <si>
    <t>oncohistone, gliomas, vulnerabilities</t>
  </si>
  <si>
    <t>Jackson, Hartland W</t>
  </si>
  <si>
    <t>Targeting chemotherapy resistant multi-cellular environments in pancreatic cancer</t>
  </si>
  <si>
    <t>Cancer-Cancer Progression and Metastasis; Cancer-Cancer Drug Development and Therapeutics; Cancer-Clinical Oncology</t>
  </si>
  <si>
    <t>chemotherapy, pancreatic cancer, multi-cellular environments</t>
  </si>
  <si>
    <t>Jaffray, David A</t>
  </si>
  <si>
    <t>Engineering Gold Nanoparticle Radiosensitizers for Cancer Therapy</t>
  </si>
  <si>
    <t>CANCER THERAPY GENERAL; MULTIDISCIPLINARY; CANCER; BIOPHYSICS</t>
  </si>
  <si>
    <t>Gold, Nanoparticles, Radiosensitizers</t>
  </si>
  <si>
    <t>Improved treatment of cervical cancer through heat-activated delivery of chemo-radiosensitizing agents in combination with radiotherapy</t>
  </si>
  <si>
    <t>cervical cancer, heat-activated, chemo-radiosensitizing</t>
  </si>
  <si>
    <t>Jahani-Asl, Arezu</t>
  </si>
  <si>
    <t>OSMR Regulation of Glioblastoma Pathogenesis</t>
  </si>
  <si>
    <t>OSMR, Glioblastoma, Pathogenesis</t>
  </si>
  <si>
    <t>STRIVE Study: STRatIfication of Vulvar squamous cell carcinoma by HPV and p53 status to guide Excision</t>
  </si>
  <si>
    <t xml:space="preserve">7 yrs 0 mth </t>
  </si>
  <si>
    <t>Cancer-Clinical Oncology; Molecular, Cellular and Systems Biology-Molecular Biology</t>
  </si>
  <si>
    <t>Vulvar squamous cell carcinoma, HPV, p53</t>
  </si>
  <si>
    <t>Investigating the 'FLASH' effect: Mechanistic studies of the chemical and biological impact of ultra-high dose-rate radiation.</t>
  </si>
  <si>
    <t>Cancer-Cancer Drug Development and Therapeutics; Methods Development and Modelling-Quantitative Methods Development for Health Research; Sex-and-Gender Health-Sex Differences in Cells, Tissues and Animals</t>
  </si>
  <si>
    <t>FLASH, radiation, dose-rate</t>
  </si>
  <si>
    <t>Jefferies, Wilfred A</t>
  </si>
  <si>
    <t>Establishment of a Novel High Throughput Conditional Gene Trapping System</t>
  </si>
  <si>
    <t>MULTIPLE DISEASE RELEVANCE; DETERMINANTS OF HEALTH; GENETICS; CELL BIOLOGY</t>
  </si>
  <si>
    <t>Gene trapping, High throughput, Conditional</t>
  </si>
  <si>
    <t>Regulation of antigen processing machinery in carcinomas</t>
  </si>
  <si>
    <t>LUNG CANCER; LUNG CANCER THERAPY; CANCER; CELL BIOLOGY</t>
  </si>
  <si>
    <t>antigen processing, machinery, carcinomas</t>
  </si>
  <si>
    <t>Jiang, Xiaoyan</t>
  </si>
  <si>
    <t>A novel oncolytic virotherapy to overcome drug-resistance in acute myeloid leukemia</t>
  </si>
  <si>
    <t>oncolytic virotherapy, drug-resistance, leukemia</t>
  </si>
  <si>
    <t>Molecular Targeting of Critical Domains of AHI-1 Oncoprotein in Chronic Myeloid Leukemia Stem Cells Resistant to Current Tyrosine Kinase Inhibitor Therapy</t>
  </si>
  <si>
    <t>LEUKAEMIAS; BLOOD; CANCER; BIOCHEMISTRY</t>
  </si>
  <si>
    <t>AHI-1, Leukemia, Kinase</t>
  </si>
  <si>
    <t>Targeting Drug-Insensitive CML Stem Cells with Combination Therapy of New ABL and PP2A Inhibitors</t>
  </si>
  <si>
    <t>CML, ABL, PP2A</t>
  </si>
  <si>
    <t>Targeting Key Autophagy Proteins/Pathways for Treatment of Human Leukemia</t>
  </si>
  <si>
    <t>Autophagy, Proteins, Leukemia</t>
  </si>
  <si>
    <t>Targeting a novel miR-185/PAK6 axis to overcome drug-resistance in human leukemia</t>
  </si>
  <si>
    <t>miR-185, PAK6, leukemia</t>
  </si>
  <si>
    <t>Jirasek, Andrew I</t>
  </si>
  <si>
    <t>Developing Raman spectroscopic techniques for the prediction and monitoring of cellular and tumour response to radiation therapy</t>
  </si>
  <si>
    <t>PROSTATE AND BLADDER CANCER; CANCER THERAPY GENERAL</t>
  </si>
  <si>
    <t>Raman spectroscopy, cellular response, radiation</t>
  </si>
  <si>
    <t>Jirik, Frank R</t>
  </si>
  <si>
    <t>Characterization of a novel model of inflammation-induced gastric neoplasia.</t>
  </si>
  <si>
    <t>GASTRO-INTESTINAL CANCER; NEOPLASMS; CANCER; IMMUNOLOGY-TRANSPLANTATION</t>
  </si>
  <si>
    <t>inflammation, gastric, neoplasia</t>
  </si>
  <si>
    <t>Stimulator of interferon genes (STING)-induced tumour-associated macrophage re-education as a novel strategy for the treatment of lung cancer.</t>
  </si>
  <si>
    <t>LUNG CANCER THERAPY; LUNG CANCER; CANCER; IMMUNOLOGY-TRANSPLANTATION</t>
  </si>
  <si>
    <t>STING, macrophage, lung cancer</t>
  </si>
  <si>
    <t>Johnson, James A</t>
  </si>
  <si>
    <t>Computer Assisted Surgery of the Elbow</t>
  </si>
  <si>
    <t>Computer, Surgery, Elbow</t>
  </si>
  <si>
    <t>Johnson, James D</t>
  </si>
  <si>
    <t>Mechanisms by which hyperinsulinemia promotes pancreatic cancer</t>
  </si>
  <si>
    <t>hyperinsulinemia, pancreatic cancer</t>
  </si>
  <si>
    <t>Johnson, Nathalie</t>
  </si>
  <si>
    <t>Optimizing immunotherapy in high-risk lymphoma</t>
  </si>
  <si>
    <t>immunotherapy, lymphoma, high-risk</t>
  </si>
  <si>
    <t>Overcoming therapeutic resistance in lymphoma</t>
  </si>
  <si>
    <t>NEOPLASMS; CANCER</t>
  </si>
  <si>
    <t>therapeutic resistance, lymphoma</t>
  </si>
  <si>
    <t>Jolicoeur, Paul</t>
  </si>
  <si>
    <t>Dissecting the mechanisms of protection by attenuated Nef-deleted HIV vaccine</t>
  </si>
  <si>
    <t>AIDS; VIRAL; VIROLOGY; IMMUNOLOGY-TRANSPLANTATION</t>
  </si>
  <si>
    <t>HIV, vaccine, Nef</t>
  </si>
  <si>
    <t>Jomha, Nadr M</t>
  </si>
  <si>
    <t>Vitrification and transplantation of articular cartilage</t>
  </si>
  <si>
    <t>ARTHRITIS/OSTEOARTHRITIS; MUSCULO SKELETAL; MUSCLE, BONE, OR JOINT</t>
  </si>
  <si>
    <t>Vitrification, transplantation, articular cartilage</t>
  </si>
  <si>
    <t>Jones, Courtney L</t>
  </si>
  <si>
    <t>Characterization and Targeting of SIRT3 in Acute Myeloid Leukemia Stem Cells</t>
  </si>
  <si>
    <t>SIRT3, Acute Myeloid Leukemia, Stem Cells</t>
  </si>
  <si>
    <t>Jones, Russell G</t>
  </si>
  <si>
    <t>Investigating LKB1-mediated inflammation as a mediator of tumour progression</t>
  </si>
  <si>
    <t>LKB1, inflammation, tumour progression</t>
  </si>
  <si>
    <t>Regulation of tumourigenesis and tumour cell metabolism by the energy sensor AMPK</t>
  </si>
  <si>
    <t>CANCER THERAPY GENERAL; LEUKAEMIAS; CANCER; CELL BIOLOGY</t>
  </si>
  <si>
    <t>tumourigenesis, cell metabolism, AMPK</t>
  </si>
  <si>
    <t>Role of the AMP-activated protein kinase (AMPK) in stress resistance and cancer</t>
  </si>
  <si>
    <t>CANCER THERAPY GENERAL; AGING; CANCER</t>
  </si>
  <si>
    <t>AMP-activated protein kinase, stress resistance, cancer</t>
  </si>
  <si>
    <t>Jones, Steven</t>
  </si>
  <si>
    <t>Modulators of epigenomic processes - a novel approach to cancer therapy</t>
  </si>
  <si>
    <t>epigenomic, modulators, cancer</t>
  </si>
  <si>
    <t>Advanced Multi-parametric Retinal Imaging for AMD Classification Modeling</t>
  </si>
  <si>
    <t>Biomedical Engineering-Biomedical Imaging; Aging-Aging Process and Biological Determinants of Aging; Methods Development and Modelling-Quantitative Methods Development for Health Research</t>
  </si>
  <si>
    <t>Retinal imaging, AMD, classification</t>
  </si>
  <si>
    <t>Juncker, David</t>
  </si>
  <si>
    <t>Blood-based protein test for early detection of breast cancer using antibody colocalization microarrays</t>
  </si>
  <si>
    <t>BREAST CANCER; MULTIDISCIPLINARY; GENOMICS, PROTEOMICS, AND BIOINFORMATICS</t>
  </si>
  <si>
    <t>blood, protein, breast cancer</t>
  </si>
  <si>
    <t>Microfiltration of Circulating and Disseminated Tumor Cells in Ovarian Cancer: From Monitoring Therapeutic Response Towards Predicting Disease Outcome</t>
  </si>
  <si>
    <t>Biomedical Engineering-Biophysics, Medical Technologies and Instrumentation; Methods Development and Modelling-Quantitative Methods Development for Health Research; Cancer-Cancer Progression and Metastasis</t>
  </si>
  <si>
    <t>Microfiltration, Tumor Cells, Ovarian Cancer</t>
  </si>
  <si>
    <t>Single-cell imaging affinity proteomics of microfiltered circulating tumor cells: Uncovering biomarkers in colorectal cancer liver metastasis</t>
  </si>
  <si>
    <t>single-cell imaging, proteomics, circulating tumor cells</t>
  </si>
  <si>
    <t>Kaartinen, Mari T</t>
  </si>
  <si>
    <t>Regulation of adipogenesis by osteocalcin</t>
  </si>
  <si>
    <t>OBESITY; METABOLISM AND NUTRITION; CELL BIOLOGY; BIOCHEMISTRY</t>
  </si>
  <si>
    <t>adipogenesis, osteocalcin</t>
  </si>
  <si>
    <t>Kadoury, Samuel</t>
  </si>
  <si>
    <t>Image-guided device interventions for arterial therapies in liver cancer</t>
  </si>
  <si>
    <t>LIVER DISEASE; IMAGING; CANCER</t>
  </si>
  <si>
    <t>image-guided, device, liver cancer</t>
  </si>
  <si>
    <t>Multimodal Sensing Guidewire with Random Optical Gratings by Ultraviolet laser Exposure for Peripheral Vascular Interventions</t>
  </si>
  <si>
    <t>Sensing, Guidewire, Optical Gratings</t>
  </si>
  <si>
    <t>A Randomized trial to determine the effect of vitamin D and zinc supplementation for improving treatment outcomes among COVID-19 patients in Mumbai, India</t>
  </si>
  <si>
    <t>INFECTIOUS AND PARASITIC; MALNUTRITION; NUTRITION; INTERNATIONAL HEALTH</t>
  </si>
  <si>
    <t>vitamin D, zinc, COVID-19</t>
  </si>
  <si>
    <t>Kairy, Dahlia</t>
  </si>
  <si>
    <t>Optimizing a home-based virtual reality exercise program for chronic stroke patients: A telerehabilitation approach</t>
  </si>
  <si>
    <t>STROKE, HEART FAILURE; HEALTH CARE DELIVERY; NERVOUS SYSTEM; AGING</t>
  </si>
  <si>
    <t>virtual reality, telerehabilitation, stroke</t>
  </si>
  <si>
    <t>Kallos, Michael S</t>
  </si>
  <si>
    <t>Enabling Cellular Therapy Biomanufacturing through Integrated Modeling of Fluid Dynamics and Cellular Metabolism in Bioreactors</t>
  </si>
  <si>
    <t>Cellular therapy, Biomanufacturing, Bioreactors</t>
  </si>
  <si>
    <t>Kandel, Rita A</t>
  </si>
  <si>
    <t>An intervertebral disc replacement: a regenerative medicine approach</t>
  </si>
  <si>
    <t>Musculoskeletal Health-Bone, Skin and Cartilage Sciences; Aging-Aging Process and Biological Determinants of Aging</t>
  </si>
  <si>
    <t>intervertebral disc, regenerative medicine, replacement</t>
  </si>
  <si>
    <t>Bioengineering a finger joint replacement</t>
  </si>
  <si>
    <t>Bioengineering, finger joint, replacement</t>
  </si>
  <si>
    <t>Establishing annulus fibrosus interfaces:  towards tissue engineering an intervertebral disc</t>
  </si>
  <si>
    <t>MUSCULO SKELETAL; MULTIDISCIPLINARY; MUSCLE, BONE, OR JOINT; AGING</t>
  </si>
  <si>
    <t>annulus fibrosus, tissue engineering, intervertebral disc</t>
  </si>
  <si>
    <t>Tissue engineering an intervertebral disc replacement</t>
  </si>
  <si>
    <t>MUSCULO SKELETAL; MULTIDISCIPLINARY; MUSCLE, BONE, OR JOINT; HEALTH RESEARCH</t>
  </si>
  <si>
    <t>tissue engineering, intervertebral disc</t>
  </si>
  <si>
    <t>Kao, Kenneth R</t>
  </si>
  <si>
    <t>Operating Grant - PA: Regional Partnership Program - Newfoundland and Labrador</t>
  </si>
  <si>
    <t>201303RNL</t>
  </si>
  <si>
    <t>Analysis of human Pygopus 2 as an essential androgen-responsive cellular biomarker for prostate cancer progression</t>
  </si>
  <si>
    <t>Pygopus 2, androgen-responsive, prostate cancer</t>
  </si>
  <si>
    <t>Karsan, Aly</t>
  </si>
  <si>
    <t>Clonal interactions in myeloid malignancy</t>
  </si>
  <si>
    <t>Cancer-Cancer Progression and Metastasis; Molecular, Cellular and Systems Biology-Systems Biology</t>
  </si>
  <si>
    <t>clonal interactions, myeloid malignancy</t>
  </si>
  <si>
    <t>Kassouf, Wassim</t>
  </si>
  <si>
    <t>Implication of neutrophil extracellular traps in the efficacy of bladder-sparing therapy in muscle invasive bladder cancer</t>
  </si>
  <si>
    <t>neutrophil extracellular traps, bladder-sparing, bladder cancer</t>
  </si>
  <si>
    <t>Integration of mTOR-p53 pathway crosstalk and miR-34 family in prognostication and prediction of response to bladder cancer therapy</t>
  </si>
  <si>
    <t>PROSTATE AND BLADDER CANCER THERAPY; PROSTATE AND BLADDER CANCER; CANCER</t>
  </si>
  <si>
    <t>mTOR, p53, miR-34</t>
  </si>
  <si>
    <t>Katyal, Sachin</t>
  </si>
  <si>
    <t>ATM and TDP1 coordinate neurodevelopment and modulate Top1-mediated anti-cancer therapeutic outcome</t>
  </si>
  <si>
    <t>CANCER THERAPY GENERAL; MULTIPLE DISEASE RELEVANCE; CANCER; GENETICS</t>
  </si>
  <si>
    <t>ATM, TDP1, Top1</t>
  </si>
  <si>
    <t>Early immune predictors of sustained SARS-CoV-2 antibody responses after COVID-19 disease</t>
  </si>
  <si>
    <t>INFECTIOUS AND PARASITIC; VIROLOGY; IMMUNOLOGY-TRANSPLANTATION</t>
  </si>
  <si>
    <t>immune, SARS-CoV-2, antibody</t>
  </si>
  <si>
    <t>Kaushic, Charu</t>
  </si>
  <si>
    <t>A humanized mouse model for understanding HIV-1 mucosal pathogenesis</t>
  </si>
  <si>
    <t>VIRAL; GENITO/URINARY SYSTEM; VIROLOGY; IMMUNOLOGY-TRANSPLANTATION</t>
  </si>
  <si>
    <t>humanized mouse, HIV-1, mucosal</t>
  </si>
  <si>
    <t>Keillor, Jeffrey W</t>
  </si>
  <si>
    <t>New Methods for Site-Specific Labelling of Proteins</t>
  </si>
  <si>
    <t>MULTIDISCIPLINARY; BIOCHEMISTRY</t>
  </si>
  <si>
    <t>Site-specific, Labelling, Proteins</t>
  </si>
  <si>
    <t>Kelley, Shana O</t>
  </si>
  <si>
    <t>Mitochondrial delivery of DNA-alkylating anticancer agents</t>
  </si>
  <si>
    <t>CANCER THERAPY GENERAL; LEUKAEMIAS; CANCER; GENETICS</t>
  </si>
  <si>
    <t>Mitochondrial, DNA-alkylating, anticancer</t>
  </si>
  <si>
    <t>Kelvin, David J</t>
  </si>
  <si>
    <t>Identification and Characterization of Adjuvant Controlled Correlates of Immune Protection</t>
  </si>
  <si>
    <t>PNEUMONIA; AGING; IMMUNOLOGY-TRANSPLANTATION</t>
  </si>
  <si>
    <t>Adjuvant, Immune, Correlates</t>
  </si>
  <si>
    <t>Kerbel, Robert S</t>
  </si>
  <si>
    <t>Low Dose Metronomic Chemotherapy as a Combination Strategy to Combat Innate or Acquired Resistance to Immune Checkpoint Therapy</t>
  </si>
  <si>
    <t>Metronomic Chemotherapy, Resistance, Immune Checkpoint</t>
  </si>
  <si>
    <t>Translational studies of acquired resistance to antiangiogenic therapies undertaken in new preclinical models of locally advanced or metastatic cancer</t>
  </si>
  <si>
    <t>CANCER THERAPY GENERAL; NEOPLASMS</t>
  </si>
  <si>
    <t>antiangiogenic, resistance, cancer</t>
  </si>
  <si>
    <t>RESPIRATION; HEALTH RESEARCH</t>
  </si>
  <si>
    <t>Khan, Omar F</t>
  </si>
  <si>
    <t>Project Grant - PA: Infection and Immunity (Early Career Research Support)</t>
  </si>
  <si>
    <t>202203PTT</t>
  </si>
  <si>
    <t>Making donated lungs infected with cytomegalovirus safer: nanoparticle-mediated deletion of essential viral genes prior to transplant using ex vivo lung perfusion</t>
  </si>
  <si>
    <t>cytomegalovirus, nanoparticle, lung perfusion</t>
  </si>
  <si>
    <t>Khokha, Rama</t>
  </si>
  <si>
    <t>Discovery of Novel Therapeutic Targets in Osteosarcoma</t>
  </si>
  <si>
    <t>BONE CANCER THERAPY; CANCER; MOLECULAR BIOLOGY</t>
  </si>
  <si>
    <t>Osteosarcoma, Therapeutic targets</t>
  </si>
  <si>
    <t>Molecular dissection of TIMP3-dependent hepatocellular carcinoma</t>
  </si>
  <si>
    <t>CANCER THERAPY GENERAL; LIVER DISEASE; CANCER</t>
  </si>
  <si>
    <t>TIMP3, hepatocellular carcinoma, molecular</t>
  </si>
  <si>
    <t>Kim, Keekyoung</t>
  </si>
  <si>
    <t>Computational modeling of anatomy guided 3D vasculature network for organ bioprinting and regeneration</t>
  </si>
  <si>
    <t>Biomedical Engineering-Regenerative Medicine and Tissue Engineering; Methods Development and Modelling-Computational Biology</t>
  </si>
  <si>
    <t>computational modeling, vasculature, bioprinting</t>
  </si>
  <si>
    <t>COVID-19: Comprehensive biomarker analysis for prediction of clinical course and patient treatment outcomes (COVID-BEACONS)</t>
  </si>
  <si>
    <t>CLOTTING DEFECTS/THROMBOSIS; BLOOD; BIOCHEMISTRY</t>
  </si>
  <si>
    <t>COVID-19, biomarker, prediction</t>
  </si>
  <si>
    <t>Kim, Tae-Hee</t>
  </si>
  <si>
    <t>Epigenetic mechanisms of gastric cancer associated with ARID1A mutations and H. pylori</t>
  </si>
  <si>
    <t>epigenetic, gastric cancer, ARID1A</t>
  </si>
  <si>
    <t>King, Graham John W</t>
  </si>
  <si>
    <t>Hemi-Arthroplasty of the Elbow: The Effect of Implant Surface Design and Materials on Joint Kinematics and Contact Mechanics</t>
  </si>
  <si>
    <t>MUSCULO SKELETAL; ARTHRITIS/OSTEOARTHRITIS; MUSCLE, BONE, OR JOINT</t>
  </si>
  <si>
    <t>Hemi-Arthroplasty, Implant Surface, Contact Mechanics</t>
  </si>
  <si>
    <t>Kinsella, Joseph</t>
  </si>
  <si>
    <t>Tissue-engineered humanized model of the gastric tumor microenvironment to mechanistically evaluate the dynamics of combined tumor-infiltrating lymphocyte and RNA nanoparticle therapy</t>
  </si>
  <si>
    <t>Biomedical Engineering-Biomaterials, Nanotechnology and Biomechanics; Biomedical Engineering-Regenerative Medicine and Tissue Engineering; Cancer-Cancer Drug Development and Therapeutics</t>
  </si>
  <si>
    <t>tissue-engineering, gastric tumor, RNA nanoparticle</t>
  </si>
  <si>
    <t>Toronto Metropolitan University</t>
  </si>
  <si>
    <t>Development of Magnetic Resonance Imaging Airway Segmentation to Assess and Monitor Cystic Fibrosis Lung Disease</t>
  </si>
  <si>
    <t>Methods Development and Modelling-Quantitative Methods Development for Health Research; Cardiovascular, Respiratory and Circulatory Systems-Respiratory Sciences</t>
  </si>
  <si>
    <t>Magnetic Resonance Imaging, Airway Segmentation, Cystic Fibrosis</t>
  </si>
  <si>
    <t>Kislinger, Thomas</t>
  </si>
  <si>
    <t>A Novel Biomarker Discovery Strategy Combining Primary Tumour Xenograft Models and Glyco-Capture of Secreted Proteins</t>
  </si>
  <si>
    <t>CANCER; GENOMICS, PROTEOMICS, AND BIOINFORMATICS</t>
  </si>
  <si>
    <t>Biomarker, Xenograft, Glyco-Capture</t>
  </si>
  <si>
    <t>A Systematic Proteomic Analysis Strategy for Biomarker Discovery in Head &amp; Neck Cancer</t>
  </si>
  <si>
    <t>CANCER THERAPY GENERAL; BLOOD; CANCER; GENOMICS, PROTEOMICS, AND BIOINFORMATICS</t>
  </si>
  <si>
    <t>Proteomic, Biomarker, Cancer</t>
  </si>
  <si>
    <t>Biomarkers for the detection of aggressive prostate cancers: Application of targeted proteomics to clinically stratified expressed prostatic secretions and urines</t>
  </si>
  <si>
    <t>biomarkers, proteomics, prostate</t>
  </si>
  <si>
    <t>Molecular dynamics of the cell-surface proteome in primary prostate cancer cells: Towards a community resource for therapeutic intervention and biomarker discovery</t>
  </si>
  <si>
    <t>PROSTATE AND BLADDER CANCER THERAPY; GENOMICS, PROTEOMICS, AND BIOINFORMATICS; CANCER</t>
  </si>
  <si>
    <t>molecular dynamics, cell-surface proteome, prostate cancer</t>
  </si>
  <si>
    <t>Proteogenomics Panorama of Localized Prostate Cancers</t>
  </si>
  <si>
    <t>Proteogenomics, Prostate, Cancers</t>
  </si>
  <si>
    <t>The Ovarian Cancer Glycoproteome: Biomarker Discovery and Therapeutic Targets</t>
  </si>
  <si>
    <t>Ovarian cancer, Glycoproteome, Biomarkers</t>
  </si>
  <si>
    <t>Kizhakkedathu, Jayachandran N</t>
  </si>
  <si>
    <t>Modular Design of Macromolecular Iron Chelator Structures for Chelation Therapy: Towards Effective Prevention of Primary and Transfusional Iron Overload</t>
  </si>
  <si>
    <t>BLOOD</t>
  </si>
  <si>
    <t>Macromolecular, Iron, Chelator</t>
  </si>
  <si>
    <t>Novel Cell Surface Engineering Approaches for Cell-based Therapies</t>
  </si>
  <si>
    <t>Cell surface, Engineering, Therapies</t>
  </si>
  <si>
    <t>Novel endothelial engineering and localized immunosuppression approaches for the protection of organ transplants</t>
  </si>
  <si>
    <t>endothelial, immunosuppression, transplants</t>
  </si>
  <si>
    <t>Polymer-based Bioengineering Approaches for Systemic Iron Removal</t>
  </si>
  <si>
    <t>ANAEMIAS; BLOOD; NOT CLASSIFIED</t>
  </si>
  <si>
    <t>Polymer, Bioengineering, Iron</t>
  </si>
  <si>
    <t>Transfusion Without Blood Typing: Enzymatic Glycoengineering Towards 'True' Universal Blood</t>
  </si>
  <si>
    <t>Biomedical Engineering-Regenerative Medicine and Tissue Engineering; Biomedical Engineering-Biomaterials, Nanotechnology and Biomechanics</t>
  </si>
  <si>
    <t>transfusion, blood typing, glycoengineering</t>
  </si>
  <si>
    <t>Klein Geltink, Ramon</t>
  </si>
  <si>
    <t>Glucose restriction-mediated changes to mitochondria as a driver of anti-tumour CD8+ T cell function.</t>
  </si>
  <si>
    <t>glucose restriction, mitochondria, CD8+ T cells</t>
  </si>
  <si>
    <t>Kobinger, Gary P</t>
  </si>
  <si>
    <t>Operating Grant: Optimizing the VSV Vector towards an HIV Vaccine</t>
  </si>
  <si>
    <t>201702OVV</t>
  </si>
  <si>
    <t>Optimizing the VSV towards an HIV Vaccine</t>
  </si>
  <si>
    <t>Development of a safe, effective and clinically acceptable VSV-based HIV vaccine</t>
  </si>
  <si>
    <t>VIRAL; HEALTH RESEARCH; VIROLOGY</t>
  </si>
  <si>
    <t>VSV, HIV, vaccine</t>
  </si>
  <si>
    <t>Koch, Anne</t>
  </si>
  <si>
    <t>200809IC1</t>
  </si>
  <si>
    <t>Characterization of APLF (C2orf13) in DNA double-strand break repair and in the maintenance of genome stability</t>
  </si>
  <si>
    <t>BREAST CANCER; BREAST CANCER THERAPY; MOLECULAR BIOLOGY; CANCER</t>
  </si>
  <si>
    <t>DNA repair, genome stability, APLF</t>
  </si>
  <si>
    <t>Role of APLF in DNA damage signaling, DNA repair and in the maintenance of genome stability</t>
  </si>
  <si>
    <t>APLF,DNA repair,genome stability</t>
  </si>
  <si>
    <t>Theoretical, experimental, and preclinical studies of heterogeneity-driven adaptive resistance to chemotherapy: Implications for multimodal targeted therapeutics</t>
  </si>
  <si>
    <t>adaptive resistance, heterogeneity, targeted therapeutics</t>
  </si>
  <si>
    <t>Photoacoustics as a novel kidney fibrosis imaging tool</t>
  </si>
  <si>
    <t>Photoacoustics, kidney fibrosis, imaging</t>
  </si>
  <si>
    <t>Kollmann, Tobias R</t>
  </si>
  <si>
    <t>Vaccines for Asthma and Allergies - an Immune-Prophylactic and -Therapeutic Approach</t>
  </si>
  <si>
    <t>ASTHMA; IMMUNOLOGY-TRANSPLANTATION; HEALTH RESEARCH</t>
  </si>
  <si>
    <t>Vaccines, Asthma, Allergies</t>
  </si>
  <si>
    <t>Kopp, Janel</t>
  </si>
  <si>
    <t>Role of inflammation during the genesis of intraductal papillary mucinous neoplasia associated pancreatic ductal adenocarcinoma</t>
  </si>
  <si>
    <t>inflammation, intraductal papillary mucinous neoplasia, pancreatic ductal adenocarcinoma</t>
  </si>
  <si>
    <t>Using genetically engineered mouse models to define variables producing pancreatic ductal adenocarcinoma heterogeneity</t>
  </si>
  <si>
    <t>GASTRO-INTESTINAL CANCER; GASTRO-INTESTINAL DISEASE; CANCER; CELL BIOLOGY</t>
  </si>
  <si>
    <t>genetically engineered, mouse models, pancreatic ductal adenocarcinoma</t>
  </si>
  <si>
    <t>Koritzinsky, Marianne</t>
  </si>
  <si>
    <t>Redox homeostasis in pancreatic cancer - molecular mechanisms and combined modalities</t>
  </si>
  <si>
    <t>Cancer-Cancer Drug Development and Therapeutics; Molecular, Cellular and Systems Biology-Cell Biology and Physiology</t>
  </si>
  <si>
    <t>Redox, pancreatic cancer, homeostasis</t>
  </si>
  <si>
    <t>Korneluk, Robert G</t>
  </si>
  <si>
    <t>Combined IAP antagonism and immunotherapy for cancer treatment</t>
  </si>
  <si>
    <t>CANCER THERAPY GENERAL; VIRAL; CANCER; CELL BIOLOGY</t>
  </si>
  <si>
    <t>IAP, immunotherapy, cancer</t>
  </si>
  <si>
    <t>Koropatnick, James</t>
  </si>
  <si>
    <t>Inducing Mismatch Repair Deficiency in Cancer Cells for Therapeutic Benefit</t>
  </si>
  <si>
    <t>Cancer-Cancer Drug Development and Therapeutics; Immunology and Infection-Immunology and Autoimmune Diseases (including rheumatology); Pharmacological, Toxicological and Pharmaceutical Sciences-Drug Discovery, Design and Delivery</t>
  </si>
  <si>
    <t>Mismatch repair, cancer cells, deficiency</t>
  </si>
  <si>
    <t>Koti, Madhuri</t>
  </si>
  <si>
    <t>Exploiting tumour innate immunity for sensitization of ovarian tumours to PD-L1 immune checkpoint blockade immunotherapy</t>
  </si>
  <si>
    <t>tumour, innate immunity, PD-L1</t>
  </si>
  <si>
    <t>Targeting B cell exhaustion in BCG non-responsive bladder cancer</t>
  </si>
  <si>
    <t>B cell exhaustion, bladder cancer, BCG</t>
  </si>
  <si>
    <t>Kotsopoulos, Joanne</t>
  </si>
  <si>
    <t>Operating Grant - Priority Announcement: Ovarian Cancer (bridge funding)</t>
  </si>
  <si>
    <t>201109OVA</t>
  </si>
  <si>
    <t>Telomere Length and Ovarian Cancer Prognosis</t>
  </si>
  <si>
    <t>GENITO/URINARY SYSTEM; EPIDEMIOLOGY; CANCER; MOLECULAR BIOLOGY</t>
  </si>
  <si>
    <t>Telomere, Ovarian Cancer, Prognosis</t>
  </si>
  <si>
    <t>Kozlowski, Piotr</t>
  </si>
  <si>
    <t>Multi-parametric MRI for prostate cancer diagnosis and prognosis</t>
  </si>
  <si>
    <t>PROSTATE AND BLADDER CANCER</t>
  </si>
  <si>
    <t>MRI, prostate cancer, diagnosis</t>
  </si>
  <si>
    <t>Krajinovic, Maja</t>
  </si>
  <si>
    <t>Genetic determinants of the resistance to corticosteroids, vincristine and asparaginase in childhood acute lymphoblastic leukemia</t>
  </si>
  <si>
    <t>LEUKAEMIAS; DRUGS- PHARMACEUTICAL SCIENCE/CHEMISTRY &amp; NON MEDICAL USE OF DRUGS; GENETICS; DRUG RESEARCH</t>
  </si>
  <si>
    <t>genetic, corticosteroids, leukemia</t>
  </si>
  <si>
    <t>Kremer, Richard B</t>
  </si>
  <si>
    <t>Co-targeting parathyroid-hormone related protein (PTHrP) signaling and osteoclast activation to counter breast cancer metastasis to bone</t>
  </si>
  <si>
    <t>BREAST CANCER; BONE CANCER</t>
  </si>
  <si>
    <t>PTHrP, osteoclast, metastasis</t>
  </si>
  <si>
    <t>Imaging COVID-19 Lungs to Uncover Therapies</t>
  </si>
  <si>
    <t>INFECTIOUS AND PARASITIC; VIRAL; IMAGING; IMMUNOLOGY-TRANSPLANTATION</t>
  </si>
  <si>
    <t>Imaging, COVID-19, Lungs</t>
  </si>
  <si>
    <t>Molecular basis to diet-dependent chromatin dependencies in prostate cancer</t>
  </si>
  <si>
    <t>Cancer-Mechanisms of Carcinogenesis; Genetics-Molecular and Functional Genetics and Epigenetics; Molecular, Cellular and Systems Biology-Molecular Biology</t>
  </si>
  <si>
    <t>molecular, chromatin, prostate cancer</t>
  </si>
  <si>
    <t>Protein glycation acts as a substrate-dependent tumorigenic molecular switch in prostate cancer</t>
  </si>
  <si>
    <t>Cancer-Mechanisms of Carcinogenesis; Biomedical Engineering-Regenerative Medicine and Tissue Engineering; Molecular, Cellular and Systems Biology-Cell Signaling</t>
  </si>
  <si>
    <t>Protein, glycation, prostate cancer</t>
  </si>
  <si>
    <t>Labelle, Hubert B</t>
  </si>
  <si>
    <t>Non Invasive 3D Assessment of the Reducibility of Scoliotic Trunk Deformities for an Effective Surgical Planning</t>
  </si>
  <si>
    <t>MUSCULO SKELETAL; ARTHRITIS/OSTEOARTHRITIS; MUSCLE, BONE, OR JOINT; IMAGING</t>
  </si>
  <si>
    <t>3D, assessment, scoliosis</t>
  </si>
  <si>
    <t>Non Invasive Prediction of Scoliosis Progression</t>
  </si>
  <si>
    <t>Non Invasive, Prediction, Scoliosis</t>
  </si>
  <si>
    <t>Towards a 3-D classification of adolescent idiopathic scoliosis</t>
  </si>
  <si>
    <t>MUSCULO SKELETAL; SPINAL CORD DISEASE; MUSCLE, BONE, OR JOINT; IMAGING</t>
  </si>
  <si>
    <t>3-D, classification, scoliosis</t>
  </si>
  <si>
    <t>Ladbon Bernasconi, Neda</t>
  </si>
  <si>
    <t>High field imaging of focal epilepsy</t>
  </si>
  <si>
    <t>high field, imaging, epilepsy</t>
  </si>
  <si>
    <t>Lagally, Eric T</t>
  </si>
  <si>
    <t>Integrated Microsystems for Selecting and Screening Novel Molecular Recognition Reagents</t>
  </si>
  <si>
    <t>DRUGS- PHARMACEUTICAL SCIENCE/CHEMISTRY &amp; NON MEDICAL USE OF DRUGS; MULTIPLE DISEASE RELEVANCE; BIOPHYSICS; DRUG RESEARCH</t>
  </si>
  <si>
    <t>microarrays, molecular recognition, screening</t>
  </si>
  <si>
    <t>Lam, Wan L</t>
  </si>
  <si>
    <t>Molecular mechanisms of lung cancer development in former smokers</t>
  </si>
  <si>
    <t>LUNG CANCER; POPULATION HEALTH; CANCER; GENETICS</t>
  </si>
  <si>
    <t>molecular, lung cancer, smokers</t>
  </si>
  <si>
    <t>Targeting lung microbiome for developing early detection and intervention strategies for lung cancer</t>
  </si>
  <si>
    <t>lung microbiome, early detection, lung cancer</t>
  </si>
  <si>
    <t>Understanding the mechanisms of lung cancer development in never smokers</t>
  </si>
  <si>
    <t>LUNG CANCER; LUNG CANCER THERAPY</t>
  </si>
  <si>
    <t>lung cancer, mechanisms, smokers</t>
  </si>
  <si>
    <t>Lane, Pierre</t>
  </si>
  <si>
    <t>High-Resolution OCT Imaging of Bronchial Epithelium</t>
  </si>
  <si>
    <t>LUNG CANCER; NEOPLASMS; CANCER; BIOPHYSICS</t>
  </si>
  <si>
    <t>OCT, Imaging, Bronchial Epithelium</t>
  </si>
  <si>
    <t>Lange, Philipp</t>
  </si>
  <si>
    <t>Tumour microenvironment mediated cell surface shedding creates unique targets and markers</t>
  </si>
  <si>
    <t>Cancer-Cancer Drug Development and Therapeutics; Cancer-Pediatric Cancer; Genetics-Genomics, Transcriptomics and Proteomics</t>
  </si>
  <si>
    <t>tumour, microenvironment, cell surface</t>
  </si>
  <si>
    <t>Langlois, Marc-Andre</t>
  </si>
  <si>
    <t>Analysis of Antibody Neutralization Efficiency and Cellular Immunity in SARS-CoV-2-Positive Individuals Identified in At-Risk Individuals</t>
  </si>
  <si>
    <t>Antibody, Neutralization, SARS-CoV-2</t>
  </si>
  <si>
    <t>Promoting innate immunity to HIV infection by vaccine delivery of third generation RNA analogs</t>
  </si>
  <si>
    <t>VIRAL; AIDS; VIROLOGY; MOLECULAR BIOLOGY</t>
  </si>
  <si>
    <t>innate immunity, HIV, RNA analogs</t>
  </si>
  <si>
    <t>Developing a Biologically-realistic Model-based Approach for Generating Deep Brain Stimulation Patterns</t>
  </si>
  <si>
    <t>Deep Brain Stimulation, Model-based, Patterns</t>
  </si>
  <si>
    <t>Defining innovating cancer vaccine based on virus-like particles by targeting multiple antigens</t>
  </si>
  <si>
    <t>CANCER THERAPY GENERAL; SKIN AND SUBCUTANEOUS TISSUS; IMMUNOLOGY-TRANSPLANTATION; CANCER</t>
  </si>
  <si>
    <t>cancer vaccine, virus-like particles, antigens</t>
  </si>
  <si>
    <t>Targeting BMP signaling in the tumor endothelium to improve cancer immunotherapy</t>
  </si>
  <si>
    <t>Cancer-Cancer Progression and Metastasis; Cardiovascular, Respiratory and Circulatory Systems-Vascular and Endothelial Biology; Immunology and Infection-Transplantation, Immune Tolerance and Tumor Immunology</t>
  </si>
  <si>
    <t>BMP, signaling, endothelium</t>
  </si>
  <si>
    <t>Lau, Angus Z</t>
  </si>
  <si>
    <t>MR-Linac guided adaptive radiotherapy in glioblastoma multiforme</t>
  </si>
  <si>
    <t>Cancer-Cancer Progression and Metastasis; Biomedical Engineering-Biomedical Imaging</t>
  </si>
  <si>
    <t>MR, radiotherapy, glioblastoma</t>
  </si>
  <si>
    <t>Lavasanifar, Afsaneh</t>
  </si>
  <si>
    <t>Nanodelivery Systems for Modulation of Chemotherapy Response in Invasive and Metastatic Breast Cancer</t>
  </si>
  <si>
    <t>DRUGS- PHARMACEUTICAL SCIENCE/CHEMISTRY &amp; NON MEDICAL USE OF DRUGS; CANCER THERAPY GENERAL; CANCER; DRUG RESEARCH</t>
  </si>
  <si>
    <t>Nanodelivery, Chemotherapy, Breast Cancer</t>
  </si>
  <si>
    <t>Lavender, Kerry J</t>
  </si>
  <si>
    <t>BLT-Lung mice for the rapid evaluation of COVID-19 therapeutics</t>
  </si>
  <si>
    <t>INFECTIOUS AND PARASITIC; VIRAL; DRUG RESEARCH; VIROLOGY</t>
  </si>
  <si>
    <t>BLT, COVID-19, mice</t>
  </si>
  <si>
    <t>Lavigne, Pierre</t>
  </si>
  <si>
    <t>Development of cancer therapies targeting Myc with cell penetrating b-HLH-LZ domains</t>
  </si>
  <si>
    <t>cancer, Myc, cell penetrating</t>
  </si>
  <si>
    <t>Le, Xiaochun C</t>
  </si>
  <si>
    <t>Mechanisms of arsenic carcinogenesis</t>
  </si>
  <si>
    <t>CARCINOGENS (INCL ENVIRONMENTAL); POPULATION HEALTH; CANCER; ENVIRONMENTAL INFLUENCES ON HEALTH</t>
  </si>
  <si>
    <t>arsenic, carcinogenesis</t>
  </si>
  <si>
    <t>LeVan, Pierre</t>
  </si>
  <si>
    <t>Identification of seizure-generating brain areas in drug-resistant epilepsy using dynamic resting-state fMRI</t>
  </si>
  <si>
    <t>Methods Development and Modelling-Quantitative Methods Development for Health Research; Neurosciences-Neurological disorders</t>
  </si>
  <si>
    <t>seizure, brain areas, fMRI</t>
  </si>
  <si>
    <t>Leask, Richard L</t>
  </si>
  <si>
    <t>Endothelial Cell Biomechanics: The mechanotransduction of wall shear stress gradients</t>
  </si>
  <si>
    <t>MULTIDISCIPLINARY; ATHEROSCLEROSIS; BIOPHYSICS; CARDIOVASCULAR</t>
  </si>
  <si>
    <t>Endothelial cells, Biomechanics, Mechanotransduction</t>
  </si>
  <si>
    <t>Mechanical Overload in Tendons Produces Characteristic Nanoscaled Damage to Collagen Fibrils which Activates Cellular Remodelling</t>
  </si>
  <si>
    <t>MUSCULO SKELETAL; ARTHRITIS/OSTEOARTHRITIS; MUSCLE, BONE, OR JOINT; BIOPHYSICS</t>
  </si>
  <si>
    <t>Mechanical overload, collagen fibrils, cellular remodelling</t>
  </si>
  <si>
    <t>Lee, Jong Bok</t>
  </si>
  <si>
    <t>Investigating how double-negative T cells affect anti-leukemic and GvHD-inducing activities of conventional T cells</t>
  </si>
  <si>
    <t>double-negative T cells, leukemia, GvHD</t>
  </si>
  <si>
    <t>Lee, Patrick W</t>
  </si>
  <si>
    <t>Involvement of the DNA-dependent protein kinase (DNA-PK) in p53-mediated apoptosis.</t>
  </si>
  <si>
    <t>DNA-PK, p53, apoptosis</t>
  </si>
  <si>
    <t>The role of NMNAT2, a new p53 target gene, in feedback regulation of p53 function via the SIRT deacetylases.</t>
  </si>
  <si>
    <t>NMNAT2,p53,SIRT</t>
  </si>
  <si>
    <t>Lee, Ping I</t>
  </si>
  <si>
    <t>Novel Nitric Oxide Delivery System for Wound Healing</t>
  </si>
  <si>
    <t>SKIN AND SUBCUTANEOUS TISSUS; INFECTIOUS AND PARASITIC; DRUG RESEARCH; METABOLISM/DIABETES</t>
  </si>
  <si>
    <t>Nitric Oxide, Delivery System, Wound Healing</t>
  </si>
  <si>
    <t>Lee, Seung-Hwan</t>
  </si>
  <si>
    <t>Developing Natural Killer Cell-Mediated Combination Immunotherapies for the Treatment of Multiple Myeloma</t>
  </si>
  <si>
    <t>Methods Development and Modelling-Qualitative Methods Development for Health Research; Biomedical Engineering-Biomaterials, Nanotechnology and Biomechanics; Immunology and Infection-Transplantation, Immune Tolerance and Tumor Immunology</t>
  </si>
  <si>
    <t>Natural Killer, Immunotherapies, Multiple Myeloma</t>
  </si>
  <si>
    <t>Hypoxic-specific activation of natural killer cells: Being resilient in the tumor microenvironment</t>
  </si>
  <si>
    <t>hypoxic, natural killer cells, tumor microenvironment</t>
  </si>
  <si>
    <t>201003IMH</t>
  </si>
  <si>
    <t>Depth-sensitive low-coherent speckle technique for skin lesion differentiation</t>
  </si>
  <si>
    <t>SKIN AND SUBCUTANEOUS TISSUS; MULTIDISCIPLINARY; BIOPHYSICS; CANCER</t>
  </si>
  <si>
    <t>depth, speckle, skin lesion</t>
  </si>
  <si>
    <t>Lee, Ting-Yim</t>
  </si>
  <si>
    <t>Quantitative CT Myocardial Perfusion Imaging</t>
  </si>
  <si>
    <t>CT, Myocardial Perfusion, Imaging</t>
  </si>
  <si>
    <t>Selective Brain Hypothermia via Intranasal Cooling to Limit Brain Injury  Post Cardiac Arrest</t>
  </si>
  <si>
    <t>Cardiovascular, Respiratory and Circulatory Systems-Cardiovascular and Circulatory Sciences; Neurosciences-Neuroinflammation; Biomedical Engineering-Biomedical Imaging</t>
  </si>
  <si>
    <t>brain injury, hypothermia, intranasal cooling</t>
  </si>
  <si>
    <t>Selective Brain Hypothermia via Intranasal Cooling to Limit Brain Injury Post Cardiac Arrest</t>
  </si>
  <si>
    <t>brain, hypothermia, cooling</t>
  </si>
  <si>
    <t>Lees-Miller, Susan P</t>
  </si>
  <si>
    <t>Regulation of PNKP and XRCC4 in non-homologous end-joining by dynamic, reversible protein phosphorylation.</t>
  </si>
  <si>
    <t>CANCER THERAPY GENERAL; NONE OF THE ABOVE; BIOCHEMISTRY; MOLECULAR BIOLOGY</t>
  </si>
  <si>
    <t>PNKP, XRCC4, end-joining</t>
  </si>
  <si>
    <t>Analytical mobile application to support shared decision making for pregnant women</t>
  </si>
  <si>
    <t>HEALTH CARE DELIVERY; PERINATAL; POPULATION HEALTH; HEALTH RESEARCH</t>
  </si>
  <si>
    <t>mobile application, shared decision making, pregnant women</t>
  </si>
  <si>
    <t>Lemieux, Joanne M</t>
  </si>
  <si>
    <t>Optimizing polar, small inhibitors of a viral cysteine protease to identify a lead for an oral COVID-19 treatment</t>
  </si>
  <si>
    <t>VIRAL; VIROLOGY; DRUG RESEARCH</t>
  </si>
  <si>
    <t>polar, inhibitors, cysteine protease</t>
  </si>
  <si>
    <t>Leng, Roger P</t>
  </si>
  <si>
    <t>Role of USP7 and Potential Therapy in Human Cancers.</t>
  </si>
  <si>
    <t>USP7, Cancer, Therapy</t>
  </si>
  <si>
    <t>Leong, Hon Sing</t>
  </si>
  <si>
    <t>Cancer-Clinical Oncology; Biomedical Engineering-Biomedical Imaging</t>
  </si>
  <si>
    <t>Lepage, Martin</t>
  </si>
  <si>
    <t>Imaging important steps in the formation of brain metastases</t>
  </si>
  <si>
    <t>NEOPLASMS; BRAIN TUMORS (INCL. RETINAL TUMORS); CANCER</t>
  </si>
  <si>
    <t>imaging, brain metastases, formation</t>
  </si>
  <si>
    <t>Imaging the contribution of early cerebrovascular inflammation in Alzheimer's disease</t>
  </si>
  <si>
    <t>Neurosciences-Neuroinflammation</t>
  </si>
  <si>
    <t>imaging, cerebrovascular, Alzheimer's</t>
  </si>
  <si>
    <t>Pharmacokinetic modeling: Validation of DCE-MRI and PET/MRI combination</t>
  </si>
  <si>
    <t>IMAGING; CANCER</t>
  </si>
  <si>
    <t>pharmacokinetic, DCE-MRI, PET/MRI</t>
  </si>
  <si>
    <t>Lerch, Jason P</t>
  </si>
  <si>
    <t>Deciphering the bases of sex differences in the brain and their role in psychiatric disorders</t>
  </si>
  <si>
    <t>MENTAL AND BEHAVIOURAL DISEASES; ENDOCRINOLOGY; NERVOUS SYSTEM; IMAGING</t>
  </si>
  <si>
    <t>sex differences, brain, psychiatric disorders</t>
  </si>
  <si>
    <t>Magnetic resonance imaging of brain plasticity</t>
  </si>
  <si>
    <t>MENTAL AND BEHAVIOURAL DISEASES; BIOSTATISTICS; NERVOUS SYSTEM; IMAGING</t>
  </si>
  <si>
    <t>Magnetic resonance, brain, plasticity</t>
  </si>
  <si>
    <t>Where is Autism Located in the Brain?</t>
  </si>
  <si>
    <t>AUTISM; MENTAL AND BEHAVIOURAL DISEASES; IMAGING; HEALTH RESEARCH</t>
  </si>
  <si>
    <t>Autism, Brain, Localization</t>
  </si>
  <si>
    <t>Montreal Heart Institute</t>
  </si>
  <si>
    <t>Fast multispectral diffuse optical imager applied to pharmacokinetics of cancer.</t>
  </si>
  <si>
    <t>BREAST CANCER; MULTIDISCIPLINARY; IMAGING; CANCER</t>
  </si>
  <si>
    <t>multispectral, diffuse optical, pharmacokinetics</t>
  </si>
  <si>
    <t>Functionalized nanoparticles applied to photoacoustic molecular imaging of atherosclerotic plaque.</t>
  </si>
  <si>
    <t>ATHEROSCLEROSIS; CLOTTING DEFECTS/THROMBOSIS</t>
  </si>
  <si>
    <t>nanoparticles, photoacoustic, imaging</t>
  </si>
  <si>
    <t>Microscopic underpinnings of brain oxygen delivery with aging.</t>
  </si>
  <si>
    <t>AGING; ATHEROSCLEROSIS; BIOPHYSICS</t>
  </si>
  <si>
    <t>brain, oxygen, delivery</t>
  </si>
  <si>
    <t>Underpinning neuro-vascular decoupling in resting state networks of vascular diseases</t>
  </si>
  <si>
    <t>Cardiovascular, Respiratory and Circulatory Systems-Cerebrovascular Sciences (including stroke); Biomedical Engineering-Biomedical Imaging</t>
  </si>
  <si>
    <t>neuro-vascular, decoupling, resting state networks</t>
  </si>
  <si>
    <t>Leung, Brendan M</t>
  </si>
  <si>
    <t>Reconstructing the microbe-host interface in an advanced bioprinted co-culture system to study microbial community contributions to chemotherapy-induced oral mucositis</t>
  </si>
  <si>
    <t>Cancer-Cancer Drug Development and Therapeutics; Biomedical Engineering-Regenerative Medicine and Tissue Engineering</t>
  </si>
  <si>
    <t>microbe-host, bioprinted, oral mucositis</t>
  </si>
  <si>
    <t>Lewis, John D</t>
  </si>
  <si>
    <t>Rapid Prototyping and Deployment of a Therapeutic Pan-Coronavirus Fusogenix DNA Vaccine Engineered to Eliminate ADE</t>
  </si>
  <si>
    <t>INFECTIOUS AND PARASITIC; VIROLOGY</t>
  </si>
  <si>
    <t>Prototyping, DNA vaccine, Fusogenix</t>
  </si>
  <si>
    <t>Li, Bowen</t>
  </si>
  <si>
    <t>Nonviral Delivery of tRNA Therapeutics for Treating Cystic Fibrosis</t>
  </si>
  <si>
    <t>nonviral, tRNA, cystic fibrosis</t>
  </si>
  <si>
    <t>Li, Gang</t>
  </si>
  <si>
    <t>201003IC1</t>
  </si>
  <si>
    <t>The role of tumour suppressor ING1b in genomic stability upon replication stress</t>
  </si>
  <si>
    <t>NEOPLASMS; SKIN AND SUBCUTANEOUS TISSUS; CANCER; MOLECULAR BIOLOGY</t>
  </si>
  <si>
    <t>tumour suppressor, genomic stability, replication stress</t>
  </si>
  <si>
    <t>Li, Hongbin</t>
  </si>
  <si>
    <t>Molecular Mechanism for the Regulation of Titin Elasticity and Myocardial Stiffness by Oxidative Stress</t>
  </si>
  <si>
    <t>Biomedical Engineering-Biomaterials, Nanotechnology and Biomechanics; Biomedical Engineering-Biophysics, Medical Technologies and Instrumentation</t>
  </si>
  <si>
    <t>Titin, Elasticity, Oxidative Stress</t>
  </si>
  <si>
    <t>Molecular basis of tenascin elasticity and mechanotransduction</t>
  </si>
  <si>
    <t>MUSCULO SKELETAL; INJURY, REGENERATION; BIOPHYSICS; BIOCHEMISTRY</t>
  </si>
  <si>
    <t>tenascin, elasticity, mechanotransduction</t>
  </si>
  <si>
    <t>The Molecular Mechanism of the Secretion of the Bacterial Toxin Adenylate Cyclase</t>
  </si>
  <si>
    <t>Cardiovascular, Respiratory and Circulatory Systems-Respiratory Sciences; Molecular, Cellular and Systems Biology-Structure and Function of Macromolecules</t>
  </si>
  <si>
    <t>bacterial toxin, adenylate cyclase, secretion</t>
  </si>
  <si>
    <t>Li, Jianyu</t>
  </si>
  <si>
    <t>Bioengineering Tough Blood Clots for Hemorrhage Control</t>
  </si>
  <si>
    <t>Bioengineering, Blood Clots, Hemorrhage</t>
  </si>
  <si>
    <t>Mechanically and Biologically Functional Adhesives for Intervertebral Disc Repair and Regeneration</t>
  </si>
  <si>
    <t>Adhesives, Intervertebral Disc, Regeneration</t>
  </si>
  <si>
    <t>Li, Linda C</t>
  </si>
  <si>
    <t>An app-based intervention to empower self-management for people with rheumatoid arthritis</t>
  </si>
  <si>
    <t>ARTHRITIS/OSTEOARTHRITIS; HEALTH SERVICES RESEARCH; MUSCLE, BONE, OR JOINT</t>
  </si>
  <si>
    <t>app, self-management, rheumatoid arthritis</t>
  </si>
  <si>
    <t>Li, Shun-Cheng S</t>
  </si>
  <si>
    <t>Novel anticancer immunotherapy targeting the molecular mechanisms of T cell suppression by immune checkpoints</t>
  </si>
  <si>
    <t>anticancer, immunotherapy, immune checkpoints</t>
  </si>
  <si>
    <t>Li, Yingfu</t>
  </si>
  <si>
    <t>A rapid at-home test for SARS-CoV-2</t>
  </si>
  <si>
    <t>INFECTIOUS AND PARASITIC; VIRAL; BIOCHEMISTRY; VIROLOGY</t>
  </si>
  <si>
    <t>SARS-CoV-2, rapid test, at-home</t>
  </si>
  <si>
    <t>Catalytic DNA for protein sensing</t>
  </si>
  <si>
    <t>MULTIDISCIPLINARY; BIOCHEMISTRY; CANCER</t>
  </si>
  <si>
    <t>Catalytic DNA, protein sensing</t>
  </si>
  <si>
    <t>Developing RNA-cleaving DNAzymes as Molecular Tools for Cancer Study and as Cancer Therapeutics</t>
  </si>
  <si>
    <t>MULTIDISCIPLINARY; CANCER THERAPY GENERAL; BIOCHEMISTRY; CANCER</t>
  </si>
  <si>
    <t>RNA, DNAzymes, Cancer</t>
  </si>
  <si>
    <t>Li-Jessen, Yee Key Nicole</t>
  </si>
  <si>
    <t>Patient-specific computational models of vocal recovery from phonosurgery</t>
  </si>
  <si>
    <t>computational models, vocal recovery, phonosurgery</t>
  </si>
  <si>
    <t>Licht, Christoph</t>
  </si>
  <si>
    <t>A central role for the vascular endothelium in COVID-19 pathogenesis</t>
  </si>
  <si>
    <t>VIRAL; BLOOD; HEALTH RESEARCH; CELL BIOLOGY</t>
  </si>
  <si>
    <t>vascular endothelium, COVID-19, pathogenesis</t>
  </si>
  <si>
    <t>Lichty, Brian D</t>
  </si>
  <si>
    <t>Determining the fate of tumour cells killed by an oncolytic virus.</t>
  </si>
  <si>
    <t>GASTRO-INTESTINAL CANCER THERAPY; BREAST CANCER THERAPY; CANCER; IMMUNOLOGY-TRANSPLANTATION</t>
  </si>
  <si>
    <t>oncolytic virus, tumour cells, fate</t>
  </si>
  <si>
    <t>Lilge, Lothar</t>
  </si>
  <si>
    <t>Breast cancer risk assessment using optical transillumination spectroscopy</t>
  </si>
  <si>
    <t>BREAST CANCER; EPIDEMIOLOGY; BIOPHYSICS; CANCER</t>
  </si>
  <si>
    <t>breast cancer, optical transillumination, spectroscopy</t>
  </si>
  <si>
    <t>Delivery improvements for photodynamic therapy</t>
  </si>
  <si>
    <t>CANCER THERAPY GENERAL; BRAIN TUMORS THERAPY; BIOPHYSICS; CANCER</t>
  </si>
  <si>
    <t>delivery, photodynamic, therapy</t>
  </si>
  <si>
    <t>Lab-on-a-chip platform for single rare cell genomic and proteomic analysis</t>
  </si>
  <si>
    <t>MULTIPLE DISEASE RELEVANCE; BIOPHYSICS; CANCER</t>
  </si>
  <si>
    <t>lab-on-a-chip, genomics, proteomics</t>
  </si>
  <si>
    <t>Lin, Fa-Hsuan</t>
  </si>
  <si>
    <t>Localization of epileptic spike generators using combined EEG and MRI</t>
  </si>
  <si>
    <t>epileptic, EEG, MRI</t>
  </si>
  <si>
    <t>Lin, Kuo-Shyan</t>
  </si>
  <si>
    <t>Next-generation GRPR-targeting radiopharmaceuticals with improved in vivo stability and minimized pancreas uptake</t>
  </si>
  <si>
    <t>Pharmacological, Toxicological and Pharmaceutical Sciences-Drug Discovery, Design and Delivery</t>
  </si>
  <si>
    <t>GRPR, radiopharmaceuticals, stability</t>
  </si>
  <si>
    <t>PSMA/CAIX-targeting radioligands to improve the management of clear cell renal cell carcinoma</t>
  </si>
  <si>
    <t>PSMA, CAIX, radioligands</t>
  </si>
  <si>
    <t>Lin, Sheng-Xiang</t>
  </si>
  <si>
    <t>Sulfatase and aromatase pathways for estradiol synthesis in human breast cancer cells, tissues and animal models: identifying a combinatory therapy</t>
  </si>
  <si>
    <t>BREAST CANCER THERAPY; CANCER</t>
  </si>
  <si>
    <t>Sulfatase, aromatase, estradiol</t>
  </si>
  <si>
    <t>Lipsman, Nir</t>
  </si>
  <si>
    <t>Project Grant - PA: Cancer Research - Breast Cancer</t>
  </si>
  <si>
    <t>202010PWW</t>
  </si>
  <si>
    <t>A trial to evaluate the safety and feasibility of blood-brain brain opening using MRI-guided focused ultrasound in the treatment of Her2-positive breast cancer brain metastases</t>
  </si>
  <si>
    <t>MRI, focused ultrasound, brain metastases</t>
  </si>
  <si>
    <t>Little, Dustin J</t>
  </si>
  <si>
    <t>A low-cost, portable, and decentralized microfluidic device for detecting SARS-CoV-2 neutralizing antibodies</t>
  </si>
  <si>
    <t>VIRAL; MULTIDISCIPLINARY; BIOCHEMISTRY; VIROLOGY</t>
  </si>
  <si>
    <t>microfluidic, SARS-CoV-2, antibodies</t>
  </si>
  <si>
    <t>Litvinov, Ivan V</t>
  </si>
  <si>
    <t>Ectopic reactivation of normally silenced germ cell programs contributes to genomic instability, carcinogenesis and cancer progression in Cutaneous T-Cell Lymphomas (CTCL).</t>
  </si>
  <si>
    <t>Cancer-Mechanisms of Carcinogenesis; Cancer-Cancer Drug Development and Therapeutics; Cancer-Cancer Progression and Metastasis</t>
  </si>
  <si>
    <t>ectopic reactivation, germ cell, lymphomas</t>
  </si>
  <si>
    <t>Liu, Fei-Fei</t>
  </si>
  <si>
    <t>Discovery and Characterization of UROD Inhibitors for Cancer Therapy</t>
  </si>
  <si>
    <t>UROD, Inhibitors, Cancer</t>
  </si>
  <si>
    <t>201009IC1</t>
  </si>
  <si>
    <t>MicroRNA and mRNA Expression Profiling to Predict Outcome and Characterize the Cervix Cancer Microenvironment</t>
  </si>
  <si>
    <t>CANCER</t>
  </si>
  <si>
    <t>MicroRNA, mRNA, Cervix Cancer</t>
  </si>
  <si>
    <t>Small Molecule Inhibitors Against a Novel Radio- and Chemo-sensitizing Target for Human Cancers</t>
  </si>
  <si>
    <t>Small molecule, Inhibitors, Cancers</t>
  </si>
  <si>
    <t>Liu, Geoffrey</t>
  </si>
  <si>
    <t>Organoids to guide Post-resistance Therapy In driver MutAted Lung cancers (OPTIMAL)</t>
  </si>
  <si>
    <t>Organoids, Lung cancers, Mutated</t>
  </si>
  <si>
    <t>The Pharmacogenetics of Bevacizumab: A Companion Correlative Study of the Ovarian Cancer Clinical Trial, ICON7</t>
  </si>
  <si>
    <t>Pharmacogenetics, Bevacizumab, Ovarian Cancer</t>
  </si>
  <si>
    <t>Liu, Jun</t>
  </si>
  <si>
    <t>Development of safe and effective vaccines against COVID-19</t>
  </si>
  <si>
    <t>INFECTIOUS AND PARASITIC; VIRAL; VIROLOGY; IMMUNOLOGY-TRANSPLANTATION</t>
  </si>
  <si>
    <t>vaccines, COVID-19</t>
  </si>
  <si>
    <t>Non-invasive multi-omics urinary biomarkers to guide prostate cancer management</t>
  </si>
  <si>
    <t>multi-omics, urinary biomarkers, prostate cancer</t>
  </si>
  <si>
    <t>Primary prostate cancer cells as novel models for patient therapy prediction</t>
  </si>
  <si>
    <t>prostate cancer, patient models, therapy prediction</t>
  </si>
  <si>
    <t>A Paper-based Microfluidic Platform for Automated Point-of-Care Diagnosis of Laryngopharyngeal Reflux</t>
  </si>
  <si>
    <t>Microfluidic, Point-of-Care, Diagnosis</t>
  </si>
  <si>
    <t>Lockwood, William W</t>
  </si>
  <si>
    <t>Longitudinal assessment of immune-tumor interactions during lung cancer progression</t>
  </si>
  <si>
    <t>LUNG CANCER; LUNG CANCER THERAPY; CANCER</t>
  </si>
  <si>
    <t>immune, tumor, lung</t>
  </si>
  <si>
    <t>202209PJS</t>
  </si>
  <si>
    <t>SNF2 Histone Linker PHD RING Helicase as a novel tumor suppressor gene and risk factor in lung adenocarcinoma development</t>
  </si>
  <si>
    <t>Cancer-Cancer Drug Development and Therapeutics; Cancer-Cancer Progression and Metastasis; Cancer-Mechanisms of Carcinogenesis</t>
  </si>
  <si>
    <t>SNF2, histone, adenocarcinoma</t>
  </si>
  <si>
    <t>The effects of smoking marijuana on lung cancer development: implications for screening and early detection.</t>
  </si>
  <si>
    <t>marijuana, lung cancer, screening</t>
  </si>
  <si>
    <t>Understanding the effects of ERK hyperactivation in cancer: implications for therapy</t>
  </si>
  <si>
    <t>ERK, hyperactivation, cancer</t>
  </si>
  <si>
    <t>Logan, Alexander G</t>
  </si>
  <si>
    <t>Security and authentication for large scale deployment of disease-specific applications for patients with serious and complex renal disease.</t>
  </si>
  <si>
    <t>HEALTH CARE DELIVERY; MULTIPLE DISEASE RELEVANCE; HEALTH SERVICES RESEARCH; RENAL FUNCTION, NEPHROLOGY, UROLOGY</t>
  </si>
  <si>
    <t>security, authentication, renal disease</t>
  </si>
  <si>
    <t>The SCF(FBXO11) - XAB2 axis mediates DNA repair and therapeutic resistance in small cell lung cancer</t>
  </si>
  <si>
    <t>Cancer-Cancer Progression and Metastasis; Cancer-Cancer Drug Development and Therapeutics; Molecular, Cellular and Systems Biology-Molecular Biology</t>
  </si>
  <si>
    <t>SCF, DNA repair, lung cancer</t>
  </si>
  <si>
    <t>Lorimer, Ian Anthony J</t>
  </si>
  <si>
    <t>A therapeutic strategy for PTEN tumour suppressor restoration in glioblastoma</t>
  </si>
  <si>
    <t>PTEN, glioblastoma, tumor suppressor</t>
  </si>
  <si>
    <t>Evaluation of protein kinase C iota as a target for glioblastoma therapy</t>
  </si>
  <si>
    <t>protein kinase C, glioblastoma, target</t>
  </si>
  <si>
    <t>Lu, Qing-Bin</t>
  </si>
  <si>
    <t>Development of Novel Non-Platinum-Based Antitumor Agents for Natural Targeted Chemotherapy and Radiotherapy of Cervical, Lung and Ovarian Cancers</t>
  </si>
  <si>
    <t>Non-Platinum, Antitumor, Chemotherapy</t>
  </si>
  <si>
    <t>Molecular-Mechanism-Based Target Identification and Drug Discovery for Radiotherapy of Cancer</t>
  </si>
  <si>
    <t>CANCER THERAPY GENERAL; DRUGS- PHARMACEUTICAL SCIENCE/CHEMISTRY &amp; NON MEDICAL USE OF DRUGS; BIOPHYSICS; CANCER</t>
  </si>
  <si>
    <t>molecular, target, radiotherapy</t>
  </si>
  <si>
    <t>Luke, Patrick</t>
  </si>
  <si>
    <t>Therapeutic potential of bloodless oxygenated perfusion of donor kidneys for prolonged storage and protection for transplantation</t>
  </si>
  <si>
    <t>Methods Development and Modelling-Quantitative Methods Development for Health Research; Immunology and Infection-Transplantation, Immune Tolerance and Tumor Immunology; Health Services and Systems-Management of Chronic Diseases and Conditions</t>
  </si>
  <si>
    <t>bloodless, oxygenated perfusion, kidneys</t>
  </si>
  <si>
    <t>Lukong, Kiven E</t>
  </si>
  <si>
    <t>The cellular implications of breast tumor kinase induction in mammary tumorigenesis.</t>
  </si>
  <si>
    <t>BREAST CANCER; BREAST CANCER THERAPY; CANCER; MOLECULAR BIOLOGY</t>
  </si>
  <si>
    <t>breast tumor kinase, mammary tumorigenesis, cellular implications</t>
  </si>
  <si>
    <t>Lum, Julian J</t>
  </si>
  <si>
    <t>Metabolic Insights into Immune Suppression in Ovarian Cancer</t>
  </si>
  <si>
    <t>Metabolic, Immune Suppression, Ovarian Cancer</t>
  </si>
  <si>
    <t>Rewiring the Metabolic Ecosystem to Improve Cellular Immunotherapy</t>
  </si>
  <si>
    <t>Immunology and Infection-Transplantation, Immune Tolerance and Tumor Immunology; Cancer-Cancer Drug Development and Therapeutics</t>
  </si>
  <si>
    <t>metabolic, ecosystem, immunotherapy</t>
  </si>
  <si>
    <t>Luo, Ma</t>
  </si>
  <si>
    <t>ATTACKING HIV PROTEASE CLEAVAGE SITES WITH IMMUNIZATION - Explore the rapid mutation rate of HIV-1</t>
  </si>
  <si>
    <t>HIV, Protease, Immunization</t>
  </si>
  <si>
    <t>Ma, Hongshen</t>
  </si>
  <si>
    <t>Behaviour-based cell separation to interrogate host cell heterogeneity in CAR-T cell therapies</t>
  </si>
  <si>
    <t>Biomedical Engineering-Biophysics, Medical Technologies and Instrumentation; Biomedical Engineering-Biomaterials, Nanotechnology and Biomechanics; Biomedical Engineering-Biomedical Imaging</t>
  </si>
  <si>
    <t>cell separation, CAR-T, heterogeneity</t>
  </si>
  <si>
    <t>Microfluidic Device to Measure the Deformability of Stored Red Blood Cells</t>
  </si>
  <si>
    <t>BLOOD; BIOPHYSICS</t>
  </si>
  <si>
    <t>microfluidic, deformability, red blood cells</t>
  </si>
  <si>
    <t>Operating Grant - Priority Announcement: Blood Utilization and Conservation</t>
  </si>
  <si>
    <t>201403BUC</t>
  </si>
  <si>
    <t>Microfluidic Devices to Measure the Deformability of Stored Red Blood Cells</t>
  </si>
  <si>
    <t>Canadian Blood Services (Ottawa)</t>
  </si>
  <si>
    <t>Microfluidic Separation of Circulating Tumor Cells</t>
  </si>
  <si>
    <t>PROSTATE AND BLADDER CANCER; BLOOD; CANCER; BIOPHYSICS</t>
  </si>
  <si>
    <t>microfluidic, circulating tumor cells</t>
  </si>
  <si>
    <t>MacIntosh, Bradley J</t>
  </si>
  <si>
    <t>Identifying vascular targets to treat cerebral small vessel disease</t>
  </si>
  <si>
    <t>Cardiovascular, Respiratory and Circulatory Systems-Cerebrovascular Sciences (including stroke); Neurosciences-Neurodegeneration</t>
  </si>
  <si>
    <t>vascular, targets, vessel disease</t>
  </si>
  <si>
    <t>Macaulay, Calum E</t>
  </si>
  <si>
    <t>A 3D cell-based computer model for a system biology approach to the study of intra epithelial neoplastic processes.</t>
  </si>
  <si>
    <t>NEOPLASMS; BIOSTATISTICS; CANCER; BIOPHYSICS</t>
  </si>
  <si>
    <t>3D cell model, system biology, intra epithelial neoplastic</t>
  </si>
  <si>
    <t>Devices for Image-Guided Biopsy of Peripheral Lung Nodules</t>
  </si>
  <si>
    <t>Cancer-Clinical Oncology; Biomedical Engineering-Biophysics, Medical Technologies and Instrumentation</t>
  </si>
  <si>
    <t>Image-Guided, Biopsy, Lung</t>
  </si>
  <si>
    <t>Multi-Scale Tissue System's Biology approach to Identify Lethal Prostate Cancer</t>
  </si>
  <si>
    <t>PROSTATE AND BLADDER CANCER; NEOPLASMS; IMAGING; CANCER</t>
  </si>
  <si>
    <t>Tissue, Prostate, Cancer</t>
  </si>
  <si>
    <t>Static and Dynamic 3D Computer Model of Pre-Invasive Neoplastic Epithelial Tissues</t>
  </si>
  <si>
    <t>3D modeling, Neoplastic tissues, Epithelial</t>
  </si>
  <si>
    <t>Macgowan, Christopher K</t>
  </si>
  <si>
    <t>Advanced Fetal MRI Methods to Evaluate Prenatal Organ Development and Predict Postnatal Outcome in Congenital Heart Disease</t>
  </si>
  <si>
    <t>Biomedical Engineering-Biomedical Imaging; Cardiovascular, Respiratory and Circulatory Systems-Clinical and Translational Cardiovascular Sciences</t>
  </si>
  <si>
    <t>Fetal MRI, Prenatal Organ Development, Congenital Heart Disease</t>
  </si>
  <si>
    <t>Hemodynamics of Pediatric Congenital Heart Disease Using Accelerated and Motion-Compensated MRI</t>
  </si>
  <si>
    <t>Hemodynamics, MRI, Congenital Heart Disease</t>
  </si>
  <si>
    <t>MRI Assessment of Pulmonary Vascular Remodelling and Vasoconstriction in Pulmonary Hypertension</t>
  </si>
  <si>
    <t>MULTIDISCIPLINARY; MULTIPLE DISEASE RELEVANCE; IMAGING; CARDIOVASCULAR</t>
  </si>
  <si>
    <t>MRI, Pulmonary Vascular, Hypertension</t>
  </si>
  <si>
    <t>Antiestrogen-HDACi hybrid molecules for breast cancer treatment.</t>
  </si>
  <si>
    <t>BREAST CANCER THERAPY; BREAST CANCER; CANCER; DRUG RESEARCH</t>
  </si>
  <si>
    <t>Antiestrogen, HDACi, breast cancer</t>
  </si>
  <si>
    <t>Mahoney, Douglas J</t>
  </si>
  <si>
    <t>Mechanisms underlying oncolytic rhabdovirus-mediated anticancer immunity</t>
  </si>
  <si>
    <t>Cancer-Cancer Drug Development and Therapeutics; Immunology and Infection-Transplantation, Immune Tolerance and Tumor Immunology; Immunology and Infection-Virology</t>
  </si>
  <si>
    <t>oncolytic, rhabdovirus, anticancer</t>
  </si>
  <si>
    <t>Molecular profiling of single extracellular vesicles reveals therapeutic effects of temozolomide in GBM patients</t>
  </si>
  <si>
    <t>molecular profiling, extracellular vesicles, temozolomide</t>
  </si>
  <si>
    <t>Project Grant - PA: Antimicrobial Resistance (Bridge Grant)</t>
  </si>
  <si>
    <t>202209ARB</t>
  </si>
  <si>
    <t>Phenotypic Profiling of Antibiotic Susceptibility via a Multiplexed Colorimetric Fluidic Assay</t>
  </si>
  <si>
    <t>Biomedical Engineering-Biophysics, Medical Technologies and Instrumentation; Immunology and Infection-Antimicrobial Drug Resistance, Drug Discovery and Therapeutics (including vaccines)</t>
  </si>
  <si>
    <t>Phenotypic profiling, Antibiotic susceptibility, Colorimetric assay</t>
  </si>
  <si>
    <t>Mai, Sabine</t>
  </si>
  <si>
    <t>Mechanisms and consequences of three-dimensional (3D) nuclear remodeling of telomeres in cancer</t>
  </si>
  <si>
    <t>LEUKAEMIAS; NEOPLASMS; CANCER; GENETICS</t>
  </si>
  <si>
    <t>nuclear remodeling, telomeres, cancer</t>
  </si>
  <si>
    <t>Mak, Tak W</t>
  </si>
  <si>
    <t>Identification of tumour-reactive gamma delta T cell receptors to treat hematological malignancies.</t>
  </si>
  <si>
    <t>gamma delta T, tumor-reactive, receptors</t>
  </si>
  <si>
    <t>The roles of cholinergic T cells in immunosurveillance and immunotherapy of liver cancer.</t>
  </si>
  <si>
    <t>cholinergic, T cells, liver cancer</t>
  </si>
  <si>
    <t>The roles of p53 and p73 in DNA repair and oncogenesis.</t>
  </si>
  <si>
    <t>NEOPLASMS; CANCER; GENETICS</t>
  </si>
  <si>
    <t>p53, p73, DNA repair</t>
  </si>
  <si>
    <t>Malkin, David D</t>
  </si>
  <si>
    <t>DNA Copy Number Variation in Li-Fraumeni Syndrome</t>
  </si>
  <si>
    <t>DNA, Copy Number, Variation</t>
  </si>
  <si>
    <t>Developing diagnostics of patient-specific cancer risk and early-stage tumorigenesis</t>
  </si>
  <si>
    <t>diagnostics, cancer, tumorigenesis</t>
  </si>
  <si>
    <t>Molecular Determinants of Li-Fraumeni Syndrome Associated Cancers</t>
  </si>
  <si>
    <t>Li-Fraumeni, Cancers, Molecular</t>
  </si>
  <si>
    <t>Targeting the Integrin-Linked Kinase Pathway in Rhabdomyosarcoma</t>
  </si>
  <si>
    <t>CANCER THERAPY GENERAL; NEOPLASMS; CANCER; MOLECULAR BIOLOGY</t>
  </si>
  <si>
    <t>Integrin, Kinase, Rhabdomyosarcoma</t>
  </si>
  <si>
    <t>Exploiting translational reprogramming in neoplasia to devise unique strategies to eliminate cancer and cancer-promoting senescent cells</t>
  </si>
  <si>
    <t>Molecular, Cellular and Systems Biology-Biochemistry; Cancer-Cancer Progression and Metastasis; Cancer-Mechanisms of Carcinogenesis</t>
  </si>
  <si>
    <t>translational reprogramming, neoplasia, cancer</t>
  </si>
  <si>
    <t>Identification of therapeutic targets for pediatric acute megakaryoblastic leukemia</t>
  </si>
  <si>
    <t>Cancer-Mechanisms of Carcinogenesis; Cancer-Pediatric Cancer; Cancer-Cancer Drug Development and Therapeutics</t>
  </si>
  <si>
    <t>therapeutic targets, pediatric leukemia, megakaryoblastic</t>
  </si>
  <si>
    <t>202309PDI</t>
  </si>
  <si>
    <t>Identifying novel therapeutic vulnerabilities in pediatric acute megakaryoblastic leukemia</t>
  </si>
  <si>
    <t>therapeutic vulnerabilities, pediatric leukemia, megakaryoblastic</t>
  </si>
  <si>
    <t>Marcato, Paola</t>
  </si>
  <si>
    <t>Defining the mechanism of ALDH1A3 in breast cancer for the identification of novel therapeutic targets</t>
  </si>
  <si>
    <t>ALDH1A3, breast cancer, therapeutic targets</t>
  </si>
  <si>
    <t>Identification of lncRNAs that regulate biological processes required for breast cancer progression</t>
  </si>
  <si>
    <t>lncRNAs, breast cancer, biological processes</t>
  </si>
  <si>
    <t>Investigating the role of LINC01929 in regulating processes critical for breast cancer progression</t>
  </si>
  <si>
    <t>LINC01929, breast cancer, regulation</t>
  </si>
  <si>
    <t>Targeting ALDH1A3 and investigating mechanisms of ALDH1A3-mediated breast cancer progression</t>
  </si>
  <si>
    <t>ALDH1A3, breast cancer, progression</t>
  </si>
  <si>
    <t>The role of ALDH1A3 in breast cancer progression and cancer stem cell biology</t>
  </si>
  <si>
    <t>ALDH1A3, breast cancer, cancer stem cells</t>
  </si>
  <si>
    <t>Martel, Anne L</t>
  </si>
  <si>
    <t>Automatic Motion Correction for Dynamic Contrast Enhanced MRI</t>
  </si>
  <si>
    <t>CANCER THERAPY GENERAL; MULTIPLE DISEASE RELEVANCE; IMAGING; CANCER</t>
  </si>
  <si>
    <t>Motion, Correction, MRI</t>
  </si>
  <si>
    <t>Using AI to predict the presence of occult invasive carcinoma following diagnosis of DCIS on biopsy</t>
  </si>
  <si>
    <t>AI, carcinoma, biopsy</t>
  </si>
  <si>
    <t>Using MRI imaging to develop a personalized risk-based breast cancer screening strategy</t>
  </si>
  <si>
    <t>Biomedical Engineering-Biomedical Imaging; Health Services and Systems-Personalized Medicine; Cancer-Clinical Oncology</t>
  </si>
  <si>
    <t>MRI, breast cancer, screening</t>
  </si>
  <si>
    <t>Using deep learning to estimate breast cancer recurrence scores from histopathology images</t>
  </si>
  <si>
    <t>deep learning, breast cancer, histopathology</t>
  </si>
  <si>
    <t>Martin, Alberto</t>
  </si>
  <si>
    <t>Gut microbiota and the etiology of colon cancer</t>
  </si>
  <si>
    <t>Cancer-Mechanisms of Carcinogenesis; Immunology and Infection-Infectious Diseases</t>
  </si>
  <si>
    <t>gut microbiota, colon cancer, etiology</t>
  </si>
  <si>
    <t>Masani, Kei</t>
  </si>
  <si>
    <t>Operating Grant - PA: IMHA New investigators - Bridge Funding</t>
  </si>
  <si>
    <t>201303OMH</t>
  </si>
  <si>
    <t>Development of novel tool to reduce muscle fatigue during rehabilitation using functional electrical stimulation</t>
  </si>
  <si>
    <t>MUSCULO SKELETAL; SPINAL CORD DISEASE; MUSCLE, BONE, OR JOINT; NERVOUS SYSTEM</t>
  </si>
  <si>
    <t>muscle fatigue, functional electrical stimulation, rehabilitation</t>
  </si>
  <si>
    <t>Toronto Rehabilitation Institute-UHN</t>
  </si>
  <si>
    <t>Novel methodology to reduce muscle fatigue during functional electrical stimulation</t>
  </si>
  <si>
    <t>muscle fatigue, functional electrical stimulation</t>
  </si>
  <si>
    <t>Masson, Jean-Yves</t>
  </si>
  <si>
    <t>Functions of the tumor suppressor PALB2 in DNA double-strand break repair and tumorigenesis</t>
  </si>
  <si>
    <t>CANCER THERAPY GENERAL; BREAST CANCER; BIOCHEMISTRY; CANCER</t>
  </si>
  <si>
    <t>PALB2,DNA repair, tumorigenesis</t>
  </si>
  <si>
    <t>Interplay between homologous recombination and anti-recombination activities at broken DNA replication forks and genomic instability</t>
  </si>
  <si>
    <t>CANCER THERAPY GENERAL; BREAST CANCER; BIOCHEMISTRY; MOLECULAR BIOLOGY</t>
  </si>
  <si>
    <t>homologous recombination, DNA replication, genomic instability</t>
  </si>
  <si>
    <t>MRE11-RAD50-NBS1: at the crossroads of DNA double-strand break repair and Fanconi anemia</t>
  </si>
  <si>
    <t>DNA repair, double-strand break, Fanconi anemia</t>
  </si>
  <si>
    <t>Matsubara, Joanne A</t>
  </si>
  <si>
    <t>Treating advanced retinal degeneration - rebuilding multiple co-dependent retinal layers with stem cells</t>
  </si>
  <si>
    <t>Biomedical Engineering-Regenerative Medicine and Tissue Engineering; Biomedical Engineering-Biophysics, Medical Technologies and Instrumentation; Biomedical Engineering-Biomaterials, Nanotechnology and Biomechanics; Biomedical Imaging</t>
  </si>
  <si>
    <t>retinal degeneration, stem cells, retinal layers</t>
  </si>
  <si>
    <t>Enhanced drug delivery to lung cancers using endobronchial ultrasound (EBUS)</t>
  </si>
  <si>
    <t>drug delivery, lung cancers, endobronchial ultrasound</t>
  </si>
  <si>
    <t>Ultrasound activated bubbles to potentiate cancer therapy</t>
  </si>
  <si>
    <t>Ultrasound, Bubbles, Cancer</t>
  </si>
  <si>
    <t>Maxwell, Christopher A</t>
  </si>
  <si>
    <t>201309OBC</t>
  </si>
  <si>
    <t>Understanding the mitotic and non-mitotic roles of RHAMM, a novel regulator for aurora kinase A.</t>
  </si>
  <si>
    <t>mitotic, RHAMM, aurora kinase</t>
  </si>
  <si>
    <t>Mazroui, Rachid</t>
  </si>
  <si>
    <t>Role of eIF4E in stress granules formation and the associated resistance to chemotherapy</t>
  </si>
  <si>
    <t>CANCER THERAPY GENERAL; BREAST CANCER THERAPY; CANCER; BIOCHEMISTRY</t>
  </si>
  <si>
    <t>eIF4E, stress granules, chemotherapy</t>
  </si>
  <si>
    <t>Using heart rhythm detection as a prototype to translate machine learning equitably and reproducibly to the point of care</t>
  </si>
  <si>
    <t>Cardiovascular, Respiratory and Circulatory Systems-Clinical and Translational Cardiovascular Sciences; Artificial Intelligence-Machine Learning</t>
  </si>
  <si>
    <t>heart rhythm, machine learning, point of care</t>
  </si>
  <si>
    <t>McCaffrey, Luke M</t>
  </si>
  <si>
    <t>Distinct roles for the Par6 polarity protein in development of low- and high-grade breast cancers.</t>
  </si>
  <si>
    <t>Par6, polarity protein, breast cancers</t>
  </si>
  <si>
    <t>Overcoming suppressive micro-environments in early breast cancer progression</t>
  </si>
  <si>
    <t>micro-environments, breast cancer, progression</t>
  </si>
  <si>
    <t>McCoy, Kathy</t>
  </si>
  <si>
    <t>Determining the impact of inosine-producing microbes in promoting the efficacy and modulating toxicity of immune checkpoint blockade therapy in cancer.</t>
  </si>
  <si>
    <t>inosine, microbes, immune checkpoint</t>
  </si>
  <si>
    <t>McElwee, Kevin J</t>
  </si>
  <si>
    <t>CXC chemokines in basal cell carcinomas</t>
  </si>
  <si>
    <t>SKIN AND SUBCUTANEOUS TISSUS; NEOPLASMS; CANCER; CELL BIOLOGY</t>
  </si>
  <si>
    <t>CXC chemokines, basal cell carcinoma</t>
  </si>
  <si>
    <t>McGaha, Tracy</t>
  </si>
  <si>
    <t>Mechanistic studies of macrophages and the tumour microenvironment as immunologic barriers to therapy in pancreatic ductal adenocarcinoma</t>
  </si>
  <si>
    <t>macrophages, tumour microenvironment, pancreatic ductal adenocarcinoma</t>
  </si>
  <si>
    <t>McGibbon, Chris</t>
  </si>
  <si>
    <t>University of New Brunswick (Fredericton)</t>
  </si>
  <si>
    <t>New Brunswick</t>
  </si>
  <si>
    <t>The Doctor is in the house: Validation of a toolkit for remote monitoring of progressive neuromuscular and neurological conditions</t>
  </si>
  <si>
    <t>MULTIPLE DISEASE RELEVANCE; AMYOTROPHIC LATERAL SCLEROSIS (ALS); HEALTH RESEARCH; MUSCLE, BONE, OR JOINT</t>
  </si>
  <si>
    <t>remote monitoring, neuromuscular, neurological</t>
  </si>
  <si>
    <t>McGlade, Catherine J</t>
  </si>
  <si>
    <t>Alternative splicing and Numb protein isoform function in cancer metastasis.</t>
  </si>
  <si>
    <t>Cancer-Cancer Progression and Metastasis; Molecular, Cellular and Systems Biology-Cell Signaling; Molecular, Cellular and Systems Biology-Molecular Biology</t>
  </si>
  <si>
    <t>splicing, Numb protein, metastasis</t>
  </si>
  <si>
    <t>Approaches to regulate Cbl ubiquitin ligase activity and control oncogenic tyrosine kinase signaling.</t>
  </si>
  <si>
    <t>Cancer-Cancer Drug Development and Therapeutics; Molecular, Cellular and Systems Biology-Cell Signaling; Molecular, Cellular and Systems Biology-Cell Biology and Physiology</t>
  </si>
  <si>
    <t>Cbl, ubiquitin ligase, tyrosine kinase</t>
  </si>
  <si>
    <t>Function and regulation of Numb alternative splicing in cancer.</t>
  </si>
  <si>
    <t>CANCER THERAPY GENERAL; BRAIN TUMORS (INCL. RETINAL TUMORS); CELL BIOLOGY; MOLECULAR BIOLOGY</t>
  </si>
  <si>
    <t>Numb, splicing, cancer</t>
  </si>
  <si>
    <t>Function and regulation of Numb protein isoforms in cancer.</t>
  </si>
  <si>
    <t>BREAST CANCER; LUNG CANCER; CANCER; MOLECULAR BIOLOGY</t>
  </si>
  <si>
    <t>Numb protein, isoforms, cancer</t>
  </si>
  <si>
    <t>McGuigan, Alison P</t>
  </si>
  <si>
    <t>Deciphering the impact of genetic and microenvironmental variation on pancreatic ductal adenocarcinoma (PDAC) cell phenotype and response to therapy</t>
  </si>
  <si>
    <t>Biomedical Engineering-Regenerative Medicine and Tissue Engineering; Cancer-Cancer Drug Development and Therapeutics; Genetics-Molecular and Functional Genetics and Epigenetics</t>
  </si>
  <si>
    <t>genetic, microenvironmental, pancreatic ductal adenocarcinoma</t>
  </si>
  <si>
    <t>McKenzie, Charles A</t>
  </si>
  <si>
    <t>Hyperpolarised 13C MRI of Placental Metabolism in Intrauterine Growth Restriction</t>
  </si>
  <si>
    <t>Biomedical Engineering-Biomedical Imaging; Reproduction and Development-Clinical Embryology, Neonatology and Pediatrics</t>
  </si>
  <si>
    <t>hyperpolarised, MRI, placental metabolism</t>
  </si>
  <si>
    <t>McLachlin, Stewart D</t>
  </si>
  <si>
    <t>Project Grant - PA: Myalgic Encephalomyelitis and IMHA Mandate Areas</t>
  </si>
  <si>
    <t>202109PAY</t>
  </si>
  <si>
    <t>A prospective investigation for characterization and predictive modeling of cage subsidence following anterior spinal column reconstruction</t>
  </si>
  <si>
    <t>cage subsidence, anterior spinal, predictive modeling</t>
  </si>
  <si>
    <t>McManus, Kirk J</t>
  </si>
  <si>
    <t>Exploring and Exploiting Reduced USP22 Expression in Colorectal Cancer</t>
  </si>
  <si>
    <t>Cancer-Cancer Progression and Metastasis; Cancer-Mechanisms of Carcinogenesis; Genetics-Molecular and Functional Genetics and Epigenetics</t>
  </si>
  <si>
    <t>USP22, colorectal cancer, gene expression</t>
  </si>
  <si>
    <t>McMullen, Todd</t>
  </si>
  <si>
    <t>Targeting PDGFRa using PET Imaging to Diagnose Metastatic Papillary Thyroid Cancer and Improve Treatment</t>
  </si>
  <si>
    <t>Cancer-Cancer Drug Development and Therapeutics; Biomedical Engineering-Biomedical Imaging</t>
  </si>
  <si>
    <t>PDGFRa, PET imaging, thyroid cancer</t>
  </si>
  <si>
    <t>The Biological and Clinical Significance of Platelet Derived Growth Factor Receptor in Papillary Thyroid Cancer</t>
  </si>
  <si>
    <t>THYROID; NEOPLASMS; CELL BIOLOGY; DRUG RESEARCH</t>
  </si>
  <si>
    <t>Platelet, Growth Factor Receptor, Thyroid Cancer</t>
  </si>
  <si>
    <t>Podocalyxin's role in tumor invasion, metastasis, and immune evasion</t>
  </si>
  <si>
    <t>Podocalyxin, tumor invasion, metastasis</t>
  </si>
  <si>
    <t>Mcgilvray, Ian D</t>
  </si>
  <si>
    <t>Manipulating the cellular microenvironment to bioengineer bile ducts</t>
  </si>
  <si>
    <t>Biomedical Engineering-Regenerative Medicine and Tissue Engineering; Digestive, Endocrine and Excretory Systems-Gastroenterology and Hepatology; Immunology and Infection-Transplantation, Immune Tolerance and Tumor Immunology</t>
  </si>
  <si>
    <t>cellular, microenvironment, bile ducts</t>
  </si>
  <si>
    <t>Nanoparticle targeting of the liver</t>
  </si>
  <si>
    <t>CANCER THERAPY GENERAL; MULTIPLE DISEASE RELEVANCE; CANCER; GASTROINTESTINAL (LIVER)</t>
  </si>
  <si>
    <t>Nanoparticle, targeting, liver</t>
  </si>
  <si>
    <t>Mcmillen, David R</t>
  </si>
  <si>
    <t>Development of a yeast-based immunoassay for SARS-CoV-2 serologic testing amenable to inexpensive local production</t>
  </si>
  <si>
    <t>VIRAL; EPIDEMIOLOGY; MOLECULAR BIOLOGY; INTERNATIONAL HEALTH</t>
  </si>
  <si>
    <t>yeast, immunoassay, SARS-CoV-2</t>
  </si>
  <si>
    <t>Menon, Ravi S</t>
  </si>
  <si>
    <t>Beyond the McDonald Criteria. Can MRI diagnose Multiple Sclerosis at the onset of initial symptoms ?</t>
  </si>
  <si>
    <t>MULTIPLE SCLEROSIS; MULTIPLE DISEASE RELEVANCE; IMAGING; NERVOUS SYSTEM</t>
  </si>
  <si>
    <t>MRI, Multiple Sclerosis, Diagnosis</t>
  </si>
  <si>
    <t>Ultra high field MRI measurements of tissue magnetic susceptibility in Multiple Sclerosis</t>
  </si>
  <si>
    <t>MULTIPLE SCLEROSIS; CNS ORGANIC; IMAGING; NERVOUS SYSTEM</t>
  </si>
  <si>
    <t>MRI, magnetic susceptibility, Multiple Sclerosis</t>
  </si>
  <si>
    <t>Understanding the role of eIF4A in AML progression and relapse</t>
  </si>
  <si>
    <t>eIF4A, AML, relapse</t>
  </si>
  <si>
    <t>A potential biomarker for vascular dementia</t>
  </si>
  <si>
    <t>CNS ORGANIC; AGING; NERVOUS SYSTEM; IMAGING</t>
  </si>
  <si>
    <t>biomarker, vascular, dementia</t>
  </si>
  <si>
    <t>Miller, Robert John D</t>
  </si>
  <si>
    <t>Impulsive Heat desorption of the single cell - towards a full protein content determination</t>
  </si>
  <si>
    <t>NONE OF THE ABOVE; BIOPHYSICS; IMAGING</t>
  </si>
  <si>
    <t>Heat desorption, protein content, single cell</t>
  </si>
  <si>
    <t>Miller, Wilson H</t>
  </si>
  <si>
    <t>Exploring the therapeutic potential of combined inhibition of MNK1/2 and CDK4/6 to treat melanoma.</t>
  </si>
  <si>
    <t>MNK1, CDK4/6, melanoma</t>
  </si>
  <si>
    <t>Mechanisms of response and resistance to epigenetic therapy in hematological malignancy</t>
  </si>
  <si>
    <t>epigenetic, hematological malignancy, response</t>
  </si>
  <si>
    <t>Mechanisms of the anti-cancer actions of arsenic.</t>
  </si>
  <si>
    <t>arsenic, anti-cancer, mechanisms</t>
  </si>
  <si>
    <t>Targeting the Mnk/eIF4E axis in the tumor microenvironment of pregnancy associated breast cancers.</t>
  </si>
  <si>
    <t>Cancer-Cancer Progression and Metastasis; Immunology and Infection-Transplantation, Immune Tolerance and Tumor Immunology; Reproduction and Development-Fertility and Maternal Health</t>
  </si>
  <si>
    <t>Mnk, eIF4E, breast cancer</t>
  </si>
  <si>
    <t>Targeting the eukaryotic translation initiation factor eIF4E with ribavirin in breast cancer</t>
  </si>
  <si>
    <t>BREAST CANCER THERAPY; CANCER; DRUG RESEARCH</t>
  </si>
  <si>
    <t>eIF4E, ribavirin, breast cancer</t>
  </si>
  <si>
    <t>Understanding the role of the MNK-eIF4E axis in the response and resistance to BRAF inhibitors.</t>
  </si>
  <si>
    <t>SKIN AND SUBCUTANEOUS TISSUS; CANCER THERAPY GENERAL; CANCER; MOLECULAR BIOLOGY</t>
  </si>
  <si>
    <t>MNK, eIF4E, BRAF</t>
  </si>
  <si>
    <t>Milot, Eric</t>
  </si>
  <si>
    <t>Influence of Ikaros on treatment response in Acute Lymphoblastic Leukemia</t>
  </si>
  <si>
    <t>Cancer-Mechanisms of Carcinogenesis; Genetics-Genomics, Transcriptomics and Proteomics; Molecular, Cellular and Systems Biology-Molecular Biology</t>
  </si>
  <si>
    <t>Ikaros, Acute Lymphoblastic Leukemia, response</t>
  </si>
  <si>
    <t>Min, Wei-Ping</t>
  </si>
  <si>
    <t>The role of IDO1 vs IDO2 on tumour immune evasion  and immune therapy</t>
  </si>
  <si>
    <t>IDO1, IDO2, immune evasion</t>
  </si>
  <si>
    <t>Minchinton, Andrew I</t>
  </si>
  <si>
    <t>FLASH radiotherapy - mechanisms and translational studies</t>
  </si>
  <si>
    <t>Cancer-Cancer Drug Development and Therapeutics; Radiation biology</t>
  </si>
  <si>
    <t>FLASH, radiotherapy, mechanisms</t>
  </si>
  <si>
    <t>Hypoxia-selective radiation sensitizers</t>
  </si>
  <si>
    <t>Hypoxia, radiation, sensitizers</t>
  </si>
  <si>
    <t>Metabolic manipulation of hypoxia and radiotherapy response</t>
  </si>
  <si>
    <t>metabolic, hypoxia, radiotherapy</t>
  </si>
  <si>
    <t>Metabolic manipulation of hypoxia for improved radiotherapy response</t>
  </si>
  <si>
    <t>metabolic manipulation, hypoxia, radiotherapy</t>
  </si>
  <si>
    <t>Microenvironmental strategies for the optimal utilization of anti-angiogenic drugs combinations</t>
  </si>
  <si>
    <t>microenvironment, anti-angiogenic, drugs</t>
  </si>
  <si>
    <t>Minden, Mark D</t>
  </si>
  <si>
    <t>CSF1R as a therapeutic target in Acute Myeloid Leukemia</t>
  </si>
  <si>
    <t>CSF1R, Acute Myeloid Leukemia, therapeutic target</t>
  </si>
  <si>
    <t>DNA Hypermethylation in AML: A means to understand the disease and to direct therapy</t>
  </si>
  <si>
    <t>NEOPLASMS; LEUKAEMIAS; CANCER; MOLECULAR BIOLOGY</t>
  </si>
  <si>
    <t>DNA, Hypermethylation, AML</t>
  </si>
  <si>
    <t>Mutant nucleophosmin AML a heterogeneous disease: characterization and drug sensitivity.</t>
  </si>
  <si>
    <t>Cancer-Cancer Drug Development and Therapeutics; Genetics-Molecular and Functional Genetics and Epigenetics; Molecular, Cellular and Systems Biology-Cell Biology and Physiology</t>
  </si>
  <si>
    <t>nucleophosmin, AML, drug sensitivity</t>
  </si>
  <si>
    <t>Moffat, Jason</t>
  </si>
  <si>
    <t>Identifying cancer intrinsic immune evasion mechanism for target discovery</t>
  </si>
  <si>
    <t>Cancer-Cancer Progression and Metastasis; Cancer-Cancer Drug Development and Therapeutics; Cancer-Mechanisms of Carcinogenesis</t>
  </si>
  <si>
    <t>cancer, immune evasion, target discovery</t>
  </si>
  <si>
    <t>Identification of novel therapeutic targets for SOX2-driven lung squamous cell carcinoma</t>
  </si>
  <si>
    <t>SOX2, lung cancer, targets</t>
  </si>
  <si>
    <t xml:space="preserve">1 yr 6 mths </t>
  </si>
  <si>
    <t>Monument, Michael J</t>
  </si>
  <si>
    <t>Harnessing STING activation for the treatment of sarcoma</t>
  </si>
  <si>
    <t>STING, activation, sarcoma</t>
  </si>
  <si>
    <t>Moorehead, Roger A</t>
  </si>
  <si>
    <t>University of Guelph</t>
  </si>
  <si>
    <t>Is IGF-IR Mediated Mammary Tumorigenesis Influenced by the Mammary Developmental Stage</t>
  </si>
  <si>
    <t>IGF-IR, Mammary, Tumorigenesis</t>
  </si>
  <si>
    <t>The role of MXRA8 in breast cancer growth and metastasis</t>
  </si>
  <si>
    <t>MXRA8, breast cancer, metastasis</t>
  </si>
  <si>
    <t>Understanding how the miR-200 family prevents tumor initiation and impairs tumor growth</t>
  </si>
  <si>
    <t>miR-200, tumor, growth</t>
  </si>
  <si>
    <t>miRNA function in breast cancer</t>
  </si>
  <si>
    <t>miRNA, breast cancer</t>
  </si>
  <si>
    <t>201309IC1</t>
  </si>
  <si>
    <t>Computational multimodal radiologic profiling as a prognostic biomarker for individualized prostate cancer therapy</t>
  </si>
  <si>
    <t>computational, radiologic, prostate cancer</t>
  </si>
  <si>
    <t>Moran, Michael F</t>
  </si>
  <si>
    <t>An ACO2-Iron Axis in Aggressive Lung Cancer</t>
  </si>
  <si>
    <t>ACO2, Iron, Lung Cancer</t>
  </si>
  <si>
    <t>Morgenstern, Daniel A</t>
  </si>
  <si>
    <t>OPTIMISE: Optimal precision therapies to customise care in childhood and adolescent cancer</t>
  </si>
  <si>
    <t>precision, therapies, cancer</t>
  </si>
  <si>
    <t>Morin, Ryan D</t>
  </si>
  <si>
    <t>All roads lead to Rome: Tracing the evolutionary paths to diffuse large B-cell lymphoma</t>
  </si>
  <si>
    <t>Cancer-Mechanisms of Carcinogenesis; Genetics-Genomics, Transcriptomics and Proteomics</t>
  </si>
  <si>
    <t>B-cell lymphoma, tracing, evolutionary</t>
  </si>
  <si>
    <t>Investigating the mutations driving non Hodgkin lymphomas and developing plasma-based assays for tumour detection and monitoring</t>
  </si>
  <si>
    <t>LEUKAEMIAS; CANCER THERAPY GENERAL; CANCER; GENOMICS, PROTEOMICS, AND BIOINFORMATICS</t>
  </si>
  <si>
    <t>mutations, lymphomas, assays</t>
  </si>
  <si>
    <t>Prioritization and functional characterization of regulatory mutations in non-Hodgkin lymphoma</t>
  </si>
  <si>
    <t>Cancer-Cancer Progression and Metastasis; Cancer-Mechanisms of Carcinogenesis; Genetics-Genomics, Transcriptomics and Proteomics</t>
  </si>
  <si>
    <t>regulatory mutations, non-Hodgkin lymphoma, functional characterization</t>
  </si>
  <si>
    <t>Moroy, Tarik</t>
  </si>
  <si>
    <t>Dose dependent role of Gfi1 in the initiation and maintenance of T-cell leukemia and lymphoma</t>
  </si>
  <si>
    <t>BLOOD; LEUKAEMIAS; MOLECULAR BIOLOGY; IMMUNOLOGY-TRANSPLANTATION</t>
  </si>
  <si>
    <t>Gfi1, T-cell leukemia, lymphoma</t>
  </si>
  <si>
    <t>Function of the BTB/POZ domain transcription factor Miz-1 in the activation of lymphoid cells and in lymphoid leukemia and lymphoma</t>
  </si>
  <si>
    <t>LEUKAEMIAS; BLOOD; CANCER; IMMUNOLOGY-TRANSPLANTATION</t>
  </si>
  <si>
    <t>BTB, transcription factor, lymphoid</t>
  </si>
  <si>
    <t>Role of Gfi1 as a modulator of the ATM/DNA-PK DNA damage response pathway</t>
  </si>
  <si>
    <t>Gfi1, ATM, DNA-PK</t>
  </si>
  <si>
    <t>The MYC/MIZ-1 complex in germinal center B cells and B cell lymphomagenesis</t>
  </si>
  <si>
    <t>Cancer-Mechanisms of Carcinogenesis; Immunology and Infection-Immunology and Autoimmune Diseases (including rheumatology); Molecular, Cellular and Systems Biology-Molecular Biology</t>
  </si>
  <si>
    <t>MYC, MIZ-1, B cells</t>
  </si>
  <si>
    <t>The role of the RNA helicase DDX3X in Burkitt Lymphoma and its potential as a new therapeutic target</t>
  </si>
  <si>
    <t>RNA helicase, DDX3X, Burkitt Lymphoma</t>
  </si>
  <si>
    <t>Therapeutic potential of the long non-coding RNA ELDR for the Acute Myeloid Leukemia subtype M5 with t(9;11) translocations</t>
  </si>
  <si>
    <t>long non-coding RNA, Acute Myeloid Leukemia, ELDR</t>
  </si>
  <si>
    <t>Real-time molecular-imaging guidance of breast conserving surgery</t>
  </si>
  <si>
    <t>molecular-imaging, breast, surgery</t>
  </si>
  <si>
    <t>A prospective trial of radiation omission in patients with clinically node negative breast cancer and pathologic complete response after neoadjuvant chemotherapy.</t>
  </si>
  <si>
    <t xml:space="preserve">10 yrs 0 mth </t>
  </si>
  <si>
    <t>radiation, breast cancer, chemotherapy</t>
  </si>
  <si>
    <t>Mui, Alice L</t>
  </si>
  <si>
    <t>Small molecule SHIP agonists for inhibiting the phosphoinositide 3-kinase pathway</t>
  </si>
  <si>
    <t>LEUKAEMIAS; DRUGS- PHARMACEUTICAL SCIENCE/CHEMISTRY &amp; NON MEDICAL USE OF DRUGS; CANCER; DRUG RESEARCH</t>
  </si>
  <si>
    <t>small molecule, SHIP, phosphoinositide 3-kinase</t>
  </si>
  <si>
    <t>The role of interleukin-10 responsiveness in lung inflammation in SARS CoV2 infection</t>
  </si>
  <si>
    <t>MULTIDISCIPLINARY; IMMUNOLOGY-TRANSPLANTATION; BIOCHEMISTRY</t>
  </si>
  <si>
    <t>interleukin-10, lung inflammation, SARS CoV2</t>
  </si>
  <si>
    <t>Muller, William J</t>
  </si>
  <si>
    <t>Chi3L1 (YKL-40) plays a multifaceted role in modulating tumor immune microenvironment during breast cancer progression.</t>
  </si>
  <si>
    <t>Chi3L1, immune microenvironment, breast cancer</t>
  </si>
  <si>
    <t>Identification of PI-3K coupled signalling pathways involved in mammary tumour progression: Implication for resistance to targeted therapy.</t>
  </si>
  <si>
    <t>PI-3K, signalling pathways, mammary tumor</t>
  </si>
  <si>
    <t>Identifying the molecular and environmental factors involved in promoting escape from breast cancer dormancy.</t>
  </si>
  <si>
    <t>breast cancer, dormancy, molecular factors</t>
  </si>
  <si>
    <t>Mulligan, Lois M</t>
  </si>
  <si>
    <t>Investigating the Regulation of RET Receptor-Mediated Perineural Invasion and Metastasis</t>
  </si>
  <si>
    <t>Cancer-Cancer Progression and Metastasis; Molecular, Cellular and Systems Biology-Molecular Biology; Neurosciences-Neurogenesis, Neurodifferentiation and Plasticity</t>
  </si>
  <si>
    <t>RET, receptor, metastasis</t>
  </si>
  <si>
    <t>Mechanisms regulating RET receptor-mediated tumourigenesis</t>
  </si>
  <si>
    <t>RET, receptor, tumourigenesis</t>
  </si>
  <si>
    <t>Murphy, Leigh C</t>
  </si>
  <si>
    <t>Beyond the estrogen receptor: Involvement of kinases in estrogen dependence and independence in human breast cancer</t>
  </si>
  <si>
    <t>BREAST CANCER; ENDOCRINOLOGY; CANCER</t>
  </si>
  <si>
    <t>estrogen receptor, kinases, breast cancer</t>
  </si>
  <si>
    <t>Mushahwar, Vivian</t>
  </si>
  <si>
    <t>Intraspinal Neural Prosthesis for Restoring Function after Spinal Cord Injury</t>
  </si>
  <si>
    <t>SPINAL CORD DISEASE; MUSCULO SKELETAL; NERVOUS SYSTEM; MUSCLE, BONE, OR JOINT</t>
  </si>
  <si>
    <t>neural prosthesis, spinal cord, injury</t>
  </si>
  <si>
    <t>Patterned electrical stimulation of the arms and legs to improve walking after spinal cord injury</t>
  </si>
  <si>
    <t>SPINAL CORD DISEASE; STROKE, HEART FAILURE; NERVOUS SYSTEM; MUSCLE, BONE, OR JOINT</t>
  </si>
  <si>
    <t>electrical stimulation, spinal cord injury, walking</t>
  </si>
  <si>
    <t>Prevention of Pressure Ulcer Formation using Intermittent Electrical Stimulation</t>
  </si>
  <si>
    <t xml:space="preserve">3 yrs 6 mths </t>
  </si>
  <si>
    <t>Pressure ulcer, electrical stimulation, prevention</t>
  </si>
  <si>
    <t>Mwale, Fackson</t>
  </si>
  <si>
    <t>Small molecule inhibitor of IL-1b signaling in degenerative disc disease</t>
  </si>
  <si>
    <t>small molecule, IL-1b, degenerative disc</t>
  </si>
  <si>
    <t>The efficacy of Link N as a mediator of repair in Intervertebral Disc Degeneration</t>
  </si>
  <si>
    <t>MUSCULO SKELETAL; MUSCLE, BONE, OR JOINT; HEALTH RESEARCH</t>
  </si>
  <si>
    <t>Link N, intervertebral disc, repair</t>
  </si>
  <si>
    <t>Nabi, Ivan R</t>
  </si>
  <si>
    <t>Evaluation of autocrine motility factor as a targeted delivery agent for cancer therapy</t>
  </si>
  <si>
    <t>autocrine motility factor, targeted delivery, cancer</t>
  </si>
  <si>
    <t>Membrane domain regulation of receptor signaling</t>
  </si>
  <si>
    <t>CANCER THERAPY GENERAL; THYROID; CANCER; CELL BIOLOGY</t>
  </si>
  <si>
    <t>Membrane, receptor, signaling</t>
  </si>
  <si>
    <t>Nadeau, Jay Louise</t>
  </si>
  <si>
    <t>Nanoparticle-aided radiation therapy with scintillating high Z materials</t>
  </si>
  <si>
    <t>CANCER THERAPY GENERAL; CANCER; BIOPHYSICS</t>
  </si>
  <si>
    <t>nanoparticle, radiation, scintillating</t>
  </si>
  <si>
    <t>Narod, Steven A</t>
  </si>
  <si>
    <t>An observational study of treatment and outcomes among BRCA1 carriers with breast cancer</t>
  </si>
  <si>
    <t>Cancer-Cancer Progression and Metastasis; Genetics-Clinical Genetics</t>
  </si>
  <si>
    <t>BRCA1, breast cancer, outcomes</t>
  </si>
  <si>
    <t>The effect of prophylactic salpingo-oophorectomy on markers of health in women who carry a BRCA mutation</t>
  </si>
  <si>
    <t>ENDOCRINOLOGY; NEOPLASMS; CANCER; GENETICS</t>
  </si>
  <si>
    <t>salpingo-oophorectomy, BRCA, markers</t>
  </si>
  <si>
    <t>Naus, Christian C</t>
  </si>
  <si>
    <t>Connexin regulation and glioma growth control</t>
  </si>
  <si>
    <t>BRAIN TUMORS (INCL. RETINAL TUMORS); NEOPLASMS; CANCER; CELL BIOLOGY</t>
  </si>
  <si>
    <t>Connexin, glioma, regulation</t>
  </si>
  <si>
    <t>Pannexins as a novel growth regulator in gliomas</t>
  </si>
  <si>
    <t>BRAIN TUMORS (INCL. RETINAL TUMORS); BRAIN TUMORS THERAPY; CANCER; CELL BIOLOGY</t>
  </si>
  <si>
    <t>Pannexins, gliomas, growth regulator</t>
  </si>
  <si>
    <t>Nazy, Ishac</t>
  </si>
  <si>
    <t>Long-term protective immunity against SARS-CoV-2 virus in COVID-19 patients</t>
  </si>
  <si>
    <t>VIRAL; INFECTIOUS AND PARASITIC; VIROLOGY; IMMUNOLOGY-TRANSPLANTATION</t>
  </si>
  <si>
    <t>immunity, SARS-CoV-2, COVID-19</t>
  </si>
  <si>
    <t>Development of dynamic 1H MRSI for the assessment of impaired brain glucose metabolism in patients with early Alzheimer's Disease</t>
  </si>
  <si>
    <t>Biomedical Engineering-Biomedical Imaging; Methods Development and Modelling-Quantitative Methods Development for Health Research; Neurosciences-Neurodegeneration</t>
  </si>
  <si>
    <t>1H MRSI, brain glucose, Alzheimer's</t>
  </si>
  <si>
    <t>NMR spectroscopy in brain organoids: identifying neurochemical and gene regulatory network signatures of the healthy and Alzheimer's Disease brain</t>
  </si>
  <si>
    <t>Aging-Aging Process and Biological Determinants of Aging; Biomedical Engineering-Biomedical Imaging; Neurosciences-Neurodegeneration</t>
  </si>
  <si>
    <t>NMR, brain organoids, neurochemical</t>
  </si>
  <si>
    <t>Neel, Benjamin G</t>
  </si>
  <si>
    <t>Cell of Origin and Tumor Initiating Cells in Serous Ovarian Cancer</t>
  </si>
  <si>
    <t>NEOPLASMS; CANCER; CELL BIOLOGY</t>
  </si>
  <si>
    <t>Cell, Tumor, Ovarian</t>
  </si>
  <si>
    <t>Identification and characterization of ovarian cancer initiating cells</t>
  </si>
  <si>
    <t>ovarian cancer, initiating cells, characterization</t>
  </si>
  <si>
    <t>Nelson, Brad H</t>
  </si>
  <si>
    <t>Deciphering the Hottest Immune Neighbourhoods in Ovarian Cancer to Advance Immunotherapy</t>
  </si>
  <si>
    <t>immune, ovarian, immunotherapy</t>
  </si>
  <si>
    <t>Mechanisms of B cell-mediated immunity in human cancer</t>
  </si>
  <si>
    <t>B cell, immunity, cancer</t>
  </si>
  <si>
    <t>Mechanisms of Protective Immunity in Ovarian Cancer</t>
  </si>
  <si>
    <t>Protective immunity, ovarian cancer</t>
  </si>
  <si>
    <t>Tumor-infiltrating T cells in ovarian cancer: functional impact on patient survival</t>
  </si>
  <si>
    <t>CANCER THERAPY GENERAL; INFECTIOUS AND PARASITIC; CANCER; IMMUNOLOGY-TRANSPLANTATION</t>
  </si>
  <si>
    <t>Tumor-infiltrating T cells, ovarian cancer, patient survival</t>
  </si>
  <si>
    <t>Nepveu, Alain</t>
  </si>
  <si>
    <t>Base Excision Repair in Cancer- New Mechanisms, Dependencies and Vulnerabilities</t>
  </si>
  <si>
    <t>Cancer-Cancer Drug Development and Therapeutics; Molecular, Cellular and Systems Biology-Structure and Function of Macromolecules</t>
  </si>
  <si>
    <t>Base Excision Repair, Cancer, Vulnerabilities</t>
  </si>
  <si>
    <t>Structure/Function Analysis of Cut Repeat Domains in Base Excision Repair</t>
  </si>
  <si>
    <t>NEOPLASMS; CANCER THERAPY GENERAL; MOLECULAR BIOLOGY; CELL BIOLOGY</t>
  </si>
  <si>
    <t>Base Excision Repair, Cut Repeat Domains, Structure-Function</t>
  </si>
  <si>
    <t>The Tumor Suppressor Function of CUX1</t>
  </si>
  <si>
    <t>Molecular, Cellular and Systems Biology-Molecular Biology; Cancer-Mechanisms of Carcinogenesis</t>
  </si>
  <si>
    <t>CUX1, tumor suppressor</t>
  </si>
  <si>
    <t>Transcription and Translesion Synthesis</t>
  </si>
  <si>
    <t>NEOPLASMS; NONE OF THE ABOVE; MOLECULAR BIOLOGY; CANCER</t>
  </si>
  <si>
    <t>Transcription, Translesion Synthesis</t>
  </si>
  <si>
    <t>Ng, Sylvia</t>
  </si>
  <si>
    <t>Antiangiogenesis-Induced Changes in the Tumour Microenvironment: A Window for Therapeutic Exploitation in Pancreatic Cancer</t>
  </si>
  <si>
    <t>GASTRO-INTESTINAL CANCER; GASTRO-INTESTINAL CANCER THERAPY; CANCER; DRUG RESEARCH</t>
  </si>
  <si>
    <t>Antiangiogenesis, Tumour Microenvironment, Pancreatic Cancer</t>
  </si>
  <si>
    <t>The role of IMP3 in pancreatic cancer progression and chemoresistance</t>
  </si>
  <si>
    <t>IMP3, pancreatic cancer, chemoresistance</t>
  </si>
  <si>
    <t>Nguyen, Minh Dang</t>
  </si>
  <si>
    <t>Surviving the break-up in DNA damage response with a novel partner: TPX2</t>
  </si>
  <si>
    <t>CANCER THERAPY GENERAL; LUNG CANCER; CANCER; MOLECULAR BIOLOGY</t>
  </si>
  <si>
    <t>DNA damage, TPX2, response</t>
  </si>
  <si>
    <t>Nichols, Anthony C</t>
  </si>
  <si>
    <t>Project Grant - Priority Announcement: Patient-Oriented Research</t>
  </si>
  <si>
    <t>202203PJK</t>
  </si>
  <si>
    <t>Defining the tumour immune microenvironment underlying chemoradiation resistance in human papillomavirus related head and neck cancer</t>
  </si>
  <si>
    <t>tumour, immune, chemoradiation</t>
  </si>
  <si>
    <t>Mechanisms of resistance and sensitivity to PI3K inhibition in head and neck cancer.</t>
  </si>
  <si>
    <t>CANCER THERAPY GENERAL; NEOPLASMS; CANCER; GENOMICS, PROTEOMICS, AND BIOINFORMATICS</t>
  </si>
  <si>
    <t>PI3K, resistance, cancer</t>
  </si>
  <si>
    <t>Project Grant - Priority Announcement: Dental and craniofacial research</t>
  </si>
  <si>
    <t>202003PJP</t>
  </si>
  <si>
    <t>Mechanisms of resistance to cisplatin and radiation in human papillomavirus (HPV) related head and neck cancer</t>
  </si>
  <si>
    <t>cisplatin, radiation, HPV</t>
  </si>
  <si>
    <t>Nicolaou, Savvakis</t>
  </si>
  <si>
    <t>Project Grant - PA: Pandemic Preparedness and Health Emergencies Research</t>
  </si>
  <si>
    <t>202209PPE</t>
  </si>
  <si>
    <t>Artificial intelligence assisted Method, Optimizing the Prediction of Patient Outcomes among Long COVID-19 Patients.</t>
  </si>
  <si>
    <t>Artificial Intelligence-Machine Learning; Health Services and Systems-Personalized Medicine; Indigenous Health-Indigenous Peoples' Health</t>
  </si>
  <si>
    <t>artificial intelligence, prediction, COVID-19</t>
  </si>
  <si>
    <t>Nielsen, Torsten O</t>
  </si>
  <si>
    <t>CSF1 pathway inhibitors in tenosynovial giant cell tumors and leiomyosarcoma</t>
  </si>
  <si>
    <t>MUSCULO SKELETAL; CANCER THERAPY GENERAL; CANCER; DRUG RESEARCH</t>
  </si>
  <si>
    <t>CSF1, pathway inhibitors, giant cell tumors</t>
  </si>
  <si>
    <t>Translating Epigenomics into Clinical Care for Synovial Sarcoma</t>
  </si>
  <si>
    <t>Cancer-Pediatric Cancer; Genetics-Molecular and Functional Genetics and Epigenetics; Cancer-Cancer Progression and Metastasis</t>
  </si>
  <si>
    <t>Epigenomics, Synovial Sarcoma, Clinical Care</t>
  </si>
  <si>
    <t>Nieman, Brian J</t>
  </si>
  <si>
    <t>Genetic determinants of radiation-induced brain toxicity in a juvenile mouse model</t>
  </si>
  <si>
    <t>Cancer-Pediatric Cancer; Neurosciences-Cognition, Communication and Behaviour (including sleep and memory); Youth Health-Prevention, Treatment and Support</t>
  </si>
  <si>
    <t>genetic, radiation, brain toxicity</t>
  </si>
  <si>
    <t>Limiting late effects following pediatric cranial radiation</t>
  </si>
  <si>
    <t>Cancer-Pediatric Cancer; Youth Health-Prevention, Treatment and Support; Neurosciences-Cognition, Communication and Behaviour (including sleep and memory)</t>
  </si>
  <si>
    <t>cranial radiation, late effects, pediatric</t>
  </si>
  <si>
    <t>Neuroanatomical late effects in pediatric brain irradiation</t>
  </si>
  <si>
    <t>BRAIN TUMORS THERAPY; MENTAL DISABILITY; CANCER; NERVOUS SYSTEM</t>
  </si>
  <si>
    <t>neuroanatomical, brain, irradiation</t>
  </si>
  <si>
    <t>Chromatin-binding deubiquitinase MYSM1 as a putative drug target for cMYC-driven B cell lymphoma</t>
  </si>
  <si>
    <t>Cancer-Mechanisms of Carcinogenesis; Genetics-Molecular and Functional Genetics and Epigenetics; Molecular, Cellular and Systems Biology-Structure and Function of Macromolecules; Cancer&gt; Cancer Drug Development and Therapeutics</t>
  </si>
  <si>
    <t>chromatin, deubiquitinase, lymphoma</t>
  </si>
  <si>
    <t>Notta, Faiyaz</t>
  </si>
  <si>
    <t>Impact of copy number imbalances in mutant KRAS on pancreatic cancer chemoresistance and metastases</t>
  </si>
  <si>
    <t>KRAS, chemoresistance, pancreatic cancer</t>
  </si>
  <si>
    <t>O'Brien, Catherine A</t>
  </si>
  <si>
    <t>Inhibition of CBP/p300 bromodomain activity increases chemosensitivity of p53 mutant colorectal cancers through inhibiting p53 aggregation</t>
  </si>
  <si>
    <t>CBP, p300, bromodomain</t>
  </si>
  <si>
    <t>Molecular drivers of the drug tolerant persister state in patient-derived colorectal cancer models</t>
  </si>
  <si>
    <t>molecular drivers, drug tolerant, colorectal cancer</t>
  </si>
  <si>
    <t>Targeting colorectal cancer-initiating cells and anti-EGFR therapeutic resistance by manipulating levels of the reactive aldehyde, 4-hydroxynonenal</t>
  </si>
  <si>
    <t>GASTRO-INTESTINAL CANCER; GASTRO-INTESTINAL CANCER THERAPY; CANCER; MOLECULAR BIOLOGY</t>
  </si>
  <si>
    <t>colorectal cancer, EGFR, aldehyde</t>
  </si>
  <si>
    <t>O'Reilly, Meaghan</t>
  </si>
  <si>
    <t>Establishing the chronic safety profile of focused ultrasound-mediated blood-spinal cord barrier opening in a large animal model</t>
  </si>
  <si>
    <t>focused ultrasound, blood-spinal cord barrier, safety</t>
  </si>
  <si>
    <t>Establishing the chronic safety profile of focused ultrasound-mediated blood-spinal cord barrier opening in a large animal model.</t>
  </si>
  <si>
    <t>Ultrasound-Mediated Drug Delivery to the Spinal Cord</t>
  </si>
  <si>
    <t>Ultrasound, Drug Delivery, Spinal Cord</t>
  </si>
  <si>
    <t>Ohh, Michael</t>
  </si>
  <si>
    <t>Molecular characterization of EpoR regulation in cancer progression</t>
  </si>
  <si>
    <t>NEOPLASMS; BLOOD; CANCER; MOLECULAR BIOLOGY</t>
  </si>
  <si>
    <t>EpoR, cancer, regulation</t>
  </si>
  <si>
    <t>Molecular characterization of JMML</t>
  </si>
  <si>
    <t>Molecular, characterization, JMML</t>
  </si>
  <si>
    <t>Okada, Hitoshi</t>
  </si>
  <si>
    <t>Roles of Histone Demethylases in Estrogen Receptor Signaling Network</t>
  </si>
  <si>
    <t>BREAST CANCER; ENDOCRINOLOGY; CANCER; MOLECULAR BIOLOGY</t>
  </si>
  <si>
    <t>Histone Demethylases, Estrogen Receptor, Signaling</t>
  </si>
  <si>
    <t>Olson, Michael F</t>
  </si>
  <si>
    <t>The role of ROCK1 cleavage during apoptosis in liver homeostasis and cancer</t>
  </si>
  <si>
    <t>Cancer-Cancer Drug Development and Therapeutics; Molecular, Cellular and Systems Biology-Cell Biology and Physiology; Molecular, Cellular and Systems Biology-Cell Signaling</t>
  </si>
  <si>
    <t>ROCK1, apoptosis, liver</t>
  </si>
  <si>
    <t>Orouji, Elias</t>
  </si>
  <si>
    <t>Epigenetic Drivers in Metastatic Melanoma and Chromatin Loop-Specific Targeting Strategies</t>
  </si>
  <si>
    <t>Genetics-Molecular and Functional Genetics and Epigenetics; Genetics-Genomics, Transcriptomics and Proteomics; Cancer-Cancer Progression and Metastasis</t>
  </si>
  <si>
    <t>Epigenetic, Melanoma, Chromatin</t>
  </si>
  <si>
    <t>Mapping epigenomic makeup in colorectal cancer patient models to identify novel therapeutic options</t>
  </si>
  <si>
    <t>Genetics-Molecular and Functional Genetics and Epigenetics; Genetics-Genomics, Transcriptomics and Proteomics; Cancer-Cancer Drug Development and Therapeutics</t>
  </si>
  <si>
    <t>epigenomic, colorectal cancer, patient models</t>
  </si>
  <si>
    <t>Ostrowski, Mario A</t>
  </si>
  <si>
    <t>Discovery of new B cell immunogens for HIV vaccines</t>
  </si>
  <si>
    <t>B cell, immunogens, HIV</t>
  </si>
  <si>
    <t>Enhancing the Recognition and Killing of HIV Reservoirs</t>
  </si>
  <si>
    <t>HIV, Reservoirs, Recognition</t>
  </si>
  <si>
    <t>Overall, Christopher M</t>
  </si>
  <si>
    <t>Proteolytic Signatures in Breast Cancer</t>
  </si>
  <si>
    <t>BREAST CANCER; LUNG CANCER; CANCER; IMMUNOLOGY-TRANSPLANTATION</t>
  </si>
  <si>
    <t>Proteolytic, Signatures, Breast Cancer</t>
  </si>
  <si>
    <t>Oxland, Thomas R</t>
  </si>
  <si>
    <t>Biomechanical factors in spinal cord injury - relevance to the timing of decompression</t>
  </si>
  <si>
    <t>SPINAL CORD DISEASE; INJURY, REGENERATION; NERVOUS SYSTEM; MUSCLE, BONE, OR JOINT</t>
  </si>
  <si>
    <t>biomechanical, spinal cord injury, decompression</t>
  </si>
  <si>
    <t>Subject-Specific Biomechanical Modelling in Adult Spinal Deformity Patients: A Surgical Planning and Failure Prediction Toolkit</t>
  </si>
  <si>
    <t>Biomedical Engineering-Biomaterials, Nanotechnology and Biomechanics; Musculoskeletal Health-Skeletal Muscle Biology and Physiology; Aging-Geriatric Medicine and Health Sciences</t>
  </si>
  <si>
    <t>Biomechanical, Spinal Deformity, Surgical Planning</t>
  </si>
  <si>
    <t>Pai, Emil F</t>
  </si>
  <si>
    <t>How viral membrane components influence epitope recognition by the broadly neutralizing anti-HIV-1 antibody 2F5: potential translation into vaccine design</t>
  </si>
  <si>
    <t>AIDS; VIRAL; BIOCHEMISTRY; VIROLOGY</t>
  </si>
  <si>
    <t>viral membrane, epitope recognition, HIV-1</t>
  </si>
  <si>
    <t>Pai, Shraddha</t>
  </si>
  <si>
    <t>Developmental epigenetic origins of Group 3 and 4 medulloblastoma</t>
  </si>
  <si>
    <t>Cancer-Pediatric Cancer; Cancer-Mechanisms of Carcinogenesis; Genetics-Molecular and Functional Genetics and Epigenetics</t>
  </si>
  <si>
    <t>epigenetic, medulloblastoma, developmental</t>
  </si>
  <si>
    <t>Pantophlet, Ralph A</t>
  </si>
  <si>
    <t>Immunogen design to elicit broadly neutralizing antibodies to influenza</t>
  </si>
  <si>
    <t>INFECTIOUS AND PARASITIC; VIRAL; VIROLOGY; MOLECULAR BIOLOGY</t>
  </si>
  <si>
    <t>Immunogen, neutralizing antibodies, influenza</t>
  </si>
  <si>
    <t>Probing MBL function in oligomannose-specific anti-HIV antibody responses</t>
  </si>
  <si>
    <t>AIDS; VIRAL; HEALTH RESEARCH; VIROLOGY</t>
  </si>
  <si>
    <t>MBL, oligomannose, HIV</t>
  </si>
  <si>
    <t>Pardee, Keith I</t>
  </si>
  <si>
    <t>Improving Access to Diagnostics: The Development of Deployable, Low-Burden Hand-Held Testing for Infectious Disease and Health Biomarkers.</t>
  </si>
  <si>
    <t>Biomedical Engineering-Biophysics, Medical Technologies and Instrumentation; Molecular, Cellular and Systems Biology-Molecular Biology</t>
  </si>
  <si>
    <t>Diagnostics, Hand-Held Testing, Infectious Disease</t>
  </si>
  <si>
    <t>201810PJT</t>
  </si>
  <si>
    <t>The small GTPase Rab4 as a target for breast cancer metastasis</t>
  </si>
  <si>
    <t>Rab4, GTPase, breast cancer</t>
  </si>
  <si>
    <t>Parent, Stefan</t>
  </si>
  <si>
    <t>Predicting the Progression and Brace Treatment Response in Spinal Deformities with Temporal-based Machine Learning Approaches</t>
  </si>
  <si>
    <t>Spinal Deformities, Machine Learning, Progression</t>
  </si>
  <si>
    <t>Development of a novel therapy for treatment of Spinal Muscular Atrophy</t>
  </si>
  <si>
    <t>MUSCULO SKELETAL; MUSCULAR DYSTROPHY; MUSCLE, BONE, OR JOINT; NERVOUS SYSTEM</t>
  </si>
  <si>
    <t>Spinal Muscular Atrophy, therapy</t>
  </si>
  <si>
    <t>Parraga, Grace</t>
  </si>
  <si>
    <t>Hyperpolarized Helium-3 Magnetic Resonance Imaging Phenotypes of Chronic Obstructive Pulmonary Disease</t>
  </si>
  <si>
    <t>CHRONIC OBSTRUCTIVE LUNG DISEASE; EMPHYSEMA; IMAGING; RESPIRATION</t>
  </si>
  <si>
    <t>Hyperpolarized, Helium-3, MRI</t>
  </si>
  <si>
    <t>A Phase II Single Arm Trial of Elective Volume Adjusted De-Escalation Radiotherapy (EVADER) in Patients with Low-Risk HPV-Related Oropharyngeal Squamous Cell Carcinoma</t>
  </si>
  <si>
    <t>Radiotherapy, HPV, Oropharyngeal carcinoma</t>
  </si>
  <si>
    <t>Paterson, Ian</t>
  </si>
  <si>
    <t>MOIST study: Multi-Organ Imaging with Serial Testing in COVID-19 infected patients</t>
  </si>
  <si>
    <t>VIRAL; CARDIOLOGY; CARDIOVASCULAR; RESPIRATION</t>
  </si>
  <si>
    <t>Multi-Organ, Imaging, COVID-19</t>
  </si>
  <si>
    <t>Pause, Arnim P</t>
  </si>
  <si>
    <t>Characterization of human TFE3 isoforms as drivers in breast cancer</t>
  </si>
  <si>
    <t>TFE3, isoforms, breast cancer</t>
  </si>
  <si>
    <t>Pearson, Joel</t>
  </si>
  <si>
    <t>Identifying strategies to therapeutically target the unique epigenetic landscape of small cell lung cancer</t>
  </si>
  <si>
    <t>epigenetic, small cell lung cancer, targeting</t>
  </si>
  <si>
    <t>Pelletier, Jerry M</t>
  </si>
  <si>
    <t>Modelling Translation Inhibition as Cancer Therapy</t>
  </si>
  <si>
    <t>NEOPLASMS; LEUKAEMIAS; CANCER; GENETICS</t>
  </si>
  <si>
    <t>Translation, Inhibition, Cancer</t>
  </si>
  <si>
    <t>Targeting the Oncogenic Translation Program</t>
  </si>
  <si>
    <t>Cancer-Cancer Drug Development and Therapeutics; Molecular, Cellular and Systems Biology-Molecular Biology; Pharmacological, Toxicological and Pharmaceutical Sciences-Drug Discovery, Design and Delivery</t>
  </si>
  <si>
    <t>Oncogenic, Translation, Program</t>
  </si>
  <si>
    <t>Penn, Linda Z</t>
  </si>
  <si>
    <t>Regulating MYC Oncoprotein Stability as an Anti-Cancer Strategy</t>
  </si>
  <si>
    <t>Cancer-Cancer Drug Development and Therapeutics; Cancer-Mechanisms of Carcinogenesis; Molecular, Cellular and Systems Biology-Molecular Biology</t>
  </si>
  <si>
    <t>MYC, Oncoprotein, Stability</t>
  </si>
  <si>
    <t>Targeting the Metabolic Mevalonate Pathway as an Actionable Prostate Cancer Vulnerability</t>
  </si>
  <si>
    <t>Metabolic, Mevalonate, Prostate Cancer</t>
  </si>
  <si>
    <t>Targeting the Mevalonate Pathway and its Restorative Feedback Loop</t>
  </si>
  <si>
    <t>PROSTATE AND BLADDER CANCER THERAPY; CANCER THERAPY GENERAL; CANCER; MOLECULAR BIOLOGY</t>
  </si>
  <si>
    <t>Mevalonate pathway, feedback loop</t>
  </si>
  <si>
    <t>Penninger, Josef</t>
  </si>
  <si>
    <t>Mechanistic studies on ACE2 as a rational therapy for COVID-19</t>
  </si>
  <si>
    <t>RESPIRATION; VIRAL; DRUG RESEARCH</t>
  </si>
  <si>
    <t>ACE2, COVID-19, therapy</t>
  </si>
  <si>
    <t>Perreault, Sebastien</t>
  </si>
  <si>
    <t>A Phase 2 study of Trametinib for patients with pediatric glioma or plexiform neurofibroma with refractory tumor and activation of the MAPK/ERK pathwa</t>
  </si>
  <si>
    <t>Cancer-Cancer Drug Development and Therapeutics; Cancer-Clinical Oncology; Cancer-Pediatric Cancer</t>
  </si>
  <si>
    <t>Trametinib, glioma, MAPK/ERK</t>
  </si>
  <si>
    <t>A phase 2 study of mirdametinib and vinblastine for newly diagnosed or previously untreated patients with pediatric low-grade glioma and activation of the MAPK pathway</t>
  </si>
  <si>
    <t>Cancer-Clinical Oncology; Cancer-Pediatric Cancer; Cancer-Cancer Drug Development and Therapeutics</t>
  </si>
  <si>
    <t>mirdametinib, vinblastine, glioma</t>
  </si>
  <si>
    <t>Perrin, David M</t>
  </si>
  <si>
    <t>Alpha-amanitin: synthetic derivatives for applications in targeted therapy</t>
  </si>
  <si>
    <t>Pharmacological, Toxicological and Pharmaceutical Sciences-Drug Action, Toxicology and Metabolism; Pharmacological, Toxicological and Pharmaceutical Sciences-Drug Discovery, Design and Delivery; Cancer-Cancer Drug Development and Therapeutics; Medicinal Chemistry</t>
  </si>
  <si>
    <t>alpha-amanitin, synthetic derivatives, targeted therapy</t>
  </si>
  <si>
    <t>Chemical Biology of Amanitin-Induced Transcriptional Inhibiton</t>
  </si>
  <si>
    <t>CANCER THERAPY GENERAL; MULTIDISCIPLINARY; BIOCHEMISTRY; GENOMICS, PROTEOMICS, AND BIOINFORMATICS</t>
  </si>
  <si>
    <t>Amanitin, Transcription, Inhibition</t>
  </si>
  <si>
    <t>Peptide macrocycle decoys against COVID-19 viral spike protein</t>
  </si>
  <si>
    <t>MULTIDISCIPLINARY; INFECTIOUS AND PARASITIC; BIOCHEMISTRY; MOLECULAR BIOLOGY</t>
  </si>
  <si>
    <t>peptide, macrocycle, spike protein</t>
  </si>
  <si>
    <t>Peters, Terence M</t>
  </si>
  <si>
    <t>Image-guided Mitral Valve Repair</t>
  </si>
  <si>
    <t>CARDIOLOGY; IMAGING</t>
  </si>
  <si>
    <t>Image-guided, Mitral Valve, Repair</t>
  </si>
  <si>
    <t>Quantitative Imaging for Epilepsy Surgery</t>
  </si>
  <si>
    <t>Imaging, Epilepsy, Surgery</t>
  </si>
  <si>
    <t>Petrik, Jim J</t>
  </si>
  <si>
    <t>201009OVA</t>
  </si>
  <si>
    <t>Thrombospondin-1 as a potent anti-tumor and anti-angiogenic factor in ovarian cancer</t>
  </si>
  <si>
    <t>Ovarian Cancer Canada (Toronto)</t>
  </si>
  <si>
    <t>Thrombospondin-1, anti-angiogenic, ovarian cancer</t>
  </si>
  <si>
    <t>Vascular normalization improves immunotherapy in advanced stage ovarian cancer.</t>
  </si>
  <si>
    <t>Vascular normalization, immunotherapy, ovarian cancer</t>
  </si>
  <si>
    <t>Philip, Anie</t>
  </si>
  <si>
    <t>Role of CD109 in regulating cellular signaling and responses in skin and oral squamous cell carcinoma cells</t>
  </si>
  <si>
    <t>Musculoskeletal Health-Bone, Skin and Cartilage Sciences; Musculoskeletal Health-Oral Health</t>
  </si>
  <si>
    <t>CD109, cellular signaling, squamous cell carcinoma</t>
  </si>
  <si>
    <t>Piche, Alain</t>
  </si>
  <si>
    <t>Understanding the contribution of ovarian cancer ascites to drug and death receptor resistance</t>
  </si>
  <si>
    <t>NEOPLASMS; CANCER THERAPY GENERAL; CANCER; CELL BIOLOGY</t>
  </si>
  <si>
    <t>ovarian cancer, ascites, resistance</t>
  </si>
  <si>
    <t>Pignol, Jean-Philippe</t>
  </si>
  <si>
    <t>Long term outcomes of a multicentre controlled clinical trial of breast irradiation using Intensity-Modulated Radiation Therapy</t>
  </si>
  <si>
    <t>breast irradiation, intensity-modulated radiation therapy, clinical trial</t>
  </si>
  <si>
    <t>Pike, G. Bruce</t>
  </si>
  <si>
    <t>Functional MRI of Brain Physiology</t>
  </si>
  <si>
    <t>STROKE, HEART FAILURE; MULTIPLE DISEASE RELEVANCE; IMAGING; NERVOUS SYSTEM</t>
  </si>
  <si>
    <t>Functional MRI, Brain Physiology</t>
  </si>
  <si>
    <t>Quantitative magnetic resonance imaging of multiple sclerosis</t>
  </si>
  <si>
    <t>magnetic resonance imaging, multiple sclerosis</t>
  </si>
  <si>
    <t>Pin, Christopher L</t>
  </si>
  <si>
    <t>Defining the role for ATF3 in recurrent pancreatic injury and PDAC</t>
  </si>
  <si>
    <t>Cancer-Mechanisms of Carcinogenesis; Digestive, Endocrine and Excretory Systems-Gastroenterology and Hepatology</t>
  </si>
  <si>
    <t>ATF3, pancreatic injury, PDAC</t>
  </si>
  <si>
    <t>Tumour cell reprogramming in pancreatic ductal adenocarcinoma as a means for therapeutic resistance</t>
  </si>
  <si>
    <t>Cancer-Cancer Drug Development and Therapeutics; Molecular, Cellular and Systems Biology-Molecular Biology; Methods Development and Modelling-Computational Biology</t>
  </si>
  <si>
    <t>tumour cell reprogramming, pancreatic ductal adenocarcinoma, therapeutic resistance</t>
  </si>
  <si>
    <t>Pineau, Joelle</t>
  </si>
  <si>
    <t>Adaptive stimulation strategies for the treatment of epileptic syndromes in vivo</t>
  </si>
  <si>
    <t>EPILEPSY; NERVOUS SYSTEM</t>
  </si>
  <si>
    <t>adaptive, stimulation, epileptic</t>
  </si>
  <si>
    <t>Pinthus, Jehonathan H</t>
  </si>
  <si>
    <t>Adiponectin Signaling in Cancer</t>
  </si>
  <si>
    <t>PROSTATE AND BLADDER CANCER; OBESITY; CANCER; ENDOCRINOLOGY</t>
  </si>
  <si>
    <t>Adiponectin, Signaling, Cancer</t>
  </si>
  <si>
    <t>Podolsky, Dale J</t>
  </si>
  <si>
    <t>Development of a minimally invasive bone cutting tool for craniosynostosis surgery</t>
  </si>
  <si>
    <t>bone, cutting, craniosynostosis</t>
  </si>
  <si>
    <t>Development of miniaturized robotic tools for cleft palate repair</t>
  </si>
  <si>
    <t>robotic tools, cleft palate</t>
  </si>
  <si>
    <t>Podsypanina, Katrina</t>
  </si>
  <si>
    <t>201209COP</t>
  </si>
  <si>
    <t>Biomarker discovery for human breast cancer relapse in a mouse model of artificial late recurrence.</t>
  </si>
  <si>
    <t>BREAST CANCER; MULTIPLE DISEASE RELEVANCE; CANCER; MOLECULAR BIOLOGY</t>
  </si>
  <si>
    <t>biomarker, breast cancer, relapse</t>
  </si>
  <si>
    <t>Poh, Catherine</t>
  </si>
  <si>
    <t>Project Grant - PA: MSK/Skin/Oral Health: Clinical Research - Oral Health</t>
  </si>
  <si>
    <t>201903PJ7</t>
  </si>
  <si>
    <t>Genomic, Epigenomic, and Phenotypic Characterization of Oral Premalignant Fields for the Development of Actionable Prevention Strategies</t>
  </si>
  <si>
    <t>Genomic, Epigenomic, Phenotypic</t>
  </si>
  <si>
    <t>Porter, Lisa A</t>
  </si>
  <si>
    <t>University of Windsor (Ontario)</t>
  </si>
  <si>
    <t>Novel Cell Cycle Regulation in the Initiation and Therapeutic Intervention of Breast Cancer</t>
  </si>
  <si>
    <t>Cell cycle, breast cancer, regulation</t>
  </si>
  <si>
    <t>Targeting Cell Cycle Checkpoints in Glioma</t>
  </si>
  <si>
    <t>Cancer-Mechanisms of Carcinogenesis; Genetics-Molecular and Functional Genetics and Epigenetics; Neurosciences-Neurogenesis, Neurodifferentiation and Plasticity</t>
  </si>
  <si>
    <t>Cell cycle, Checkpoints, Glioma</t>
  </si>
  <si>
    <t>Post, Martin</t>
  </si>
  <si>
    <t>Lung cancer therapy using genetically modified macrophages</t>
  </si>
  <si>
    <t>Cardiovascular, Respiratory and Circulatory Systems-Respiratory System Pathologies and Clinical Interventions; Cancer-Cancer Drug Development and Therapeutics</t>
  </si>
  <si>
    <t>lung cancer, macrophages, genetically modified</t>
  </si>
  <si>
    <t>Postovit, Lynne-Marie</t>
  </si>
  <si>
    <t>Role Of The Embryonic Morphpogen Nodal In The Regulation Of Breast Cancer Invasion</t>
  </si>
  <si>
    <t>BREAST CANCER; NEOPLASMS; CANCER; CELL BIOLOGY</t>
  </si>
  <si>
    <t>embryonic, Nodal, breast cancer</t>
  </si>
  <si>
    <t>Price, Morgan Thomas M</t>
  </si>
  <si>
    <t>Focus:  Engaging patients with chronic pain to use their character strengths to improve quality of life through a tailored mHealth intervention.</t>
  </si>
  <si>
    <t>NONE OF THE ABOVE; PSYCHOSOCIAL/HEALTH BEHAVIOURAL RES.; MUSCLE, BONE, OR JOINT</t>
  </si>
  <si>
    <t>chronic pain, mHealth, patient engagement</t>
  </si>
  <si>
    <t>Provost, Jean</t>
  </si>
  <si>
    <t>Dynamic Myocardial Ultrasound Localization Microscopy</t>
  </si>
  <si>
    <t>Myocardial, Ultrasound, Localization</t>
  </si>
  <si>
    <t>Dynamic Ultrasound Localization Pulsatility Imaging</t>
  </si>
  <si>
    <t>Biomedical Engineering-Biomedical Imaging; Cardiovascular, Respiratory and Circulatory Systems-Cerebrovascular Sciences (including stroke); Cardiovascular, Respiratory and Circulatory Systems-Clinical and Translational Cardiovascular Sciences</t>
  </si>
  <si>
    <t>Ultrasound, Localization, Pulsatility</t>
  </si>
  <si>
    <t>Early detection of cancer in high-risk patients through profiling of circulating tumour DNA</t>
  </si>
  <si>
    <t>cancer, circulating tumour DNA, detection</t>
  </si>
  <si>
    <t>Molecular evolution of myeloma from precursor through to relapsed disease</t>
  </si>
  <si>
    <t>Cancer-Cancer Progression and Metastasis; Genetics-Genomics, Transcriptomics and Proteomics</t>
  </si>
  <si>
    <t>molecular evolution, myeloma, relapse</t>
  </si>
  <si>
    <t>Understanding inevitable relapse of multiple myeloma following highly-effective anti-BCMA treatment</t>
  </si>
  <si>
    <t>multiple myeloma, anti-BCMA, relapse</t>
  </si>
  <si>
    <t>Clinical Deployment of an End-to-End Artificial Intelligence (AI)-only Radiotherapy Treatment Planning and Decision Support Workflow</t>
  </si>
  <si>
    <t>Artificial Intelligence-Machine Learning; Cancer-Clinical Oncology</t>
  </si>
  <si>
    <t>Artificial Intelligence, Radiotherapy, Planning</t>
  </si>
  <si>
    <t>REinfection in COVid-19 Estimation of Risk (RECOVER)</t>
  </si>
  <si>
    <t>EPIDEMIOLOGY; VIRAL; POPULATION HEALTH</t>
  </si>
  <si>
    <t>COVID-19, Reinfection, Risk</t>
  </si>
  <si>
    <t>Quail, Daniela</t>
  </si>
  <si>
    <t>Impact of obesity-associated inflammation on breast cancer progression</t>
  </si>
  <si>
    <t>obesity, inflammation, breast cancer</t>
  </si>
  <si>
    <t>Targeting obesity-associated monocytosis in colorectal cancer liver metastasis</t>
  </si>
  <si>
    <t>Cancer-Cancer Progression and Metastasis; Tumor immune microenvironment</t>
  </si>
  <si>
    <t>obesity, monocytosis, colorectal cancer</t>
  </si>
  <si>
    <t>Quenneville, Cheryl</t>
  </si>
  <si>
    <t>Investigation of the factors contributing to fracture risk in clinical populations using novel image processing techniques of standard DXA images from longitudinal datasets.</t>
  </si>
  <si>
    <t>Biomedical Engineering-Biomedical Imaging; Musculoskeletal Health-Bone, Skin and Cartilage Sciences; Aging-Aging Process and Biological Determinants of Aging</t>
  </si>
  <si>
    <t>fracture risk, image processing, DXA</t>
  </si>
  <si>
    <t>Radisic, Milica</t>
  </si>
  <si>
    <t>Engineering Microenvironments for Cardiac Regeneration</t>
  </si>
  <si>
    <t>CARDIOLOGY; MULTIDISCIPLINARY; CARDIOVASCULAR; DRUG RESEARCH</t>
  </si>
  <si>
    <t>Microenvironments, Cardiac, Regeneration</t>
  </si>
  <si>
    <t>Injectable functional tissues: a perfect marriage of tissue engineering and minimally invasive delivery</t>
  </si>
  <si>
    <t>MYOCARDIAL INFARCTION; MULTIDISCIPLINARY; CARDIOVASCULAR; CELL BIOLOGY</t>
  </si>
  <si>
    <t>injectable, tissue engineering, minimally invasive</t>
  </si>
  <si>
    <t>Rafei, Moutih</t>
  </si>
  <si>
    <t>Immunoproteasome-expressing mesenchymal stromal cells: a new tool for cancer vaccination</t>
  </si>
  <si>
    <t>immunoproteasome, mesenchymal stromal cells, cancer vaccination</t>
  </si>
  <si>
    <t>Tuning-up thymopoiesis by targeting interleukin-21 to the bone marrow</t>
  </si>
  <si>
    <t>thymopoiesis, interleukin-21, bone marrow</t>
  </si>
  <si>
    <t>Rahim, Mir Munir Ahmed</t>
  </si>
  <si>
    <t>Regulation of natural killer cell-mediated immune response in breast cancer</t>
  </si>
  <si>
    <t>natural killer, immune response, breast cancer</t>
  </si>
  <si>
    <t>Rahmim, Arman</t>
  </si>
  <si>
    <t>Improved Assessment of Disease in Lymphoma Patients using Quantitative PET Imaging</t>
  </si>
  <si>
    <t>Biomedical Engineering-Biomedical Imaging; Cancer-Cancer Progression and Metastasis; Artificial Intelligence-Machine Learning</t>
  </si>
  <si>
    <t>Lymphoma, PET imaging, Quantitative</t>
  </si>
  <si>
    <t>Quantitative PSMA Targeted Imaging of Prostate Cancer Patients</t>
  </si>
  <si>
    <t>Biomedical Engineering-Biomedical Imaging; Cancer-Cancer Progression and Metastasis</t>
  </si>
  <si>
    <t>PSMA, Imaging, Prostate Cancer</t>
  </si>
  <si>
    <t>Rak, Janusz</t>
  </si>
  <si>
    <t>Coagulation system effectors as regulators of tumour dormancy and therapeutic targets</t>
  </si>
  <si>
    <t>NEOPLASMS; BRAIN TUMORS THERAPY; CANCER; BLOOD</t>
  </si>
  <si>
    <t>coagulation, tumour, dormancy</t>
  </si>
  <si>
    <t>Oncogene-containing microvesicles as mediators and messengers of tumour progression</t>
  </si>
  <si>
    <t>NEOPLASMS; BRAIN TUMORS THERAPY; CANCER; CELL BIOLOGY</t>
  </si>
  <si>
    <t>oncogene, microvesicles, tumour</t>
  </si>
  <si>
    <t>Targeting exosomal mediators of vascular pathology in glioblastoma</t>
  </si>
  <si>
    <t>exosomal, vascular, glioblastoma</t>
  </si>
  <si>
    <t>Tissue factor in tumour progression and angiogenesis</t>
  </si>
  <si>
    <t>CANCER THERAPY GENERAL; BRAIN TUMORS THERAPY; CANCER; CELL BIOLOGY</t>
  </si>
  <si>
    <t>Tissue factor, tumour progression, angiogenesis</t>
  </si>
  <si>
    <t>Rakovitch, Eileen</t>
  </si>
  <si>
    <t>DCIS-Precise: A Genomics-Driven Model for Predicting DCIS Response to Radiation</t>
  </si>
  <si>
    <t>DCIS, Genomics, Radiation</t>
  </si>
  <si>
    <t>Prospective Evaluation of Breast-Conserving Surgery Alone in Low Risk Ductal Carcinoma in Situ Defined by a Molecular Expression Assay Combined with Clinico-Pathological Features</t>
  </si>
  <si>
    <t>Breast-Conserving Surgery, Ductal Carcinoma, Molecular Expression</t>
  </si>
  <si>
    <t>Validation of a novel biomarker classifier that predicts radiation response following breast-conserving surgery for ductal carcinoma in situ (DCIS)</t>
  </si>
  <si>
    <t>biomarker, classifier, radiation</t>
  </si>
  <si>
    <t>Ramaswamy, Vijay</t>
  </si>
  <si>
    <t>Exploiting therapeutic vulnerabilities to identify new treatments for high-risk SHH medulloblastoma</t>
  </si>
  <si>
    <t>therapeutic vulnerabilities, SHH medulloblastoma</t>
  </si>
  <si>
    <t>Molecular and Functional Characterization of Childhood Ependymoma</t>
  </si>
  <si>
    <t>Cancer-Pediatric Cancer; Cancer-Cancer Drug Development and Therapeutics; Cancer-Cancer Progression and Metastasis</t>
  </si>
  <si>
    <t>Molecular, Functional, Ependymoma</t>
  </si>
  <si>
    <t>Ramotar, Dindial</t>
  </si>
  <si>
    <t>The role of human glyceraldehyde-3-phosphate dehydrogenase in maintaining the redox state of the DNA repair enzyme APE1</t>
  </si>
  <si>
    <t>CANCER THERAPY GENERAL; CARCINOGENS (INCL ENVIRONMENTAL); CELL BIOLOGY; BIOCHEMISTRY</t>
  </si>
  <si>
    <t>glyceraldehyde-3-phosphate dehydrogenase, DNA repair, APE1</t>
  </si>
  <si>
    <t>The role of human glyceraldehyde-3-phosphate dehydrogenase in reactivating oxidized forms of the DNA repair enzyme APE1</t>
  </si>
  <si>
    <t>CANCER THERAPY GENERAL; CARCINOGENS (INCL ENVIRONMENTAL); CANCER; DRUG RESEARCH</t>
  </si>
  <si>
    <t>Alberta Health Services</t>
  </si>
  <si>
    <t>Investigation of Pulsed Radiation Effects on RF Coils for Integrated MRI-Linac Project</t>
  </si>
  <si>
    <t>CANCER THERAPY GENERAL; LUNG CANCER THERAPY; CANCER; IMAGING</t>
  </si>
  <si>
    <t>Pulsed Radiation, RF Coils, MRI-Linac</t>
  </si>
  <si>
    <t>Rauscher, Alexander</t>
  </si>
  <si>
    <t>Imaging markers for tissue damage and disease progression in MS</t>
  </si>
  <si>
    <t>Biomedical Engineering-Biomedical Imaging; Neurosciences-Neurological disorders; Immunology and Infection-Immunology and Autoimmune Diseases (including rheumatology)</t>
  </si>
  <si>
    <t>imaging, markers, tissue damage</t>
  </si>
  <si>
    <t>Quantitative Susceptibility Mapping from Clinical Phase Data</t>
  </si>
  <si>
    <t>Artificial Intelligence-Machine Learning; Biomedical Engineering-Biomedical Imaging; Methods Development and Modelling-Quantitative Methods Development for Health Research</t>
  </si>
  <si>
    <t>Susceptibility, Mapping, Clinical</t>
  </si>
  <si>
    <t>4D spheroids identify type I protein arginine methyltransferases as a target in NSCLC</t>
  </si>
  <si>
    <t>Cancer-Cancer Drug Development and Therapeutics; Pharmacological, Toxicological and Pharmaceutical Sciences-Drug Action, Toxicology and Metabolism</t>
  </si>
  <si>
    <t>4D, spheroids, NSCLC</t>
  </si>
  <si>
    <t>Epigenetic priming of neuroblastoma to NK cell-based immunotherapy</t>
  </si>
  <si>
    <t>Youth Health-Prevention, Treatment and Support; Cancer-Cancer Progression and Metastasis; Immunology and Infection-Transplantation, Immune Tolerance and Tumor Immunology</t>
  </si>
  <si>
    <t>Epigenetic, neuroblastoma, immunotherapy</t>
  </si>
  <si>
    <t>Epigenetic priming of neuroblastoma to Natural Killer cell-based immunotherapy</t>
  </si>
  <si>
    <t>Reedijk, Michael</t>
  </si>
  <si>
    <t>Identification of molecular pathways associated with Notch activation in triple-negative breast cancer</t>
  </si>
  <si>
    <t>Notch, molecular pathways, breast cancer</t>
  </si>
  <si>
    <t>Priming Notch-activated basal like breast cancer for immune checkpoint blockade</t>
  </si>
  <si>
    <t>Cancer-Cancer Drug Development and Therapeutics; Molecular, Cellular and Systems Biology-Cell Signaling; Immunology and Infection-Transplantation, Immune Tolerance and Tumor Immunology</t>
  </si>
  <si>
    <t>Notch, breast cancer, immune checkpoint</t>
  </si>
  <si>
    <t>Reid, Gregor</t>
  </si>
  <si>
    <t>Harnessing infection-associated modifiers of paediatric acute lymphoblastic leukaemia progression for therapeutic benefit</t>
  </si>
  <si>
    <t>Cancer-Pediatric Cancer; Immunology and Infection-Transplantation, Immune Tolerance and Tumor Immunology; Health Determinants-Etiology of Disease and Conditions</t>
  </si>
  <si>
    <t>infection, lymphoblastic leukaemia, paediatric</t>
  </si>
  <si>
    <t>Identifying Determinants of Acute Lymphoblastic Leukemia Progression</t>
  </si>
  <si>
    <t>LEUKAEMIAS; NONE OF THE ABOVE; CANCER; IMMUNOLOGY-TRANSPLANTATION</t>
  </si>
  <si>
    <t>Acute Lymphoblastic Leukemia, Progression, Determinants</t>
  </si>
  <si>
    <t>Identifying infection-induced determinants of paediatric acute lymphoblastic leukaemia progression</t>
  </si>
  <si>
    <t>Cancer-Cancer Progression and Metastasis; Immunology and Infection-Transplantation, Immune Tolerance and Tumor Immunology; Health Determinants-Etiology of Disease and Conditions</t>
  </si>
  <si>
    <t>Reid, Robert D</t>
  </si>
  <si>
    <t>Ottawa Heart Institute Research Corporation (Ontario)</t>
  </si>
  <si>
    <t>E-health intervention for cardiac rehabilitation: Pilot implementation and feasibility assessment</t>
  </si>
  <si>
    <t>HEALTH SERVICES RESEARCH; CARDIOLOGY; PSYCHOSOCIAL/HEALTH BEHAVIOURAL RES.</t>
  </si>
  <si>
    <t>e-health, cardiac, rehabilitation</t>
  </si>
  <si>
    <t>Reilly, Raymond M</t>
  </si>
  <si>
    <t>Alpha-Particle Radioimmunotherapy of Brain Metastases from HER2-Positive Breast Cancer</t>
  </si>
  <si>
    <t>Alpha-particle, Radioimmunotherapy, Brain metastases</t>
  </si>
  <si>
    <t>Auger Electron Radioimmunotherapy for Treatment and Prevention of Metastases from Triple-Negative Breast Cancer</t>
  </si>
  <si>
    <t>Cancer-Cancer Drug Development and Therapeutics; Pharmacological, Toxicological and Pharmaceutical Sciences-Drug Discovery, Design and Delivery</t>
  </si>
  <si>
    <t>Auger Electron, Radioimmunotherapy, Metastases</t>
  </si>
  <si>
    <t>CD123-Targeted Auger Electron Radioimmunotherapy of Acute Myelogenous Leukemia (AML)</t>
  </si>
  <si>
    <t>CD123, Auger electron, leukemia</t>
  </si>
  <si>
    <t>Ren, Carolyn L</t>
  </si>
  <si>
    <t>Development of a Microwave Enabled Bio-Nano-Microfluidic Device for Point-of-Care Diagnosis of COVID-19</t>
  </si>
  <si>
    <t>INFECTIOUS AND PARASITIC; VIRAL; VIROLOGY</t>
  </si>
  <si>
    <t>Microwave, Bio-Nano-Microfluidic, Diagnosis</t>
  </si>
  <si>
    <t>Rennie, Paul S</t>
  </si>
  <si>
    <t>A virus-based strategy for measurement of circulating tumour cells</t>
  </si>
  <si>
    <t>PROSTATE AND BLADDER CANCER; VIRAL; CANCER</t>
  </si>
  <si>
    <t>virus, circulating tumour cells, measurement</t>
  </si>
  <si>
    <t>In Vivo siRNA Knockdown of Androgen Receptors to Treat Advanced Prostate Cancer</t>
  </si>
  <si>
    <t>ENDOCRINOLOGY; PROSTATE AND BLADDER CANCER; CANCER</t>
  </si>
  <si>
    <t>siRNA, androgen receptors, prostate cancer</t>
  </si>
  <si>
    <t>Reznik, Alla</t>
  </si>
  <si>
    <t>Lakehead University (Thunder Bay, Ontario)</t>
  </si>
  <si>
    <t>Prostate-targeted PET/TRUS dual-modality imaging system for diagnosis and image-guided biopsy.</t>
  </si>
  <si>
    <t>Biomedical Engineering-Biomedical Imaging; Molecular Imaging</t>
  </si>
  <si>
    <t>Prostate, PET, TRUS</t>
  </si>
  <si>
    <t>Arginine methylase PRMT1 and PRMT6 in cancer and genomic instability.</t>
  </si>
  <si>
    <t>CANCER THERAPY GENERAL; LEUKAEMIAS; CANCER; MOLECULAR BIOLOGY</t>
  </si>
  <si>
    <t>Arginine methylase, PRMT1, PRMT6</t>
  </si>
  <si>
    <t>Defining the role of protein arginine methyltransferases (PRMTs) and RGG/RG motifs in cancer and in the maintenance of genomic stability.</t>
  </si>
  <si>
    <t>protein arginine methyltransferases, RGG/RG motifs, genomic stability</t>
  </si>
  <si>
    <t>The role of post-translational modifications of MRE11 in mediating the DNA damage response.</t>
  </si>
  <si>
    <t>LEUKAEMIAS; CANCER THERAPY GENERAL; CANCER; AGING</t>
  </si>
  <si>
    <t>post-translational modifications, MRE11, DNA damage response</t>
  </si>
  <si>
    <t>Richards, Carl D</t>
  </si>
  <si>
    <t>Regulation of stromal cell support of cancer in lungs</t>
  </si>
  <si>
    <t>stromal cells, cancer, lungs</t>
  </si>
  <si>
    <t>Richardson, Christopher D</t>
  </si>
  <si>
    <t>Expression and Purification of COVID19 Virus Spike (S) Protein for Diagnostics and Vaccines</t>
  </si>
  <si>
    <t>COVID19, Spike Protein, Diagnostics</t>
  </si>
  <si>
    <t>A universal self-calibrating in vivo real-time optical radiation dosimeter for quality assurance and quality control of radiotherapy treatment.</t>
  </si>
  <si>
    <t>self-calibrating, optical radiation, dosimeter</t>
  </si>
  <si>
    <t>AI Assisted Organ and Target Segmentation for Cervix Brachytherapy Treatment Planning</t>
  </si>
  <si>
    <t>Cancer-Clinical Oncology; Biomedical Engineering-Biomedical Imaging; Biomedical Engineering-Biophysics, Medical Technologies and Instrumentation</t>
  </si>
  <si>
    <t>AI, Organ Segmentation, Brachytherapy</t>
  </si>
  <si>
    <t>Rocheleau, Jonathan V</t>
  </si>
  <si>
    <t>Design of novel microfluidic devices to stimulate growth and maintenance of ex vivo pancreatic islet endothelial cells.</t>
  </si>
  <si>
    <t>DIABETES MELLITUS; METABOLISM AND NUTRITION; METABOLISM/DIABETES; BIOPHYSICS</t>
  </si>
  <si>
    <t>microfluidic, pancreatic islet, endothelial cells</t>
  </si>
  <si>
    <t>Rodier, Francis</t>
  </si>
  <si>
    <t>Mechanisms regulating persistent DNA damage signaling and the linked control of cell proliferation and extracellular signals</t>
  </si>
  <si>
    <t>NEOPLASMS; CANCER THERAPY GENERAL; CANCER; AGING</t>
  </si>
  <si>
    <t>DNA damage, cell proliferation, signaling</t>
  </si>
  <si>
    <t>Probing molecular mechanisms of epithelial ovarian cancer therapy-induced senescence to find biomarkers and drug targets</t>
  </si>
  <si>
    <t>Cancer-Mechanisms of Carcinogenesis; Molecular, Cellular and Systems Biology-Cell Signaling; Cancer-Cancer Drug Development and Therapeutics</t>
  </si>
  <si>
    <t>molecular, ovarian cancer, biomarkers</t>
  </si>
  <si>
    <t>Roger, Michel</t>
  </si>
  <si>
    <t>Modulation of BLyS levels to restore immune efficiency and reduce HIV targets.</t>
  </si>
  <si>
    <t>BLyS, immune, HIV</t>
  </si>
  <si>
    <t>Rohling, Robert N</t>
  </si>
  <si>
    <t>Ultrasound Guidance for Epidural Analgesia and Anesthesia</t>
  </si>
  <si>
    <t>PREGNANCY/BIRTH; MUSCULO SKELETAL; IMAGING; MUSCLE, BONE, OR JOINT</t>
  </si>
  <si>
    <t>Ultrasound, Epidural, Analgesia</t>
  </si>
  <si>
    <t>Ronald, John A</t>
  </si>
  <si>
    <t>Development of Molecular Imaging Tools to Monitor the Fate of an Off-The-Shelf Chimeric Antigen Receptor Natural Killer (CAR-NK) Cell Immunotherapy</t>
  </si>
  <si>
    <t>Biomedical Engineering-Biomedical Imaging; Cancer-Cancer Drug Development and Therapeutics; Molecular, Cellular and Systems Biology-Molecular Biology</t>
  </si>
  <si>
    <t>Molecular Imaging, Chimeric Antigen Receptor, Natural Killer</t>
  </si>
  <si>
    <t>Development of Molecular Imaging Tools to Monitor the Fate of an Off-The-Shelf Chimeric Antigen Receptor Natural Killer (CAR-NK) Cell Immunotherapy for Breast Cancer</t>
  </si>
  <si>
    <t>Rose, April A</t>
  </si>
  <si>
    <t>Evaluating mutant NRAS as a molecular mediator of immunotherapy resistance in melanoma</t>
  </si>
  <si>
    <t>NRAS, immunotherapy, melanoma</t>
  </si>
  <si>
    <t>Rosen, Kirill V</t>
  </si>
  <si>
    <t>Molecular hallmarks of breast cancer sensitivity to ErbB2-targeted therapies</t>
  </si>
  <si>
    <t>molecular, breast cancer, ErbB2</t>
  </si>
  <si>
    <t>Roskelley, Calvin D</t>
  </si>
  <si>
    <t>Preclinical Development Of Inhibitors Of Podocalyxin-Driven Tumor Progression</t>
  </si>
  <si>
    <t>Podocalyxin, Inhibitors, Tumor</t>
  </si>
  <si>
    <t>Targeting ovarian carcinoma using the cell surface glycoprotein podocalyxin.</t>
  </si>
  <si>
    <t>ovarian carcinoma, glycoprotein, podocalyxin</t>
  </si>
  <si>
    <t>Rost, Hannes L</t>
  </si>
  <si>
    <t>Targeting the metabolomic mechanisms underlying poor prognosis in Glioblastoma multiforme cancer stem cells.</t>
  </si>
  <si>
    <t>Cancer-Mechanisms of Carcinogenesis; Molecular, Cellular and Systems Biology-Systems Biology</t>
  </si>
  <si>
    <t>metabolomic, Glioblastoma, cancer stem cells</t>
  </si>
  <si>
    <t>Rottapel, Robert K</t>
  </si>
  <si>
    <t>Development of a Predictive Serologic Test for Cytopathogenic Autoantibodies in COVID-19 Patients</t>
  </si>
  <si>
    <t>LUPUS; INJURY, REGENERATION; IMMUNOLOGY-TRANSPLANTATION; CELL BIOLOGY</t>
  </si>
  <si>
    <t>Predictive, Serologic, Autoantibodies</t>
  </si>
  <si>
    <t>Nonsense Mediated RNA Decay Shapes the Expressed Transcriptome Required for Ovarian Cancer Progression</t>
  </si>
  <si>
    <t>RNA decay, transcriptome, ovarian cancer</t>
  </si>
  <si>
    <t>Routy, Bertrand</t>
  </si>
  <si>
    <t>Prebiotics to modify the gut microbiome and enhance immune checkpoint blockers</t>
  </si>
  <si>
    <t>Cancer-Cancer Drug Development and Therapeutics; Immunology and Infection-Microbiology and Pathogenesis (including Microbiomics)</t>
  </si>
  <si>
    <t>Prebiotics, microbiome, immune checkpoint</t>
  </si>
  <si>
    <t>Routy, Jean-Pierre</t>
  </si>
  <si>
    <t>The orchid study: A pilot assessment of viral reservoir and immune compartmentalization in testicular tissue of HIV-infected subjects</t>
  </si>
  <si>
    <t>AIDS; INFECTIOUS AND PARASITIC; VIROLOGY; IMMUNOLOGY-TRANSPLANTATION</t>
  </si>
  <si>
    <t>orchid, viral reservoir, immune compartmentalization</t>
  </si>
  <si>
    <t>Roux, Philippe</t>
  </si>
  <si>
    <t>Targeting ENPP1-dependent immune evasion in ErbB2-positive breast cancer</t>
  </si>
  <si>
    <t>Cancer-Mechanisms of Carcinogenesis; Cancer-Cancer Drug Development and Therapeutics</t>
  </si>
  <si>
    <t>ENPP1, immune evasion, breast cancer</t>
  </si>
  <si>
    <t>Roux, Sophie</t>
  </si>
  <si>
    <t>Characterization of Covid-19 infection in rheumatoid arthritis patients- the CoViD-in-RA project</t>
  </si>
  <si>
    <t>Covid-19, rheumatoid arthritis, infection</t>
  </si>
  <si>
    <t>Roy, Denis-Claude</t>
  </si>
  <si>
    <t>Elucidating mechanisms of MSC-induced tissue regeneration: path to mesenchymal stromal cell clinical trial in glaucoma</t>
  </si>
  <si>
    <t>GLAUCOMA; INJURY, REGENERATION; VISION; CELL BIOLOGY</t>
  </si>
  <si>
    <t>MSC, tissue regeneration, glaucoma</t>
  </si>
  <si>
    <t>Exploiting minor histocompatibility antigens for personalized cancer immunotherapy</t>
  </si>
  <si>
    <t>minor histocompatibility, antigens, immunotherapy</t>
  </si>
  <si>
    <t>Roy, Dominic</t>
  </si>
  <si>
    <t>Targeting itaconate production to improve oncolytic virus therapy.</t>
  </si>
  <si>
    <t>itaconate, oncolytic virus, production</t>
  </si>
  <si>
    <t>Rudko, David A</t>
  </si>
  <si>
    <t>Unraveling Silent Progression in MS Using Advanced Quantitative MRI, PET Molecular Imaging and Computational Neuroanatomy</t>
  </si>
  <si>
    <t>Biomedical Engineering-Biomedical Imaging; Neurosciences-Neurological disorders; Methods Development and Modelling-Quantitative Methods Development for Health Research</t>
  </si>
  <si>
    <t>MRI, PET, Neuroanatomy</t>
  </si>
  <si>
    <t>Genomic Analysis of Rhabdomyosarcoma Tumor Initiating Cells</t>
  </si>
  <si>
    <t>MUSCULO SKELETAL; NEOPLASMS; GENOMICS, PROTEOMICS, AND BIOINFORMATICS; CANCER</t>
  </si>
  <si>
    <t>Genomic, Rhabdomyosarcoma, Tumor Cells</t>
  </si>
  <si>
    <t>Optimizing Signaling, Cells, and Host Environment in Matrix-based Cardiac Regenerative Therapy: Towards Pre-clinical Application</t>
  </si>
  <si>
    <t>CARDIOLOGY; CARDIOVASCULAR</t>
  </si>
  <si>
    <t>Signaling, Cells, Cardiac</t>
  </si>
  <si>
    <t>Russell, James A</t>
  </si>
  <si>
    <t>HOST RESPONSE MEDIATORS IN CORONAVIRUS (COVID-19) INFECTION - IS THERE A PROTECTIVE EFFECT OF ARBs ON OUTCOMES OF CORONAVIRUS INFECTION? (ARBs CORONA II)</t>
  </si>
  <si>
    <t>INFECTIOUS AND PARASITIC; HEALTH RESEARCH</t>
  </si>
  <si>
    <t>host response, coronavirus, ARBs</t>
  </si>
  <si>
    <t>Ruthazer, Edward S</t>
  </si>
  <si>
    <t>Transcellular Complementation of Split GFPs and Split Inteins for Mapping Neuronal Circuitry</t>
  </si>
  <si>
    <t>CNS ORGANIC; SCHIZOPHRENIA; CELL BIOLOGY; NERVOUS SYSTEM</t>
  </si>
  <si>
    <t>GFPs, Inteins, Neuronal Circuitry</t>
  </si>
  <si>
    <t>Rutka, James T</t>
  </si>
  <si>
    <t>Enhancing the Delivery of Novel Chemotherapeutics to Diffuse Intrinsic Pontine Glioma</t>
  </si>
  <si>
    <t>Chemotherapeutics, Diffuse Intrinsic Pontine Glioma, Delivery</t>
  </si>
  <si>
    <t>Establishment of a drug discovery and delivery platform for diffuse intrinsic pontine glioma (DIPG).</t>
  </si>
  <si>
    <t>drug delivery, diffuse intrinsic pontine glioma, drug discovery</t>
  </si>
  <si>
    <t>Molecular targeting of the Rho-GTPase pathway in human astrocytomas</t>
  </si>
  <si>
    <t>Rho-GTPase, molecular targeting, astrocytomas</t>
  </si>
  <si>
    <t>Sacher, Adrian G</t>
  </si>
  <si>
    <t>Mucosal Associated Invariant T-cells (MAIT cells) as Key Mediators of Anti-Tumor Immune Responses and the Microbiome Effect in Non-Small Cell Lung Cancer (NSCLC)</t>
  </si>
  <si>
    <t>Cancer-Cancer Drug Development and Therapeutics; Immunology and Infection-Transplantation, Immune Tolerance and Tumor Immunology; Genetics-Genomics, Transcriptomics and Proteomics</t>
  </si>
  <si>
    <t>MAIT cells, immune response, lung cancer</t>
  </si>
  <si>
    <t>Sachlos, Eleftherios</t>
  </si>
  <si>
    <t>York University (Toronto, Ontario)</t>
  </si>
  <si>
    <t>Tissue Engineering of 3D bone marrow niche for hematopoietic stem cells vs acute myeloid leukemia stem cell molecular target and therapeutics discovery</t>
  </si>
  <si>
    <t>Biomedical Engineering-Regenerative Medicine and Tissue Engineering; Cancer-Cancer Drug Development and Therapeutics</t>
  </si>
  <si>
    <t>tissue engineering, bone marrow, hematopoietic stem cells</t>
  </si>
  <si>
    <t>Sadar, Marianne D</t>
  </si>
  <si>
    <t>Characterization of EPI-001 for the treatment of prostate cancer</t>
  </si>
  <si>
    <t>PROSTATE AND BLADDER CANCER; PROSTATE AND BLADDER CANCER THERAPY; CANCER; MOLECULAR BIOLOGY</t>
  </si>
  <si>
    <t>EPI-001, prostate cancer</t>
  </si>
  <si>
    <t>Reversible inhibitors of the N-terminal domain of the androgen receptor</t>
  </si>
  <si>
    <t>DRUGS- PHARMACEUTICAL SCIENCE/CHEMISTRY &amp; NON MEDICAL USE OF DRUGS; PROSTATE AND BLADDER CANCER THERAPY; CANCER; ENDOCRINOLOGY</t>
  </si>
  <si>
    <t>inhibitors, androgen receptor, N-terminal</t>
  </si>
  <si>
    <t>Targeting interleukin-6 and the amino-terminus of the androgen receptor in osseous prostate cancer</t>
  </si>
  <si>
    <t>PROSTATE AND BLADDER CANCER; CANCER; MOLECULAR BIOLOGY</t>
  </si>
  <si>
    <t>interleukin-6, androgen receptor, prostate cancer</t>
  </si>
  <si>
    <t>Development, validation, and dissemination of an individualized prediction tool for acute exacerbations of chronic obstructive pulmonary disease</t>
  </si>
  <si>
    <t>CHRONIC OBSTRUCTIVE LUNG DISEASE; EPIDEMIOLOGY; RESPIRATION; POPULATION HEALTH</t>
  </si>
  <si>
    <t>prediction, COPD, exacerbations</t>
  </si>
  <si>
    <t>Sadikot, Abbas F</t>
  </si>
  <si>
    <t>Development of Novel Methods for Analyzing the Structure and Connectivity of the Human Basal Ganglia, Thalamus and Brainstem</t>
  </si>
  <si>
    <t>PARKINSON'S DISEASE; MUSCULO SKELETAL; AGING; NERVOUS SYSTEM</t>
  </si>
  <si>
    <t>Basal Ganglia, Connectivity, Brainstem</t>
  </si>
  <si>
    <t>'Smart Ventilation' - Novel Real-Time Biosensors and Artificial Intelligence for Optimized Mechanical Ventilation in Human Lungs</t>
  </si>
  <si>
    <t>Biomedical Engineering-Biophysics, Medical Technologies and Instrumentation; Cardiovascular, Respiratory and Circulatory Systems-Respiratory Sciences; Artificial Intelligence-Machine Learning</t>
  </si>
  <si>
    <t>Biosensors, Artificial Intelligence, Mechanical Ventilation</t>
  </si>
  <si>
    <t>Advanced Artificial Intelligence for Human Ex Vivo Lung Perfusion using Digital Twins</t>
  </si>
  <si>
    <t>Artificial Intelligence-Machine Learning; Biomedical Engineering-Biophysics, Medical Technologies and Instrumentation; Cardiovascular, Respiratory and Circulatory Systems-Respiratory Sciences</t>
  </si>
  <si>
    <t>Artificial Intelligence, Lung Perfusion, Digital Twins</t>
  </si>
  <si>
    <t>Saibil, Samuel D</t>
  </si>
  <si>
    <t>Modulating T cell metabolism to enhance the efficacy of adoptive cell therapy</t>
  </si>
  <si>
    <t>T cell, metabolism, adoptive cell therapy</t>
  </si>
  <si>
    <t>Image guidance for radical prostatectomy</t>
  </si>
  <si>
    <t>PROSTATE AND BLADDER CANCER THERAPY; PROSTATE AND BLADDER CANCER; IMAGING; RENAL FUNCTION, NEPHROLOGY, UROLOGY</t>
  </si>
  <si>
    <t>Image guidance, prostatectomy</t>
  </si>
  <si>
    <t>Multi-modal, multi-parametric liver imaging for ultrasound-based stratification of patients with non-alcoholic fatty liver disease</t>
  </si>
  <si>
    <t>Biomedical Engineering-Biomedical Imaging; Artificial Intelligence-Machine Learning; Digestive, Endocrine and Excretory Systems-Gastroenterology and Hepatology</t>
  </si>
  <si>
    <t>liver imaging, ultrasound, fatty liver</t>
  </si>
  <si>
    <t>Salmena, Leonardo L</t>
  </si>
  <si>
    <t>Identification and characterization of microRNAs essential for the development and fitness of chemoresistant AML</t>
  </si>
  <si>
    <t>microRNAs, chemoresistant AML, characterization</t>
  </si>
  <si>
    <t>Investigating INPP4B signalling as a target for therapy in leukaemia</t>
  </si>
  <si>
    <t>INPP4B, signalling, leukaemia</t>
  </si>
  <si>
    <t>Investigating a novel phosphoinositide-lysosomal signalling axis for pancreatic cancer therapy</t>
  </si>
  <si>
    <t>phosphoinositide, lysosomal, pancreatic cancer</t>
  </si>
  <si>
    <t>Targeting a novel phosphoinositide-lysosomal signalling axis for pancreatic cancer therapy</t>
  </si>
  <si>
    <t>RACE Concussion Study: Rapid, accurate cost-effective assessment of fluid biomarkers using a hand-held biosensor in patients with concussion</t>
  </si>
  <si>
    <t>Biomedical Engineering-Biophysics, Medical Technologies and Instrumentation; Artificial Intelligence-Machine Learning; Neurosciences-Neurological disorders</t>
  </si>
  <si>
    <t>biosensor, biomarkers, concussion</t>
  </si>
  <si>
    <t>Sanche, Leon</t>
  </si>
  <si>
    <t>Investigations of low energy electron damage to cellular constituents: application to Chemoradiation therapy.</t>
  </si>
  <si>
    <t>CANCER THERAPY GENERAL; BRAIN TUMORS THERAPY; CANCER; DRUG RESEARCH</t>
  </si>
  <si>
    <t>electron, damage, chemoradiation</t>
  </si>
  <si>
    <t>Secondary electron collision cross sections for micro- and nano-dosimetry of emerging radiation and chemo-radiation therapies.</t>
  </si>
  <si>
    <t>electron, dosimetry, radiation</t>
  </si>
  <si>
    <t>Secondary electron collision cross sections for use in radiotherapy and radioprotection/Sections efficaces de diffusion des electrons secondaires pour utilisation en radiotherapie et radioprotection.</t>
  </si>
  <si>
    <t>POPULATION HEALTH; CANCER THERAPY GENERAL; CANCER</t>
  </si>
  <si>
    <t>electron, radiotherapy, radioprotection</t>
  </si>
  <si>
    <t>Sanderson, J. Thomas</t>
  </si>
  <si>
    <t>Antiandrogenic and antiproliferative effects of diindolylmethane (DIM) and ring-substituted analogs (ring-DIMs) in androgen -ependent and -independent human prostate cancer cells in vitro, and in vivo using real-time imaging technology.</t>
  </si>
  <si>
    <t>PROSTATE AND BLADDER CANCER; PROSTATE AND BLADDER CANCER THERAPY; HEALTH RESEARCH; CANCER</t>
  </si>
  <si>
    <t>antiandrogenic, antiproliferative, prostate cancer</t>
  </si>
  <si>
    <t>Santerre, Paul</t>
  </si>
  <si>
    <t>Enabling the Engineering of Vascular Grafts with Human Cells-Appliations to Pulmonary Arterial Grafting</t>
  </si>
  <si>
    <t>Biomedical Engineering-Regenerative Medicine and Tissue Engineering; Cardiovascular, Respiratory and Circulatory Systems-Vascular and Endothelial Biology; Molecular, Cellular and Systems Biology-Cell Signaling</t>
  </si>
  <si>
    <t>Vascular Grafts, Human Cells, Pulmonary Arterial</t>
  </si>
  <si>
    <t>Monocyte directed tissue regeneration of a blood vessel substitute using a pro-cellular degradable tubular scaffold</t>
  </si>
  <si>
    <t>CORONARY CIRCULATION (INCL. INSUFFICIENCY); ATHEROSCLEROSIS; CARDIOVASCULAR; HEALTH RESEARCH</t>
  </si>
  <si>
    <t>monocyte, tissue regeneration, blood vessel</t>
  </si>
  <si>
    <t>Santyr, Giles E</t>
  </si>
  <si>
    <t>Functional and Metabolic Magnetic Resonance Imaging of Lung Inflammation</t>
  </si>
  <si>
    <t>RESPIRATION; NONE OF THE ABOVE; IMAGING</t>
  </si>
  <si>
    <t>Magnetic Resonance Imaging, Lung Inflammation</t>
  </si>
  <si>
    <t>Hyperpolarized Xenon-129 Magnetic Resonance Imaging of Radiation-Induced Lung Injury</t>
  </si>
  <si>
    <t>CANCER THERAPY GENERAL; LUNG CANCER THERAPY; IMAGING; CANCER</t>
  </si>
  <si>
    <t>Hyperpolarized, Xenon-129, MRI</t>
  </si>
  <si>
    <t>Magnetic Resonance Imaging Toolbox for Assessment of Lung Structure and Function in the Early Years of Life</t>
  </si>
  <si>
    <t>Methods Development and Modelling-Quantitative Methods Development for Health Research; Cardiovascular, Respiratory and Circulatory Systems-Respiratory System Pathologies and Clinical Interventions</t>
  </si>
  <si>
    <t>Magnetic Resonance Imaging, Lung, Structure</t>
  </si>
  <si>
    <t>Saragovi, Horacio U</t>
  </si>
  <si>
    <t>Development of effective targeted anti-GD2 cancer immunotherapies, that synergize with immune-checkpoint inhibitor blockades</t>
  </si>
  <si>
    <t>anti-GD2, immunotherapies, immune-checkpoint</t>
  </si>
  <si>
    <t>Saucier, Caroline</t>
  </si>
  <si>
    <t>The role of receptor tyrosine kinases in the initiation and progression of colorectal cancer</t>
  </si>
  <si>
    <t>GASTRO-INTESTINAL CANCER; NEOPLASMS; CANCER; GASTROINTESTINAL (LIVER)</t>
  </si>
  <si>
    <t>receptor tyrosine kinases, colorectal cancer</t>
  </si>
  <si>
    <t>Sauvageau, Guy</t>
  </si>
  <si>
    <t>Understanding the GR/PLZF axis in acute myeloid leukemia</t>
  </si>
  <si>
    <t>GR, PLZF, leukemia</t>
  </si>
  <si>
    <t>Savas, Sevtap</t>
  </si>
  <si>
    <t>201003RNL</t>
  </si>
  <si>
    <t>Identification of genetic factors correlated with survival in colorectal cancer: Investigation of genetic markers from angiogenesis/lymphangiogenesis and metastasis pathways</t>
  </si>
  <si>
    <t>GASTRO-INTESTINAL CANCER; NONE OF THE ABOVE; CANCER; GENETICS</t>
  </si>
  <si>
    <t>genetic factors, colorectal cancer, metastasis</t>
  </si>
  <si>
    <t>Schild-Poulter, Caroline</t>
  </si>
  <si>
    <t>Cell signaling pathway regulation by the RanBPM/CTLH complex in cancer development</t>
  </si>
  <si>
    <t>MULTIPLE DISEASE RELEVANCE; NEOPLASMS; CANCER; MOLECULAR BIOLOGY</t>
  </si>
  <si>
    <t>cell signaling, RanBPM, cancer</t>
  </si>
  <si>
    <t>Characterization of RanBPM function in apoptosis and cell transformation</t>
  </si>
  <si>
    <t>MULTIPLE DISEASE RELEVANCE; BREAST CANCER; CANCER; MOLECULAR BIOLOGY</t>
  </si>
  <si>
    <t>RanBPM, apoptosis, cell transformation</t>
  </si>
  <si>
    <t>Mechanisms of RanBPM-mediated cell death</t>
  </si>
  <si>
    <t>RanBPM, cell death, mechanisms</t>
  </si>
  <si>
    <t>Tumour-suppressive regulation of the Wnt/e-catenin signaling pathway by the CTLH complex</t>
  </si>
  <si>
    <t>Wnt, e-catenin, CTLH</t>
  </si>
  <si>
    <t>Schimmer, Aaron D</t>
  </si>
  <si>
    <t>Inhibiting oncogenic kinases to target metabolism in AML</t>
  </si>
  <si>
    <t>kinases, metabolism, AML</t>
  </si>
  <si>
    <t>Targeting the mitochondrial proteasome, ClpP, in AML</t>
  </si>
  <si>
    <t>mitochondrial proteasome, ClpP, AML</t>
  </si>
  <si>
    <t>Operating Grant - PA: Genetics (Bridge Funding: Research Priorities)</t>
  </si>
  <si>
    <t>202303OGB</t>
  </si>
  <si>
    <t>The IL23 Receptor (IL23R) regulates mitotic spindle formation and is a novel therapeutic target for AML</t>
  </si>
  <si>
    <t>IL23R, mitotic spindle, AML</t>
  </si>
  <si>
    <t>Schirrmacher, Ralf</t>
  </si>
  <si>
    <t>200809NMD</t>
  </si>
  <si>
    <t>Beta-cell imaging with 18F-labeled glibenclamide-glucose conjugates by positron emission tomography</t>
  </si>
  <si>
    <t>DIABETES MELLITUS; ENDOCRINOLOGY; IMAGING; METABOLISM/DIABETES</t>
  </si>
  <si>
    <t>beta-cell, imaging, positron emission tomography</t>
  </si>
  <si>
    <t>Schramek, Daniel</t>
  </si>
  <si>
    <t>Identifying and characterizing essential genes and cancer driver genes in HNSCC using in vivo CRISPR screens.</t>
  </si>
  <si>
    <t>CRISPR, genes, cancer</t>
  </si>
  <si>
    <t>Identifying essential genes for epithelial homeostasis and KRas-driven carcinomas using in vivo CRISPR screens.</t>
  </si>
  <si>
    <t>CRISPR, genes, carcinomas</t>
  </si>
  <si>
    <t>In vivo CRISPR screen to identify clinically relevant therapeutic targets for lung cancer</t>
  </si>
  <si>
    <t>CRISPR, lung cancer, targets</t>
  </si>
  <si>
    <t>Schreiner, L. John</t>
  </si>
  <si>
    <t>Advancing gel dosimetry for clinical radiation therapy</t>
  </si>
  <si>
    <t>CANCER THERAPY GENERAL; NONE OF THE ABOVE; CANCER; IMAGING</t>
  </si>
  <si>
    <t>gel, dosimetry, radiation</t>
  </si>
  <si>
    <t>Schultz, Kirk R</t>
  </si>
  <si>
    <t>Biomarkers for Chronic Graft-Versus-Host disease</t>
  </si>
  <si>
    <t>LEUKAEMIAS; CANCER THERAPY GENERAL; CANCER; IMMUNOLOGY-TRANSPLANTATION</t>
  </si>
  <si>
    <t>biomarkers, Graft-Versus-Host, disease</t>
  </si>
  <si>
    <t>Scott, Mark D</t>
  </si>
  <si>
    <t>Polymer-Grafted Allogeneic Leukocytes and Systemic Immune Modulation</t>
  </si>
  <si>
    <t>MULTIDISCIPLINARY; BLOOD</t>
  </si>
  <si>
    <t>Polymer-Grafted, Leukocytes, Immune</t>
  </si>
  <si>
    <t>Sebag, Michael</t>
  </si>
  <si>
    <t>Development of a Transgenic Mouse Model and Testing Platform of Multiple Myeloma Bone Disease</t>
  </si>
  <si>
    <t>CANCER THERAPY GENERAL; BLOOD; CANCER; MUSCLE, BONE, OR JOINT</t>
  </si>
  <si>
    <t>Transgenic, Mouse Model, Multiple Myeloma</t>
  </si>
  <si>
    <t>Sefton, Michael V</t>
  </si>
  <si>
    <t>Modular Tissue Engineering for Islet Transplantation</t>
  </si>
  <si>
    <t>DIABETES MELLITUS; SKIN AND SUBCUTANEOUS TISSUS; METABOLISM/DIABETES; IMMUNOLOGY-TRANSPLANTATION</t>
  </si>
  <si>
    <t>Tissue engineering, Islet transplantation</t>
  </si>
  <si>
    <t>Robust vascularization using modular tissue engineering</t>
  </si>
  <si>
    <t>DIABETES MELLITUS; SKIN AND SUBCUTANEOUS TISSUS; CARDIOVASCULAR; IMMUNOLOGY-TRANSPLANTATION</t>
  </si>
  <si>
    <t>vascularization, tissue engineering, modular</t>
  </si>
  <si>
    <t>Effect of sialic acid of Gram-positive bacteria capsular polysaccharides on the immunogenic capacity of conjugate vaccines</t>
  </si>
  <si>
    <t>INFECTIOUS AND PARASITIC; IMMUNOLOGY-TRANSPLANTATION; BACTERIOLOGY</t>
  </si>
  <si>
    <t>sialic acid, Gram-positive bacteria, capsular polysaccharides</t>
  </si>
  <si>
    <t>Selvaganapathy, Ponnambalam R</t>
  </si>
  <si>
    <t>Artificial Placenta: A biomimetic approach to support neonates with respiratory distress</t>
  </si>
  <si>
    <t>Biomedical Engineering-Biophysics, Medical Technologies and Instrumentation; Biomedical Engineering-Biomaterials, Nanotechnology and Biomechanics</t>
  </si>
  <si>
    <t>Artificial placenta, biomimetic, respiratory</t>
  </si>
  <si>
    <t>Seuntjens, Jan P</t>
  </si>
  <si>
    <t>Monte Carlo-based mixed electron/photon beam inverse treatment planning, delivery and verification</t>
  </si>
  <si>
    <t>CANCER THERAPY GENERAL; MULTIDISCIPLINARY; CANCER; HEALTH RESEARCH</t>
  </si>
  <si>
    <t>Monte Carlo, electron/photon, beam</t>
  </si>
  <si>
    <t>Towards a low-cost, optimized proton therapy accelerator</t>
  </si>
  <si>
    <t>proton therapy, accelerator</t>
  </si>
  <si>
    <t>Shadgan, Babak</t>
  </si>
  <si>
    <t>Advanced optical monitoring of free tissue transfer hemodynamics</t>
  </si>
  <si>
    <t>Cardiovascular, Respiratory and Circulatory Systems-Cardiovascular and Circulatory Sciences; Biomedical Engineering-Biophysics, Medical Technologies and Instrumentation; Health Services and Systems-Emergency Care and Critical Care</t>
  </si>
  <si>
    <t>optical, monitoring, hemodynamics</t>
  </si>
  <si>
    <t>A Phase I Feasibility and Safety Study of GCAR1, a Chimeric Antigen Receptor (CAR) T-cell Therapy for Patients with Relapsed/Refractory GPNMB-Expressing Solid Tumors</t>
  </si>
  <si>
    <t>Chimeric Antigen Receptor, T-cell Therapy, GPNMB</t>
  </si>
  <si>
    <t>Shah, Girish M</t>
  </si>
  <si>
    <t>201303IMH</t>
  </si>
  <si>
    <t>Roles of poly(ADP-ribose)polymerase-1 in cellular responses to ultraviolet radiations</t>
  </si>
  <si>
    <t>SKIN AND SUBCUTANEOUS TISSUS; ENVIRONMENTAL INFLUENCES ON HEALTH; CANCER; MOLECULAR BIOLOGY</t>
  </si>
  <si>
    <t>poly(ADP-ribose)polymerase-1, cellular responses, ultraviolet radiations</t>
  </si>
  <si>
    <t>Genomic Disruption in High-Grade Serous Ovarian Carcinomas: Steady State or Continuous Drift?</t>
  </si>
  <si>
    <t>Genomic, Ovarian, Carcinomas</t>
  </si>
  <si>
    <t>Shahriari, Dena</t>
  </si>
  <si>
    <t>Optogenetic stimulation after spinal cord injury in rodents</t>
  </si>
  <si>
    <t>Optogenetic, spinal cord injury, stimulation</t>
  </si>
  <si>
    <t>202109OGB</t>
  </si>
  <si>
    <t>A bioengineering platform to promote safe cell therapies</t>
  </si>
  <si>
    <t>bioengineering, cell therapies, platform</t>
  </si>
  <si>
    <t>Sharif, Tanveer</t>
  </si>
  <si>
    <t>Taking down the 'undruggable' oncogene: therapeutic implications for novel mechanism-based targeting of MYC</t>
  </si>
  <si>
    <t>Cancer-Pediatric Cancer; Cancer-Cancer Drug Development and Therapeutics</t>
  </si>
  <si>
    <t>MYC, oncogene, targeting</t>
  </si>
  <si>
    <t>Shaw, Tony</t>
  </si>
  <si>
    <t>Point of care diagnostic and analytical metabolomic testing.</t>
  </si>
  <si>
    <t>MULTIDISCIPLINARY; MULTIPLE DISEASE RELEVANCE; GENOMICS, PROTEOMICS, AND BIOINFORMATICS; BIOPHYSICS</t>
  </si>
  <si>
    <t>point of care, diagnostic, metabolomic</t>
  </si>
  <si>
    <t>Sheardown, Heather D</t>
  </si>
  <si>
    <t>A Degradable Sustained Release Mucoadhesive Drug Delivery System to Regulate Intraocular Pressure (IOP) in Glaucoma</t>
  </si>
  <si>
    <t>Biomedical Engineering-Biomaterials, Nanotechnology and Biomechanics; Pharmacological, Toxicological and Pharmaceutical Sciences-Drug Discovery, Design and Delivery; Neurosciences-Sensory Systems (including visual, auditory and pain)</t>
  </si>
  <si>
    <t>Degradable, Mucoadhesive, Intraocular Pressure</t>
  </si>
  <si>
    <t>Shoichet, Molly S</t>
  </si>
  <si>
    <t>Local Delivery of Therapeutic Biomolecules to the Injured Spinal Cord</t>
  </si>
  <si>
    <t>SPINAL CORD DISEASE; INJURY, REGENERATION; NERVOUS SYSTEM</t>
  </si>
  <si>
    <t>biomolecules, spinal cord, delivery</t>
  </si>
  <si>
    <t>Overcoming ER+ Breast Cancer with Fulvestrant-siRNA co-delivery</t>
  </si>
  <si>
    <t>ER+, breast cancer, siRNA</t>
  </si>
  <si>
    <t>Polymeric Nanospheres Designed for Targeted Delivery in Breast Cancer</t>
  </si>
  <si>
    <t>Polymeric, Nanospheres, Breast Cancer</t>
  </si>
  <si>
    <t>Vision Rescue: Transforming Therapeutics with Hydrogel Delivery</t>
  </si>
  <si>
    <t>Vision, Hydrogel, Delivery</t>
  </si>
  <si>
    <t>Shrive, Nigel G</t>
  </si>
  <si>
    <t>201109IMH</t>
  </si>
  <si>
    <t>Investigating the Mechanisims of Osteoarthritis in an Ovine Model</t>
  </si>
  <si>
    <t>Osteoarthritis, Ovine, Mechanisms</t>
  </si>
  <si>
    <t>The mechanical causes of osteoarthritis</t>
  </si>
  <si>
    <t>MUSCULO SKELETAL; ARTHRITIS/OSTEOARTHRITIS; HEALTH RESEARCH; AGING</t>
  </si>
  <si>
    <t>mechanical, osteoarthritis, causes</t>
  </si>
  <si>
    <t>Sicheri, Frank</t>
  </si>
  <si>
    <t>Induced proximity therapeutics for the difficult-to-drug RAS and RAF oncoproteins</t>
  </si>
  <si>
    <t>Cancer-Cancer Drug Development and Therapeutics; Molecular, Cellular and Systems Biology-Biochemistry; Molecular, Cellular and Systems Biology-Structure and Function of Macromolecules</t>
  </si>
  <si>
    <t>induced proximity, RAS, RAF</t>
  </si>
  <si>
    <t>Sidhu, Sachdev S</t>
  </si>
  <si>
    <t>Engineering therapeutics for the treatment of anemia in oncology patients</t>
  </si>
  <si>
    <t>Cancer-Cancer Drug Development and Therapeutics; Cancer-Cancer Progression and Metastasis; Cardiovascular, Respiratory and Circulatory Systems-Hematology</t>
  </si>
  <si>
    <t>therapeutics, anemia, oncology</t>
  </si>
  <si>
    <t>Specific inhibitors of deubiquitinating enzymes</t>
  </si>
  <si>
    <t>MOLECULAR BIOLOGY; CANCER</t>
  </si>
  <si>
    <t>deubiquitinating enzymes, inhibitors</t>
  </si>
  <si>
    <t>Specific inhibitors of ubiquitin ligases and deubiquitinases</t>
  </si>
  <si>
    <t>ubiquitin, ligases, deubiquitinases</t>
  </si>
  <si>
    <t>Siegel, Peter M</t>
  </si>
  <si>
    <t>Claudin-2 as a Prognostic and Therapeutic Target in Breast Cancer Liver Metastasis</t>
  </si>
  <si>
    <t>Claudin-2, Breast Cancer, Liver Metastasis</t>
  </si>
  <si>
    <t>Defining the Immunomodulatory Role of GPNMB in Triple Negative Breast Cancer</t>
  </si>
  <si>
    <t>GPNMB, Immunomodulatory, Breast Cancer</t>
  </si>
  <si>
    <t>GPNMB as an emerging therapeutic target in metastatic breast cancer</t>
  </si>
  <si>
    <t>GPNMB, metastatic breast cancer, therapeutic target</t>
  </si>
  <si>
    <t>Identifying tumor-derived and microenvironmental factors that drive invasive growth of brain metastases</t>
  </si>
  <si>
    <t>tumor, microenvironment, metastases</t>
  </si>
  <si>
    <t>Identification of biological properties and molecular signatures to predict treatment response in patients with advanced HPV positive oropharyngeal cancer</t>
  </si>
  <si>
    <t>Musculoskeletal Health-Oral Health</t>
  </si>
  <si>
    <t>biological properties, molecular signatures, HPV</t>
  </si>
  <si>
    <t>Simmons, Craig A</t>
  </si>
  <si>
    <t>Dissecting the role of hemodynamics in ascending aorta aneurysm development</t>
  </si>
  <si>
    <t>Cardiovascular, Respiratory and Circulatory Systems-Vascular and Endothelial Biology</t>
  </si>
  <si>
    <t>hemodynamics, ascending aorta, aneurysm</t>
  </si>
  <si>
    <t>Optimization of cell culture media and substrates to mature pluripotent stem cell-derived cardiomyoctyes for improved cardiac cell therapy</t>
  </si>
  <si>
    <t>cell culture, pluripotent stem cells, cardiomyocytes</t>
  </si>
  <si>
    <t>Systematic screening of engineered microenvironments for improved heart valve tissue regeneration</t>
  </si>
  <si>
    <t>CARDIOLOGY; CARDIOVASCULAR; BIOPHYSICS</t>
  </si>
  <si>
    <t>microenvironments, heart valve, tissue regeneration</t>
  </si>
  <si>
    <t>Singh, Sheila K</t>
  </si>
  <si>
    <t>Clonal evolution of medulloblastoma BTICs (brain tumor initiating cells) in response to therapy: Discovering the refractory BTIC population through genes regulating stem cell self-renewal</t>
  </si>
  <si>
    <t>medulloblastoma, BTICs, stem cell</t>
  </si>
  <si>
    <t>Dynamic metabolic reprogramming drives myc-amplified medulloblastoma recurrence</t>
  </si>
  <si>
    <t>metabolic reprogramming, myc-amplified, medulloblastoma</t>
  </si>
  <si>
    <t>Targeting BACE1 for the prevention and treatment of Brain metastases</t>
  </si>
  <si>
    <t>BACE1, brain metastases</t>
  </si>
  <si>
    <t>Wnt activation as a therapeutic strategy for treatment-refractory childhood medulloblastoma</t>
  </si>
  <si>
    <t>Cancer-Cancer Drug Development and Therapeutics; Molecular, Cellular and Systems Biology-Cell Signaling</t>
  </si>
  <si>
    <t>Wnt, medulloblastoma, activation</t>
  </si>
  <si>
    <t>Sinnett, Daniel</t>
  </si>
  <si>
    <t>Investigation of the genomic determinants of childhood leukemia using next-generation sequencing</t>
  </si>
  <si>
    <t>LEUKAEMIAS; BIOSTATISTICS; CANCER; GENOMICS, PROTEOMICS, AND BIOINFORMATICS</t>
  </si>
  <si>
    <t>genomic, leukemia, sequencing</t>
  </si>
  <si>
    <t>Regulatory polymorphisms in apoptosis genes and susceptibility to childhood leukemia</t>
  </si>
  <si>
    <t>LEUKAEMIAS; MULTIDISCIPLINARY; GENETICS; CANCER</t>
  </si>
  <si>
    <t>polymorphisms, apoptosis, leukemia</t>
  </si>
  <si>
    <t>Siu, K. W. Michael</t>
  </si>
  <si>
    <t>From Tumors to Blood: Biomarker-Based Diagnostics, and Implications in Prognostics and Therapeutics of Glioblastoma Multiforme</t>
  </si>
  <si>
    <t>BRAIN TUMORS (INCL. RETINAL TUMORS); NONE OF THE ABOVE; CANCER; GENOMICS, PROTEOMICS, AND BIOINFORMATICS</t>
  </si>
  <si>
    <t>Biomarkers, Glioblastoma, Diagnostics</t>
  </si>
  <si>
    <t>TITRE II: TIV Infant/Toddler Response Evaluation (TITRE) - follow-up &amp; focus on influenza B</t>
  </si>
  <si>
    <t>EPIDEMIOLOGY; VIRAL; POPULATION HEALTH; VIROLOGY</t>
  </si>
  <si>
    <t>Infant, Response, Influenza B</t>
  </si>
  <si>
    <t>Sled, John G</t>
  </si>
  <si>
    <t>Advanced MRI methods for early detection and characterization of placental dysfunction and the monitoring of therapy</t>
  </si>
  <si>
    <t>PREGNANCY/BIRTH; MULTIDISCIPLINARY</t>
  </si>
  <si>
    <t>MRI, placental dysfunction, detection</t>
  </si>
  <si>
    <t>Neurovascular Adaptation</t>
  </si>
  <si>
    <t>MULTIPLE DISEASE RELEVANCE; ALZHEIMER'S DISEASE; IMAGING; NERVOUS SYSTEM</t>
  </si>
  <si>
    <t>Neurovascular, Adaptation</t>
  </si>
  <si>
    <t>Predicting and preventing brain injury in the antenatal period</t>
  </si>
  <si>
    <t>Biomedical Engineering-Biomedical Imaging; Reproduction and Development-Clinical Embryology, Neonatology and Pediatrics; Cardiovascular, Respiratory and Circulatory Systems-Cardiovascular and Circulatory Sciences</t>
  </si>
  <si>
    <t>brain injury, antenatal, prediction</t>
  </si>
  <si>
    <t>Snider, Denis P</t>
  </si>
  <si>
    <t>Functional correlate of mucosal antibody response to HIV infection in blood.</t>
  </si>
  <si>
    <t>AIDS; IMMUNOLOGY-TRANSPLANTATION; VIROLOGY</t>
  </si>
  <si>
    <t>mucosal antibody, HIV, blood</t>
  </si>
  <si>
    <t>So, Aaron</t>
  </si>
  <si>
    <t>Multi-centre diagnostic performance of dynamic CT perfusion for functional assessment of multi-vessel coronary artery disease with dense coronary calcification</t>
  </si>
  <si>
    <t>Cardiovascular, Respiratory and Circulatory Systems-Clinical and Translational Cardiovascular Sciences</t>
  </si>
  <si>
    <t>CT perfusion, coronary artery disease, calcification</t>
  </si>
  <si>
    <t>So, Alan I</t>
  </si>
  <si>
    <t>Novel 3D personalized bladder cancer model on demand: A new era for personalized medicine.</t>
  </si>
  <si>
    <t>3D, bladder cancer, personalized</t>
  </si>
  <si>
    <t>INTERCEPTORs: engINeered ThERapeutiC dEfensive Particles TO SARS-CoV-2</t>
  </si>
  <si>
    <t>MULTIDISCIPLINARY; MOLECULAR BIOLOGY; VIROLOGY</t>
  </si>
  <si>
    <t>interceptor, engineered particles, SARS-CoV-2</t>
  </si>
  <si>
    <t>Sorensen, Poul H</t>
  </si>
  <si>
    <t>Regulation of fusion oncoprotein stability by the IGF1 receptor axis</t>
  </si>
  <si>
    <t>NEOPLASMS; CANCER THERAPY GENERAL; CANCER; BIOCHEMISTRY</t>
  </si>
  <si>
    <t>fusion,oncoprotein,IGF1 receptor</t>
  </si>
  <si>
    <t>Targeting metabolic vulnerabilities in childhood cancers using immunotherapy</t>
  </si>
  <si>
    <t>metabolic vulnerabilities, childhood cancers, immunotherapy</t>
  </si>
  <si>
    <t>The Hace1 tumour suppressor--a novel regulator of the oxidative stress response</t>
  </si>
  <si>
    <t>NEOPLASMS; LUNG CANCER; MOLECULAR BIOLOGY; CANCER</t>
  </si>
  <si>
    <t>Hace1, tumour suppressor, oxidative stress</t>
  </si>
  <si>
    <t>Soulez, Gilles</t>
  </si>
  <si>
    <t>Magnetic resonance navigation of drug eluting beads for liver cancer therapy: in-vitro optimization and preclinical safety efficacy study</t>
  </si>
  <si>
    <t>magnetic resonance, drug eluting beads, liver cancer</t>
  </si>
  <si>
    <t>Monitoring of abdominal aortic aneurysm after endovascular repair by ultrasound elastography: feasibility, optimization and validation</t>
  </si>
  <si>
    <t>ATHEROSCLEROSIS; MULTIDISCIPLINARY; CARDIOVASCULAR; IMAGING</t>
  </si>
  <si>
    <t>abdominal aortic aneurysm, ultrasound elastography, endovascular repair</t>
  </si>
  <si>
    <t>Spagnuolo, Paul</t>
  </si>
  <si>
    <t>Identification and validation of nutraceuticals that prevent SARS-CoV-2 infection</t>
  </si>
  <si>
    <t>VIRAL; DRUG RESEARCH</t>
  </si>
  <si>
    <t>nutraceuticals, SARS-CoV-2, infection</t>
  </si>
  <si>
    <t>Targeting mitochondria metabolism to selectively kill leukemia cells</t>
  </si>
  <si>
    <t>mitochondria, metabolism, leukemia</t>
  </si>
  <si>
    <t>Spaner, David E</t>
  </si>
  <si>
    <t>Improving Glucocorticoid Therapy in Leukemia</t>
  </si>
  <si>
    <t>CANCER THERAPY GENERAL; LEUKAEMIAS; CANCER; DRUG RESEARCH</t>
  </si>
  <si>
    <t>Glucocorticoid, Leukemia</t>
  </si>
  <si>
    <t>Metabolic Regulation of Toll-like Receptor Agonist Therapy in Leukemia</t>
  </si>
  <si>
    <t>Metabolic, Toll-like Receptor, Leukemia</t>
  </si>
  <si>
    <t>Spicer, Jonathan D</t>
  </si>
  <si>
    <t>Role of the circadian rhythm in the regulation of the tumor microenvironment of non-small cell cancer</t>
  </si>
  <si>
    <t>Cancer-Cancer Progression and Metastasis; Cancer-Mechanisms of Carcinogenesis; Immunology and Infection-Transplantation, Immune Tolerance and Tumor Immunology</t>
  </si>
  <si>
    <t>circadian rhythm, tumor microenvironment, non-small cell cancer</t>
  </si>
  <si>
    <t>St-Pierre, Julie</t>
  </si>
  <si>
    <t>The role of the PGC-1 transcriptional coactivators in the regulation of breast cancer metabolism</t>
  </si>
  <si>
    <t>BREAST CANCER; METABOLISM AND NUTRITION; CANCER; METABOLISM/DIABETES</t>
  </si>
  <si>
    <t>PGC-1, transcriptional coactivators, breast cancer</t>
  </si>
  <si>
    <t>St. Lawrence, Keith S</t>
  </si>
  <si>
    <t>Continuous monitoring of cerebral blood flow and metabolism in the critically ill newborn</t>
  </si>
  <si>
    <t>STROKE, HEART FAILURE; PERINATAL; IMAGING; BIOPHYSICS</t>
  </si>
  <si>
    <t>cerebral blood flow, metabolism, newborn</t>
  </si>
  <si>
    <t>Development of a Perfusion MRI Technique to Investigate Longitudinal Effects of Chronic Pain on Brain Function</t>
  </si>
  <si>
    <t>CNS ORGANIC; IMAGING; NERVOUS SYSTEM</t>
  </si>
  <si>
    <t>Perfusion MRI, Chronic Pain, Brain Function</t>
  </si>
  <si>
    <t>Development of a non-invasive optical device to guide individualized neurointensive care</t>
  </si>
  <si>
    <t>optical device, neurointensive care, non-invasive</t>
  </si>
  <si>
    <t>Does Impaired Cerebral Metabolism Link Vascular Dysfunction to Cognitive Decline?</t>
  </si>
  <si>
    <t>Cerebral Metabolism, Vascular Dysfunction, Cognitive Decline</t>
  </si>
  <si>
    <t>Improving neurological outcome of intensive care by bedside monitoring of cerebral perfusion</t>
  </si>
  <si>
    <t>STROKE, HEART FAILURE; NONE OF THE ABOVE; IMAGING; NERVOUS SYSTEM</t>
  </si>
  <si>
    <t>neurological, perfusion, monitoring</t>
  </si>
  <si>
    <t>Stagg, John</t>
  </si>
  <si>
    <t>Deciphering the role of protease-activated receptor 2 in immuno-oncology</t>
  </si>
  <si>
    <t>protease-activated receptor, immuno-oncology, receptor</t>
  </si>
  <si>
    <t>Remodeling of the tumor microenvironment by CD73: a therapeutic target</t>
  </si>
  <si>
    <t>CANCER THERAPY GENERAL; BREAST CANCER; CANCER; IMMUNOLOGY-TRANSPLANTATION</t>
  </si>
  <si>
    <t>tumor microenvironment, CD73, remodeling</t>
  </si>
  <si>
    <t>Targeting the extracellular adenosine pathway in pancreatic and liver cancers</t>
  </si>
  <si>
    <t>adenosine, pancreatic, liver</t>
  </si>
  <si>
    <t>Stagljar, Igor</t>
  </si>
  <si>
    <t>Development of the mammalian membrane two-hybrid technology</t>
  </si>
  <si>
    <t>NONE OF THE ABOVE; GENETICS; MOLECULAR BIOLOGY</t>
  </si>
  <si>
    <t>mammalian, membrane, two-hybrid</t>
  </si>
  <si>
    <t>Development of the mammalian membrane two-hybrid technology.</t>
  </si>
  <si>
    <t>Identification and analysis of new small-molecules active against drug-resistant non-small cell lung cancer</t>
  </si>
  <si>
    <t>small-molecules, drug-resistant, lung cancer</t>
  </si>
  <si>
    <t>Stambolic, Vuk</t>
  </si>
  <si>
    <t>Functional characterization of the NIMA-related kinase 10 (Nek10) in development and disease</t>
  </si>
  <si>
    <t>BREAST CANCER; MULTIPLE DISEASE RELEVANCE; MOLECULAR BIOLOGY; CANCER</t>
  </si>
  <si>
    <t>NIMA-related kinase, Nek10, disease</t>
  </si>
  <si>
    <t>The Function of Protein Kinase NEK10 in tumour suppression</t>
  </si>
  <si>
    <t>Cancer-Cancer Progression and Metastasis; Genetics-Molecular and Functional Genetics and Epigenetics</t>
  </si>
  <si>
    <t>Protein Kinase, NEK10, Tumour suppression</t>
  </si>
  <si>
    <t>Generative Adversarial Networks for MRI-driven Radiation Therapy</t>
  </si>
  <si>
    <t>Cancer-Clinical Oncology; Artificial Intelligence-Machine Learning; Biomedical Engineering-Biomedical Imaging</t>
  </si>
  <si>
    <t>Generative Adversarial Networks, MRI, Radiation Therapy</t>
  </si>
  <si>
    <t>The role of PCL2/PRC2 in hematopoietic stem cells and leukemia</t>
  </si>
  <si>
    <t>PCL2, PRC2, hematopoietic stem cells</t>
  </si>
  <si>
    <t>Stanisz, Greg J</t>
  </si>
  <si>
    <t>Cancer-Cancer Progression and Metastasis; Neurosciences-Neurological disorders</t>
  </si>
  <si>
    <t>Metabolic MRI, Genomics, Astrocytoma</t>
  </si>
  <si>
    <t>Evaluation of MR Chemical Exchange Saturation Transfer Imaging as a marker of tumour environment and pH</t>
  </si>
  <si>
    <t>CANCER THERAPY GENERAL; BREAST CANCER THERAPY; BIOPHYSICS; CANCER</t>
  </si>
  <si>
    <t>MR, Chemical Exchange Saturation Transfer, tumor environment</t>
  </si>
  <si>
    <t>Redefining the paradigm for surveillance in patients with low-grade glioma using saturation transfer magnetic resonance imaging</t>
  </si>
  <si>
    <t>glioma, magnetic resonance imaging, saturation transfer</t>
  </si>
  <si>
    <t>Saturation Transfer MRI as a biomarker of tumour response to radiation treatment in patients with glioblastoma multiforme</t>
  </si>
  <si>
    <t>Saturation Transfer, MRI, glioblastoma</t>
  </si>
  <si>
    <t>Stefanovic, Bojana</t>
  </si>
  <si>
    <t>Biophysics of Functional MRI</t>
  </si>
  <si>
    <t>MULTIDISCIPLINARY; IMAGING; BIOPHYSICS</t>
  </si>
  <si>
    <t>Biophysics, Functional MRI</t>
  </si>
  <si>
    <t>Imaging metrics of neuronal stochasticity and brain resilience</t>
  </si>
  <si>
    <t>Imaging, neuronal, resilience</t>
  </si>
  <si>
    <t>Modulating peri-ischemic neuronal hyperexcitability</t>
  </si>
  <si>
    <t>peri-ischemic, neuronal, hyperexcitability</t>
  </si>
  <si>
    <t>Rescuing Neurovascular Network Function with Transcranial Neuromodulation</t>
  </si>
  <si>
    <t>Neurovascular, Neuromodulation, Transcranial</t>
  </si>
  <si>
    <t>The mechanism of neurovascular remodelling after focal ischemia</t>
  </si>
  <si>
    <t>STROKE, HEART FAILURE; INJURY, REGENERATION; IMAGING; BIOPHYSICS</t>
  </si>
  <si>
    <t>neurovascular, remodelling, ischemia</t>
  </si>
  <si>
    <t>Steidl, Christian</t>
  </si>
  <si>
    <t>Cytokine receptor common beta chain alterations in mediastinal lymphomas</t>
  </si>
  <si>
    <t>Cancer-Cancer Progression and Metastasis; Molecular, Cellular and Systems Biology-Cell Signaling; Genetics-Genomics, Transcriptomics and Proteomics</t>
  </si>
  <si>
    <t>cytokine receptor, beta chain, lymphomas</t>
  </si>
  <si>
    <t>Prognostic markers and biology of relapsed Hodgkin lymphoma</t>
  </si>
  <si>
    <t>NEOPLASMS; BLOOD; CANCER</t>
  </si>
  <si>
    <t>prognostic markers, Hodgkin lymphoma, relapsed</t>
  </si>
  <si>
    <t>Somatic mutations in the JAK-STAT and IRF signaling pathways in Non-Hodgkin lymphoma</t>
  </si>
  <si>
    <t>JAK-STAT, IRF, lymphoma</t>
  </si>
  <si>
    <t>Somatic mutations in the JAK-STAT signaling pathway in primary mediastinal large B cell lymphoma</t>
  </si>
  <si>
    <t>BLOOD; NEOPLASMS; CANCER</t>
  </si>
  <si>
    <t>JAK-STAT, mutations, lymphoma</t>
  </si>
  <si>
    <t>Stein, Lincoln</t>
  </si>
  <si>
    <t>Identifying Cancer Tissue of Origin using Plasma Whole Genome Sequencing</t>
  </si>
  <si>
    <t>Cancer-Cancer Progression and Metastasis; Artificial Intelligence-Machine Learning</t>
  </si>
  <si>
    <t>Cancer, Genome Sequencing, Tissue</t>
  </si>
  <si>
    <t>Immunotherapeutic Targeting of the U1 snRNA Mutation in Cancer</t>
  </si>
  <si>
    <t>Immunotherapy, U1 snRNA, Cancer</t>
  </si>
  <si>
    <t>Probing the developmental origins of pediatric cerebellar brain cancers using single cell profiling</t>
  </si>
  <si>
    <t>Cancer-Pediatric Cancer; Methods Development and Modelling-Quantitative Methods Development for Health Research; Genetics-Molecular and Functional Genetics and Epigenetics</t>
  </si>
  <si>
    <t>pediatric, cerebellar, single cell profiling</t>
  </si>
  <si>
    <t>Cellular Immuno-Therapy for COVID-19 Induced Acute Respiratory Distress Syndrome: the CIRCA-19 Trial</t>
  </si>
  <si>
    <t>Cellular, Immuno-Therapy, COVID-19</t>
  </si>
  <si>
    <t>Stirling, Peter C</t>
  </si>
  <si>
    <t>Development and application of novel FEN1 endonuclease inhibitors</t>
  </si>
  <si>
    <t>Molecular, Cellular and Systems Biology-Biochemistry; Pharmacological, Toxicological and Pharmaceutical Sciences-Drug Discovery, Design and Delivery; Genetics-Molecular and Functional Genetics and Epigenetics</t>
  </si>
  <si>
    <t>FEN1, endonuclease, inhibitors</t>
  </si>
  <si>
    <t>Stojdl, David F</t>
  </si>
  <si>
    <t>Oncolytic Virus Immunotherapy for Brain Cancer</t>
  </si>
  <si>
    <t>Oncolytic virus, Immunotherapy, Brain cancer</t>
  </si>
  <si>
    <t>Strynadka, Natalie C</t>
  </si>
  <si>
    <t>Bespoke transition state analog inhibitors of SARS-CoV-2 3CL and PL proteases</t>
  </si>
  <si>
    <t>INFECTIOUS AND PARASITIC; DRUGS- PHARMACEUTICAL SCIENCE/CHEMISTRY &amp; NON MEDICAL USE OF DRUGS; DRUG RESEARCH; BIOPHYSICS</t>
  </si>
  <si>
    <t>transition state, inhibitors, proteases</t>
  </si>
  <si>
    <t>Longitudinal symptom screening and symptom reporting, and development and access to supportive care clinical practice guidelines using SPARK (Supportive care Prioritization, Assessment and Recommendations for Kids) in children receiving cancer treatment</t>
  </si>
  <si>
    <t>symptom screening, supportive care, clinical guidelines</t>
  </si>
  <si>
    <t>FetAS: Fetal Assessment Suite to Facilitate Rapid Fetal MRI Diagnosis using Artificial Intelligence</t>
  </si>
  <si>
    <t>Artificial Intelligence-Machine Learning; Biomedical Engineering-Biomedical Imaging; Reproduction and Development-Clinical Embryology, Neonatology and Pediatrics</t>
  </si>
  <si>
    <t>Fetal MRI, Artificial Intelligence, Diagnosis</t>
  </si>
  <si>
    <t>Tabori, Uri</t>
  </si>
  <si>
    <t>Biological and translational implications of replication repair deficiency and hypermutation in human cancer</t>
  </si>
  <si>
    <t>replication repair, hypermutation, cancer</t>
  </si>
  <si>
    <t>Clinical and biological implications of monoallelic gene expression in pediatric malignant brain tumors.</t>
  </si>
  <si>
    <t>monoallelic gene expression, pediatric brain tumors, malignancy</t>
  </si>
  <si>
    <t>Dissecting the origins and microenvironment of replication repair deficient hypermutant gliomas for novel immune based therapies</t>
  </si>
  <si>
    <t>replication, repair, gliomas</t>
  </si>
  <si>
    <t>Novel implications of THOR hypermethylation in telomere maintenance and gliomageneis.</t>
  </si>
  <si>
    <t>CANCER THERAPY GENERAL; NEOPLASMS; CANCER; NERVOUS SYSTEM</t>
  </si>
  <si>
    <t>THOR, hypermethylation, telomere</t>
  </si>
  <si>
    <t>Prediction and Prevention of glioma recurrence by targeting telomere dependent self-renewal capacity of tumor initiating cells.</t>
  </si>
  <si>
    <t>glioma, telomere, self-renewal</t>
  </si>
  <si>
    <t>Uncovering the mechanism and impact of novel genetic and epigenetic promoter alterations on tissue-specific mismatch repair deficient cancers</t>
  </si>
  <si>
    <t>Cancer-Mechanisms of Carcinogenesis; Genetics-Molecular and Functional Genetics and Epigenetics; Methods Development and Modelling-Quantitative Methods Development for Health Research</t>
  </si>
  <si>
    <t>genetic, epigenetic, mismatch repair</t>
  </si>
  <si>
    <t>Tabrizian, Maryam</t>
  </si>
  <si>
    <t>Conformal coating using layer-by-layer self-assembly of polyelectrolytes for immunomodulation of pancreatic islets</t>
  </si>
  <si>
    <t>Biomedical Engineering-Biomaterials, Nanotechnology and Biomechanics; Digestive, Endocrine and Excretory Systems-Metabolism and Disease (including Obesity, Diabetes and Metabolomics); Molecular, Cellular and Systems Biology-Cell Signaling</t>
  </si>
  <si>
    <t>conformal coating, layer-by-layer, polyelectrolytes</t>
  </si>
  <si>
    <t>Engineering bacteria-based nanoplexes for melanoma immunomodulation</t>
  </si>
  <si>
    <t>Biomedical Engineering-Biomaterials, Nanotechnology and Biomechanics; Cancer-Cancer Drug Development and Therapeutics; Pharmacological, Toxicological and Pharmaceutical Sciences-Drug Discovery, Design and Delivery</t>
  </si>
  <si>
    <t>bacteria, nanoplexes, melanoma</t>
  </si>
  <si>
    <t>Nanoplexes for Targeted Anti-Inflammatory Gene Therapy in Atherosclerosis</t>
  </si>
  <si>
    <t>Biomedical Engineering-Biomaterials, Nanotechnology and Biomechanics; Biomedical Engineering-Regenerative Medicine and Tissue Engineering; Cardiovascular, Respiratory and Circulatory Systems-Vascular and Endothelial Biology</t>
  </si>
  <si>
    <t>Nanoplexes, Anti-Inflammatory, Gene Therapy</t>
  </si>
  <si>
    <t>Tai, Isabella T</t>
  </si>
  <si>
    <t>The role of SPARC in chemotherapy sensitization</t>
  </si>
  <si>
    <t>GASTRO-INTESTINAL CANCER; CANCER THERAPY GENERAL; CANCER; GASTROINTESTINAL (LIVER)</t>
  </si>
  <si>
    <t>SPARC, chemotherapy, sensitization</t>
  </si>
  <si>
    <t>Tai, Lee-Hwa</t>
  </si>
  <si>
    <t>Precision virotherapy to treat bladder cancer</t>
  </si>
  <si>
    <t>virotherapy, bladder cancer, precision</t>
  </si>
  <si>
    <t>Targeting metastatic disease of triple negative breast cancer with an immunogenic cancer vaccine</t>
  </si>
  <si>
    <t>metastatic disease, triple negative breast cancer, immunogenic vaccine</t>
  </si>
  <si>
    <t>Tandon, Puneeta</t>
  </si>
  <si>
    <t>HEAL-C : Home-based eHealth App for Cirrhosis</t>
  </si>
  <si>
    <t>LIVER DISEASE; MUSCULO SKELETAL; GASTROINTESTINAL (LIVER); MUSCLE, BONE, OR JOINT</t>
  </si>
  <si>
    <t>eHealth, Cirrhosis, App</t>
  </si>
  <si>
    <t>Tang, Damu</t>
  </si>
  <si>
    <t>Characterization of a novel prostate cancer factor contactin 1 (CNTN1)-derived tumorigenesis through establishing a new transgenic mouse model for prostate cancer</t>
  </si>
  <si>
    <t>prostate cancer, contactin 1, tumorigenesis</t>
  </si>
  <si>
    <t>PCSK9, a novel contributor to the development of castration resistant prostate cancer</t>
  </si>
  <si>
    <t>PCSK9, prostate cancer, castration resistant</t>
  </si>
  <si>
    <t>Tannock, Ian F</t>
  </si>
  <si>
    <t>Distribution of anticancer drugs and target cells within solid tumours</t>
  </si>
  <si>
    <t>anticancer, drugs, tumours</t>
  </si>
  <si>
    <t>Phase II clinical trial of pantoprazole and docetaxel for men with metastatic castration-resistant prostate cancer</t>
  </si>
  <si>
    <t>PROSTATE AND BLADDER CANCER THERAPY; CANCER</t>
  </si>
  <si>
    <t>pantoprazole, docetaxel, prostate cancer</t>
  </si>
  <si>
    <t>Taylor, Michael D</t>
  </si>
  <si>
    <t>Role of Histone Lysine Methylation in Medulloblastoma and Cerebellar Development</t>
  </si>
  <si>
    <t>BRAIN TUMORS (INCL. RETINAL TUMORS); NEOPLASMS; CANCER; NERVOUS SYSTEM</t>
  </si>
  <si>
    <t>Histone, Methylation, Medulloblastoma</t>
  </si>
  <si>
    <t>Teodoro, Jose G</t>
  </si>
  <si>
    <t>Targeting the RNA translatome to enhance anti-mitotic chemotherapy.</t>
  </si>
  <si>
    <t>Cancer-Cancer Drug Development and Therapeutics; Cancer-Cancer Progression and Metastasis; Pharmacological, Toxicological and Pharmaceutical Sciences-Drug Discovery, Design and Delivery</t>
  </si>
  <si>
    <t>RNA, translatome, chemotherapy</t>
  </si>
  <si>
    <t>Tumour suppressor mediated mechanisms of angiogenesis inhibition</t>
  </si>
  <si>
    <t>CANCER THERAPY GENERAL; LUNG CANCER</t>
  </si>
  <si>
    <t>tumour suppressor, angiogenesis</t>
  </si>
  <si>
    <t>Non-invasive PET imaging of tropomyosin related kinase B/C receptor in humans</t>
  </si>
  <si>
    <t>Pharmacological, Toxicological and Pharmaceutical Sciences-Drug Discovery, Design and Delivery; Neurosciences-Neurogenesis, Neurodifferentiation and Plasticity; Neuroimaging</t>
  </si>
  <si>
    <t>PET, imaging, kinase</t>
  </si>
  <si>
    <t>Thompson, Richard B</t>
  </si>
  <si>
    <t>Imaging Diffuse Fibrosis in Acute Myocardial Infarction</t>
  </si>
  <si>
    <t>CARDIOLOGY; MULTIDISCIPLINARY; IMAGING; CARDIOVASCULAR</t>
  </si>
  <si>
    <t>Imaging, Fibrosis, Myocardial Infarction</t>
  </si>
  <si>
    <t>Imaging of Long Term Tissue Damage from COVID-19 and Cardiometabolic Disease</t>
  </si>
  <si>
    <t>Biomedical Engineering-Biomedical Imaging; Musculoskeletal Health-Skeletal Muscle Biology and Physiology</t>
  </si>
  <si>
    <t>Imaging, Tissue Damage, COVID-19</t>
  </si>
  <si>
    <t>Imaging the Mechanisms of Diastolic Dysfunction and its Role in Cardiovascular Performance</t>
  </si>
  <si>
    <t>Imaging, Diastolic Dysfunction, Cardiovascular</t>
  </si>
  <si>
    <t>Quantitative Imaging of the Evolution of the Whole-Body Fat Profile in Breast Cancer Survivors</t>
  </si>
  <si>
    <t>Imaging, Fat Profile, Breast Cancer</t>
  </si>
  <si>
    <t>Quantitative Magnetic Resonance Imaging of Pulmonary Edema: Application in Acute Heart Failure</t>
  </si>
  <si>
    <t>Cardiovascular, Respiratory and Circulatory Systems-Cardiovascular and Circulatory Sciences; Biomedical Engineering-Biomedical Imaging</t>
  </si>
  <si>
    <t>Magnetic Resonance Imaging, Pulmonary Edema, Heart Failure</t>
  </si>
  <si>
    <t>Thornton, Gail M</t>
  </si>
  <si>
    <t>200809IMH</t>
  </si>
  <si>
    <t>Damage Mechanics and Mechanisms in Ligament and Tendon</t>
  </si>
  <si>
    <t>MUSCULO SKELETAL; AGING; MUSCLE, BONE, OR JOINT</t>
  </si>
  <si>
    <t>Damage, Mechanics, Ligament</t>
  </si>
  <si>
    <t>Thu, Kelsie L</t>
  </si>
  <si>
    <t>Investigation of centrosome amplification as a therapeutic vulnerability in non-small cell lung cancer</t>
  </si>
  <si>
    <t>centrosome amplification, non-small cell lung cancer</t>
  </si>
  <si>
    <t>Tiedemann, Rodger</t>
  </si>
  <si>
    <t>A small molecule inhibitor of G protein-coupled Receptor Kinase 6 (GRK6) to treat human Multiple Myeloma and related diseases</t>
  </si>
  <si>
    <t>CANCER THERAPY GENERAL; BONE CANCER THERAPY; CANCER; DRUG RESEARCH</t>
  </si>
  <si>
    <t>small molecule, G protein-coupled Receptor Kinase 6, Multiple Myeloma</t>
  </si>
  <si>
    <t>Tikhonova, Anastasia</t>
  </si>
  <si>
    <t>Identification of microenvironmental cues that promote acute lymphoblastic leukemia</t>
  </si>
  <si>
    <t>microenvironmental cues, acute lymphoblastic leukemia</t>
  </si>
  <si>
    <t>Tonin, Patricia N</t>
  </si>
  <si>
    <t>An integrated functional and genomics approach at elucidating the chromosome 3 genes important in ovarian cancer</t>
  </si>
  <si>
    <t>NEOPLASMS; GENITO/URINARY SYSTEM; CANCER; MOLECULAR BIOLOGY</t>
  </si>
  <si>
    <t>chromosome 3, genomics, ovarian cancer</t>
  </si>
  <si>
    <t>Discovering new high-risk ovarian cancer predisposing genes through targeted genetic analyses of a Canadian founder population</t>
  </si>
  <si>
    <t>Cancer-Mechanisms of Carcinogenesis; Genetics-Clinical Genetics</t>
  </si>
  <si>
    <t>ovarian cancer, genetic analyses, predisposing genes</t>
  </si>
  <si>
    <t>Elucidating the tumor suppressor genes involved in reprogramming an ovarian cancer cell line model modified by chromosome 3 transfer</t>
  </si>
  <si>
    <t>tumor suppressor, reprogramming, ovarian cancer</t>
  </si>
  <si>
    <t>Too, Catherine K</t>
  </si>
  <si>
    <t>201203RNS</t>
  </si>
  <si>
    <t>The Role of Carboxypeptidase-D in Prostate Cancer Growth and Progression</t>
  </si>
  <si>
    <t>PROSTATE AND BLADDER CANCER; PROSTATE AND BLADDER CANCER THERAPY; CANCER; ENDOCRINOLOGY</t>
  </si>
  <si>
    <t>Carboxypeptidase-D, Prostate Cancer, Growth</t>
  </si>
  <si>
    <t>Toren, Paul</t>
  </si>
  <si>
    <t>Targeting sex steroids to improve the response to bladder cancer immunotherapy</t>
  </si>
  <si>
    <t>Cancer-Clinical Oncology; Sex-and-Gender Health-Sex Differences in Cells, Tissues and Animals; Immunology and Infection-Transplantation, Immune Tolerance and Tumor Immunology</t>
  </si>
  <si>
    <t>sex steroids, bladder cancer, immunotherapy</t>
  </si>
  <si>
    <t>Tremblay, Michel J</t>
  </si>
  <si>
    <t>A new human cell experimental system for evaluating prototype HIV-1 vaccines</t>
  </si>
  <si>
    <t>human cell, HIV-1, vaccines</t>
  </si>
  <si>
    <t>Tremblay, Michel L</t>
  </si>
  <si>
    <t>The PRL-CNNM-Magnesium cascade, a new paradigm in oncogenesis.</t>
  </si>
  <si>
    <t>CANCER THERAPY GENERAL; BREAST CANCER; CANCER; CELL BIOLOGY</t>
  </si>
  <si>
    <t>PRL-CNNM, Magnesium, oncogenesis</t>
  </si>
  <si>
    <t>Tron, Victor A</t>
  </si>
  <si>
    <t>The role of microRNAs in Malignant Melanoma</t>
  </si>
  <si>
    <t>CANCER THERAPY GENERAL; NONE OF THE ABOVE; CANCER; HEALTH RESEARCH</t>
  </si>
  <si>
    <t>microRNAs, Malignant Melanoma</t>
  </si>
  <si>
    <t>Troyer, Ryan</t>
  </si>
  <si>
    <t>Simple assay to assess antibody-dependent enhancement of SARS-CoV-2</t>
  </si>
  <si>
    <t>VIRAL; VIROLOGY; IMMUNOLOGY-TRANSPLANTATION</t>
  </si>
  <si>
    <t>assay, antibody, SARS-CoV-2</t>
  </si>
  <si>
    <t>Diagnosis of Aggressive Prostate Cancer Using Key Features of Raman Spectroscopy</t>
  </si>
  <si>
    <t>Cancer-Cancer Progression and Metastasis; Molecular, Cellular and Systems Biology-Biochemistry</t>
  </si>
  <si>
    <t>Prostate Cancer, Raman Spectroscopy, Diagnosis</t>
  </si>
  <si>
    <t>Trudel, Guy</t>
  </si>
  <si>
    <t>Autologous Bone Marrow-Derived Cellular Augmentation in Rotator Cuff Repair</t>
  </si>
  <si>
    <t>MUSCULO SKELETAL; INJURY, REGENERATION; MUSCLE, BONE, OR JOINT</t>
  </si>
  <si>
    <t>Bone Marrow, Cellular, Rotator Cuff</t>
  </si>
  <si>
    <t>Aqueous two-phase system technology for biomarker isolation and next-generation non-invasive active surveillance of prostate cancer</t>
  </si>
  <si>
    <t>Aqueous two-phase system, biomarker isolation, prostate cancer</t>
  </si>
  <si>
    <t>Tsakiridis, Theodoros</t>
  </si>
  <si>
    <t>A phase II study to investigate combination of chemo-radiotherapy with metformin in patients with Locally Advanced Non-Small Cell Lung Cancer (LA-NSCLC).</t>
  </si>
  <si>
    <t>LUNG CANCER THERAPY; CANCER THERAPY GENERAL; CANCER; HEALTH RESEARCH</t>
  </si>
  <si>
    <t>chemo-radiotherapy, metformin, lung cancer</t>
  </si>
  <si>
    <t>Point of Care Heart-Lung Imaging for Patients Presenting with COVID-19 Symptoms: Artificial Intelligence Precision Modeling for Prediction of Outcomes</t>
  </si>
  <si>
    <t>INFECTIOUS AND PARASITIC; CARDIOLOGY; CARDIOVASCULAR; IMAGING</t>
  </si>
  <si>
    <t>Heart-Lung, Imaging, COVID-19</t>
  </si>
  <si>
    <t>Tsao, Ming-Sound</t>
  </si>
  <si>
    <t>Discovering pathways to drug tolerance and therapeutic vulnerabilities of persister cells in lung cancer</t>
  </si>
  <si>
    <t>Cancer-Cancer Drug Development and Therapeutics; Molecular, Cellular and Systems Biology-Cell Biology and Physiology; Cardiovascular, Respiratory and Circulatory Systems-Respiratory System Pathologies and Clinical Interventions</t>
  </si>
  <si>
    <t>drug tolerance, persister cells, lung cancer</t>
  </si>
  <si>
    <t>Functional Genomics and in vitro Modeling of Human Pancreatic Carcinogenesis</t>
  </si>
  <si>
    <t>NEOPLASMS; GASTRO-INTESTINAL CANCER; CANCER; CELL BIOLOGY</t>
  </si>
  <si>
    <t>Genomics, in vitro, Pancreatic Carcinogenesis</t>
  </si>
  <si>
    <t>Predictive biomarkers for adjuvant immune checkpoint inhibitor therapy in non-small cell lung cancer</t>
  </si>
  <si>
    <t>biomarkers, immune checkpoint, lung cancer</t>
  </si>
  <si>
    <t>Roles of carcinoma associated fibroblasts and tumor stromal genes in lung cancer</t>
  </si>
  <si>
    <t>carcinoma associated fibroblasts, tumor stromal genes, lung cancer</t>
  </si>
  <si>
    <t>Turcotte, Sandra</t>
  </si>
  <si>
    <t>Characterization of PIKfyve as novel therapeutic target in clear cell Renal Cell Carcinoma</t>
  </si>
  <si>
    <t>PIKfyve, renal cell carcinoma, characterization</t>
  </si>
  <si>
    <t>Exploiting synthetic lethality in Renal Cell Carcinoma: Targeting the loss of the von Hippel-Lindau tumor suppressor gene through autophagy for the development of anticancer therapy</t>
  </si>
  <si>
    <t>CANCER; BIOCHEMISTRY</t>
  </si>
  <si>
    <t>synthetic lethality, renal cell carcinoma, autophagy</t>
  </si>
  <si>
    <t>Tyrrell, D. Lorne J</t>
  </si>
  <si>
    <t>Advancing a Potent Inhibitor of SARS-CoV-2 3CL Protease into Clinical Trials</t>
  </si>
  <si>
    <t>DRUGS- PHARMACEUTICAL SCIENCE/CHEMISTRY &amp; NON MEDICAL USE OF DRUGS; VIRAL; DRUG RESEARCH</t>
  </si>
  <si>
    <t>SARS-CoV-2, 3CL Protease, Inhibitor</t>
  </si>
  <si>
    <t>Characterization of interferon-lambda 1 as a treatment for COVID-19</t>
  </si>
  <si>
    <t>interferon-lambda, COVID-19</t>
  </si>
  <si>
    <t>Uludag, Hasan</t>
  </si>
  <si>
    <t>Designing Amphiphilic Polymeric Carriers of DNA for Gene Therapy</t>
  </si>
  <si>
    <t>MUSCULO SKELETAL; SKIN AND SUBCUTANEOUS TISSUS; CELL BIOLOGY; DRUG RESEARCH</t>
  </si>
  <si>
    <t>Amphiphilic, Polymeric, DNA</t>
  </si>
  <si>
    <t>Engineering Biomimetic Gene Activated Matrices for Bone Tissue Regeneration</t>
  </si>
  <si>
    <t>Biomedical Engineering-Regenerative Medicine and Tissue Engineering; Musculoskeletal Health-Bone, Skin and Cartilage Sciences; Pharmacological, Toxicological and Pharmaceutical Sciences-Drug Discovery, Design and Delivery</t>
  </si>
  <si>
    <t>Biomimetic, Gene Activated, Bone Tissue</t>
  </si>
  <si>
    <t>Synthetic Biomaterials to Package and Deliver siRNA Nanoparticles in order to Curb Uncontrolled Growth of Leukemic Cells</t>
  </si>
  <si>
    <t>Biomedical Engineering-Biomaterials, Nanotechnology and Biomechanics; Cancer-Cancer Drug Development and Therapeutics; Genetics-Molecular and Functional Genetics and Epigenetics</t>
  </si>
  <si>
    <t>biomaterials, siRNA, nanoparticles</t>
  </si>
  <si>
    <t>siRNA Therapy for Leukemia: Synthetic Biomaterials to Deliver siRNA and Curb Uncontrolled Growth of Leukemic Cells</t>
  </si>
  <si>
    <t>siRNA, Biomaterials, Leukemia</t>
  </si>
  <si>
    <t>Underhill, Michael</t>
  </si>
  <si>
    <t>Fate and function of mesenchymal progenitors within the medulloblastoma tumour microenvironment</t>
  </si>
  <si>
    <t>mesenchymal progenitors, medulloblastoma, microenvironment</t>
  </si>
  <si>
    <t>Ungrin, Mark D</t>
  </si>
  <si>
    <t>Optimizing the size and composition of beta cell aggregates to improve islet graft survival</t>
  </si>
  <si>
    <t>DIABETES MELLITUS; METABOLISM/DIABETES; CELL BIOLOGY</t>
  </si>
  <si>
    <t>beta cell, islet graft, aggregates</t>
  </si>
  <si>
    <t>Project Grant - PA: Nutrition, Metabolism and Diabetes</t>
  </si>
  <si>
    <t>201809PJ9</t>
  </si>
  <si>
    <t>Scalable production, delivery and assessment of human pseudoislets for research and clinical applications</t>
  </si>
  <si>
    <t>Biomedical Engineering-Regenerative Medicine and Tissue Engineering; Digestive, Endocrine and Excretory Systems-Metabolism and Disease (including Obesity, Diabetes and Metabolomics)</t>
  </si>
  <si>
    <t>pseudoislets, production, delivery</t>
  </si>
  <si>
    <t>Unrau, Peter J</t>
  </si>
  <si>
    <t>General and Inexpensive Saliva-based Viral RNA Testing by Direct Imaging</t>
  </si>
  <si>
    <t>VIRAL; MULTIDISCIPLINARY; IMAGING; BIOCHEMISTRY</t>
  </si>
  <si>
    <t>Saliva, Viral RNA, Imaging</t>
  </si>
  <si>
    <t>Unsworth, Larry D</t>
  </si>
  <si>
    <t>Delivery platforms for treating perinatal brain injury</t>
  </si>
  <si>
    <t>delivery, brain injury, perinatal</t>
  </si>
  <si>
    <t>Peptide decorated magnetic nanoparticle strategies for minimally invasive targeting and removing exfoliation materials from the anterior lens capsule</t>
  </si>
  <si>
    <t>peptide, magnetic nanoparticle, lens capsule</t>
  </si>
  <si>
    <t>Ursini-Siegel, Giuseppina</t>
  </si>
  <si>
    <t>Capitalizing on an oxidative stress response to sensitize poor outcome cancers to PARP inhibitors</t>
  </si>
  <si>
    <t>oxidative stress, cancer, PARP inhibitors</t>
  </si>
  <si>
    <t>Defining the Molecular Mechanisms and Clinical Implications of p66ShcA as a Driver of the Epithelial to Mesenchymal Transition in Breast Cancer</t>
  </si>
  <si>
    <t>BREAST CANCER; NEOPLASMS; CANCER; MOLECULAR BIOLOGY</t>
  </si>
  <si>
    <t>p66ShcA, Epithelial to Mesenchymal Transition, Breast Cancer</t>
  </si>
  <si>
    <t>Defining the mechanisms and therapeutic potential of ShcA-mediated angiogenesis and metabolism that fuel breast tumorigenesis</t>
  </si>
  <si>
    <t>ShcA, angiogenesis, tumorigenesis</t>
  </si>
  <si>
    <t>Inducing oxidative stress as a mechanism to increase the clinical impact of complex I inhibitors in treating aggressive breast cancers.</t>
  </si>
  <si>
    <t>oxidative stress, complex I inhibitors, breast cancers</t>
  </si>
  <si>
    <t>Mechanisms through which ShcA integrates tyrosine kinase signaling to promote breast cancer progression</t>
  </si>
  <si>
    <t>BREAST CANCER; CANCER; MOLECULAR BIOLOGY</t>
  </si>
  <si>
    <t>ShcA, tyrosine kinase, breast cancer</t>
  </si>
  <si>
    <t>Understanding how oxidative stress influences tumor evolution via metabolic reprogramming</t>
  </si>
  <si>
    <t>oxidative stress, tumor, metabolic reprogramming</t>
  </si>
  <si>
    <t>Developing allosteric inhibitors of mitochondrial ClpP protease for acute myeloid leukemia</t>
  </si>
  <si>
    <t>Cancer-Cancer Drug Development and Therapeutics; Molecular, Cellular and Systems Biology-Structure and Function of Macromolecules; Pharmacological, Toxicological and Pharmaceutical Sciences-Drug Discovery, Design and Delivery</t>
  </si>
  <si>
    <t>allosteric, inhibitors, ClpP</t>
  </si>
  <si>
    <t>Development of boron-based inhibitors of the mitochondrial ClpXP protease to combat AML</t>
  </si>
  <si>
    <t>boron, ClpXP, AML</t>
  </si>
  <si>
    <t>Valliant, John F</t>
  </si>
  <si>
    <t>Getting to the heart of hard-to-treat cancers: Anti-CD133 theranostics for molecular imaging and treatment of GBM</t>
  </si>
  <si>
    <t>CD133, theranostics, GBM</t>
  </si>
  <si>
    <t>Vanderhyden, Barbara C</t>
  </si>
  <si>
    <t>Enhancing ovarian cancer immunogenicity by increasing antitumoral responses using engineered oncolytic vaccines</t>
  </si>
  <si>
    <t>Cancer-Cancer Drug Development and Therapeutics; Immunology and Infection-Antiviral Drug Resistance, Viral Vaccine Development and Therapeutics (including vaccines); Immunology and Infection-Transplantation, Immune Tolerance and Tumor Immunology</t>
  </si>
  <si>
    <t>ovarian cancer, immunogenicity, oncolytic vaccines</t>
  </si>
  <si>
    <t>Increasing anti-tumoral responses to ovarian cancer using engineered viruses</t>
  </si>
  <si>
    <t>anti-tumoral, engineered viruses, ovarian cancer</t>
  </si>
  <si>
    <t>SLAMF7 in innate immune cells and anti-cancer immunotherapy</t>
  </si>
  <si>
    <t>SLAMF7, immune cells, immunotherapy</t>
  </si>
  <si>
    <t>Targeting inhibitory immune checkpoints in macrophages for anti-cancer therapy</t>
  </si>
  <si>
    <t>immune checkpoints, macrophages, cancer</t>
  </si>
  <si>
    <t>Velenosi, Thomas J</t>
  </si>
  <si>
    <t>Characterizing and validating diacetylspermine as a metabolic biomarker of drug response and precision treatment in triple-negative breast cancer</t>
  </si>
  <si>
    <t>diacetylspermine, biomarker, breast cancer</t>
  </si>
  <si>
    <t>Characterizing diacetylspermine as a biomarker of drug response and precision treatment in triple-negative breast cancer</t>
  </si>
  <si>
    <t>Venturutti, Leandro</t>
  </si>
  <si>
    <t>Self reactivity as a driver of extranodal diffuse large B-cell lymphoma transformation and progression.</t>
  </si>
  <si>
    <t>Cancer-Cancer Progression and Metastasis; Cancer-Mechanisms of Carcinogenesis; Immunology and Infection-Immunology and Autoimmune Diseases (including rheumatology)</t>
  </si>
  <si>
    <t>self reactivity, extranodal, B-cell lymphoma</t>
  </si>
  <si>
    <t>Vitkin, I. Alex</t>
  </si>
  <si>
    <t>Optical coherence tomography for assessment of early radiobiological response in-vivo</t>
  </si>
  <si>
    <t>CANCER THERAPY GENERAL; BIOPHYSICS; IMAGING</t>
  </si>
  <si>
    <t>Optical coherence tomography, radiobiological response, in-vivo</t>
  </si>
  <si>
    <t>Shedding light on SBRT: functional optical coherence tomography and MR imaging for in vivo monitoring of high-dose few-fractions radiotherapy of pancreatic cancer</t>
  </si>
  <si>
    <t>Biomedical Engineering-Biomedical Imaging; Biophysics and bioimaging</t>
  </si>
  <si>
    <t>optical coherence tomography, MR imaging, radiotherapy</t>
  </si>
  <si>
    <t>Wide-field polarimetric imaging for targeted and rapid high-sensitivity analysis of breast cancer margins and heterogeneity with mass spectrometry</t>
  </si>
  <si>
    <t>polarimetric, imaging, mass spectrometry</t>
  </si>
  <si>
    <t>Identification of therapeutically relevant targets in telomerase overexpressing prostate cancers</t>
  </si>
  <si>
    <t>telomerase, prostate cancer, targets</t>
  </si>
  <si>
    <t>Waisman, David M</t>
  </si>
  <si>
    <t>Significance of S100A10 (p11) in breast cancer tumor progression</t>
  </si>
  <si>
    <t>S100A10, breast cancer, tumor progression</t>
  </si>
  <si>
    <t>Waldman, Stephen D</t>
  </si>
  <si>
    <t>Controlling Glucose Metabolism to Develop Superior Tissue Engineered Cartilage</t>
  </si>
  <si>
    <t>Biomedical Engineering-Regenerative Medicine and Tissue Engineering; Musculoskeletal Health-Bone, Skin and Cartilage Sciences</t>
  </si>
  <si>
    <t>Glucose, Metabolism, Cartilage</t>
  </si>
  <si>
    <t>Tissue engineering of auricular cartilage implants for external ear reconstruction</t>
  </si>
  <si>
    <t>SKIN AND SUBCUTANEOUS TISSUS; CONGENITAL ANOMALIES; MUSCLE, BONE, OR JOINT; BIOPHYSICS</t>
  </si>
  <si>
    <t>tissue engineering, auricular cartilage, ear reconstruction</t>
  </si>
  <si>
    <t>Walsh, Logan A</t>
  </si>
  <si>
    <t>Combining highly multiplexed imaging data with AI to unlock new predictive biomarkers for lung cancer</t>
  </si>
  <si>
    <t>multiplexed imaging, AI, biomarkers</t>
  </si>
  <si>
    <t>Enhancing immunotherapy through the food-gut-axis in non-small cell lung cancer</t>
  </si>
  <si>
    <t>immunotherapy, gut-axis, lung cancer</t>
  </si>
  <si>
    <t>Wan, Yonghong</t>
  </si>
  <si>
    <t>Potentiation of cancer immunotherapy by HDAC inhibition</t>
  </si>
  <si>
    <t>cancer, immunotherapy, HDAC</t>
  </si>
  <si>
    <t>Wang, Jun</t>
  </si>
  <si>
    <t>Development of Novel Molecular Adjuvants for Genetic Vaccination</t>
  </si>
  <si>
    <t>Molecular adjuvants, genetic vaccination</t>
  </si>
  <si>
    <t>A comprehensive study on bone quality for the prediction of second hip fractures</t>
  </si>
  <si>
    <t>bone, fracture, prediction</t>
  </si>
  <si>
    <t>201809PJ5</t>
  </si>
  <si>
    <t>Bone hypermineralization in older men and women and its impact on hip fragility</t>
  </si>
  <si>
    <t>bone, hypermineralization, fragility</t>
  </si>
  <si>
    <t>Mechanisms of Bone Fracture and their Clinical Applications</t>
  </si>
  <si>
    <t>OSTEOPOROSIS; AGING; MUSCLE, BONE, OR JOINT</t>
  </si>
  <si>
    <t>Bone, Fracture, Mechanisms</t>
  </si>
  <si>
    <t>Wang, Yemin</t>
  </si>
  <si>
    <t>Exploit the metabolic vulnerabilities in SWI/SNF-deficient cancer</t>
  </si>
  <si>
    <t>metabolic, vulnerabilities, SWI/SNF-deficient</t>
  </si>
  <si>
    <t>Wang, Yuzhuo</t>
  </si>
  <si>
    <t>A master transcription factor driving cell lineage reprogramming in neuroendocrine prostate cancer development and progression</t>
  </si>
  <si>
    <t>transcription factor, cell reprogramming, neuroendocrine prostate cancer</t>
  </si>
  <si>
    <t>Function and therapeutic potential of SUV420H2 in neuroendocrine prostate cancer</t>
  </si>
  <si>
    <t>SUV420H2, neuroendocrine, prostate cancer</t>
  </si>
  <si>
    <t>Identification and functional analysis of a novel metastasis-associated gene in prostate cancer</t>
  </si>
  <si>
    <t>metastasis, gene, prostate cancer</t>
  </si>
  <si>
    <t>Identification of miRNAs and their Specific Gene Targets that are Critical for Prostate Cancer Metastases</t>
  </si>
  <si>
    <t>miRNAs, gene targets, prostate cancer</t>
  </si>
  <si>
    <t>Prostate Cancer Metastasis-Associated Serum miRNAs</t>
  </si>
  <si>
    <t>PROSTATE AND BLADDER CANCER; CANCER; ENDOCRINOLOGY</t>
  </si>
  <si>
    <t>Prostate, Cancer, miRNAs</t>
  </si>
  <si>
    <t>The role of PRDM16 in neuroendocrine prostate cancer development and aggressiveness</t>
  </si>
  <si>
    <t>PRDM16, neuroendocrine, prostate cancer</t>
  </si>
  <si>
    <t>Histopathology image analysis for prostate cancer prognosis after radical prostatectomy</t>
  </si>
  <si>
    <t>Cancer-Clinical Oncology; Biomedical Engineering-Biophysics, Medical Technologies and Instrumentation; Artificial Intelligence-Machine Learning</t>
  </si>
  <si>
    <t>histopathology, image analysis, prostate cancer</t>
  </si>
  <si>
    <t>Watson, Ian R</t>
  </si>
  <si>
    <t>Defining the distinct roles of MAPK pathway mutations in immune and targeted therapy response in melanoma</t>
  </si>
  <si>
    <t>MAPK, mutations, melanoma</t>
  </si>
  <si>
    <t>Identification of biomarkers using single cell technology that inform on optimal duration of immunotherapy treatment in melanoma</t>
  </si>
  <si>
    <t>biomarkers, single cell, immunotherapy</t>
  </si>
  <si>
    <t>Investigation of the sexual dimorphic role of DDX3X in melanoma</t>
  </si>
  <si>
    <t>Cancer-Mechanisms of Carcinogenesis; Molecular, Cellular and Systems Biology-Cell Signaling; Genetics-Genomics, Transcriptomics and Proteomics</t>
  </si>
  <si>
    <t>DDX3X, melanoma, sexual dimorphism</t>
  </si>
  <si>
    <t>Towards a comprehensive understanding of adaptive immunity to SARS-CoV-2</t>
  </si>
  <si>
    <t>INFECTIOUS AND PARASITIC; VIRAL; IMMUNOLOGY-TRANSPLANTATION</t>
  </si>
  <si>
    <t>adaptive immunity, SARS-CoV-2</t>
  </si>
  <si>
    <t>Weersink, Robert A</t>
  </si>
  <si>
    <t>Improving Target Definition in Radiation Therapy Planning by the Spatial Registration of Optical Endoscopy Imaging with Volumetric Imaging</t>
  </si>
  <si>
    <t>CANCER THERAPY GENERAL; GASTRO-INTESTINAL CANCER THERAPY; CANCER; IMAGING</t>
  </si>
  <si>
    <t>Radiation Therapy, Optical Endoscopy, Volumetric Imaging</t>
  </si>
  <si>
    <t>Weinfeld, Michael</t>
  </si>
  <si>
    <t>Polynucleotide kinase/phosphatase: its role in DNA strand break repair and a potential therapeutic target to enhance radio- and chemotherapy</t>
  </si>
  <si>
    <t>Polynucleotide kinase, DNA repair, chemotherapy</t>
  </si>
  <si>
    <t>Polynucleotide kinase: its role in DNA single-strand break repair and a potential therapeutic target to enhance radio- and chemotherapy.</t>
  </si>
  <si>
    <t>CANCER THERAPY GENERAL; CANCER; BIOCHEMISTRY</t>
  </si>
  <si>
    <t>Polynucleotide kinase: its role in DNA strand break repair and a potential therapeutic target to enhance radio- and chemotherapy</t>
  </si>
  <si>
    <t>CANCER THERAPY GENERAL; CARCINOGENS (INCL ENVIRONMENTAL); CANCER; MOLECULAR BIOLOGY</t>
  </si>
  <si>
    <t>Preclinical evaluation of polynucleotide kinase/phosphatase as a therapeutic target.</t>
  </si>
  <si>
    <t>polynucleotide kinase, phosphatase, therapeutic target</t>
  </si>
  <si>
    <t>Weng, Andrew P</t>
  </si>
  <si>
    <t>Adult vs. Fetal Programs in Leukemia Pathogenesis</t>
  </si>
  <si>
    <t>Leukemia, Pathogenesis, Fetal</t>
  </si>
  <si>
    <t>Regulation of Leukemia Stem Cell Activity by Signaling through PKC[theta]</t>
  </si>
  <si>
    <t>Leukemia, Stem Cell, PKC theta</t>
  </si>
  <si>
    <t>Werbowetski-Ogilvie, Tamra E</t>
  </si>
  <si>
    <t>Functional characterization of novel biomarkers for subtype-specific medulloblastoma cell phenotypes</t>
  </si>
  <si>
    <t>BRAIN TUMORS (INCL. RETINAL TUMORS); MULTIDISCIPLINARY; CANCER; CELL BIOLOGY</t>
  </si>
  <si>
    <t>biomarkers, medulloblastoma, phenotypes</t>
  </si>
  <si>
    <t>Novel therapeutic targets for Group 3 medulloblastoma stem cells</t>
  </si>
  <si>
    <t>Cancer-Pediatric Cancer; Cancer-Cancer Progression and Metastasis; Cancer-Cancer Drug Development and Therapeutics</t>
  </si>
  <si>
    <t>medulloblastoma, stem cells, therapeutic targets</t>
  </si>
  <si>
    <t>Avoidance of Radiotherapy in Luminal A Breast Cancer</t>
  </si>
  <si>
    <t>Radiotherapy, Luminal A, Breast Cancer</t>
  </si>
  <si>
    <t>University of Prince Edward Island (Charlottetown)</t>
  </si>
  <si>
    <t>Prince Edward Island</t>
  </si>
  <si>
    <t>White, John H</t>
  </si>
  <si>
    <t>FBW7-dependent regulation of cMYC and MXD1 function by the vitamin D receptor</t>
  </si>
  <si>
    <t>CANCER THERAPY GENERAL; ENDOCRINOLOGY; MOLECULAR BIOLOGY; CELL BIOLOGY</t>
  </si>
  <si>
    <t>FBW7, cMYC, vitamin D receptor</t>
  </si>
  <si>
    <t>Regulation of FoxO protein and cMYC function by the vitamin D receptor</t>
  </si>
  <si>
    <t>CANCER THERAPY GENERAL; ENDOCRINOLOGY; CANCER</t>
  </si>
  <si>
    <t>FoxO, cMYC, vitamin D receptor</t>
  </si>
  <si>
    <t>201203COP</t>
  </si>
  <si>
    <t>Implications of pathologic changes to bone material properties on the skeletal stability of the metastatic spine</t>
  </si>
  <si>
    <t>BONE CANCER; MUSCULO SKELETAL; CANCER; MUSCLE, BONE, OR JOINT</t>
  </si>
  <si>
    <t>bone, metastasis, stability</t>
  </si>
  <si>
    <t>Project Grant - Priority Announcement - Cancer Survivorship</t>
  </si>
  <si>
    <t>202403CSV</t>
  </si>
  <si>
    <t>Stereotactic Radiotherapy for Spinal Metastases: Quantifying the Impact on Musculoskeletal Health</t>
  </si>
  <si>
    <t>Cancer-Cancer Progression and Metastasis; Musculoskeletal Health-Bone, Skin and Cartilage Sciences; Artificial Intelligence-Machine Learning</t>
  </si>
  <si>
    <t>Stereotactic Radiotherapy, Spinal Metastases, Musculoskeletal Health</t>
  </si>
  <si>
    <t>Treatment induced changes to bone quality: Impact on the skeletal stability of the metastatic spine</t>
  </si>
  <si>
    <t>Biomedical Engineering-Biomaterials, Nanotechnology and Biomechanics; Musculoskeletal Health-Bone, Skin and Cartilage Sciences; Cancer-Cancer Progression and Metastasis</t>
  </si>
  <si>
    <t>bone, skeletal, metastasis</t>
  </si>
  <si>
    <t>Willett, Thomas</t>
  </si>
  <si>
    <t>Bone-mimetic nanocomposite biomaterials for critically-sized skeletal defect reconstruction</t>
  </si>
  <si>
    <t>Biomedical Engineering-Biomaterials, Nanotechnology and Biomechanics; Biomedical Engineering-Regenerative Medicine and Tissue Engineering; Cancer-Clinical Oncology; Cancer - Orthopaedic Oncology</t>
  </si>
  <si>
    <t>bone, nanocomposite, biomaterials</t>
  </si>
  <si>
    <t>Engineering of Irradiation-Sterilized Musculoskeletal Allografts for Improved Biomechanical Performance</t>
  </si>
  <si>
    <t>Irradiation, Allografts, Biomechanical</t>
  </si>
  <si>
    <t>Engineering of Irradiation-Sterilized Skeletal Allograft for Improved Clinical Outcomes</t>
  </si>
  <si>
    <t>Irradiation, Sterilization, Allograft</t>
  </si>
  <si>
    <t>Oxidative Damage of Bone Collagen As A Mechanism Of Bone Fragility</t>
  </si>
  <si>
    <t>Biomedical Engineering-Biomaterials, Nanotechnology and Biomechanics; Musculoskeletal Health-Bone, Skin and Cartilage Sciences; Aging-Aging Process and Biological Determinants of Aging</t>
  </si>
  <si>
    <t>oxidative damage, bone collagen, bone fragility</t>
  </si>
  <si>
    <t>Wilman, Alan H</t>
  </si>
  <si>
    <t>Imaging Brain Iron in Multiple Sclerosis: Development, Validation and Clinical Implementation</t>
  </si>
  <si>
    <t>MULTIPLE SCLEROSIS; IMAGING</t>
  </si>
  <si>
    <t>Brain imaging, Iron detection, Multiple sclerosis</t>
  </si>
  <si>
    <t>New Quantitative MRI for Human Stroke</t>
  </si>
  <si>
    <t>MRI, Stroke</t>
  </si>
  <si>
    <t>Quantitative MRI for Multiple Sclerosis</t>
  </si>
  <si>
    <t>MULTIPLE SCLEROSIS; IMAGING; MENTAL HEALTH</t>
  </si>
  <si>
    <t>MRI, Multiple Sclerosis</t>
  </si>
  <si>
    <t>Relaxation Mapping for the Clinic: Application to Multiple Sclerosis</t>
  </si>
  <si>
    <t>Biomedical Engineering-Biomedical Imaging; Methods Development and Modelling-Quantitative Methods Development for Health Research; Neurosciences-Neurological disorders</t>
  </si>
  <si>
    <t>Relaxation, Mapping, Multiple Sclerosis</t>
  </si>
  <si>
    <t>Nuclear-targeted X-ray activated photodynamic therapy of pancreatic cancer</t>
  </si>
  <si>
    <t>Cancer-Cancer Drug Development and Therapeutics; Biomedical Engineering-Biophysics, Medical Technologies and Instrumentation; Methods Development and Modelling-Quantitative Methods Development for Health Research</t>
  </si>
  <si>
    <t>Nuclear, X-ray, photodynamic</t>
  </si>
  <si>
    <t>Wilson, David R</t>
  </si>
  <si>
    <t>Development, assessment and application of a new method for characterizing degenerative lumbar spondylolisthesis in the symptomatic upright posture.</t>
  </si>
  <si>
    <t>lumbar spondylolisthesis, degenerative, characterization</t>
  </si>
  <si>
    <t>Imaging-based assessments of knee mechanics</t>
  </si>
  <si>
    <t>ARTHRITIS/OSTEOARTHRITIS; MUSCULO SKELETAL; MUSCLE, BONE, OR JOINT; IMAGING</t>
  </si>
  <si>
    <t>Imaging, knee, mechanics</t>
  </si>
  <si>
    <t>SARS-CoV2 therapeutic discovery through genetic screens and repurposing drugs that target essential virus-host interactions.</t>
  </si>
  <si>
    <t>VIRAL; INFECTIOUS AND PARASITIC; VIROLOGY; DRUG RESEARCH</t>
  </si>
  <si>
    <t>SARS-CoV2, genetic screens, virus-host interactions</t>
  </si>
  <si>
    <t>T-cell glyco-immune checkpoints as next-generation targets for cancer immunotherapy</t>
  </si>
  <si>
    <t>T-cell, glyco-immune, checkpoints</t>
  </si>
  <si>
    <t>Witcher, Michael</t>
  </si>
  <si>
    <t>Epigenetic characterization and therapeutic targeting of cancers harboring dysfunctional CTCF.</t>
  </si>
  <si>
    <t>Epigenetic, CTCF, cancers</t>
  </si>
  <si>
    <t>Oncogenic activity of poly (ADP-ribose) polymerase.</t>
  </si>
  <si>
    <t>oncogenic, poly (ADP-ribose), polymerase</t>
  </si>
  <si>
    <t>Targeting changes to chromatin architecture that promote breast cancer metastasis.</t>
  </si>
  <si>
    <t>chromatin, breast cancer, metastasis</t>
  </si>
  <si>
    <t>The epigenetic impact of deregulated poly(ADP)ribosylation in breast cancer.</t>
  </si>
  <si>
    <t>epigenetic, poly(ADP)ribosylation, breast cancer</t>
  </si>
  <si>
    <t>Wong, Judy M</t>
  </si>
  <si>
    <t>Molecular and Functional Genomic Characterization of G-quadruplex in Cancers with the Alternate Lengthening of Telomere (ALT) Mechanism</t>
  </si>
  <si>
    <t>Cancer-Cancer Drug Development and Therapeutics; Genetics-Molecular and Functional Genetics and Epigenetics; Molecular, Cellular and Systems Biology-Biochemistry</t>
  </si>
  <si>
    <t>G-quadruplex, Genomic, Telomere</t>
  </si>
  <si>
    <t>Workenhe, Samuel Tekeste</t>
  </si>
  <si>
    <t>Unraveling how programmed cell death shapes anticancer immunity</t>
  </si>
  <si>
    <t>programmed cell death, anticancer immunity</t>
  </si>
  <si>
    <t>Wouters, Bradly</t>
  </si>
  <si>
    <t>Adaptation to hypoxia in cancer through the unfolded protein response</t>
  </si>
  <si>
    <t>hypoxia, unfolded protein response, cancer</t>
  </si>
  <si>
    <t>Targeting hypoxia in pancreatic cancer through the unfolded protein response</t>
  </si>
  <si>
    <t>hypoxia, pancreatic cancer, unfolded protein response</t>
  </si>
  <si>
    <t>Wright, Graham A</t>
  </si>
  <si>
    <t>MR-Guided Management of Occlusive Peripheral Arterial Disease</t>
  </si>
  <si>
    <t>Cardiovascular, Respiratory and Circulatory Systems-Cardiovascular and Circulatory Sciences</t>
  </si>
  <si>
    <t>MR, Peripheral Arterial Disease, Occlusive</t>
  </si>
  <si>
    <t>MR-Guided Revascularization of Occlusive Peripheral Arterial Disease</t>
  </si>
  <si>
    <t>MR, Revascularization, Peripheral Arterial Disease</t>
  </si>
  <si>
    <t>MRI for Arrhythmia Management in Ischemic Heart Disease</t>
  </si>
  <si>
    <t>MRI, Arrhythmia, Heart Disease</t>
  </si>
  <si>
    <t>Developing a wearable device and a mobile application that aids patients in self-management of their COPD by providing biofeedback, education and guidance</t>
  </si>
  <si>
    <t>wearable device, mobile application, COPD</t>
  </si>
  <si>
    <t>Wu, Xiao Yu S</t>
  </si>
  <si>
    <t>Engineering Transformable Polymer-lipid Nanoparticles for Cascade Drug Delivery to Brain Cancer Cells</t>
  </si>
  <si>
    <t>CANCER THERAPY GENERAL; BRAIN TUMORS THERAPY; CANCER</t>
  </si>
  <si>
    <t>Polymer-lipid, Nanoparticles, Drug delivery</t>
  </si>
  <si>
    <t>Wuest, Frank</t>
  </si>
  <si>
    <t>Molecular imaging of cyclooxygenase-2 (COX-2) expression in vivo by means of positron emission tomography (PET)</t>
  </si>
  <si>
    <t>GASTRO-INTESTINAL CANCER; DRUGS- PHARMACEUTICAL SCIENCE/CHEMISTRY &amp; NON MEDICAL USE OF DRUGS; IMAGING; CANCER</t>
  </si>
  <si>
    <t>molecular imaging, cyclooxygenase-2, positron emission tomography</t>
  </si>
  <si>
    <t>Wurtele, Hugo</t>
  </si>
  <si>
    <t>Modulation of UV damage repair by replicative stress-induced RPA exhaustion during skin cancer development</t>
  </si>
  <si>
    <t>Cancer-Mechanisms of Carcinogenesis; Molecular, Cellular and Systems Biology-Molecular Biology; Genetics-Genomics, Transcriptomics and Proteomics</t>
  </si>
  <si>
    <t>UV damage, RPA exhaustion, skin cancer</t>
  </si>
  <si>
    <t>Genomic dissection of de novo metastatic prostate cancer prior to treatment</t>
  </si>
  <si>
    <t>genomic, metastatic, prostate cancer</t>
  </si>
  <si>
    <t>Predicting therapy resistance in castration-resistant prostate cancer with circulating tumor DNA</t>
  </si>
  <si>
    <t>therapy resistance, circulating tumor DNA, prostate cancer</t>
  </si>
  <si>
    <t>Refining the clinical utility of circulating tumour DNA in metastatic bladder cancer</t>
  </si>
  <si>
    <t>circulating tumour DNA, metastatic bladder cancer</t>
  </si>
  <si>
    <t>Wylie, Ryan G</t>
  </si>
  <si>
    <t>Engineering solid tumors for bispecific immunotherapies through controlled delivery</t>
  </si>
  <si>
    <t>solid tumors, bispecific, immunotherapies</t>
  </si>
  <si>
    <t>Xiang, Jim</t>
  </si>
  <si>
    <t>Acombined early and late HIV-1 protein-specific exosome-targeted T cell vaccine capable of stimulating HIV-1 specific CD8+ CTL responses in absence of CD4+ T cells and counteracting immune suppression.</t>
  </si>
  <si>
    <t>VIRAL; INFECTIOUS AND PARASITIC; VIROLOGY; HEALTH RESEARCH</t>
  </si>
  <si>
    <t>HIV-1, exosome, T cell</t>
  </si>
  <si>
    <t>Xiao, Wei</t>
  </si>
  <si>
    <t>Molecular mechanisms of DNA damage tolerance - A yeast model</t>
  </si>
  <si>
    <t>CARCINOGENS (INCL ENVIRONMENTAL); CANCER THERAPY GENERAL; CANCER; GENETICS</t>
  </si>
  <si>
    <t>DNA, damage, yeast</t>
  </si>
  <si>
    <t>Rapid bench-to-human development of safe and effective aerosol vaccine strategies against Covid-19</t>
  </si>
  <si>
    <t>INFECTIOUS AND PARASITIC; RESPIRATION; HEALTH RESEARCH</t>
  </si>
  <si>
    <t>aerosol, vaccine, Covid-19</t>
  </si>
  <si>
    <t>Yang, Victor X</t>
  </si>
  <si>
    <t>Optical Coherence Tomography for Intraoperative Imaging During Skull Base Neurosurgical Procedures</t>
  </si>
  <si>
    <t>MULTIDISCIPLINARY; MULTIPLE DISEASE RELEVANCE; BIOPHYSICS; NERVOUS SYSTEM</t>
  </si>
  <si>
    <t>Optical Coherence Tomography, Intraoperative Imaging, Skull Base</t>
  </si>
  <si>
    <t>Yang, Xiaolong</t>
  </si>
  <si>
    <t>Investigating the PTK-Hippo axis in breast cancer metastasis</t>
  </si>
  <si>
    <t>PTK, Hippo, metastasis</t>
  </si>
  <si>
    <t>Yasufuku, Kazuhiro</t>
  </si>
  <si>
    <t>Improving lung cancer patient bronchoscopy efficiency through a novel pairing of biosensors with EBUS-TBNA</t>
  </si>
  <si>
    <t>Cancer-Cancer Progression and Metastasis; Cancer-Clinical Oncology; Cardiovascular, Respiratory and Circulatory Systems-Clinical and Translational Cardiovascular Sciences</t>
  </si>
  <si>
    <t>lung, biosensors, EBUS-TBNA</t>
  </si>
  <si>
    <t>Bioengineered self-sealing synthetic arteriovenous graft for hemodialysis access</t>
  </si>
  <si>
    <t>Biomedical Engineering-Biomaterials, Nanotechnology and Biomechanics; Cardiovascular, Respiratory and Circulatory Systems-Vascular and Endothelial Biology; Biomedical Engineering-Regenerative Medicine and Tissue Engineering</t>
  </si>
  <si>
    <t>bioengineering, arteriovenous graft, hemodialysis</t>
  </si>
  <si>
    <t>Yip, Christopher M</t>
  </si>
  <si>
    <t>Super-Resolution Imaging of Receptor Dynamics and Structure: Self-Association of CEACAM and Its Implications for Cancer,Infection, and Inflammation</t>
  </si>
  <si>
    <t>MULTIPLE DISEASE RELEVANCE; MULTIDISCIPLINARY; BIOPHYSICS; CELL BIOLOGY</t>
  </si>
  <si>
    <t>Super-Resolution, Receptor, CEACAM</t>
  </si>
  <si>
    <t>Yong, Voon W</t>
  </si>
  <si>
    <t>Mobilizing anti-tumor microglia/macrophages with niacin to improve the prognosis of glioblastoma: Bench to clinical trial and back.</t>
  </si>
  <si>
    <t>Cancer-Cancer Drug Development and Therapeutics; Neurosciences-Neuroinflammation; Immunology and Infection-Transplantation, Immune Tolerance and Tumor Immunology</t>
  </si>
  <si>
    <t>microglia, glioblastoma, niacin</t>
  </si>
  <si>
    <t>Yousef, George M</t>
  </si>
  <si>
    <t>The Role of microRNAs in Renal Cell Carcinoma Pathogenesis and their Clinical Utility as Tumor Markers</t>
  </si>
  <si>
    <t>microRNAs, renal cell carcinoma, tumor markers</t>
  </si>
  <si>
    <t>Yun, Jihyun</t>
  </si>
  <si>
    <t>Towards the non-invasive, most accurate radiotherapy of mobile tumours in a hybrid linac-MR system</t>
  </si>
  <si>
    <t>Cancer-Cancer Drug Development and Therapeutics; Biomedical Engineering-Biophysics, Medical Technologies and Instrumentation</t>
  </si>
  <si>
    <t>radiotherapy, mobile tumours, linac-MR</t>
  </si>
  <si>
    <t>Zacksenhaus, Eldad</t>
  </si>
  <si>
    <t>New mouse models and targeted therapies for aggressive forms of germline and sporadic pineoblastoma</t>
  </si>
  <si>
    <t>mouse models, targeted therapies, pineoblastoma</t>
  </si>
  <si>
    <t>Zadeh, Gelareh</t>
  </si>
  <si>
    <t>Establishing the epigenetic drivers of aggressive behaviour in meningiomas</t>
  </si>
  <si>
    <t>Cancer-Cancer Drug Development and Therapeutics; Health Services and Systems-Personalized Medicine; Cancer-Clinical Oncology</t>
  </si>
  <si>
    <t>epigenetic, meningiomas, behaviour</t>
  </si>
  <si>
    <t>Liquid biopsy-based DNA methylation profiling for improved diagnosis and prognostication of primary and metastatic CNS tumors</t>
  </si>
  <si>
    <t>liquid biopsy, DNA methylation, CNS tumors</t>
  </si>
  <si>
    <t>Role of Bone Marrow Derived Progenitor Cells in Brain Tumor Neovascularizatoin</t>
  </si>
  <si>
    <t>Bone Marrow, Progenitor Cells, Brain Tumor</t>
  </si>
  <si>
    <t>Role of HK2 in Regulating Brain Tumor Metabolism and Angiogenesis</t>
  </si>
  <si>
    <t>HK2, Brain Tumor, Angiogenesis</t>
  </si>
  <si>
    <t>Uncovering the molecular biomarkers of radiation responsiveness in meningiomas</t>
  </si>
  <si>
    <t>molecular biomarkers, radiation, meningiomas</t>
  </si>
  <si>
    <t>Understanding the mechanisms of treatment response in glioblastoma</t>
  </si>
  <si>
    <t>glioblastoma, response, mechanisms</t>
  </si>
  <si>
    <t>Zandstra, Peter W</t>
  </si>
  <si>
    <t>Engineering niches to support the development of definitive blood progenitors from human pluripotent stem cells</t>
  </si>
  <si>
    <t>BLOOD; LEUKAEMIAS; CELL BIOLOGY</t>
  </si>
  <si>
    <t>blood progenitors, pluripotent stem cells, niches</t>
  </si>
  <si>
    <t>Gastruloid Engineering: Precision Organoid Design for Developmental and Disease Modeling</t>
  </si>
  <si>
    <t>Biomedical Engineering-Regenerative Medicine and Tissue Engineering; Molecular, Cellular and Systems Biology-Cell Biology and Physiology; Reproduction and Development-Developmental Biology and Organogenesis; Computational Biology</t>
  </si>
  <si>
    <t>Gastruloid, Organoid, Disease Modeling</t>
  </si>
  <si>
    <t>Regulatory control of pluripotent cell identity and fate</t>
  </si>
  <si>
    <t>MULTIPLE DISEASE RELEVANCE; MULTIDISCIPLINARY; CELL BIOLOGY; HEALTH RESEARCH</t>
  </si>
  <si>
    <t>regulatory control, pluripotent cell, cell identity</t>
  </si>
  <si>
    <t>Zaph, Colby</t>
  </si>
  <si>
    <t>Regulation of intestinal homeostasis and cancer by the lysine methyltransferase Set7</t>
  </si>
  <si>
    <t>GASTRO-INTESTINAL DISEASE; LIVER DISEASE; CANCER; GASTROINTESTINAL (LIVER)</t>
  </si>
  <si>
    <t>intestinal, methyltransferase, cancer</t>
  </si>
  <si>
    <t>Bidirectional, selective, and implantable peripheral nerve interface for restoring function after spinal cord injury</t>
  </si>
  <si>
    <t>Biomedical Engineering-Biophysics, Medical Technologies and Instrumentation; Neurosciences-Motor Systems</t>
  </si>
  <si>
    <t>nerve interface, spinal cord, implantable</t>
  </si>
  <si>
    <t>Zarrine-Afsar, Arash</t>
  </si>
  <si>
    <t>Picosecond InfraRed Laser Mass Spectrometry (PIRL-MS) for Rapid Determination of Pediatric Brain Tumour Pathology</t>
  </si>
  <si>
    <t>Picosecond, InfraRed, Mass Spectrometry</t>
  </si>
  <si>
    <t>Rapid high sensitivity and specificity diagnosis of melanoma with Picosecond infrared laser mass spectrometry</t>
  </si>
  <si>
    <t>melanoma, infrared laser, mass spectrometry</t>
  </si>
  <si>
    <t>ANTI-THROMBOTIC THERAPY TO AMELIORATE COMPLICATIONS OF COVID-19 (ATTACC): A randomized, international, multi-centre, adaptive, controlled clinical trial</t>
  </si>
  <si>
    <t>anti-thrombotic, COVID-19, clinical trial</t>
  </si>
  <si>
    <t>Zemp, Roger J</t>
  </si>
  <si>
    <t>Photoacoustic Remote Sensing Virtual Histology for Tumor Margin Assessment</t>
  </si>
  <si>
    <t>Photoacoustic, Virtual Histology, Tumor Margin</t>
  </si>
  <si>
    <t>Advanced Raman Spectroscopy for Exhaled Breath Analysis for Lung Cancer Detection</t>
  </si>
  <si>
    <t>Biomedical Engineering-Biophysics, Medical Technologies and Instrumentation; Cancer-Clinical Oncology; Cardiovascular, Respiratory and Circulatory Systems-Respiratory Sciences</t>
  </si>
  <si>
    <t>Raman spectroscopy, exhaled breath, lung cancer</t>
  </si>
  <si>
    <t>Integrated In Vivo Multiphoton Microscopy and Confocal Raman Spectroscopy for Skin Cancer Detection and Evaluation</t>
  </si>
  <si>
    <t>SKIN AND SUBCUTANEOUS TISSUS; MULTIDISCIPLINARY; IMAGING; CANCER</t>
  </si>
  <si>
    <t>Multiphoton Microscopy, Raman Spectroscopy, Skin Cancer</t>
  </si>
  <si>
    <t>MEMS Enabled Reflectance Confocal Microscopy for Early GI Cancer Detection</t>
  </si>
  <si>
    <t>GASTRO-INTESTINAL CANCER; MULTIDISCIPLINARY; IMAGING; CANCER</t>
  </si>
  <si>
    <t>MEMS, Confocal Microscopy, GI Cancer</t>
  </si>
  <si>
    <t>Multiphoton Photothermolysis Based Laser Therapy for Precision Treatment of Neovascular Eye Diseases</t>
  </si>
  <si>
    <t>Biomedical Engineering-Biophysics, Medical Technologies and Instrumentation; Biomedical Engineering-Biomedical Imaging; Neurosciences-Sensory Systems (including visual, auditory and pain)</t>
  </si>
  <si>
    <t>Multiphoton, Photothermolysis, Laser</t>
  </si>
  <si>
    <t>Zhang, Boyang</t>
  </si>
  <si>
    <t>Pre-clinical evaluation of micro-tissue injection and self-assembly in vivo for cardiac repairs.</t>
  </si>
  <si>
    <t>Cardiovascular, Respiratory and Circulatory Systems-Cardiovascular and Circulatory Sciences; Biomedical Engineering-Regenerative Medicine and Tissue Engineering</t>
  </si>
  <si>
    <t>micro-tissue, injection, cardiac</t>
  </si>
  <si>
    <t>SynoPlate - Human physiology on demand</t>
  </si>
  <si>
    <t>SynoPlate, physiology, on demand</t>
  </si>
  <si>
    <t>Zhang, Jinyi</t>
  </si>
  <si>
    <t>Studies of the role of an Ets family protein in prostate cancer</t>
  </si>
  <si>
    <t>Ets, prostate cancer</t>
  </si>
  <si>
    <t>Zhang, Li</t>
  </si>
  <si>
    <t>Development of personalized immunotherapy to treat lung cancer using gamma-delta-T cells</t>
  </si>
  <si>
    <t>LUNG CANCER THERAPY; CANCER THERAPY GENERAL; CANCER; IMMUNOLOGY-TRANSPLANTATION</t>
  </si>
  <si>
    <t>immunotherapy, gamma-delta-T cells, lung cancer</t>
  </si>
  <si>
    <t>Zhang, Wei</t>
  </si>
  <si>
    <t>Development of allosteric inhibitors for HECT E3 ligases</t>
  </si>
  <si>
    <t>allosteric, inhibitors, E3 ligases</t>
  </si>
  <si>
    <t>Zhang, Yunyan</t>
  </si>
  <si>
    <t>Prediction of multiple sclerosis disability worsening scores using multi-stream deep learning</t>
  </si>
  <si>
    <t>Neurosciences-Neurological disorders; Biomedical Engineering-Biomedical Imaging</t>
  </si>
  <si>
    <t>multiple sclerosis, deep learning, disability scoring</t>
  </si>
  <si>
    <t>Zhang, Ze</t>
  </si>
  <si>
    <t>Cell Response to Electrical Stimulation Mediated by Conductive Scaffold</t>
  </si>
  <si>
    <t>INJURY, REGENERATION; MULTIDISCIPLINARY; MUSCLE, BONE, OR JOINT; CELL BIOLOGY</t>
  </si>
  <si>
    <t>Cell, Electrical Stimulation, Conductive Scaffold</t>
  </si>
  <si>
    <t>Zheng, Gang</t>
  </si>
  <si>
    <t>Improving cure rate of early stage lung cancer with personalized nanomedicine</t>
  </si>
  <si>
    <t>LUNG CANCER THERAPY; MULTIDISCIPLINARY; CANCER</t>
  </si>
  <si>
    <t>lung cancer, nanomedicine, cure rate</t>
  </si>
  <si>
    <t>New nanotechnology for non-invasive deep lung-activatable antimicrobial photodynamic therapy of hospital-associated pneumonia</t>
  </si>
  <si>
    <t>Biomedical Engineering-Biomaterials, Nanotechnology and Biomechanics; Biomedical Engineering-Biophysics, Medical Technologies and Instrumentation; Immunology and Infection-Antimicrobial Drug Resistance, Drug Discovery and Therapeutics (including vaccines)</t>
  </si>
  <si>
    <t>nanotechnology, photodynamic, pneumonia</t>
  </si>
  <si>
    <t>Porphysome nanoparticle-enabled minimally invasive transbronchial photothermal ablation of lung cancer</t>
  </si>
  <si>
    <t>LUNG CANCER THERAPY; MULTIDISCIPLINARY; CANCER; IMAGING</t>
  </si>
  <si>
    <t>Porphysome, nanoparticle, photothermal</t>
  </si>
  <si>
    <t>Synergistic Radiosensitization of Hypoxic Pancreatic Adenocarcinoma using Gd-Texaphyrin Oxygen-Loaded Nanodroplets</t>
  </si>
  <si>
    <t>Cancer-Cancer Drug Development and Therapeutics; Biomedical Engineering-Biomaterials, Nanotechnology and Biomechanics; Pharmacological, Toxicological and Pharmaceutical Sciences-Drug Discovery, Design and Delivery</t>
  </si>
  <si>
    <t>Radiosensitization, Hypoxic, Nanodroplets</t>
  </si>
  <si>
    <t>Zhou, Youwen</t>
  </si>
  <si>
    <t>Abnormal Activation of Thymocytes High-Mobility Group Box Protein (TOX) in Cutaneous T Cell Lymphomas: Pathogenic Significance and Clinical Applications</t>
  </si>
  <si>
    <t>SKIN AND SUBCUTANEOUS TISSUS; BLOOD; CANCER; MOLECULAR BIOLOGY</t>
  </si>
  <si>
    <t>Thymocytes, TOX, T Cell Lymphomas</t>
  </si>
  <si>
    <t>Zhu, Xu-Dong</t>
  </si>
  <si>
    <t>Elucidating the Role of CSB in the Maintenance of Genomic Stability</t>
  </si>
  <si>
    <t>CSB, Genomic Stability, DNA Repair</t>
  </si>
  <si>
    <t>Functional Analysis of Proteins Involved in Telomere Maintenance and Genome Integrity</t>
  </si>
  <si>
    <t>Proteins, Telomere, Genome</t>
  </si>
  <si>
    <t>Zoubeidi, Amina</t>
  </si>
  <si>
    <t>Hormone therapy induces reprogramming to drive aggressive prostate cancer</t>
  </si>
  <si>
    <t>hormone therapy, reprogramming, prostate cancer</t>
  </si>
  <si>
    <t>The role of the lineage oncogene ASCL1 in treatment-induced neuroendocrine prostate cancer</t>
  </si>
  <si>
    <t>ASCL1, neuroendocrine, prostate cancer</t>
  </si>
  <si>
    <t>de Kemp, Robert</t>
  </si>
  <si>
    <t>Translational Imaging of Coronary Endothelial Function with Positron Tomography</t>
  </si>
  <si>
    <t>ATHEROSCLEROSIS; CORONARY CIRCULATION (INCL. INSUFFICIENCY); CARDIOVASCULAR; IMAGING</t>
  </si>
  <si>
    <t>Imaging, Coronary, Positron</t>
  </si>
  <si>
    <t>202303DCP</t>
  </si>
  <si>
    <t>Inhibiting Thrombopoietin Receptor (TPO-R) Signaling as a Novel Approach to Target TET2 Mutation-Driven Clonal Hematopoiesis</t>
  </si>
  <si>
    <t>Thrombopoietin, TPO-R, TET2</t>
  </si>
  <si>
    <t>Engineering DNA-nanosystems for tumor targeting</t>
  </si>
  <si>
    <t>BREAST CANCER</t>
  </si>
  <si>
    <t>DNA, nanosystems, tumor</t>
  </si>
  <si>
    <t>PainQuILT: A patient-centred e-health solution to empower older adults and improve pain assessment and management</t>
  </si>
  <si>
    <t>AGING; NONE OF THE ABOVE; GERIATRICS; NERVOUS SYSTEM</t>
  </si>
  <si>
    <t>e-health, pain assessment, older adults</t>
  </si>
  <si>
    <t>The Biomechanical Assessment and Optimization of Minimally Invasive Implants for the Elbow and Shoulder</t>
  </si>
  <si>
    <t>MUSCULO SKELETAL; ARTHRITIS/OSTEOARTHRITIS</t>
  </si>
  <si>
    <t>Biomechanical, Implants, Elbow</t>
  </si>
  <si>
    <t>Mid to High frequency ultrasound imaging and spectroscopy for cancer treatment monitoring</t>
  </si>
  <si>
    <t>CANCER THERAPY GENERAL; MULTIDISCIPLINARY; BIOPHYSICS; IMAGING</t>
  </si>
  <si>
    <t>ultrasound, imaging, spectroscopy</t>
  </si>
  <si>
    <t>Targeted and immuno-therapy to overcome innate and acquired resistance in aggressive MAPK-addicted cancers.</t>
  </si>
  <si>
    <t>immuno-therapy, MAPK, resistance</t>
  </si>
  <si>
    <t>Poirier, Guy G</t>
  </si>
  <si>
    <t>Poly(ADP-ribose) writers, readers, and erasers: Functions in DNA double-strand break repair and synthetic lethality.</t>
  </si>
  <si>
    <t>Poly(ADP-ribose), DNA repair, synthetic lethality</t>
  </si>
  <si>
    <t>Tumor targeted, radiolabeled, mimetic nanovesicle theranostics for imaging and treating head and neck cancer</t>
  </si>
  <si>
    <t>Pharmacological, Toxicological and Pharmaceutical Sciences-Drug Discovery, Design and Delivery; Cancer-Cancer Drug Development and Therapeutics; Biomedical Engineering-Biomaterials, Nanotechnology and Biomechanics</t>
  </si>
  <si>
    <t>tumor, radiolabeled, nanovesicle</t>
  </si>
  <si>
    <t>Using translational biomarkers to define whether plane of motion and complexity of head kinematics modifies biomarker and neuropathological responses to concussion in mice and humans.</t>
  </si>
  <si>
    <t>biomarkers, head kinematics, concussion</t>
  </si>
  <si>
    <t>A model for Group C Medulloblastoma induced by deletion of RB1 and p53 tumor suppressors</t>
  </si>
  <si>
    <t>Medulloblastoma,RB1,p53</t>
  </si>
  <si>
    <t>Adachi, Jonathan D</t>
  </si>
  <si>
    <t>On the development of bone quality parameters for assessing osteoporosis using peripheral quantitative computed tomography</t>
  </si>
  <si>
    <t>OSTEOPOROSIS; AGING; MUSCLE, BONE, OR JOINT; IMAGING</t>
  </si>
  <si>
    <t>bone, osteoporosis, computed tomography</t>
  </si>
  <si>
    <t>Acker, Jason P</t>
  </si>
  <si>
    <t>Enabling liver cryopreservation by controlling ice recrystallization with small molecule inhibitors</t>
  </si>
  <si>
    <t>Digestive, Endocrine and Excretory Systems-Gastroenterology and Hepatology; Pharmacological, Toxicological and Pharmaceutical Sciences-Drug Action, Toxicology and Metabolism; Biomedical Engineering-Regenerative Medicine and Tissue Engineering</t>
  </si>
  <si>
    <t>liver, cryopreservation, ice recrystallization</t>
  </si>
  <si>
    <t>Abolmaesumi, Purang</t>
  </si>
  <si>
    <t>Automatic Assessment of Aortic Stenosis with Point of Care Ultrasound</t>
  </si>
  <si>
    <t>Artificial Intelligence-Machine Learning; Biomedical Engineering-Biomedical Imaging; Cardiovascular, Respiratory and Circulatory Systems-Clinical and Translational Cardiovascular Sciences</t>
  </si>
  <si>
    <t>Aortic Stenosis, Ultrasound, Point of Care</t>
  </si>
  <si>
    <t>Needle Guidance System for Neuraxial Analgesia and Anesthesia</t>
  </si>
  <si>
    <t>MUSCULO SKELETAL; AGING; IMAGING; MUSCLE, BONE, OR JOINT</t>
  </si>
  <si>
    <t>Needle guidance, Neuraxial, Analgesia</t>
  </si>
  <si>
    <t>Abraham, Sheela A</t>
  </si>
  <si>
    <t>Elucidating the role extracellular vesicles play in leukaemogenesis</t>
  </si>
  <si>
    <t>extracellular vesicles, leukaemogenesis</t>
  </si>
  <si>
    <t>Multi-centre Temporal Ultrasound Image Analysis for Prostate Cancer Diagnosis</t>
  </si>
  <si>
    <t>Ultrasound, Image Analysis, Prostate Cancer</t>
  </si>
  <si>
    <t>Adamson, Robert B</t>
  </si>
  <si>
    <t>Clinical optical coherence tomography of the middle ear</t>
  </si>
  <si>
    <t>optical coherence tomography, middle ear</t>
  </si>
  <si>
    <t>Ahmed, Shahid</t>
  </si>
  <si>
    <t>Conversion From Unresectable To Resectable Liver Metastases In Patients With Liver-Only Metastatic Colorectal Cancer Treated With FOLFOXIRI Plus Bevacizumab. The Conversion Trial.</t>
  </si>
  <si>
    <t>liver metastases, colorectal cancer, FOLFOXIRI</t>
  </si>
  <si>
    <t>Prognostic Biomarkers and Novel Therapies for Oral Squamous Cell Carcinoma Patients</t>
  </si>
  <si>
    <t>Cancer-Cancer Progression and Metastasis; Genetics-Genomics, Transcriptomics and Proteomics; Cancer-Cancer Drug Development and Therapeutics</t>
  </si>
  <si>
    <t>Biomarkers, Oral Squamous Cell Carcinoma, Prognostic</t>
  </si>
  <si>
    <t>Targeting PRMT1 in Clear Cell Renal Cell Carcinoma</t>
  </si>
  <si>
    <t>Cancer-Cancer Drug Development and Therapeutics; Molecular, Cellular and Systems Biology-Molecular Biology</t>
  </si>
  <si>
    <t>PRMT1, Renal Cell Carcinoma, Targeting</t>
  </si>
  <si>
    <t>Awake Prone Position in Hypoxemic Patients with Coronavirus Disease 19</t>
  </si>
  <si>
    <t xml:space="preserve">0 yr 6 mths </t>
  </si>
  <si>
    <t>RESPIRATION; VIRAL; VIROLOGY</t>
  </si>
  <si>
    <t>Prone Position, Hypoxemic, Coronavirus</t>
  </si>
  <si>
    <t>Allan, Alison L</t>
  </si>
  <si>
    <t>Influence of breast cancer-derived extracellular vesicles (BCEVs) on lung metastasis of triple negative breast cancer</t>
  </si>
  <si>
    <t>Cancer-Cancer Progression and Metastasis; Molecular, Cellular and Systems Biology-Cell Biology and Physiology; Molecular, Cellular and Systems Biology-Biochemistry</t>
  </si>
  <si>
    <t>extracellular vesicles, breast cancer, metastasis</t>
  </si>
  <si>
    <t>Heat Activated Liposomal Delivery of Chemo and Molecular Therapy in Combination with Radiotherapy for Treatment of Breast Cancer Recurrence at the Chest Wall</t>
  </si>
  <si>
    <t>Cancer-Cancer Drug Development and Therapeutics; Pharmacological, Toxicological and Pharmaceutical Sciences-Drug Discovery, Design and Delivery; Biomedical Engineering-Biomedical Imaging</t>
  </si>
  <si>
    <t>Liposomal, Chemotherapy, Radiotherapy</t>
  </si>
  <si>
    <t>201309COP</t>
  </si>
  <si>
    <t>Targeted Polymeric Nanotechnology for Multi-Modality Treatment of HER2 Positive Breast Cancer</t>
  </si>
  <si>
    <t>BREAST CANCER THERAPY; CANCER THERAPY GENERAL; CANCER; DRUG RESEARCH</t>
  </si>
  <si>
    <t>Polymeric, Nanotechnology, HER2</t>
  </si>
  <si>
    <t>Alman, Benjamin A</t>
  </si>
  <si>
    <t>Characterizing the Sarcoma Tumor Initiating Cell: Implications for the Development of Novel Treatments for Undifferentiated Pleomorphic Sarcoma</t>
  </si>
  <si>
    <t>BONE CANCER; BONE CANCER THERAPY; CANCER; MUSCLE, BONE, OR JOINT</t>
  </si>
  <si>
    <t>Sarcoma, Tumor, Cell</t>
  </si>
  <si>
    <t>Amed, Shazhan</t>
  </si>
  <si>
    <t>The Live 5-2-1-0 eHealth App - Supporting health professionals and educators to raise a healthier generation of kids</t>
  </si>
  <si>
    <t>POPULATION HEALTH; HEALTH RESEARCH</t>
  </si>
  <si>
    <t>eHealth, app, health</t>
  </si>
  <si>
    <t>Amsden, Brian G</t>
  </si>
  <si>
    <t>Biomimetic Scaffold for Ligament Tissue Engineering</t>
  </si>
  <si>
    <t>INJURY, REGENERATION; MUSCULO SKELETAL</t>
  </si>
  <si>
    <t>Biomimetic, Scaffold, Ligament</t>
  </si>
  <si>
    <t>Ancuta, Petronela</t>
  </si>
  <si>
    <t>Establishment of Long-Lived HIV-1 Reservoirs in Naive Th17 Precursors: Implications for the Cure</t>
  </si>
  <si>
    <t>VIRAL; AIDS; VIROLOGY; IMMUNOLOGY-TRANSPLANTATION</t>
  </si>
  <si>
    <t>HIV-1, Reservoirs, Th17</t>
  </si>
  <si>
    <t>Anderson, Deborah H</t>
  </si>
  <si>
    <t>Targeting Metastatic Breast Cancer</t>
  </si>
  <si>
    <t>BREAST CANCER; BREAST CANCER THERAPY; CANCER</t>
  </si>
  <si>
    <t>Metastatic, Breast Cancer</t>
  </si>
  <si>
    <t>Targeting metastatic breast cancer</t>
  </si>
  <si>
    <t>Andrulis, Irene L</t>
  </si>
  <si>
    <t>Discovery and characterization of clinically important changes in axillary node-negative breast cancer.</t>
  </si>
  <si>
    <t>BREAST CANCER; CANCER; GENETICS</t>
  </si>
  <si>
    <t>axillary node, breast cancer, characterization</t>
  </si>
  <si>
    <t>Holland Bloorview Kids Rehabilitation Hospital (Toronto)</t>
  </si>
  <si>
    <t>Feasibility RCT evaluating digitally and traditionally produced ankle foot orthoses for individuals with impaired lower limb function</t>
  </si>
  <si>
    <t>Musculoskeletal Health-Rehabilitation and Physical Therapy; Health Services and Systems-Management of Chronic Diseases and Conditions</t>
  </si>
  <si>
    <t>ankle foot orthoses, lower limb, digital fabrication</t>
  </si>
  <si>
    <t>Angers, Stephane</t>
  </si>
  <si>
    <t>Targeting Glioblastoma Heterogeneity through identification of subtype-specific genetic vulnerabilities</t>
  </si>
  <si>
    <t>Glioblastoma, genetic vulnerabilities, heterogeneity</t>
  </si>
  <si>
    <t>Deconvoluting Prognostic and Targetable Features of Endometrioid Ovarian Carcinomas of No Specific Molecular Profile</t>
  </si>
  <si>
    <t>Cancer-Cancer Progression and Metastasis; Cancer-Mechanisms of Carcinogenesis; Reproduction and Development-Reproductive Sciences</t>
  </si>
  <si>
    <t>Deconvoluting, Prognostic, Ovarian Carcinomas</t>
  </si>
  <si>
    <t>Antoniou, John</t>
  </si>
  <si>
    <t>Role of Link N in Osteoarthritis</t>
  </si>
  <si>
    <t>Link N, Osteoarthritis</t>
  </si>
  <si>
    <t>Row Labels</t>
  </si>
  <si>
    <t>Sum of CIHR_Contribution</t>
  </si>
  <si>
    <t>Sum of CIHR_Equipment</t>
  </si>
  <si>
    <t>Grand Total</t>
  </si>
  <si>
    <t>2009</t>
  </si>
  <si>
    <t>2010</t>
  </si>
  <si>
    <t>2011</t>
  </si>
  <si>
    <t>2012</t>
  </si>
  <si>
    <t>2013</t>
  </si>
  <si>
    <t>2014</t>
  </si>
  <si>
    <t>2015</t>
  </si>
  <si>
    <t>2016</t>
  </si>
  <si>
    <t>2017</t>
  </si>
  <si>
    <t>2018</t>
  </si>
  <si>
    <t>2019</t>
  </si>
  <si>
    <t>2020</t>
  </si>
  <si>
    <t>2021</t>
  </si>
  <si>
    <t>2022</t>
  </si>
  <si>
    <t>2023</t>
  </si>
  <si>
    <t>2024</t>
  </si>
  <si>
    <t>Sum of Patents</t>
  </si>
  <si>
    <t>10+</t>
  </si>
  <si>
    <t>Sum of External_Funding</t>
  </si>
  <si>
    <t>Patent</t>
  </si>
  <si>
    <t>Patent count</t>
  </si>
  <si>
    <t>%</t>
  </si>
  <si>
    <t>Ontario only patent</t>
  </si>
  <si>
    <t>Cancer Research  only patent</t>
  </si>
  <si>
    <t>Count of Name</t>
  </si>
  <si>
    <t>Proportion %</t>
  </si>
  <si>
    <t>Total</t>
  </si>
  <si>
    <t>Cafazzo, Joseph A; Seto, Emily</t>
  </si>
  <si>
    <t>Catalyst Grant: eHealth Innovations</t>
  </si>
  <si>
    <t>201210CEH</t>
  </si>
  <si>
    <t>e-Health Innovation Partnership Program (eHIPP)</t>
  </si>
  <si>
    <t>Design and Evaluation of an mHealth Behavioural Intervention for the Self-Management of Type 2 Diabetes Mellitus</t>
  </si>
  <si>
    <t>Grover, Steven A; Da Costa, Deborah M</t>
  </si>
  <si>
    <t>Evaluating a Multidisciplinary E-Health Program to Promote Regular Physical Activity Among Individuals at Increased Risk of Cardiovascular Disease</t>
  </si>
  <si>
    <t>Hatcher, Simon; Freeland, Alison</t>
  </si>
  <si>
    <t>201310CEH</t>
  </si>
  <si>
    <t>Can e-therapies reduce waiting lists in secondary mental health care? A randomised controlled trial</t>
  </si>
  <si>
    <t>Kreindler, David; Liberman, Karen</t>
  </si>
  <si>
    <t>Sunnybrook Research Institute (Toronto, Ontario)</t>
  </si>
  <si>
    <t>Mental Health Telemetry for Self-Management in Major Depression</t>
  </si>
  <si>
    <t>ANSWER-2: A biologic decision aid for patients with rheumatoid arthritis</t>
  </si>
  <si>
    <t>Michalak, Erin; Bilsker, Dan; Maxwell, Victoria S; Murray, Gregory W</t>
  </si>
  <si>
    <t>Quality of life in bipolar disorder: e-health engagement to move evidence into action.</t>
  </si>
  <si>
    <t>Semple, John L; Bhatia, Rajan S</t>
  </si>
  <si>
    <t>Replacing ambulatory clinic follow-up with remote home monitoring using smartphones in breast reconstruction patients: Is it cost-effective?</t>
  </si>
  <si>
    <t>Seto, Emily; Ong, Stephanie W</t>
  </si>
  <si>
    <t>Self-management and clinical decision support of multiple chronic conditions through the use of mobile health telemonitoring</t>
  </si>
  <si>
    <t>Stinson, Jennifer N</t>
  </si>
  <si>
    <t>Teens Taking Charge - Managing Cancer Online Trial: A Feasibility Study of Quality and Cost</t>
  </si>
  <si>
    <t>The PainSquad+ Real-time Pain Management System for Adolescents with Cancer: A Feasibility, Quality and Cost Study</t>
  </si>
  <si>
    <t>Stinson, Jennifer N; Bell, Mary J</t>
  </si>
  <si>
    <t>Virtual Peer-to-Peer (VP2P) Support Mentoring for Adolescents with Juvenile Idiopathic Arthritis: A Feasibility Pilot Randomized Controlled Trial</t>
  </si>
  <si>
    <t>Szturm, Tony J</t>
  </si>
  <si>
    <t>Games and Telerehabilitation for Balance impairments and gaze dysfunction: Testing model in clients with Peripheral Vestibular Disorders</t>
  </si>
  <si>
    <t>Tomkins-Lane, Christy</t>
  </si>
  <si>
    <t>Mount Royal University (Calgary, Alberta)</t>
  </si>
  <si>
    <t>The Spinal Stenosis Pedometer and Nutrition e-Health Lifestyle Intervention (SSPANLI) Randomized Trial</t>
  </si>
  <si>
    <t>Klein, Doug; Campbell-Scherer, Denise L; Heyland, Daren K</t>
  </si>
  <si>
    <t>Catalyst Grant: eHealth Innovations - Aging</t>
  </si>
  <si>
    <t>201310CEA</t>
  </si>
  <si>
    <t>Promoting Health of Older Adults through CHANGE technology</t>
  </si>
  <si>
    <t>Lee, Jacques S; Ryan, David P</t>
  </si>
  <si>
    <t>Predicting Emergency Delirium with an Interactive Computer Tablet(PreDICT)</t>
  </si>
  <si>
    <t>Price, Morgan Thomas M; Weber, Jens H</t>
  </si>
  <si>
    <t>A mixed-method study to explore, assess, and explain the translation of a complex set of evidence-based rules into practice through electronic medical record based decision support: How can STOPP effectively be deployed in primary care?</t>
  </si>
  <si>
    <t>Institut de recherches cliniques de Montréal</t>
  </si>
  <si>
    <t>Université Laval</t>
  </si>
  <si>
    <t>Centre hospitalier de l'Université de Montréal (CHUM)</t>
  </si>
  <si>
    <t>Université de Sherbrooke</t>
  </si>
  <si>
    <t>Finzi, Andrés</t>
  </si>
  <si>
    <t>Université de Montréal</t>
  </si>
  <si>
    <t>Lesage, Frédéric</t>
  </si>
  <si>
    <t>Parks, Robin J; Kothary, Rashmi K</t>
  </si>
  <si>
    <t>Catalyst Grant: NWHRI: Innovation Fund - Biomedical Discovery Grants</t>
  </si>
  <si>
    <t>202307NWI</t>
  </si>
  <si>
    <t>NWHRI: Innovation Fund - Biomedical Discovery Grants</t>
  </si>
  <si>
    <t>Exploring biomarkers of physical activity promotion of cognition in menopause: Role of race/ethnicity</t>
  </si>
  <si>
    <t>Bernard, Daniel J</t>
  </si>
  <si>
    <t>Targeting inhibin B action to regulate follicle-stimulating hormone production and female fertility</t>
  </si>
  <si>
    <t>Characterizing the impact of hysterectomy on female physiology: A proof-of-concept cohort study in pelvic organ prolapse patients</t>
  </si>
  <si>
    <t>Chenoweth, Meghan J</t>
  </si>
  <si>
    <t>Centre for Addiction and Mental Health (Toronto)</t>
  </si>
  <si>
    <t>Uncovering the biological liability to migraine and anxiety in women</t>
  </si>
  <si>
    <t>Christie, Brian R</t>
  </si>
  <si>
    <t>The pathophysiology and blood biomarkers of brain injury in intimate partner violence: Insights from a new rat model</t>
  </si>
  <si>
    <t>A paradigm shift in understanding Hunner lesion-interstitial cystitis/bladder pain syndrome: examining autoimmunity as a driver of disease and targeting B cells as a novel therapeutic opportunity</t>
  </si>
  <si>
    <t>Dumoulin, Chantal</t>
  </si>
  <si>
    <t>CIUSSS du Centre-Sud-de-l'Île-de-Montréal (Montréal, Québec)</t>
  </si>
  <si>
    <t>Acceptability, user experience and effect of a new mobile app, 'OUPS!', a FemTech solution designed for the treatment of urinary incontinence in menopausal women: a mixed method study</t>
  </si>
  <si>
    <t>Fisette, Alexandre</t>
  </si>
  <si>
    <t>Characterization of a novel molecular strategy to alleviate post-menopausal metabolic &amp; mood disorders</t>
  </si>
  <si>
    <t>Krzeczkowski, John E</t>
  </si>
  <si>
    <t>Brock University (Ontario)</t>
  </si>
  <si>
    <t>Identifying epigenetic biomarkers of the response to cognitive behavioural therapy in mothers/birthing parents treated for postpartum depression</t>
  </si>
  <si>
    <t>Leung, Shuk On A</t>
  </si>
  <si>
    <t>Short-term patient-derived ovarian cancer organoids for frontline drug sensitivity testing</t>
  </si>
  <si>
    <t>MacPherson, Rebecca E</t>
  </si>
  <si>
    <t>Targeting BDNF signaling for postmenopausal brain health</t>
  </si>
  <si>
    <t>Redefining the diagnosis and treatment of hypertension in pregnancy through the integration of placental growth factor (PlGF) testing.</t>
  </si>
  <si>
    <t>Mes-Masson, Anne-Marie</t>
  </si>
  <si>
    <t>Unveiling the Role of Cellular Aging in Postmenopausal Syndrome: Rationale for Senolytic-Based Strategies to Enhance Women's Health</t>
  </si>
  <si>
    <t>Mohamed, Ali Bedaiwy</t>
  </si>
  <si>
    <t>Prediction of Pregnancy Outcomes Using Point-of-Care First Trimester Biomarkers in a Recurrent Pregnancy Loss Population</t>
  </si>
  <si>
    <t>Morin, Melanie</t>
  </si>
  <si>
    <t>Prodger, Jessica L</t>
  </si>
  <si>
    <t>Identifying causes of neovaginal malodour in transfeminine people</t>
  </si>
  <si>
    <t>Pyle, Glen W</t>
  </si>
  <si>
    <t>Getting to the Heart of Domestic Abuse: Identifying the molecular mechanisms of heart disease in association with physical and psychological stress</t>
  </si>
  <si>
    <t>Reinhold, Caroline</t>
  </si>
  <si>
    <t>Magnetic Resonance Imaging (MRI) and Artificial Intelligence (AI) can improve preoperative malignancy risk prediction of ovarian masses.</t>
  </si>
  <si>
    <t>Shultz, Sandy</t>
  </si>
  <si>
    <t>Vancouver Island University (Nanaimo, BC)</t>
  </si>
  <si>
    <t>Blood biomarkers to detect brain injury due to intimate partner violence</t>
  </si>
  <si>
    <t>Sloboda, Deborah M</t>
  </si>
  <si>
    <t>Pregnancy's Microbial Marvels: Unraveling the Intestinal Secrets of Maternal Metabolic Regulation</t>
  </si>
  <si>
    <t>Tayade, Chandrakant</t>
  </si>
  <si>
    <t>Unique extracellular vesicle signatures in the pathophysiology of endometriosis</t>
  </si>
  <si>
    <t>Automating data acquisition and data processing pipeline via artificial intelligence and machine learning approaches to allow at-home use of a novel breast cancer screening method employing bra-based elastography imaging.</t>
  </si>
  <si>
    <t>Understanding the role of chronic chlamydial infection in ovarian cancer</t>
  </si>
  <si>
    <t>Gauthier, Lynn R; Lalloo, Chitra</t>
  </si>
  <si>
    <t>Légaré, France</t>
  </si>
  <si>
    <t>Li, Linda C; Lacaille, Diane V</t>
  </si>
  <si>
    <t>Sadatsafavi, Mohsen; Sutherland, Janet</t>
  </si>
  <si>
    <t>Sung, Lillian; Dupuis, L. L</t>
  </si>
  <si>
    <t>Wu, Robert; Alshaer, Hisham I; de Lara, Eyal; Gershon, Andrea S; Rudzicz, Frank</t>
  </si>
  <si>
    <t>Cahill, Catherine M</t>
  </si>
  <si>
    <t>CIHR/RxD - Biology of Pain -Young Investigators Grant</t>
  </si>
  <si>
    <t>200810XCP</t>
  </si>
  <si>
    <t>Industry Partnered Collaborative Research</t>
  </si>
  <si>
    <t>Opioids modify glial activity in models of chronic pain and opioid  tolerant states</t>
  </si>
  <si>
    <t>Abbasi Nejad Enger, Shirin; Alfieri, Joanne; Seuntjens, Jan P; Vuong, Te</t>
  </si>
  <si>
    <t>Collaborative Health Research Projects (NSERC partnered)</t>
  </si>
  <si>
    <t>201711CPG</t>
  </si>
  <si>
    <t>Collaborative Health Research Projects - NSERC Partnered</t>
  </si>
  <si>
    <t>Novel Delivery System for High Dose Rate Intensity Modulated Brachytherapy with Yb-169 as a Radiation Source</t>
  </si>
  <si>
    <t>Abbasi Nejad Enger, Shirin; Therriault-Proulx, Francois; Reinhold, Caroline</t>
  </si>
  <si>
    <t>201910CPG</t>
  </si>
  <si>
    <t>Development of a non-invasive positron detector to measure the arterial input function for pharmacokinetic modelling in dynamic positron emission tomography imaging</t>
  </si>
  <si>
    <t>Abolmaesumi, Purang; Wodlinger, Brian; Black, Peter C</t>
  </si>
  <si>
    <t>Next Generation Micro-ultrasound Technology for Detection and Monitoring of Prostate Cancer</t>
  </si>
  <si>
    <t>Adams, Kimberley D; Tavakoli, Mahdi</t>
  </si>
  <si>
    <t>201310CPG</t>
  </si>
  <si>
    <t>Robotic interface with Haptic Guidance and Artificial Intelligence for People with Disabilities</t>
  </si>
  <si>
    <t>Adamson, Robert B; Bance, Manohar L</t>
  </si>
  <si>
    <t>201610CPG</t>
  </si>
  <si>
    <t>Optical coherence tomography of the middle ear</t>
  </si>
  <si>
    <t>Allingham, John S; Craig, Andrew W; Evans, P A</t>
  </si>
  <si>
    <t>Development of antibody-drug conjugates that use actin-targeting warheads</t>
  </si>
  <si>
    <t>Allingham, John S; Evans, P A</t>
  </si>
  <si>
    <t>Preclinical Development of Natural Product-Based Agents as Anti-Cancer Drugs</t>
  </si>
  <si>
    <t>Amon, Cristina; Keating, Armand; Waddell, Thomas K</t>
  </si>
  <si>
    <t>Advanced Bioreactors for Evaluation and Systematic Optimization of Decellularization and Recellularization of the Lung and Trachea</t>
  </si>
  <si>
    <t>Amsden, Brian G; Hurtig, Mark B</t>
  </si>
  <si>
    <t>Articular Cartilage Reconstruction</t>
  </si>
  <si>
    <t>Andrysek, Jan; Ramdial, Sandra; Wright, Virginia F</t>
  </si>
  <si>
    <t>201810CPG</t>
  </si>
  <si>
    <t>Biomechanical biofeedback targeting the high-level rehabilitation of mobility in youth with lower limb amputations</t>
  </si>
  <si>
    <t>Anglin, Carolyn; Amiri, Shahram; Guy, Pierre; Hodgson, Antony J</t>
  </si>
  <si>
    <t>Development and Clinical Efficacies of an Innovative Quantitative Intraoperative C-arm System</t>
  </si>
  <si>
    <t>Université du Québec à Montréal</t>
  </si>
  <si>
    <t>Bainbridge, Shannon A; Smith, Graeme N; Chan, Adrian D</t>
  </si>
  <si>
    <t>Automated placenta screening to improve maternal lifetime cardiovascular health</t>
  </si>
  <si>
    <t>Barthelat, Francois; Tanzer, Michael</t>
  </si>
  <si>
    <t>Novel multilayered synthetic structural bone graft materials which combine biocompatibility, biodegradability and high toughness.</t>
  </si>
  <si>
    <t>Barzda, Virginijus; Wilson, Brian C</t>
  </si>
  <si>
    <t>Nonlinear Optical Imaging for Digital Pathology</t>
  </si>
  <si>
    <t>Bathe, Oliver F; Ritchie, Shawn; Vogel, Hans (Harm) J</t>
  </si>
  <si>
    <t>Development of a Blood Test for Colorectal Cancer based on Metabolomic Signature</t>
  </si>
  <si>
    <t>Beg, Mirza Faisal; Maberley, David; Navajas, Eduardo; Sarunic, Marinko V</t>
  </si>
  <si>
    <t>OCTSurfer - Advanced Imaging and Integrated Image Analysis Platform for 3D Optical Coherence Tomography Images of the Eye</t>
  </si>
  <si>
    <t>Biddiss, Elaine A; Fehlings, Darcy L</t>
  </si>
  <si>
    <t>201410CPG</t>
  </si>
  <si>
    <t>Design and evaluation of an interactive computer play platform to motivate participation in home-based therapies for young people with cerebral palsy: Let's Play!</t>
  </si>
  <si>
    <t>Biddiss, Elaine A; Lamont, Andrea L; Fehlings, Darcy L; John, Bina A; Moola, Fiona</t>
  </si>
  <si>
    <t>The Virtual Music Teacher: Children of all abilities banding together in early childhood music education</t>
  </si>
  <si>
    <t>Bizheva, Kostadinka K; Sorbara, Luigina</t>
  </si>
  <si>
    <t>201210CPG</t>
  </si>
  <si>
    <t>Intra-operative Optical Coherence Tomography for corneal transplant surgery in Keratoconus</t>
  </si>
  <si>
    <t>Bizzotto, Dan; Cheung, Karen C; Sammis, Glenn M; Tang, Patrick K</t>
  </si>
  <si>
    <t>Developing an electrochemical beacon detection method for pathogen nucleic acid speciation</t>
  </si>
  <si>
    <t>Bolduc, François; Irish, Debbie; Majnemer, Annette; Nicholas, David B; Zaiane, Osmar R</t>
  </si>
  <si>
    <t>Development of an Artificial Intelligence Chatbot supporting coaching and optimal service for individuals with Neurodevelopmental disabilities and their families</t>
  </si>
  <si>
    <t>Borschel, Gregory H; Gordon, Tessa; Shoichet, Molly S</t>
  </si>
  <si>
    <t>Enhancement of nerve regeneration with controlled release of neurotrophic factors</t>
  </si>
  <si>
    <t>Boulanger, Pierre B; Becher, Harald</t>
  </si>
  <si>
    <t>201510CPG</t>
  </si>
  <si>
    <t>Multiview Ultrasound Fusion for Cardiac and Non-cardiac Imaging</t>
  </si>
  <si>
    <t>Boyd, Lara; Menon, Carlo</t>
  </si>
  <si>
    <t>ARMS UP/Assisted Robotic Movement after Stroke using Brain Power: Controlling robotics with EEG</t>
  </si>
  <si>
    <t>Bromme, Dieter; Percival, Michael D; Ciufolini, Marco A</t>
  </si>
  <si>
    <t>Side effect-free cathepsin K targeting drugs for skeletal diseases</t>
  </si>
  <si>
    <t>Brown, Claire M; Siegel, Peter M</t>
  </si>
  <si>
    <t>Biophysical Tools for the Characterization of Breast Cancer Cell Migration and Invasion</t>
  </si>
  <si>
    <t>Brown, Eric D; Brennan, John D; Wright, Gerard D</t>
  </si>
  <si>
    <t>Pathway-specific cell-based high throughput screening for natural product antibiotics</t>
  </si>
  <si>
    <t>Brunette, Isabelle; Alarcón, Emilio I; Griffith, May C</t>
  </si>
  <si>
    <t>Biosynthetic alternatives to human donor corneal transplantation</t>
  </si>
  <si>
    <t>Buschmann, Michael D; Batist, Gerald; Damha, Masad J; De Crescenzo, Gregory; Lesage, Frédéric; Mader, Sylvie N; Merzouki, Abderrazzak; Tardif, Jean-Claude</t>
  </si>
  <si>
    <t>Polytechnique Montréal</t>
  </si>
  <si>
    <t>Chitosan-siRNA nanoparticles for gene silencing in Atherosclerosis and Cancer</t>
  </si>
  <si>
    <t>Calon, Frédéric; Fortin, Marc-André</t>
  </si>
  <si>
    <t>Development and bioimaging of blood-brain barrier vectorized nanoparticles</t>
  </si>
  <si>
    <t>Campbell, Melanie Crombie W; Hsiung, Ging-Yuek R</t>
  </si>
  <si>
    <t>Novel non-invasive imaging of amyloid in the retina of the eye as a predictor of amyloid in the brain in Alzheimer's disease</t>
  </si>
  <si>
    <t>Capretta, Alfredo A; Savchenko, Alexei; Wright, Gerard D</t>
  </si>
  <si>
    <t>Overcoming Antibiotic Resistance Through the Inhibition of Aminoglycoside Phosphotransferases (APH).</t>
  </si>
  <si>
    <t>Carson, Jeffrey J; Brackstone, Muriel</t>
  </si>
  <si>
    <t>Non-contact 3D photoacoustic/ultrasonic imaging for detecting the early response to neoadjuvant chemotherapy in breast cancer patients</t>
  </si>
  <si>
    <t>Chan, Warren C; Mcgilvray, Ian D; Selzner, Markus; Zilman, Anton</t>
  </si>
  <si>
    <t>A combined nanotechnology and surgical strategy to treating liver cancer</t>
  </si>
  <si>
    <t>Chan, Warren C; Arbuckle, John; Gubbay, Jonathan B; Mubareka, Samira</t>
  </si>
  <si>
    <t>Engineering DNAzyme-gold nanoparticle diagnostic device</t>
  </si>
  <si>
    <t>Chan, Warren C; Damaskinos, Savvas; Tsao, Ming-Sound</t>
  </si>
  <si>
    <t>Applying machine learning to 3D tumor histopathology for predicting patient outcomes</t>
  </si>
  <si>
    <t>Chiao, Mu; Chou, Keng-Chang; Hamarneh, Ghassan; Nagamune, Ryozo; Tai, Isabella T; Zeng, Haishan</t>
  </si>
  <si>
    <t>Development of a confocal endoscope for gastrointestinal cancer diagnosis</t>
  </si>
  <si>
    <t>Chow, Chung-Wai; Ryan, Clodagh M; Valaee, Shahrokh</t>
  </si>
  <si>
    <t>Development of Machine Learning to Assess Lung Function Using Airway Oscillometry</t>
  </si>
  <si>
    <t>Chung, Hyun-Joong; Rieger, Jana M</t>
  </si>
  <si>
    <t>Skin Adhesive Smart Patch to Monitor Hydration Status in Real-Time</t>
  </si>
  <si>
    <t>Cloutier, Guy; Denault, André Y; Lesage, Frédéric</t>
  </si>
  <si>
    <t>Design of a bracelet embedding high-frequency ultrasound transducers to acquire venous blood echogenicity spectral data for patient monitoring</t>
  </si>
  <si>
    <t>Cloutier, Guy; Soulez, Gilles</t>
  </si>
  <si>
    <t>Non-invasive shear strain ultrasound elastography of carotid atherosclerotic plaques for stroke prevention</t>
  </si>
  <si>
    <t>Collins, Donald L; Alexander, Simon K; Petrecca, Kevin</t>
  </si>
  <si>
    <t>Achieving precision in Image-guided Neurosurgery via an open source collaborative software environment</t>
  </si>
  <si>
    <t>Connolly, John F; Timm, Lydia; Blain-Moraes, Stefanie; Fox-Robichaud, Alison E; Reilly, James J; Sonnadara, Ranil</t>
  </si>
  <si>
    <t>Development of a Point of Care System for Automated Coma Prognosis</t>
  </si>
  <si>
    <t>Côté, Daniel; De Koninck, Yves</t>
  </si>
  <si>
    <t>Sensing and modulating neuronal activity from the spinal epidural space with optical fibers</t>
  </si>
  <si>
    <t>Côté, Daniel; Munro, Chad R; Parent, Martin</t>
  </si>
  <si>
    <t>Real-time multimodal tools for high resolution image-guided surgery and better treatment of Parkinson's disease</t>
  </si>
  <si>
    <t>De Koninck, Yves; Lévesque, Martin; Piche, Michel</t>
  </si>
  <si>
    <t>Large-scale, high-resolution light-sheet microscope for whole brain connectomics</t>
  </si>
  <si>
    <t>Dhanvantari, Savita; Luyt, Leonard G</t>
  </si>
  <si>
    <t>Hybrid Molecular Imaging in the Diagnosis of Heart Disease</t>
  </si>
  <si>
    <t>Diller, Eric D; Goldenberg, Andrew A; Drake, James M</t>
  </si>
  <si>
    <t>Novel Multimodal Sensing and Actuation Mechanisms for Intra-Ventricular Neurosurgery Robotic Tools</t>
  </si>
  <si>
    <t>Dos Santos, Claudia C; Fox-Robichaud, Alison E; Veres, Teodor</t>
  </si>
  <si>
    <t>Epigenetic PowerBlade - DNA Precision Marks for Critical Illness</t>
  </si>
  <si>
    <t>Drake, James M; Cheng, Hai-Ling M; Sivaloganathan, Sivabal</t>
  </si>
  <si>
    <t>Temperature measurement in cortical bone and bone marrow during magnetic resonance guided focused ultrasound thermo-therapy in a porcine model</t>
  </si>
  <si>
    <t>Du, Caigan; Brooks, Donald E; Kizhakkedathu, Jayachandran N; Macleod, Kathleen M; Nguan, Christopher</t>
  </si>
  <si>
    <t>Hyperbranched polyglycerol-based colloid preservation solutions: Toward clinical applications</t>
  </si>
  <si>
    <t>Dumont, Guy A; Ansermino, John M</t>
  </si>
  <si>
    <t>Closed-Loop Control of Anesthesia</t>
  </si>
  <si>
    <t>Dunn, Jeff F; Barlow, Karen M</t>
  </si>
  <si>
    <t>Application of functional near-infrared imaging as a biomarker of injury and recovery in mild traumatic brain injury and concussion</t>
  </si>
  <si>
    <t>Dutz, Jan P; Hafeli, Urs O; Kollmann, Tobias R; Stoeber, Boris</t>
  </si>
  <si>
    <t>Transcutaneous microsphere vaccine technology</t>
  </si>
  <si>
    <t>Ellis, Christopher G; Poepping, Tamie</t>
  </si>
  <si>
    <t>Noninvasive Functional Biomarker for Early Detection and Continuous Monitoring of Microvascular Dysfunction</t>
  </si>
  <si>
    <t>Eng, Janice J; Menon, Carlo</t>
  </si>
  <si>
    <t>Wearable sensors to promote arm and hand function after stroke</t>
  </si>
  <si>
    <t>Eng, Janice J; Yao, Jennifer K; Servati, Peyman</t>
  </si>
  <si>
    <t>Instrumented i-GRASP for the assessment and treatment of upper extremity function after neurological injury</t>
  </si>
  <si>
    <t>Falk, Bareket; Cheung, Stephen</t>
  </si>
  <si>
    <t>Pressure Sore Risk Management in Children with Cerebral Palsy: Local and Whole Body Thermoregulation Strategies, Material Interface and Care Protocols</t>
  </si>
  <si>
    <t>Fedida, David; Wadsworth, Samuel; Walus, Konrad</t>
  </si>
  <si>
    <t>Novel 3D bioprinted human cardiac tissue models for drug safety and efficacy testing.</t>
  </si>
  <si>
    <t>Fichtinger, Gabor; Rudan, John F</t>
  </si>
  <si>
    <t>Mobile Image Overlay System (MIOS) for Musculoskeletal Needle Placement Guidance</t>
  </si>
  <si>
    <t>Fichtinger, Gabor; Borschneck, Daniel; Jaeger, Melanie</t>
  </si>
  <si>
    <t>Perk Tutor: Ultrasound-guided Needle Placement Training Platform</t>
  </si>
  <si>
    <t>Fichtinger, Gabor; Engel, Cecil J</t>
  </si>
  <si>
    <t>Real-time Breast Cancer Surgery Navigation</t>
  </si>
  <si>
    <t>Fichtinger, Gabor; Morris, Michael R; Berman, David M; Engel, Cecil J; Mousavi, Parvin; Takats, Zoltan</t>
  </si>
  <si>
    <t>Robotically assisted real-time metabolomic navigation of breast conserving surgery</t>
  </si>
  <si>
    <t>Fine, Alan; Hill, Ian G; Trappenberg, Thomas P</t>
  </si>
  <si>
    <t>Lensless microscopy for rapid portable hematology diagnostics at the point of care</t>
  </si>
  <si>
    <t>Fittipaldi, Nahuel V; Unger, Sharon; Doyen, Alain</t>
  </si>
  <si>
    <t>Refining processes to maximize the provision of donor human milk rich in nutrients and bioactive components: An integrated multidisciplinary approach at a human milk bank serving critically-ill neonates.</t>
  </si>
  <si>
    <t>Fox-Robichaud, Alison E; Selvaganapathy, Ponnambalam R</t>
  </si>
  <si>
    <t>Point of Care Device for Rapid Quantification of Cell-Free DNA  with Application in Severe Sepsis</t>
  </si>
  <si>
    <t>Frampton, John P; Moore, Kieran M; Hatchette, Todd F</t>
  </si>
  <si>
    <t>Development of a near-care diagnostic test for Lyme disease</t>
  </si>
  <si>
    <t>Freed, Darren H; Nobes, David S</t>
  </si>
  <si>
    <t>Development of an ex vivo heart perfusion system for pre-transplant preservation and evaluation of donor hearts</t>
  </si>
  <si>
    <t>Fusch, Christoph; Selvaganapathy, Ponnambalam R</t>
  </si>
  <si>
    <t>Development of a pumpless lung assist device which acts like an artificial placenta for neonates with respiratory failure.</t>
  </si>
  <si>
    <t>Gates, Byron D; Bally, Marcel B; Yapp, Donald T</t>
  </si>
  <si>
    <t>Simultaneous chemotherapy and radiation treatment in solid tumours: A new platform to promote synergy and therapeutic efficacy with radiation triggered drug release</t>
  </si>
  <si>
    <t>Genov, Roman; Perez Velazquez, Jose L; Valiante, Taufik A</t>
  </si>
  <si>
    <t>Patient-Specific Adaptive Closed-Loop Neurostimulation for Optimum Treatment of Intractable Epilepsy</t>
  </si>
  <si>
    <t>Genov, Roman; Weinroth, Aaron; Valiante, Taufik A</t>
  </si>
  <si>
    <t>Personalized Contingent Neurostimulation for Epilepsy by Machine Learning in Organic Brain Interfaces</t>
  </si>
  <si>
    <t>Ghahary, Aziz; Edwards, Marc; Ko, Frank K</t>
  </si>
  <si>
    <t>Therapeutic Use of Micro-Sponge Embedded Nutritional Liquid Scaffold for Treatment of Non-Healing Wounds</t>
  </si>
  <si>
    <t>Godin, Michel; Courtman, David W; Davis, Darryl R; Harden, James L</t>
  </si>
  <si>
    <t>Cocooning Therapeutic Cells</t>
  </si>
  <si>
    <t>Godin, Michel; Courtman, David W; Davis, Darryl R; Stewart, Duncan J</t>
  </si>
  <si>
    <t>Enhancing cell therapies using microfluidic encapsulation strategies</t>
  </si>
  <si>
    <t>Griffith, May C; Munger, Réjean J; Boutopoulos, Christos; Robert, Marie-Claude</t>
  </si>
  <si>
    <t>The Liquid Cornea as an alternative to corneal transplantation: Pathway to Clinical trials</t>
  </si>
  <si>
    <t>Grynpas, Marc D; Willett, Thomas</t>
  </si>
  <si>
    <t>Irradiation-Sterilized Skeletal Allografts with Superior Biomechanical Performance through Collaborative Multidisciplinary Translational Research</t>
  </si>
  <si>
    <t>Gulak, Glenn; Navarre, William W</t>
  </si>
  <si>
    <t>A Wireless CMOS Device for Rapid Point-of-Care Diagnosis of Bacterial Infections and Antibiotic Susceptibility Profiling</t>
  </si>
  <si>
    <t>Guttman, David S; Coburn, Bryan A; Hwang, David M; Shapiro, Jesse</t>
  </si>
  <si>
    <t>Next-Generation Antimicrobial Diagnostics: Speed and Precision via Whole Genome Sequencing</t>
  </si>
  <si>
    <t>Haibe-Kains, Benjamin; Goldenberg, Anna</t>
  </si>
  <si>
    <t>Precision medicine in breast cancer: from the computer to the clinic</t>
  </si>
  <si>
    <t>Hamilton, Douglas W; Bagley, David; Rizkalla, Amin S</t>
  </si>
  <si>
    <t>Novel technologies for engineering closure of non-healing skin wounds</t>
  </si>
  <si>
    <t>Hansen, Carl L; Rossi, Fabio M; Underhill, Michael</t>
  </si>
  <si>
    <t>Microfluidic technology platform for selection of functional monoclonal antibodies with application to fibrosis</t>
  </si>
  <si>
    <t>Harvey, Edward J; Henderson, Janet E</t>
  </si>
  <si>
    <t>IMPLANTABLE MICRO-DEVICE to MONITOR MUSCLE COMPARTMENT PRESSURE in TRAUMA VICTIMS</t>
  </si>
  <si>
    <t>Hoare, Todd R; Mishra, Ram K; Wan, Yonghong</t>
  </si>
  <si>
    <t>Engineering Starch-Based Nanoparticles and Nanoparticle Clusters for Improving Local Drug Delivery to Tumour Cores and the Brain</t>
  </si>
  <si>
    <t>Hoare, Todd R; Moquin, Paul H; Ask, Kjetil; Coombes, Brian K</t>
  </si>
  <si>
    <t>Designing Highly Porous Drug-Impregnated Polymer Scaffolds Using Pressurized Gas Expanded Liquids for the Treatment of Lung Fibrosis and Wound Infections</t>
  </si>
  <si>
    <t>Hodgson, Antony J; Guy, Pierre</t>
  </si>
  <si>
    <t>Using Three-Dimensional Ultrasound to Improve Diagnosis, Guide Surgery and Reduce Radiation in Orthopaedic Trauma and Pediatric Orthopaedics</t>
  </si>
  <si>
    <t>Johnson, James A; Athwal, George S; Eagleson, Roy A; Ferreira, Louis M; Lebel, Marie-Eve; Patel, Rajnikant V; Polouchine, Ilia; Tutunea-Fatan, Remus O</t>
  </si>
  <si>
    <t>Development of a Virtual Training Simulator to Model Shoulder Replacement Surgery</t>
  </si>
  <si>
    <t>Johnsrude, Ingrid S; Cook, Douglas J; Munoz, Douglas P; Pike, G. Bruce; Ptito, Alain</t>
  </si>
  <si>
    <t>Quantitative functional magnetic resonance imaging for the management of brain injuries</t>
  </si>
  <si>
    <t>Juncker, David; Mihalcioiu, Catalin; Omeroglu, ATILLA; Veres, Teodor</t>
  </si>
  <si>
    <t>Multidimensional separation isolation and characterization of circulating tumour cells</t>
  </si>
  <si>
    <t>Kadoury, Samuel; Roberge, David; Leblond, Frederic; Menard, Cynthia; Trudel, Dominique</t>
  </si>
  <si>
    <t>Image-Guided Molecular Optical Spectroscopy for Tumor-Targeted Prostate Cancer Interventions</t>
  </si>
  <si>
    <t>Kamen, Amine; Li, Xuguang</t>
  </si>
  <si>
    <t>Acceleration and Intensification of Cell Culture-Produced Influenza Vaccines for Rapid Response to Pandemic Situation</t>
  </si>
  <si>
    <t>Kandel, Rita A; Schubert, Carl; Toyserkani, Ehsan</t>
  </si>
  <si>
    <t>Biological Finger Joint Replacement</t>
  </si>
  <si>
    <t>Karsan, Aly; Marra, Marco A</t>
  </si>
  <si>
    <t>Development of an automated end-to-end next generation sequencing assay to detect all classes of genetic variant in a single diagnostic test</t>
  </si>
  <si>
    <t>Kearney, Robert E; Rabasa-Lhoret, Rémi</t>
  </si>
  <si>
    <t>Developing and clinically testing a learning algorithm that optimizes the performance of the artificial pancreas</t>
  </si>
  <si>
    <t>Kelley, Shana O; Allan, Alison L; Irish, Jonathan C</t>
  </si>
  <si>
    <t>Analysis of Circulating Tumor Cell Heterogeneity Using a Multi-Marker Microscale Capture Approach as a tool in the Management and Treatment of Cancer</t>
  </si>
  <si>
    <t>Kelley, Shana O; Keshavjee, Shaf</t>
  </si>
  <si>
    <t>Rapid gene expression and protein profiling for transplantation medicine</t>
  </si>
  <si>
    <t>Kelley, Shana O; Zandstra, Peter W; Sargent, Edward H</t>
  </si>
  <si>
    <t>Development of integrated bioanalyte sensors for process monitoring in closed system bioreactors</t>
  </si>
  <si>
    <t>Kennedy, Timothy E; Lennox, Robert B</t>
  </si>
  <si>
    <t>Bio-integrated fully implantable peripheral nerve electrode for functional upper limb prostheses</t>
  </si>
  <si>
    <t>Kizhakkedathu, Jayachandran N; Hancock, Robert Ernest W; Lange, Dirk</t>
  </si>
  <si>
    <t>Universal Antibiofilm Coating Solutions for Ureteral Stents</t>
  </si>
  <si>
    <t>Kizhakkedathu, Jayachandran N; Levy, Isra; Brooks, Donald E; Devine, Dana V</t>
  </si>
  <si>
    <t>Next Generation Platelet Storage Devices for Safe and Efficient Transfusion</t>
  </si>
  <si>
    <t>Kolios, Michael C; Czarnota, Gregory J</t>
  </si>
  <si>
    <t>Development of treatment planning platform for ultrasound stimulated microbubble therapy</t>
  </si>
  <si>
    <t>Kolios, Michael C; Acker, Jason P</t>
  </si>
  <si>
    <t>Characterization of blood storage lesions using photoacoustic technologies</t>
  </si>
  <si>
    <t>Kolios, Michael C; Trudeau, Maureen E; Czarnota, Gregory J</t>
  </si>
  <si>
    <t>Ultrasound Platform for A Priori Therapy Response Prediction</t>
  </si>
  <si>
    <t>Krylov, Sergey; Yang, Burton B</t>
  </si>
  <si>
    <t>Technology for Analysis of miRNA Signatures (TAmiRS): a Novel Tool for Personalized Cancer Medicine</t>
  </si>
  <si>
    <t>Ladak, Hanif M; Agrawal, Sumit K</t>
  </si>
  <si>
    <t>Mastoidectomy Simulator for Surgical Training and Rehearsal</t>
  </si>
  <si>
    <t>Lane, Pierre; Lam, Stephen</t>
  </si>
  <si>
    <t>Endoscopic optical coherence tomography and autofluorescence imaging for early cancer detection</t>
  </si>
  <si>
    <t>Langlois, Robert; Whyte, Hilary E; Chan, Adrian D; Green, James; Redpath, Stephanie</t>
  </si>
  <si>
    <t>Reducing vibrations to improve infant patient safety during transportation</t>
  </si>
  <si>
    <t>Laussen, Peter C; Assadi, Azadeh; Goldenberg, Anna</t>
  </si>
  <si>
    <t>Utilizing high resolution physiological data and artificial intelligence to develop a pediatric cardiac arrest prediction tool for integration into bedside clinical practice</t>
  </si>
  <si>
    <t>Law, Edith; Lim, Andrew S</t>
  </si>
  <si>
    <t>A framework for hybrid machine and human computation for the accurate and scalable analysis of human clinical EEG recordings</t>
  </si>
  <si>
    <t>Leask, Andrew C; Pope, Janet E</t>
  </si>
  <si>
    <t>CCN3: a novel antifibrotic treatment?</t>
  </si>
  <si>
    <t>Leblond, Frederic; Petrecca, Kevin; Wilson, Brian C</t>
  </si>
  <si>
    <t>Development and clinical translation of a Raman spectroscopy imaging technique to increase the extent of tumor resection in glioma surgery</t>
  </si>
  <si>
    <t>Leblond, Frederic; Boudoux, Caroline; Collins, Donald L; Lesage, Frédéric; Petrecca, Kevin; Wilson, Brian C</t>
  </si>
  <si>
    <t>Optical guidance for safe and effective brain tumor biopsy</t>
  </si>
  <si>
    <t>Lee, Warren L; Karshafian, Chris; Kolios, Michael C</t>
  </si>
  <si>
    <t>Development of a lung ultrasound therapy system for acute respiratory distress syndrome</t>
  </si>
  <si>
    <t>Lerouge, Sophie; Antoniou, John; Mwale, Fackson; Wagnac, Eric</t>
  </si>
  <si>
    <t>École de technologie supérieure (Montréal)</t>
  </si>
  <si>
    <t>Injectable bioactive hydrogel for the regeneration of intervertebral disc</t>
  </si>
  <si>
    <t>Lerouge, Sophie; Ajji, Abdellah; De Crescenzo, Gregory; Merhi, Yahye; Soulez, Gilles; Wertheimer, Michael R</t>
  </si>
  <si>
    <t>Innovative vascular implants based on electrospinning and bioactive coatings</t>
  </si>
  <si>
    <t>Lesage, Frédéric; Nguyen, Dang K</t>
  </si>
  <si>
    <t>EEG-fNIRS monitoring for critically ill patients</t>
  </si>
  <si>
    <t>Lesage, Frédéric; Comeau, Roch M; Nguyen, Dang K; Sawan, Mohamad</t>
  </si>
  <si>
    <t>Integrated time-domain micro-optode to facilitate long-term clinical fNIRS</t>
  </si>
  <si>
    <t>Lesage, Frédéric; Sylvestre, Jean-Philippe; Soucy, Jean-Paul</t>
  </si>
  <si>
    <t>Improving the identification of retinal biomarkers of Alzheimer disease in vivo</t>
  </si>
  <si>
    <t>Lin, Francis; Rigatto, Claudio</t>
  </si>
  <si>
    <t>Developing Novel Integrated Point-of-Care Systems for Chronic Kidney Disease Biomarkers Measurements</t>
  </si>
  <si>
    <t>Li, Ren-Ke; Sharifpoor, Soror; Sun, Yu</t>
  </si>
  <si>
    <t>Rescue Electrical Conduction of Heart Scar Tissue to Diminish Cardiac Arrhythmia</t>
  </si>
  <si>
    <t>Li, Yingfu; Salena, Bruno J</t>
  </si>
  <si>
    <t>Paper-based diagnostic device for colorectal cancer detection</t>
  </si>
  <si>
    <t>Lubell, William D; Chemtob, Sylvain</t>
  </si>
  <si>
    <t>Targeting the interleukin-1 receptor for treating ischemic eye diseases</t>
  </si>
  <si>
    <t>Treatment of Preterm Birth with ProstaglandinF2alpha Receptor Modulators</t>
  </si>
  <si>
    <t>Treatment of Age Related Macular Degeneration with CD36 Receptor Modulators</t>
  </si>
  <si>
    <t>Lubell, William D; Chipperton, Paul; Chemtob, Sylvain</t>
  </si>
  <si>
    <t>Azacyclopeptide Modulators of Immuno-metabolism to Treat Age-Related Macular Degeneration</t>
  </si>
  <si>
    <t>Macaulay, Calum E; Poh, Catherine</t>
  </si>
  <si>
    <t>Real-Time In Vivo Oral Pathology for Clinical Decision Making</t>
  </si>
  <si>
    <t>Ma, Hongshen; Wyatt, Alexander W</t>
  </si>
  <si>
    <t>Development of Technologies for Rapid Isolation and Genome Sequencing of Single Circulating Tumor Cells in Prostate Cancer</t>
  </si>
  <si>
    <t>Ma, Hongshen; Sheffield, William P; Scott, Mark D</t>
  </si>
  <si>
    <t>Deformability based Cell Sorting Enabling Quality Control of Stored Red Blood Cells</t>
  </si>
  <si>
    <t>Mandelis, Andreas; Tabatabaei, Nima</t>
  </si>
  <si>
    <t>Development of a high-resolution photothermal coherence tomography clinical device for detection and 3-D mapping of early dental caries</t>
  </si>
  <si>
    <t>Mandelis, Andreas; Foster, F. Stuart</t>
  </si>
  <si>
    <t>Hybrid (Co-registered) Intravascular Imaging Technology of Coronary Atherosclerosis using Wavelength-Modulated Differential Photoacoustic Radar and Ultrasonic Tomography</t>
  </si>
  <si>
    <t>Marjoribanks, Robin S; Akens, Margarete K; Betz, Vaughn; Lilge, Lothar</t>
  </si>
  <si>
    <t>Orthopaedic surgical platform which uses burst-mode ultrafast laser pulses delivered by high-power fiber-optic catheter for less-invasive surgery with ultrafine control</t>
  </si>
  <si>
    <t>Martel, Sylvain; Soulez, Gilles</t>
  </si>
  <si>
    <t>Endovascular navigation of magnetic drug eluting beads for liver cancer therapy: Feasibility and optimization</t>
  </si>
  <si>
    <t>Maynes, Jason T; Hamilton, Robert M; Sun, Yu</t>
  </si>
  <si>
    <t>Novel Methods to Evaluate the Cardiac Activity of Pharmaceuticals: Identifying New Therapies and Predicting Cardiac Toxicity</t>
  </si>
  <si>
    <t>Maynes, Jason T; Deans, Robert; Coles, John G; Santerre, Paul</t>
  </si>
  <si>
    <t>Neonatal Stem Cell Secretomes as a Novel Regenerative Therapy for Heart Failure</t>
  </si>
  <si>
    <t>McCulloch, Christopher A; Simmons, Craig A</t>
  </si>
  <si>
    <t>Screening Assay for Inhibition of Cancer Cell Invasion</t>
  </si>
  <si>
    <t>Mcfadyen, Bradford J; Edwards, Geoffreyjen; Laurendeau, Denis; Zabjek, Karl F</t>
  </si>
  <si>
    <t>Body-Environment Proximity Measurement: An integrated approach to measuring mobility deficits for assessment and treatment</t>
  </si>
  <si>
    <t>McGuigan, Alison P; Wouters, Bradly</t>
  </si>
  <si>
    <t>A tissue engineering platform to identify target combinations in tumour stoma to render tumours therapy sensitive</t>
  </si>
  <si>
    <t>Mckeown, Martin J; Liang, Jie; Wang, Z. Jane</t>
  </si>
  <si>
    <t>Confidential Automatic Monitoring, Examination, and Recognition of disease Activity (CAMERA): Application to Parkinson and Alzheimer Diseases</t>
  </si>
  <si>
    <t>Menon, Carlo; Boyd, Lara</t>
  </si>
  <si>
    <t>Bimanual wearable robotic orthoses to promote cortical function and recovery from stroke</t>
  </si>
  <si>
    <t>Restoring normal gait: a disruptive assistive technology</t>
  </si>
  <si>
    <t>Menon, Carlo; Lam, Stephen</t>
  </si>
  <si>
    <t>Scanning micro-cantilever based catheter for in vivo imaging</t>
  </si>
  <si>
    <t>Menon, Carlo; Martin, Pauline; Eng, Janice J</t>
  </si>
  <si>
    <t>Transformative Ankle Bracelet</t>
  </si>
  <si>
    <t>Mequanint, Kibret; Battista, Jerry J; Bauman, Glenn S; Jordan, Kevin J</t>
  </si>
  <si>
    <t>Non-diffusing 3D gel dosimeters: A platform technology for dose verification and quality assurance in radiation therapy</t>
  </si>
  <si>
    <t>Messaddeq, Younès; De Koninck, Yves; Gosselin, Benoit</t>
  </si>
  <si>
    <t>Minimally-invasive, wireless, multimodal micro-optrodes for brain sensing</t>
  </si>
  <si>
    <t>Meunier, Michel; Costantino, Santiago; Sapieha, Przemyslaw (Mike) S</t>
  </si>
  <si>
    <t>Nanoplasmonics Enhanced Laser Gene Delivery for Retinal Degenerative Diseases</t>
  </si>
  <si>
    <t>Meunier, Michel; Verhaegen, Marc; Cheriet, Farida; Trudel, Dominique</t>
  </si>
  <si>
    <t>Improving the reliability of cytology diagnosis with immunoplasmonic multiplex labeling.</t>
  </si>
  <si>
    <t>Meunier, Michel; Côté, Christian-Yves; Brunette, Isabelle; Costantino, Santiago; Sapieha, Przemyslaw (Mike) S</t>
  </si>
  <si>
    <t>Selective laser-mediated gene therapy for ocular diseases</t>
  </si>
  <si>
    <t>Mihailidis, Alex; Miller, William C</t>
  </si>
  <si>
    <t>A Modular Intelligent Power Wheelchair System to Enhance Mobility, Safety and Participation of Users</t>
  </si>
  <si>
    <t>Miller, Donald W; van Lierop, Johan</t>
  </si>
  <si>
    <t>Development of Magnetic Nanoparticles to Breakthrough the Blood-Brain Barrier</t>
  </si>
  <si>
    <t>Miller, Donald W; Maula Bux, Rashid A; Klonisch, Thomas; Lakowski, Ted M</t>
  </si>
  <si>
    <t>Development and clinical assessment of novel biomarker drugs targeting SSAT1 for detection and therapeutic monitoring of glioblastoma</t>
  </si>
  <si>
    <t>Minchinton, Andrew I; Bacha, Jeffrey; Perrin, David M</t>
  </si>
  <si>
    <t>Hypoxia-selective inhibitors of DNA repair</t>
  </si>
  <si>
    <t>Moriarty, Tara J; Simmons, Craig A</t>
  </si>
  <si>
    <t>Screening technologies for identification of bacterial vascular dissemination inhibitors and testing of novel antibiotic-complementing therapeutic molecules</t>
  </si>
  <si>
    <t>Morshead, Cindi M; Ahlfors, Jan-Eric; Shoichet, Molly S</t>
  </si>
  <si>
    <t>Engineering healing: Combinatorial strategies to promote repair of the stroke injured brain</t>
  </si>
  <si>
    <t>Mousavi, Parvin; Fenster, Aaron; Romagnoli, Cesare</t>
  </si>
  <si>
    <t>RF Time Series Flashlight for Targeted Prostate Biopsy</t>
  </si>
  <si>
    <t>Mousavi, Parvin; Zahiri Azar, Reza; Engel, Cecil J; Fichtinger, Gabor</t>
  </si>
  <si>
    <t>An integrated spectroscopy-ultrasound surgical navigation system for residual cancer detection in breast surgery.</t>
  </si>
  <si>
    <t>Mubareka, Samira; Savory, Eric</t>
  </si>
  <si>
    <t>Characterization and mitigation of experimental and natural viral bioaerosols</t>
  </si>
  <si>
    <t>Musselman, Kristin E; Alizadeh-Meghrazi, Milad; Masani, Kei</t>
  </si>
  <si>
    <t>Development and validation of a clinically feasible, novel therapy for improving standing balance and reducing falls</t>
  </si>
  <si>
    <t>Nabi, Ivan R; Arbuckle, John; Hamarneh, Ghassan; Hanrahan, John W; Wiseman, Paul W</t>
  </si>
  <si>
    <t>Super-resolution microscopy network analysis: Drug target validation for cystic fibrosis</t>
  </si>
  <si>
    <t>Nair, Parameswaran K; Brennan, John D</t>
  </si>
  <si>
    <t>The development of an eosinophil-specific bioactive paper detection system</t>
  </si>
  <si>
    <t>Nguan, Christopher; Rohling, Robert N; Salcudean, Septimiu E</t>
  </si>
  <si>
    <t>Development of an Ultrasound based Elastography System for Renal Transplantation</t>
  </si>
  <si>
    <t>Nguyen, Dang K; Benard, Frederic; Gagnon, Marie-Pierre; Gosselin, Benoit; Laviolette, François; MERVEILLE, NICOLAS; Sawan, Mohamad</t>
  </si>
  <si>
    <t>A multimodal seizure detection artificial intelligence-based smart wear</t>
  </si>
  <si>
    <t>Nobes, David S; Freed, Darren H; Sutendra, Gopinath</t>
  </si>
  <si>
    <t>Optimization of an ex vivo heart perfusion device for pre-transplant preservation and evaluation of donor hearts</t>
  </si>
  <si>
    <t>Orvig, Christopher E; Benard, Francois; Schaffer, Paul</t>
  </si>
  <si>
    <t>Theranostic Vectors to Treat Cancer with Radiometals</t>
  </si>
  <si>
    <t>Overall, Christopher M; Kizhakkedathu, Jayachandran N</t>
  </si>
  <si>
    <t>Polymers for Proteomic Enrichment of Early Cancer Biomarkers</t>
  </si>
  <si>
    <t>Pasini, Damiano; Tanzer, Michael</t>
  </si>
  <si>
    <t>Development of a mechanically biomcompatible hip replacement implant with Ti-6Al-4V open-cell microlattice architecture</t>
  </si>
  <si>
    <t>Patel, Rajnikant V; Mihailidis, Alex; Polouchine, Ilia; Tavakoli, Mahdi; Teasell, Robert W</t>
  </si>
  <si>
    <t>Novel Haptics-Enabled Robotic Systems for Rehabilitation Therapy</t>
  </si>
  <si>
    <t>Patterson, Kara K; Grahn, Jessica</t>
  </si>
  <si>
    <t>The relationship of temporal gait asymmetry and rhythm perception and production</t>
  </si>
  <si>
    <t>Pawliszyn, Janusz B; Cypel, Marcelo</t>
  </si>
  <si>
    <t>Supervised in vivo lung perfusion strategy for treatment of cancer metastases to the lungs. Real time monitoring of chemotherapy by on-site analytical platform</t>
  </si>
  <si>
    <t>Pelletier, Joelle N; Masson, Jean-Francois</t>
  </si>
  <si>
    <t>Clinical evaluation of surface-plasmon resonance and nanoparticle-based fluorescent detection of serum biomarkers</t>
  </si>
  <si>
    <t>Petel, Oren; Hoshizaki, Thomas B</t>
  </si>
  <si>
    <t>The development of a next-generation polymeric headform surrogate for concussion and helmet evaluation</t>
  </si>
  <si>
    <t>Phani, Srikantha A; Hsiang, York; Kizhakkedathu, Jayachandran N; Takahata, Kenichi</t>
  </si>
  <si>
    <t>Universal Smart Guided-Catheter Systems Based on Novel Shape Memory Polymer Brush Actuators for Minimally Invasive Vascular Surgery</t>
  </si>
  <si>
    <t>Philpott, Dana J; Tompkins, Thomas A; Mahadevan, Radhakrishnan</t>
  </si>
  <si>
    <t>Synthetic biology approaches to design living medicines to improve intestinal and metabolic health.</t>
  </si>
  <si>
    <t>Pillai Riddell, Rebecca Rita E; Shah, Vibhuti; Wang, Steven X</t>
  </si>
  <si>
    <t>Rebooting Infant Pain Assessment: Using Machine Learning to Exponentially Improve Neonatal Intensive Care Unit Practice.</t>
  </si>
  <si>
    <t>Piret, James M; Blades, Michael W; Kieffer, Timothy J; Turner, Robin F</t>
  </si>
  <si>
    <t>Raman Spectroscopy Analysis to Improve the Validation of Cell Therapy Manufacturing Processes</t>
  </si>
  <si>
    <t>Piret, James M; Roy, Denis-Claude; Gopaluni, Bhushan; Levings, Megan K</t>
  </si>
  <si>
    <t>Bioprocess Engineering for Therapeutic T-cell Manufacturing</t>
  </si>
  <si>
    <t>Poon, Joyce; Genov, Roman; Lozano, Andres M</t>
  </si>
  <si>
    <t>Wireless neurophotonic probes for the interrogation of neurons in memory circuits</t>
  </si>
  <si>
    <t>Prisman, Eitan; DURHAM, JAMES S; Fels, Sidney S; Hodgson, Antony J</t>
  </si>
  <si>
    <t>Intraoperative Surgical Tools for Advanced Reconstruction Workflow to Optimize Outcomes of Head and Neck Cancer Treatment</t>
  </si>
  <si>
    <t>Purdie, Thomas G; Chan, Timothy; Ward, Aaron</t>
  </si>
  <si>
    <t>Advancing Personalized Cancer Care with an Automated Radiomics-Based Radiation Therapy Method</t>
  </si>
  <si>
    <t>Purdie, Thomas G; Jurisica, Igor</t>
  </si>
  <si>
    <t>Improving Quality and Patient Safety in Radiation Therapy by Integrating Multi-Disciplinary Criteria into an Artificial Intelligence System</t>
  </si>
  <si>
    <t>Radisic, Milica; Nanthakumar, Kumaraswamy</t>
  </si>
  <si>
    <t>Platform technology for maturation of human stem cell derived cardiomyocytes and cardiotoxicity screening</t>
  </si>
  <si>
    <t>Raha, Sandeep; Ewart, Thomas; Selvaganapathy, Ponnambalam R</t>
  </si>
  <si>
    <t>Placenta on a chip: A humanized platform for testing of pharmaceuticals and environmental chemicals</t>
  </si>
  <si>
    <t>Razak, Fahad; Greenberg, Anna; Chan, Timothy; Chignell, Mark H; Fidler, Sanja; Ghassemi, Marzyeh; Sheehan, Kathleen; Siddiqi, Arjumand; Verma, Amol</t>
  </si>
  <si>
    <t>Using artificial intelligence to identify and predict delirium among hospitalized medical patients</t>
  </si>
  <si>
    <t>Reisner, Walter W; Hilke, Michael; Riazalhosseini, Yasser; Sladek, Robert G</t>
  </si>
  <si>
    <t>Nanofluidic Wet-Cell for Genomic Analysis of Single Circulating Tumor Cells via Electron Microscopy</t>
  </si>
  <si>
    <t>Reisner, Walter W; Ao, Asangla; Leslie, Sabrina R; Sladek, Robert G</t>
  </si>
  <si>
    <t>Nanoconfinement Based Single-Cell Cytogenetic Platform for Pre-/Post-Implantation Genetic Diagnosis</t>
  </si>
  <si>
    <t>Rohling, Robert N; Pugash, Denise</t>
  </si>
  <si>
    <t>Quantitative ultrasound for detecting abnormalities of the placenta</t>
  </si>
  <si>
    <t>Santerre, Paul; Bendeck, Michelle P</t>
  </si>
  <si>
    <t>Degradable Cardiac Patch with Immuno-modulatory function</t>
  </si>
  <si>
    <t>Santerre, Paul; Whyne, Cari M</t>
  </si>
  <si>
    <t>Novel adhesive polymeric membranes for binding degradable composite materials to bone in craniomaxillofacial repair</t>
  </si>
  <si>
    <t>Sarunic, Marinko V; Molday, Robert S</t>
  </si>
  <si>
    <t>Optical imaging of retinal structure and function with cellular resolution</t>
  </si>
  <si>
    <t>Schreiner, L. John; Falkson, Conrad B; Fichtinger, Gabor; Mcauley, Kim B</t>
  </si>
  <si>
    <t>Gel dosimetry for brachytherapy dose delivery validation</t>
  </si>
  <si>
    <t>Scollie, Susan D; Purcell, David W</t>
  </si>
  <si>
    <t>Rapid measures of speech-evoked brainstem activity in infants who have hearing loss: Assessing hearing aid benefit for speech sounds.</t>
  </si>
  <si>
    <t>Sefton, Michael V; Cattral, Mark S</t>
  </si>
  <si>
    <t>Vascularized regenerative biomaterials for medical devices and cell therapy</t>
  </si>
  <si>
    <t>Shin, Jumi; Chan, Warren C; Penn, Linda Z</t>
  </si>
  <si>
    <t>Nanoparticle-based anti-Myc cancer therapeutics</t>
  </si>
  <si>
    <t>Shoichet, Molly S; Petrecca, Kevin</t>
  </si>
  <si>
    <t>Brain Cancer Treatment: innovations in delivery of stable siRNAs and chemotherapeutics</t>
  </si>
  <si>
    <t>Shoichet, Molly S; Muthuswamy, Senthil K</t>
  </si>
  <si>
    <t>Design of a high content personalized medicine screening tool for the treatment of cancer</t>
  </si>
  <si>
    <t>Simmons, Craig A; Lye, Stephen J; Santerre, Paul</t>
  </si>
  <si>
    <t>Biomaterial substrates for xeno- and feeder layer-free culture of human pluripotent stem cells</t>
  </si>
  <si>
    <t>Simmons, Craig A; Billia, Filio; Kolios, Michael C</t>
  </si>
  <si>
    <t>Development of a physiological cardiac microtissue platform for drug development</t>
  </si>
  <si>
    <t>Simmons, Craig A; Caldarone, Christopher A; Santerre, Paul</t>
  </si>
  <si>
    <t>Engineering Pulmonary Valve Tissue for Pediatric Patients with Tetralogy of Fallot</t>
  </si>
  <si>
    <t>Sinton, David A; Jarvi, Keith A</t>
  </si>
  <si>
    <t>Sperm Olympics: Selecting 1 in 100,000 for Intracytoplasmic Sperm Injection</t>
  </si>
  <si>
    <t>Sleiman, Hanadi; Panasci, Lawrence C</t>
  </si>
  <si>
    <t>DNA Cages as a Platform for Efficient and Selective Delivery of Therapeutics into Tumor Cells</t>
  </si>
  <si>
    <t>Sone, Eli D; Ganss, Bernhard; McCulloch, Christopher A</t>
  </si>
  <si>
    <t>A novel mineralization-inducing membrane for promoting periodontal attachment</t>
  </si>
  <si>
    <t>Soulez, Gilles; McGrath, Darach; Lerouge, Sophie</t>
  </si>
  <si>
    <t>Optimization and preclinical testing of a sclerosing and embolizing gel for embolization of varicose veins</t>
  </si>
  <si>
    <t>Stanford, William L; Ito, Caryn; Jolicoeur, Mario</t>
  </si>
  <si>
    <t>An Integrated Systems Biology Approach to Developing Mesenchymal Stem/Stromal Cell-derived Cellular Therapeutics</t>
  </si>
  <si>
    <t>St. Lawrence, Keith S; Lee, David S</t>
  </si>
  <si>
    <t>The need for neuromonitoring during the golden hour to prevent preterm brain injury</t>
  </si>
  <si>
    <t>Stoeber, Boris; Staykov, Radoslav; Algar, Walter R; Conway, Edward M; Kizhakkedathu, Jayachandran N</t>
  </si>
  <si>
    <t>Platform technology for blood diagnostics integrating microneedle blood sampling and quantum-dot based multiplexed assays</t>
  </si>
  <si>
    <t>Sun, Yu; Hamilton, Robert M; Maynes, Jason T</t>
  </si>
  <si>
    <t>Automated assays of gap junction functions and screening of drugs for rescuing conduction in heart tissues</t>
  </si>
  <si>
    <t>Sutherland, Garnette R; Tavakoli, Mahdi</t>
  </si>
  <si>
    <t>A novel neurosurgery-specific haptic hand-controller for robot-assisted surgical systems</t>
  </si>
  <si>
    <t>Suuronen, Erik; Stewart, Duncan J; Alarcón, Emilio I; Ruel, Marc</t>
  </si>
  <si>
    <t>Injectable collagen matrices for cardiac tissue repair</t>
  </si>
  <si>
    <t>Tabrizian, Maryam; Antel, Jack P</t>
  </si>
  <si>
    <t>Rapidly-Gelling, Guanosine 5' Diphosphate-Crosslinked Injectable Chitosan Sponges to Promote Oligodendrocyte Progenitor Cells' Differentiation Post-Spinal Cord Injuries</t>
  </si>
  <si>
    <t>Tabrizian, Maryam; Norton, Brent A; Murshed, Monzur</t>
  </si>
  <si>
    <t>An Injectable Phosphate Releasing Bone Tissue Construct Encapsulating Adipose-Derived Stem Cells and Diphosphate Cleaving Enzymes to Promote Biomineralization in Critical Size Bone Defects</t>
  </si>
  <si>
    <t>Takahata, Kenichi; Hsiang, York; Kizhakkedathu, Jayachandran N; Mirabbasi, Shahriar</t>
  </si>
  <si>
    <t>Active Stent Based Endohyperthermia System for Inhibition of In-Stent Restenosis</t>
  </si>
  <si>
    <t>Takahata, Kenichi; Harrah, Tim; Chew, Ben H; Lange, Dirk; Mirabbasi, Shahriar</t>
  </si>
  <si>
    <t>Intelligent Ureteral Stent System for Prevention of Renal Damage</t>
  </si>
  <si>
    <t>Tang, Shuo; Macaulay, Calum E</t>
  </si>
  <si>
    <t>Handheld Multiphoton Imaging Device for Detecting Oral Cancer</t>
  </si>
  <si>
    <t>Tang, Shuo; Nguan, Christopher</t>
  </si>
  <si>
    <t>Photoacoustic Imaging for Image Guided Prostate Cancer Interventions</t>
  </si>
  <si>
    <t>Tavakoli, Mahdi; Sloboda, Ronald S; Usmani, Nawaid</t>
  </si>
  <si>
    <t>An Intelligent Needle Adjustment Assistant for Prostate Brachytherapy</t>
  </si>
  <si>
    <t>Tavakoli, Mahdi; Kelley, Kevin; Husain, Siraj; Meyer, Tyler S; Sloboda, Ronald S; Usmani, Nawaid</t>
  </si>
  <si>
    <t>Computer-Integrated Ultrasound Guidance and Mechatronics Assistance for Breast Brachytherapy</t>
  </si>
  <si>
    <t>Thompson, Michael R; Wang, Zhenyu; Xing, Zhou</t>
  </si>
  <si>
    <t>Developing Thermally Stable Dry Powder Vaccine Platforms Via Spray Drying Tailored for Inhalation Delivery</t>
  </si>
  <si>
    <t>Towler, Mark R; Schemitsch, Emil H</t>
  </si>
  <si>
    <t>Synthesis of Bioactive Augments for use in Revision Knee Joint Replacement</t>
  </si>
  <si>
    <t>Transformative Bioglass Coatings for Surgical Applications.</t>
  </si>
  <si>
    <t>Trejos, Ana Luisa; Friedman, Evan; Garland, S. J</t>
  </si>
  <si>
    <t>Mechatronic Device for Multimodal Suppression of Parkinsonian Tremor</t>
  </si>
  <si>
    <t>Tsang, Teresa S; Abolmaesumi, Purang</t>
  </si>
  <si>
    <t>INformation FUSion for Echocardiography (INFUSE): A Novel Platform for Automatic Analysis of Echocardiography Data at Any Point-Of-Care</t>
  </si>
  <si>
    <t>Turner, Robin F; Blades, Michael W; Devine, Dana V</t>
  </si>
  <si>
    <t>Non-Invasive Probe to Assess the Quality and Suitability for Transfusion of Stored Red Blood Cells</t>
  </si>
  <si>
    <t>Valliant, John F; Foster, F. Stuart</t>
  </si>
  <si>
    <t>Development of Molecularly Targeted Ultrasound Contrast Agents for Prostate Cancer Imaging using Bioorthogonal Chemistry</t>
  </si>
  <si>
    <t>Walker, Gilbert C; Wang, Chen</t>
  </si>
  <si>
    <t>Improved Diagnosis of Leukemia Using Highly Multiplexed Surface Enhanced Raman Scattering Nanoparticles</t>
  </si>
  <si>
    <t>Wang, Rizhi; Masri, Bassam A</t>
  </si>
  <si>
    <t>Preventing Adverse Tissue Reactions in Total Hip Replacement, from Mechanisms to New Implant Designs</t>
  </si>
  <si>
    <t>Waspe, Adam C; Allard, Mathieu; Drake, James M</t>
  </si>
  <si>
    <t>Development of a Magnetic Resonance guided High Intensity Focused Ultrasound Therapy Platform for Perinatal Applications</t>
  </si>
  <si>
    <t>Whyne, Cari M; Richards, Robin R; Razmjou, Helen</t>
  </si>
  <si>
    <t>Shifting the Paradigm in Home Physiotherapy: Implementation and Implications of Adherence Monitoring with Artificial Intelligence</t>
  </si>
  <si>
    <t>Withers, Stephen G; Hartell, David; Cypel, Marcelo</t>
  </si>
  <si>
    <t>Improved organ transplant across the ABO barrier through enzymatic removal of antigens</t>
  </si>
  <si>
    <t>Wootton, Sarah; Thompson, Brad; Thebaud, Bernard</t>
  </si>
  <si>
    <t>Clinical Advancement of an AAV Lung Gene Therapy Platform for the Treatment of Monogenic Lung Diseases</t>
  </si>
  <si>
    <t>Xing, Zhou; Thompson, Michael R</t>
  </si>
  <si>
    <t>Bioengineered chimpanzee adenovirus-based vaccines against tuberculosis: Optimization of immunologic property, formulation and delivery for bench-to-human applications</t>
  </si>
  <si>
    <t>Yang, Victor X; Barnes, Elizabeth A; Chin, Lee</t>
  </si>
  <si>
    <t>Photodynamic therapy of non-melanoma skin cancers - development of a comprehensive image-guided planning system for personalized treatment</t>
  </si>
  <si>
    <t>Yee, Albert J; Whyne, Cari M</t>
  </si>
  <si>
    <t>Image-guided Radiofrequency Ablation (RFA) - Development, Validation, and Integration of Multimodality Treatment Planning for Vertebral Tumors</t>
  </si>
  <si>
    <t>Yudin, Andrei; Schimmer, Aaron D</t>
  </si>
  <si>
    <t>Development of a lead boron-containing ClpP inhibitor for AML therapy</t>
  </si>
  <si>
    <t>Yuen, Darren A; Foltz, Warren D; Kirpalani, Anish</t>
  </si>
  <si>
    <t>Using magnetic resonance imaging to non-invasively image and quantify kidney fibrosis</t>
  </si>
  <si>
    <t>Using "enhanced ultrasound" to help select the best kidneys for transplantation</t>
  </si>
  <si>
    <t>Zehbe, Ingeborg; Curiel, Laura</t>
  </si>
  <si>
    <t>High intensity focused ultrasound and newly engineered single domain antibodies for non-invasive treatment of human papillomavirus-related cervical cancer</t>
  </si>
  <si>
    <t>Zemp, Roger J; Moore, Ronald B; Usmani, Nawaid</t>
  </si>
  <si>
    <t>Modulation-Encoded Micromachined Transducer Arrays for Ultrasound and Photoacoustic Imaging of Prostate and Colorectal Cancer</t>
  </si>
  <si>
    <t>Op. Grant: NWHRI: Innovation Fund - Healthcare implementation research</t>
  </si>
  <si>
    <t>202403NW2</t>
  </si>
  <si>
    <t>National Women's Health Research Initiative: Innovation Fund</t>
  </si>
  <si>
    <t xml:space="preserve">2 yrs 10 mths </t>
  </si>
  <si>
    <t>Protecting and supporting breastfeeding and lactation equity in Manitoba through community-integrated education and care using novel technologies, culturally safe and gender affirming approaches</t>
  </si>
  <si>
    <t>Listening to our Women: Understanding barriers, enablers, and strategies to cervical cancer screening uptake using HPV DNA self-sampling through participatory, community-based approaches among Indigenous women living remotely in Ontario</t>
  </si>
  <si>
    <t>Op. Grant: NWHRI: Innovation Fund - Translational Research</t>
  </si>
  <si>
    <t>202403NW3</t>
  </si>
  <si>
    <t>Hormonal route of administration and cardiorenal health</t>
  </si>
  <si>
    <t>Centre hospitalier universitaire Sainte-Justine (Montréal, Québec)</t>
  </si>
  <si>
    <t>A Breakthrough Solution to Effectively Prevent Preterm Birth</t>
  </si>
  <si>
    <t>Let's not wait 11 years: Development and rapid adoption of a screening measure for endometriosis in young Canadian adults</t>
  </si>
  <si>
    <t>Development of a Novel Non-Surgical Endometriosis Diagnostic by Combining an Ultrasound-Based Procedure with Single Molecule Arrays (SIMOA)</t>
  </si>
  <si>
    <t>Does repetitive transcranial magnetic stimulation (rTMS) reduce pain associated with endometriosis more effectively than a sham rTMS intervention? A randomized controlled trial.</t>
  </si>
  <si>
    <t>Klotho, a new biomarker to improve breast cancer screening programs by reducing false-positive results.</t>
  </si>
  <si>
    <t>Social Prescribing to Improve Adherence and Outcomes in Women with Heart Failure</t>
  </si>
  <si>
    <t>Examining the efficacy of a multimodal virtual program on pain and sexual outcomes in individuals with provoked vestibulodynia: A randomized clinical trial</t>
  </si>
  <si>
    <t>Psilocybin-assisted therapy for post-traumatic stress disorder (PTSD) in intimate partner violence (IPV) survivors</t>
  </si>
  <si>
    <t>Development and validation of a clinical assessment tool to improve detection of brain injury in intimate partner violence</t>
  </si>
  <si>
    <t>Development of a novel risk prediction model for chronic postsurgical pain after breast cancer surgery</t>
  </si>
  <si>
    <t>Oper Grant:eHealth Innov Partnership Program(eHIPP)-Seniors w Complex Care Needs</t>
  </si>
  <si>
    <t>201506EH2</t>
  </si>
  <si>
    <t>eHealth Innovation Partnership Program (eHIPP): Support of Seniors</t>
  </si>
  <si>
    <t>THE SMArT VIEW, CoVeRed: TecHnology Enabled monitoring  and Self-MAnagemenT- VIsion for patient EmpoWerment following  Cardiac and VasculaR surgery</t>
  </si>
  <si>
    <t>Allen, Christine J; Reilly, Raymond M; Sridhar, Srikala S</t>
  </si>
  <si>
    <t>Ansermino, John M</t>
  </si>
  <si>
    <t>eVENT: An expert system for detecting ventilatory events during anesthesia</t>
  </si>
  <si>
    <t>CIUSSS de Centre-Ouest-de-l'Ile-de-Montréal-Jewish General</t>
  </si>
  <si>
    <t>Tissue Engineering of Intervertebral Discs</t>
  </si>
  <si>
    <t>Prediction and control of seizure onset</t>
  </si>
  <si>
    <t>Bobyn, John D; Tanzer, Michael</t>
  </si>
  <si>
    <t>Bolduc, Stéphane</t>
  </si>
  <si>
    <t>Boyd, Steven K; Hanley, David A</t>
  </si>
  <si>
    <t>CIUSSS Est-de-l'Ile-de- Montréal-Maisonneuve Rosemont</t>
  </si>
  <si>
    <t>Caldwell, Curtis B; Beauregard, Jean-Mathieu</t>
  </si>
  <si>
    <t>Carrier, Marc; Auer, Rebecca Ann C</t>
  </si>
  <si>
    <t>Collins, Donald L; Goulet, Benoit</t>
  </si>
  <si>
    <t>Costantino, Santiago; Lesk, Mark R</t>
  </si>
  <si>
    <t>Cripton, Peter A; Siegmund, Gunter Paul</t>
  </si>
  <si>
    <t>Cunningham, Ian A; Karim, Karim S</t>
  </si>
  <si>
    <t>Czarnota, Gregory J; Kolios, Michael C</t>
  </si>
  <si>
    <t>Devereaux, Philip J; Sheth, Tej N</t>
  </si>
  <si>
    <t>Duval, Michel; Decaluwe, Hélène; Haddad, Elie; Raynal, Noël J</t>
  </si>
  <si>
    <t>Duval, Michel; Haddad, Elie</t>
  </si>
  <si>
    <t>Elliott, Janet A; Mcgann, Locksley E</t>
  </si>
  <si>
    <t>Flanagan, John G; Sivak, Jeremy M</t>
  </si>
  <si>
    <t>Ghert, Michelle A; Bhandari, Mohit</t>
  </si>
  <si>
    <t>Gilbert, Lucy; Basso, Olga</t>
  </si>
  <si>
    <t>Gobeil, Stéphane</t>
  </si>
  <si>
    <t>Hill, Richard P; Hedley, David W</t>
  </si>
  <si>
    <t>Irwin, Meredith; Kaplan, David R</t>
  </si>
  <si>
    <t>Jaffray, David A; Allen, Christine J</t>
  </si>
  <si>
    <t>Kislinger, Thomas; Boutros, Paul C; Liu, Fei-Fei</t>
  </si>
  <si>
    <t>Kislinger, Thomas; Medin, Jeffrey A</t>
  </si>
  <si>
    <t>Lee, J. M; Gough, Kathleen M; Kreplak, Laurent; Veres, Samuel P</t>
  </si>
  <si>
    <t>Lerch, Jason P; Palmert, Mark R</t>
  </si>
  <si>
    <t>Lockwood, William W; Bennewith, Kevin L</t>
  </si>
  <si>
    <t>Macaulay, Calum E; Keyes, Mira</t>
  </si>
  <si>
    <t>Mikulis, David J; Black, Sandra E</t>
  </si>
  <si>
    <t>Nabi, Ivan R; Dennis, James W</t>
  </si>
  <si>
    <t>Narod, Steven A; Murphy, K. Joan</t>
  </si>
  <si>
    <t>Toward personalized immunotherapy: identifying tumour-specific factors that dictate the response of spontaneous mammary cancers to T cells</t>
  </si>
  <si>
    <t>Rathee, Satyapal; Fallone, Biagio G</t>
  </si>
  <si>
    <t>Richard, Stéphane</t>
  </si>
  <si>
    <t>Rudnicki, Michael A; Dilworth, Jeffrey J; Megeney, Lynn A; Perkins, Theodore J</t>
  </si>
  <si>
    <t>Ruel, Marc; Suuronen, Erik</t>
  </si>
  <si>
    <t>Sadar, Marianne D; Andersen, Raymond J</t>
  </si>
  <si>
    <t>Salcudean, Septimiu E; Black, Peter C</t>
  </si>
  <si>
    <t>Sanche, Léon</t>
  </si>
  <si>
    <t>INRS - (Québec, QC)</t>
  </si>
  <si>
    <t>Santyr, Giles E; Rodrigues, George</t>
  </si>
  <si>
    <t>Sarret, Philippe</t>
  </si>
  <si>
    <t>Shah, Sohrab P; Mcalpine, Jessica N</t>
  </si>
  <si>
    <t>Sled, John G; Macgowan, Christopher K</t>
  </si>
  <si>
    <t>Stanford, William L; Ito, Caryn; Perkins, Theodore J; Sabloff, Mitchell</t>
  </si>
  <si>
    <t>Université de Moncton (New Brunswick)</t>
  </si>
  <si>
    <t>Wang, Rizhi; Guy, Pierre</t>
  </si>
  <si>
    <t>Wang, Yuzhuo; Collins, Colin C; Jia, William W; Rennie, Paul S</t>
  </si>
  <si>
    <t>Whelan, Timothy J; Fyles, Anthony W; Liu, Fei-Fei</t>
  </si>
  <si>
    <t>Whyne, Cari M; Yee, Albert J</t>
  </si>
  <si>
    <t>Wilson, David R; Mackay, Alexander L</t>
  </si>
  <si>
    <t>Wouters, Bradly; Koritzinsky, Marianne</t>
  </si>
  <si>
    <t>Magnetic Resonance Imaging for Ischemic Heart Disease</t>
  </si>
  <si>
    <t>Zadeh, Gelareh; Hill, Richard P</t>
  </si>
  <si>
    <t>Zadeh, Gelareh; Hawkins, Cynthia E</t>
  </si>
  <si>
    <t>Zeng, Haishan; Lui, Harvey</t>
  </si>
  <si>
    <t>Zeng, Haishan; Chiao, Mu; Macaulay, Calum E; Tai, Isabella T</t>
  </si>
  <si>
    <t>Boucher, Marie-Josée</t>
  </si>
  <si>
    <t>Mader, Sylvie N; Gleason, James L</t>
  </si>
  <si>
    <t>Moradi, Mehdi; Black, Peter C</t>
  </si>
  <si>
    <t>Shakiba, Nika; Goyal, Sidhartha</t>
  </si>
  <si>
    <t>Lee, Tim K; Lui, Harvey; Zeng, Haishan</t>
  </si>
  <si>
    <t>Operating Grant : Adv Theoretical Meth Innov Hlth Res-Longitudinal Studies Aging</t>
  </si>
  <si>
    <t>201110TO1</t>
  </si>
  <si>
    <t>Operating Grant: Innovations in Health Research</t>
  </si>
  <si>
    <t>Combining functional near infra-red spectroscopy and dual-task walking to track preclinical motor and cognitive declines and their evolution in aging individuals.</t>
  </si>
  <si>
    <t>Ciampi, Antonio</t>
  </si>
  <si>
    <t>Identifying states and courses of a mental disorder from longitudinal data: Delirium as an example</t>
  </si>
  <si>
    <t>Cohen, Alan A</t>
  </si>
  <si>
    <t>Novel approaches to aging physiology: Using statistics and data mining to understand dysregulation of biomarker networks in human populations</t>
  </si>
  <si>
    <t>Operating Grant: AMR: Point of Care Diagnostics in Human Health Phase 2</t>
  </si>
  <si>
    <t>201810APC</t>
  </si>
  <si>
    <t>AMR: Point of Care Diagnostics in Human Health - Phase 2</t>
  </si>
  <si>
    <t>Point-of-Care Diagnostic Discrimination Between Bacterial and Viral Infections Using a Nanostructured Platform Device for Detection of Host Biomarkers.</t>
  </si>
  <si>
    <t>Reducing the burden of antimicrobial resistance via rapid diagnosis of urinary tract infections</t>
  </si>
  <si>
    <t>Development of an automated point of care system for rapid multiplex detection and antibiotic resistance profiling of microbial pathogens.</t>
  </si>
  <si>
    <t>Babu, Mohan; Siqueira, Walter L</t>
  </si>
  <si>
    <t>Kaufmann, Daniel E; Finzi, Andrés</t>
  </si>
  <si>
    <t>Kim, Paul Y; Yeh, Calvin H</t>
  </si>
  <si>
    <t>Li, Yingfu; Brennan, John D</t>
  </si>
  <si>
    <t>Quach-Thanh, Caroline; Boivin, Guy; Longtin, Yves</t>
  </si>
  <si>
    <t>Tsang, Teresa S; Abolmaesumi, Purang; McGrail, Kimberlyn M</t>
  </si>
  <si>
    <t>Alhazzani, Waleed; Cook, Deborah J; Parhar, Ken Kuljit S; Stelfox, Henry T; Weatherald, Jason</t>
  </si>
  <si>
    <t>Arnold, Donald M; Bégin, Philippe; Callum, Jeannie L</t>
  </si>
  <si>
    <t>Cherkasov, Artem; Jean, François</t>
  </si>
  <si>
    <t>Ducharme, Francine M; Tremblay, Cécile L</t>
  </si>
  <si>
    <t>Eikelboom, John W; Anand, Sonia S; Avezum, Alvaro; Bangdiwala, Shrikant I; Belley-Côté, Emilie Prudence; Chan, Noel; Choudhri, Shurjeel; Dans, Antonio L; Diaz, Rafael; Farkouh, Michael E; Felix, Camilo; Gerstein, Hertzel C; Healey, Jeff S; Jolly, Sanjit S; Leong, Darryl; Loeb, Mark B; Lopéz, Jose P; Paré, Guillaume; Whitlock, Richard; Yusuf, Salim</t>
  </si>
  <si>
    <t>Kain, Kevin C; Dholakia, Yatin; Fawzi, Wafaie W</t>
  </si>
  <si>
    <t>Kubes, Paul; Corcoran, Jennifer A; Gillrie, Mark R; Jenne, Craig N; Kelly, Margaret M; McDonald, Braedon A; Mody, Christopher H; Peters, Nathan</t>
  </si>
  <si>
    <t>Sonenberg, Nahum; Pelletier, Jerry M</t>
  </si>
  <si>
    <t>Stewart, Duncan J; English, Shane W; Fergusson, Dean A</t>
  </si>
  <si>
    <t>Tyrrell, D. Lorne J; Feld, Jordan J</t>
  </si>
  <si>
    <t>Wilson, Joyce A; Vizeacoumar, Franco J</t>
  </si>
  <si>
    <t>Zarychanski, Ryan; Escobedo, Jorge; Goligher, Ewan C; Lawler, Patrick R; Nicolau, Jose C</t>
  </si>
  <si>
    <t>Bell, John C; Ilkow, Carolina S; Lapointe, Réjean; Mahoney, Douglas J</t>
  </si>
  <si>
    <t>Watts, Tania H; Ehrhardt, Rudolf A; Gommerman, Jennifer L; Martin, Alberto; Ostrowski, Mario A</t>
  </si>
  <si>
    <t>Xing, Zhou; Lichty, Brian D; Smaill, Fiona M</t>
  </si>
  <si>
    <t>Image guided neurosurgery</t>
  </si>
  <si>
    <t>Arrowsmith, Cheryl H</t>
  </si>
  <si>
    <t>Operating Grant: Industry-partnered Collaborative Research</t>
  </si>
  <si>
    <t>201209IPR</t>
  </si>
  <si>
    <t>Toward epigenetic therapy for colon cancer</t>
  </si>
  <si>
    <t>201109IPR</t>
  </si>
  <si>
    <t>Development of a Therapeutic Oncolytic Poxvirus with Enhanced Systemic Delivery and Potency</t>
  </si>
  <si>
    <t>Bosma, Karen J</t>
  </si>
  <si>
    <t>201403IPR</t>
  </si>
  <si>
    <t>Proportional Assist Ventilation for Minimizing the Duration of Mechanical Ventilation</t>
  </si>
  <si>
    <t>Bouvier, Michel</t>
  </si>
  <si>
    <t>Exploring GPCR functional selectivity for anti-inflammatory drugs</t>
  </si>
  <si>
    <t>Cashman, Neil R</t>
  </si>
  <si>
    <t>201503IPR</t>
  </si>
  <si>
    <t>A Defined Abeta Oligomer Epitope: Theranostic Applications</t>
  </si>
  <si>
    <t>Casper, Robert F; Jurisicova, Andrea</t>
  </si>
  <si>
    <t>201409IPR</t>
  </si>
  <si>
    <t>Characterization of the bioenergetic and metabolic function of mitochondria isolated from oocyte precursor stem cells.</t>
  </si>
  <si>
    <t>Chen, Robert E</t>
  </si>
  <si>
    <t>Long-term stability of local field potentials recorded from the subthalamic nucleus and effects of deep brain stimulation</t>
  </si>
  <si>
    <t>Chung, Caroline</t>
  </si>
  <si>
    <t>201509IPR</t>
  </si>
  <si>
    <t>Clinical Investigation of Frameless, Adaptive, Image-guided Gamma Knife Radiosurgery</t>
  </si>
  <si>
    <t>Coffin, Carla S</t>
  </si>
  <si>
    <t>Pathogenesis of Hepatitis B Virus Infection in Non-Alcoholic Fatty Liver Disease</t>
  </si>
  <si>
    <t>201203IPR</t>
  </si>
  <si>
    <t>Design of Lipid Nanoparticle Systems for the Systemic Delivery of siRNA</t>
  </si>
  <si>
    <t>Cummins, Carolyn L</t>
  </si>
  <si>
    <t>201309IPR</t>
  </si>
  <si>
    <t>Defining the structural basis for LXR beta antagonism</t>
  </si>
  <si>
    <t>201303IPR</t>
  </si>
  <si>
    <t>Validation of two novel pancreatic cancer biomarkers: CUZD1 and LAMC2</t>
  </si>
  <si>
    <t>Dmitrienko, Gary I</t>
  </si>
  <si>
    <t>New strategies for overcoming bacterial resistance to antibiotics</t>
  </si>
  <si>
    <t>Exner, Derek V</t>
  </si>
  <si>
    <t>Risk Estimation Following Infarction Noninvasive Evaluation ICD efficacy (REFINE ICD) Trial.</t>
  </si>
  <si>
    <t>Fedida, David</t>
  </si>
  <si>
    <t>Discovery &amp; Development of Novel Small Molecule Inhibitors of Viroporin Proteins for the Treatment of Acute &amp; Chronic Viral Infections.</t>
  </si>
  <si>
    <t>Feld, Jordan J; Chan, Kelvin K; Hicks, Lisa K</t>
  </si>
  <si>
    <t>Randomized controlled trial of the efficacy of pre-emptive tenofovir to prevent hepatitis B reactivation in patients who are anti-HBc antibody positive receiving curative intent rituximab-based chemotherapy for non-Hodgkin's lympohma</t>
  </si>
  <si>
    <t>Granville, David J</t>
  </si>
  <si>
    <t>Topical Granzyme B Inhibitor Research and Development</t>
  </si>
  <si>
    <t>Healey, Jeff S</t>
  </si>
  <si>
    <t>Prevalence of Sub-Clinical Atrial Fibrillation in Patients with Cardiovascular Risk Factors Detected Using an Implantable Loop Recorder (ASSERT-2)</t>
  </si>
  <si>
    <t>Developing Technologies to Modulate Immunogenicity in Disease</t>
  </si>
  <si>
    <t>Jolicoeur, Marc E</t>
  </si>
  <si>
    <t>Immediate vs. Delayed Stenting after Primary Percutaneous Reperfusion in ST Elevation Myocardial Infarction</t>
  </si>
  <si>
    <t>Jolly, Sanjit S</t>
  </si>
  <si>
    <t>A randomized trial of ThrOmbectomy vs. PCI Alone for STEMI (TOTAL trial)</t>
  </si>
  <si>
    <t>Langley, Joanne M</t>
  </si>
  <si>
    <t>Preventing Respiratory Syncytial Virus (RSV) infection with a novel antigen-adjuvant platform</t>
  </si>
  <si>
    <t>Larche, Mark; Tonti, Elena</t>
  </si>
  <si>
    <t>Development of peptide immunotherapy for Rheumatoid Arthritis: Identification and validation of T cell epitopes from citrullinated auto-antigens.</t>
  </si>
  <si>
    <t>CIUSSS de l'Ouest-de-l'Ile-de-Montréal-Douglas Hospital</t>
  </si>
  <si>
    <t>Aripiprazole Long Acting Injectable (ALAI), its potential enhancing effect on memory and associated neural structures: A longitudinal brain imaging study in first-episode psychosis</t>
  </si>
  <si>
    <t>Lillicrap, David P</t>
  </si>
  <si>
    <t>Evaluation of innovative therapeutic strategies for hemophilia A in a unique hemophilic dog colony.</t>
  </si>
  <si>
    <t>Liu, Peter P</t>
  </si>
  <si>
    <t>Developing Novel Therapeutic Targets for Heart Failure</t>
  </si>
  <si>
    <t>Melnyk, Roman</t>
  </si>
  <si>
    <t>Discovery and Development of Small Molecule Toxin Antagonists to Treat C. difficile-Associated Disease</t>
  </si>
  <si>
    <t>Morshead, Cindi M</t>
  </si>
  <si>
    <t>Promoting neural regeneration with stem cell based therapies:  A novel source of autologous human neural stem cells for transplantation</t>
  </si>
  <si>
    <t>Noiseux, Nicolas</t>
  </si>
  <si>
    <t>Pharmacological intervention to reduce ischemic injury: Development of a novel infarct-sparing agent</t>
  </si>
  <si>
    <t>Paré, Guillaume; Gerstein, Hertzel C</t>
  </si>
  <si>
    <t>Integration of clinical, biomarker, and genetic data for prediction of adverse outcomes in diabetes.</t>
  </si>
  <si>
    <t>Perl, Jeffrey</t>
  </si>
  <si>
    <t>The Peritoneal Dialysis Outcomes and Practice Patterns Study  (P-DOPPS)</t>
  </si>
  <si>
    <t>Redfearn, Damian P</t>
  </si>
  <si>
    <t>Optimizing Contemporary Sequential Mapping of Atrial Fibrillation Signals as a Strategy to Identify Novel Targets for Ablation</t>
  </si>
  <si>
    <t>Targeting mitochondrial translation as a novel therapeutic strategy for AML</t>
  </si>
  <si>
    <t>Endovascular repair of abdominal aortic aneurysm : Enhanced guidance by elastic registration between CT-Scanner and fluoroscopy</t>
  </si>
  <si>
    <t>Teo, Koon K; Yusuf, Salim</t>
  </si>
  <si>
    <t>A randomized double-blind placebo-controlled trial for the evaluation of a polypill, a low dose aspirin and vitamin D supplementation in primary prevention to reduce cardiovascular disease (CVD) outcomes - The International Polycap Study 3 (TIPS-3)</t>
  </si>
  <si>
    <t>Wald, Ron; Bagshaw, Sean M</t>
  </si>
  <si>
    <t>STandard versus Accelerated initiation of Renal Replacement Therapy in Acute Kidney Injury (STARRT-AKI)</t>
  </si>
  <si>
    <t>Wang, Yuzhuo; Black, Peter C</t>
  </si>
  <si>
    <t>Application of antibody internalization domain to improve the efficacy and safety of Antibody Drug Conjugates</t>
  </si>
  <si>
    <t>Next generation patient-derived, genetically-defined kidney and bladder cancer xenograft models for anti-cancer drug development</t>
  </si>
  <si>
    <t>Next generation patient-derived, genetically-defined prostate cancer xenograft models for anti- cancer drug development</t>
  </si>
  <si>
    <t>Ward, Brian J</t>
  </si>
  <si>
    <t>Repurposing an Attenuated Salmonella typhimurium as a Novel Vector for Mucosal Vaccine Delivery</t>
  </si>
  <si>
    <t>Understanding the unusual effectiveness of Virus-Like Particle (VLP) vaccines made in plants</t>
  </si>
  <si>
    <t>Armstrong, Glen D</t>
  </si>
  <si>
    <t>Operating Grant: Industry-partnered Collaborative Research - Other Partner</t>
  </si>
  <si>
    <t>201003ISO</t>
  </si>
  <si>
    <t>Potential of pathogen-specific egg yolk antibodies (IgY) for treating Clostridium difficile infections.</t>
  </si>
  <si>
    <t>Burns, Karen E</t>
  </si>
  <si>
    <t>201103ISO</t>
  </si>
  <si>
    <t>Practice Pattern Variation in Discontinuing Mechanical Ventilation in Critically Ill Adults: An International Study.</t>
  </si>
  <si>
    <t>Gene Delivery of Glucagon-like Peptide-1 (GLP-1) for the Treatment of Type 2 Diabetes</t>
  </si>
  <si>
    <t>Calon, Frédéric</t>
  </si>
  <si>
    <t>200909ISO</t>
  </si>
  <si>
    <t>Isolation of therapeutic fractions from intravenous immunoglobulins using the triple transgenic mouse model of Alzheimer's disease</t>
  </si>
  <si>
    <t>Daskalakis, Zafiris J; Blumberger, Daniel M</t>
  </si>
  <si>
    <t>A Study of H-Coil Repetitive Transcranial Magnetic Stimulation for Late-Life Depression</t>
  </si>
  <si>
    <t>Jain, Arsh K</t>
  </si>
  <si>
    <t>Randomized Controlled Trial of Bimodal Solution for Peritoneal Dialysis: 24-Hour Ultra-Filtration Efficiency Using Bimodal PD Solutions During the Long Dwell</t>
  </si>
  <si>
    <t>Jones, Glenville</t>
  </si>
  <si>
    <t>200903ISO</t>
  </si>
  <si>
    <t>Mechanistic basis for the metabolic differences between vitamin D2 and vitamin D3</t>
  </si>
  <si>
    <t>Mazer, Bruce D</t>
  </si>
  <si>
    <t>Molecular mechanism for immunoprotection and Treg induction by polyspecific immunoglobulins (IVIg)</t>
  </si>
  <si>
    <t>O'Brien, Edward R</t>
  </si>
  <si>
    <t>201009ISO</t>
  </si>
  <si>
    <t>Vascular Health and Disease: New Concepts &amp; Therapeutic Opportunities</t>
  </si>
  <si>
    <t>Role of endoglin in aberrant TGF-beta signaling in scleroderma</t>
  </si>
  <si>
    <t>Seda, Ondrej</t>
  </si>
  <si>
    <t>Telomere attrition rate as predictor of cardiovascular complications of type 2 diabetes</t>
  </si>
  <si>
    <t>Soulez, Gilles; Kauffmann, Claude</t>
  </si>
  <si>
    <t>200809ISO</t>
  </si>
  <si>
    <t>Endovascular repair of abdominal aortic aneurysm: Enhanced planning, guidance and assessment by 2D/3D registration of fluoroscopic, CT, C-arm CT and virtual stent data</t>
  </si>
  <si>
    <t>Turner, Justine M</t>
  </si>
  <si>
    <t>Omega-3 Fatty Acids for Treatment of Intestinal Failure Associated Liver Disease: A Translational Research Study</t>
  </si>
  <si>
    <t>The next generation of vaccines: characterization of virus-like particle (VLP) vaccines made in plants.</t>
  </si>
  <si>
    <t>Adeli, Khosrow</t>
  </si>
  <si>
    <t>Operating Grant: Industry-partnered Collaborative Research - Rx&amp;D partner</t>
  </si>
  <si>
    <t>201103IRO</t>
  </si>
  <si>
    <t>CALIPER: A Canadian Initiative to Close the Critical Gaps in Pediatric Reference Intervals</t>
  </si>
  <si>
    <t>201003IRO</t>
  </si>
  <si>
    <t>Establishment of A New Database of Pediatric Laboratory Reference Intervals for Biomarkers of Pediatric Disease</t>
  </si>
  <si>
    <t>Antel, Jack P</t>
  </si>
  <si>
    <t>201009IRO</t>
  </si>
  <si>
    <t>Effects of S1P receptor directed pharmaceutical agents on central nervous system myelination</t>
  </si>
  <si>
    <t>200909IRO</t>
  </si>
  <si>
    <t>Revisiting the Pathophysiology of Immune Thrombocytopenic Purpura in the Era of Thrombopoietin Mimetics</t>
  </si>
  <si>
    <t>Mechanisms of antiviral drug resistance in seasonal and pandemic influenza strains and evaluation of new therapeutic modalities</t>
  </si>
  <si>
    <t>Bourbeau, Jean; Tan, Wan</t>
  </si>
  <si>
    <t>Canadian Cohort Obstructive Lung Disease (CanCOLD)</t>
  </si>
  <si>
    <t>200809IRO</t>
  </si>
  <si>
    <t>Brezden-Masley, Christine; Yan, Andrew T</t>
  </si>
  <si>
    <t>200903IRO</t>
  </si>
  <si>
    <t>Assessment of Cardiotoxicity by Cardiac MRI in Early Stage Breast Cancer Patients Receiving Adjuvant Trastuzumab: A Prospective Observational Pilot Study</t>
  </si>
  <si>
    <t>Dawson, Laura A</t>
  </si>
  <si>
    <t>Radiation Therapy and Sorafenib for Primary and Metastatic Liver Cancer</t>
  </si>
  <si>
    <t>Hampson, David R</t>
  </si>
  <si>
    <t>Metabotropic Glutamate and GABA Receptors in Neuroinflammation</t>
  </si>
  <si>
    <t>Harrigan, Richard P</t>
  </si>
  <si>
    <t>HIV Drug Resistance: Transitioning to New Sequencing Technologies</t>
  </si>
  <si>
    <t>Harrigan, Richard P; Poon, Arthur F</t>
  </si>
  <si>
    <t>Improved Screening Methods for CCR5-Antagonists Use by Ultra Deep Sequencing and Quantitative Population-Based Sequencing Techniques: Analyzes of the Phase III Human Clinical Trials of Maraviroc (08-09).</t>
  </si>
  <si>
    <t>Rivest, Serge</t>
  </si>
  <si>
    <t>Novel immunotherapies for treating Alzheimer's disease</t>
  </si>
  <si>
    <t>Sevigny, Jean</t>
  </si>
  <si>
    <t>Thomas, David Y</t>
  </si>
  <si>
    <t>Therapeutic development of cystic fibrosis correctors</t>
  </si>
  <si>
    <t>Studies on modulation of the innate immune response to HCV in chimeric mice</t>
  </si>
  <si>
    <t>Operating Grant: Methodological Innovations for Neuroimaging Datasets</t>
  </si>
  <si>
    <t>201304OMI</t>
  </si>
  <si>
    <t>Methodological Innovations for Neuroimaging Datasets</t>
  </si>
  <si>
    <t>Integrated Software for the Assessment of Diffusion Tensor Imaging of Brain Wiring in Alzheimer's Disease and Dementia</t>
  </si>
  <si>
    <t>Duchesne, Simon</t>
  </si>
  <si>
    <t>AD ontological architecture for neuroimaging datawarehouse: merging and establishing anatomical normative data from 17 datasets</t>
  </si>
  <si>
    <t>Evans, Alan C</t>
  </si>
  <si>
    <t>CBRAIN: A national platform for neurodegenerative disease imaging data</t>
  </si>
  <si>
    <t>Corkum, Penny V</t>
  </si>
  <si>
    <t>Operation:eHealth Innov Partnership Program(eHIPP)-Youth &amp;Adolescent Mental Hlth</t>
  </si>
  <si>
    <t>201506EH1</t>
  </si>
  <si>
    <t>eHealth Innovation Partnership Program (eHIPP): Youth and Adolescents Mental Health</t>
  </si>
  <si>
    <t>Teacher Help: Novel technologies for meeting the immediate needs of youth with mental health disorders in Canada</t>
  </si>
  <si>
    <t>Students Mental Health: Virtual Support on Campus</t>
  </si>
  <si>
    <t>Computer Based Training for Cognitive Behavioral Therapy (CBT4CBT) for Improved  Addiction Treatment in Canadian Youth</t>
  </si>
  <si>
    <t>Cognitive Behavior Therapy for Anxious and Depressed Youth: Improving Outcomes through Mobile Technology</t>
  </si>
  <si>
    <t>Abolmaesumi, Purang; Black, Peter C</t>
  </si>
  <si>
    <t>Abolmaesumi, Purang; Tsang, Michael Y; Tsang, Teresa S</t>
  </si>
  <si>
    <t>Ailles, Laurie E; Haibe-Kains, Benjamin</t>
  </si>
  <si>
    <t>Algar, Walter R; Williams, Karla</t>
  </si>
  <si>
    <t>Allen, Christine J; Jaffray, David A</t>
  </si>
  <si>
    <t>Andrysek, Jan; Wright, Virginia F</t>
  </si>
  <si>
    <t>Anglesio, Michael S; Carey, Mark S; Koebel, Martin; Talhouk, Aline</t>
  </si>
  <si>
    <t>Antoniou, John; Mwale, Fackson</t>
  </si>
  <si>
    <t>Awadalla, Philip; Abelson, Sagi; Alvi, Riaz; Bhatti, Parveen; broet, philippe; Dummer, Trevor J; Kirsh, Victoria; Mclaughlin, John R; Shen-Tu, Grace; Sweeney, Ellen; Turner, Donna C; Urquhart, Robin L</t>
  </si>
  <si>
    <t>Barabé, Frédéric</t>
  </si>
  <si>
    <t>Bashashati, Ali; Black, Peter C; Goldenberg, Larry; Salcudean, Septimiu E</t>
  </si>
  <si>
    <t>Bashashati, Ali; Black, Peter C; Wang, Gang</t>
  </si>
  <si>
    <t>Basik, Mark; Maleki, Saman; Ng, Terry L</t>
  </si>
  <si>
    <t>Beaulieu, Jean-François</t>
  </si>
  <si>
    <t>Beaulieu, Luc; Crook, Juanita M; Thomson, Rowan M; Vigneault, Eric</t>
  </si>
  <si>
    <t>Beauregard, Jean-Mathieu; Després, Philippe; Rahmim, Arman; Uribe, Carlos F</t>
  </si>
  <si>
    <t>Bizheva, Kostadinka K; Jones, Lyndon William J</t>
  </si>
  <si>
    <t>Bizheva, Kostadinka K; Hudson, Christopher</t>
  </si>
  <si>
    <t>Bouffet, Eric; Thacker, Nirav H</t>
  </si>
  <si>
    <t>Brambilla, Davide; Gravel, Simon-Pierre</t>
  </si>
  <si>
    <t>Bratman, Scott V; Ailles, Laurie E; Haibe-Kains, Benjamin</t>
  </si>
  <si>
    <t>Bratman, Scott V; Liu, Geoffrey</t>
  </si>
  <si>
    <t>Cheriet, Farida; Parent, Stefan</t>
  </si>
  <si>
    <t>Cloutier, Guy; Tremblay, Cécile L</t>
  </si>
  <si>
    <t>Craig, Andrew W; Babak, Tomas</t>
  </si>
  <si>
    <t>Crome, Sarah A; Mattsson, Jonas I</t>
  </si>
  <si>
    <t>Cullis, Pieter R; MacVicar, Brian A</t>
  </si>
  <si>
    <t>Cypel, Marcelo; Andreazza, Ana C</t>
  </si>
  <si>
    <t>Dacosta, Ralph S; Minden, Mark D</t>
  </si>
  <si>
    <t>Demore, Christine E; Stefanovic, Bojana</t>
  </si>
  <si>
    <t>Denault, Jean-Bernard; Lavoie, Christine; Saucier, Caroline</t>
  </si>
  <si>
    <t>Probing the Role of Glycans in Immunooncology using Genetically Encoded "Liquid Glycan Arrays"</t>
  </si>
  <si>
    <t>Dick, John E; Lupien, Mathieu</t>
  </si>
  <si>
    <t>Drake, James M; Diller, Eric D; Naguib, Hani E</t>
  </si>
  <si>
    <t>Drake, James M; Waspe, Adam C</t>
  </si>
  <si>
    <t>Dutta, Tilak; Dolatabadi, Elham; Gabison, Sharon; Holyoke, Paul D</t>
  </si>
  <si>
    <t>Fortin, Marc-André</t>
  </si>
  <si>
    <t>Fradet-Turcotte, Amélie</t>
  </si>
  <si>
    <t>Freywald, Andrew; Price, Eric W; Vizeacoumar, Franco J</t>
  </si>
  <si>
    <t>Funnell, W. Robert J.; Daniel, Sam J</t>
  </si>
  <si>
    <t>Gévry, Nicolas</t>
  </si>
  <si>
    <t>Gilbert, Penney M; Stewart, Bryan A</t>
  </si>
  <si>
    <t>Giles, Joshua W; Yi, Kwang Moo; Zhang, Xuekui</t>
  </si>
  <si>
    <t>Gilks, Cyril B; Bashashati, Ali; Salcudean, Septimiu E</t>
  </si>
  <si>
    <t>Gleave, Martin E; Lack, Nathan A</t>
  </si>
  <si>
    <t>Graham, Charles H; Siemens, Robert</t>
  </si>
  <si>
    <t>Graham, Simon J; Schweizer, Tom A</t>
  </si>
  <si>
    <t>Griffith, May C; Alarcón, Emilio I; Brunette, Isabelle</t>
  </si>
  <si>
    <t>Université TÉLUQ (Québec)</t>
  </si>
  <si>
    <t>Haglund, Lisbet A; Ouellet, Jean A</t>
  </si>
  <si>
    <t>Haibe-Kains, Benjamin; Hope, Andrew J</t>
  </si>
  <si>
    <t>Han, Kathy; Mcalpine, Jessica N</t>
  </si>
  <si>
    <t>Hawkins, Cynthia E; Tabori, Uri</t>
  </si>
  <si>
    <t>Hay, Annette; Bramson, Jonathan L; Delisle, Jean-Sébastien; Leblanc, Richard; Quizi, Jennifer L</t>
  </si>
  <si>
    <t>Hay, Kevin A; Kekre, Natasha</t>
  </si>
  <si>
    <t>Hirano, Naoto; Cescon, David W</t>
  </si>
  <si>
    <t>Hoang, Trang K; Perreault, Claude; Thibault, Pierre</t>
  </si>
  <si>
    <t>Hoesli, Corinne; Paraskevas, Steven</t>
  </si>
  <si>
    <t>Jamieson, Amy; Mcalpine, Jessica N</t>
  </si>
  <si>
    <t>Jay-Gerin, Jean-Paul; Azzam, Edouard; Buonanno, Manuela; Wagner, James R</t>
  </si>
  <si>
    <t>Johnson, Nathalie; Decaluwe, Hélène</t>
  </si>
  <si>
    <t>Ju, MyeongJin; Beg, Mirza Faisal; Navajas, Eduardo</t>
  </si>
  <si>
    <t>Kadoury, Samuel; Soulez, Gilles</t>
  </si>
  <si>
    <t>Kandel, Rita A; Toyserkani, Ehsan</t>
  </si>
  <si>
    <t>Kirby, Miranda A; Santyr, Giles E</t>
  </si>
  <si>
    <t>Kislinger, Thomas; Boutros, Paul C</t>
  </si>
  <si>
    <t>Kizhakkedathu, Jayachandran N; Choy, Jonathan C</t>
  </si>
  <si>
    <t>Kizhakkedathu, Jayachandran N; Withers, Stephen G</t>
  </si>
  <si>
    <t>Kohandel, Mohammad; Goldman, Aaron</t>
  </si>
  <si>
    <t>Kolios, Michael C; Yuen, Darren A</t>
  </si>
  <si>
    <t>Labbé, David; Bordeleau, François</t>
  </si>
  <si>
    <t>Labbé, David</t>
  </si>
  <si>
    <t>Lankarany, Milad; Milosevic, Luka</t>
  </si>
  <si>
    <t>'Two-Step Authentication' for Optimal Prostate Cancer Risk Determination: An "Extracellular Vesicle"-Based Liquid Biopsy Followed by Multi-Parametric MRI.</t>
  </si>
  <si>
    <t>Lesage, Frédéric; Vanni, Matthieu P</t>
  </si>
  <si>
    <t>Liu, Stanley K; Kislinger, Thomas</t>
  </si>
  <si>
    <t>Liu, Xinyu; Kost, Karen M; Li-Jessen, Yee Key Nicole</t>
  </si>
  <si>
    <t>Lockwood, William W; Stirling, Peter C</t>
  </si>
  <si>
    <t>Lok, Benjamin; Raught, Brian</t>
  </si>
  <si>
    <t>Mahshid, Sara; Rak, Janusz; Reisner, Walter W; Zadeh, Gelareh</t>
  </si>
  <si>
    <t>Mallette, Frédérick A; Melichar, Heather</t>
  </si>
  <si>
    <t>Mallette, Frédérick A</t>
  </si>
  <si>
    <t>Martel, Anne L; Stein, Lincoln</t>
  </si>
  <si>
    <t>Martel, Anne L; Brooks, Jennifer D</t>
  </si>
  <si>
    <t>Martel, Anne L; Nofech-Mozes, Sharon</t>
  </si>
  <si>
    <t>Matsuura, Naomi; Goertz, David E</t>
  </si>
  <si>
    <t>Matsuura, Naomi; Yasufuku, Kazuhiro</t>
  </si>
  <si>
    <t>Mazwi, Mjaye L; Goodfellow, Sebastian D</t>
  </si>
  <si>
    <t>Mercier, François</t>
  </si>
  <si>
    <t>Moghal, Nadeem; Raught, Brian</t>
  </si>
  <si>
    <t>Mousavi, Parvin; Engel, Cecil J; Fichtinger, Gabor</t>
  </si>
  <si>
    <t>Muanza, Thierry M; Basik, Mark; Parvez, Elena`</t>
  </si>
  <si>
    <t>Mwale, Fackson; Antoniou, John</t>
  </si>
  <si>
    <t>Near, Jamie; Rosa-Neto, Pedro</t>
  </si>
  <si>
    <t>Near, Jamie; Schuurmans, Carol J</t>
  </si>
  <si>
    <t>Nijnik, Anastasia; Nagar, Bhushan</t>
  </si>
  <si>
    <t>O'Reilly, Meaghan; Lin, Fa-Hsuan</t>
  </si>
  <si>
    <t>Parent, Jean-Luc; Lavigne, Pierre; Marsault, Eric; Paquette, Benoît</t>
  </si>
  <si>
    <t>Parulekar, Wendy R; Bratman, Scott V</t>
  </si>
  <si>
    <t>Price, Eric W; Geyer, Clarence R</t>
  </si>
  <si>
    <t>Pugh, Trevor J; Trudel, Suzanne M</t>
  </si>
  <si>
    <t>Pugh, Trevor J; Kim, Raymond; Pollett, Aaron</t>
  </si>
  <si>
    <t>Pugh, Trevor J; Tiedemann, Rodger; Trudel, Suzanne M</t>
  </si>
  <si>
    <t>Purdie, Thomas G; Berlin, Alejandro; Mcintosh, Christopher J</t>
  </si>
  <si>
    <t>Rakovitch, Eileen; Hallett, Michael T</t>
  </si>
  <si>
    <t>Ramaswamy, Vijay; Charron, Frederic</t>
  </si>
  <si>
    <t>Raynal, Noël J; Haddad, Elie</t>
  </si>
  <si>
    <t>Rink, Alexandra; Mermut, Ozzy</t>
  </si>
  <si>
    <t>Rink, Alexandra; Haibe-Kains, Benjamin</t>
  </si>
  <si>
    <t>Roskelley, Calvin D; McNagny, Kelly M</t>
  </si>
  <si>
    <t>Sage, Andrew T; Keshavjee, Shaf; WANG, BO</t>
  </si>
  <si>
    <t>Sage, Andrew T; Keshavjee, Shaf; Poudineh, Mahla</t>
  </si>
  <si>
    <t>Salcudean, Septimiu E; Kozlowski, Piotr; Pang, Emily; Rohling, Robert N</t>
  </si>
  <si>
    <t>Sanati Nezhad, Amir; Debert, Chantel T</t>
  </si>
  <si>
    <t>Seuntjens, Jan P; Hodgson, David C; Parodi, Katia; Pechlivanoglou, Petros</t>
  </si>
  <si>
    <t>Shafey, Mona; Abdul Razak, Albiruni R; Hay, Kevin A; Henning, Jan-Willem; Kekre, Natasha; Mahoney, Douglas J; Morrissy, Sorana A; Noujaim, Jonathan; Simmons, Christine E</t>
  </si>
  <si>
    <t>Silva Wurzba, Sabrina Daniela; Sadeghi, Nader</t>
  </si>
  <si>
    <t>Soulez, Gilles; Martel, Sylvain</t>
  </si>
  <si>
    <t>Stanescu, Teodor; Chan, Timothy; Hosni Abdalaty, Ali</t>
  </si>
  <si>
    <t>Stanisz, Greg J; Jabehdar Maralani, Pejman; Sahgal, Arjun</t>
  </si>
  <si>
    <t>Combining Advanced Metabolic MRI with Genomics to Refine the Treatment Paradigm for Grade 2/3 IDH-wildtype Astrocytoma ("Molecular Glioblastoma")</t>
  </si>
  <si>
    <t>Stefanovic, Bojana; Carlen, Peter L; Sled, John G</t>
  </si>
  <si>
    <t>Stefanovic, Bojana; Sled, John G</t>
  </si>
  <si>
    <t>Stefanovic, Bojana; Mclaurin, Joanne; Sled, John G</t>
  </si>
  <si>
    <t>Stein, Lincoln; WANG, BO</t>
  </si>
  <si>
    <t>Sussman, Dafna; Ertl-Wagner, Birgit B</t>
  </si>
  <si>
    <t>Tabrizian, Maryam; Lehoux, Stephanie</t>
  </si>
  <si>
    <t>Tabrizian, Maryam; Radzioch, Danuta</t>
  </si>
  <si>
    <t>Thiel, Alexander; Schirrmacher, Ralf</t>
  </si>
  <si>
    <t>Thompson, Richard B; Paterson, Ian</t>
  </si>
  <si>
    <t>Thompson, Richard B; Haykowsky, Mark J; Kirkham, Amy A</t>
  </si>
  <si>
    <t>Trudel, Dominique; Leblond, Frederic</t>
  </si>
  <si>
    <t>Tsai, Scott; Leong, Hon Sing</t>
  </si>
  <si>
    <t>Tsao, Ming-Sound; Goss, Glenwood D</t>
  </si>
  <si>
    <t>Tsao, Ming-Sound; Thu, Kelsie L</t>
  </si>
  <si>
    <t>Unsworth, Larry D; Yager, Jerome (Jerry) Y</t>
  </si>
  <si>
    <t>Vahidi, Siavash; Schimmer, Aaron D; Zeytuni, Natalie</t>
  </si>
  <si>
    <t>Veillette, André</t>
  </si>
  <si>
    <t>Vitkin, I. Alex; Zarrine-Afsar, Arash</t>
  </si>
  <si>
    <t>Vizeacoumar, Franco J; Freywald, Andrew</t>
  </si>
  <si>
    <t>Ward, Aaron; Pautler, Stephen E</t>
  </si>
  <si>
    <t>Watson, Ian R; Baetz, Tara; Dancey, Janet E; Song, Xinni</t>
  </si>
  <si>
    <t>Wellington, Cheryl L; Cripton, Peter A; Kozlowski, Piotr; Wu, Lyndia (Chun)</t>
  </si>
  <si>
    <t>Wilman, Alan H; Butcher, Kenneth S</t>
  </si>
  <si>
    <t>Wilson, Brian C; Allen, Christine J</t>
  </si>
  <si>
    <t>Wilson, David R; Street, John</t>
  </si>
  <si>
    <t>Wisnovsky, Simon; Williams, Karla</t>
  </si>
  <si>
    <t>Wyatt, Alexander W; Eigl, Bernhard J</t>
  </si>
  <si>
    <t>Wyatt, Alexander W; Chi, Kim N</t>
  </si>
  <si>
    <t>Wyatt, Alexander W; Chi, Kim N; Ost, Piet</t>
  </si>
  <si>
    <t>Yim, Evelyn K; Lok, Charmaine E</t>
  </si>
  <si>
    <t>Zariffa, José; Genov, Roman</t>
  </si>
  <si>
    <t>Zeng, Haishan; Lui, Harvey; Matsubara, Joanne A; Yeung, Sonia N</t>
  </si>
  <si>
    <t>Zheng, Gang; Koritzinsky, Marianne</t>
  </si>
  <si>
    <t>Mahshid, Sara; Nguyen, Dao; Yansouni, Cedric P</t>
  </si>
  <si>
    <t>Alain, Tommy; Graber, Tyson</t>
  </si>
  <si>
    <t>Freywald, Andrew; Bisson, Nicolas; Dadachova, Ekaterina; Vizeacoumar, Franco J</t>
  </si>
  <si>
    <t>Larrivee, Bruno; Manem, Venkata S</t>
  </si>
  <si>
    <t>McNagny, Kelly M; Roskelley, Calvin D</t>
  </si>
  <si>
    <t>Raynal, Noël J; Richard, Stéphane; Sinnett, Daniel</t>
  </si>
  <si>
    <t>Wang, Rizhi; Grynpas, Marc D</t>
  </si>
  <si>
    <t>Whyne, Cari M; Hardisty, Michael R; Sahgal, Arjun</t>
  </si>
  <si>
    <t>Pin, Christopher L; Shooshtari, Parisa</t>
  </si>
  <si>
    <t>Vahidi, Siavash; Yudin, Andrei</t>
  </si>
  <si>
    <t>Bordeleau, François; Landreville, Solange</t>
  </si>
  <si>
    <t>Zeng, Haishan; Lam, Stephen</t>
  </si>
  <si>
    <t>Lapointe, Réjean</t>
  </si>
  <si>
    <t>Segura, Mariela A; Gottschalk, Marcelo G; Roy, René; Thibodeau, Jacques</t>
  </si>
  <si>
    <t>Skowronski, Danuta Maria; De Serres, Gaston; Ward, Brian J</t>
  </si>
  <si>
    <t>NONE OF THE ABOVE; HEALTH RESEARCH; NOT CLASSIFIED</t>
  </si>
  <si>
    <t>ventilatory events, expert system, anesthesia</t>
  </si>
  <si>
    <t>MUSCULO SKELETAL; ARTHRITIS/OSTEOARTHRITIS; MUSCLE, BONE, OR JOINT; CELL BIOLOGY</t>
  </si>
  <si>
    <t>Tissue engineering, Intervertebral discs</t>
  </si>
  <si>
    <t>seizure, prediction, control</t>
  </si>
  <si>
    <t>Image, neurosurgery</t>
  </si>
  <si>
    <t>BREAST CANCER THERAPY; CANCER THERAPY GENERAL; CANCER; IMMUNOLOGY-TRANSPLANTATION</t>
  </si>
  <si>
    <t>immunotherapy, tumor-specific factors, T cells</t>
  </si>
  <si>
    <t>Van Houten, Elijah E</t>
  </si>
  <si>
    <t>MYOCARDIAL INFARCTION; CARDIOLOGY; IMAGING; CARDIOVASCULAR</t>
  </si>
  <si>
    <t>Magnetic Resonance, Imaging, Ischemic Heart Disease</t>
  </si>
  <si>
    <t>bone graft, biocompatibility, biodegradability</t>
  </si>
  <si>
    <t>INJURY, REGENERATION; BONE CANCER; MUSCLE, BONE, OR JOINT</t>
  </si>
  <si>
    <t>HEALTH CARE DELIVERY; HEALTH SERVICES RESEARCH; HEALTH RESEARCH</t>
  </si>
  <si>
    <t>tenofovir, hepatitis B, rituximab</t>
  </si>
  <si>
    <t>VIRAL; LIVER DISEASE; GASTROINTESTINAL (LIVER); VIROLOGY</t>
  </si>
  <si>
    <t>Injectable, collagen, cardiac</t>
  </si>
  <si>
    <t>MYOCARDIAL INFARCTION; INJURY, REGENERATION; CARDIOVASCULAR</t>
  </si>
  <si>
    <t>Circulating Tumor Cells, Microscale Capture, Cancer</t>
  </si>
  <si>
    <t>PROSTATE AND BLADDER CANCER; CANCER THERAPY GENERAL; CANCER; BIOCHEMISTRY</t>
  </si>
  <si>
    <t>NONE OF THE ABOVE; NOT CLASSIFIED</t>
  </si>
  <si>
    <t>Obstructive Lung Disease, Cohort, CanCOLD</t>
  </si>
  <si>
    <t>CHRONIC OBSTRUCTIVE LUNG DISEASE; POPULATION HEALTH; RESPIRATION</t>
  </si>
  <si>
    <t>stenting, reperfusion, myocardial infarction</t>
  </si>
  <si>
    <t>Mobile, Image Overlay, Needle Placement</t>
  </si>
  <si>
    <t>MUSCULO SKELETAL; CANCER THERAPY GENERAL; IMAGING; MUSCLE, BONE, OR JOINT</t>
  </si>
  <si>
    <t>Liquid, Cornea, Transplantation</t>
  </si>
  <si>
    <t>AGING; MULTIDISCIPLINARY; VISION; IMMUNOLOGY-TRANSPLANTATION</t>
  </si>
  <si>
    <t>lung assist, artificial placenta, neonates</t>
  </si>
  <si>
    <t>MULTIDISCIPLINARY; RESPIRATION; HEALTH RESEARCH; NOT CLASSIFIED</t>
  </si>
  <si>
    <t>Closed-Loop, Control, Anesthesia</t>
  </si>
  <si>
    <t>MULTIDISCIPLINARY; NONE OF THE ABOVE; HEALTH RESEARCH; NOT CLASSIFIED</t>
  </si>
  <si>
    <t>Leukemia, Surface Enhanced Raman Scattering, Nanoparticles</t>
  </si>
  <si>
    <t>LEUKAEMIAS; BLOOD; CANCER; IMAGING</t>
  </si>
  <si>
    <t>ultrasound, transducers, blood</t>
  </si>
  <si>
    <t>MULTIDISCIPLINARY; IMAGING; CARDIOVASCULAR</t>
  </si>
  <si>
    <t>Immunogenicity, Modulation, Disease</t>
  </si>
  <si>
    <t>DRUGS- PHARMACEUTICAL SCIENCE/CHEMISTRY &amp; NON MEDICAL USE OF DRUGS; CANCER THERAPY GENERAL; DRUG RESEARCH; IMMUNOLOGY-TRANSPLANTATION</t>
  </si>
  <si>
    <t>Telerehabilitation, Balance, Vestibular Disorders</t>
  </si>
  <si>
    <t>HEALTH CARE DELIVERY; NONE OF THE ABOVE; HEALTH RESEARCH; NERVOUS SYSTEM</t>
  </si>
  <si>
    <t>Starch, Nanoparticles, Drug delivery</t>
  </si>
  <si>
    <t>CANCER THERAPY GENERAL; SCHIZOPHRENIA; DRUG RESEARCH; CANCER</t>
  </si>
  <si>
    <t>confocal, endoscope, gastrointestinal</t>
  </si>
  <si>
    <t>GASTRO-INTESTINAL CANCER; GASTRO-INTESTINAL DISEASE; IMAGING; CANCER</t>
  </si>
  <si>
    <t>Optical Coherence Tomography, corneal transplant, Keratoconus</t>
  </si>
  <si>
    <t>MULTIDISCIPLINARY; NONE OF THE ABOVE; IMAGING; VISION</t>
  </si>
  <si>
    <t>super-resolution, microscopy, cystic fibrosis</t>
  </si>
  <si>
    <t>RESPIRATION; DRUGS- PHARMACEUTICAL SCIENCE/CHEMISTRY &amp; NON MEDICAL USE OF DRUGS; CELL BIOLOGY; DRUG RESEARCH</t>
  </si>
  <si>
    <t>spectroscopy, ultrasound, cancer detection</t>
  </si>
  <si>
    <t>Gait, assistive, technology</t>
  </si>
  <si>
    <t>PARKINSON'S DISEASE; HEALTH RESEARCH</t>
  </si>
  <si>
    <t>Neonatal, Stem Cell, Heart Failure</t>
  </si>
  <si>
    <t>STROKE, HEART FAILURE; CARDIOLOGY; CARDIOVASCULAR; BIOCHEMISTRY</t>
  </si>
  <si>
    <t>Optical Coherence Tomography, Imaging, Eye</t>
  </si>
  <si>
    <t>AGING; MULTIDISCIPLINARY; IMAGING; VISION</t>
  </si>
  <si>
    <t>tissue engineering, tumour stroma, therapy sensitivity</t>
  </si>
  <si>
    <t>viral, bioaerosols, characterization</t>
  </si>
  <si>
    <t>INFECTIOUS AND PARASITIC; VIRAL; HEALTH RESEARCH; VIROLOGY</t>
  </si>
  <si>
    <t>hip replacement, biomcompatible, Ti-6Al-4V</t>
  </si>
  <si>
    <t>Glutamate, GABA, Receptors</t>
  </si>
  <si>
    <t>AUTISM; MENTAL DISABILITY; MENTAL HEALTH; DRUG RESEARCH</t>
  </si>
  <si>
    <t>machine learning, histopathology, tumor</t>
  </si>
  <si>
    <t>LUNG CANCER; CANCER; BIOPHYSICS</t>
  </si>
  <si>
    <t>Bioglass, Coatings, Surgical</t>
  </si>
  <si>
    <t>MUSCULO SKELETAL; OSTEOPOROSIS; MUSCLE, BONE, OR JOINT; BIOCHEMISTRY</t>
  </si>
  <si>
    <t>Image-Guided, Molecular, Spectroscopy</t>
  </si>
  <si>
    <t>PROSTATE AND BLADDER CANCER; IMAGING; CANCER</t>
  </si>
  <si>
    <t>AAV, gene therapy, lung</t>
  </si>
  <si>
    <t>VIRAL; RESPIRATION; VIROLOGY</t>
  </si>
  <si>
    <t>Needle, Adjustment, Brachytherapy</t>
  </si>
  <si>
    <t>Wireless, CMOS, Bacterial Infections</t>
  </si>
  <si>
    <t>HEALTH CARE DELIVERY; INFECTIOUS AND PARASITIC; HEALTH RESEARCH; BACTERIOLOGY</t>
  </si>
  <si>
    <t>sclerosing, embolizing, veins</t>
  </si>
  <si>
    <t>MULTIDISCIPLINARY; CLOTTING DEFECTS/THROMBOSIS; CARDIOVASCULAR; IMAGING</t>
  </si>
  <si>
    <t>hypoxia, inhibitors, DNA repair</t>
  </si>
  <si>
    <t>CANCER THERAPY GENERAL; DRUG RESEARCH; CANCER</t>
  </si>
  <si>
    <t>Cocooning, Therapeutic Cells</t>
  </si>
  <si>
    <t>CARDIOLOGY; MULTIPLE DISEASE RELEVANCE; HEALTH RESEARCH; BIOPHYSICS</t>
  </si>
  <si>
    <t>photoacoustic, ultrasonic, imaging</t>
  </si>
  <si>
    <t>speech, brainstem, hearing loss</t>
  </si>
  <si>
    <t>DEAFNESS; MULTIDISCIPLINARY; HEARING; NERVOUS SYSTEM</t>
  </si>
  <si>
    <t>cathepsin K, skeletal diseases, targeting</t>
  </si>
  <si>
    <t>ARTHRITIS/OSTEOARTHRITIS; BONE CANCER THERAPY; MUSCLE, BONE, OR JOINT; DRUG RESEARCH</t>
  </si>
  <si>
    <t>endoglin, TGF-beta, scleroderma</t>
  </si>
  <si>
    <t>SKIN AND SUBCUTANEOUS TISSUS; ILL-DEFINED CONDITIONS; MOLECULAR BIOLOGY; CELL BIOLOGY</t>
  </si>
  <si>
    <t>patient-derived, prostate cancer, xenograft</t>
  </si>
  <si>
    <t>PROSTATE AND BLADDER CANCER; PROSTATE AND BLADDER CANCER THERAPY; CANCER</t>
  </si>
  <si>
    <t>E-Health, Physical Activity, Cardiovascular Disease</t>
  </si>
  <si>
    <t>HEALTH PROMOTION; PSYCHOSOCIAL AND HEALTH BEHAVIOURS; PSYCHOSOCIAL/HEALTH BEHAVIOURAL RES.; HEALTH RESEARCH</t>
  </si>
  <si>
    <t>endovascular, magnetic beads, liver cancer</t>
  </si>
  <si>
    <t>LIVER DISEASE; CANCER THERAPY GENERAL; IMAGING; CANCER</t>
  </si>
  <si>
    <t>cell, microfluidic, encapsulation</t>
  </si>
  <si>
    <t>Raman Spectroscopy, Cell Therapy, Manufacturing</t>
  </si>
  <si>
    <t>MULTIDISCIPLINARY; MULTIPLE DISEASE RELEVANCE; CELL BIOLOGY; METABOLISM/DIABETES</t>
  </si>
  <si>
    <t>cystic fibrosis, correctors</t>
  </si>
  <si>
    <t>RESPIRATION; DRUGS- PHARMACEUTICAL SCIENCE/CHEMISTRY &amp; NON MEDICAL USE OF DRUGS; MOLECULAR BIOLOGY; HEALTH RESEARCH</t>
  </si>
  <si>
    <t>lung perfusion, cancer metastases, chemotherapy</t>
  </si>
  <si>
    <t>LUNG CANCER THERAPY; MULTIDISCIPLINARY; CANCER; RESPIRATION</t>
  </si>
  <si>
    <t>Atrial Fibrillation, Implantable Loop Recorder, Cardiovascular Risk</t>
  </si>
  <si>
    <t>ARRHYTHMIAS; STROKE, HEART FAILURE</t>
  </si>
  <si>
    <t>blood, photoacoustic, lesions</t>
  </si>
  <si>
    <t>BLOOD; ANAEMIAS; BIOPHYSICS</t>
  </si>
  <si>
    <t>Small Molecule, Toxin, C. difficile</t>
  </si>
  <si>
    <t>DRUGS- PHARMACEUTICAL SCIENCE/CHEMISTRY &amp; NON MEDICAL USE OF DRUGS; GASTRO-INTESTINAL DISEASE; DRUG RESEARCH; CELL BIOLOGY</t>
  </si>
  <si>
    <t>kidney, bladder, xenograft</t>
  </si>
  <si>
    <t>PROSTATE AND BLADDER CANCER; PROSTATE AND BLADDER CANCER THERAPY; CANCER; HEALTH SERVICES RESEARCH</t>
  </si>
  <si>
    <t>Vascular, Health, Disease</t>
  </si>
  <si>
    <t>ATHEROSCLEROSIS; CARDIOLOGY; CARDIOVASCULAR; MOLECULAR BIOLOGY</t>
  </si>
  <si>
    <t>database, biomarkers, pediatric disease</t>
  </si>
  <si>
    <t>BLOOD; HEALTH SERVICES RESEARCH; BIOCHEMISTRY; POPULATION HEALTH</t>
  </si>
  <si>
    <t>adhesive, polymeric membranes, craniomaxillofacial</t>
  </si>
  <si>
    <t>MUSCULO SKELETAL; INJURY, REGENERATION; MUSCLE, BONE, OR JOINT; HEALTH RESEARCH</t>
  </si>
  <si>
    <t>Natural products, Anti-cancer, Agents</t>
  </si>
  <si>
    <t>CANCER THERAPY GENERAL; DRUGS- PHARMACEUTICAL SCIENCE/CHEMISTRY &amp; NON MEDICAL USE OF DRUGS; DRUG RESEARCH; CANCER</t>
  </si>
  <si>
    <t>surface-plasmon resonance, nanoparticle, biomarkers</t>
  </si>
  <si>
    <t>PROSTATE AND BLADDER CANCER THERAPY; LEUKAEMIAS; CANCER; BIOCHEMISTRY</t>
  </si>
  <si>
    <t>vascular, electrospinning, bioactive</t>
  </si>
  <si>
    <t>ATHEROSCLEROSIS; CARDIOLOGY; CARDIOVASCULAR</t>
  </si>
  <si>
    <t>opioids, glial, pain</t>
  </si>
  <si>
    <t>AGING; MENTAL AND BEHAVIOURAL DISEASES; MOLECULAR BIOLOGY</t>
  </si>
  <si>
    <t>Respiratory Syncytial Virus, antigen, adjuvant</t>
  </si>
  <si>
    <t>remote monitoring, smartphones, breast reconstruction</t>
  </si>
  <si>
    <t>HEALTH ECONOMICS; BREAST CANCER; HEALTH SERVICES RESEARCH</t>
  </si>
  <si>
    <t>Image-guided, Radiofrequency Ablation, Tumors</t>
  </si>
  <si>
    <t>MULTIDISCIPLINARY; BONE CANCER; CANCER; MUSCLE, BONE, OR JOINT</t>
  </si>
  <si>
    <t>Small Molecule, Viroporin Proteins, Viral Infections</t>
  </si>
  <si>
    <t>INFECTIOUS AND PARASITIC; VIRAL; VIROLOGY; BIOPHYSICS</t>
  </si>
  <si>
    <t>Theranostic, Vectors, Radiometals</t>
  </si>
  <si>
    <t>Cardiac, Degradable, Immuno-modulatory</t>
  </si>
  <si>
    <t>STROKE, HEART FAILURE; MYOCARDIAL INFARCTION; CARDIOVASCULAR; HEALTH RESEARCH</t>
  </si>
  <si>
    <t>Omega-3, Fatty Acids, Liver Disease</t>
  </si>
  <si>
    <t>LIVER DISEASE; MALNUTRITION; NUTRITION; GASTROINTESTINAL (LIVER)</t>
  </si>
  <si>
    <t>Nanoconfinement, Single-Cell, Cytogenetics</t>
  </si>
  <si>
    <t>PREGNANCY/BIRTH; MULTIDISCIPLINARY; GENOMICS, PROTEOMICS, AND BIOINFORMATICS; REPRODUCTION/PREGNANCY</t>
  </si>
  <si>
    <t>near-infrared imaging, biomarker, brain injury</t>
  </si>
  <si>
    <t>MULTIDISCIPLINARY; MENTAL AND BEHAVIOURAL DISEASES; IMAGING; MENTAL HEALTH</t>
  </si>
  <si>
    <t>polypill, aspirin, cardiovascular disease</t>
  </si>
  <si>
    <t>POPULATION HEALTH; CARDIOVASCULAR; CANCER</t>
  </si>
  <si>
    <t>Mechanical Ventilation, Practice Pattern, Critically Ill</t>
  </si>
  <si>
    <t>HEALTH CARE DELIVERY; RESPIRATION; INTERNATIONAL HEALTH</t>
  </si>
  <si>
    <t>stem cells, cardiomyocytes, cardiotoxicity</t>
  </si>
  <si>
    <t>CARDIOLOGY; ARRHYTHMIAS; CARDIOVASCULAR; DRUG RESEARCH</t>
  </si>
  <si>
    <t>mHealth, Behavioural Intervention, Diabetes</t>
  </si>
  <si>
    <t>DIABETES MELLITUS; HEALTH CARE DELIVERY; METABOLISM/DIABETES; PSYCHOSOCIAL/HEALTH BEHAVIOURAL RES.</t>
  </si>
  <si>
    <t>Intravascular imaging, Photoacoustic radar, Ultrasonic tomography</t>
  </si>
  <si>
    <t>ATHEROSCLEROSIS; HEALTH PROMOTION; CARDIOVASCULAR; BIOPHYSICS</t>
  </si>
  <si>
    <t>gene expression, protein profiling, transplantation</t>
  </si>
  <si>
    <t>RESPIRATION; GENETICS; GENOMICS, PROTEOMICS, AND BIOINFORMATICS</t>
  </si>
  <si>
    <t>blood-brain barrier, nanoparticles, bioimaging</t>
  </si>
  <si>
    <t>DRUGS- PHARMACEUTICAL SCIENCE/CHEMISTRY &amp; NON MEDICAL USE OF DRUGS; AGING; DRUG RESEARCH; NERVOUS SYSTEM</t>
  </si>
  <si>
    <t>Platelet, Storage, Transfusion</t>
  </si>
  <si>
    <t>BLOOD; INFECTIOUS AND PARASITIC; CARDIOVASCULAR</t>
  </si>
  <si>
    <t>biologic, decision aid, rheumatoid arthritis</t>
  </si>
  <si>
    <t>ARTHRITIS/OSTEOARTHRITIS; HEALTH CARE DELIVERY; MUSCLE, BONE, OR JOINT; HEALTH SERVICES RESEARCH</t>
  </si>
  <si>
    <t>Machine Learning, Lung Function, Airway Oscillometry</t>
  </si>
  <si>
    <t>RESPIRATION; MULTIDISCIPLINARY; NOT CLASSIFIED</t>
  </si>
  <si>
    <t>Mechatronic, Suppression, Tremor</t>
  </si>
  <si>
    <t>PARKINSON'S DISEASE; HEALTH CARE DELIVERY; HEALTH RESEARCH; MUSCLE, BONE, OR JOINT</t>
  </si>
  <si>
    <t>paper, diagnostic, colorectal cancer</t>
  </si>
  <si>
    <t>GASTRO-INTESTINAL CANCER; GASTRO-INTESTINAL DISEASE; CANCER; MOLECULAR BIOLOGY</t>
  </si>
  <si>
    <t>mitochondrial translation, AML</t>
  </si>
  <si>
    <t>Neurostimulation, Epilepsy, Brain Interfaces</t>
  </si>
  <si>
    <t>EPILEPSY; MULTIDISCIPLINARY; BIOPHYSICS; NERVOUS SYSTEM</t>
  </si>
  <si>
    <t>Delivery, Brachytherapy, Yb-169</t>
  </si>
  <si>
    <t>cell-based, high throughput, antibiotics</t>
  </si>
  <si>
    <t>INFECTIOUS AND PARASITIC; BACTERIOLOGY; BIOCHEMISTRY</t>
  </si>
  <si>
    <t>Deformability, Cell Sorting, Red Blood Cells</t>
  </si>
  <si>
    <t>IgY, Clostridium difficile, antibodies</t>
  </si>
  <si>
    <t>INFECTIOUS AND PARASITIC; GASTRO-INTESTINAL DISEASE; BACTERIOLOGY; DRUG RESEARCH</t>
  </si>
  <si>
    <t>Antimicrobial, Diagnostics, Genome Sequencing</t>
  </si>
  <si>
    <t>INFECTIOUS AND PARASITIC; HEALTH CARE DELIVERY; GENOMICS, PROTEOMICS, AND BIOINFORMATICS; BACTERIOLOGY</t>
  </si>
  <si>
    <t>Emergency, Delirium, Tablet</t>
  </si>
  <si>
    <t>GERIATRICS; AGING; HEALTH RESEARCH</t>
  </si>
  <si>
    <t>optical coherence tomography, autofluorescence imaging, cancer detection</t>
  </si>
  <si>
    <t>LUNG CANCER; NEOPLASMS; IMAGING; CANCER</t>
  </si>
  <si>
    <t>isolation, genome sequencing, circulating tumor cells</t>
  </si>
  <si>
    <t>PROSTATE AND BLADDER CANCER; PROSTATE AND BLADDER CANCER THERAPY; CANCER; GENETICS</t>
  </si>
  <si>
    <t>Thermal stability, Dry powder, Inhalation</t>
  </si>
  <si>
    <t>DRUGS- PHARMACEUTICAL SCIENCE/CHEMISTRY &amp; NON MEDICAL USE OF DRUGS; INFECTIOUS AND PARASITIC; DRUG RESEARCH; HEALTH RESEARCH</t>
  </si>
  <si>
    <t>cancer, online, feasibility</t>
  </si>
  <si>
    <t>HEALTH CARE DELIVERY; HEALTH SERVICES RESEARCH; CANCER</t>
  </si>
  <si>
    <t>Peritoneal Dialysis, Outcomes, Practice Patterns</t>
  </si>
  <si>
    <t>POPULATION HEALTH; EPIDEMIOLOGY; RENAL FUNCTION, NEPHROLOGY, UROLOGY</t>
  </si>
  <si>
    <t>heart, perfusion, preservation</t>
  </si>
  <si>
    <t>CARDIOLOGY; STROKE, HEART FAILURE; CARDIOVASCULAR; IMMUNOLOGY-TRANSPLANTATION</t>
  </si>
  <si>
    <t>Molecular Imaging, Heart Disease</t>
  </si>
  <si>
    <t>MULTIDISCIPLINARY; CARDIOVASCULAR; IMAGING</t>
  </si>
  <si>
    <t>hyperbranched, polyglycerol, colloid</t>
  </si>
  <si>
    <t>INJURY, REGENERATION; MULTIPLE DISEASE RELEVANCE; CELL BIOLOGY; DRUG RESEARCH</t>
  </si>
  <si>
    <t>Optical imaging, retinal, cellular</t>
  </si>
  <si>
    <t>DISEASES AFFECTING SPEECH/VISION/HEARING; AGING; IMAGING; VISION</t>
  </si>
  <si>
    <t>multimodal, image-guided, Parkinson's disease</t>
  </si>
  <si>
    <t>PARKINSON'S DISEASE; IMAGING; NERVOUS SYSTEM</t>
  </si>
  <si>
    <t>DNA cages, targeted delivery, tumor cells</t>
  </si>
  <si>
    <t>LEUKAEMIAS; CANCER THERAPY GENERAL; DRUG RESEARCH; CANCER</t>
  </si>
  <si>
    <t>robotically, metabolomic, navigation</t>
  </si>
  <si>
    <t>BREAST CANCER THERAPY; IMAGING; CANCER</t>
  </si>
  <si>
    <t>temperature, magnetic resonance, ultrasound</t>
  </si>
  <si>
    <t>BONE CANCER THERAPY; NEOPLASMS; IMAGING; CANCER</t>
  </si>
  <si>
    <t>local field potentials, subthalamic nucleus, deep brain stimulation</t>
  </si>
  <si>
    <t>PARKINSON'S DISEASE; MULTIPLE DISEASE RELEVANCE; NERVOUS SYSTEM; HEALTH RESEARCH</t>
  </si>
  <si>
    <t>lung, ultrasound, respiratory distress</t>
  </si>
  <si>
    <t>PNEUMONIA; RESPIRATION; BIOPHYSICS</t>
  </si>
  <si>
    <t>Irradiation, Sterilization, Skeletal Allografts</t>
  </si>
  <si>
    <t>immunoglobulins, Alzheimer's, transgenic mouse</t>
  </si>
  <si>
    <t>ALZHEIMER'S DISEASE; BLOOD; DRUG RESEARCH; NERVOUS SYSTEM</t>
  </si>
  <si>
    <t>Proximity, Measurement, Mobility</t>
  </si>
  <si>
    <t>CNS ORGANIC; MUSCULO SKELETAL; MUSCLE, BONE, OR JOINT; NERVOUS SYSTEM</t>
  </si>
  <si>
    <t>Magnetic Resonance, Focused Ultrasound, Perinatal</t>
  </si>
  <si>
    <t>PERINATAL; CONGENITAL ANOMALIES; IMAGING; REPRODUCTION/PREGNANCY</t>
  </si>
  <si>
    <t>epigenetic, colon cancer</t>
  </si>
  <si>
    <t>GASTRO-INTESTINAL CANCER; GASTRO-INTESTINAL CANCER THERAPY; GENOMICS, PROTEOMICS, AND BIOINFORMATICS; CANCER</t>
  </si>
  <si>
    <t>Power, Wheelchair, Mobility</t>
  </si>
  <si>
    <t>AGING; MULTIDISCIPLINARY; HEALTH RESEARCH</t>
  </si>
  <si>
    <t>nanotechnology, surgery, liver cancer</t>
  </si>
  <si>
    <t>LIVER DISEASE; CANCER THERAPY GENERAL; CANCER; BIOPHYSICS</t>
  </si>
  <si>
    <t>hemophilia A, therapeutic strategies, dog colony</t>
  </si>
  <si>
    <t>BLOOD; CLOTTING DEFECTS/THROMBOSIS; GENETICS</t>
  </si>
  <si>
    <t>nerve regeneration, neurotrophic factors, controlled release</t>
  </si>
  <si>
    <t>MUSCULO SKELETAL; MULTIDISCIPLINARY; NERVOUS SYSTEM</t>
  </si>
  <si>
    <t>Virus-Like Particle, vaccines, plants</t>
  </si>
  <si>
    <t>INFECTIOUS AND PARASITIC; VIRAL</t>
  </si>
  <si>
    <t>3D bioprinting, cardiac tissue, drug testing</t>
  </si>
  <si>
    <t>CARDIOLOGY; MULTIPLE DISEASE RELEVANCE; CARDIOVASCULAR; CELL BIOLOGY</t>
  </si>
  <si>
    <t>organ transplant, enzymatic removal, antigens</t>
  </si>
  <si>
    <t>RESPIRATION; CORONARY CIRCULATION (INCL. INSUFFICIENCY); IMMUNOLOGY-TRANSPLANTATION; BIOCHEMISTRY</t>
  </si>
  <si>
    <t>ultrasound, microbubble, therapy</t>
  </si>
  <si>
    <t>photodynamic, skin cancers, image-guided</t>
  </si>
  <si>
    <t>CANCER THERAPY GENERAL; SKIN AND SUBCUTANEOUS TISSUS; CANCER; IMAGING</t>
  </si>
  <si>
    <t>neurosurgery, haptic, robotic</t>
  </si>
  <si>
    <t>BRAIN TUMORS THERAPY; MULTIDISCIPLINARY; HEALTH RESEARCH</t>
  </si>
  <si>
    <t>Ankle, Bracelet</t>
  </si>
  <si>
    <t>STROKE, HEART FAILURE; HEALTH RESEARCH</t>
  </si>
  <si>
    <t>Ultrasound, Orthopaedic, Pediatric</t>
  </si>
  <si>
    <t>INJURY, REGENERATION; MUSCULO SKELETAL; MUSCLE, BONE, OR JOINT; HEALTH RESEARCH</t>
  </si>
  <si>
    <t>Point of Care, Cell-Free DNA, Sepsis</t>
  </si>
  <si>
    <t>INFECTIOUS AND PARASITIC; HEALTH CARE DELIVERY; BIOCHEMISTRY; BLOOD</t>
  </si>
  <si>
    <t>Radiation therapy, Sorafenib, Liver cancer</t>
  </si>
  <si>
    <t>GASTRO-INTESTINAL CANCER THERAPY; NEOPLASMS; CANCER; GASTROINTESTINAL (LIVER)</t>
  </si>
  <si>
    <t>Polymers, Proteomic, Biomarkers</t>
  </si>
  <si>
    <t>BREAST CANCER; MULTIPLE DISEASE RELEVANCE; CANCER; BLOOD</t>
  </si>
  <si>
    <t>mitochondria, bioenergetic, stem cells</t>
  </si>
  <si>
    <t>INFERTILITY FEMALE; AGING; REPRODUCTION/PREGNANCY; CELL BIOLOGY</t>
  </si>
  <si>
    <t>Point of Care, Automated, Coma</t>
  </si>
  <si>
    <t>HEALTH CARE DELIVERY; CNS ORGANIC; NERVOUS SYSTEM</t>
  </si>
  <si>
    <t>antiviral, drug resistance, influenza</t>
  </si>
  <si>
    <t>VIRAL; PNEUMONIA; VIROLOGY; RESPIRATION</t>
  </si>
  <si>
    <t>Photoacoustic, Imaging, Prostate Cancer</t>
  </si>
  <si>
    <t>MULTIDISCIPLINARY; PROSTATE AND BLADDER CANCER; IMAGING; CANCER</t>
  </si>
  <si>
    <t>Ontario Health - CCO - Cancer Care Ontario (Toronto)</t>
  </si>
  <si>
    <t>Haptics, Robotic Systems, Rehabilitation</t>
  </si>
  <si>
    <t>AGING; MUSCULO SKELETAL; HEALTH SERVICES RESEARCH</t>
  </si>
  <si>
    <t>cardiac, microtissue, drug</t>
  </si>
  <si>
    <t>CARDIOLOGY; STROKE, HEART FAILURE; CARDIOVASCULAR; CELL BIOLOGY</t>
  </si>
  <si>
    <t>CCR5, sequencing, Maraviroc</t>
  </si>
  <si>
    <t>AIDS; EPIDEMIOLOGY; VIROLOGY; GENOMICS, PROTEOMICS, AND BIOINFORMATICS</t>
  </si>
  <si>
    <t>learning algorithm, artificial pancreas, performance</t>
  </si>
  <si>
    <t>MULTIDISCIPLINARY; DIABETES MELLITUS; METABOLISM/DIABETES</t>
  </si>
  <si>
    <t>Proportional Assist, Ventilation, Mechanical</t>
  </si>
  <si>
    <t>RESPIRATION; HEALTH CARE DELIVERY; HEALTH RESEARCH</t>
  </si>
  <si>
    <t>Spinal Stenosis, Pedometer, Nutrition</t>
  </si>
  <si>
    <t>OBESITY; MUSCULO SKELETAL; HEALTH RESEARCH; MUSCLE, BONE, OR JOINT</t>
  </si>
  <si>
    <t>gait, rhythm, perception</t>
  </si>
  <si>
    <t>STROKE, HEART FAILURE; NERVOUS SYSTEM</t>
  </si>
  <si>
    <t>chimpanzee adenovirus, vaccines, tuberculosis</t>
  </si>
  <si>
    <t>Radiation Therapy, Artificial Intelligence, Patient Safety</t>
  </si>
  <si>
    <t>Bioprocess, T-cell, Manufacturing</t>
  </si>
  <si>
    <t>MULTIDISCIPLINARY; MULTIPLE DISEASE RELEVANCE; CELL BIOLOGY; IMMUNOLOGY-TRANSPLANTATION</t>
  </si>
  <si>
    <t>Ultrasound, Contrast Agents, Prostate Cancer</t>
  </si>
  <si>
    <t>endovascular, aneurysm, registration</t>
  </si>
  <si>
    <t>ATHEROSCLEROSIS; CARDIOVASCULAR; IMAGING</t>
  </si>
  <si>
    <t>Oncolytic Poxvirus, Systemic Delivery, Potency</t>
  </si>
  <si>
    <t>CANCER THERAPY GENERAL; VIRAL; CANCER; MOLECULAR BIOLOGY</t>
  </si>
  <si>
    <t>biomechanical, biofeedback, rehabilitation</t>
  </si>
  <si>
    <t>Systems biology, Mesenchymal stem cells, Cellular therapeutics</t>
  </si>
  <si>
    <t>MULTIDISCIPLINARY; INFECTIOUS AND PARASITIC; HEALTH RESEARCH; GENOMICS, PROTEOMICS, AND BIOINFORMATICS</t>
  </si>
  <si>
    <t>bacterial resistance, antibiotics</t>
  </si>
  <si>
    <t>INFECTIOUS AND PARASITIC; DRUG RESEARCH</t>
  </si>
  <si>
    <t>Pain management, adolescents, cancer</t>
  </si>
  <si>
    <t>HEALTH SERVICES RESEARCH; CANCER</t>
  </si>
  <si>
    <t>Multimodal sensing, actuation, neurosurgery</t>
  </si>
  <si>
    <t>CONGENITAL ANOMALIES; EPILEPSY; NERVOUS SYSTEM; CANCER</t>
  </si>
  <si>
    <t>Probe, Red Blood Cells, Transfusion</t>
  </si>
  <si>
    <t>Ultrasound, Guidance, Brachytherapy</t>
  </si>
  <si>
    <t>Bioreactors, Decellularization, Recellularization</t>
  </si>
  <si>
    <t>MULTIPLE DISEASE RELEVANCE; CHRONIC OBSTRUCTIVE LUNG DISEASE; HEALTH RESEARCH; RESPIRATION</t>
  </si>
  <si>
    <t>Atrial Fibrillation, Sequential Mapping, Ablation</t>
  </si>
  <si>
    <t>ARRHYTHMIAS; CARDIOLOGY; CARDIOVASCULAR</t>
  </si>
  <si>
    <t>micro-optrodes, brain sensing, wireless</t>
  </si>
  <si>
    <t>MENTAL AND BEHAVIOURAL DISEASES; MULTIPLE DISEASE RELEVANCE; MENTAL HEALTH; BIOPHYSICS</t>
  </si>
  <si>
    <t>self-management, telemonitoring, chronic conditions</t>
  </si>
  <si>
    <t>Gamma Knife, Image-guided, Radiosurgery</t>
  </si>
  <si>
    <t>BRAIN TUMORS THERAPY; CANCER THERAPY GENERAL; CANCER; NERVOUS SYSTEM</t>
  </si>
  <si>
    <t>Gene delivery, GLP-1, diabetes</t>
  </si>
  <si>
    <t>DIABETES MELLITUS; METABOLISM/DIABETES</t>
  </si>
  <si>
    <t>ultrafast laser, fiber-optic catheter, minimally invasive</t>
  </si>
  <si>
    <t>ARTHRITIS/OSTEOARTHRITIS; GLAUCOMA; MUSCLE, BONE, OR JOINT; BIOPHYSICS</t>
  </si>
  <si>
    <t>vibrations, infant, transportation</t>
  </si>
  <si>
    <t>HEALTH CARE DELIVERY; PERINATAL; HEALTH RESEARCH; ENVIRONMENTAL INFLUENCES ON HEALTH</t>
  </si>
  <si>
    <t>Robotics, EEG, Stroke</t>
  </si>
  <si>
    <t>innate immune response, HCV, chimeric mice</t>
  </si>
  <si>
    <t>VIRAL; LIVER DISEASE; VIROLOGY; DRUG RESEARCH</t>
  </si>
  <si>
    <t>Immune Thrombocytopenic Purpura, Thrombopoietin Mimetics</t>
  </si>
  <si>
    <t>electrochemical, beacon, nucleic acid</t>
  </si>
  <si>
    <t>INFECTIOUS AND PARASITIC; QUALITATIVE METHODS; HEALTH RESEARCH; BIOCHEMISTRY</t>
  </si>
  <si>
    <t>mineralization, membrane, periodontal</t>
  </si>
  <si>
    <t>DENTAL DISEASE (INCL. ORAL BIOLOGY); MUSCULO SKELETAL; DENTAL SCIENCE - Oral Biology; MUSCLE, BONE, OR JOINT</t>
  </si>
  <si>
    <t>Blood test, colorectal cancer, metabolomics</t>
  </si>
  <si>
    <t>GASTRO-INTESTINAL CANCER; HEALTH CARE DELIVERY; CANCER; HEALTH RESEARCH</t>
  </si>
  <si>
    <t>pancreatic cancer, biomarkers, CUZD1</t>
  </si>
  <si>
    <t>GASTRO-INTESTINAL CANCER; NEOPLASMS; CANCER</t>
  </si>
  <si>
    <t>cell culture, influenza vaccines, pandemic</t>
  </si>
  <si>
    <t>INFECTIOUS AND PARASITIC; POPULATION HEALTH; BIOCHEMISTRY; VIROLOGY</t>
  </si>
  <si>
    <t>CCN3, antifibrotic</t>
  </si>
  <si>
    <t>SKIN AND SUBCUTANEOUS TISSUS; MUSCULO SKELETAL; HEALTH RESEARCH; MUSCLE, BONE, OR JOINT</t>
  </si>
  <si>
    <t>endovascular, aneurysm, elastic registration</t>
  </si>
  <si>
    <t>decision support, electronic medical record, primary care</t>
  </si>
  <si>
    <t>HEALTH CARE DELIVERY; HEALTH SERVICES RESEARCH; DRUG RESEARCH; GERIATRICS</t>
  </si>
  <si>
    <t>microfluidic, monoclonal antibodies, fibrosis</t>
  </si>
  <si>
    <t>MULTIDISCIPLINARY; NOT CLASSIFIED</t>
  </si>
  <si>
    <t>EEG,fNIRS,monitoring</t>
  </si>
  <si>
    <t>INJURY, REGENERATION; EPILEPSY; IMAGING; NERVOUS SYSTEM</t>
  </si>
  <si>
    <t>skin wounds, closure, engineering</t>
  </si>
  <si>
    <t>SKIN AND SUBCUTANEOUS TISSUS; AGING; CELL BIOLOGY</t>
  </si>
  <si>
    <t>telomere, cardiovascular, diabetes</t>
  </si>
  <si>
    <t>CARDIOLOGY; DIABETES MELLITUS; CARDIOVASCULAR; AGING</t>
  </si>
  <si>
    <t>Epigenetic, DNA, Marks</t>
  </si>
  <si>
    <t>INFECTIOUS AND PARASITIC; HEALTH CARE DELIVERY; MOLECULAR BIOLOGY; BIOCHEMISTRY</t>
  </si>
  <si>
    <t>Guanosine, Chitosan, Sponges</t>
  </si>
  <si>
    <t>SPINAL CORD DISEASE; INJURY, REGENERATION; NERVOUS SYSTEM; CELL BIOLOGY</t>
  </si>
  <si>
    <t>Stent, Endohyperthermia, Restenosis</t>
  </si>
  <si>
    <t>CORONARY CIRCULATION (INCL. INSUFFICIENCY); ATHEROSCLEROSIS; CARDIOVASCULAR; NOT CLASSIFIED</t>
  </si>
  <si>
    <t>Point-of-Care, Biomarkers, Kidney Disease</t>
  </si>
  <si>
    <t>GENITO/URINARY SYSTEM; DIABETES MELLITUS; RENAL FUNCTION, NEPHROLOGY, UROLOGY; HEALTH RESEARCH</t>
  </si>
  <si>
    <t>bacterial, vascular, inhibitors</t>
  </si>
  <si>
    <t>INFECTIOUS AND PARASITIC; MULTIDISCIPLINARY; BACTERIOLOGY; CARDIOVASCULAR</t>
  </si>
  <si>
    <t>bipolar disorder, e-health, engagement</t>
  </si>
  <si>
    <t>DEPRESSION; PSYCHO-SOCIAL AND BEHAVIOURAL RESEARCH; MENTAL HEALTH; PSYCHOSOCIAL/HEALTH BEHAVIOURAL RES.</t>
  </si>
  <si>
    <t>Breast Cancer, Surgery, Navigation</t>
  </si>
  <si>
    <t>hip replacement, tissue reactions, implant design</t>
  </si>
  <si>
    <t>ARTHRITIS/OSTEOARTHRITIS; MULTIDISCIPLINARY; MUSCLE, BONE, OR JOINT; AGING</t>
  </si>
  <si>
    <t>assays, gap junctions, heart tissues</t>
  </si>
  <si>
    <t>ARRHYTHMIAS; DRUGS- PHARMACEUTICAL SCIENCE/CHEMISTRY &amp; NON MEDICAL USE OF DRUGS; CARDIOVASCULAR; GENETICS</t>
  </si>
  <si>
    <t>eosinophil, bioactive paper, detection</t>
  </si>
  <si>
    <t>RESPIRATION; CHRONIC OBSTRUCTIVE LUNG DISEASE; BIOCHEMISTRY</t>
  </si>
  <si>
    <t>bioactive, hydrogel, intervertebral disc</t>
  </si>
  <si>
    <t>Robotic, Haptic, Artificial Intelligence</t>
  </si>
  <si>
    <t>Raman spectroscopy, imaging, glioma</t>
  </si>
  <si>
    <t>BRAIN TUMORS (INCL. RETINAL TUMORS); CANCER; IMAGING</t>
  </si>
  <si>
    <t>Virtual, Music, Education</t>
  </si>
  <si>
    <t>MULTIDISCIPLINARY; HEALTH RESEARCH; SOCIETAL &amp; CULTURAL DIMENSIONS OF HEALTH</t>
  </si>
  <si>
    <t>wearable, robotic, orthoses</t>
  </si>
  <si>
    <t>neuromonitoring, preterm brain injury, golden hour</t>
  </si>
  <si>
    <t>neural regeneration, stem cells, transplantation</t>
  </si>
  <si>
    <t>INJURY, REGENERATION; CELL BIOLOGY; NERVOUS SYSTEM</t>
  </si>
  <si>
    <t>wireless, neurophotonic, neurons</t>
  </si>
  <si>
    <t>MULTIDISCIPLINARY; MULTIPLE DISEASE RELEVANCE; NERVOUS SYSTEM; BIOPHYSICS</t>
  </si>
  <si>
    <t>micro-cantilever, catheter, imaging</t>
  </si>
  <si>
    <t>LUNG CANCER; CANCER; IMAGING</t>
  </si>
  <si>
    <t>biomaterial, stem cells, culture</t>
  </si>
  <si>
    <t>INJURY, REGENERATION; MULTIDISCIPLINARY</t>
  </si>
  <si>
    <t>Risk, Infarction, Evaluation</t>
  </si>
  <si>
    <t>CARDIOLOGY; ARRHYTHMIAS; CARDIOVASCULAR; HEALTH RESEARCH</t>
  </si>
  <si>
    <t>Antibiofilm, Coating, Ureteral Stents</t>
  </si>
  <si>
    <t>INFECTIOUS AND PARASITIC; GENITO/URINARY SYSTEM; RENAL FUNCTION, NEPHROLOGY, UROLOGY; BACTERIOLOGY</t>
  </si>
  <si>
    <t>bioanalyte, sensors, bioreactors</t>
  </si>
  <si>
    <t>Articular, Cartilage, Reconstruction</t>
  </si>
  <si>
    <t>machine, EEG, analysis</t>
  </si>
  <si>
    <t>EPILEPSY; SLEEP DISORDERS; NERVOUS SYSTEM; HEALTH RESEARCH</t>
  </si>
  <si>
    <t>Salmonella, vector, vaccine</t>
  </si>
  <si>
    <t>INFECTIOUS AND PARASITIC; PARASITIC; IMMUNOLOGY-TRANSPLANTATION; HEALTH RESEARCH</t>
  </si>
  <si>
    <t>placenta, screening, cardiovascular</t>
  </si>
  <si>
    <t>MULTIDISCIPLINARY; PREGNANCY/BIRTH; CARDIOVASCULAR; REPRODUCTION/PREGNANCY</t>
  </si>
  <si>
    <t>biophysical, breast cancer, cell migration</t>
  </si>
  <si>
    <t>3D gel dosimeters, dose verification, radiation therapy</t>
  </si>
  <si>
    <t>Skin, Adhesive, Hydration</t>
  </si>
  <si>
    <t>MULTIDISCIPLINARY; CANCER THERAPY GENERAL; HEALTH RESEARCH; CANCER</t>
  </si>
  <si>
    <t>H-Coil, Transcranial Magnetic Stimulation, Depression</t>
  </si>
  <si>
    <t>DEPRESSION; GERIATRICS; MENTAL HEALTH; AGING</t>
  </si>
  <si>
    <t>peptide, immunotherapy, citrullinated</t>
  </si>
  <si>
    <t>ARTHRITIS/OSTEOARTHRITIS; MUSCLE, BONE, OR JOINT; IMMUNOLOGY-TRANSPLANTATION</t>
  </si>
  <si>
    <t>Micromachined, Transducer, Imaging</t>
  </si>
  <si>
    <t>PROSTATE AND BLADDER CANCER; GASTRO-INTESTINAL CANCER; IMAGING; CANCER</t>
  </si>
  <si>
    <t>Smart, Catheter, Shape Memory Polymer</t>
  </si>
  <si>
    <t>Bone, Stem Cells, Biomineralization</t>
  </si>
  <si>
    <t>INJURY, REGENERATION; BREAST CANCER THERAPY; MUSCLE, BONE, OR JOINT; CELL BIOLOGY</t>
  </si>
  <si>
    <t>blood, microneedle, quantum-dot</t>
  </si>
  <si>
    <t>surgical tools, reconstruction, head and neck cancer</t>
  </si>
  <si>
    <t>DENTAL DISEASE (INCL. ORAL BIOLOGY); MUSCULO SKELETAL; DENTAL SCIENCE - Oral Biology; CANCER</t>
  </si>
  <si>
    <t>cytology, immunoplasmonic, multiplex labeling</t>
  </si>
  <si>
    <t>MULTIDISCIPLINARY; CANCER; IMAGING</t>
  </si>
  <si>
    <t>Machine Learning, Neonatal, Pain Assessment</t>
  </si>
  <si>
    <t>NONE OF THE ABOVE; HEALTH RESEARCH</t>
  </si>
  <si>
    <t>Multiphoton, Imaging, Oral Cancer</t>
  </si>
  <si>
    <t>MULTIDISCIPLINARY; DENTAL DISEASE (INCL. ORAL BIOLOGY); IMAGING; CANCER</t>
  </si>
  <si>
    <t>Older adults, CHANGE, health</t>
  </si>
  <si>
    <t>HEALTH CARE DELIVERY; AGING; METABOLISM/DIABETES</t>
  </si>
  <si>
    <t>Cardiac MRI, Cardiotoxicity, Breast Cancer</t>
  </si>
  <si>
    <t>BREAST CANCER THERAPY; STROKE, HEART FAILURE; CANCER; CARDIOVASCULAR</t>
  </si>
  <si>
    <t>synthetic biology, living medicines, metabolic health</t>
  </si>
  <si>
    <t>GASTRO-INTESTINAL DISEASE; METABOLISM AND NUTRITION; GASTROINTESTINAL (LIVER); HEALTH RESEARCH</t>
  </si>
  <si>
    <t>virus-like particle, vaccines, plants</t>
  </si>
  <si>
    <t>INFECTIOUS AND PARASITIC; VIRAL; IMMUNOLOGY-TRANSPLANTATION; VIROLOGY</t>
  </si>
  <si>
    <t>S1P receptor, myelination, pharmaceutical agents</t>
  </si>
  <si>
    <t>MULTIPLE SCLEROSIS; NERVOUS SYSTEM; IMMUNOLOGY-TRANSPLANTATION</t>
  </si>
  <si>
    <t>immunoprotection, Treg, immunoglobulins</t>
  </si>
  <si>
    <t>ASTHMA; MULTIPLE DISEASE RELEVANCE; IMMUNOLOGY-TRANSPLANTATION; DRUG RESEARCH</t>
  </si>
  <si>
    <t>brain, repair, stroke</t>
  </si>
  <si>
    <t>INJURY, REGENERATION; STROKE, HEART FAILURE; NERVOUS SYSTEM; CELL BIOLOGY</t>
  </si>
  <si>
    <t>Transcutaneous, microsphere, vaccine</t>
  </si>
  <si>
    <t>MULTIPLE DISEASE RELEVANCE; INFECTIOUS AND PARASITIC; IMMUNOLOGY-TRANSPLANTATION; DRUG RESEARCH</t>
  </si>
  <si>
    <t>Mental Health, Telemetry, Depression</t>
  </si>
  <si>
    <t>HEALTH PROMOTION; MENTAL HEALTH</t>
  </si>
  <si>
    <t>multidimensional separation, circulating tumour cells, isolation</t>
  </si>
  <si>
    <t>GPCR, selectivity, anti-inflammatory</t>
  </si>
  <si>
    <t>CHRONIC INFLAMMATORY BOWEL DISEASE; ARTHRITIS/OSTEOARTHRITIS; DRUG RESEARCH; CELL BIOLOGY</t>
  </si>
  <si>
    <t>RF, Time Series, Biopsy</t>
  </si>
  <si>
    <t>PROSTATE AND BLADDER CANCER; PROSTATE AND BLADDER CANCER THERAPY; CANCER; IMAGING</t>
  </si>
  <si>
    <t>ultrasound, antibodies, cervical cancer</t>
  </si>
  <si>
    <t>CANCER THERAPY GENERAL; GENITO/URINARY SYSTEM; CANCER; VIROLOGY</t>
  </si>
  <si>
    <t>Image-guided, Neurosurgery, Software</t>
  </si>
  <si>
    <t>MULTIPLE DISEASE RELEVANCE; BRAIN TUMORS (INCL. RETINAL TUMORS); IMAGING; NERVOUS SYSTEM</t>
  </si>
  <si>
    <t>Vascularized, biomaterials, cell therapy</t>
  </si>
  <si>
    <t>DIABETES MELLITUS; IMMUNOLOGY-TRANSPLANTATION; METABOLISM/DIABETES</t>
  </si>
  <si>
    <t>heart perfusion, ex vivo, donor preservation</t>
  </si>
  <si>
    <t>e-therapies, mental health, waiting lists</t>
  </si>
  <si>
    <t>DEPRESSION; HEALTH CARE DELIVERY; MENTAL HEALTH; PSYCHOSOCIAL/HEALTH BEHAVIOURAL RES.</t>
  </si>
  <si>
    <t>Neurostimulation, Closed-Loop, Epilepsy</t>
  </si>
  <si>
    <t>lead, boron, ClpP</t>
  </si>
  <si>
    <t>CANCER THERAPY GENERAL; DRUGS- PHARMACEUTICAL SCIENCE/CHEMISTRY &amp; NON MEDICAL USE OF DRUGS; CANCER; DRUG RESEARCH</t>
  </si>
  <si>
    <t>bio-integrated, nerve electrode, prostheses</t>
  </si>
  <si>
    <t>CNS ORGANIC; NERVOUS SYSTEM</t>
  </si>
  <si>
    <t>Granzyme B, Inhibitor</t>
  </si>
  <si>
    <t>SKIN AND SUBCUTANEOUS TISSUS; AGING; DRUG RESEARCH</t>
  </si>
  <si>
    <t>DNAzyme, gold nanoparticle, diagnostic</t>
  </si>
  <si>
    <t>personalized medicine, screening, cancer</t>
  </si>
  <si>
    <t>Cardiac activity, Pharmaceuticals, Toxicity</t>
  </si>
  <si>
    <t>CARDIOLOGY; ARRHYTHMIAS; CARDIOVASCULAR; BIOPHYSICS</t>
  </si>
  <si>
    <t>Ultrasound, Therapy Response, Prediction</t>
  </si>
  <si>
    <t>BREAST CANCER; CANCER THERAPY GENERAL; CANCER; BIOPHYSICS</t>
  </si>
  <si>
    <t>ischemic injury, infarct-sparing, pharmacological</t>
  </si>
  <si>
    <t>MYOCARDIAL INFARCTION; DRUGS- PHARMACEUTICAL SCIENCE/CHEMISTRY &amp; NON MEDICAL USE OF DRUGS; CARDIOVASCULAR; DRUG RESEARCH</t>
  </si>
  <si>
    <t>Nanoplasmonics, Laser, Gene delivery</t>
  </si>
  <si>
    <t>DISEASES AFFECTING SPEECH/VISION/HEARING; AGING; VISION; BIOPHYSICS</t>
  </si>
  <si>
    <t>Virtual, Peer-to-Peer, Juvenile Idiopathic Arthritis</t>
  </si>
  <si>
    <t>ARTHRITIS/OSTEOARTHRITIS; PSYCHOSOCIAL AND HEALTH BEHAVIOURS; MUSCLE, BONE, OR JOINT; PSYCHOSOCIAL/HEALTH BEHAVIOURAL RES.</t>
  </si>
  <si>
    <t>miRNA, Signatures, Cancer</t>
  </si>
  <si>
    <t>PROSTATE AND BLADDER CANCER THERAPY; CANCER; HEALTH RESEARCH</t>
  </si>
  <si>
    <t>Pressure sore, thermoregulation, cerebral palsy</t>
  </si>
  <si>
    <t>ENVIRONMENTAL INFLUENCES ON HEALTH; MULTIDISCIPLINARY; HEALTH RESEARCH; MUSCLE, BONE, OR JOINT</t>
  </si>
  <si>
    <t>ultrasound, elastography, atherosclerosis</t>
  </si>
  <si>
    <t>ATHEROSCLEROSIS; STROKE, HEART FAILURE; IMAGING; CARDIOVASCULAR</t>
  </si>
  <si>
    <t>immunotherapies, Alzheimer's</t>
  </si>
  <si>
    <t>ALZHEIMER'S DISEASE; AGING; NERVOUS SYSTEM; IMMUNOLOGY-TRANSPLANTATION</t>
  </si>
  <si>
    <t>Polymer scaffolds, Gas expanded liquids, Lung fibrosis</t>
  </si>
  <si>
    <t>RESPIRATION; INFECTIOUS AND PARASITIC; AGING</t>
  </si>
  <si>
    <t>wearable sensors, arm function, hand function</t>
  </si>
  <si>
    <t>Aripiprazole, Injectable, Brain imaging</t>
  </si>
  <si>
    <t>SCHIZOPHRENIA; MENTAL HEALTH; IMAGING</t>
  </si>
  <si>
    <t>biological, finger joint, replacement</t>
  </si>
  <si>
    <t>artificial intelligence, delirium, hospitalized patients</t>
  </si>
  <si>
    <t>MENTAL AND BEHAVIOURAL DISEASES; GERIATRICS; HEALTH SERVICES RESEARCH</t>
  </si>
  <si>
    <t>Micro-Sponge, Nutritional Liquid, Wounds</t>
  </si>
  <si>
    <t>SKIN AND SUBCUTANEOUS TISSUS; SPINAL CORD DISEASE; HEALTH RESEARCH; AGING</t>
  </si>
  <si>
    <t>donor human milk, bioactive components, neonates</t>
  </si>
  <si>
    <t>MULTIDISCIPLINARY; NUTRITION; BACTERIOLOGY</t>
  </si>
  <si>
    <t>chemotherapy, radiation, drug release</t>
  </si>
  <si>
    <t>precision medicine, breast cancer, computer</t>
  </si>
  <si>
    <t>i-GRASP, assessment, neurological injury</t>
  </si>
  <si>
    <t>STROKE, HEART FAILURE; NERVOUS SYSTEM; AGING</t>
  </si>
  <si>
    <t>pediatric, reference intervals, gaps</t>
  </si>
  <si>
    <t>HEALTH CARE DELIVERY; HEALTH SERVICES RESEARCH; HEALTH RESEARCH; POPULATION HEALTH</t>
  </si>
  <si>
    <t>Thrombectomy, PCI, STEMI</t>
  </si>
  <si>
    <t>CORONARY CIRCULATION (INCL. INSUFFICIENCY); CARDIOVASCULAR</t>
  </si>
  <si>
    <t>laser, gene, ocular</t>
  </si>
  <si>
    <t>DISEASES AFFECTING SPEECH/VISION/HEARING; MULTIDISCIPLINARY; VISION; CELL BIOLOGY</t>
  </si>
  <si>
    <t>antibody, internalization, conjugates</t>
  </si>
  <si>
    <t>PROSTATE AND BLADDER CANCER; CANCER</t>
  </si>
  <si>
    <t>Pulmonary Valve, Tissue Engineering, Pediatric</t>
  </si>
  <si>
    <t>CARDIOLOGY; CARDIOVASCULAR; CELL BIOLOGY</t>
  </si>
  <si>
    <t>Macular Degeneration, CD36, Receptor</t>
  </si>
  <si>
    <t>AGING; DISEASES AFFECTING SPEECH/VISION/HEARING; VISION</t>
  </si>
  <si>
    <t>Automatic, Monitoring, Disease</t>
  </si>
  <si>
    <t>PARKINSON'S DISEASE; ALZHEIMER'S DISEASE; NERVOUS SYSTEM; ETHICS</t>
  </si>
  <si>
    <t>Ultrasound, Elastography, Renal</t>
  </si>
  <si>
    <t>GENITO/URINARY SYSTEM; RENAL FUNCTION, NEPHROLOGY, UROLOGY; IMAGING</t>
  </si>
  <si>
    <t>Biomarker, Microvascular, Monitoring</t>
  </si>
  <si>
    <t>BLOOD; DIABETES MELLITUS; CARDIOVASCULAR; IMMUNOLOGY-TRANSPLANTATION</t>
  </si>
  <si>
    <t>Hepatitis B, Virus Infection, Fatty Liver</t>
  </si>
  <si>
    <t>LIVER DISEASE; OBESITY; GASTROINTESTINAL (LIVER); HEALTH RESEARCH</t>
  </si>
  <si>
    <t>lensless,microscopy,hematology</t>
  </si>
  <si>
    <t>BLOOD; LEUKAEMIAS; IMAGING</t>
  </si>
  <si>
    <t>Ultrasound, Fusion, Imaging</t>
  </si>
  <si>
    <t>CARDIOLOGY; STROKE, HEART FAILURE; IMAGING; CARDIOVASCULAR</t>
  </si>
  <si>
    <t>polymeric, headform, concussion</t>
  </si>
  <si>
    <t>INJURY, REGENERATION; MULTIDISCIPLINARY; NERVOUS SYSTEM; MUSCLE, BONE, OR JOINT</t>
  </si>
  <si>
    <t>antibody, drug conjugates, actin</t>
  </si>
  <si>
    <t>seizure detection, artificial intelligence, smart wear</t>
  </si>
  <si>
    <t>Sperm, Intracytoplasmic, Injection</t>
  </si>
  <si>
    <t>INFERTILITY MALE; PREGNANCY/BIRTH; REPRODUCTION/PREGNANCY; RENAL FUNCTION, NEPHROLOGY, UROLOGY</t>
  </si>
  <si>
    <t>photothermal, coherence tomography, dental caries</t>
  </si>
  <si>
    <t>DENTAL DISEASE (INCL. ORAL BIOLOGY); MULTIDISCIPLINARY; DENTAL SCIENCE - Oral Biology; IMAGING</t>
  </si>
  <si>
    <t>diagnostic test, Lyme disease</t>
  </si>
  <si>
    <t>INFECTIOUS AND PARASITIC; MULTIPLE DISEASE RELEVANCE; GENOMICS, PROTEOMICS, AND BIOINFORMATICS; NOT CLASSIFIED</t>
  </si>
  <si>
    <t>Renal Replacement Therapy, Acute Kidney Injury, STARRT-AKI</t>
  </si>
  <si>
    <t>MULTIDISCIPLINARY; RENAL FUNCTION, NEPHROLOGY, UROLOGY</t>
  </si>
  <si>
    <t>Gel dosimetry, brachytherapy, dose validation</t>
  </si>
  <si>
    <t>functional magnetic resonance imaging, brain injuries</t>
  </si>
  <si>
    <t>CNS ORGANIC; ILL-DEFINED CONDITIONS; IMAGING; HEALTH SERVICES RESEARCH</t>
  </si>
  <si>
    <t>Information, Fusion, Echocardiography</t>
  </si>
  <si>
    <t>CARDIOLOGY; HEALTH SERVICES RESEARCH; CARDIOVASCULAR; IMAGING</t>
  </si>
  <si>
    <t>Nonlinear Optical, Imaging, Pathology</t>
  </si>
  <si>
    <t>MULTIDISCIPLINARY; QUALITATIVE METHODS; IMAGING; CANCER</t>
  </si>
  <si>
    <t>LXR, beta, antagonism</t>
  </si>
  <si>
    <t>DRUGS- PHARMACEUTICAL SCIENCE/CHEMISTRY &amp; NON MEDICAL USE OF DRUGS; DIABETES MELLITUS; DRUG RESEARCH; ENDOCRINOLOGY</t>
  </si>
  <si>
    <t>biosynthetic, corneal, transplantation</t>
  </si>
  <si>
    <t>AGING; VISION</t>
  </si>
  <si>
    <t>Optical guidance, brain tumor, biopsy</t>
  </si>
  <si>
    <t>BRAIN TUMORS (INCL. RETINAL TUMORS); IMAGING; CANCER</t>
  </si>
  <si>
    <t>Optical coherence tomography, middle ear</t>
  </si>
  <si>
    <t>DEAFNESS; MULTIPLE DISEASE RELEVANCE; IMAGING; HEARING</t>
  </si>
  <si>
    <t>Chitosan, siRNA, nanoparticles</t>
  </si>
  <si>
    <t>BREAST CANCER THERAPY; ATHEROSCLEROSIS; CANCER; CARDIOVASCULAR</t>
  </si>
  <si>
    <t>ultrasound, needle, training</t>
  </si>
  <si>
    <t>MUSCULO SKELETAL; HEALTH RESEARCH; IMAGING</t>
  </si>
  <si>
    <t>Artificial Intelligence, Chatbot, Neurodevelopmental</t>
  </si>
  <si>
    <t>AUTISM; MENTAL DISABILITY; MENTAL HEALTH; PSYCHOSOCIAL/HEALTH BEHAVIOURAL RES.</t>
  </si>
  <si>
    <t>C-arm, Intraoperative, Quantitative</t>
  </si>
  <si>
    <t>MUSCULO SKELETAL; MULTIDISCIPLINARY; IMAGING; MUSCLE, BONE, OR JOINT</t>
  </si>
  <si>
    <t>micro-optode, fNIRS, time-domain</t>
  </si>
  <si>
    <t>EPILEPSY; HEALTH CARE DELIVERY; IMAGING; NERVOUS SYSTEM</t>
  </si>
  <si>
    <t>clinical, biomarker, genetics</t>
  </si>
  <si>
    <t>DIABETES MELLITUS; METABOLISM/DIABETES; GENETICS</t>
  </si>
  <si>
    <t>Bioactive, Knee Joint, Replacement</t>
  </si>
  <si>
    <t>MUSCULO SKELETAL; OSTEOPOROSIS; MUSCLE, BONE, OR JOINT</t>
  </si>
  <si>
    <t>siRNAs, chemotherapeutics, brain cancer</t>
  </si>
  <si>
    <t>interactive, computer, therapies</t>
  </si>
  <si>
    <t>MULTIDISCIPLINARY; MULTIPLE DISEASE RELEVANCE; HEALTH RESEARCH</t>
  </si>
  <si>
    <t>physiological data, artificial intelligence, cardiac arrest</t>
  </si>
  <si>
    <t>HEALTH CARE DELIVERY; HEALTH SERVICES RESEARCH; BIOPHYSICS; HEALTH RESEARCH</t>
  </si>
  <si>
    <t>Peritoneal Dialysis, Ultra-Filtration, Bimodal Solutions</t>
  </si>
  <si>
    <t>DRUGS- PHARMACEUTICAL SCIENCE/CHEMISTRY &amp; NON MEDICAL USE OF DRUGS; GENITO/URINARY SYSTEM; HEALTH RESEARCH; RENAL FUNCTION, NEPHROLOGY, UROLOGY</t>
  </si>
  <si>
    <t>light-sheet,microscope,connectomics</t>
  </si>
  <si>
    <t>MULTIPLE DISEASE RELEVANCE; MENTAL AND BEHAVIOURAL DISEASES</t>
  </si>
  <si>
    <t>implantable, micro-device, pressure</t>
  </si>
  <si>
    <t>HEALTH CARE DELIVERY; MUSCULO SKELETAL; HEALTH RESEARCH; MUSCLE, BONE, OR JOINT</t>
  </si>
  <si>
    <t>imaging, amyloid, retina</t>
  </si>
  <si>
    <t>ALZHEIMER'S DISEASE; DISEASES AFFECTING SPEECH/VISION/HEARING; IMAGING; BIOPHYSICS</t>
  </si>
  <si>
    <t>Electrical conduction, heart scar tissue, arrhythmia</t>
  </si>
  <si>
    <t>CARDIOLOGY; MYOCARDIAL INFARCTION; CARDIOVASCULAR; HEALTH RESEARCH</t>
  </si>
  <si>
    <t>magnetic resonance imaging, kidney fibrosis, imaging</t>
  </si>
  <si>
    <t>GENITO/URINARY SYSTEM; MULTIPLE DISEASE RELEVANCE; RENAL FUNCTION, NEPHROLOGY, UROLOGY; IMAGING</t>
  </si>
  <si>
    <t>Physiotherapy, Adherence Monitoring, Artificial Intelligence</t>
  </si>
  <si>
    <t>MUSCULO SKELETAL; ETHICS; MUSCLE, BONE, OR JOINT</t>
  </si>
  <si>
    <t>Abeta, Oligomer, Epitope</t>
  </si>
  <si>
    <t>ALZHEIMER'S DISEASE; AGING; DRUG RESEARCH; NERVOUS SYSTEM</t>
  </si>
  <si>
    <t>Ureteral stent, Renal damage, Prevention</t>
  </si>
  <si>
    <t>GENITO/URINARY SYSTEM; CANCER THERAPY GENERAL; RENAL FUNCTION, NEPHROLOGY, UROLOGY</t>
  </si>
  <si>
    <t>Mastoidectomy, Simulator, Surgical</t>
  </si>
  <si>
    <t>HEALTH CARE DELIVERY; DEAFNESS; IMAGING; HEARING</t>
  </si>
  <si>
    <t>neuronal activity, optical fibers, epidural space</t>
  </si>
  <si>
    <t>SPINAL CORD DISEASE; MUSCULO SKELETAL; NERVOUS SYSTEM</t>
  </si>
  <si>
    <t>Radiomics, Radiation Therapy, Cancer</t>
  </si>
  <si>
    <t>Virtual, Simulator, Shoulder</t>
  </si>
  <si>
    <t>MUSCULO SKELETAL</t>
  </si>
  <si>
    <t>positron, detector, imaging</t>
  </si>
  <si>
    <t>MULTIDISCIPLINARY; CANCER THERAPY GENERAL; IMAGING; CANCER</t>
  </si>
  <si>
    <t>placenta, chip, pharmaceuticals</t>
  </si>
  <si>
    <t>ENVIRONMENTAL INFLUENCES ON HEALTH; PREGNANCY/BIRTH; REPRODUCTION/PREGNANCY</t>
  </si>
  <si>
    <t>biomarker, SSAT1, glioblastoma</t>
  </si>
  <si>
    <t>ultrasound, placenta, abnormalities</t>
  </si>
  <si>
    <t>PREGNANCY/BIRTH; IMAGING; REPRODUCTION/PREGNANCY</t>
  </si>
  <si>
    <t>Nanofluidic, Genomic Analysis, Tumor Cells</t>
  </si>
  <si>
    <t>MULTIPLE DISEASE RELEVANCE; MULTIDISCIPLINARY; GENETICS; BIOPHYSICS</t>
  </si>
  <si>
    <t>Antibiotic resistance, Aminoglycoside, Phosphotransferases</t>
  </si>
  <si>
    <t>INFECTIOUS AND PARASITIC; DRUG RESEARCH; BIOCHEMISTRY</t>
  </si>
  <si>
    <t>Nanoparticle, cancer, therapeutics</t>
  </si>
  <si>
    <t>CANCER THERAPY GENERAL; MULTIDISCIPLINARY; DRUG RESEARCH; CANCER</t>
  </si>
  <si>
    <t>Real-Time, In Vivo, Oral Pathology</t>
  </si>
  <si>
    <t>Lipid Nanoparticle, siRNA, Delivery</t>
  </si>
  <si>
    <t>CANCER THERAPY GENERAL; DRUG RESEARCH; BIOCHEMISTRY</t>
  </si>
  <si>
    <t>Micro-ultrasound, Prostate Cancer, Detection</t>
  </si>
  <si>
    <t>PROSTATE AND BLADDER CANCER; CANCER; IMAGING</t>
  </si>
  <si>
    <t>retinal biomarkers, Alzheimer, in vivo</t>
  </si>
  <si>
    <t>ALZHEIMER'S DISEASE; AGING; IMAGING</t>
  </si>
  <si>
    <t>automated, sequencing, genetic variant</t>
  </si>
  <si>
    <t>NEOPLASMS; HEALTH CARE DELIVERY; CANCER; GENOMICS, PROTEOMICS, AND BIOINFORMATICS</t>
  </si>
  <si>
    <t>standing balance, fall prevention, clinical validation</t>
  </si>
  <si>
    <t>SPINAL CORD DISEASE; STROKE, HEART FAILURE; HEALTH RESEARCH; NERVOUS SYSTEM</t>
  </si>
  <si>
    <t>interleukin-1 receptor, ischemic eye</t>
  </si>
  <si>
    <t>DISEASES AFFECTING SPEECH/VISION/HEARING; DRUGS- PHARMACEUTICAL SCIENCE/CHEMISTRY &amp; NON MEDICAL USE OF DRUGS; AGING; DRUG RESEARCH</t>
  </si>
  <si>
    <t>Therapeutic targets, Heart failure</t>
  </si>
  <si>
    <t>STROKE, HEART FAILURE; CARDIOLOGY; CARDIOVASCULAR; AGING</t>
  </si>
  <si>
    <t>Magnetic Nanoparticles, Blood-Brain Barrier</t>
  </si>
  <si>
    <t>DRUGS- PHARMACEUTICAL SCIENCE/CHEMISTRY &amp; NON MEDICAL USE OF DRUGS; BRAIN TUMORS THERAPY; DRUG RESEARCH; NERVOUS SYSTEM</t>
  </si>
  <si>
    <t>Cancer, Cell Invasion, Assay</t>
  </si>
  <si>
    <t>CANCER THERAPY GENERAL; DRUGS- PHARMACEUTICAL SCIENCE/CHEMISTRY &amp; NON MEDICAL USE OF DRUGS; CELL BIOLOGY; CANCER</t>
  </si>
  <si>
    <t>HIV, sequencing, resistance</t>
  </si>
  <si>
    <t>Azacyclopeptide, Immuno-metabolism, Macular Degeneration</t>
  </si>
  <si>
    <t>AGING; NONE OF THE ABOVE; DRUG RESEARCH</t>
  </si>
  <si>
    <t>metabolic, vitamin D, D2, D3</t>
  </si>
  <si>
    <t>ENDOCRINOLOGY; METABOLISM AND NUTRITION; BIOCHEMISTRY</t>
  </si>
  <si>
    <t>Preterm Birth, ProstaglandinF2alpha, Receptor Modulators</t>
  </si>
  <si>
    <t>PREGNANCY/BIRTH; AGING; REPRODUCTION/PREGNANCY</t>
  </si>
  <si>
    <t>Ahmed, Sofia B</t>
  </si>
  <si>
    <t>HYPERTENSION; CARDIOVASCULAR; RENAL FUNCTION, NEPHROLOGY, UROLOGY</t>
  </si>
  <si>
    <t>hormonal, administration, cardiorenal</t>
  </si>
  <si>
    <t>La portion C-terminale de la proteine P97 de Mycoplasma hyopneumoniae: une nouvelle molecule adjuvante e des fins vaccinales</t>
  </si>
  <si>
    <t>INFECTIOUS AND PARASITIC; MULTIPLE DISEASE RELEVANCE; HEALTH RESEARCH; IMMUNOLOGY-TRANSPLANTATION</t>
  </si>
  <si>
    <t>P97, Mycoplasma hyopneumoniae, adjuvant</t>
  </si>
  <si>
    <t>Barha, Cindy</t>
  </si>
  <si>
    <t>AGING; ALZHEIMER'S DISEASE; ENDOCRINOLOGY</t>
  </si>
  <si>
    <t>biomarkers, physical activity, cognition</t>
  </si>
  <si>
    <t>Diffusion Tensor Imaging, Brain Wiring, Alzheimer's Disease</t>
  </si>
  <si>
    <t>ENDOCRINOLOGY; PITUITARY; REPRODUCTION/PREGNANCY</t>
  </si>
  <si>
    <t>inhibin B, follicle-stimulating hormone, female fertility</t>
  </si>
  <si>
    <t>tissue engineering, skin innervation, wound healing</t>
  </si>
  <si>
    <t>Bherer, Louis</t>
  </si>
  <si>
    <t>near-infrared spectroscopy, dual-task walking, aging</t>
  </si>
  <si>
    <t>Bier, Nathalie</t>
  </si>
  <si>
    <t>Maintien e domicile des personnes egees vulnerables : co-conception et deploiement de solutions technologiques dans le cadre d'un laboratoire vivant</t>
  </si>
  <si>
    <t>domicile, personnes egees, solutions technologiques</t>
  </si>
  <si>
    <t>tissus, g√©nie tissulaire</t>
  </si>
  <si>
    <t>Brennand, Erin A</t>
  </si>
  <si>
    <t>GENITO/URINARY SYSTEM; ENDOCRINOLOGY; REPRODUCTION/PREGNANCY; HEALTH RESEARCH</t>
  </si>
  <si>
    <t>hysterectomy, physiology, pelvic organ prolapse</t>
  </si>
  <si>
    <t>Bujold, Emmanuel</t>
  </si>
  <si>
    <t>L'inversion de la pyramide des soins antenataux pour ameliorer l'acces aux soins et la sante des meres et des enfants vivant en region eloignee (PROJET PYRAMIDE)</t>
  </si>
  <si>
    <t>PREGNANCY/BIRTH; DETERMINANTS OF HEALTH; REPRODUCTION/PREGNANCY; HEALTH SERVICES RESEARCH</t>
  </si>
  <si>
    <t>pyramide, soins, sante</t>
  </si>
  <si>
    <t>Burrell, Robert</t>
  </si>
  <si>
    <t>VIRAL; PNEUMONIA; HEALTH RESEARCH; BACTERIOLOGY</t>
  </si>
  <si>
    <t>Point-of-Care, Nanostructured, Biomarkers</t>
  </si>
  <si>
    <t>Chemtob, Sylvain</t>
  </si>
  <si>
    <t>PREGNANCY/BIRTH; PERINATAL; REPRODUCTION/PREGNANCY; DRUG RESEARCH</t>
  </si>
  <si>
    <t>Preterm Birth, Prevention</t>
  </si>
  <si>
    <t>MENTAL AND BEHAVIOURAL DISEASES; GENETICS; MENTAL HEALTH</t>
  </si>
  <si>
    <t>biological, migraine, anxiety</t>
  </si>
  <si>
    <t>INJURY, REGENERATION; MENTAL DISABILITY; NERVOUS SYSTEM; MENTAL HEALTH</t>
  </si>
  <si>
    <t>brain injury, blood biomarkers, rat model</t>
  </si>
  <si>
    <t>BIOSTATISTICS; EPIDEMIOLOGY; MENTAL HEALTH; HEALTH RESEARCH</t>
  </si>
  <si>
    <t>mental disorder, longitudinal data, delirium</t>
  </si>
  <si>
    <t>AGING; BIOSTATISTICS; POPULATION HEALTH</t>
  </si>
  <si>
    <t>aging, data mining, biomarkers</t>
  </si>
  <si>
    <t>MENTAL AND BEHAVIOURAL DISEASES; PSYCHO-SOCIAL AND BEHAVIOURAL RESEARCH; MENTAL HEALTH; HEALTH SERVICES RESEARCH</t>
  </si>
  <si>
    <t>teacher, mental health, youth</t>
  </si>
  <si>
    <t>Cotechini, Tiziana</t>
  </si>
  <si>
    <t>GENITO/URINARY SYSTEM; POPULATION HEALTH; RENAL FUNCTION, NEPHROLOGY, UROLOGY; IMMUNOLOGY-TRANSPLANTATION</t>
  </si>
  <si>
    <t>Hunner lesion, interstitial cystitis, B cells</t>
  </si>
  <si>
    <t>Di Renna, Tania</t>
  </si>
  <si>
    <t>HEALTH RESEARCH</t>
  </si>
  <si>
    <t>endometriosis, screening, young adults</t>
  </si>
  <si>
    <t>ontology, neuroimaging, datawarehouse</t>
  </si>
  <si>
    <t>MUSCULO SKELETAL; RENAL FUNCTION, NEPHROLOGY, UROLOGY; MUSCLE, BONE, OR JOINT</t>
  </si>
  <si>
    <t>mobile app, urinary incontinence, FemTech</t>
  </si>
  <si>
    <t>El Morr, Christo</t>
  </si>
  <si>
    <t>HEALTH PROMOTION; MENTAL AND BEHAVIOURAL DISEASES; MENTAL HEALTH; HEALTH RESEARCH</t>
  </si>
  <si>
    <t>Mental Health, Virtual Support, Campus</t>
  </si>
  <si>
    <t>ALZHEIMER'S DISEASE; AGING; IMAGING; GENOMICS, PROTEOMICS, AND BIOINFORMATICS</t>
  </si>
  <si>
    <t>neurodegenerative, imaging, data</t>
  </si>
  <si>
    <t>Universite du Quebec e Trois-Rivieres</t>
  </si>
  <si>
    <t>OBESITY; ENDOCRINOLOGY; METABOLISM/DIABETES</t>
  </si>
  <si>
    <t>molecular strategy, post-menopausal, metabolic</t>
  </si>
  <si>
    <t>adipose tissue, tissue engineering, endothelialization</t>
  </si>
  <si>
    <t>Gaillet, Bruno</t>
  </si>
  <si>
    <t>elaboration d'un procede de production de cellules therapeutiques autologues destine au traitement de la Dystrophie musculaire de Duchenne</t>
  </si>
  <si>
    <t>MULTIDISCIPLINARY; MUSCULAR DYSTROPHY; MUSCLE, BONE, OR JOINT; HEALTH RESEARCH</t>
  </si>
  <si>
    <t>cellules, autologues, dystrophie</t>
  </si>
  <si>
    <t>cornee, genie tissulaire, in vitro</t>
  </si>
  <si>
    <t>Krause, Juergen</t>
  </si>
  <si>
    <t>MENTAL AND BEHAVIOURAL DISEASES; PSYCHO-SOCIAL AND BEHAVIOURAL RESEARCH; MENTAL HEALTH; HEALTH RESEARCH</t>
  </si>
  <si>
    <t>Computer, Behavioral Therapy, Addiction</t>
  </si>
  <si>
    <t>DEPRESSION; MENTAL AND BEHAVIOURAL DISEASES; MENTAL HEALTH; NERVOUS SYSTEM</t>
  </si>
  <si>
    <t>epigenetic, biomarkers, postpartum depression</t>
  </si>
  <si>
    <t>Leonardi, Mathew</t>
  </si>
  <si>
    <t>INFERTILITY FEMALE; SUPPLEMENTARY CLASSIFICATIONS; REPRODUCTION/PREGNANCY; BIOCHEMISTRY</t>
  </si>
  <si>
    <t>Endometriosis, Ultrasound, SIMOA</t>
  </si>
  <si>
    <t>Extracellular Vesicle, Liquid Biopsy, MRI</t>
  </si>
  <si>
    <t>ovarian cancer, organoids, drug sensitivity</t>
  </si>
  <si>
    <t>Lewis, Ian A</t>
  </si>
  <si>
    <t>INFECTIOUS AND PARASITIC; HEALTH CARE DELIVERY; HEALTH RESEARCH; BIOCHEMISTRY</t>
  </si>
  <si>
    <t>antimicrobial resistance, rapid diagnosis, urinary tract infections</t>
  </si>
  <si>
    <t>ALZHEIMER'S DISEASE; HEALTH RESEARCH; AGING</t>
  </si>
  <si>
    <t>BDNF, signaling, brain health</t>
  </si>
  <si>
    <t>Maltais, Franeois</t>
  </si>
  <si>
    <t>Projet FreeDom (FreeO2 e domicile). Mise au point et evaluation d'une strategie innovante de prise en charge pour reduire la duree d'hospitalisation au cours des exacerbations de MPOC: retour precoce e domicile en combinant le sevrage et l'ajustement automatise de l'oxygene (FreeO2) et la telemedecine. Benefices pour les patients et pour le systeme de sante.</t>
  </si>
  <si>
    <t>CHRONIC OBSTRUCTIVE LUNG DISEASE; HEALTH SERVICES RESEARCH; RESPIRATION</t>
  </si>
  <si>
    <t>oxygen, telemedicine, COPD</t>
  </si>
  <si>
    <t>Mazzulli, Tony</t>
  </si>
  <si>
    <t>INFECTIOUS AND PARASITIC; VIRAL; BACTERIOLOGY; GENOMICS, PROTEOMICS, AND BIOINFORMATICS</t>
  </si>
  <si>
    <t>point of care, multiplex detection, antibiotic resistance</t>
  </si>
  <si>
    <t>McGillion, Michael H</t>
  </si>
  <si>
    <t>CARDIOLOGY; HEALTH CARE DELIVERY; CARDIOVASCULAR; HEALTH SERVICES RESEARCH</t>
  </si>
  <si>
    <t>monitoring, vision, patient empowerment</t>
  </si>
  <si>
    <t>McLaughlin, Kelsey M</t>
  </si>
  <si>
    <t>PREGNANCY/BIRTH; HYPERTENSION; REPRODUCTION/PREGNANCY; CARDIOVASCULAR</t>
  </si>
  <si>
    <t>hypertension, pregnancy, placental growth factor</t>
  </si>
  <si>
    <t>McLean, Linda</t>
  </si>
  <si>
    <t>ILL-DEFINED CONDITIONS; PREGNANCY/BIRTH; HEALTH RESEARCH; REPRODUCTION/PREGNANCY</t>
  </si>
  <si>
    <t>transcranial magnetic stimulation, endometriosis, pain</t>
  </si>
  <si>
    <t>AGING; MULTIPLE DISEASE RELEVANCE; HEALTH RESEARCH</t>
  </si>
  <si>
    <t>cellular aging, senolytic, women's health</t>
  </si>
  <si>
    <t>PREGNANCY/BIRTH; REPRODUCTION/PREGNANCY; HEALTH RESEARCH</t>
  </si>
  <si>
    <t>Pregnancy, Biomarkers, Prediction</t>
  </si>
  <si>
    <t>Punctures physiotherapiques avec aiguilles seches pour la vestibulodynie provoquee: une etude de faisabilite et d'acceptabilite randomisee et contrelee</t>
  </si>
  <si>
    <t>GENITO/URINARY SYSTEM; MULTIDISCIPLINARY; REPRODUCTION/PREGNANCY; MUSCLE, BONE, OR JOINT</t>
  </si>
  <si>
    <t>punctures, physiotherapy, vestibulodynia</t>
  </si>
  <si>
    <t>Paquette, Jean-Sebastien</t>
  </si>
  <si>
    <t>BREAST CANCER; NEOPLASMS; CANCER; HEALTH RESEARCH</t>
  </si>
  <si>
    <t>Klotho, biomarker, breast cancer</t>
  </si>
  <si>
    <t>Pilote, Louise</t>
  </si>
  <si>
    <t>STROKE, HEART FAILURE; EPIDEMIOLOGY; CARDIOVASCULAR; SOCIETAL &amp; CULTURAL DIMENSIONS OF HEALTH</t>
  </si>
  <si>
    <t>Social prescribing, heart failure, adherence</t>
  </si>
  <si>
    <t>neovaginal, malodour, transfeminine</t>
  </si>
  <si>
    <t>Pukall, Caroline F</t>
  </si>
  <si>
    <t>GENITO/URINARY SYSTEM; HEALTH RESEARCH</t>
  </si>
  <si>
    <t>virtual, pain, vestibulodynia</t>
  </si>
  <si>
    <t>CARDIOLOGY; MYOCARDIAL INFARCTION; CARDIOVASCULAR; CELL BIOLOGY</t>
  </si>
  <si>
    <t>heart disease, molecular mechanisms, stress</t>
  </si>
  <si>
    <t>Rancourt, Derrick E</t>
  </si>
  <si>
    <t>Derivation and Culture of Naeve Pluripotent Stem Cells in Stirred Suspension Bioreactors</t>
  </si>
  <si>
    <t>MULTIDISCIPLINARY; MULTIPLE DISEASE RELEVANCE; CELL BIOLOGY; MOLECULAR BIOLOGY</t>
  </si>
  <si>
    <t>Naive, pluripotent, bioreactors</t>
  </si>
  <si>
    <t>NEOPLASMS; NONE OF THE ABOVE; IMAGING; CANCER</t>
  </si>
  <si>
    <t>Magnetic Resonance Imaging, Artificial Intelligence, Ovarian masses</t>
  </si>
  <si>
    <t>Developpement de nouvelles strategies therapeutiques pour enrayer la dissemination metastatique et les douleurs chroniques consecutives au cancer du sein</t>
  </si>
  <si>
    <t>BONE CANCER; BREAST CANCER; CANCER; HEALTH RESEARCH</t>
  </si>
  <si>
    <t>metastatic, cancer, pain</t>
  </si>
  <si>
    <t>Modulation de la pression arterielle par la NTPDase1 et les nucleotides extracellulaires</t>
  </si>
  <si>
    <t>HYPERTENSION; CARDIOLOGY; CARDIOVASCULAR</t>
  </si>
  <si>
    <t>pressure, NTPDase1, nucleotides</t>
  </si>
  <si>
    <t>Shen, Garry X</t>
  </si>
  <si>
    <t>PREGNANCY/BIRTH; METABOLISM AND NUTRITION; HEALTH SERVICES RESEARCH; POPULATION HEALTH</t>
  </si>
  <si>
    <t>breastfeeding, lactation, community</t>
  </si>
  <si>
    <t>MENTAL AND BEHAVIOURAL DISEASES; NONE OF THE ABOVE; MENTAL HEALTH; HEALTH RESEARCH</t>
  </si>
  <si>
    <t>Psilocybin, PTSD, survivors</t>
  </si>
  <si>
    <t>INJURY, REGENERATION; NONE OF THE ABOVE; NERVOUS SYSTEM; MENTAL HEALTH</t>
  </si>
  <si>
    <t>blood biomarkers, brain injury, partner violence</t>
  </si>
  <si>
    <t>PREGNANCY/BIRTH; DIABETES MELLITUS; REPRODUCTION/PREGNANCY; METABOLISM/DIABETES</t>
  </si>
  <si>
    <t>microbial, intestinal, metabolic</t>
  </si>
  <si>
    <t>INFERTILITY FEMALE; ENDOCRINOLOGY; REPRODUCTION/PREGNANCY; GENOMICS, PROTEOMICS, AND BIOINFORMATICS</t>
  </si>
  <si>
    <t>extracellular vesicle, endometriosis, signatures</t>
  </si>
  <si>
    <t>van Donkelaar, Paul</t>
  </si>
  <si>
    <t>ACCIDENTS, POISONING - VIOLENCE; NERVOUS SYSTEM</t>
  </si>
  <si>
    <t>brain injury, assessment tool, violence</t>
  </si>
  <si>
    <t>data acquisition, elastography imaging, breast cancer</t>
  </si>
  <si>
    <t>CARCINOGENS (INCL ENVIRONMENTAL); INFECTIOUS AND PARASITIC; CANCER; IMMUNOLOGY-TRANSPLANTATION</t>
  </si>
  <si>
    <t>chlamydial infection, ovarian cancer</t>
  </si>
  <si>
    <t>Wang, Li</t>
  </si>
  <si>
    <t>BREAST CANCER; POPULATION HEALTH; CANCER</t>
  </si>
  <si>
    <t>risk prediction, chronic postsurgical pain, breast cancer</t>
  </si>
  <si>
    <t>Wilansky, Pamela</t>
  </si>
  <si>
    <t>MENTAL AND BEHAVIOURAL DISEASES; HEALTH CARE DELIVERY; MENTAL HEALTH; PSYCHOSOCIAL/HEALTH BEHAVIOURAL RES.</t>
  </si>
  <si>
    <t>Cognitive Behavior Therapy, Mobile Technology, Youth</t>
  </si>
  <si>
    <t>Yeates, Karen</t>
  </si>
  <si>
    <t>Indigenous Peoples' Health</t>
  </si>
  <si>
    <t>POPULATION HEALTH; CANCER</t>
  </si>
  <si>
    <t>HPV DNA, self-sampling, cervical cancer</t>
  </si>
  <si>
    <t>Yuen, Darren A</t>
  </si>
  <si>
    <t>GENITO/URINARY SYSTEM; MULTIDISCIPLINARY; RENAL FUNCTION, NEPHROLOGY, UROLOGY; IMAGING</t>
  </si>
  <si>
    <t>ultrasound, kidneys, transplantation</t>
  </si>
  <si>
    <t>Abbasi Nejad Enger, Shirin</t>
  </si>
  <si>
    <t>Adams, Kimberley D</t>
  </si>
  <si>
    <t>Alain, Tommy</t>
  </si>
  <si>
    <t>Alhazzani, Waleed</t>
  </si>
  <si>
    <t>Allen, Christine J</t>
  </si>
  <si>
    <t>Allingham, John S</t>
  </si>
  <si>
    <t>Amon, Cristina</t>
  </si>
  <si>
    <t>Andrysek, Jan</t>
  </si>
  <si>
    <t>Algar, Walter R</t>
  </si>
  <si>
    <t>Anglesio, Michael S</t>
  </si>
  <si>
    <t>Anglin, Carolyn</t>
  </si>
  <si>
    <t>Awadalla, Philip</t>
  </si>
  <si>
    <t>Babu, Mohan</t>
  </si>
  <si>
    <t>Bainbridge, Shannon A</t>
  </si>
  <si>
    <t>Barthelat, Francois</t>
  </si>
  <si>
    <t>Barzda, Virginijus</t>
  </si>
  <si>
    <t>Bashashati, Ali</t>
  </si>
  <si>
    <t>Bathe, Oliver F</t>
  </si>
  <si>
    <t>Beauregard, Jean-Mathieu</t>
  </si>
  <si>
    <t>Beg, Mirza Faisal</t>
  </si>
  <si>
    <t>Biddiss, Elaine A</t>
  </si>
  <si>
    <t>Bizheva, Kostadinka K</t>
  </si>
  <si>
    <t>Bizzotto, Dan</t>
  </si>
  <si>
    <t>Bolduc, François</t>
  </si>
  <si>
    <t>Bobyn, John D</t>
  </si>
  <si>
    <t>Bordeleau, François</t>
  </si>
  <si>
    <t>Borschel, Gregory H</t>
  </si>
  <si>
    <t>Boulanger, Pierre B</t>
  </si>
  <si>
    <t>Bourbeau, Jean</t>
  </si>
  <si>
    <t>Boyd, Lara</t>
  </si>
  <si>
    <t>Brambilla, Davide</t>
  </si>
  <si>
    <t>Bratman, Scott V</t>
  </si>
  <si>
    <t>Brezden-Masley, Christine</t>
  </si>
  <si>
    <t>Bromme, Dieter</t>
  </si>
  <si>
    <t>Brown, Claire M</t>
  </si>
  <si>
    <t>Brown, Eric D</t>
  </si>
  <si>
    <t>Zeng, Haishan</t>
  </si>
  <si>
    <t>Ward, Aaron</t>
  </si>
  <si>
    <t>Waspe, Adam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</si>
</sst>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_-&quot;$&quot;* #,##0.00_-;\-&quot;$&quot;* #,##0.00_-;_-&quot;$&quot;* &quot;-&quot;??_-;_-@_-"/>
    <numFmt numFmtId="165" formatCode="0.0%"/>
    <numFmt numFmtId="166" formatCode="0.0"/>
    <numFmt numFmtId="167" formatCode="_-[$$-1009]* #,##0_-;\-[$$-1009]* #,##0_-;_-[$$-1009]* &quot;-&quot;??_-;_-@_-"/>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7"/>
      <color rgb="FF222222"/>
      <name val="Arial"/>
      <family val="2"/>
    </font>
    <font>
      <sz val="8"/>
      <color rgb="FF22222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13">
    <xf numFmtId="0" fontId="0" fillId="0" borderId="0" xfId="0"/>
    <xf numFmtId="6" fontId="0" fillId="0" borderId="0" xfId="0" applyNumberFormat="1"/>
    <xf numFmtId="14" fontId="0" fillId="0" borderId="0" xfId="0" applyNumberFormat="1"/>
    <xf numFmtId="0" fontId="0" fillId="0" borderId="0" xfId="0" applyAlignment="1">
      <alignment horizontal="left"/>
    </xf>
    <xf numFmtId="0" fontId="0" fillId="0" borderId="0" xfId="0" pivotButton="1"/>
    <xf numFmtId="0" fontId="16" fillId="0" borderId="0" xfId="0" applyFont="1"/>
    <xf numFmtId="165" fontId="0" fillId="0" borderId="0" xfId="42" applyNumberFormat="1" applyFont="1"/>
    <xf numFmtId="166" fontId="0" fillId="0" borderId="0" xfId="0" applyNumberFormat="1"/>
    <xf numFmtId="0" fontId="18" fillId="0" borderId="0" xfId="0" applyFont="1" applyAlignment="1">
      <alignment horizontal="left" vertical="center" wrapText="1" indent="1"/>
    </xf>
    <xf numFmtId="0" fontId="19" fillId="0" borderId="0" xfId="0" applyFont="1" applyAlignment="1">
      <alignment horizontal="left" vertical="center" wrapText="1" indent="1"/>
    </xf>
    <xf numFmtId="167" fontId="0" fillId="0" borderId="0" xfId="43" applyNumberFormat="1" applyFont="1"/>
    <xf numFmtId="167" fontId="0" fillId="0" borderId="0" xfId="43" applyNumberFormat="1" applyFont="1" applyFill="1"/>
    <xf numFmtId="167"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Choi" refreshedDate="45853.668604282408" createdVersion="8" refreshedVersion="8" minRefreshableVersion="3" recordCount="1769" xr:uid="{9B83F144-F940-8C4C-BA57-939F4DC0B9AA}">
  <cacheSource type="worksheet">
    <worksheetSource ref="A1:R1770" sheet="TECH"/>
  </cacheSource>
  <cacheFields count="21">
    <cacheField name="Name" numFmtId="0">
      <sharedItems count="1263" longText="1">
        <s v="Stinson, Jennifer N; Bell, Mary J"/>
        <s v="Stinson, Jennifer N"/>
        <s v="Tomkins-Lane, Christy"/>
        <s v="Grover, Steven A; Da Costa, Deborah M"/>
        <s v="Kreindler, David; Liberman, Karen"/>
        <s v="Cafazzo, Joseph A; Seto, Emily"/>
        <s v="Seto, Emily; Ong, Stephanie W"/>
        <s v="Li, Linda C"/>
        <s v="Michalak, Erin; Bilsker, Dan; Maxwell, Victoria S; Murray, Gregory W"/>
        <s v="Szturm, Tony J"/>
        <s v="Hatcher, Simon; Freeland, Alison"/>
        <s v="Semple, John L; Bhatia, Rajan S"/>
        <s v="Lee, Jacques S; Ryan, David P"/>
        <s v="Klein, Doug; Campbell-Scherer, Denise L; Heyland, Daren K"/>
        <s v="Price, Morgan Thomas M; Weber, Jens H"/>
        <s v="Jolicoeur, Paul"/>
        <s v="Snider, Denis P"/>
        <s v="Grant, Michael D"/>
        <s v="Langlois, Marc-Andre"/>
        <s v="Tremblay, Michel J"/>
        <s v="Ancuta, Petronela"/>
        <s v="Finzi, Andrés"/>
        <s v="Roger, Michel"/>
        <s v="Kaushic, Charu"/>
        <s v="Bernard, Nicole F"/>
        <s v="Routy, Jean-Pierre"/>
        <s v="Pantophlet, Ralph A"/>
        <s v="Bell, Brendan B"/>
        <s v="Ostrowski, Mario A"/>
        <s v="Pai, Emil F"/>
        <s v="Bazett-Jones, David P"/>
        <s v="Ruthazer, Edward S"/>
        <s v="Kaartinen, Mari T"/>
        <s v="Li, Yingfu"/>
        <s v="Lesage, Frédéric"/>
        <s v="Parks, Robin J; Kothary, Rashmi K"/>
        <s v="Chen, Junjian Z"/>
        <s v="Keillor, Jeffrey W"/>
        <s v="Rocheleau, Jonathan V"/>
        <s v="Campbell, Robert E"/>
        <s v="Lagally, Eric T"/>
        <s v="Blades, Michael W"/>
        <s v="Jefferies, Wilfred A"/>
        <s v="Miller, Robert John D"/>
        <s v="Stagljar, Igor"/>
        <s v="Krzeczkowski, John E"/>
        <s v="MacPherson, Rebecca E"/>
        <s v="Chenoweth, Meghan J"/>
        <s v="Mes-Masson, Anne-Marie"/>
        <s v="Dumoulin, Chantal"/>
        <s v="Wang, Jun"/>
        <s v="Bernard, Daniel J"/>
        <s v="Sloboda, Deborah M"/>
        <s v="Cotechini, Tiziana"/>
        <s v="Tayade, Chandrakant"/>
        <s v="Leung, Shuk On A"/>
        <s v="Reinhold, Caroline"/>
        <s v="McLaughlin, Kelsey M"/>
        <s v="Morin, Melanie"/>
        <s v="Van Houten, Elijah E"/>
        <s v="Fisette, Alexandre"/>
        <s v="Mohamed, Ali Bedaiwy"/>
        <s v="Barha, Cindy"/>
        <s v="Brennand, Erin A"/>
        <s v="Pyle, Glen W"/>
        <s v="Christie, Brian R"/>
        <s v="Shultz, Sandy"/>
        <s v="Prodger, Jessica L"/>
        <s v="Sung, Lillian; Dupuis, L. L"/>
        <s v="Arcand, JoAnne"/>
        <s v="Reid, Robert D"/>
        <s v="Logan, Alexander G"/>
        <s v="Kairy, Dahlia"/>
        <s v="Gauthier, Lynn R; Lalloo, Chitra"/>
        <s v="Légaré, France"/>
        <s v="Wu, Robert; Alshaer, Hisham I; de Lara, Eyal; Gershon, Andrea S; Rudzicz, Frank"/>
        <s v="Tandon, Puneeta"/>
        <s v="Li, Linda C; Lacaille, Diane V"/>
        <s v="Amed, Shazhan"/>
        <s v="Sadatsafavi, Mohsen; Sutherland, Janet"/>
        <s v="Price, Morgan Thomas M"/>
        <s v="Davie, James R"/>
        <s v="Cahill, Catherine M"/>
        <s v="Falk, Bareket; Cheung, Stephen"/>
        <s v="Petel, Oren; Hoshizaki, Thomas B"/>
        <s v="Langlois, Robert; Whyte, Hilary E; Chan, Adrian D; Green, James; Redpath, Stephanie"/>
        <s v="Fine, Alan; Hill, Ian G; Trappenberg, Thomas P"/>
        <s v="Adamson, Robert B; Bance, Manohar L"/>
        <s v="Frampton, John P; Moore, Kieran M; Hatchette, Todd F"/>
        <s v="Lerouge, Sophie; Ajji, Abdellah; De Crescenzo, Gregory; Merhi, Yahye; Soulez, Gilles; Wertheimer, Michael R"/>
        <s v="Lerouge, Sophie; Antoniou, John; Mwale, Fackson; Wagnac, Eric"/>
        <s v="Zehbe, Ingeborg; Curiel, Laura"/>
        <s v="Juncker, David; Mihalcioiu, Catalin; Omeroglu, ATILLA; Veres, Teodor"/>
        <s v="Sleiman, Hanadi; Panasci, Lawrence C"/>
        <s v="Reisner, Walter W; Ao, Asangla; Leslie, Sabrina R; Sladek, Robert G"/>
        <s v="Harvey, Edward J; Henderson, Janet E"/>
        <s v="Pasini, Damiano; Tanzer, Michael"/>
        <s v="Tabrizian, Maryam; Antel, Jack P"/>
        <s v="Reisner, Walter W; Hilke, Michael; Riazalhosseini, Yasser; Sladek, Robert G"/>
        <s v="Brown, Claire M; Siegel, Peter M"/>
        <s v="Kennedy, Timothy E; Lennox, Robert B"/>
        <s v="Kearney, Robert E; Rabasa-Lhoret, Rémi"/>
        <s v="Kamen, Amine; Li, Xuguang"/>
        <s v="Barthelat, Francois; Tanzer, Michael"/>
        <s v="Collins, Donald L; Alexander, Simon K; Petrecca, Kevin"/>
        <s v="Tabrizian, Maryam; Norton, Brent A; Murshed, Monzur"/>
        <s v="Abbasi Nejad Enger, Shirin; Therriault-Proulx, Francois; Reinhold, Caroline"/>
        <s v="Fusch, Christoph; Selvaganapathy, Ponnambalam R"/>
        <s v="Nair, Parameswaran K; Brennan, John D"/>
        <s v="Capretta, Alfredo A; Savchenko, Alexei; Wright, Gerard D"/>
        <s v="Xing, Zhou; Thompson, Michael R"/>
        <s v="Brown, Eric D; Brennan, John D; Wright, Gerard D"/>
        <s v="Valliant, John F; Foster, F. Stuart"/>
        <s v="Fox-Robichaud, Alison E; Selvaganapathy, Ponnambalam R"/>
        <s v="Li, Yingfu; Salena, Bruno J"/>
        <s v="Hoare, Todd R; Mishra, Ram K; Wan, Yonghong"/>
        <s v="Raha, Sandeep; Ewart, Thomas; Selvaganapathy, Ponnambalam R"/>
        <s v="Thompson, Michael R; Wang, Zhenyu; Xing, Zhou"/>
        <s v="Connolly, John F; Timm, Lydia; Blain-Moraes, Stefanie; Fox-Robichaud, Alison E; Reilly, James J; Sonnadara, Ranil"/>
        <s v="Hoare, Todd R; Moquin, Paul H; Ask, Kjetil; Coombes, Brian K"/>
        <s v="Meunier, Michel; Costantino, Santiago; Sapieha, Przemyslaw (Mike) S"/>
        <s v="Buschmann, Michael D; Batist, Gerald; Damha, Masad J; De Crescenzo, Gregory; Lesage, Frédéric; Mader, Sylvie N; Merzouki, Abderrazzak; Tardif, Jean-Claude"/>
        <s v="Lesage, Frédéric; Nguyen, Dang K"/>
        <s v="Leblond, Frederic; Boudoux, Caroline; Collins, Donald L; Lesage, Frédéric; Petrecca, Kevin; Wilson, Brian C"/>
        <s v="Martel, Sylvain; Soulez, Gilles"/>
        <s v="Leblond, Frederic; Petrecca, Kevin; Wilson, Brian C"/>
        <s v="Lesage, Frédéric; Sylvestre, Jean-Philippe; Soucy, Jean-Paul"/>
        <s v="Kadoury, Samuel; Roberge, David; Leblond, Frederic; Menard, Cynthia; Trudel, Dominique"/>
        <s v="Meunier, Michel; Verhaegen, Marc; Cheriet, Farida; Trudel, Dominique"/>
        <s v="Lesage, Frédéric; Comeau, Roch M; Nguyen, Dang K; Sawan, Mohamad"/>
        <s v="Meunier, Michel; Côté, Christian-Yves; Brunette, Isabelle; Costantino, Santiago; Sapieha, Przemyslaw (Mike) S"/>
        <s v="Fichtinger, Gabor; Borschneck, Daniel; Jaeger, Melanie"/>
        <s v="Allingham, John S; Evans, P A"/>
        <s v="Mousavi, Parvin; Fenster, Aaron; Romagnoli, Cesare"/>
        <s v="Amsden, Brian G; Hurtig, Mark B"/>
        <s v="Johnsrude, Ingrid S; Cook, Douglas J; Munoz, Douglas P; Pike, G. Bruce; Ptito, Alain"/>
        <s v="Fichtinger, Gabor; Rudan, John F"/>
        <s v="Allingham, John S; Craig, Andrew W; Evans, P A"/>
        <s v="Fichtinger, Gabor; Engel, Cecil J"/>
        <s v="Schreiner, L. John; Falkson, Conrad B; Fichtinger, Gabor; Mcauley, Kim B"/>
        <s v="Mousavi, Parvin; Zahiri Azar, Reza; Engel, Cecil J; Fichtinger, Gabor"/>
        <s v="Fichtinger, Gabor; Morris, Michael R; Berman, David M; Engel, Cecil J; Mousavi, Parvin; Takats, Zoltan"/>
        <s v="Abbasi Nejad Enger, Shirin; Alfieri, Joanne; Seuntjens, Jan P; Vuong, Te"/>
        <s v="Gates, Byron D; Bally, Marcel B; Yapp, Donald T"/>
        <s v="Menon, Carlo; Lam, Stephen"/>
        <s v="Menon, Carlo; Boyd, Lara"/>
        <s v="Sarunic, Marinko V; Molday, Robert S"/>
        <s v="Lane, Pierre; Lam, Stephen"/>
        <s v="Menon, Carlo; Martin, Pauline; Eng, Janice J"/>
        <s v="Beg, Mirza Faisal; Maberley, David; Navajas, Eduardo; Sarunic, Marinko V"/>
        <s v="Kolios, Michael C; Acker, Jason P"/>
        <s v="Towler, Mark R; Schemitsch, Emil H"/>
        <s v="Kolios, Michael C; Czarnota, Gregory J"/>
        <s v="Yang, Victor X; Barnes, Elizabeth A; Chin, Lee"/>
        <s v="Kolios, Michael C; Trudeau, Maureen E; Czarnota, Gregory J"/>
        <s v="Dos Santos, Claudia C; Fox-Robichaud, Alison E; Veres, Teodor"/>
        <s v="Bier, Nathalie"/>
        <s v="Pelletier, Joelle N; Masson, Jean-Francois"/>
        <s v="Lubell, William D; Chemtob, Sylvain"/>
        <s v="Cloutier, Guy; Soulez, Gilles"/>
        <s v="Cloutier, Guy; Denault, André Y; Lesage, Frédéric"/>
        <s v="Brunette, Isabelle; Alarcón, Emilio I; Griffith, May C"/>
        <s v="Lubell, William D; Chipperton, Paul; Chemtob, Sylvain"/>
        <s v="Nguyen, Dang K; Benard, Frederic; Gagnon, Marie-Pierre; Gosselin, Benoit; Laviolette, François; MERVEILLE, NICOLAS; Sawan, Mohamad"/>
        <s v="Griffith, May C; Munger, Réjean J; Boutopoulos, Christos; Robert, Marie-Claude"/>
        <s v="Soulez, Gilles; McGrath, Darach; Lerouge, Sophie"/>
        <s v="Archambault, Denis"/>
        <s v="Gaillet, Bruno"/>
        <s v="Calon, Frédéric; Fortin, Marc-André"/>
        <s v="Côté, Daniel; De Koninck, Yves"/>
        <s v="Mcfadyen, Bradford J; Edwards, Geoffreyjen; Laurendeau, Denis; Zabjek, Karl F"/>
        <s v="De Koninck, Yves; Lévesque, Martin; Piche, Michel"/>
        <s v="Messaddeq, Younès; De Koninck, Yves; Gosselin, Benoit"/>
        <s v="Côté, Daniel; Munro, Chad R; Parent, Martin"/>
        <s v="Tavakoli, Mahdi; Sloboda, Ronald S; Usmani, Nawaid"/>
        <s v="Zemp, Roger J; Moore, Ronald B; Usmani, Nawaid"/>
        <s v="Adams, Kimberley D; Tavakoli, Mahdi"/>
        <s v="Chung, Hyun-Joong; Rieger, Jana M"/>
        <s v="Boulanger, Pierre B; Becher, Harald"/>
        <s v="Freed, Darren H; Nobes, David S"/>
        <s v="Tavakoli, Mahdi; Kelley, Kevin; Husain, Siraj; Meyer, Tyler S; Sloboda, Ronald S; Usmani, Nawaid"/>
        <s v="Bolduc, François; Irish, Debbie; Majnemer, Annette; Nicholas, David B; Zaiane, Osmar R"/>
        <s v="Nobes, David S; Freed, Darren H; Sutendra, Gopinath"/>
        <s v="Overall, Christopher M; Kizhakkedathu, Jayachandran N"/>
        <s v="Tang, Shuo; Nguan, Christopher"/>
        <s v="Dumont, Guy A; Ansermino, John M"/>
        <s v="Phani, Srikantha A; Hsiang, York; Kizhakkedathu, Jayachandran N; Takahata, Kenichi"/>
        <s v="Turner, Robin F; Blades, Michael W; Devine, Dana V"/>
        <s v="Bizzotto, Dan; Cheung, Karen C; Sammis, Glenn M; Tang, Patrick K"/>
        <s v="Dutz, Jan P; Hafeli, Urs O; Kollmann, Tobias R; Stoeber, Boris"/>
        <s v="Boyd, Lara; Menon, Carlo"/>
        <s v="Macaulay, Calum E; Poh, Catherine"/>
        <s v="Takahata, Kenichi; Hsiang, York; Kizhakkedathu, Jayachandran N; Mirabbasi, Shahriar"/>
        <s v="Nguan, Christopher; Rohling, Robert N; Salcudean, Septimiu E"/>
        <s v="Eng, Janice J; Menon, Carlo"/>
        <s v="Hansen, Carl L; Rossi, Fabio M; Underhill, Michael"/>
        <s v="Hodgson, Antony J; Guy, Pierre"/>
        <s v="Du, Caigan; Brooks, Donald E; Kizhakkedathu, Jayachandran N; Macleod, Kathleen M; Nguan, Christopher"/>
        <s v="Karsan, Aly; Marra, Marco A"/>
        <s v="Orvig, Christopher E; Benard, Francois; Schaffer, Paul"/>
        <s v="Tsang, Teresa S; Abolmaesumi, Purang"/>
        <s v="Rohling, Robert N; Pugash, Denise"/>
        <s v="Kizhakkedathu, Jayachandran N; Hancock, Robert Ernest W; Lange, Dirk"/>
        <s v="Wang, Rizhi; Masri, Bassam A"/>
        <s v="Chiao, Mu; Chou, Keng-Chang; Hamarneh, Ghassan; Nagamune, Ryozo; Tai, Isabella T; Zeng, Haishan"/>
        <s v="Ma, Hongshen; Wyatt, Alexander W"/>
        <s v="Tang, Shuo; Macaulay, Calum E"/>
        <s v="Piret, James M; Blades, Michael W; Kieffer, Timothy J; Turner, Robin F"/>
        <s v="Minchinton, Andrew I; Bacha, Jeffrey; Perrin, David M"/>
        <s v="Fedida, David; Wadsworth, Samuel; Walus, Konrad"/>
        <s v="Stoeber, Boris; Staykov, Radoslav; Algar, Walter R; Conway, Edward M; Kizhakkedathu, Jayachandran N"/>
        <s v="Takahata, Kenichi; Harrah, Tim; Chew, Ben H; Lange, Dirk; Mirabbasi, Shahriar"/>
        <s v="Bromme, Dieter; Percival, Michael D; Ciufolini, Marco A"/>
        <s v="Prisman, Eitan; DURHAM, JAMES S; Fels, Sidney S; Hodgson, Antony J"/>
        <s v="Ma, Hongshen; Sheffield, William P; Scott, Mark D"/>
        <s v="Nabi, Ivan R; Arbuckle, John; Hamarneh, Ghassan; Hanrahan, John W; Wiseman, Paul W"/>
        <s v="Piret, James M; Roy, Denis-Claude; Gopaluni, Bhushan; Levings, Megan K"/>
        <s v="Ghahary, Aziz; Edwards, Marc; Ko, Frank K"/>
        <s v="Mckeown, Martin J; Liang, Jie; Wang, Z. Jane"/>
        <s v="Abolmaesumi, Purang; Wodlinger, Brian; Black, Peter C"/>
        <s v="Kizhakkedathu, Jayachandran N; Levy, Isra; Brooks, Donald E; Devine, Dana V"/>
        <s v="Withers, Stephen G; Hartell, David; Cypel, Marcelo"/>
        <s v="Eng, Janice J; Yao, Jennifer K; Servati, Peyman"/>
        <s v="Anglin, Carolyn; Amiri, Shahram; Guy, Pierre; Hodgson, Antony J"/>
        <s v="Dunn, Jeff F; Barlow, Karen M"/>
        <s v="Sutherland, Garnette R; Tavakoli, Mahdi"/>
        <s v="Bathe, Oliver F; Ritchie, Shawn; Vogel, Hans (Harm) J"/>
        <s v="Rancourt, Derrick E"/>
        <s v="Wootton, Sarah; Thompson, Brad; Thebaud, Bernard"/>
        <s v="Miller, Donald W; van Lierop, Johan"/>
        <s v="Lin, Francis; Rigatto, Claudio"/>
        <s v="Miller, Donald W; Maula Bux, Rashid A; Klonisch, Thomas; Lakowski, Ted M"/>
        <s v="Godin, Michel; Courtman, David W; Davis, Darryl R; Harden, James L"/>
        <s v="Stanford, William L; Ito, Caryn; Jolicoeur, Mario"/>
        <s v="Suuronen, Erik; Stewart, Duncan J; Alarcón, Emilio I; Ruel, Marc"/>
        <s v="Bainbridge, Shannon A; Smith, Graeme N; Chan, Adrian D"/>
        <s v="Godin, Michel; Courtman, David W; Davis, Darryl R; Stewart, Duncan J"/>
        <s v="Mihailidis, Alex; Miller, William C"/>
        <s v="Drake, James M; Cheng, Hai-Ling M; Sivaloganathan, Sivabal"/>
        <s v="Purdie, Thomas G; Jurisica, Igor"/>
        <s v="Shoichet, Molly S; Muthuswamy, Senthil K"/>
        <s v="Mandelis, Andreas; Foster, F. Stuart"/>
        <s v="Kelley, Shana O; Keshavjee, Shaf"/>
        <s v="Moriarty, Tara J; Simmons, Craig A"/>
        <s v="Grynpas, Marc D; Willett, Thomas"/>
        <s v="Borschel, Gregory H; Gordon, Tessa; Shoichet, Molly S"/>
        <s v="Walker, Gilbert C; Wang, Chen"/>
        <s v="Barzda, Virginijus; Wilson, Brian C"/>
        <s v="Shin, Jumi; Chan, Warren C; Penn, Linda Z"/>
        <s v="Gulak, Glenn; Navarre, William W"/>
        <s v="Sone, Eli D; Ganss, Bernhard; McCulloch, Christopher A"/>
        <s v="McCulloch, Christopher A; Simmons, Craig A"/>
        <s v="Shoichet, Molly S; Petrecca, Kevin"/>
        <s v="Yudin, Andrei; Schimmer, Aaron D"/>
        <s v="Sun, Yu; Hamilton, Robert M; Maynes, Jason T"/>
        <s v="Biddiss, Elaine A; Fehlings, Darcy L"/>
        <s v="Simmons, Craig A; Lye, Stephen J; Santerre, Paul"/>
        <s v="Mubareka, Samira; Savory, Eric"/>
        <s v="Marjoribanks, Robin S; Akens, Margarete K; Betz, Vaughn; Lilge, Lothar"/>
        <s v="Patterson, Kara K; Grahn, Jessica"/>
        <s v="Yuen, Darren A; Foltz, Warren D; Kirpalani, Anish"/>
        <s v="Chan, Warren C; Mcgilvray, Ian D; Selzner, Markus; Zilman, Anton"/>
        <s v="Haibe-Kains, Benjamin; Goldenberg, Anna"/>
        <s v="Kelley, Shana O; Allan, Alison L; Irish, Jonathan C"/>
        <s v="McGuigan, Alison P; Wouters, Bradly"/>
        <s v="Yee, Albert J; Whyne, Cari M"/>
        <s v="Maynes, Jason T; Hamilton, Robert M; Sun, Yu"/>
        <s v="Radisic, Milica; Nanthakumar, Kumaraswamy"/>
        <s v="Sefton, Michael V; Cattral, Mark S"/>
        <s v="Genov, Roman; Perez Velazquez, Jose L; Valiante, Taufik A"/>
        <s v="Purdie, Thomas G; Chan, Timothy; Ward, Aaron"/>
        <s v="Santerre, Paul; Bendeck, Michelle P"/>
        <s v="Simmons, Craig A; Billia, Filio; Kolios, Michael C"/>
        <s v="Simmons, Craig A; Caldarone, Christopher A; Santerre, Paul"/>
        <s v="Sinton, David A; Jarvi, Keith A"/>
        <s v="Guttman, David S; Coburn, Bryan A; Hwang, David M; Shapiro, Jesse"/>
        <s v="Mandelis, Andreas; Tabatabaei, Nima"/>
        <s v="Santerre, Paul; Whyne, Cari M"/>
        <s v="Poon, Joyce; Genov, Roman; Lozano, Andres M"/>
        <s v="Kelley, Shana O; Zandstra, Peter W; Sargent, Edward H"/>
        <s v="Amon, Cristina; Keating, Armand; Waddell, Thomas K"/>
        <s v="Lee, Warren L; Karshafian, Chris; Kolios, Michael C"/>
        <s v="Li, Ren-Ke; Sharifpoor, Soror; Sun, Yu"/>
        <s v="Diller, Eric D; Goldenberg, Andrew A; Drake, James M"/>
        <s v="Chan, Warren C; Arbuckle, John; Gubbay, Jonathan B; Mubareka, Samira"/>
        <s v="Kandel, Rita A; Schubert, Carl; Toyserkani, Ehsan"/>
        <s v="Chow, Chung-Wai; Ryan, Clodagh M; Valaee, Shahrokh"/>
        <s v="Maynes, Jason T; Deans, Robert; Coles, John G; Santerre, Paul"/>
        <s v="Razak, Fahad; Greenberg, Anna; Chan, Timothy; Chignell, Mark H; Fidler, Sanja; Ghassemi, Marzyeh; Sheehan, Kathleen; Siddiqi, Arjumand; Verma, Amol"/>
        <s v="Andrysek, Jan; Ramdial, Sandra; Wright, Virginia F"/>
        <s v="Biddiss, Elaine A; Lamont, Andrea L; Fehlings, Darcy L; John, Bina A; Moola, Fiona"/>
        <s v="Fittipaldi, Nahuel V; Unger, Sharon; Doyen, Alain"/>
        <s v="Waspe, Adam C; Allard, Mathieu; Drake, James M"/>
        <s v="Whyne, Cari M; Richards, Robin R; Razmjou, Helen"/>
        <s v="Laussen, Peter C; Assadi, Azadeh; Goldenberg, Anna"/>
        <s v="Chan, Warren C; Damaskinos, Savvas; Tsao, Ming-Sound"/>
        <s v="Genov, Roman; Weinroth, Aaron; Valiante, Taufik A"/>
        <s v="Morshead, Cindi M; Ahlfors, Jan-Eric; Shoichet, Molly S"/>
        <s v="Musselman, Kristin E; Alizadeh-Meghrazi, Milad; Masani, Kei"/>
        <s v="Philpott, Dana J; Tompkins, Thomas A; Mahadevan, Radhakrishnan"/>
        <s v="Yuen, Darren A"/>
        <s v="Bizheva, Kostadinka K; Sorbara, Luigina"/>
        <s v="Law, Edith; Lim, Andrew S"/>
        <s v="Pawliszyn, Janusz B; Cypel, Marcelo"/>
        <s v="Campbell, Melanie Crombie W; Hsiung, Ging-Yuek R"/>
        <s v="Patel, Rajnikant V; Mihailidis, Alex; Polouchine, Ilia; Tavakoli, Mahdi; Teasell, Robert W"/>
        <s v="Johnson, James A; Athwal, George S; Eagleson, Roy A; Ferreira, Louis M; Lebel, Marie-Eve; Patel, Rajnikant V; Polouchine, Ilia; Tutunea-Fatan, Remus O"/>
        <s v="Dhanvantari, Savita; Luyt, Leonard G"/>
        <s v="Ellis, Christopher G; Poepping, Tamie"/>
        <s v="St. Lawrence, Keith S; Lee, David S"/>
        <s v="Carson, Jeffrey J; Brackstone, Muriel"/>
        <s v="Mequanint, Kibret; Battista, Jerry J; Bauman, Glenn S; Jordan, Kevin J"/>
        <s v="Scollie, Susan D; Purcell, David W"/>
        <s v="Leask, Andrew C; Pope, Janet E"/>
        <s v="Ladak, Hanif M; Agrawal, Sumit K"/>
        <s v="Hamilton, Douglas W; Bagley, David; Rizkalla, Amin S"/>
        <s v="Trejos, Ana Luisa; Friedman, Evan; Garland, S. J"/>
        <s v="Krylov, Sergey; Yang, Burton B"/>
        <s v="Pillai Riddell, Rebecca Rita E; Shah, Vibhuti; Wang, Steven X"/>
        <s v="Yeates, Karen"/>
        <s v="Bujold, Emmanuel"/>
        <s v="Shen, Garry X"/>
        <s v="Chemtob, Sylvain"/>
        <s v="Leonardi, Mathew"/>
        <s v="Wang, Li"/>
        <s v="Pukall, Caroline F"/>
        <s v="Pilote, Louise"/>
        <s v="Paquette, Jean-Sebastien"/>
        <s v="Ahmed, Sofia B"/>
        <s v="van Donkelaar, Paul"/>
        <s v="McLean, Linda"/>
        <s v="Di Renna, Tania"/>
        <s v="McGillion, Michael H"/>
        <s v="Maltais, Franeois"/>
        <s v="Rathee, Satyapal; Fallone, Biagio G"/>
        <s v="Chen, Jing J"/>
        <s v="Scott, Mark D"/>
        <s v="Bertrand, Richard"/>
        <s v="Grandvaux, Nathalie"/>
        <s v="Garcia, Damien"/>
        <s v="Soulez, Gilles"/>
        <s v="Stagg, John"/>
        <s v="Rodier, Francis"/>
        <s v="Cloutier, Guy"/>
        <s v="Sinnett, Daniel"/>
        <s v="Labelle, Hubert B"/>
        <s v="Krajinovic, Maja"/>
        <s v="Duval, Michel; Haddad, Elie"/>
        <s v="Duval, Michel; Decaluwe, Hélène; Haddad, Elie; Raynal, Noël J"/>
        <s v="Korneluk, Robert G"/>
        <s v="Stojdl, David F"/>
        <s v="Richard, Stéphane"/>
        <s v="Miller, Wilson H"/>
        <s v="Schirrmacher, Ralf"/>
        <s v="Galipeau, Jacques"/>
        <s v="Antoniou, John"/>
        <s v="Ursini-Siegel, Giuseppina"/>
        <s v="Mwale, Fackson"/>
        <s v="Blank, Volker"/>
        <s v="Witcher, Michael"/>
        <s v="Batist, Gerald"/>
        <s v="Johnson, Nathalie"/>
        <s v="Hoge, Richard D"/>
        <s v="Ramotar, Dindial"/>
        <s v="Drobetsky, Elliot A"/>
        <s v="Costantino, Santiago; Lesk, Mark R"/>
        <s v="Busque, Lambert"/>
        <s v="Roy, Denis-Claude"/>
        <s v="Lee, Patrick W"/>
        <s v="Dellaire, Graham P"/>
        <s v="Marcato, Paola"/>
        <s v="Lee, J. M; Gough, Kathleen M; Kreplak, Laurent; Veres, Samuel P"/>
        <s v="Macgowan, Christopher K"/>
        <s v="Malkin, David D"/>
        <s v="Taylor, Michael D"/>
        <s v="Henkelman, R. Mark"/>
        <s v="Huang, Annie"/>
        <s v="Guha, Abhijit"/>
        <s v="Rutka, James T"/>
        <s v="McGlade, Catherine J"/>
        <s v="Lerch, Jason P"/>
        <s v="Tabori, Uri"/>
        <s v="Sled, John G"/>
        <s v="Hawkins, Cynthia E"/>
        <s v="Nieman, Brian J"/>
        <s v="Alman, Benjamin A"/>
        <s v="Lerch, Jason P; Palmert, Mark R"/>
        <s v="Sled, John G; Macgowan, Christopher K"/>
        <s v="Irwin, Meredith; Kaplan, David R"/>
        <s v="Hitzler, Johann H"/>
        <s v="Sanderson, J. Thomas"/>
        <s v="Moroy, Tarik"/>
        <s v="Charron, Frederic"/>
        <s v="Di Noia, Javier M"/>
        <s v="Berman, Jason N"/>
        <s v="St. Lawrence, Keith S"/>
        <s v="Carson, Jeffrey J"/>
        <s v="Lee, Ting-Yim"/>
        <s v="Ferri, Lorenzo"/>
        <s v="Jones, Russell G"/>
        <s v="Ladbon Bernasconi, Neda"/>
        <s v="Collins, Donald L; Goulet, Benoit"/>
        <s v="Pineau, Joelle"/>
        <s v="Hamoui, Anas"/>
        <s v="Nepveu, Alain"/>
        <s v="Kremer, Richard B"/>
        <s v="Brodt, Pnina"/>
        <s v="Pike, G. Bruce"/>
        <s v="Pelletier, Jerry M"/>
        <s v="Bernasconi, Andrea"/>
        <s v="Collins, Donald L"/>
        <s v="Teodoro, Jose G"/>
        <s v="Leask, Richard L"/>
        <s v="Beauchemin, Nicole"/>
        <s v="Siegel, Peter M"/>
        <s v="Juncker, David"/>
        <s v="White, John H"/>
        <s v="Bouchard, Maxime L"/>
        <s v="Huang, Sidong"/>
        <s v="Arnold, Douglas L"/>
        <s v="Gotman, Jean"/>
        <s v="Nadeau, Jay Louise"/>
        <s v="Grova, Christophe"/>
        <s v="Muller, William J"/>
        <s v="Hoesli, Corinne"/>
        <s v="Tremblay, Michel L"/>
        <s v="Sadikot, Abbas F"/>
        <s v="Lichty, Brian D"/>
        <s v="Devereaux, Philip J; Sheth, Tej N"/>
        <s v="Bramson, Jonathan L"/>
        <s v="Adachi, Jonathan D"/>
        <s v="Whelan, Timothy J; Fyles, Anthony W; Liu, Fei-Fei"/>
        <s v="Wan, Yonghong"/>
        <s v="Zhu, Xu-Dong"/>
        <s v="Tsakiridis, Theodoros"/>
        <s v="Singh, Sheila K"/>
        <s v="Richards, Carl D"/>
        <s v="Ghert, Michelle A; Bhandari, Mohit"/>
        <s v="Hassell, John A"/>
        <s v="Ruel, Marc; Suuronen, Erik"/>
        <s v="de Kemp, Robert"/>
        <s v="Carrier, Marc; Auer, Rebecca Ann C"/>
        <s v="Lorimer, Ian Anthony J"/>
        <s v="Dimitroulakos, Jim"/>
        <s v="Rudnicki, Michael A; Dilworth, Jeffrey J; Megeney, Lynn A; Perkins, Theodore J"/>
        <s v="Stanford, William L; Ito, Caryn; Perkins, Theodore J; Sabloff, Mitchell"/>
        <s v="Buschmann, Michael D"/>
        <s v="Hoemann, Caroline D"/>
        <s v="Kadoury, Samuel"/>
        <s v="Graham, Charles H"/>
        <s v="Tron, Victor A"/>
        <s v="Elliott, Bruce E"/>
        <s v="Greer, Peter A"/>
        <s v="Schreiner, L. John"/>
        <s v="Flynn, Lauren E"/>
        <s v="Craig, Andrew W"/>
        <s v="Amsden, Brian G"/>
        <s v="Mulligan, Lois M"/>
        <s v="Bobyn, John D; Tanzer, Michael"/>
        <s v="Chevrette, Mario"/>
        <s v="Tonin, Patricia N"/>
        <s v="Rak, Janusz"/>
        <s v="Seuntjens, Jan P"/>
        <s v="Jabado, Nada"/>
        <s v="El Naqa, Issam M"/>
        <s v="Kassouf, Wassim"/>
        <s v="Gilbert, Lucy; Basso, Olga"/>
        <s v="Sebag, Michael"/>
        <s v="Morin, Ryan D"/>
        <s v="Jones, Steven"/>
        <s v="Diamandis, Eleftherios P"/>
        <s v="Andrulis, Irene L"/>
        <s v="Zhang, Jinyi"/>
        <s v="Durocher, Daniel"/>
        <s v="Kandel, Rita A"/>
        <s v="Willett, Thomas"/>
        <s v="Dennis, James W"/>
        <s v="Spaner, David E"/>
        <s v="Stefanovic, Bojana"/>
        <s v="Wright, Graham A"/>
        <s v="Pignol, Jean-Philippe"/>
        <s v="Ben-David, Yaacov"/>
        <s v="Martel, Anne L"/>
        <s v="Burns, Peter N"/>
        <s v="Kerbel, Robert S"/>
        <s v="Hynynen, Kullervo H"/>
        <s v="Foster, F. Stuart"/>
        <s v="Stanisz, Greg J"/>
        <s v="Whyne, Cari M; Yee, Albert J"/>
        <s v="Czarnota, Gregory J; Kolios, Michael C"/>
        <s v="Cunningham, Charles H"/>
        <s v="Caldwell, Curtis B; Beauregard, Jean-Mathieu"/>
        <s v="Yang, Victor X"/>
        <s v="Waldman, Stephen D"/>
        <s v="Masani, Kei"/>
        <s v="Yousef, George M"/>
        <s v="Das, Sunit"/>
        <s v="Turcotte, Sandra"/>
        <s v="Ferbeyre, Gerardo"/>
        <s v="Guerin, Brigitte"/>
        <s v="Sanche, Leon"/>
        <s v="Sarret, Philippe"/>
        <s v="Lepage, Martin"/>
        <s v="Ilangumaran, Subburaj"/>
        <s v="Saucier, Caroline"/>
        <s v="Sanche, Léon"/>
        <s v="Piche, Alain"/>
        <s v="Boisvert, Francois-Michel"/>
        <s v="Gendron, Fernand-Pierre"/>
        <s v="Berthod, Franeois"/>
        <s v="Bolduc, Stephane"/>
        <s v="Fradette, Julie"/>
        <s v="Germain, Lucie"/>
        <s v="Fradet, Yves"/>
        <s v="Lin, Sheng-Xiang"/>
        <s v="Masson, Jean-Yves"/>
        <s v="Beaulieu, Luc"/>
        <s v="Zhang, Ze"/>
        <s v="Gobeil, Stéphane"/>
        <s v="Mazroui, Rachid"/>
        <s v="Aoudjit, Fawzi"/>
        <s v="Neel, Benjamin G"/>
        <s v="Dacosta, Ralph S"/>
        <s v="Kislinger, Thomas; Medin, Jeffrey A"/>
        <s v="Lilge, Lothar"/>
        <s v="Minden, Mark D"/>
        <s v="Wouters, Bradly"/>
        <s v="Koch, Anne"/>
        <s v="Liu, Fei-Fei"/>
        <s v="Reedijk, Michael"/>
        <s v="Tannock, Ian F"/>
        <s v="Hill, Richard P; Hedley, David W"/>
        <s v="Jaffray, David A"/>
        <s v="Mak, Tak W"/>
        <s v="Gorczynski, Reginald M"/>
        <s v="Kislinger, Thomas; Boutros, Paul C; Liu, Fei-Fei"/>
        <s v="Tsao, Ming-Sound"/>
        <s v="Done, Susan J"/>
        <s v="Tiedemann, Rodger"/>
        <s v="Zadeh, Gelareh; Hill, Richard P"/>
        <s v="Zheng, Gang"/>
        <s v="Zhang, Li"/>
        <s v="Kislinger, Thomas"/>
        <s v="Liu, Geoffrey"/>
        <s v="Zadeh, Gelareh; Hawkins, Cynthia E"/>
        <s v="Flanagan, John G; Sivak, Jeremy M"/>
        <s v="Hedley, David W"/>
        <s v="Ailles, Laurie E"/>
        <s v="Khokha, Rama"/>
        <s v="Schimmer, Aaron D"/>
        <s v="Vitkin, I. Alex"/>
        <s v="Jaffray, David A; Allen, Christine J"/>
        <s v="Mikulis, David J; Black, Sandra E"/>
        <s v="Cattral, Mark S"/>
        <s v="Zacksenhaus, Eldad"/>
        <s v="Mcgilvray, Ian D"/>
        <s v="O'Brien, Catherine A"/>
        <s v="Wouters, Bradly; Koritzinsky, Marianne"/>
        <s v="Weersink, Robert A"/>
        <s v="He, Housheng H"/>
        <s v="Penn, Linda Z"/>
        <s v="Jomha, Nadr M"/>
        <s v="Beaulieu, Christian"/>
        <s v="Wuest, Frank"/>
        <s v="Weinfeld, Michael"/>
        <s v="Wilman, Alan H"/>
        <s v="Thompson, Richard B"/>
        <s v="Baracos, Vickie E"/>
        <s v="Uludag, Hasan"/>
        <s v="Mushahwar, Vivian"/>
        <s v="McMullen, Todd"/>
        <s v="Godbout, Roseline"/>
        <s v="Evans, David H"/>
        <s v="Elliott, Janet A; Mcgann, Locksley E"/>
        <s v="Le, Xiaochun C"/>
        <s v="Lavasanifar, Afsaneh"/>
        <s v="Cullis, Pieter R"/>
        <s v="Lam, Wan L"/>
        <s v="Schultz, Kirk R"/>
        <s v="Dunn, Sandra E"/>
        <s v="Ng, Sylvia"/>
        <s v="Minchinton, Andrew I"/>
        <s v="Wang, Yuzhuo"/>
        <s v="Naus, Christian C"/>
        <s v="Kizhakkedathu, Jayachandran N"/>
        <s v="Sadar, Marianne D"/>
        <s v="Wang, Rizhi; Guy, Pierre"/>
        <s v="Huntsman, David G"/>
        <s v="Li, Hongbin"/>
        <s v="Ansermino, John M"/>
        <s v="Zeng, Haishan; Chiao, Mu; Macaulay, Calum E; Tai, Isabella T"/>
        <s v="Brunette, Donald M"/>
        <s v="Dedhar, Shoukat R"/>
        <s v="Tai, Isabella T"/>
        <s v="Mui, Alice L"/>
        <s v="Nielsen, Torsten O"/>
        <s v="Perrin, David M"/>
        <s v="Garnis, Cathie"/>
        <s v="Nelson, Brad H"/>
        <s v="Wilson, David R; Mackay, Alexander L"/>
        <s v="Duronio, Vincent"/>
        <s v="Bally, Marcel B"/>
        <s v="Gascoyne, Randy D"/>
        <s v="Nabi, Ivan R"/>
        <s v="Lane, Pierre"/>
        <s v="Rennie, Paul S"/>
        <s v="Li, Gang"/>
        <s v="Overall, Christopher M"/>
        <s v="Zhou, Youwen"/>
        <s v="Shah, Sohrab P; Mcalpine, Jessica N"/>
        <s v="Abolmaesumi, Purang"/>
        <s v="Kozlowski, Piotr"/>
        <s v="Ma, Hongshen"/>
        <s v="Sorensen, Poul H"/>
        <s v="Aparicio, Samuel J"/>
        <s v="Jiang, Xiaoyan"/>
        <s v="Buttyan, Ralph"/>
        <s v="Steidl, Christian"/>
        <s v="Weng, Andrew P"/>
        <s v="Cripton, Peter A"/>
        <s v="Wang, Yuzhuo; Collins, Colin C; Jia, William W; Rennie, Paul S"/>
        <s v="Rohling, Robert N"/>
        <s v="Bennewith, Kevin L"/>
        <s v="Nabi, Ivan R; Dennis, James W"/>
        <s v="Reid, Gregor"/>
        <s v="Roskelley, Calvin D"/>
        <s v="Sadar, Marianne D; Andersen, Raymond J"/>
        <s v="Zeng, Haishan; Lui, Harvey"/>
        <s v="Oxland, Thomas R"/>
        <s v="Zaph, Colby"/>
        <s v="Macaulay, Calum E; Keyes, Mira"/>
        <s v="Cripton, Peter A; Siegmund, Gunter Paul"/>
        <s v="Kopp, Janel"/>
        <s v="Lockwood, William W; Bennewith, Kevin L"/>
        <s v="Salcudean, Septimiu E; Black, Peter C"/>
        <s v="Jirik, Frank R"/>
        <s v="Boyd, Steven K; Hanley, David A"/>
        <s v="Frayne, Richard"/>
        <s v="Herzog, Walter"/>
        <s v="Nguyen, Minh Dang"/>
        <s v="Goodarzi, Aaron"/>
        <s v="Lees-Miller, Susan P"/>
        <s v="Bahlis, Nizar J"/>
        <s v="Shrive, Nigel G"/>
        <s v="Chan, Jennifer A"/>
        <s v="Ungrin, Mark D"/>
        <s v="Cobb, Jennifer A"/>
        <s v="Moorehead, Roger A"/>
        <s v="Petrik, Jim J"/>
        <s v="Mai, Sabine"/>
        <s v="Murphy, Leigh C"/>
        <s v="Shaw, Tony"/>
        <s v="Werbowetski-Ogilvie, Tamra E"/>
        <s v="Katyal, Sachin"/>
        <s v="Trudel, Guy"/>
        <s v="Catelas, Isabelle"/>
        <s v="Xiao, Wei"/>
        <s v="Geyer, Clarence R"/>
        <s v="Anderson, Deborah H"/>
        <s v="Chan, Warren C"/>
        <s v="Bardakjian, Berj L"/>
        <s v="Reilly, Raymond M"/>
        <s v="Sidhu, Sachdev S"/>
        <s v="Santerre, Paul"/>
        <s v="Shoichet, Molly S"/>
        <s v="Lee, Ping I"/>
        <s v="Sefton, Michael V"/>
        <s v="Kelley, Shana O"/>
        <s v="Ohh, Michael"/>
        <s v="Zandstra, Peter W"/>
        <s v="Yip, Christopher M"/>
        <s v="Radisic, Milica"/>
        <s v="Simmons, Craig A"/>
        <s v="Allen, Christine J; Reilly, Raymond M; Sridhar, Srikala S"/>
        <s v="Wu, Xiao Yu S"/>
        <s v="Jirasek, Andrew I"/>
        <s v="Lu, Qing-Bin"/>
        <s v="Porter, Lisa A"/>
        <s v="Johnson, James A"/>
        <s v="Fenster, Aaron"/>
        <s v="Parraga, Grace"/>
        <s v="Ellis, Christopher G"/>
        <s v="Bartha, Robert"/>
        <s v="King, Graham John W"/>
        <s v="Santyr, Giles E"/>
        <s v="Dagnino, Lina"/>
        <s v="Holdsworth, David W"/>
        <s v="Menon, Ravi S"/>
        <s v="Hamilton, Douglas W"/>
        <s v="Dick, Frederick A"/>
        <s v="Schild-Poulter, Caroline"/>
        <s v="Cunningham, Ian A"/>
        <s v="Drangova, Maria"/>
        <s v="Postovit, Lynne-Marie"/>
        <s v="Peters, Terence M"/>
        <s v="Santyr, Giles E; Rodrigues, George"/>
        <s v="Min, Wei-Ping"/>
        <s v="Foster, Paula J"/>
        <s v="Cunningham, Ian A; Karim, Karim S"/>
        <s v="De Ribaupierre, Sandrine"/>
        <s v="Nichols, Anthony C"/>
        <s v="Narod, Steven A; Murphy, K. Joan"/>
        <s v="Siu, K. W. Michael"/>
        <s v="St-Pierre, Julie"/>
        <s v="Pinthus, Jehonathan H"/>
        <s v="Buckstein, Rena J"/>
        <s v="Mader, Sylvie N; Gleason, James L"/>
        <s v="Boucher, Marie-Josée"/>
        <s v="Gariepy, Jean"/>
        <s v="Okada, Hitoshi"/>
        <s v="Brock, Kristy K"/>
        <s v="Macaulay, Calum E"/>
        <s v="Moradi, Mehdi; Black, Peter C"/>
        <s v="Shakiba, Nika; Goyal, Sidhartha"/>
        <s v="Gilbert, Penney M"/>
        <s v="Alaoui-Jamali, Moulay A"/>
        <s v="Shah, Girish M"/>
        <s v="Lee, Tim K; Lui, Harvey; Zeng, Haishan"/>
        <s v="Thornton, Gail M"/>
        <s v="Savas, Sevtap"/>
        <s v="Kao, Kenneth R"/>
        <s v="Too, Catherine K"/>
        <s v="Podsypanina, Katrina"/>
        <s v="Stambolic, Vuk"/>
        <s v="Lukong, Kiven E"/>
        <s v="Gorski, Sharon M"/>
        <s v="Maxwell, Christopher A"/>
        <s v="Kotsopoulos, Joanne"/>
        <s v="Bherer, Louis"/>
        <s v="Ciampi, Antonio"/>
        <s v="Cohen, Alan A"/>
        <s v="Mazzulli, Tony"/>
        <s v="Burrell, Robert"/>
        <s v="Lewis, Ian A"/>
        <s v="Kaufmann, Daniel E; Finzi, Andrés"/>
        <s v="Quach-Thanh, Caroline; Boivin, Guy; Longtin, Yves"/>
        <s v="Licht, Christoph"/>
        <s v="Kim, Paul Y; Yeh, Calvin H"/>
        <s v="Li, Yingfu; Brennan, John D"/>
        <s v="Nazy, Ishac"/>
        <s v="Unrau, Peter J"/>
        <s v="Little, Dustin J"/>
        <s v="Rottapel, Robert K"/>
        <s v="Paterson, Ian"/>
        <s v="Drews, Steven J"/>
        <s v="Drabovich, Andrei P"/>
        <s v="Tsang, Teresa S; Abolmaesumi, Purang; McGrail, Kimberlyn M"/>
        <s v="Hancock, Robert Ernest W"/>
        <s v="Babu, Mohan; Siqueira, Walter L"/>
        <s v="Mcmillen, David R"/>
        <s v="Ren, Carolyn L"/>
        <s v="Troyer, Ryan"/>
        <s v="Ducharme, Francine M; Tremblay, Cécile L"/>
        <s v="Gatignol, Anne"/>
        <s v="Sonenberg, Nahum; Pelletier, Jerry M"/>
        <s v="Alhazzani, Waleed; Cook, Deborah J; Parhar, Ken Kuljit S; Stelfox, Henry T; Weatherald, Jason"/>
        <s v="Arnold, Donald M; Bégin, Philippe; Callum, Jeannie L"/>
        <s v="Eikelboom, John W; Anand, Sonia S; Avezum, Alvaro; Bangdiwala, Shrikant I; Belley-Côté, Emilie Prudence; Chan, Noel; Choudhri, Shurjeel; Dans, Antonio L; Diaz, Rafael; Farkouh, Michael E; Felix, Camilo; Gerstein, Hertzel C; Healey, Jeff S; Jolly, Sanjit S; Leong, Darryl; Loeb, Mark B; Lopéz, Jose P; Paré, Guillaume; Whitlock, Richard; Yusuf, Salim"/>
        <s v="Stewart, Duncan J; English, Shane W; Fergusson, Dean A"/>
        <s v="Roux, Sophie"/>
        <s v="Flamand, Louis"/>
        <s v="Dzavik, Vladimir"/>
        <s v="Kain, Kevin C; Dholakia, Yatin; Fawzi, Wafaie W"/>
        <s v="Lemieux, Joanne M"/>
        <s v="Tyrrell, D. Lorne J"/>
        <s v="Tyrrell, D. Lorne J; Feld, Jordan J"/>
        <s v="Penninger, Josef"/>
        <s v="Russell, James A"/>
        <s v="Haas, Kurt"/>
        <s v="Cherkasov, Artem; Jean, François"/>
        <s v="Strynadka, Natalie C"/>
        <s v="Kubes, Paul; Corcoran, Jennifer A; Gillrie, Mark R; Jenne, Craig N; Kelly, Margaret M; McDonald, Braedon A; Mody, Christopher H; Peters, Nathan"/>
        <s v="Spagnuolo, Paul"/>
        <s v="Zarychanski, Ryan; Escobedo, Jorge; Goligher, Ewan C; Lawler, Patrick R; Nicolau, Jose C"/>
        <s v="Coombs, Kevin M"/>
        <s v="Lavender, Kerry J"/>
        <s v="Wilson, Joyce A; Vizeacoumar, Franco J"/>
        <s v="Richardson, Christopher D"/>
        <s v="Xing, Zhou; Lichty, Brian D; Smaill, Fiona M"/>
        <s v="Bell, John C; Ilkow, Carolina S; Lapointe, Réjean; Mahoney, Douglas J"/>
        <s v="Lewis, John D"/>
        <s v="Falzarano, Darryl"/>
        <s v="Liu, Jun"/>
        <s v="Watts, Tania H; Ehrhardt, Rudolf A; Gommerman, Jennifer L; Martin, Alberto; Ostrowski, Mario A"/>
        <s v="McElwee, Kevin J"/>
        <s v="Noiseux, Nicolas"/>
        <s v="Langley, Joanne M"/>
        <s v="Melnyk, Roman"/>
        <s v="Bosma, Karen J"/>
        <s v="Jolly, Sanjit S"/>
        <s v="Teo, Koon K; Yusuf, Salim"/>
        <s v="Healey, Jeff S"/>
        <s v="Paré, Guillaume; Gerstein, Hertzel C"/>
        <s v="Larche, Mark; Tonti, Elena"/>
        <s v="Jolicoeur, Marc E"/>
        <s v="Liu, Peter P"/>
        <s v="Bell, John C"/>
        <s v="Lillicrap, David P"/>
        <s v="Redfearn, Damian P"/>
        <s v="Ward, Brian J"/>
        <s v="Casper, Robert F; Jurisicova, Andrea"/>
        <s v="Perl, Jeffrey"/>
        <s v="Wald, Ron; Bagshaw, Sean M"/>
        <s v="Bouvier, Michel"/>
        <s v="Feld, Jordan J; Chan, Kelvin K; Hicks, Lisa K"/>
        <s v="Chen, Robert E"/>
        <s v="Chung, Caroline"/>
        <s v="Fedida, David"/>
        <s v="Granville, David J"/>
        <s v="Cashman, Neil R"/>
        <s v="Wang, Yuzhuo; Black, Peter C"/>
        <s v="Exner, Derek V"/>
        <s v="Coffin, Carla S"/>
        <s v="Arrowsmith, Cheryl H"/>
        <s v="Cummins, Carolyn L"/>
        <s v="Morshead, Cindi M"/>
        <s v="Dmitrienko, Gary I"/>
        <s v="Daskalakis, Zafiris J; Blumberger, Daniel M"/>
        <s v="Soulez, Gilles; Kauffmann, Claude"/>
        <s v="Seda, Ondrej"/>
        <s v="Jain, Arsh K"/>
        <s v="O'Brien, Edward R"/>
        <s v="Jones, Glenville"/>
        <s v="Philip, Anie"/>
        <s v="Mazer, Bruce D"/>
        <s v="Burns, Karen E"/>
        <s v="Calon, Frédéric"/>
        <s v="Turner, Justine M"/>
        <s v="Armstrong, Glen D"/>
        <s v="Adeli, Khosrow"/>
        <s v="Thomas, David Y"/>
        <s v="Antel, Jack P"/>
        <s v="Arnold, Donald M"/>
        <s v="Bourbeau, Jean; Tan, Wan"/>
        <s v="Brezden-Masley, Christine; Yan, Andrew T"/>
        <s v="Sevigny, Jean"/>
        <s v="Boivin, Guy"/>
        <s v="Rivest, Serge"/>
        <s v="Dawson, Laura A"/>
        <s v="Harrigan, Richard P; Poon, Arthur F"/>
        <s v="Harrigan, Richard P"/>
        <s v="Hampson, David R"/>
        <s v="Evans, Alan C"/>
        <s v="Duchesne, Simon"/>
        <s v="Kobinger, Gary P"/>
        <s v="Brinkman, Ryan"/>
        <s v="McGibbon, Chris"/>
        <s v="Wilansky, Pamela"/>
        <s v="Corkum, Penny V"/>
        <s v="Krause, Juergen"/>
        <s v="El Morr, Christo"/>
        <s v="Gros-Louis, Francois"/>
        <s v="Guidolin, Leila M"/>
        <s v="Cloutier, Guy; Tremblay, Cécile L"/>
        <s v="Routy, Bertrand"/>
        <s v="Trudel, Dominique; Leblond, Frederic"/>
        <s v="Soulez, Gilles; Martel, Sylvain"/>
        <s v="Bourgeois-Daigneault, Marie-Claude"/>
        <s v="Roy, Dominic"/>
        <s v="Haddad, Elie"/>
        <s v="Duval, Michel"/>
        <s v="Perreault, Sebastien"/>
        <s v="Parent, Stefan"/>
        <s v="Hardy, Pierre"/>
        <s v="Cellot, Sonia"/>
        <s v="Raynal, Noël J; Haddad, Elie"/>
        <s v="Beug, Shawn T"/>
        <s v="Johnson, Nathalie; Decaluwe, Hélène"/>
        <s v="Jahani-Asl, Arezu"/>
        <s v="Del Rincon, Sonia V"/>
        <s v="Thiel, Alexander; Schirrmacher, Ralf"/>
        <s v="Muanza, Thierry M; Basik, Mark; Parvez, Elena`"/>
        <s v="Antoniou, John; Mwale, Fackson"/>
        <s v="Rose, April A"/>
        <s v="Basik, Mark"/>
        <s v="Saragovi, Horacio U"/>
        <s v="Mwale, Fackson; Antoniou, John"/>
        <s v="Mercier, François"/>
        <s v="Basik, Mark; Maleki, Saman; Ng, Terry L"/>
        <s v="Near, Jamie; Rosa-Neto, Pedro"/>
        <s v="Chakravarty, Megha M"/>
        <s v="Wurtele, Hugo"/>
        <s v="Mallette, Frédérick A; Melichar, Heather"/>
        <s v="Hulea, Laura"/>
        <s v="Boutopoulos, Christos"/>
        <s v="Milot, Eric"/>
        <s v="Mallette, Frédérick A"/>
        <s v="Helfield, Brandon"/>
        <s v="Rosen, Kirill V"/>
        <s v="Waisman, David M"/>
        <s v="Gujar, Shashi A"/>
        <s v="Adamson, Robert B"/>
        <s v="Brown, Jeremy A"/>
        <s v="Frampton, John P"/>
        <s v="Leung, Brendan M"/>
        <s v="Davenport Huyer, Locke S"/>
        <s v="Andrysek, Jan; Wright, Virginia F"/>
        <s v="Cheyne, Douglas O"/>
        <s v="Hawkins, Cynthia E; Tabori, Uri"/>
        <s v="Ramaswamy, Vijay"/>
        <s v="Huang, Xi"/>
        <s v="Drake, James M"/>
        <s v="Dirks, Peter B"/>
        <s v="Bouffet, Eric"/>
        <s v="Egan, Sean E"/>
        <s v="Kim, Tae-Hee"/>
        <s v="Drake, James M; Diller, Eric D; Naguib, Hani E"/>
        <s v="Mazwi, Mjaye L; Goodfellow, Sebastian D"/>
        <s v="Podolsky, Dale J"/>
        <s v="Drake, James M; Waspe, Adam C"/>
        <s v="Bouffet, Eric; Thacker, Nirav H"/>
        <s v="Ramaswamy, Vijay; Charron, Frederic"/>
        <s v="Post, Martin"/>
        <s v="Veillette, André"/>
        <s v="Reznik, Alla"/>
        <s v="Koropatnick, James"/>
        <s v="Luke, Patrick"/>
        <s v="So, Aaron"/>
        <s v="Bhattacharjee, Rabindra"/>
        <s v="Li-Jessen, Yee Key Nicole"/>
        <s v="McCaffrey, Luke M"/>
        <s v="Quail, Daniela"/>
        <s v="Tabrizian, Maryam; Lehoux, Stephanie"/>
        <s v="Li, Jianyu"/>
        <s v="Tabrizian, Maryam"/>
        <s v="Watson, Ian R"/>
        <s v="Silva Wurzba, Sabrina Daniela; Sadeghi, Nader"/>
        <s v="Chen, Guojun"/>
        <s v="Hoesli, Corinne; Paraskevas, Steven"/>
        <s v="Watson, Ian R; Baetz, Tara; Dancey, Janet E; Song, Xinni"/>
        <s v="Rudko, David A"/>
        <s v="Funnell, W. Robert J.; Daniel, Sam J"/>
        <s v="Nijnik, Anastasia; Nagar, Bhushan"/>
        <s v="Kinsella, Joseph"/>
        <s v="Tabrizian, Maryam; Radzioch, Danuta"/>
        <s v="Walsh, Logan A"/>
        <s v="Mahshid, Sara; Rak, Janusz; Reisner, Walter W; Zadeh, Gelareh"/>
        <s v="Ashkar, Ali A"/>
        <s v="Tang, Damu"/>
        <s v="Zhang, Boyang"/>
        <s v="Valliant, John F"/>
        <s v="Selvaganapathy, Ponnambalam R"/>
        <s v="Sheardown, Heather D"/>
        <s v="Daniel, Juliet M"/>
        <s v="Wylie, Ryan G"/>
        <s v="Quenneville, Cheryl"/>
        <s v="Boutros, Paul C"/>
        <s v="Stein, Lincoln"/>
        <s v="Stein, Lincoln; WANG, BO"/>
        <s v="Gallinger, Steven"/>
        <s v="Awadalla, Philip; Abelson, Sagi; Alvi, Riaz; Bhatti, Parveen; broet, philippe; Dummer, Trevor J; Kirsh, Victoria; Mclaughlin, John R; Shen-Tu, Grace; Sweeney, Ellen; Turner, Donna C; Urquhart, Robin L"/>
        <s v="Diallo, Jean-Simon"/>
        <s v="Vanderhyden, Barbara C"/>
        <s v="Auer, Rebecca Ann C"/>
        <s v="Cheriet, Farida; Parent, Stefan"/>
        <s v="Lesage, Frédéric; Vanni, Matthieu P"/>
        <s v="Kadoury, Samuel; Soulez, Gilles"/>
        <s v="Provost, Jean"/>
        <s v="Parulekar, Wendy R; Bratman, Scott V"/>
        <s v="Koti, Madhuri"/>
        <s v="Fitzpatrick, Lindsay"/>
        <s v="Graham, Charles H; Siemens, Robert"/>
        <s v="Cottrell, Tricia"/>
        <s v="Abraham, Sheela A"/>
        <s v="Craig, Andrew W; Babak, Tomas"/>
        <s v="Yang, Xiaolong"/>
        <s v="Hay, Annette; Bramson, Jonathan L; Delisle, Jean-Sébastien; Leblanc, Richard; Quizi, Jennifer L"/>
        <s v="Mousavi, Parvin; Engel, Cecil J; Fichtinger, Gabor"/>
        <s v="Gregorieff, Alex"/>
        <s v="Eppert, Kolja"/>
        <s v="Harvey, Edward J"/>
        <s v="Barralet, Jake E"/>
        <s v="Labbé, David"/>
        <s v="Garzia, Livia"/>
        <s v="Litvinov, Ivan V"/>
        <s v="Bailey, Swneke D"/>
        <s v="Labbé, David; Bordeleau, François"/>
        <s v="Haglund, Lisbet A; Ouellet, Jean A"/>
        <s v="Dudley, Roy W"/>
        <s v="Burnier, Julia"/>
        <s v="Spicer, Jonathan D"/>
        <s v="Kandel, Rita A; Toyserkani, Ehsan"/>
        <s v="Gladdy, Rebecca A"/>
        <s v="Schramek, Daniel"/>
        <s v="Jackson, Hartland W"/>
        <s v="Sicheri, Frank"/>
        <s v="Bremner, Rod"/>
        <s v="Rakovitch, Eileen; Hallett, Michael T"/>
        <s v="Goertz, David E"/>
        <s v="Stefanovic, Bojana; Carlen, Peter L; Sled, John G"/>
        <s v="Czarnota, Gregory J"/>
        <s v="Liu, Stanley K; Kislinger, Thomas"/>
        <s v="Martel, Anne L; Stein, Lincoln"/>
        <s v="Graham, Simon J"/>
        <s v="O'Reilly, Meaghan"/>
        <s v="MacIntosh, Bradley J"/>
        <s v="Martel, Anne L; Brooks, Jennifer D"/>
        <s v="Stefanovic, Bojana; Sled, John G"/>
        <s v="Rakovitch, Eileen"/>
        <s v="Lau, Angus Z"/>
        <s v="Demore, Christine E; Stefanovic, Bojana"/>
        <s v="Lin, Fa-Hsuan"/>
        <s v="Hardisty, Michael R"/>
        <s v="Stanisz, Greg J; Jabehdar Maralani, Pejman; Sahgal, Arjun"/>
        <s v="Near, Jamie; Schuurmans, Carol J"/>
        <s v="Martel, Anne L; Nofech-Mozes, Sharon"/>
        <s v="O'Reilly, Meaghan; Lin, Fa-Hsuan"/>
        <s v="Graham, Simon J; Schweizer, Tom A"/>
        <s v="Stefanovic, Bojana; Mclaurin, Joanne; Sled, John G"/>
        <s v="Leong, Hon Sing"/>
        <s v="Kolios, Michael C; Yuen, Darren A"/>
        <s v="Olson, Michael F"/>
        <s v="Kirby, Miranda A; Santyr, Giles E"/>
        <s v="Tsai, Scott; Leong, Hon Sing"/>
        <s v="Sussman, Dafna; Ertl-Wagner, Birgit B"/>
        <s v="Thu, Kelsie L"/>
        <s v="Griffith, May C; Alarcón, Emilio I; Brunette, Isabelle"/>
        <s v="Roux, Philippe"/>
        <s v="Deblois, Genevieve"/>
        <s v="Sauvageau, Guy"/>
        <s v="Rafei, Moutih"/>
        <s v="Brambilla, Davide; Gravel, Simon-Pierre"/>
        <s v="Hoang, Trang K; Perreault, Claude; Thibault, Pierre"/>
        <s v="Gévry, Nicolas"/>
        <s v="Lavigne, Pierre"/>
        <s v="Denault, Jean-Bernard; Lavoie, Christine; Saucier, Caroline"/>
        <s v="Tai, Lee-Hwa"/>
        <s v="Parent, Jean-Luc; Lavigne, Pierre; Marsault, Eric; Paquette, Benoît"/>
        <s v="Beaulieu, Jean-François"/>
        <s v="Azad, Taha"/>
        <s v="Jay-Gerin, Jean-Paul; Azzam, Edouard; Buonanno, Manuela; Wagner, James R"/>
        <s v="Champagne, Pierre-Olivier"/>
        <s v="Fortin, Sebastien"/>
        <s v="Bolduc, Stéphane"/>
        <s v="Carreau, Madeleine"/>
        <s v="Gangloff, Anne"/>
        <s v="Poirier, Guy G"/>
        <s v="Barabé, Frédéric"/>
        <s v="Fortin, Marc-André"/>
        <s v="Beaulieu, Luc; Crook, Juanita M; Thomson, Rowan M; Vigneault, Eric"/>
        <s v="Toren, Paul"/>
        <s v="Fradet-Turcotte, Amélie"/>
        <s v="Beauregard, Jean-Mathieu; Després, Philippe; Rahmim, Arman; Uribe, Carlos F"/>
        <s v="Guerin, Sylvain L"/>
        <s v="Gueziri, Houssem-Eddine"/>
        <s v="Kislinger, Thomas; Boutros, Paul C"/>
        <s v="Yasufuku, Kazuhiro"/>
        <s v="Vitkin, I. Alex; Zarrine-Afsar, Arash"/>
        <s v="Chan, Steven M"/>
        <s v="Pugh, Trevor J; Kim, Raymond; Pollett, Aaron"/>
        <s v="Pugh, Trevor J; Trudel, Suzanne M"/>
        <s v="Wilson, Brian C; Allen, Christine J"/>
        <s v="Zadeh, Gelareh"/>
        <s v="Bratman, Scott V; Ailles, Laurie E; Haibe-Kains, Benjamin"/>
        <s v="Rink, Alexandra; Mermut, Ozzy"/>
        <s v="Hirano, Naoto; Cescon, David W"/>
        <s v="McGaha, Tracy"/>
        <s v="Bratman, Scott V; Liu, Geoffrey"/>
        <s v="De Carvalho, Daniel"/>
        <s v="Harding, Shane M"/>
        <s v="Sacher, Adrian G"/>
        <s v="Haibe-Kains, Benjamin; Hope, Andrew J"/>
        <s v="Crome, Sarah A; Mattsson, Jonas I"/>
        <s v="Ailles, Laurie E; Haibe-Kains, Benjamin"/>
        <s v="Lok, Benjamin; Raught, Brian"/>
        <s v="Diamandis, Phedias"/>
        <s v="Dacosta, Ralph S; Minden, Mark D"/>
        <s v="Orouji, Elias"/>
        <s v="Cypel, Marcelo; Andreazza, Ana C"/>
        <s v="Moghal, Nadeem; Raught, Brian"/>
        <s v="Pugh, Trevor J; Tiedemann, Rodger; Trudel, Suzanne M"/>
        <s v="Cescon, David W"/>
        <s v="Jones, Courtney L"/>
        <s v="Notta, Faiyaz"/>
        <s v="Han, Kathy; Mcalpine, Jessica N"/>
        <s v="Koritzinsky, Marianne"/>
        <s v="Tikhonova, Anastasia"/>
        <s v="Zarrine-Afsar, Arash"/>
        <s v="Seuntjens, Jan P; Hodgson, David C; Parodi, Katia; Pechlivanoglou, Petros"/>
        <s v="Saibil, Samuel D"/>
        <s v="Hakem, Razqallah"/>
        <s v="Purdie, Thomas G; Berlin, Alejandro; Mcintosh, Christopher J"/>
        <s v="Sage, Andrew T; Keshavjee, Shaf; WANG, BO"/>
        <s v="Hope, Kristin"/>
        <s v="Rink, Alexandra; Haibe-Kains, Benjamin"/>
        <s v="Tsao, Ming-Sound; Goss, Glenwood D"/>
        <s v="Lankarany, Milad; Milosevic, Luka"/>
        <s v="Hirano, Naoto"/>
        <s v="Dutta, Tilak; Dolatabadi, Elham; Gabison, Sharon; Holyoke, Paul D"/>
        <s v="Stanescu, Teodor; Chan, Timothy; Hosni Abdalaty, Ali"/>
        <s v="Sage, Andrew T; Keshavjee, Shaf; Poudineh, Mahla"/>
        <s v="Gaiti, Federico"/>
        <s v="Zheng, Gang; Koritzinsky, Marianne"/>
        <s v="Dick, John E"/>
        <s v="Dick, John E; Lupien, Mathieu"/>
        <s v="Tsao, Ming-Sound; Thu, Kelsie L"/>
        <s v="Unsworth, Larry D; Yager, Jerome (Jerry) Y"/>
        <s v="Thompson, Richard B; Paterson, Ian"/>
        <s v="Acker, Jason P"/>
        <s v="Gamper, Armin"/>
        <s v="Wilman, Alan H; Butcher, Kenneth S"/>
        <s v="Baker, Kristi"/>
        <s v="Hendzel, Michael J"/>
        <s v="Zemp, Roger J"/>
        <s v="Brindley, David N"/>
        <s v="Yun, Jihyun"/>
        <s v="Unsworth, Larry D"/>
        <s v="Barakat, Khaled H"/>
        <s v="Thompson, Richard B; Haykowsky, Mark J; Kirkham, Amy A"/>
        <s v="Elahi, Shokrollah"/>
        <s v="Clemente Casares, Javier"/>
        <s v="Derda, Ratmir"/>
        <s v="Wilson, David R"/>
        <s v="Cherkasov, Artem"/>
        <s v="Holt, Rob"/>
        <s v="Wyatt, Alexander W; Chi, Kim N"/>
        <s v="Wilson, David R; Street, John"/>
        <s v="So, Alan I"/>
        <s v="Zoubeidi, Amina"/>
        <s v="Abolmaesumi, Purang; Black, Peter C"/>
        <s v="Rahmim, Arman"/>
        <s v="Gilks, Cyril B; Bashashati, Ali; Salcudean, Septimiu E"/>
        <s v="Matsubara, Joanne A"/>
        <s v="Zeng, Haishan; Lui, Harvey; Matsubara, Joanne A; Yeung, Sonia N"/>
        <s v="Roskelley, Calvin D; McNagny, Kelly M"/>
        <s v="Rauscher, Alexander"/>
        <s v="Lockwood, William W; Stirling, Peter C"/>
        <s v="Johnson, James D"/>
        <s v="Lange, Philipp"/>
        <s v="Gleave, Martin E; Lack, Nathan A"/>
        <s v="Kizhakkedathu, Jayachandran N; Choy, Jonathan C"/>
        <s v="Algar, Walter R; Williams, Karla"/>
        <s v="Collins, Colin C"/>
        <s v="Bashashati, Ali; Black, Peter C; Goldenberg, Larry; Salcudean, Septimiu E"/>
        <s v="Wyatt, Alexander W; Chi, Kim N; Ost, Piet"/>
        <s v="Wang, Yemin"/>
        <s v="Dong, Xuesen"/>
        <s v="Lockwood, William W"/>
        <s v="Hay, Kevin A; Kekre, Natasha"/>
        <s v="Wyatt, Alexander W; Eigl, Bernhard J"/>
        <s v="Venturutti, Leandro"/>
        <s v="Wong, Judy M"/>
        <s v="Lin, Kuo-Shyan"/>
        <s v="Evgin, Laura E"/>
        <s v="Underhill, Michael"/>
        <s v="Karsan, Aly"/>
        <s v="Abolmaesumi, Purang; Tsang, Michael Y; Tsang, Teresa S"/>
        <s v="Ju, MyeongJin; Beg, Mirza Faisal; Navajas, Eduardo"/>
        <s v="Anglesio, Michael S; Carey, Mark S; Koebel, Martin; Talhouk, Aline"/>
        <s v="Wellington, Cheryl L; Cripton, Peter A; Kozlowski, Piotr; Wu, Lyndia (Chun)"/>
        <s v="Cullis, Pieter R; MacVicar, Brian A"/>
        <s v="Shadgan, Babak"/>
        <s v="Blakney, Anna"/>
        <s v="Klein Geltink, Ramon"/>
        <s v="Salcudean, Septimiu E; Kozlowski, Piotr; Pang, Emily; Rohling, Robert N"/>
        <s v="Velenosi, Thomas J"/>
        <s v="Shahriari, Dena"/>
        <s v="Kizhakkedathu, Jayachandran N; Withers, Stephen G"/>
        <s v="Wisnovsky, Simon; Williams, Karla"/>
        <s v="Stirling, Peter C"/>
        <s v="Bashashati, Ali; Black, Peter C; Wang, Gang"/>
        <s v="Jamieson, Amy; Mcalpine, Jessica N"/>
        <s v="Yong, Voon W"/>
        <s v="Dunn, Jeff F"/>
        <s v="Boyd, Steven K"/>
        <s v="Mahoney, Douglas J"/>
        <s v="Zhang, Yunyan"/>
        <s v="Kallos, Michael S"/>
        <s v="Monument, Michael J"/>
        <s v="Di Martino, Elena S"/>
        <s v="Forkert, Nils Daniel"/>
        <s v="McCoy, Kathy"/>
        <s v="Sanati Nezhad, Amir; Debert, Chantel T"/>
        <s v="Kim, Keekyoung"/>
        <s v="LeVan, Pierre"/>
        <s v="Shafey, Mona; Abdul Razak, Albiruni R; Hay, Kevin A; Henning, Jan-Willem; Kekre, Natasha; Mahoney, Douglas J; Morrissy, Sorana A; Noujaim, Jonathan; Simmons, Christine E"/>
        <s v="Edwards, W. Brent"/>
        <s v="Lee, Jong Bok"/>
        <s v="Zhang, Wei"/>
        <s v="Workenhe, Samuel Tekeste"/>
        <s v="Vahidi, Siavash; Schimmer, Aaron D; Zeytuni, Natalie"/>
        <s v="McManus, Kirk J"/>
        <s v="Haigh, Jody J"/>
        <s v="Sharif, Tanveer"/>
        <s v="Pearson, Joel"/>
        <s v="Lee, Seung-Hwan"/>
        <s v="Benoit, Yannick D"/>
        <s v="Freywald, Andrew; Price, Eric W; Vizeacoumar, Franco J"/>
        <s v="Ahmed, Shahid"/>
        <s v="Vizeacoumar, Franco J; Freywald, Andrew"/>
        <s v="Price, Eric W; Geyer, Clarence R"/>
        <s v="Allen, Christine J; Jaffray, David A"/>
        <s v="Liu, Xinyu; Kost, Karen M; Li-Jessen, Yee Key Nicole"/>
        <s v="Salmena, Leonardo L"/>
        <s v="Matsuura, Naomi; Goertz, David E"/>
        <s v="Angers, Stephane"/>
        <s v="Martin, Alberto"/>
        <s v="Moffat, Jason"/>
        <s v="McGuigan, Alison P"/>
        <s v="Zariffa, José; Genov, Roman"/>
        <s v="Barsyte-Lovejoy, Dalia"/>
        <s v="Rost, Hannes L"/>
        <s v="Gilbert, Penney M; Stewart, Bryan A"/>
        <s v="Chou, Leo"/>
        <s v="Pardee, Keith I"/>
        <s v="Cheng, Hai-Ling M"/>
        <s v="Franklin, Daniel"/>
        <s v="Li, Bowen"/>
        <s v="Matsuura, Naomi; Yasufuku, Kazuhiro"/>
        <s v="Lum, Julian J"/>
        <s v="Giles, Joshua W; Yi, Kwang Moo; Zhang, Xuekui"/>
        <s v="Chithrani, Devika B"/>
        <s v="Kohandel, Mohammad; Goldman, Aaron"/>
        <s v="Bizheva, Kostadinka K; Jones, Lyndon William J"/>
        <s v="Haji Reza, Parsin"/>
        <s v="Yim, Evelyn K; Lok, Charmaine E"/>
        <s v="Bizheva, Kostadinka K; Hudson, Christopher"/>
        <s v="McKenzie, Charles A"/>
        <s v="Li, Shun-Cheng S"/>
        <s v="Pin, Christopher L"/>
        <s v="Boffa, Michael B"/>
        <s v="Allan, Alison L"/>
        <s v="Ronald, John A"/>
        <s v="Baron, Corey A"/>
        <s v="Ward, Aaron; Pautler, Stephen E"/>
        <s v="Narod, Steven A"/>
        <s v="Sachlos, Eleftherios"/>
        <s v="Mahshid, Sara; Nguyen, Dao; Yansouni, Cedric P"/>
        <s v="Alain, Tommy; Graber, Tyson"/>
        <s v="Larrivee, Bruno; Manem, Venkata S"/>
        <s v="Pause, Arnim P"/>
        <s v="Durocher, Francine"/>
        <s v="Leng, Roger P"/>
        <s v="McNagny, Kelly M; Roskelley, Calvin D"/>
        <s v="Freywald, Andrew; Bisson, Nicolas; Dadachova, Ekaterina; Vizeacoumar, Franco J"/>
        <s v="Rahim, Mir Munir Ahmed"/>
        <s v="Lipsman, Nir"/>
        <s v="Raynal, Noël J; Richard, Stéphane; Sinnett, Daniel"/>
        <s v="Khan, Omar F"/>
        <s v="Wang, Rizhi; Grynpas, Marc D"/>
        <s v="Poh, Catherine"/>
        <s v="Ghahary, Aziz"/>
        <s v="McLachlin, Stewart D"/>
        <s v="Nicolaou, Savvakis"/>
        <s v="Whyne, Cari M; Hardisty, Michael R; Sahgal, Arjun"/>
        <s v="Moran, Michael F"/>
        <s v="Vahidi, Siavash; Yudin, Andrei"/>
        <s v="Pin, Christopher L; Shooshtari, Parisa"/>
        <s v="Chiew, Mark"/>
        <s v="Bordeleau, François; Landreville, Solange"/>
        <s v="Zeng, Haishan; Lam, Stephen"/>
        <s v="Morgenstern, Daniel A"/>
        <s v="Pai, Shraddha"/>
        <s v="Gallo, Marco"/>
        <s v="Lapointe, Réjean"/>
        <s v="Segura, Mariela A; Gottschalk, Marcelo G; Roy, René; Thibodeau, Jacques"/>
        <s v="Kelvin, David J"/>
        <s v="Kollmann, Tobias R"/>
        <s v="Skowronski, Danuta Maria; De Serres, Gaston; Ward, Brian J"/>
        <s v="Luo, Ma"/>
        <s v="Xiang, Jim"/>
        <s v="Soudeyns, Hugo" u="1"/>
        <s v="Cohen, Eric A" u="1"/>
      </sharedItems>
    </cacheField>
    <cacheField name="Institution_Paid" numFmtId="0">
      <sharedItems/>
    </cacheField>
    <cacheField name="Provinces" numFmtId="0">
      <sharedItems containsBlank="1" count="12">
        <s v="Ontario"/>
        <s v="Alberta"/>
        <s v="Quebec"/>
        <s v="British Columbia"/>
        <s v="Manitoba"/>
        <s v="Newfoundland and Labrador"/>
        <s v="Nova Scotia"/>
        <s v="New Brunswick"/>
        <s v="Saskatchewan"/>
        <s v="Prince Edward Island"/>
        <m u="1"/>
        <s v="Toronto" u="1"/>
      </sharedItems>
    </cacheField>
    <cacheField name="Program_Name" numFmtId="0">
      <sharedItems count="67">
        <s v="Catalyst Grant: eHealth Innovations"/>
        <s v="Catalyst Grant: eHealth Innovations - Aging"/>
        <s v="Catalyst Grant: HIV/AIDS Vaccine Discovery Research (Can HIV Vaccine Initiative)"/>
        <s v="Catalyst Grant: Innovation in HIV Vaccine and HIV Cure Research"/>
        <s v="Catalyst Grant: Invention and High-Risk, High-Benefit Research"/>
        <s v="Catalyst Grant: NWHRI: Innovation Fund - Biomedical Discovery Grants"/>
        <s v="Catalyst Grant: Personalized Health Catalyst Grants"/>
        <s v="CIHR/Regional Partnership Program/Operating Grants"/>
        <s v="CIHR/RxD - Biology of Pain -Young Investigators Grant"/>
        <s v="Collaborative Health Research Projects (NSERC partnered)"/>
        <s v="Op. Grant: NWHRI: Innovation Fund - Healthcare implementation research"/>
        <s v="Op. Grant: NWHRI: Innovation Fund - Translational Research"/>
        <s v="Oper Grant:eHealth Innov Partnership Program(eHIPP)-Seniors w Complex Care Needs"/>
        <s v="Operating Grant"/>
        <s v="Operating Grant - PA: Alberta Cancer Foundation - Research (bridge funding)"/>
        <s v="Operating Grant - PA: Cancer Research (bridge funding)"/>
        <s v="Operating Grant - PA: Genetics (Bridge Funding: Research Priorities)"/>
        <s v="Operating Grant - PA: IMHA - New Invest.- Musculoskeletal Health Bridge Funding"/>
        <s v="Operating Grant - PA: IMHA New investigators - Bridge Funding"/>
        <s v="Operating Grant - PA: INMHA (bridge funding)"/>
        <s v="Operating Grant - PA: Inst of Nutrition, Metabolism and Diabetes -Bridge Funding"/>
        <s v="Operating Grant - PA: Institute of Cancer Research (bridge funding)"/>
        <s v="Operating Grant - PA: Musculoskeletal Health, Arthritis, Skin and Oral Health"/>
        <s v="Operating Grant - PA: Regional Partnership Program - Newfoundland and Labrador"/>
        <s v="Operating Grant - PA: Regional Partnership Program - Nova Scotia"/>
        <s v="Operating Grant - Priority Announcement: Blood Utilization and Conservation"/>
        <s v="Operating Grant - Priority Announcement: Breast Cancer"/>
        <s v="Operating Grant - Priority Announcement: Breast Cancer Research (AVON)"/>
        <s v="Operating Grant - Priority Announcement: Ovarian Cancer (bridge funding)"/>
        <s v="Operating Grant : Adv Theoretical Meth Innov Hlth Res-Longitudinal Studies Aging"/>
        <s v="Operating Grant: AMR: Point of Care Diagnostics in Human Health Phase 2"/>
        <s v="Operating Grant: COVID-19 Rapid Research Funding Opportunity - Diagnostics"/>
        <s v="Operating Grant: COVID-19 Rapid Research Funding Opportunity - Therapeutics"/>
        <s v="Operating Grant: COVID-19 Rapid Research Funding Opportunity - Vaccines"/>
        <s v="Operating Grant: Fall 2008 Priority Announcement (IMHA)"/>
        <s v="Operating Grant: Industry-partnered Collaborative Research"/>
        <s v="Operating Grant: Industry-partnered Collaborative Research - Other Partner"/>
        <s v="Operating Grant: Industry-partnered Collaborative Research - Rx&amp;D partner"/>
        <s v="Operating Grant: Methodological Innovations for Neuroimaging Datasets"/>
        <s v="Operating Grant: Optimizing the VSV Vector towards an HIV Vaccine"/>
        <s v="Operating Grant: Priority Announcement (IHSPR)"/>
        <s v="Operation:eHealth Innov Partnership Program(eHIPP)-Youth &amp;Adolescent Mental Hlth"/>
        <s v="Pro. Gr. - PA: Inst. of Musculoskeletal Health and Arthritis: IMHA Mandate Areas"/>
        <s v="Project - PA: Cancer Prevention and Early Detection of Hard to Treat Cancers"/>
        <s v="Project Grant"/>
        <s v="Project Grant - PA: Antimicrobial Resistance (Bridge Grant)"/>
        <s v="Project Grant - PA: Breast Cancer Research"/>
        <s v="Project Grant - PA: Cancer Research - Breast Cancer"/>
        <s v="Project Grant - PA: Epigenetics/epigenomics in human health or disease"/>
        <s v="Project Grant - PA: Infection and Immunity (Early Career Research Support)"/>
        <s v="Project Grant - PA: MSK, Skin and Oral Health: Clinical Research - MSK Health"/>
        <s v="Project Grant - PA: MSK/Skin/Oral Health: Clinical Research - Oral Health"/>
        <s v="Project Grant - PA: MSK/Skin/Oral Health: Clinical Research - Skin Health"/>
        <s v="Project Grant - PA: Myalgic Encephalomyelitis and IMHA Mandate Areas"/>
        <s v="Project Grant - PA: Neurosciences, Mental Health and Addiction"/>
        <s v="Project Grant - PA: Nutrition, Metabolism and Diabetes"/>
        <s v="Project Grant - PA: Pandemic Preparedness and Health Emergencies Research"/>
        <s v="Project Grant - PA: Sex and Gender in Health Research (Bridge funding)"/>
        <s v="Project Grant - Priority Announcement - Cancer Survivorship"/>
        <s v="Project Grant - Priority Announcement: Cancer Research"/>
        <s v="Project Grant - Priority Announcement: Dental and craniofacial research"/>
        <s v="Project Grant - Priority Announcement: Early Detection/Cancer Prevention"/>
        <s v="Project Grant - Priority Announcement: Patient-Oriented Research"/>
        <s v="Project Grant - Priority Announcement: Pediatric Cancer"/>
        <s v="Project Grant - Priority Announcement: Pediatric Cancer Research"/>
        <s v="Vaccines of the 21st Century"/>
        <s v="Team Grant: Canadian Initiative for HIV Cure Research" u="1"/>
      </sharedItems>
    </cacheField>
    <cacheField name="Competition_CD" numFmtId="0">
      <sharedItems/>
    </cacheField>
    <cacheField name="PRC_Name" numFmtId="0">
      <sharedItems count="28">
        <s v="e-Health Innovation Partnership Program (eHIPP)"/>
        <s v="HIV Vaccine Discovery"/>
        <s v="HIV Vaccine and Cure Research"/>
        <s v="Inventions, Technologies, or High Risk Grants"/>
        <s v="NWHRI: Innovation Fund - Biomedical Discovery Grants"/>
        <s v="Personalized Health - novel e-health applications"/>
        <s v="Cancer Biology &amp; Therapeutics"/>
        <s v="Industry Partnered Collaborative Research"/>
        <s v="Collaborative Health Research Projects - NSERC Partnered"/>
        <s v="National Women's Health Research Initiative: Innovation Fund"/>
        <s v="eHealth Innovation Partnership Program (eHIPP): Support of Seniors"/>
        <s v="Medical Physics &amp; Imaging"/>
        <s v="Biomedical Engineering"/>
        <s v="Cancer Progression &amp; Therapeutics 2"/>
        <s v="Cancer Progression &amp; Therapeutics"/>
        <s v="Operating Grant: Innovations in Health Research"/>
        <s v="AMR: Point of Care Diagnostics in Human Health - Phase 2"/>
        <s v="COVID-19 Rapid Research - Diagnostics"/>
        <s v="COVID-19 Rapid Research - Therapeutics"/>
        <s v="COVID-19 Rapid Research - Vaccines"/>
        <s v="Methodological Innovations for Neuroimaging Datasets"/>
        <s v="Optimizing the VSV towards an HIV Vaccine"/>
        <s v="eHealth Innovation Partnership Program (eHIPP): Youth and Adolescents Mental Health"/>
        <s v="Cancer Biology &amp; Therapeutics 2"/>
        <s v="Biomedical Engineering 2"/>
        <s v="Medical Physics &amp; Imaging 2"/>
        <s v="Catalyst Grant: Vaccines of the 21st Century"/>
        <s v="HIV Cure Research" u="1"/>
      </sharedItems>
    </cacheField>
    <cacheField name="Project_Title" numFmtId="0">
      <sharedItems longText="1"/>
    </cacheField>
    <cacheField name="CIHR_Contribution" numFmtId="167">
      <sharedItems containsSemiMixedTypes="0" containsString="0" containsNumber="1" containsInteger="1" minValue="0" maxValue="4224996"/>
    </cacheField>
    <cacheField name="CIHR_Equipment" numFmtId="167">
      <sharedItems containsSemiMixedTypes="0" containsString="0" containsNumber="1" containsInteger="1" minValue="0" maxValue="89250"/>
    </cacheField>
    <cacheField name="External_Funding" numFmtId="167">
      <sharedItems containsSemiMixedTypes="0" containsString="0" containsNumber="1" containsInteger="1" minValue="0" maxValue="750000"/>
    </cacheField>
    <cacheField name="External_Funding_Partner" numFmtId="0">
      <sharedItems containsBlank="1"/>
    </cacheField>
    <cacheField name="Term_Years_Months" numFmtId="0">
      <sharedItems/>
    </cacheField>
    <cacheField name="Primary_Institute" numFmtId="0">
      <sharedItems count="13">
        <s v="Musculoskeletal Health and Arthritis"/>
        <s v="Cancer Research"/>
        <s v="Health Services and Policy Research"/>
        <s v="Neurosciences, Mental Health and Addiction"/>
        <s v="Nutrition, Metabolism and Diabetes"/>
        <s v="Population and Public Health"/>
        <s v="Aging"/>
        <s v="Infection and Immunity"/>
        <s v="Genetics"/>
        <s v="Gender and Health"/>
        <s v="Human Development, Child and Youth Health"/>
        <s v="Circulatory and Respiratory Health"/>
        <s v="Indigenous Peoples' Health"/>
      </sharedItems>
    </cacheField>
    <cacheField name="Research_Categories" numFmtId="0">
      <sharedItems containsBlank="1" containsMixedTypes="1" containsNumber="1" containsInteger="1" minValue="0" maxValue="0" longText="1"/>
    </cacheField>
    <cacheField name="Funding_Start" numFmtId="14">
      <sharedItems containsSemiMixedTypes="0" containsNonDate="0" containsDate="1" containsString="0" minDate="2009-01-01T00:00:00" maxDate="2024-10-02T00:00:00" count="64">
        <d v="2013-03-01T00:00:00"/>
        <d v="2014-03-01T00:00:00"/>
        <d v="2013-09-01T00:00:00"/>
        <d v="2009-03-01T00:00:00"/>
        <d v="2009-10-01T00:00:00"/>
        <d v="2010-10-01T00:00:00"/>
        <d v="2009-02-01T00:00:00"/>
        <d v="2024-02-01T00:00:00"/>
        <d v="2023-05-01T00:00:00"/>
        <d v="2017-09-01T00:00:00"/>
        <d v="2009-04-01T00:00:00"/>
        <d v="2014-04-01T00:00:00"/>
        <d v="2017-04-01T00:00:00"/>
        <d v="2020-04-01T00:00:00"/>
        <d v="2015-04-01T00:00:00"/>
        <d v="2013-04-01T00:00:00"/>
        <d v="2016-04-01T00:00:00"/>
        <d v="2018-04-01T00:00:00"/>
        <d v="2019-04-01T00:00:00"/>
        <d v="2024-06-01T00:00:00"/>
        <d v="2015-10-01T00:00:00"/>
        <d v="2012-10-01T00:00:00"/>
        <d v="2010-04-01T00:00:00"/>
        <d v="2011-10-01T00:00:00"/>
        <d v="2013-10-01T00:00:00"/>
        <d v="2015-07-01T00:00:00"/>
        <d v="2014-10-01T00:00:00"/>
        <d v="2011-04-01T00:00:00"/>
        <d v="2012-04-01T00:00:00"/>
        <d v="2014-07-01T00:00:00"/>
        <d v="2011-07-01T00:00:00"/>
        <d v="2014-09-01T00:00:00"/>
        <d v="2012-03-01T00:00:00"/>
        <d v="2009-01-01T00:00:00"/>
        <d v="2011-03-01T00:00:00"/>
        <d v="2010-09-01T00:00:00"/>
        <d v="2023-10-01T00:00:00"/>
        <d v="2022-10-01T00:00:00"/>
        <d v="2016-07-01T00:00:00"/>
        <d v="2010-03-01T00:00:00"/>
        <d v="2012-02-01T00:00:00"/>
        <d v="2019-01-01T00:00:00"/>
        <d v="2020-09-01T00:00:00"/>
        <d v="2020-06-01T00:00:00"/>
        <d v="2023-03-01T00:00:00"/>
        <d v="2021-10-01T00:00:00"/>
        <d v="2024-04-01T00:00:00"/>
        <d v="2018-10-01T00:00:00"/>
        <d v="2019-10-01T00:00:00"/>
        <d v="2020-10-01T00:00:00"/>
        <d v="2021-04-01T00:00:00"/>
        <d v="2022-04-01T00:00:00"/>
        <d v="2023-04-01T00:00:00"/>
        <d v="2024-03-01T00:00:00"/>
        <d v="2024-10-01T00:00:00"/>
        <d v="2022-07-01T00:00:00"/>
        <d v="2023-07-01T00:00:00"/>
        <d v="2024-05-01T00:00:00"/>
        <d v="2024-07-01T00:00:00"/>
        <d v="2022-03-01T00:00:00"/>
        <d v="2020-03-01T00:00:00"/>
        <d v="2021-03-01T00:00:00"/>
        <d v="2019-03-01T00:00:00"/>
        <d v="2014-01-01T00:00:00" u="1"/>
      </sharedItems>
      <fieldGroup par="20"/>
    </cacheField>
    <cacheField name="Funding_End" numFmtId="14">
      <sharedItems containsSemiMixedTypes="0" containsNonDate="0" containsDate="1" containsString="0" minDate="2009-09-30T00:00:00" maxDate="2031-10-01T00:00:00"/>
    </cacheField>
    <cacheField name="Patents" numFmtId="0">
      <sharedItems containsSemiMixedTypes="0" containsString="0" containsNumber="1" containsInteger="1" minValue="0" maxValue="22"/>
    </cacheField>
    <cacheField name="title_keywords" numFmtId="0">
      <sharedItems/>
    </cacheField>
    <cacheField name="Months (Funding_Start)" numFmtId="0" databaseField="0">
      <fieldGroup base="14">
        <rangePr groupBy="months" startDate="2009-01-01T00:00:00" endDate="2024-10-02T00:00:00"/>
        <groupItems count="14">
          <s v="&lt;2009-01-01"/>
          <s v="Jan"/>
          <s v="Feb"/>
          <s v="Mar"/>
          <s v="Apr"/>
          <s v="May"/>
          <s v="Jun"/>
          <s v="Jul"/>
          <s v="Aug"/>
          <s v="Sep"/>
          <s v="Oct"/>
          <s v="Nov"/>
          <s v="Dec"/>
          <s v="&gt;2024-10-02"/>
        </groupItems>
      </fieldGroup>
    </cacheField>
    <cacheField name="Quarters (Funding_Start)" numFmtId="0" databaseField="0">
      <fieldGroup base="14">
        <rangePr groupBy="quarters" startDate="2009-01-01T00:00:00" endDate="2024-10-02T00:00:00"/>
        <groupItems count="6">
          <s v="&lt;2009-01-01"/>
          <s v="Qtr1"/>
          <s v="Qtr2"/>
          <s v="Qtr3"/>
          <s v="Qtr4"/>
          <s v="&gt;2024-10-02"/>
        </groupItems>
      </fieldGroup>
    </cacheField>
    <cacheField name="Years (Funding_Start)" numFmtId="0" databaseField="0">
      <fieldGroup base="14">
        <rangePr groupBy="years" startDate="2009-01-01T00:00:00" endDate="2024-10-02T00:00:00"/>
        <groupItems count="18">
          <s v="&lt;2009-01-01"/>
          <s v="2009"/>
          <s v="2010"/>
          <s v="2011"/>
          <s v="2012"/>
          <s v="2013"/>
          <s v="2014"/>
          <s v="2015"/>
          <s v="2016"/>
          <s v="2017"/>
          <s v="2018"/>
          <s v="2019"/>
          <s v="2020"/>
          <s v="2021"/>
          <s v="2022"/>
          <s v="2023"/>
          <s v="2024"/>
          <s v="&gt;2024-10-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9">
  <r>
    <x v="0"/>
    <s v="Hospital for Sick Children (Toronto)"/>
    <x v="0"/>
    <x v="0"/>
    <s v="201210CEH"/>
    <x v="0"/>
    <s v="Virtual Peer-to-Peer (VP2P) Support Mentoring for Adolescents with Juvenile Idiopathic Arthritis: A Feasibility Pilot Randomized Controlled Trial"/>
    <n v="99987"/>
    <n v="0"/>
    <n v="0"/>
    <m/>
    <s v="1 yr 0 mth "/>
    <x v="0"/>
    <s v="ARTHRITIS/OSTEOARTHRITIS; PSYCHOSOCIAL AND HEALTH BEHAVIOURS; MUSCLE, BONE, OR JOINT; PSYCHOSOCIAL/HEALTH BEHAVIOURAL RES."/>
    <x v="0"/>
    <d v="2014-02-28T00:00:00"/>
    <n v="0"/>
    <s v="Virtual, Peer-to-Peer, Juvenile Idiopathic Arthritis"/>
  </r>
  <r>
    <x v="1"/>
    <s v="Hospital for Sick Children (Toronto)"/>
    <x v="0"/>
    <x v="0"/>
    <s v="201310CEH"/>
    <x v="0"/>
    <s v="Teens Taking Charge - Managing Cancer Online Trial: A Feasibility Study of Quality and Cost"/>
    <n v="92207"/>
    <n v="0"/>
    <n v="0"/>
    <m/>
    <s v="1 yr 0 mth "/>
    <x v="1"/>
    <s v="HEALTH CARE DELIVERY; HEALTH SERVICES RESEARCH; CANCER"/>
    <x v="1"/>
    <d v="2015-02-28T00:00:00"/>
    <n v="0"/>
    <s v="cancer, online, feasibility"/>
  </r>
  <r>
    <x v="1"/>
    <s v="Hospital for Sick Children (Toronto)"/>
    <x v="0"/>
    <x v="0"/>
    <s v="201310CEH"/>
    <x v="0"/>
    <s v="The PainSquad+ Real-time Pain Management System for Adolescents with Cancer: A Feasibility, Quality and Cost Study"/>
    <n v="92228"/>
    <n v="0"/>
    <n v="0"/>
    <m/>
    <s v="1 yr 0 mth "/>
    <x v="1"/>
    <s v="HEALTH SERVICES RESEARCH; CANCER"/>
    <x v="1"/>
    <d v="2015-02-28T00:00:00"/>
    <n v="0"/>
    <s v="Pain management, adolescents, cancer"/>
  </r>
  <r>
    <x v="2"/>
    <s v="Mount Royal University (Calgary, Alberta)"/>
    <x v="1"/>
    <x v="0"/>
    <s v="201210CEH"/>
    <x v="0"/>
    <s v="The Spinal Stenosis Pedometer and Nutrition e-Health Lifestyle Intervention (SSPANLI) Randomized Trial"/>
    <n v="98968"/>
    <n v="0"/>
    <n v="0"/>
    <m/>
    <s v="1 yr 0 mth "/>
    <x v="2"/>
    <s v="OBESITY; MUSCULO SKELETAL; HEALTH RESEARCH; MUSCLE, BONE, OR JOINT"/>
    <x v="2"/>
    <d v="2014-08-31T00:00:00"/>
    <n v="0"/>
    <s v="Spinal Stenosis, Pedometer, Nutrition"/>
  </r>
  <r>
    <x v="3"/>
    <s v="Research Institute of the McGill University Health Centre"/>
    <x v="2"/>
    <x v="0"/>
    <s v="201210CEH"/>
    <x v="0"/>
    <s v="Evaluating a Multidisciplinary E-Health Program to Promote Regular Physical Activity Among Individuals at Increased Risk of Cardiovascular Disease"/>
    <n v="99390"/>
    <n v="0"/>
    <n v="0"/>
    <m/>
    <s v="1 yr 0 mth "/>
    <x v="2"/>
    <s v="HEALTH PROMOTION; PSYCHOSOCIAL AND HEALTH BEHAVIOURS; PSYCHOSOCIAL/HEALTH BEHAVIOURAL RES.; HEALTH RESEARCH"/>
    <x v="0"/>
    <d v="2014-02-28T00:00:00"/>
    <n v="0"/>
    <s v="E-Health, Physical Activity, Cardiovascular Disease"/>
  </r>
  <r>
    <x v="4"/>
    <s v="Sunnybrook Research Institute (Toronto, Ontario)"/>
    <x v="0"/>
    <x v="0"/>
    <s v="201210CEH"/>
    <x v="0"/>
    <s v="Mental Health Telemetry for Self-Management in Major Depression"/>
    <n v="96207"/>
    <n v="0"/>
    <n v="0"/>
    <m/>
    <s v="1 yr 0 mth "/>
    <x v="3"/>
    <s v="HEALTH PROMOTION; MENTAL HEALTH"/>
    <x v="0"/>
    <d v="2014-02-28T00:00:00"/>
    <n v="0"/>
    <s v="Mental Health, Telemetry, Depression"/>
  </r>
  <r>
    <x v="5"/>
    <s v="University Health Network (Toronto)"/>
    <x v="0"/>
    <x v="0"/>
    <s v="201210CEH"/>
    <x v="0"/>
    <s v="Design and Evaluation of an mHealth Behavioural Intervention for the Self-Management of Type 2 Diabetes Mellitus"/>
    <n v="99350"/>
    <n v="0"/>
    <n v="0"/>
    <m/>
    <s v="1 yr 0 mth "/>
    <x v="4"/>
    <s v="DIABETES MELLITUS; HEALTH CARE DELIVERY; METABOLISM/DIABETES; PSYCHOSOCIAL/HEALTH BEHAVIOURAL RES."/>
    <x v="0"/>
    <d v="2014-02-28T00:00:00"/>
    <n v="0"/>
    <s v="mHealth, Behavioural Intervention, Diabetes"/>
  </r>
  <r>
    <x v="6"/>
    <s v="University Health Network (Toronto)"/>
    <x v="0"/>
    <x v="0"/>
    <s v="201310CEH"/>
    <x v="0"/>
    <s v="Self-management and clinical decision support of multiple chronic conditions through the use of mobile health telemonitoring"/>
    <n v="0"/>
    <n v="0"/>
    <n v="91916"/>
    <s v="Ontario Health - CCO - Cancer Care Ontario (Toronto)"/>
    <s v="1 yr 0 mth "/>
    <x v="2"/>
    <s v="HEALTH CARE DELIVERY; HEALTH SERVICES RESEARCH; HEALTH RESEARCH"/>
    <x v="1"/>
    <d v="2015-02-28T00:00:00"/>
    <n v="0"/>
    <s v="self-management, telemonitoring, chronic conditions"/>
  </r>
  <r>
    <x v="7"/>
    <s v="University of British Columbia"/>
    <x v="3"/>
    <x v="0"/>
    <s v="201210CEH"/>
    <x v="0"/>
    <s v="ANSWER-2: A biologic decision aid for patients with rheumatoid arthritis"/>
    <n v="96661"/>
    <n v="0"/>
    <n v="0"/>
    <m/>
    <s v="1 yr 0 mth "/>
    <x v="0"/>
    <s v="ARTHRITIS/OSTEOARTHRITIS; HEALTH CARE DELIVERY; MUSCLE, BONE, OR JOINT; HEALTH SERVICES RESEARCH"/>
    <x v="0"/>
    <d v="2014-02-28T00:00:00"/>
    <n v="0"/>
    <s v="biologic, decision aid, rheumatoid arthritis"/>
  </r>
  <r>
    <x v="8"/>
    <s v="University of British Columbia"/>
    <x v="3"/>
    <x v="0"/>
    <s v="201210CEH"/>
    <x v="0"/>
    <s v="Quality of life in bipolar disorder: e-health engagement to move evidence into action."/>
    <n v="100000"/>
    <n v="0"/>
    <n v="0"/>
    <m/>
    <s v="1 yr 0 mth "/>
    <x v="3"/>
    <s v="DEPRESSION; PSYCHO-SOCIAL AND BEHAVIOURAL RESEARCH; MENTAL HEALTH; PSYCHOSOCIAL/HEALTH BEHAVIOURAL RES."/>
    <x v="0"/>
    <d v="2014-02-28T00:00:00"/>
    <n v="0"/>
    <s v="bipolar disorder, e-health, engagement"/>
  </r>
  <r>
    <x v="9"/>
    <s v="University of Manitoba"/>
    <x v="4"/>
    <x v="0"/>
    <s v="201310CEH"/>
    <x v="0"/>
    <s v="Games and Telerehabilitation for Balance impairments and gaze dysfunction: Testing model in clients with Peripheral Vestibular Disorders"/>
    <n v="66461"/>
    <n v="0"/>
    <n v="0"/>
    <m/>
    <s v="1 yr 0 mth "/>
    <x v="5"/>
    <s v="HEALTH CARE DELIVERY; NONE OF THE ABOVE; HEALTH RESEARCH; NERVOUS SYSTEM"/>
    <x v="1"/>
    <d v="2015-02-28T00:00:00"/>
    <n v="0"/>
    <s v="Telerehabilitation, Balance, Vestibular Disorders"/>
  </r>
  <r>
    <x v="10"/>
    <s v="University of Ottawa"/>
    <x v="0"/>
    <x v="0"/>
    <s v="201310CEH"/>
    <x v="0"/>
    <s v="Can e-therapies reduce waiting lists in secondary mental health care? A randomised controlled trial"/>
    <n v="89988"/>
    <n v="0"/>
    <n v="0"/>
    <m/>
    <s v="1 yr 0 mth "/>
    <x v="2"/>
    <s v="DEPRESSION; HEALTH CARE DELIVERY; MENTAL HEALTH; PSYCHOSOCIAL/HEALTH BEHAVIOURAL RES."/>
    <x v="1"/>
    <d v="2015-02-28T00:00:00"/>
    <n v="0"/>
    <s v="e-therapies, mental health, waiting lists"/>
  </r>
  <r>
    <x v="11"/>
    <s v="Women's College Hospital (Toronto)"/>
    <x v="0"/>
    <x v="0"/>
    <s v="201310CEH"/>
    <x v="0"/>
    <s v="Replacing ambulatory clinic follow-up with remote home monitoring using smartphones in breast reconstruction patients: Is it cost-effective?"/>
    <n v="38042"/>
    <n v="1861"/>
    <n v="0"/>
    <m/>
    <s v="1 yr 0 mth "/>
    <x v="2"/>
    <s v="HEALTH ECONOMICS; BREAST CANCER; HEALTH SERVICES RESEARCH"/>
    <x v="1"/>
    <d v="2015-02-28T00:00:00"/>
    <n v="0"/>
    <s v="remote monitoring, smartphones, breast reconstruction"/>
  </r>
  <r>
    <x v="12"/>
    <s v="Sunnybrook Research Institute (Toronto, Ontario)"/>
    <x v="0"/>
    <x v="1"/>
    <s v="201310CEA"/>
    <x v="0"/>
    <s v="Predicting Emergency Delirium with an Interactive Computer Tablet(PreDICT)"/>
    <n v="89178"/>
    <n v="1759"/>
    <n v="0"/>
    <m/>
    <s v="1 yr 0 mth "/>
    <x v="6"/>
    <s v="GERIATRICS; AGING; HEALTH RESEARCH"/>
    <x v="1"/>
    <d v="2015-02-28T00:00:00"/>
    <n v="0"/>
    <s v="Emergency, Delirium, Tablet"/>
  </r>
  <r>
    <x v="13"/>
    <s v="University of Alberta"/>
    <x v="1"/>
    <x v="1"/>
    <s v="201310CEA"/>
    <x v="0"/>
    <s v="Promoting Health of Older Adults through CHANGE technology"/>
    <n v="92112"/>
    <n v="0"/>
    <n v="0"/>
    <m/>
    <s v="1 yr 0 mth "/>
    <x v="6"/>
    <s v="HEALTH CARE DELIVERY; AGING; METABOLISM/DIABETES"/>
    <x v="1"/>
    <d v="2015-02-28T00:00:00"/>
    <n v="0"/>
    <s v="Older adults, CHANGE, health"/>
  </r>
  <r>
    <x v="14"/>
    <s v="University of British Columbia"/>
    <x v="3"/>
    <x v="1"/>
    <s v="201310CEA"/>
    <x v="0"/>
    <s v="A mixed-method study to explore, assess, and explain the translation of a complex set of evidence-based rules into practice through electronic medical record based decision support: How can STOPP effectively be deployed in primary care?"/>
    <n v="80459"/>
    <n v="0"/>
    <n v="0"/>
    <m/>
    <s v="1 yr 0 mth "/>
    <x v="2"/>
    <s v="HEALTH CARE DELIVERY; HEALTH SERVICES RESEARCH; DRUG RESEARCH; GERIATRICS"/>
    <x v="1"/>
    <d v="2015-02-28T00:00:00"/>
    <n v="0"/>
    <s v="decision support, electronic medical record, primary care"/>
  </r>
  <r>
    <x v="15"/>
    <s v="Institut de recherches cliniques de Montréal"/>
    <x v="2"/>
    <x v="2"/>
    <s v="200811CHV"/>
    <x v="1"/>
    <s v="Dissecting the mechanisms of protection by attenuated Nef-deleted HIV vaccine"/>
    <n v="100000"/>
    <n v="0"/>
    <n v="0"/>
    <m/>
    <s v="1 yr 0 mth "/>
    <x v="7"/>
    <s v="AIDS; VIRAL; VIROLOGY; IMMUNOLOGY-TRANSPLANTATION"/>
    <x v="3"/>
    <d v="2010-02-28T00:00:00"/>
    <n v="0"/>
    <s v="HIV, vaccine, Nef"/>
  </r>
  <r>
    <x v="16"/>
    <s v="McMaster University"/>
    <x v="0"/>
    <x v="2"/>
    <s v="200811CHV"/>
    <x v="1"/>
    <s v="Functional correlate of mucosal antibody response to HIV infection in blood."/>
    <n v="100000"/>
    <n v="0"/>
    <n v="0"/>
    <m/>
    <s v="1 yr 0 mth "/>
    <x v="7"/>
    <s v="AIDS; IMMUNOLOGY-TRANSPLANTATION; VIROLOGY"/>
    <x v="3"/>
    <d v="2010-02-28T00:00:00"/>
    <n v="0"/>
    <s v="mucosal antibody, HIV, blood"/>
  </r>
  <r>
    <x v="17"/>
    <s v="Memorial University of Newfoundland"/>
    <x v="5"/>
    <x v="2"/>
    <s v="200811CHV"/>
    <x v="1"/>
    <s v="Heteroclitic Peptides to Increase Human Immunodeficiency Virus-specific CD8+ T cell Interleukin-2 Production"/>
    <n v="100000"/>
    <n v="0"/>
    <n v="0"/>
    <m/>
    <s v="1 yr 0 mth "/>
    <x v="7"/>
    <s v="AIDS; VIRAL; IMMUNOLOGY-TRANSPLANTATION; VIROLOGY"/>
    <x v="3"/>
    <d v="2010-02-28T00:00:00"/>
    <n v="0"/>
    <s v="Heteroclitic Peptides, Immunodeficiency Virus, CD8+ T cells"/>
  </r>
  <r>
    <x v="18"/>
    <s v="Université Laval"/>
    <x v="2"/>
    <x v="2"/>
    <s v="200811CHV"/>
    <x v="1"/>
    <s v="Promoting innate immunity to HIV infection by vaccine delivery of third generation RNA analogs"/>
    <n v="100000"/>
    <n v="0"/>
    <n v="0"/>
    <m/>
    <s v="1 yr 0 mth "/>
    <x v="7"/>
    <s v="VIRAL; AIDS; VIROLOGY; MOLECULAR BIOLOGY"/>
    <x v="3"/>
    <d v="2010-02-28T00:00:00"/>
    <n v="1"/>
    <s v="innate immunity, HIV, RNA analogs"/>
  </r>
  <r>
    <x v="19"/>
    <s v="Université Laval"/>
    <x v="2"/>
    <x v="2"/>
    <s v="200811CHV"/>
    <x v="1"/>
    <s v="A new human cell experimental system for evaluating prototype HIV-1 vaccines"/>
    <n v="100000"/>
    <n v="0"/>
    <n v="0"/>
    <m/>
    <s v="1 yr 0 mth "/>
    <x v="7"/>
    <s v="AIDS; VIRAL; VIROLOGY; IMMUNOLOGY-TRANSPLANTATION"/>
    <x v="3"/>
    <d v="2010-02-28T00:00:00"/>
    <n v="5"/>
    <s v="human cell, HIV-1, vaccines"/>
  </r>
  <r>
    <x v="20"/>
    <s v="Centre hospitalier de l'Université de Montréal (CHUM)"/>
    <x v="2"/>
    <x v="3"/>
    <s v="201211CHR"/>
    <x v="2"/>
    <s v="Establishment of Long-Lived HIV-1 Reservoirs in Naive Th17 Precursors: Implications for the Cure"/>
    <n v="100000"/>
    <n v="0"/>
    <n v="0"/>
    <m/>
    <s v="1 yr 0 mth "/>
    <x v="7"/>
    <s v="VIRAL; AIDS; VIROLOGY; IMMUNOLOGY-TRANSPLANTATION"/>
    <x v="0"/>
    <d v="2014-02-28T00:00:00"/>
    <n v="0"/>
    <s v="HIV-1, Reservoirs, Th17"/>
  </r>
  <r>
    <x v="21"/>
    <s v="Centre hospitalier de l'Université de Montréal (CHUM)"/>
    <x v="2"/>
    <x v="3"/>
    <s v="201211CHR"/>
    <x v="2"/>
    <s v="Identification of Naturally-Occurring anti-HIV-1 Neutralizing Molecules from a Cohort of Highly-HIV-1-Exposed Seronegative Individuals"/>
    <n v="100000"/>
    <n v="0"/>
    <n v="0"/>
    <m/>
    <s v="1 yr 0 mth "/>
    <x v="7"/>
    <s v="AIDS; VIRAL; VISION; MOLECULAR BIOLOGY"/>
    <x v="0"/>
    <d v="2014-02-28T00:00:00"/>
    <n v="1"/>
    <s v="anti-HIV, neutralizing molecules, seronegative"/>
  </r>
  <r>
    <x v="22"/>
    <s v="Centre hospitalier de l'Université de Montréal (CHUM)"/>
    <x v="2"/>
    <x v="3"/>
    <s v="201211CHR"/>
    <x v="2"/>
    <s v="Modulation of BLyS levels to restore immune efficiency and reduce HIV targets."/>
    <n v="100000"/>
    <n v="0"/>
    <n v="0"/>
    <m/>
    <s v="1 yr 0 mth "/>
    <x v="7"/>
    <s v="AIDS; VIRAL; IMMUNOLOGY-TRANSPLANTATION; VIROLOGY"/>
    <x v="0"/>
    <d v="2014-02-28T00:00:00"/>
    <n v="0"/>
    <s v="BLyS, immune, HIV"/>
  </r>
  <r>
    <x v="23"/>
    <s v="McMaster University"/>
    <x v="0"/>
    <x v="3"/>
    <s v="201211CHR"/>
    <x v="2"/>
    <s v="A humanized mouse model for understanding HIV-1 mucosal pathogenesis"/>
    <n v="100000"/>
    <n v="0"/>
    <n v="0"/>
    <m/>
    <s v="1 yr 0 mth "/>
    <x v="7"/>
    <s v="VIRAL; GENITO/URINARY SYSTEM; VIROLOGY; IMMUNOLOGY-TRANSPLANTATION"/>
    <x v="0"/>
    <d v="2014-02-28T00:00:00"/>
    <n v="0"/>
    <s v="humanized mouse, HIV-1, mucosal"/>
  </r>
  <r>
    <x v="24"/>
    <s v="Research Institute of the McGill University Health Centre"/>
    <x v="2"/>
    <x v="3"/>
    <s v="201211CHR"/>
    <x v="2"/>
    <s v="Determinants of the functional cure profile observed in HIV infected Elite Controllers."/>
    <n v="100000"/>
    <n v="0"/>
    <n v="0"/>
    <m/>
    <s v="1 yr 0 mth "/>
    <x v="7"/>
    <s v="AIDS; VIRAL; IMMUNOLOGY-TRANSPLANTATION; VIROLOGY"/>
    <x v="0"/>
    <d v="2014-02-28T00:00:00"/>
    <n v="0"/>
    <s v="HIV, Elite Controllers, functional cure"/>
  </r>
  <r>
    <x v="25"/>
    <s v="Research Institute of the McGill University Health Centre"/>
    <x v="2"/>
    <x v="3"/>
    <s v="201211CHR"/>
    <x v="2"/>
    <s v="The orchid study: A pilot assessment of viral reservoir and immune compartmentalization in testicular tissue of HIV-infected subjects"/>
    <n v="99997"/>
    <n v="0"/>
    <n v="0"/>
    <m/>
    <s v="1 yr 0 mth "/>
    <x v="7"/>
    <s v="AIDS; INFECTIOUS AND PARASITIC; VIROLOGY; IMMUNOLOGY-TRANSPLANTATION"/>
    <x v="0"/>
    <d v="2014-02-28T00:00:00"/>
    <n v="0"/>
    <s v="orchid, viral reservoir, immune compartmentalization"/>
  </r>
  <r>
    <x v="26"/>
    <s v="Simon Fraser University (Burnaby, B.C.)"/>
    <x v="3"/>
    <x v="3"/>
    <s v="201211CHR"/>
    <x v="2"/>
    <s v="Probing MBL function in oligomannose-specific anti-HIV antibody responses"/>
    <n v="98300"/>
    <n v="0"/>
    <n v="0"/>
    <m/>
    <s v="1 yr 0 mth "/>
    <x v="7"/>
    <s v="AIDS; VIRAL; HEALTH RESEARCH; VIROLOGY"/>
    <x v="0"/>
    <d v="2014-02-28T00:00:00"/>
    <n v="0"/>
    <s v="MBL, oligomannose, HIV"/>
  </r>
  <r>
    <x v="27"/>
    <s v="Université de Sherbrooke"/>
    <x v="2"/>
    <x v="3"/>
    <s v="201211CHR"/>
    <x v="2"/>
    <s v="Core promoter-binding complexes as novel targets to cure HIV/AIDS"/>
    <n v="100000"/>
    <n v="0"/>
    <n v="0"/>
    <m/>
    <s v="1 yr 0 mth "/>
    <x v="7"/>
    <s v="AIDS; VIRAL; VIROLOGY; MOLECULAR BIOLOGY"/>
    <x v="0"/>
    <d v="2014-02-28T00:00:00"/>
    <n v="0"/>
    <s v="core promoter, binding complexes, HIV/AIDS"/>
  </r>
  <r>
    <x v="28"/>
    <s v="University of Toronto"/>
    <x v="0"/>
    <x v="3"/>
    <s v="201211CHR"/>
    <x v="2"/>
    <s v="Enhancing the Recognition and Killing of HIV Reservoirs"/>
    <n v="100000"/>
    <n v="0"/>
    <n v="0"/>
    <m/>
    <s v="1 yr 0 mth "/>
    <x v="7"/>
    <s v="AIDS; VIRAL; IMMUNOLOGY-TRANSPLANTATION; VIROLOGY"/>
    <x v="0"/>
    <d v="2014-02-28T00:00:00"/>
    <n v="0"/>
    <s v="HIV, Reservoirs, Recognition"/>
  </r>
  <r>
    <x v="29"/>
    <s v="University of Toronto"/>
    <x v="0"/>
    <x v="3"/>
    <s v="201211CHR"/>
    <x v="2"/>
    <s v="How viral membrane components influence epitope recognition by the broadly neutralizing anti-HIV-1 antibody 2F5: potential translation into vaccine design"/>
    <n v="100000"/>
    <n v="0"/>
    <n v="0"/>
    <m/>
    <s v="1 yr 0 mth "/>
    <x v="7"/>
    <s v="AIDS; VIRAL; BIOCHEMISTRY; VIROLOGY"/>
    <x v="0"/>
    <d v="2014-02-28T00:00:00"/>
    <n v="0"/>
    <s v="viral membrane, epitope recognition, HIV-1"/>
  </r>
  <r>
    <x v="30"/>
    <s v="Hospital for Sick Children (Toronto)"/>
    <x v="0"/>
    <x v="4"/>
    <s v="200903NHG"/>
    <x v="3"/>
    <s v="Nanomanipulation and high resolution in situ gene mapping"/>
    <n v="300000"/>
    <n v="0"/>
    <n v="0"/>
    <m/>
    <s v="3 yrs 0 mth "/>
    <x v="8"/>
    <s v="LEUKAEMIAS; MULTIPLE DISEASE RELEVANCE; CELL BIOLOGY; CANCER"/>
    <x v="4"/>
    <d v="2012-09-30T00:00:00"/>
    <n v="0"/>
    <s v="Nanomanipulation, gene mapping, in situ"/>
  </r>
  <r>
    <x v="31"/>
    <s v="McGill University"/>
    <x v="2"/>
    <x v="4"/>
    <s v="200903NHG"/>
    <x v="3"/>
    <s v="Transcellular Complementation of Split GFPs and Split Inteins for Mapping Neuronal Circuitry"/>
    <n v="298212"/>
    <n v="0"/>
    <n v="0"/>
    <m/>
    <s v="3 yrs 0 mth "/>
    <x v="3"/>
    <s v="CNS ORGANIC; SCHIZOPHRENIA; CELL BIOLOGY; NERVOUS SYSTEM"/>
    <x v="4"/>
    <d v="2012-09-30T00:00:00"/>
    <n v="0"/>
    <s v="GFPs, Inteins, Neuronal Circuitry"/>
  </r>
  <r>
    <x v="32"/>
    <s v="McGill University"/>
    <x v="2"/>
    <x v="4"/>
    <s v="201003NHG"/>
    <x v="3"/>
    <s v="Regulation of adipogenesis by osteocalcin"/>
    <n v="191400"/>
    <n v="0"/>
    <n v="0"/>
    <m/>
    <s v="2 yrs 0 mth "/>
    <x v="4"/>
    <s v="OBESITY; METABOLISM AND NUTRITION; CELL BIOLOGY; BIOCHEMISTRY"/>
    <x v="5"/>
    <d v="2012-09-30T00:00:00"/>
    <n v="0"/>
    <s v="adipogenesis, osteocalcin"/>
  </r>
  <r>
    <x v="33"/>
    <s v="McMaster University"/>
    <x v="0"/>
    <x v="4"/>
    <s v="200903NHG"/>
    <x v="3"/>
    <s v="Catalytic DNA for protein sensing"/>
    <n v="292815"/>
    <n v="0"/>
    <n v="0"/>
    <m/>
    <s v="3 yrs 0 mth "/>
    <x v="8"/>
    <s v="MULTIDISCIPLINARY; BIOCHEMISTRY; CANCER"/>
    <x v="4"/>
    <d v="2012-09-30T00:00:00"/>
    <n v="7"/>
    <s v="Catalytic DNA, protein sensing"/>
  </r>
  <r>
    <x v="34"/>
    <s v="Montreal Heart Institute"/>
    <x v="2"/>
    <x v="4"/>
    <s v="201003NHG"/>
    <x v="3"/>
    <s v="Fast multispectral diffuse optical imager applied to pharmacokinetics of cancer."/>
    <n v="276850"/>
    <n v="0"/>
    <n v="0"/>
    <m/>
    <s v="3 yrs 0 mth "/>
    <x v="1"/>
    <s v="BREAST CANCER; MULTIDISCIPLINARY; IMAGING; CANCER"/>
    <x v="5"/>
    <d v="2013-09-30T00:00:00"/>
    <n v="0"/>
    <s v="multispectral, diffuse optical, pharmacokinetics"/>
  </r>
  <r>
    <x v="35"/>
    <s v="Ottawa Hospital Research Institute"/>
    <x v="0"/>
    <x v="4"/>
    <s v="201003NHG"/>
    <x v="3"/>
    <s v="Development of a novel therapy for treatment of Spinal Muscular Atrophy"/>
    <n v="200000"/>
    <n v="0"/>
    <n v="0"/>
    <m/>
    <s v="2 yrs 0 mth "/>
    <x v="0"/>
    <s v="MUSCULO SKELETAL; MUSCULAR DYSTROPHY; MUSCLE, BONE, OR JOINT; NERVOUS SYSTEM"/>
    <x v="5"/>
    <d v="2012-09-30T00:00:00"/>
    <n v="0"/>
    <s v="Spinal Muscular Atrophy, therapy"/>
  </r>
  <r>
    <x v="36"/>
    <s v="Research Institute of the McGill University Health Centre"/>
    <x v="2"/>
    <x v="4"/>
    <s v="200903NHG"/>
    <x v="3"/>
    <s v="A high throughput platform for discovery and noninvasive detection of tumor-specific fusion genes in human cancer"/>
    <n v="297750"/>
    <n v="0"/>
    <n v="0"/>
    <m/>
    <s v="3 yrs 0 mth "/>
    <x v="8"/>
    <s v="PROSTATE AND BLADDER CANCER; NEOPLASMS; CANCER; GENETICS"/>
    <x v="4"/>
    <d v="2012-09-30T00:00:00"/>
    <n v="0"/>
    <s v="high throughput, fusion genes, cancer"/>
  </r>
  <r>
    <x v="37"/>
    <s v="Université de Montréal"/>
    <x v="2"/>
    <x v="4"/>
    <s v="200903NHG"/>
    <x v="3"/>
    <s v="New Methods for Site-Specific Labelling of Proteins"/>
    <n v="300000"/>
    <n v="0"/>
    <n v="0"/>
    <m/>
    <s v="3 yrs 0 mth "/>
    <x v="8"/>
    <s v="MULTIDISCIPLINARY; BIOCHEMISTRY"/>
    <x v="4"/>
    <d v="2012-09-30T00:00:00"/>
    <n v="5"/>
    <s v="Site-specific, Labelling, Proteins"/>
  </r>
  <r>
    <x v="38"/>
    <s v="University Health Network (Toronto)"/>
    <x v="0"/>
    <x v="4"/>
    <s v="200902NHG"/>
    <x v="3"/>
    <s v="Design of novel microfluidic devices to stimulate growth and maintenance of ex vivo pancreatic islet endothelial cells."/>
    <n v="90400"/>
    <n v="0"/>
    <n v="0"/>
    <m/>
    <s v="1 yr 0 mth "/>
    <x v="8"/>
    <s v="DIABETES MELLITUS; METABOLISM AND NUTRITION; METABOLISM/DIABETES; BIOPHYSICS"/>
    <x v="6"/>
    <d v="2010-01-31T00:00:00"/>
    <n v="0"/>
    <s v="microfluidic, pancreatic islet, endothelial cells"/>
  </r>
  <r>
    <x v="39"/>
    <s v="University of Alberta"/>
    <x v="1"/>
    <x v="4"/>
    <s v="200902NHG"/>
    <x v="3"/>
    <s v="Intracellular biosensors based on engineered fluorescent proteins: new tools and techniques for imaging the spatiotemporal dynamics of correlated biochemical events in single cells"/>
    <n v="90600"/>
    <n v="0"/>
    <n v="0"/>
    <m/>
    <s v="1 yr 0 mth "/>
    <x v="8"/>
    <s v="CANCER THERAPY GENERAL; BREAST CANCER; BIOCHEMISTRY; IMAGING"/>
    <x v="6"/>
    <d v="2010-01-31T00:00:00"/>
    <n v="0"/>
    <s v="biosensors, fluorescent proteins, imaging"/>
  </r>
  <r>
    <x v="39"/>
    <s v="University of Alberta"/>
    <x v="1"/>
    <x v="4"/>
    <s v="200903NHG"/>
    <x v="3"/>
    <s v="New tools for real-time imaging of multiple signaling events in single cells: design, construction, and biological applications of genetically encoded biosensors"/>
    <n v="259225"/>
    <n v="0"/>
    <n v="0"/>
    <m/>
    <s v="3 yrs 0 mth "/>
    <x v="8"/>
    <s v="DIABETES MELLITUS; CANCER THERAPY GENERAL; IMAGING; BIOCHEMISTRY"/>
    <x v="4"/>
    <d v="2012-09-30T00:00:00"/>
    <n v="5"/>
    <s v="imaging, biosensors, signaling"/>
  </r>
  <r>
    <x v="40"/>
    <s v="University of British Columbia"/>
    <x v="3"/>
    <x v="4"/>
    <s v="200902NHG"/>
    <x v="3"/>
    <s v="Integrated Microsystems for Selecting and Screening Novel Molecular Recognition Reagents"/>
    <n v="73000"/>
    <n v="25000"/>
    <n v="0"/>
    <m/>
    <s v="1 yr 0 mth "/>
    <x v="8"/>
    <s v="DRUGS- PHARMACEUTICAL SCIENCE/CHEMISTRY &amp; NON MEDICAL USE OF DRUGS; MULTIPLE DISEASE RELEVANCE; BIOPHYSICS; DRUG RESEARCH"/>
    <x v="6"/>
    <d v="2010-01-31T00:00:00"/>
    <n v="1"/>
    <s v="microarrays, molecular recognition, screening"/>
  </r>
  <r>
    <x v="41"/>
    <s v="University of British Columbia"/>
    <x v="3"/>
    <x v="4"/>
    <s v="201003NHG"/>
    <x v="3"/>
    <s v="A New Tool for the Comprehensive Analysis of Peptides and Proteins in Biological and Biomedical Research"/>
    <n v="300000"/>
    <n v="0"/>
    <n v="0"/>
    <m/>
    <s v="3 yrs 0 mth "/>
    <x v="8"/>
    <s v="MULTIPLE DISEASE RELEVANCE; QUALITATIVE METHODS; GENOMICS, PROTEOMICS, AND BIOINFORMATICS; BIOPHYSICS"/>
    <x v="5"/>
    <d v="2013-09-30T00:00:00"/>
    <n v="0"/>
    <s v="peptides, proteins, analysis"/>
  </r>
  <r>
    <x v="42"/>
    <s v="University of British Columbia"/>
    <x v="3"/>
    <x v="4"/>
    <s v="201003NHG"/>
    <x v="3"/>
    <s v="Establishment of a Novel High Throughput Conditional Gene Trapping System"/>
    <n v="300000"/>
    <n v="0"/>
    <n v="0"/>
    <m/>
    <s v="3 yrs 0 mth "/>
    <x v="8"/>
    <s v="MULTIPLE DISEASE RELEVANCE; DETERMINANTS OF HEALTH; GENETICS; CELL BIOLOGY"/>
    <x v="5"/>
    <d v="2013-09-30T00:00:00"/>
    <n v="1"/>
    <s v="Gene trapping, High throughput, Conditional"/>
  </r>
  <r>
    <x v="43"/>
    <s v="University of Toronto"/>
    <x v="0"/>
    <x v="4"/>
    <s v="200902NHG"/>
    <x v="3"/>
    <s v="Impulsive Heat desorption of the single cell - towards a full protein content determination"/>
    <n v="89450"/>
    <n v="0"/>
    <n v="0"/>
    <m/>
    <s v="1 yr 0 mth "/>
    <x v="8"/>
    <s v="NONE OF THE ABOVE; BIOPHYSICS; IMAGING"/>
    <x v="6"/>
    <d v="2010-01-31T00:00:00"/>
    <n v="0"/>
    <s v="Heat desorption, protein content, single cell"/>
  </r>
  <r>
    <x v="44"/>
    <s v="University of Toronto"/>
    <x v="0"/>
    <x v="4"/>
    <s v="200902NHG"/>
    <x v="3"/>
    <s v="Development of the mammalian membrane two-hybrid technology"/>
    <n v="99519"/>
    <n v="0"/>
    <n v="0"/>
    <m/>
    <s v="1 yr 0 mth "/>
    <x v="8"/>
    <s v="NONE OF THE ABOVE; GENETICS; MOLECULAR BIOLOGY"/>
    <x v="6"/>
    <d v="2010-01-31T00:00:00"/>
    <n v="1"/>
    <s v="mammalian, membrane, two-hybrid"/>
  </r>
  <r>
    <x v="44"/>
    <s v="University of Toronto"/>
    <x v="0"/>
    <x v="4"/>
    <s v="200903NHG"/>
    <x v="3"/>
    <s v="Development of the mammalian membrane two-hybrid technology."/>
    <n v="298557"/>
    <n v="0"/>
    <n v="0"/>
    <m/>
    <s v="3 yrs 0 mth "/>
    <x v="8"/>
    <s v="NONE OF THE ABOVE; GENETICS; MOLECULAR BIOLOGY"/>
    <x v="4"/>
    <d v="2012-09-30T00:00:00"/>
    <n v="0"/>
    <s v="mammalian, membrane, two-hybrid"/>
  </r>
  <r>
    <x v="45"/>
    <s v="Brock University (Ontario)"/>
    <x v="0"/>
    <x v="5"/>
    <s v="202307NWI"/>
    <x v="4"/>
    <s v="Identifying epigenetic biomarkers of the response to cognitive behavioural therapy in mothers/birthing parents treated for postpartum depression"/>
    <n v="146230"/>
    <n v="0"/>
    <n v="0"/>
    <m/>
    <s v="1 yr 0 mth "/>
    <x v="9"/>
    <s v="DEPRESSION; MENTAL AND BEHAVIOURAL DISEASES; MENTAL HEALTH; NERVOUS SYSTEM"/>
    <x v="7"/>
    <d v="2025-01-31T00:00:00"/>
    <n v="0"/>
    <s v="epigenetic, biomarkers, postpartum depression"/>
  </r>
  <r>
    <x v="46"/>
    <s v="Brock University (Ontario)"/>
    <x v="0"/>
    <x v="5"/>
    <s v="202307NWI"/>
    <x v="4"/>
    <s v="Targeting BDNF signaling for postmenopausal brain health"/>
    <n v="130000"/>
    <n v="0"/>
    <n v="0"/>
    <m/>
    <s v="1 yr 0 mth "/>
    <x v="3"/>
    <s v="ALZHEIMER'S DISEASE; HEALTH RESEARCH; AGING"/>
    <x v="7"/>
    <d v="2025-01-31T00:00:00"/>
    <n v="0"/>
    <s v="BDNF, signaling, brain health"/>
  </r>
  <r>
    <x v="47"/>
    <s v="Centre for Addiction and Mental Health (Toronto)"/>
    <x v="0"/>
    <x v="5"/>
    <s v="202307NWI"/>
    <x v="4"/>
    <s v="Uncovering the biological liability to migraine and anxiety in women"/>
    <n v="149500"/>
    <n v="0"/>
    <n v="0"/>
    <m/>
    <s v="1 yr 0 mth "/>
    <x v="8"/>
    <s v="MENTAL AND BEHAVIOURAL DISEASES; GENETICS; MENTAL HEALTH"/>
    <x v="7"/>
    <d v="2025-01-31T00:00:00"/>
    <n v="0"/>
    <s v="biological, migraine, anxiety"/>
  </r>
  <r>
    <x v="48"/>
    <s v="Centre hospitalier de l'Universite de Montreal (CHUM)"/>
    <x v="2"/>
    <x v="5"/>
    <s v="202307NWI"/>
    <x v="4"/>
    <s v="Unveiling the Role of Cellular Aging in Postmenopausal Syndrome: Rationale for Senolytic-Based Strategies to Enhance Women's Health"/>
    <n v="108000"/>
    <n v="0"/>
    <n v="0"/>
    <m/>
    <s v="1 yr 0 mth "/>
    <x v="9"/>
    <s v="AGING; MULTIPLE DISEASE RELEVANCE; HEALTH RESEARCH"/>
    <x v="7"/>
    <d v="2025-01-31T00:00:00"/>
    <n v="0"/>
    <s v="cellular aging, senolytic, women's health"/>
  </r>
  <r>
    <x v="49"/>
    <s v="CIUSSS du Centre-Sud-de-l'ele-de-Montreal (Montreal, Quebec)"/>
    <x v="2"/>
    <x v="5"/>
    <s v="202307NWI"/>
    <x v="4"/>
    <s v="Acceptability, user experience and effect of a new mobile app, 'OUPS!', a FemTech solution designed for the treatment of urinary incontinence in menopausal women: a mixed method study"/>
    <n v="149489"/>
    <n v="0"/>
    <n v="0"/>
    <m/>
    <s v="1 yr 0 mth "/>
    <x v="9"/>
    <s v="MUSCULO SKELETAL; RENAL FUNCTION, NEPHROLOGY, UROLOGY; MUSCLE, BONE, OR JOINT"/>
    <x v="7"/>
    <d v="2025-01-31T00:00:00"/>
    <n v="0"/>
    <s v="mobile app, urinary incontinence, FemTech"/>
  </r>
  <r>
    <x v="50"/>
    <s v="Dalhousie University (Nova Scotia)"/>
    <x v="6"/>
    <x v="5"/>
    <s v="202307NWI"/>
    <x v="4"/>
    <s v="Understanding the role of chronic chlamydial infection in ovarian cancer"/>
    <n v="150000"/>
    <n v="0"/>
    <n v="0"/>
    <m/>
    <s v="1 yr 0 mth "/>
    <x v="1"/>
    <s v="CARCINOGENS (INCL ENVIRONMENTAL); INFECTIOUS AND PARASITIC; CANCER; IMMUNOLOGY-TRANSPLANTATION"/>
    <x v="7"/>
    <d v="2025-01-31T00:00:00"/>
    <n v="0"/>
    <s v="chlamydial infection, ovarian cancer"/>
  </r>
  <r>
    <x v="51"/>
    <s v="McGill University"/>
    <x v="2"/>
    <x v="5"/>
    <s v="202307NWI"/>
    <x v="4"/>
    <s v="Targeting inhibin B action to regulate follicle-stimulating hormone production and female fertility"/>
    <n v="117400"/>
    <n v="0"/>
    <n v="0"/>
    <m/>
    <s v="1 yr 0 mth "/>
    <x v="10"/>
    <s v="ENDOCRINOLOGY; PITUITARY; REPRODUCTION/PREGNANCY"/>
    <x v="7"/>
    <d v="2025-01-31T00:00:00"/>
    <n v="0"/>
    <s v="inhibin B, follicle-stimulating hormone, female fertility"/>
  </r>
  <r>
    <x v="52"/>
    <s v="McMaster University"/>
    <x v="0"/>
    <x v="5"/>
    <s v="202307NWI"/>
    <x v="4"/>
    <s v="Pregnancy's Microbial Marvels: Unraveling the Intestinal Secrets of Maternal Metabolic Regulation"/>
    <n v="100000"/>
    <n v="0"/>
    <n v="0"/>
    <m/>
    <s v="1 yr 0 mth "/>
    <x v="9"/>
    <s v="PREGNANCY/BIRTH; DIABETES MELLITUS; REPRODUCTION/PREGNANCY; METABOLISM/DIABETES"/>
    <x v="7"/>
    <d v="2025-01-31T00:00:00"/>
    <n v="0"/>
    <s v="microbial, intestinal, metabolic"/>
  </r>
  <r>
    <x v="53"/>
    <s v="Queen's University (Kingston, Ontario)"/>
    <x v="0"/>
    <x v="5"/>
    <s v="202307NWI"/>
    <x v="4"/>
    <s v="A paradigm shift in understanding Hunner lesion-interstitial cystitis/bladder pain syndrome: examining autoimmunity as a driver of disease and targeting B cells as a novel therapeutic opportunity"/>
    <n v="150000"/>
    <n v="0"/>
    <n v="0"/>
    <m/>
    <s v="1 yr 0 mth "/>
    <x v="7"/>
    <s v="GENITO/URINARY SYSTEM; POPULATION HEALTH; RENAL FUNCTION, NEPHROLOGY, UROLOGY; IMMUNOLOGY-TRANSPLANTATION"/>
    <x v="7"/>
    <d v="2025-01-31T00:00:00"/>
    <n v="0"/>
    <s v="Hunner lesion, interstitial cystitis, B cells"/>
  </r>
  <r>
    <x v="54"/>
    <s v="Queen's University (Kingston, Ontario)"/>
    <x v="0"/>
    <x v="5"/>
    <s v="202307NWI"/>
    <x v="4"/>
    <s v="Unique extracellular vesicle signatures in the pathophysiology of endometriosis"/>
    <n v="150000"/>
    <n v="0"/>
    <n v="0"/>
    <m/>
    <s v="1 yr 0 mth "/>
    <x v="10"/>
    <s v="INFERTILITY FEMALE; ENDOCRINOLOGY; REPRODUCTION/PREGNANCY; GENOMICS, PROTEOMICS, AND BIOINFORMATICS"/>
    <x v="7"/>
    <d v="2025-01-31T00:00:00"/>
    <n v="0"/>
    <s v="extracellular vesicle, endometriosis, signatures"/>
  </r>
  <r>
    <x v="55"/>
    <s v="Research Institute of the McGill University Health Centre"/>
    <x v="2"/>
    <x v="5"/>
    <s v="202307NWI"/>
    <x v="4"/>
    <s v="Short-term patient-derived ovarian cancer organoids for frontline drug sensitivity testing"/>
    <n v="150000"/>
    <n v="0"/>
    <n v="0"/>
    <m/>
    <s v="1 yr 0 mth "/>
    <x v="1"/>
    <s v="CANCER THERAPY GENERAL; CANCER; DRUG RESEARCH"/>
    <x v="7"/>
    <d v="2025-01-31T00:00:00"/>
    <n v="0"/>
    <s v="ovarian cancer, organoids, drug sensitivity"/>
  </r>
  <r>
    <x v="56"/>
    <s v="Research Institute of the McGill University Health Centre"/>
    <x v="2"/>
    <x v="5"/>
    <s v="202307NWI"/>
    <x v="4"/>
    <s v="Magnetic Resonance Imaging (MRI) and Artificial Intelligence (AI) can improve preoperative malignancy risk prediction of ovarian masses."/>
    <n v="150000"/>
    <n v="0"/>
    <n v="0"/>
    <m/>
    <s v="1 yr 0 mth "/>
    <x v="1"/>
    <s v="NEOPLASMS; NONE OF THE ABOVE; IMAGING; CANCER"/>
    <x v="7"/>
    <d v="2025-01-31T00:00:00"/>
    <n v="0"/>
    <s v="Magnetic Resonance Imaging, Artificial Intelligence, Ovarian masses"/>
  </r>
  <r>
    <x v="57"/>
    <s v="Sinai Health System (Toronto)"/>
    <x v="0"/>
    <x v="5"/>
    <s v="202307NWI"/>
    <x v="4"/>
    <s v="Redefining the diagnosis and treatment of hypertension in pregnancy through the integration of placental growth factor (PlGF) testing."/>
    <n v="123234"/>
    <n v="0"/>
    <n v="0"/>
    <m/>
    <s v="1 yr 0 mth "/>
    <x v="11"/>
    <s v="PREGNANCY/BIRTH; HYPERTENSION; REPRODUCTION/PREGNANCY; CARDIOVASCULAR"/>
    <x v="7"/>
    <d v="2025-01-31T00:00:00"/>
    <n v="0"/>
    <s v="hypertension, pregnancy, placental growth factor"/>
  </r>
  <r>
    <x v="58"/>
    <s v="Universite de Sherbrooke"/>
    <x v="2"/>
    <x v="5"/>
    <s v="202307NWI"/>
    <x v="4"/>
    <s v="Punctures physiotherapiques avec aiguilles seches pour la vestibulodynie provoquee: une etude de faisabilite et d'acceptabilite randomisee et contrelee"/>
    <n v="149971"/>
    <n v="0"/>
    <n v="0"/>
    <m/>
    <s v="1 yr 0 mth "/>
    <x v="9"/>
    <s v="GENITO/URINARY SYSTEM; MULTIDISCIPLINARY; REPRODUCTION/PREGNANCY; MUSCLE, BONE, OR JOINT"/>
    <x v="7"/>
    <d v="2025-01-31T00:00:00"/>
    <n v="0"/>
    <s v="punctures, physiotherapy, vestibulodynia"/>
  </r>
  <r>
    <x v="59"/>
    <s v="Universite de Sherbrooke"/>
    <x v="2"/>
    <x v="5"/>
    <s v="202307NWI"/>
    <x v="4"/>
    <s v="Automating data acquisition and data processing pipeline via artificial intelligence and machine learning approaches to allow at-home use of a novel breast cancer screening method employing bra-based elastography imaging."/>
    <n v="150000"/>
    <n v="0"/>
    <n v="0"/>
    <m/>
    <s v="1 yr 0 mth "/>
    <x v="1"/>
    <s v="BREAST CANCER; MULTIDISCIPLINARY; IMAGING; CANCER"/>
    <x v="7"/>
    <d v="2025-01-31T00:00:00"/>
    <n v="0"/>
    <s v="data acquisition, elastography imaging, breast cancer"/>
  </r>
  <r>
    <x v="60"/>
    <s v="Universite du Quebec e Trois-Rivieres"/>
    <x v="2"/>
    <x v="5"/>
    <s v="202307NWI"/>
    <x v="4"/>
    <s v="Characterization of a novel molecular strategy to alleviate post-menopausal metabolic &amp; mood disorders"/>
    <n v="150000"/>
    <n v="0"/>
    <n v="0"/>
    <m/>
    <s v="1 yr 0 mth "/>
    <x v="4"/>
    <s v="OBESITY; ENDOCRINOLOGY; METABOLISM/DIABETES"/>
    <x v="7"/>
    <d v="2025-01-31T00:00:00"/>
    <n v="0"/>
    <s v="molecular strategy, post-menopausal, metabolic"/>
  </r>
  <r>
    <x v="61"/>
    <s v="University of British Columbia"/>
    <x v="3"/>
    <x v="5"/>
    <s v="202307NWI"/>
    <x v="4"/>
    <s v="Prediction of Pregnancy Outcomes Using Point-of-Care First Trimester Biomarkers in a Recurrent Pregnancy Loss Population"/>
    <n v="111386"/>
    <n v="0"/>
    <n v="0"/>
    <m/>
    <s v="1 yr 0 mth "/>
    <x v="9"/>
    <s v="PREGNANCY/BIRTH; REPRODUCTION/PREGNANCY; HEALTH RESEARCH"/>
    <x v="7"/>
    <d v="2025-01-31T00:00:00"/>
    <n v="0"/>
    <s v="Pregnancy, Biomarkers, Prediction"/>
  </r>
  <r>
    <x v="62"/>
    <s v="University of Calgary"/>
    <x v="1"/>
    <x v="5"/>
    <s v="202307NWI"/>
    <x v="4"/>
    <s v="Exploring biomarkers of physical activity promotion of cognition in menopause: Role of race/ethnicity"/>
    <n v="150000"/>
    <n v="0"/>
    <n v="0"/>
    <m/>
    <s v="1 yr 0 mth "/>
    <x v="6"/>
    <s v="AGING; ALZHEIMER'S DISEASE; ENDOCRINOLOGY"/>
    <x v="7"/>
    <d v="2025-01-31T00:00:00"/>
    <n v="0"/>
    <s v="biomarkers, physical activity, cognition"/>
  </r>
  <r>
    <x v="63"/>
    <s v="University of Calgary"/>
    <x v="1"/>
    <x v="5"/>
    <s v="202307NWI"/>
    <x v="4"/>
    <s v="Characterizing the impact of hysterectomy on female physiology: A proof-of-concept cohort study in pelvic organ prolapse patients"/>
    <n v="150000"/>
    <n v="0"/>
    <n v="0"/>
    <m/>
    <s v="1 yr 0 mth "/>
    <x v="9"/>
    <s v="GENITO/URINARY SYSTEM; ENDOCRINOLOGY; REPRODUCTION/PREGNANCY; HEALTH RESEARCH"/>
    <x v="7"/>
    <d v="2025-01-31T00:00:00"/>
    <n v="0"/>
    <s v="hysterectomy, physiology, pelvic organ prolapse"/>
  </r>
  <r>
    <x v="64"/>
    <s v="University of Guelph"/>
    <x v="0"/>
    <x v="5"/>
    <s v="202307NWI"/>
    <x v="4"/>
    <s v="Getting to the Heart of Domestic Abuse: Identifying the molecular mechanisms of heart disease in association with physical and psychological stress"/>
    <n v="150000"/>
    <n v="0"/>
    <n v="0"/>
    <m/>
    <s v="1 yr 0 mth "/>
    <x v="9"/>
    <s v="CARDIOLOGY; MYOCARDIAL INFARCTION; CARDIOVASCULAR; CELL BIOLOGY"/>
    <x v="7"/>
    <d v="2025-01-31T00:00:00"/>
    <n v="0"/>
    <s v="heart disease, molecular mechanisms, stress"/>
  </r>
  <r>
    <x v="65"/>
    <s v="University of Victoria (British Columbia)"/>
    <x v="3"/>
    <x v="5"/>
    <s v="202307NWI"/>
    <x v="4"/>
    <s v="The pathophysiology and blood biomarkers of brain injury in intimate partner violence: Insights from a new rat model"/>
    <n v="150000"/>
    <n v="0"/>
    <n v="0"/>
    <m/>
    <s v="1 yr 0 mth "/>
    <x v="9"/>
    <s v="INJURY, REGENERATION; MENTAL DISABILITY; NERVOUS SYSTEM; MENTAL HEALTH"/>
    <x v="7"/>
    <d v="2025-01-31T00:00:00"/>
    <n v="0"/>
    <s v="brain injury, blood biomarkers, rat model"/>
  </r>
  <r>
    <x v="66"/>
    <s v="Vancouver Island University (Nanaimo, BC)"/>
    <x v="3"/>
    <x v="5"/>
    <s v="202307NWI"/>
    <x v="4"/>
    <s v="Blood biomarkers to detect brain injury due to intimate partner violence"/>
    <n v="149720"/>
    <n v="0"/>
    <n v="0"/>
    <m/>
    <s v="1 yr 0 mth "/>
    <x v="9"/>
    <s v="INJURY, REGENERATION; NONE OF THE ABOVE; NERVOUS SYSTEM; MENTAL HEALTH"/>
    <x v="7"/>
    <d v="2025-01-31T00:00:00"/>
    <n v="0"/>
    <s v="blood biomarkers, brain injury, partner violence"/>
  </r>
  <r>
    <x v="67"/>
    <s v="Western University (Ontario)"/>
    <x v="0"/>
    <x v="5"/>
    <s v="202307NWI"/>
    <x v="4"/>
    <s v="Identifying causes of neovaginal malodour in transfeminine people"/>
    <n v="149115"/>
    <n v="0"/>
    <n v="0"/>
    <m/>
    <s v="1 yr 0 mth "/>
    <x v="9"/>
    <m/>
    <x v="8"/>
    <d v="2024-04-30T00:00:00"/>
    <n v="0"/>
    <s v="neovaginal, malodour, transfeminine"/>
  </r>
  <r>
    <x v="67"/>
    <s v="Western University (Ontario)"/>
    <x v="0"/>
    <x v="5"/>
    <s v="202307NWI"/>
    <x v="4"/>
    <s v="Identifying causes of neovaginal malodour in transfeminine people"/>
    <n v="149115"/>
    <n v="0"/>
    <n v="0"/>
    <m/>
    <s v="1 yr 0 mth "/>
    <x v="9"/>
    <s v="HEALTH RESEARCH"/>
    <x v="7"/>
    <d v="2025-01-31T00:00:00"/>
    <n v="0"/>
    <s v="neovaginal, malodour, transfeminine"/>
  </r>
  <r>
    <x v="68"/>
    <s v="Hospital for Sick Children (Toronto)"/>
    <x v="0"/>
    <x v="6"/>
    <s v="201706PCG"/>
    <x v="5"/>
    <s v="Longitudinal symptom screening and symptom reporting, and development and access to supportive care clinical practice guidelines using SPARK (Supportive care Prioritization, Assessment and Recommendations for Kids) in children receiving cancer treatment"/>
    <n v="199906"/>
    <n v="0"/>
    <n v="0"/>
    <m/>
    <s v="2 yrs 0 mth "/>
    <x v="1"/>
    <s v="CANCER"/>
    <x v="9"/>
    <d v="2019-08-31T00:00:00"/>
    <n v="0"/>
    <s v="symptom screening, supportive care, clinical guidelines"/>
  </r>
  <r>
    <x v="69"/>
    <s v="Ontario Tech University"/>
    <x v="0"/>
    <x v="6"/>
    <s v="201706PCG"/>
    <x v="5"/>
    <s v="Improving heart failure outcomes through apps that support self-management and adherence"/>
    <n v="146368"/>
    <n v="0"/>
    <n v="0"/>
    <m/>
    <s v="2 yrs 0 mth "/>
    <x v="4"/>
    <s v="STROKE, HEART FAILURE; HEALTH PROMOTION; CARDIOVASCULAR; NUTRITION"/>
    <x v="9"/>
    <d v="2019-08-31T00:00:00"/>
    <n v="0"/>
    <s v="heart failure, self-management, adherence"/>
  </r>
  <r>
    <x v="70"/>
    <s v="Ottawa Heart Institute Research Corporation (Ontario)"/>
    <x v="0"/>
    <x v="6"/>
    <s v="201706PCG"/>
    <x v="5"/>
    <s v="E-health intervention for cardiac rehabilitation: Pilot implementation and feasibility assessment"/>
    <n v="199091"/>
    <n v="0"/>
    <n v="0"/>
    <m/>
    <s v="2 yrs 0 mth "/>
    <x v="11"/>
    <s v="HEALTH SERVICES RESEARCH; CARDIOLOGY; PSYCHOSOCIAL/HEALTH BEHAVIOURAL RES."/>
    <x v="9"/>
    <d v="2019-08-31T00:00:00"/>
    <n v="0"/>
    <s v="e-health, cardiac, rehabilitation"/>
  </r>
  <r>
    <x v="71"/>
    <s v="Sinai Health System (Toronto)"/>
    <x v="0"/>
    <x v="6"/>
    <s v="201706PCG"/>
    <x v="5"/>
    <s v="Security and authentication for large scale deployment of disease-specific applications for patients with serious and complex renal disease."/>
    <n v="200000"/>
    <n v="0"/>
    <n v="0"/>
    <m/>
    <s v="2 yrs 0 mth "/>
    <x v="2"/>
    <s v="HEALTH CARE DELIVERY; MULTIPLE DISEASE RELEVANCE; HEALTH SERVICES RESEARCH; RENAL FUNCTION, NEPHROLOGY, UROLOGY"/>
    <x v="9"/>
    <d v="2019-08-31T00:00:00"/>
    <n v="0"/>
    <s v="security, authentication, renal disease"/>
  </r>
  <r>
    <x v="72"/>
    <s v="Université de Montréal"/>
    <x v="2"/>
    <x v="6"/>
    <s v="201706PCG"/>
    <x v="5"/>
    <s v="Optimizing a home-based virtual reality exercise program for chronic stroke patients: A telerehabilitation approach"/>
    <n v="197481"/>
    <n v="0"/>
    <n v="0"/>
    <m/>
    <s v="2 yrs 0 mth "/>
    <x v="11"/>
    <s v="STROKE, HEART FAILURE; HEALTH CARE DELIVERY; NERVOUS SYSTEM; AGING"/>
    <x v="9"/>
    <d v="2019-08-31T00:00:00"/>
    <n v="0"/>
    <s v="virtual reality, telerehabilitation, stroke"/>
  </r>
  <r>
    <x v="73"/>
    <s v="Université Laval"/>
    <x v="2"/>
    <x v="6"/>
    <s v="201706PCG"/>
    <x v="5"/>
    <s v="PainQuILT: A patient-centred e-health solution to empower older adults and improve pain assessment and management"/>
    <n v="162027"/>
    <n v="0"/>
    <n v="0"/>
    <m/>
    <s v="2 yrs 0 mth "/>
    <x v="6"/>
    <s v="AGING; NONE OF THE ABOVE; GERIATRICS; NERVOUS SYSTEM"/>
    <x v="9"/>
    <d v="2019-08-31T00:00:00"/>
    <n v="0"/>
    <s v="e-health, pain assessment, older adults"/>
  </r>
  <r>
    <x v="74"/>
    <s v="Université Laval"/>
    <x v="2"/>
    <x v="6"/>
    <s v="201706PCG"/>
    <x v="5"/>
    <s v="Analytical mobile application to support shared decision making for pregnant women"/>
    <n v="199888"/>
    <n v="0"/>
    <n v="0"/>
    <m/>
    <s v="2 yrs 0 mth "/>
    <x v="2"/>
    <s v="HEALTH CARE DELIVERY; PERINATAL; POPULATION HEALTH; HEALTH RESEARCH"/>
    <x v="9"/>
    <d v="2019-08-31T00:00:00"/>
    <n v="0"/>
    <s v="mobile application, shared decision making, pregnant women"/>
  </r>
  <r>
    <x v="75"/>
    <s v="University Health Network (Toronto)"/>
    <x v="0"/>
    <x v="6"/>
    <s v="201706PCG"/>
    <x v="5"/>
    <s v="Developing a wearable device and a mobile application that aids patients in self-management of their COPD by providing biofeedback, education and guidance"/>
    <n v="197304"/>
    <n v="0"/>
    <n v="0"/>
    <m/>
    <s v="2 yrs 0 mth "/>
    <x v="11"/>
    <s v="RESPIRATION; HEALTH RESEARCH"/>
    <x v="9"/>
    <d v="2019-08-31T00:00:00"/>
    <n v="1"/>
    <s v="wearable device, mobile application, COPD"/>
  </r>
  <r>
    <x v="76"/>
    <s v="University of Alberta"/>
    <x v="1"/>
    <x v="6"/>
    <s v="201706PCG"/>
    <x v="5"/>
    <s v="HEAL-C : Home-based eHealth App for Cirrhosis"/>
    <n v="200000"/>
    <n v="0"/>
    <n v="0"/>
    <m/>
    <s v="2 yrs 0 mth "/>
    <x v="4"/>
    <s v="LIVER DISEASE; MUSCULO SKELETAL; GASTROINTESTINAL (LIVER); MUSCLE, BONE, OR JOINT"/>
    <x v="9"/>
    <d v="2019-08-31T00:00:00"/>
    <n v="0"/>
    <s v="eHealth, Cirrhosis, App"/>
  </r>
  <r>
    <x v="77"/>
    <s v="University of British Columbia"/>
    <x v="3"/>
    <x v="6"/>
    <s v="201706PCG"/>
    <x v="5"/>
    <s v="An app-based intervention to empower self-management for people with rheumatoid arthritis"/>
    <n v="200000"/>
    <n v="0"/>
    <n v="0"/>
    <m/>
    <s v="2 yrs 0 mth "/>
    <x v="2"/>
    <s v="ARTHRITIS/OSTEOARTHRITIS; HEALTH SERVICES RESEARCH; MUSCLE, BONE, OR JOINT"/>
    <x v="9"/>
    <d v="2019-08-31T00:00:00"/>
    <n v="0"/>
    <s v="app, self-management, rheumatoid arthritis"/>
  </r>
  <r>
    <x v="78"/>
    <s v="University of British Columbia"/>
    <x v="3"/>
    <x v="6"/>
    <s v="201706PCG"/>
    <x v="5"/>
    <s v="The Live 5-2-1-0 eHealth App - Supporting health professionals and educators to raise a healthier generation of kids"/>
    <n v="199870"/>
    <n v="0"/>
    <n v="0"/>
    <m/>
    <s v="2 yrs 0 mth "/>
    <x v="4"/>
    <s v="POPULATION HEALTH; HEALTH RESEARCH"/>
    <x v="9"/>
    <d v="2019-08-31T00:00:00"/>
    <n v="0"/>
    <s v="eHealth, app, health"/>
  </r>
  <r>
    <x v="79"/>
    <s v="University of British Columbia"/>
    <x v="3"/>
    <x v="6"/>
    <s v="201706PCG"/>
    <x v="5"/>
    <s v="Development, validation, and dissemination of an individualized prediction tool for acute exacerbations of chronic obstructive pulmonary disease"/>
    <n v="198305"/>
    <n v="0"/>
    <n v="0"/>
    <m/>
    <s v="2 yrs 0 mth "/>
    <x v="5"/>
    <s v="CHRONIC OBSTRUCTIVE LUNG DISEASE; EPIDEMIOLOGY; RESPIRATION; POPULATION HEALTH"/>
    <x v="9"/>
    <d v="2019-08-31T00:00:00"/>
    <n v="0"/>
    <s v="prediction, COPD, exacerbations"/>
  </r>
  <r>
    <x v="80"/>
    <s v="University of Victoria (British Columbia)"/>
    <x v="3"/>
    <x v="6"/>
    <s v="201706PCG"/>
    <x v="5"/>
    <s v="Focus:  Engaging patients with chronic pain to use their character strengths to improve quality of life through a tailored mHealth intervention."/>
    <n v="199427"/>
    <n v="0"/>
    <n v="0"/>
    <m/>
    <s v="2 yrs 0 mth "/>
    <x v="0"/>
    <s v="NONE OF THE ABOVE; PSYCHOSOCIAL/HEALTH BEHAVIOURAL RES.; MUSCLE, BONE, OR JOINT"/>
    <x v="9"/>
    <d v="2019-08-31T00:00:00"/>
    <n v="0"/>
    <s v="chronic pain, mHealth, patient engagement"/>
  </r>
  <r>
    <x v="81"/>
    <s v="University of Manitoba"/>
    <x v="4"/>
    <x v="7"/>
    <s v="200903ROP"/>
    <x v="6"/>
    <s v="Nucleosomal response and immediate early gene expression"/>
    <n v="100000"/>
    <n v="0"/>
    <n v="0"/>
    <m/>
    <s v="2 yrs 0 mth "/>
    <x v="1"/>
    <s v="NEOPLASMS; CARCINOGENS (INCL ENVIRONMENTAL); CANCER; CELL BIOLOGY"/>
    <x v="4"/>
    <d v="2011-09-30T00:00:00"/>
    <n v="0"/>
    <s v="Nucleosomal, gene expression, immediate early"/>
  </r>
  <r>
    <x v="82"/>
    <s v="Queen's University (Kingston, Ontario)"/>
    <x v="0"/>
    <x v="8"/>
    <s v="200810XCP"/>
    <x v="7"/>
    <s v="Opioids modify glial activity in models of chronic pain and opioid  tolerant states"/>
    <n v="54351"/>
    <n v="0"/>
    <n v="0"/>
    <m/>
    <s v="2 yrs 0 mth "/>
    <x v="6"/>
    <s v="AGING; MENTAL AND BEHAVIOURAL DISEASES; MOLECULAR BIOLOGY"/>
    <x v="10"/>
    <d v="2011-03-31T00:00:00"/>
    <n v="0"/>
    <s v="opioids, glial, pain"/>
  </r>
  <r>
    <x v="83"/>
    <s v="Brock University (Ontario)"/>
    <x v="0"/>
    <x v="9"/>
    <s v="201310CPG"/>
    <x v="8"/>
    <s v="Pressure Sore Risk Management in Children with Cerebral Palsy: Local and Whole Body Thermoregulation Strategies, Material Interface and Care Protocols"/>
    <n v="292623"/>
    <n v="0"/>
    <n v="0"/>
    <m/>
    <s v="3 yrs 0 mth "/>
    <x v="0"/>
    <s v="ENVIRONMENTAL INFLUENCES ON HEALTH; MULTIDISCIPLINARY; HEALTH RESEARCH; MUSCLE, BONE, OR JOINT"/>
    <x v="11"/>
    <d v="2017-03-31T00:00:00"/>
    <n v="0"/>
    <s v="Pressure sore, thermoregulation, cerebral palsy"/>
  </r>
  <r>
    <x v="84"/>
    <s v="Carleton University (Ottawa)"/>
    <x v="0"/>
    <x v="9"/>
    <s v="201610CPG"/>
    <x v="8"/>
    <s v="The development of a next-generation polymeric headform surrogate for concussion and helmet evaluation"/>
    <n v="298928"/>
    <n v="0"/>
    <n v="0"/>
    <m/>
    <s v="3 yrs 0 mth "/>
    <x v="3"/>
    <s v="INJURY, REGENERATION; MULTIDISCIPLINARY; NERVOUS SYSTEM; MUSCLE, BONE, OR JOINT"/>
    <x v="12"/>
    <d v="2020-03-31T00:00:00"/>
    <n v="1"/>
    <s v="polymeric, headform, concussion"/>
  </r>
  <r>
    <x v="85"/>
    <s v="Carleton University (Ottawa)"/>
    <x v="0"/>
    <x v="9"/>
    <s v="201910CPG"/>
    <x v="8"/>
    <s v="Reducing vibrations to improve infant patient safety during transportation"/>
    <n v="174703"/>
    <n v="86730"/>
    <n v="0"/>
    <m/>
    <s v="3 yrs 0 mth "/>
    <x v="10"/>
    <s v="HEALTH CARE DELIVERY; PERINATAL; HEALTH RESEARCH; ENVIRONMENTAL INFLUENCES ON HEALTH"/>
    <x v="13"/>
    <d v="2023-03-31T00:00:00"/>
    <n v="0"/>
    <s v="vibrations, infant, transportation"/>
  </r>
  <r>
    <x v="86"/>
    <s v="Dalhousie University (Nova Scotia)"/>
    <x v="6"/>
    <x v="9"/>
    <s v="201410CPG"/>
    <x v="8"/>
    <s v="Lensless microscopy for rapid portable hematology diagnostics at the point of care"/>
    <n v="431955"/>
    <n v="0"/>
    <n v="0"/>
    <m/>
    <s v="3 yrs 0 mth "/>
    <x v="1"/>
    <s v="BLOOD; LEUKAEMIAS; IMAGING"/>
    <x v="14"/>
    <d v="2018-03-31T00:00:00"/>
    <n v="1"/>
    <s v="lensless,microscopy,hematology"/>
  </r>
  <r>
    <x v="87"/>
    <s v="Dalhousie University (Nova Scotia)"/>
    <x v="6"/>
    <x v="9"/>
    <s v="201610CPG"/>
    <x v="8"/>
    <s v="Optical coherence tomography of the middle ear"/>
    <n v="337717"/>
    <n v="0"/>
    <n v="0"/>
    <m/>
    <s v="3 yrs 0 mth "/>
    <x v="6"/>
    <s v="DEAFNESS; MULTIPLE DISEASE RELEVANCE; IMAGING; HEARING"/>
    <x v="12"/>
    <d v="2020-03-31T00:00:00"/>
    <n v="4"/>
    <s v="Optical coherence tomography, middle ear"/>
  </r>
  <r>
    <x v="88"/>
    <s v="Dalhousie University (Nova Scotia)"/>
    <x v="6"/>
    <x v="9"/>
    <s v="201910CPG"/>
    <x v="8"/>
    <s v="Development of a near-care diagnostic test for Lyme disease"/>
    <n v="460441"/>
    <n v="31265"/>
    <n v="0"/>
    <m/>
    <s v="3 yrs 0 mth "/>
    <x v="7"/>
    <s v="INFECTIOUS AND PARASITIC; MULTIPLE DISEASE RELEVANCE; GENOMICS, PROTEOMICS, AND BIOINFORMATICS; NOT CLASSIFIED"/>
    <x v="13"/>
    <d v="2023-03-31T00:00:00"/>
    <n v="0"/>
    <s v="diagnostic test, Lyme disease"/>
  </r>
  <r>
    <x v="89"/>
    <s v="École de technologie supérieure (Montréal)"/>
    <x v="2"/>
    <x v="9"/>
    <s v="201210CPG"/>
    <x v="8"/>
    <s v="Innovative vascular implants based on electrospinning and bioactive coatings"/>
    <n v="305350"/>
    <n v="0"/>
    <n v="0"/>
    <m/>
    <s v="3 yrs 0 mth "/>
    <x v="11"/>
    <s v="ATHEROSCLEROSIS; CARDIOLOGY; CARDIOVASCULAR"/>
    <x v="15"/>
    <d v="2016-03-31T00:00:00"/>
    <n v="2"/>
    <s v="vascular, electrospinning, bioactive"/>
  </r>
  <r>
    <x v="90"/>
    <s v="École de technologie supérieure (Montréal)"/>
    <x v="2"/>
    <x v="9"/>
    <s v="201610CPG"/>
    <x v="8"/>
    <s v="Injectable bioactive hydrogel for the regeneration of intervertebral disc"/>
    <n v="298387"/>
    <n v="0"/>
    <n v="0"/>
    <m/>
    <s v="3 yrs 0 mth "/>
    <x v="0"/>
    <s v="MUSCULO SKELETAL; INJURY, REGENERATION; MUSCLE, BONE, OR JOINT"/>
    <x v="12"/>
    <d v="2020-03-31T00:00:00"/>
    <n v="0"/>
    <s v="bioactive, hydrogel, intervertebral disc"/>
  </r>
  <r>
    <x v="91"/>
    <s v="Lakehead University (Thunder Bay, Ontario)"/>
    <x v="0"/>
    <x v="9"/>
    <s v="201410CPG"/>
    <x v="8"/>
    <s v="High intensity focused ultrasound and newly engineered single domain antibodies for non-invasive treatment of human papillomavirus-related cervical cancer"/>
    <n v="226870"/>
    <n v="0"/>
    <n v="0"/>
    <m/>
    <s v="3 yrs 0 mth "/>
    <x v="1"/>
    <s v="CANCER THERAPY GENERAL; GENITO/URINARY SYSTEM; CANCER; VIROLOGY"/>
    <x v="14"/>
    <d v="2018-03-31T00:00:00"/>
    <n v="0"/>
    <s v="ultrasound, antibodies, cervical cancer"/>
  </r>
  <r>
    <x v="92"/>
    <s v="McGill University"/>
    <x v="2"/>
    <x v="9"/>
    <s v="201210CPG"/>
    <x v="8"/>
    <s v="Multidimensional separation isolation and characterization of circulating tumour cells"/>
    <n v="343124"/>
    <n v="0"/>
    <n v="0"/>
    <m/>
    <s v="3 yrs 0 mth "/>
    <x v="1"/>
    <s v="BREAST CANCER; CANCER"/>
    <x v="15"/>
    <d v="2016-03-31T00:00:00"/>
    <n v="1"/>
    <s v="multidimensional separation, circulating tumour cells, isolation"/>
  </r>
  <r>
    <x v="93"/>
    <s v="McGill University"/>
    <x v="2"/>
    <x v="9"/>
    <s v="201210CPG"/>
    <x v="8"/>
    <s v="DNA Cages as a Platform for Efficient and Selective Delivery of Therapeutics into Tumor Cells"/>
    <n v="400000"/>
    <n v="0"/>
    <n v="0"/>
    <m/>
    <s v="3 yrs 0 mth "/>
    <x v="1"/>
    <s v="LEUKAEMIAS; CANCER THERAPY GENERAL; DRUG RESEARCH; CANCER"/>
    <x v="15"/>
    <d v="2016-03-31T00:00:00"/>
    <n v="0"/>
    <s v="DNA cages, targeted delivery, tumor cells"/>
  </r>
  <r>
    <x v="94"/>
    <s v="McGill University"/>
    <x v="2"/>
    <x v="9"/>
    <s v="201210CPG"/>
    <x v="8"/>
    <s v="Nanoconfinement Based Single-Cell Cytogenetic Platform for Pre-/Post-Implantation Genetic Diagnosis"/>
    <n v="219185"/>
    <n v="0"/>
    <n v="0"/>
    <m/>
    <s v="3 yrs 0 mth "/>
    <x v="8"/>
    <s v="PREGNANCY/BIRTH; MULTIDISCIPLINARY; GENOMICS, PROTEOMICS, AND BIOINFORMATICS; REPRODUCTION/PREGNANCY"/>
    <x v="15"/>
    <d v="2016-03-31T00:00:00"/>
    <n v="0"/>
    <s v="Nanoconfinement, Single-Cell, Cytogenetics"/>
  </r>
  <r>
    <x v="95"/>
    <s v="McGill University"/>
    <x v="2"/>
    <x v="9"/>
    <s v="201310CPG"/>
    <x v="8"/>
    <s v="IMPLANTABLE MICRO-DEVICE to MONITOR MUSCLE COMPARTMENT PRESSURE in TRAUMA VICTIMS"/>
    <n v="180569"/>
    <n v="0"/>
    <n v="0"/>
    <m/>
    <s v="3 yrs 0 mth "/>
    <x v="0"/>
    <s v="HEALTH CARE DELIVERY; MUSCULO SKELETAL; HEALTH RESEARCH; MUSCLE, BONE, OR JOINT"/>
    <x v="11"/>
    <d v="2017-03-31T00:00:00"/>
    <n v="2"/>
    <s v="implantable, micro-device, pressure"/>
  </r>
  <r>
    <x v="96"/>
    <s v="McGill University"/>
    <x v="2"/>
    <x v="9"/>
    <s v="201310CPG"/>
    <x v="8"/>
    <s v="Development of a mechanically biomcompatible hip replacement implant with Ti-6Al-4V open-cell microlattice architecture"/>
    <n v="237998"/>
    <n v="0"/>
    <n v="0"/>
    <m/>
    <s v="3 yrs 0 mth "/>
    <x v="0"/>
    <s v="MUSCULO SKELETAL; MUSCLE, BONE, OR JOINT"/>
    <x v="11"/>
    <d v="2017-03-31T00:00:00"/>
    <n v="2"/>
    <s v="hip replacement, biomcompatible, Ti-6Al-4V"/>
  </r>
  <r>
    <x v="97"/>
    <s v="McGill University"/>
    <x v="2"/>
    <x v="9"/>
    <s v="201310CPG"/>
    <x v="8"/>
    <s v="Rapidly-Gelling, Guanosine 5' Diphosphate-Crosslinked Injectable Chitosan Sponges to Promote Oligodendrocyte Progenitor Cells' Differentiation Post-Spinal Cord Injuries"/>
    <n v="277440"/>
    <n v="0"/>
    <n v="0"/>
    <m/>
    <s v="3 yrs 0 mth "/>
    <x v="3"/>
    <s v="SPINAL CORD DISEASE; INJURY, REGENERATION; NERVOUS SYSTEM; CELL BIOLOGY"/>
    <x v="11"/>
    <d v="2017-03-31T00:00:00"/>
    <n v="1"/>
    <s v="Guanosine, Chitosan, Sponges"/>
  </r>
  <r>
    <x v="98"/>
    <s v="McGill University"/>
    <x v="2"/>
    <x v="9"/>
    <s v="201410CPG"/>
    <x v="8"/>
    <s v="Nanofluidic Wet-Cell for Genomic Analysis of Single Circulating Tumor Cells via Electron Microscopy"/>
    <n v="358467"/>
    <n v="0"/>
    <n v="0"/>
    <m/>
    <s v="3 yrs 0 mth "/>
    <x v="1"/>
    <s v="MULTIPLE DISEASE RELEVANCE; MULTIDISCIPLINARY; GENETICS; BIOPHYSICS"/>
    <x v="14"/>
    <d v="2018-03-31T00:00:00"/>
    <n v="1"/>
    <s v="Nanofluidic, Genomic Analysis, Tumor Cells"/>
  </r>
  <r>
    <x v="99"/>
    <s v="McGill University"/>
    <x v="2"/>
    <x v="9"/>
    <s v="201510CPG"/>
    <x v="8"/>
    <s v="Biophysical Tools for the Characterization of Breast Cancer Cell Migration and Invasion"/>
    <n v="272500"/>
    <n v="0"/>
    <n v="0"/>
    <m/>
    <s v="3 yrs 0 mth "/>
    <x v="1"/>
    <s v="BREAST CANCER; CANCER; CELL BIOLOGY"/>
    <x v="16"/>
    <d v="2019-03-31T00:00:00"/>
    <n v="0"/>
    <s v="biophysical, breast cancer, cell migration"/>
  </r>
  <r>
    <x v="100"/>
    <s v="McGill University"/>
    <x v="2"/>
    <x v="9"/>
    <s v="201510CPG"/>
    <x v="8"/>
    <s v="Bio-integrated fully implantable peripheral nerve electrode for functional upper limb prostheses"/>
    <n v="247080"/>
    <n v="0"/>
    <n v="0"/>
    <m/>
    <s v="3 yrs 0 mth "/>
    <x v="3"/>
    <s v="CNS ORGANIC; NERVOUS SYSTEM"/>
    <x v="16"/>
    <d v="2019-03-31T00:00:00"/>
    <n v="0"/>
    <s v="bio-integrated, nerve electrode, prostheses"/>
  </r>
  <r>
    <x v="101"/>
    <s v="McGill University"/>
    <x v="2"/>
    <x v="9"/>
    <s v="201510CPG"/>
    <x v="8"/>
    <s v="Developing and clinically testing a learning algorithm that optimizes the performance of the artificial pancreas"/>
    <n v="218863"/>
    <n v="0"/>
    <n v="0"/>
    <m/>
    <s v="3 yrs 0 mth "/>
    <x v="4"/>
    <s v="MULTIDISCIPLINARY; DIABETES MELLITUS; METABOLISM/DIABETES"/>
    <x v="16"/>
    <d v="2019-03-31T00:00:00"/>
    <n v="1"/>
    <s v="learning algorithm, artificial pancreas, performance"/>
  </r>
  <r>
    <x v="102"/>
    <s v="McGill University"/>
    <x v="2"/>
    <x v="9"/>
    <s v="201610CPG"/>
    <x v="8"/>
    <s v="Acceleration and Intensification of Cell Culture-Produced Influenza Vaccines for Rapid Response to Pandemic Situation"/>
    <n v="371615"/>
    <n v="0"/>
    <n v="0"/>
    <m/>
    <s v="3 yrs 0 mth "/>
    <x v="7"/>
    <s v="INFECTIOUS AND PARASITIC; POPULATION HEALTH; BIOCHEMISTRY; VIROLOGY"/>
    <x v="12"/>
    <d v="2020-03-31T00:00:00"/>
    <n v="2"/>
    <s v="cell culture, influenza vaccines, pandemic"/>
  </r>
  <r>
    <x v="103"/>
    <s v="McGill University"/>
    <x v="2"/>
    <x v="9"/>
    <s v="201610CPG"/>
    <x v="8"/>
    <s v="Novel multilayered synthetic structural bone graft materials which combine biocompatibility, biodegradability and high toughness."/>
    <n v="163222"/>
    <n v="0"/>
    <n v="0"/>
    <m/>
    <s v="3 yrs 0 mth "/>
    <x v="0"/>
    <s v="INJURY, REGENERATION; BONE CANCER; MUSCLE, BONE, OR JOINT"/>
    <x v="12"/>
    <d v="2020-03-31T00:00:00"/>
    <n v="0"/>
    <s v="bone graft, biocompatibility, biodegradability"/>
  </r>
  <r>
    <x v="104"/>
    <s v="McGill University"/>
    <x v="2"/>
    <x v="9"/>
    <s v="201711CPG"/>
    <x v="8"/>
    <s v="Achieving precision in Image-guided Neurosurgery via an open source collaborative software environment"/>
    <n v="650227"/>
    <n v="0"/>
    <n v="0"/>
    <m/>
    <s v="3 yrs 0 mth "/>
    <x v="3"/>
    <s v="MULTIPLE DISEASE RELEVANCE; BRAIN TUMORS (INCL. RETINAL TUMORS); IMAGING; NERVOUS SYSTEM"/>
    <x v="17"/>
    <d v="2021-03-31T00:00:00"/>
    <n v="0"/>
    <s v="Image-guided, Neurosurgery, Software"/>
  </r>
  <r>
    <x v="105"/>
    <s v="McGill University"/>
    <x v="2"/>
    <x v="9"/>
    <s v="201810CPG"/>
    <x v="8"/>
    <s v="An Injectable Phosphate Releasing Bone Tissue Construct Encapsulating Adipose-Derived Stem Cells and Diphosphate Cleaving Enzymes to Promote Biomineralization in Critical Size Bone Defects"/>
    <n v="383593"/>
    <n v="0"/>
    <n v="0"/>
    <m/>
    <s v="3 yrs 0 mth "/>
    <x v="0"/>
    <s v="INJURY, REGENERATION; BREAST CANCER THERAPY; MUSCLE, BONE, OR JOINT; CELL BIOLOGY"/>
    <x v="18"/>
    <d v="2022-03-31T00:00:00"/>
    <n v="0"/>
    <s v="Bone, Stem Cells, Biomineralization"/>
  </r>
  <r>
    <x v="106"/>
    <s v="McGill University"/>
    <x v="2"/>
    <x v="9"/>
    <s v="201910CPG"/>
    <x v="8"/>
    <s v="Development of a non-invasive positron detector to measure the arterial input function for pharmacokinetic modelling in dynamic positron emission tomography imaging"/>
    <n v="1214556"/>
    <n v="89250"/>
    <n v="0"/>
    <m/>
    <s v="3 yrs 0 mth "/>
    <x v="1"/>
    <s v="MULTIDISCIPLINARY; CANCER THERAPY GENERAL; IMAGING; CANCER"/>
    <x v="13"/>
    <d v="2023-03-31T00:00:00"/>
    <n v="0"/>
    <s v="positron, detector, imaging"/>
  </r>
  <r>
    <x v="107"/>
    <s v="McMaster University"/>
    <x v="0"/>
    <x v="9"/>
    <s v="201210CPG"/>
    <x v="8"/>
    <s v="Development of a pumpless lung assist device which acts like an artificial placenta for neonates with respiratory failure."/>
    <n v="273358"/>
    <n v="0"/>
    <n v="0"/>
    <m/>
    <s v="3 yrs 0 mth "/>
    <x v="11"/>
    <s v="MULTIDISCIPLINARY; RESPIRATION; HEALTH RESEARCH; NOT CLASSIFIED"/>
    <x v="15"/>
    <d v="2016-03-31T00:00:00"/>
    <n v="0"/>
    <s v="lung assist, artificial placenta, neonates"/>
  </r>
  <r>
    <x v="108"/>
    <s v="McMaster University"/>
    <x v="0"/>
    <x v="9"/>
    <s v="201210CPG"/>
    <x v="8"/>
    <s v="The development of an eosinophil-specific bioactive paper detection system"/>
    <n v="300000"/>
    <n v="0"/>
    <n v="0"/>
    <m/>
    <s v="3 yrs 0 mth "/>
    <x v="11"/>
    <s v="RESPIRATION; CHRONIC OBSTRUCTIVE LUNG DISEASE; BIOCHEMISTRY"/>
    <x v="15"/>
    <d v="2016-03-31T00:00:00"/>
    <n v="0"/>
    <s v="eosinophil, bioactive paper, detection"/>
  </r>
  <r>
    <x v="109"/>
    <s v="McMaster University"/>
    <x v="0"/>
    <x v="9"/>
    <s v="201210CPG"/>
    <x v="8"/>
    <s v="Overcoming Antibiotic Resistance Through the Inhibition of Aminoglycoside Phosphotransferases (APH)."/>
    <n v="338199"/>
    <n v="0"/>
    <n v="0"/>
    <m/>
    <s v="3 yrs 0 mth "/>
    <x v="7"/>
    <s v="INFECTIOUS AND PARASITIC; DRUG RESEARCH; BIOCHEMISTRY"/>
    <x v="15"/>
    <d v="2016-03-31T00:00:00"/>
    <n v="0"/>
    <s v="Antibiotic resistance, Aminoglycoside, Phosphotransferases"/>
  </r>
  <r>
    <x v="110"/>
    <s v="McMaster University"/>
    <x v="0"/>
    <x v="9"/>
    <s v="201210CPG"/>
    <x v="8"/>
    <s v="Bioengineered chimpanzee adenovirus-based vaccines against tuberculosis: Optimization of immunologic property, formulation and delivery for bench-to-human applications"/>
    <n v="486740"/>
    <n v="0"/>
    <n v="0"/>
    <m/>
    <s v="3 yrs 0 mth "/>
    <x v="7"/>
    <s v="INFECTIOUS AND PARASITIC; HEALTH RESEARCH"/>
    <x v="15"/>
    <d v="2016-03-31T00:00:00"/>
    <n v="3"/>
    <s v="chimpanzee adenovirus, vaccines, tuberculosis"/>
  </r>
  <r>
    <x v="111"/>
    <s v="McMaster University"/>
    <x v="0"/>
    <x v="9"/>
    <s v="201310CPG"/>
    <x v="8"/>
    <s v="Pathway-specific cell-based high throughput screening for natural product antibiotics"/>
    <n v="322238"/>
    <n v="0"/>
    <n v="0"/>
    <m/>
    <s v="3 yrs 0 mth "/>
    <x v="7"/>
    <s v="INFECTIOUS AND PARASITIC; BACTERIOLOGY; BIOCHEMISTRY"/>
    <x v="11"/>
    <d v="2017-03-31T00:00:00"/>
    <n v="22"/>
    <s v="cell-based, high throughput, antibiotics"/>
  </r>
  <r>
    <x v="112"/>
    <s v="McMaster University"/>
    <x v="0"/>
    <x v="9"/>
    <s v="201510CPG"/>
    <x v="8"/>
    <s v="Development of Molecularly Targeted Ultrasound Contrast Agents for Prostate Cancer Imaging using Bioorthogonal Chemistry"/>
    <n v="261250"/>
    <n v="0"/>
    <n v="0"/>
    <m/>
    <s v="3 yrs 0 mth "/>
    <x v="1"/>
    <s v="PROSTATE AND BLADDER CANCER; IMAGING; CANCER"/>
    <x v="16"/>
    <d v="2019-03-31T00:00:00"/>
    <n v="0"/>
    <s v="Ultrasound, Contrast Agents, Prostate Cancer"/>
  </r>
  <r>
    <x v="113"/>
    <s v="McMaster University"/>
    <x v="0"/>
    <x v="9"/>
    <s v="201510CPG"/>
    <x v="8"/>
    <s v="Point of Care Device for Rapid Quantification of Cell-Free DNA  with Application in Severe Sepsis"/>
    <n v="240400"/>
    <n v="0"/>
    <n v="0"/>
    <m/>
    <s v="3 yrs 0 mth "/>
    <x v="11"/>
    <s v="INFECTIOUS AND PARASITIC; HEALTH CARE DELIVERY; BIOCHEMISTRY; BLOOD"/>
    <x v="16"/>
    <d v="2019-03-31T00:00:00"/>
    <n v="1"/>
    <s v="Point of Care, Cell-Free DNA, Sepsis"/>
  </r>
  <r>
    <x v="114"/>
    <s v="McMaster University"/>
    <x v="0"/>
    <x v="9"/>
    <s v="201610CPG"/>
    <x v="8"/>
    <s v="Paper-based diagnostic device for colorectal cancer detection"/>
    <n v="402900"/>
    <n v="0"/>
    <n v="0"/>
    <m/>
    <s v="3 yrs 0 mth "/>
    <x v="1"/>
    <s v="GASTRO-INTESTINAL CANCER; GASTRO-INTESTINAL DISEASE; CANCER; MOLECULAR BIOLOGY"/>
    <x v="12"/>
    <d v="2020-03-31T00:00:00"/>
    <n v="2"/>
    <s v="paper, diagnostic, colorectal cancer"/>
  </r>
  <r>
    <x v="115"/>
    <s v="McMaster University"/>
    <x v="0"/>
    <x v="9"/>
    <s v="201610CPG"/>
    <x v="8"/>
    <s v="Engineering Starch-Based Nanoparticles and Nanoparticle Clusters for Improving Local Drug Delivery to Tumour Cores and the Brain"/>
    <n v="240625"/>
    <n v="0"/>
    <n v="0"/>
    <m/>
    <s v="3 yrs 0 mth "/>
    <x v="3"/>
    <s v="CANCER THERAPY GENERAL; SCHIZOPHRENIA; DRUG RESEARCH; CANCER"/>
    <x v="12"/>
    <d v="2020-03-31T00:00:00"/>
    <n v="3"/>
    <s v="Starch, Nanoparticles, Drug delivery"/>
  </r>
  <r>
    <x v="116"/>
    <s v="McMaster University"/>
    <x v="0"/>
    <x v="9"/>
    <s v="201711CPG"/>
    <x v="8"/>
    <s v="Placenta on a chip: A humanized platform for testing of pharmaceuticals and environmental chemicals"/>
    <n v="281306"/>
    <n v="12500"/>
    <n v="0"/>
    <m/>
    <s v="3 yrs 0 mth "/>
    <x v="10"/>
    <s v="ENVIRONMENTAL INFLUENCES ON HEALTH; PREGNANCY/BIRTH; REPRODUCTION/PREGNANCY"/>
    <x v="17"/>
    <d v="2021-03-31T00:00:00"/>
    <n v="0"/>
    <s v="placenta, chip, pharmaceuticals"/>
  </r>
  <r>
    <x v="117"/>
    <s v="McMaster University"/>
    <x v="0"/>
    <x v="9"/>
    <s v="201711CPG"/>
    <x v="8"/>
    <s v="Developing Thermally Stable Dry Powder Vaccine Platforms Via Spray Drying Tailored for Inhalation Delivery"/>
    <n v="408901"/>
    <n v="16929"/>
    <n v="0"/>
    <m/>
    <s v="3 yrs 0 mth "/>
    <x v="7"/>
    <s v="DRUGS- PHARMACEUTICAL SCIENCE/CHEMISTRY &amp; NON MEDICAL USE OF DRUGS; INFECTIOUS AND PARASITIC; DRUG RESEARCH; HEALTH RESEARCH"/>
    <x v="17"/>
    <d v="2021-03-31T00:00:00"/>
    <n v="4"/>
    <s v="Thermal stability, Dry powder, Inhalation"/>
  </r>
  <r>
    <x v="118"/>
    <s v="McMaster University"/>
    <x v="0"/>
    <x v="9"/>
    <s v="201711CPG"/>
    <x v="8"/>
    <s v="Development of a Point of Care System for Automated Coma Prognosis"/>
    <n v="273862"/>
    <n v="0"/>
    <n v="0"/>
    <m/>
    <s v="3 yrs 0 mth "/>
    <x v="3"/>
    <s v="HEALTH CARE DELIVERY; CNS ORGANIC; NERVOUS SYSTEM"/>
    <x v="17"/>
    <d v="2021-03-31T00:00:00"/>
    <n v="2"/>
    <s v="Point of Care, Automated, Coma"/>
  </r>
  <r>
    <x v="119"/>
    <s v="McMaster University"/>
    <x v="0"/>
    <x v="9"/>
    <s v="201810CPG"/>
    <x v="8"/>
    <s v="Designing Highly Porous Drug-Impregnated Polymer Scaffolds Using Pressurized Gas Expanded Liquids for the Treatment of Lung Fibrosis and Wound Infections"/>
    <n v="327657"/>
    <n v="7500"/>
    <n v="0"/>
    <m/>
    <s v="3 yrs 0 mth "/>
    <x v="6"/>
    <s v="RESPIRATION; INFECTIOUS AND PARASITIC; AGING"/>
    <x v="18"/>
    <d v="2022-03-31T00:00:00"/>
    <n v="0"/>
    <s v="Polymer scaffolds, Gas expanded liquids, Lung fibrosis"/>
  </r>
  <r>
    <x v="120"/>
    <s v="Polytechnique Montréal"/>
    <x v="2"/>
    <x v="9"/>
    <s v="201210CPG"/>
    <x v="8"/>
    <s v="Nanoplasmonics Enhanced Laser Gene Delivery for Retinal Degenerative Diseases"/>
    <n v="269000"/>
    <n v="0"/>
    <n v="0"/>
    <m/>
    <s v="3 yrs 0 mth "/>
    <x v="6"/>
    <s v="DISEASES AFFECTING SPEECH/VISION/HEARING; AGING; VISION; BIOPHYSICS"/>
    <x v="15"/>
    <d v="2016-03-31T00:00:00"/>
    <n v="0"/>
    <s v="Nanoplasmonics, Laser, Gene delivery"/>
  </r>
  <r>
    <x v="121"/>
    <s v="Polytechnique Montréal"/>
    <x v="2"/>
    <x v="9"/>
    <s v="201210CPG"/>
    <x v="8"/>
    <s v="Chitosan-siRNA nanoparticles for gene silencing in Atherosclerosis and Cancer"/>
    <n v="339912"/>
    <n v="0"/>
    <n v="0"/>
    <m/>
    <s v="3 yrs 0 mth "/>
    <x v="1"/>
    <s v="BREAST CANCER THERAPY; ATHEROSCLEROSIS; CANCER; CARDIOVASCULAR"/>
    <x v="15"/>
    <d v="2016-03-31T00:00:00"/>
    <n v="4"/>
    <s v="Chitosan, siRNA, nanoparticles"/>
  </r>
  <r>
    <x v="122"/>
    <s v="Polytechnique Montréal"/>
    <x v="2"/>
    <x v="9"/>
    <s v="201210CPG"/>
    <x v="8"/>
    <s v="EEG-fNIRS monitoring for critically ill patients"/>
    <n v="189250"/>
    <n v="0"/>
    <n v="0"/>
    <m/>
    <s v="3 yrs 0 mth "/>
    <x v="11"/>
    <s v="INJURY, REGENERATION; EPILEPSY; IMAGING; NERVOUS SYSTEM"/>
    <x v="15"/>
    <d v="2016-03-31T00:00:00"/>
    <n v="0"/>
    <s v="EEG,fNIRS,monitoring"/>
  </r>
  <r>
    <x v="123"/>
    <s v="Polytechnique Montréal"/>
    <x v="2"/>
    <x v="9"/>
    <s v="201310CPG"/>
    <x v="8"/>
    <s v="Optical guidance for safe and effective brain tumor biopsy"/>
    <n v="211407"/>
    <n v="0"/>
    <n v="0"/>
    <m/>
    <s v="3 yrs 0 mth "/>
    <x v="1"/>
    <s v="BRAIN TUMORS (INCL. RETINAL TUMORS); IMAGING; CANCER"/>
    <x v="11"/>
    <d v="2017-03-31T00:00:00"/>
    <n v="4"/>
    <s v="Optical guidance, brain tumor, biopsy"/>
  </r>
  <r>
    <x v="124"/>
    <s v="Polytechnique Montréal"/>
    <x v="2"/>
    <x v="9"/>
    <s v="201410CPG"/>
    <x v="8"/>
    <s v="Endovascular navigation of magnetic drug eluting beads for liver cancer therapy: Feasibility and optimization"/>
    <n v="252318"/>
    <n v="0"/>
    <n v="0"/>
    <m/>
    <s v="3 yrs 0 mth "/>
    <x v="1"/>
    <s v="LIVER DISEASE; CANCER THERAPY GENERAL; IMAGING; CANCER"/>
    <x v="14"/>
    <d v="2018-03-31T00:00:00"/>
    <n v="0"/>
    <s v="endovascular, magnetic beads, liver cancer"/>
  </r>
  <r>
    <x v="125"/>
    <s v="Polytechnique Montréal"/>
    <x v="2"/>
    <x v="9"/>
    <s v="201510CPG"/>
    <x v="8"/>
    <s v="Development and clinical translation of a Raman spectroscopy imaging technique to increase the extent of tumor resection in glioma surgery"/>
    <n v="264929"/>
    <n v="0"/>
    <n v="0"/>
    <m/>
    <s v="3 yrs 0 mth "/>
    <x v="1"/>
    <s v="BRAIN TUMORS (INCL. RETINAL TUMORS); CANCER; IMAGING"/>
    <x v="16"/>
    <d v="2019-03-31T00:00:00"/>
    <n v="2"/>
    <s v="Raman spectroscopy, imaging, glioma"/>
  </r>
  <r>
    <x v="126"/>
    <s v="Polytechnique Montréal"/>
    <x v="2"/>
    <x v="9"/>
    <s v="201711CPG"/>
    <x v="8"/>
    <s v="Improving the identification of retinal biomarkers of Alzheimer disease in vivo"/>
    <n v="237423"/>
    <n v="22613"/>
    <n v="0"/>
    <m/>
    <s v="3 yrs 0 mth "/>
    <x v="6"/>
    <s v="ALZHEIMER'S DISEASE; AGING; IMAGING"/>
    <x v="17"/>
    <d v="2021-03-31T00:00:00"/>
    <n v="0"/>
    <s v="retinal biomarkers, Alzheimer, in vivo"/>
  </r>
  <r>
    <x v="127"/>
    <s v="Polytechnique Montréal"/>
    <x v="2"/>
    <x v="9"/>
    <s v="201711CPG"/>
    <x v="8"/>
    <s v="Image-Guided Molecular Optical Spectroscopy for Tumor-Targeted Prostate Cancer Interventions"/>
    <n v="201422"/>
    <n v="71937"/>
    <n v="0"/>
    <m/>
    <s v="3 yrs 0 mth "/>
    <x v="1"/>
    <s v="PROSTATE AND BLADDER CANCER; IMAGING; CANCER"/>
    <x v="17"/>
    <d v="2021-03-31T00:00:00"/>
    <n v="0"/>
    <s v="Image-Guided, Molecular, Spectroscopy"/>
  </r>
  <r>
    <x v="128"/>
    <s v="Polytechnique Montréal"/>
    <x v="2"/>
    <x v="9"/>
    <s v="201711CPG"/>
    <x v="8"/>
    <s v="Improving the reliability of cytology diagnosis with immunoplasmonic multiplex labeling."/>
    <n v="301500"/>
    <n v="0"/>
    <n v="0"/>
    <m/>
    <s v="3 yrs 0 mth "/>
    <x v="1"/>
    <s v="MULTIDISCIPLINARY; CANCER; IMAGING"/>
    <x v="17"/>
    <d v="2021-03-31T00:00:00"/>
    <n v="0"/>
    <s v="cytology, immunoplasmonic, multiplex labeling"/>
  </r>
  <r>
    <x v="129"/>
    <s v="Polytechnique Montréal"/>
    <x v="2"/>
    <x v="9"/>
    <s v="201711CPG"/>
    <x v="8"/>
    <s v="Integrated time-domain micro-optode to facilitate long-term clinical fNIRS"/>
    <n v="249000"/>
    <n v="0"/>
    <n v="0"/>
    <m/>
    <s v="3 yrs 0 mth "/>
    <x v="3"/>
    <s v="EPILEPSY; HEALTH CARE DELIVERY; IMAGING; NERVOUS SYSTEM"/>
    <x v="17"/>
    <d v="2021-03-31T00:00:00"/>
    <n v="0"/>
    <s v="micro-optode, fNIRS, time-domain"/>
  </r>
  <r>
    <x v="130"/>
    <s v="Polytechnique Montréal"/>
    <x v="2"/>
    <x v="9"/>
    <s v="201711CPG"/>
    <x v="8"/>
    <s v="Selective laser-mediated gene therapy for ocular diseases"/>
    <n v="369433"/>
    <n v="4750"/>
    <n v="0"/>
    <m/>
    <s v="3 yrs 0 mth "/>
    <x v="3"/>
    <s v="DISEASES AFFECTING SPEECH/VISION/HEARING; MULTIDISCIPLINARY; VISION; CELL BIOLOGY"/>
    <x v="17"/>
    <d v="2021-03-31T00:00:00"/>
    <n v="1"/>
    <s v="laser, gene, ocular"/>
  </r>
  <r>
    <x v="131"/>
    <s v="Queen's University (Kingston, Ontario)"/>
    <x v="0"/>
    <x v="9"/>
    <s v="201210CPG"/>
    <x v="8"/>
    <s v="Perk Tutor: Ultrasound-guided Needle Placement Training Platform"/>
    <n v="336940"/>
    <n v="0"/>
    <n v="0"/>
    <m/>
    <s v="3 yrs 0 mth "/>
    <x v="0"/>
    <s v="MUSCULO SKELETAL; HEALTH RESEARCH; IMAGING"/>
    <x v="15"/>
    <d v="2016-03-31T00:00:00"/>
    <n v="9"/>
    <s v="ultrasound, needle, training"/>
  </r>
  <r>
    <x v="132"/>
    <s v="Queen's University (Kingston, Ontario)"/>
    <x v="0"/>
    <x v="9"/>
    <s v="201310CPG"/>
    <x v="8"/>
    <s v="Preclinical Development of Natural Product-Based Agents as Anti-Cancer Drugs"/>
    <n v="206646"/>
    <n v="0"/>
    <n v="0"/>
    <m/>
    <s v="3 yrs 0 mth "/>
    <x v="1"/>
    <s v="CANCER THERAPY GENERAL; DRUGS- PHARMACEUTICAL SCIENCE/CHEMISTRY &amp; NON MEDICAL USE OF DRUGS; DRUG RESEARCH; CANCER"/>
    <x v="11"/>
    <d v="2017-03-31T00:00:00"/>
    <n v="1"/>
    <s v="Natural products, Anti-cancer, Agents"/>
  </r>
  <r>
    <x v="133"/>
    <s v="Queen's University (Kingston, Ontario)"/>
    <x v="0"/>
    <x v="9"/>
    <s v="201310CPG"/>
    <x v="8"/>
    <s v="RF Time Series Flashlight for Targeted Prostate Biopsy"/>
    <n v="126440"/>
    <n v="0"/>
    <n v="0"/>
    <m/>
    <s v="3 yrs 0 mth "/>
    <x v="1"/>
    <s v="PROSTATE AND BLADDER CANCER; PROSTATE AND BLADDER CANCER THERAPY; CANCER; IMAGING"/>
    <x v="11"/>
    <d v="2017-03-31T00:00:00"/>
    <n v="2"/>
    <s v="RF, Time Series, Biopsy"/>
  </r>
  <r>
    <x v="134"/>
    <s v="Queen's University (Kingston, Ontario)"/>
    <x v="0"/>
    <x v="9"/>
    <s v="201310CPG"/>
    <x v="8"/>
    <s v="Articular Cartilage Reconstruction"/>
    <n v="168002"/>
    <n v="0"/>
    <n v="0"/>
    <m/>
    <s v="3 yrs 0 mth "/>
    <x v="0"/>
    <s v="MUSCULO SKELETAL; ARTHRITIS/OSTEOARTHRITIS"/>
    <x v="11"/>
    <d v="2017-03-31T00:00:00"/>
    <n v="0"/>
    <s v="Articular, Cartilage, Reconstruction"/>
  </r>
  <r>
    <x v="135"/>
    <s v="Queen's University (Kingston, Ontario)"/>
    <x v="0"/>
    <x v="9"/>
    <s v="201310CPG"/>
    <x v="8"/>
    <s v="Quantitative functional magnetic resonance imaging for the management of brain injuries"/>
    <n v="400007"/>
    <n v="0"/>
    <n v="0"/>
    <m/>
    <s v="3 yrs 0 mth "/>
    <x v="3"/>
    <s v="CNS ORGANIC; ILL-DEFINED CONDITIONS; IMAGING; HEALTH SERVICES RESEARCH"/>
    <x v="11"/>
    <d v="2017-03-31T00:00:00"/>
    <n v="0"/>
    <s v="functional magnetic resonance imaging, brain injuries"/>
  </r>
  <r>
    <x v="136"/>
    <s v="Queen's University (Kingston, Ontario)"/>
    <x v="0"/>
    <x v="9"/>
    <s v="201410CPG"/>
    <x v="8"/>
    <s v="Mobile Image Overlay System (MIOS) for Musculoskeletal Needle Placement Guidance"/>
    <n v="138013"/>
    <n v="0"/>
    <n v="0"/>
    <m/>
    <s v="3 yrs 0 mth "/>
    <x v="0"/>
    <s v="MUSCULO SKELETAL; CANCER THERAPY GENERAL; IMAGING; MUSCLE, BONE, OR JOINT"/>
    <x v="14"/>
    <d v="2018-03-31T00:00:00"/>
    <n v="2"/>
    <s v="Mobile, Image Overlay, Needle Placement"/>
  </r>
  <r>
    <x v="137"/>
    <s v="Queen's University (Kingston, Ontario)"/>
    <x v="0"/>
    <x v="9"/>
    <s v="201610CPG"/>
    <x v="8"/>
    <s v="Development of antibody-drug conjugates that use actin-targeting warheads"/>
    <n v="248750"/>
    <n v="0"/>
    <n v="0"/>
    <m/>
    <s v="3 yrs 0 mth "/>
    <x v="1"/>
    <s v="CANCER THERAPY GENERAL; DRUGS- PHARMACEUTICAL SCIENCE/CHEMISTRY &amp; NON MEDICAL USE OF DRUGS; DRUG RESEARCH; CANCER"/>
    <x v="12"/>
    <d v="2020-03-31T00:00:00"/>
    <n v="1"/>
    <s v="antibody, drug conjugates, actin"/>
  </r>
  <r>
    <x v="138"/>
    <s v="Queen's University (Kingston, Ontario)"/>
    <x v="0"/>
    <x v="9"/>
    <s v="201610CPG"/>
    <x v="8"/>
    <s v="Real-time Breast Cancer Surgery Navigation"/>
    <n v="194419"/>
    <n v="0"/>
    <n v="0"/>
    <m/>
    <s v="3 yrs 0 mth "/>
    <x v="1"/>
    <s v="BREAST CANCER THERAPY; IMAGING; CANCER"/>
    <x v="12"/>
    <d v="2020-03-31T00:00:00"/>
    <n v="1"/>
    <s v="Breast Cancer, Surgery, Navigation"/>
  </r>
  <r>
    <x v="139"/>
    <s v="Queen's University (Kingston, Ontario)"/>
    <x v="0"/>
    <x v="9"/>
    <s v="201610CPG"/>
    <x v="8"/>
    <s v="Gel dosimetry for brachytherapy dose delivery validation"/>
    <n v="157870"/>
    <n v="0"/>
    <n v="0"/>
    <m/>
    <s v="3 yrs 0 mth "/>
    <x v="1"/>
    <s v="CANCER THERAPY GENERAL; NONE OF THE ABOVE; CANCER; IMAGING"/>
    <x v="12"/>
    <d v="2020-03-31T00:00:00"/>
    <n v="0"/>
    <s v="Gel dosimetry, brachytherapy, dose validation"/>
  </r>
  <r>
    <x v="140"/>
    <s v="Queen's University (Kingston, Ontario)"/>
    <x v="0"/>
    <x v="9"/>
    <s v="201810CPG"/>
    <x v="8"/>
    <s v="An integrated spectroscopy-ultrasound surgical navigation system for residual cancer detection in breast surgery."/>
    <n v="188350"/>
    <n v="10000"/>
    <n v="0"/>
    <m/>
    <s v="3 yrs 0 mth "/>
    <x v="1"/>
    <s v="BREAST CANCER; IMAGING; CANCER"/>
    <x v="18"/>
    <d v="2022-03-31T00:00:00"/>
    <n v="1"/>
    <s v="spectroscopy, ultrasound, cancer detection"/>
  </r>
  <r>
    <x v="141"/>
    <s v="Queen's University (Kingston, Ontario)"/>
    <x v="0"/>
    <x v="9"/>
    <s v="201910CPG"/>
    <x v="8"/>
    <s v="Robotically assisted real-time metabolomic navigation of breast conserving surgery"/>
    <n v="337724"/>
    <n v="13988"/>
    <n v="0"/>
    <m/>
    <s v="3 yrs 0 mth "/>
    <x v="1"/>
    <s v="BREAST CANCER THERAPY; IMAGING; CANCER"/>
    <x v="13"/>
    <d v="2023-03-31T00:00:00"/>
    <n v="0"/>
    <s v="robotically, metabolomic, navigation"/>
  </r>
  <r>
    <x v="142"/>
    <s v="Research Institute of the McGill University Health Centre"/>
    <x v="2"/>
    <x v="9"/>
    <s v="201711CPG"/>
    <x v="8"/>
    <s v="Novel Delivery System for High Dose Rate Intensity Modulated Brachytherapy with Yb-169 as a Radiation Source"/>
    <n v="245475"/>
    <n v="65000"/>
    <n v="0"/>
    <m/>
    <s v="3 yrs 0 mth "/>
    <x v="1"/>
    <s v="CANCER THERAPY GENERAL; MULTIDISCIPLINARY; CANCER; HEALTH RESEARCH"/>
    <x v="17"/>
    <d v="2021-03-31T00:00:00"/>
    <n v="0"/>
    <s v="Delivery, Brachytherapy, Yb-169"/>
  </r>
  <r>
    <x v="143"/>
    <s v="Simon Fraser University (Burnaby, B.C.)"/>
    <x v="3"/>
    <x v="9"/>
    <s v="201310CPG"/>
    <x v="8"/>
    <s v="Simultaneous chemotherapy and radiation treatment in solid tumours: A new platform to promote synergy and therapeutic efficacy with radiation triggered drug release"/>
    <n v="283503"/>
    <n v="0"/>
    <n v="0"/>
    <m/>
    <s v="3 yrs 0 mth "/>
    <x v="1"/>
    <s v="CANCER THERAPY GENERAL; MULTIDISCIPLINARY; CANCER; HEALTH RESEARCH"/>
    <x v="11"/>
    <d v="2017-03-31T00:00:00"/>
    <n v="0"/>
    <s v="chemotherapy, radiation, drug release"/>
  </r>
  <r>
    <x v="144"/>
    <s v="Simon Fraser University (Burnaby, B.C.)"/>
    <x v="3"/>
    <x v="9"/>
    <s v="201310CPG"/>
    <x v="8"/>
    <s v="Scanning micro-cantilever based catheter for in vivo imaging"/>
    <n v="358351"/>
    <n v="0"/>
    <n v="0"/>
    <m/>
    <s v="3 yrs 0 mth "/>
    <x v="1"/>
    <s v="LUNG CANCER; CANCER; IMAGING"/>
    <x v="11"/>
    <d v="2017-03-31T00:00:00"/>
    <n v="0"/>
    <s v="micro-cantilever, catheter, imaging"/>
  </r>
  <r>
    <x v="145"/>
    <s v="Simon Fraser University (Burnaby, B.C.)"/>
    <x v="3"/>
    <x v="9"/>
    <s v="201510CPG"/>
    <x v="8"/>
    <s v="Bimanual wearable robotic orthoses to promote cortical function and recovery from stroke"/>
    <n v="225500"/>
    <n v="0"/>
    <n v="0"/>
    <m/>
    <s v="3 yrs 0 mth "/>
    <x v="3"/>
    <s v="STROKE, HEART FAILURE; HEALTH RESEARCH"/>
    <x v="16"/>
    <d v="2019-03-31T00:00:00"/>
    <n v="0"/>
    <s v="wearable, robotic, orthoses"/>
  </r>
  <r>
    <x v="146"/>
    <s v="Simon Fraser University (Burnaby, B.C.)"/>
    <x v="3"/>
    <x v="9"/>
    <s v="201510CPG"/>
    <x v="8"/>
    <s v="Optical imaging of retinal structure and function with cellular resolution"/>
    <n v="307750"/>
    <n v="0"/>
    <n v="0"/>
    <m/>
    <s v="3 yrs 0 mth "/>
    <x v="3"/>
    <s v="DISEASES AFFECTING SPEECH/VISION/HEARING; AGING; IMAGING; VISION"/>
    <x v="16"/>
    <d v="2019-03-31T00:00:00"/>
    <n v="5"/>
    <s v="Optical imaging, retinal, cellular"/>
  </r>
  <r>
    <x v="145"/>
    <s v="Simon Fraser University (Burnaby, B.C.)"/>
    <x v="3"/>
    <x v="9"/>
    <s v="201610CPG"/>
    <x v="8"/>
    <s v="Restoring normal gait: a disruptive assistive technology"/>
    <n v="251314"/>
    <n v="0"/>
    <n v="0"/>
    <m/>
    <s v="3 yrs 0 mth "/>
    <x v="6"/>
    <s v="PARKINSON'S DISEASE; HEALTH RESEARCH"/>
    <x v="12"/>
    <d v="2020-03-31T00:00:00"/>
    <n v="0"/>
    <s v="Gait, assistive, technology"/>
  </r>
  <r>
    <x v="147"/>
    <s v="Simon Fraser University (Burnaby, B.C.)"/>
    <x v="3"/>
    <x v="9"/>
    <s v="201610CPG"/>
    <x v="8"/>
    <s v="Endoscopic optical coherence tomography and autofluorescence imaging for early cancer detection"/>
    <n v="314005"/>
    <n v="0"/>
    <n v="0"/>
    <m/>
    <s v="3 yrs 0 mth "/>
    <x v="1"/>
    <s v="LUNG CANCER; NEOPLASMS; IMAGING; CANCER"/>
    <x v="12"/>
    <d v="2020-03-31T00:00:00"/>
    <n v="1"/>
    <s v="optical coherence tomography, autofluorescence imaging, cancer detection"/>
  </r>
  <r>
    <x v="148"/>
    <s v="Simon Fraser University (Burnaby, B.C.)"/>
    <x v="3"/>
    <x v="9"/>
    <s v="201711CPG"/>
    <x v="8"/>
    <s v="Transformative Ankle Bracelet"/>
    <n v="231245"/>
    <n v="6500"/>
    <n v="0"/>
    <m/>
    <s v="3 yrs 0 mth "/>
    <x v="3"/>
    <s v="STROKE, HEART FAILURE; HEALTH RESEARCH"/>
    <x v="17"/>
    <d v="2021-03-31T00:00:00"/>
    <n v="1"/>
    <s v="Ankle, Bracelet"/>
  </r>
  <r>
    <x v="149"/>
    <s v="Simon Fraser University (Burnaby, B.C.)"/>
    <x v="3"/>
    <x v="9"/>
    <s v="201711CPG"/>
    <x v="8"/>
    <s v="OCTSurfer - Advanced Imaging and Integrated Image Analysis Platform for 3D Optical Coherence Tomography Images of the Eye"/>
    <n v="341410"/>
    <n v="87200"/>
    <n v="0"/>
    <m/>
    <s v="3 yrs 0 mth "/>
    <x v="5"/>
    <s v="AGING; MULTIDISCIPLINARY; IMAGING; VISION"/>
    <x v="17"/>
    <d v="2021-03-31T00:00:00"/>
    <n v="0"/>
    <s v="Optical Coherence Tomography, Imaging, Eye"/>
  </r>
  <r>
    <x v="150"/>
    <s v="Toronto Metropolitan University"/>
    <x v="0"/>
    <x v="9"/>
    <s v="201310CPG"/>
    <x v="8"/>
    <s v="Characterization of blood storage lesions using photoacoustic technologies"/>
    <n v="242595"/>
    <n v="0"/>
    <n v="0"/>
    <m/>
    <s v="3 yrs 0 mth "/>
    <x v="11"/>
    <s v="BLOOD; ANAEMIAS; BIOPHYSICS"/>
    <x v="11"/>
    <d v="2017-03-31T00:00:00"/>
    <n v="3"/>
    <s v="blood, photoacoustic, lesions"/>
  </r>
  <r>
    <x v="151"/>
    <s v="Toronto Metropolitan University"/>
    <x v="0"/>
    <x v="9"/>
    <s v="201310CPG"/>
    <x v="8"/>
    <s v="Transformative Bioglass Coatings for Surgical Applications."/>
    <n v="320161"/>
    <n v="0"/>
    <n v="0"/>
    <m/>
    <s v="3 yrs 0 mth "/>
    <x v="0"/>
    <s v="MUSCULO SKELETAL; OSTEOPOROSIS; MUSCLE, BONE, OR JOINT; BIOCHEMISTRY"/>
    <x v="11"/>
    <d v="2017-03-31T00:00:00"/>
    <n v="3"/>
    <s v="Bioglass, Coatings, Surgical"/>
  </r>
  <r>
    <x v="152"/>
    <s v="Toronto Metropolitan University"/>
    <x v="0"/>
    <x v="9"/>
    <s v="201510CPG"/>
    <x v="8"/>
    <s v="Development of treatment planning platform for ultrasound stimulated microbubble therapy"/>
    <n v="416060"/>
    <n v="0"/>
    <n v="0"/>
    <m/>
    <s v="3 yrs 0 mth "/>
    <x v="1"/>
    <s v="CANCER THERAPY GENERAL; BREAST CANCER THERAPY; CANCER; BIOPHYSICS"/>
    <x v="16"/>
    <d v="2019-03-31T00:00:00"/>
    <n v="4"/>
    <s v="ultrasound, microbubble, therapy"/>
  </r>
  <r>
    <x v="151"/>
    <s v="Toronto Metropolitan University"/>
    <x v="0"/>
    <x v="9"/>
    <s v="201510CPG"/>
    <x v="8"/>
    <s v="Synthesis of Bioactive Augments for use in Revision Knee Joint Replacement"/>
    <n v="250861"/>
    <n v="0"/>
    <n v="0"/>
    <m/>
    <s v="3 yrs 0 mth "/>
    <x v="0"/>
    <s v="MUSCULO SKELETAL; OSTEOPOROSIS; MUSCLE, BONE, OR JOINT"/>
    <x v="16"/>
    <d v="2019-03-31T00:00:00"/>
    <n v="1"/>
    <s v="Bioactive, Knee Joint, Replacement"/>
  </r>
  <r>
    <x v="153"/>
    <s v="Toronto Metropolitan University"/>
    <x v="0"/>
    <x v="9"/>
    <s v="201610CPG"/>
    <x v="8"/>
    <s v="Photodynamic therapy of non-melanoma skin cancers - development of a comprehensive image-guided planning system for personalized treatment"/>
    <n v="253500"/>
    <n v="0"/>
    <n v="0"/>
    <m/>
    <s v="3 yrs 0 mth "/>
    <x v="1"/>
    <s v="CANCER THERAPY GENERAL; SKIN AND SUBCUTANEOUS TISSUS; CANCER; IMAGING"/>
    <x v="12"/>
    <d v="2020-03-31T00:00:00"/>
    <n v="2"/>
    <s v="photodynamic, skin cancers, image-guided"/>
  </r>
  <r>
    <x v="154"/>
    <s v="Toronto Metropolitan University"/>
    <x v="0"/>
    <x v="9"/>
    <s v="201810CPG"/>
    <x v="8"/>
    <s v="Ultrasound Platform for A Priori Therapy Response Prediction"/>
    <n v="453500"/>
    <n v="0"/>
    <n v="0"/>
    <m/>
    <s v="3 yrs 0 mth "/>
    <x v="1"/>
    <s v="BREAST CANCER; CANCER THERAPY GENERAL; CANCER; BIOPHYSICS"/>
    <x v="18"/>
    <d v="2022-03-31T00:00:00"/>
    <n v="2"/>
    <s v="Ultrasound, Therapy Response, Prediction"/>
  </r>
  <r>
    <x v="155"/>
    <s v="Unity Health Toronto"/>
    <x v="0"/>
    <x v="9"/>
    <s v="201910CPG"/>
    <x v="8"/>
    <s v="Epigenetic PowerBlade - DNA Precision Marks for Critical Illness"/>
    <n v="392250"/>
    <n v="24000"/>
    <n v="0"/>
    <m/>
    <s v="3 yrs 0 mth "/>
    <x v="11"/>
    <s v="INFECTIOUS AND PARASITIC; HEALTH CARE DELIVERY; MOLECULAR BIOLOGY; BIOCHEMISTRY"/>
    <x v="13"/>
    <d v="2023-03-31T00:00:00"/>
    <n v="0"/>
    <s v="Epigenetic, DNA, Marks"/>
  </r>
  <r>
    <x v="156"/>
    <s v="Universite de Montreal"/>
    <x v="2"/>
    <x v="9"/>
    <s v="201610CPG"/>
    <x v="8"/>
    <s v="Maintien e domicile des personnes egees vulnerables : co-conception et deploiement de solutions technologiques dans le cadre d'un laboratoire vivant"/>
    <n v="489287"/>
    <n v="0"/>
    <n v="0"/>
    <m/>
    <s v="3 yrs 0 mth "/>
    <x v="6"/>
    <s v="AGING; MULTIDISCIPLINARY; HEALTH RESEARCH"/>
    <x v="12"/>
    <d v="2020-03-31T00:00:00"/>
    <n v="0"/>
    <s v="domicile, personnes egees, solutions technologiques"/>
  </r>
  <r>
    <x v="157"/>
    <s v="Université de Montréal"/>
    <x v="2"/>
    <x v="9"/>
    <s v="201210CPG"/>
    <x v="8"/>
    <s v="Clinical evaluation of surface-plasmon resonance and nanoparticle-based fluorescent detection of serum biomarkers"/>
    <n v="328059"/>
    <n v="0"/>
    <n v="0"/>
    <m/>
    <s v="3 yrs 0 mth "/>
    <x v="8"/>
    <s v="PROSTATE AND BLADDER CANCER THERAPY; LEUKAEMIAS; CANCER; BIOCHEMISTRY"/>
    <x v="15"/>
    <d v="2016-03-31T00:00:00"/>
    <n v="0"/>
    <s v="surface-plasmon resonance, nanoparticle, biomarkers"/>
  </r>
  <r>
    <x v="158"/>
    <s v="Université de Montréal"/>
    <x v="2"/>
    <x v="9"/>
    <s v="201310CPG"/>
    <x v="8"/>
    <s v="Treatment of Age Related Macular Degeneration with CD36 Receptor Modulators"/>
    <n v="541155"/>
    <n v="0"/>
    <n v="0"/>
    <m/>
    <s v="3 yrs 0 mth "/>
    <x v="6"/>
    <s v="AGING; DISEASES AFFECTING SPEECH/VISION/HEARING; VISION"/>
    <x v="11"/>
    <d v="2017-03-31T00:00:00"/>
    <n v="3"/>
    <s v="Macular Degeneration, CD36, Receptor"/>
  </r>
  <r>
    <x v="159"/>
    <s v="Université de Montréal"/>
    <x v="2"/>
    <x v="9"/>
    <s v="201310CPG"/>
    <x v="8"/>
    <s v="Non-invasive shear strain ultrasound elastography of carotid atherosclerotic plaques for stroke prevention"/>
    <n v="302077"/>
    <n v="0"/>
    <n v="0"/>
    <m/>
    <s v="3 yrs 0 mth "/>
    <x v="11"/>
    <s v="ATHEROSCLEROSIS; STROKE, HEART FAILURE; IMAGING; CARDIOVASCULAR"/>
    <x v="11"/>
    <d v="2017-03-31T00:00:00"/>
    <n v="1"/>
    <s v="ultrasound, elastography, atherosclerosis"/>
  </r>
  <r>
    <x v="158"/>
    <s v="Université de Montréal"/>
    <x v="2"/>
    <x v="9"/>
    <s v="201410CPG"/>
    <x v="8"/>
    <s v="Treatment of Preterm Birth with ProstaglandinF2alpha Receptor Modulators"/>
    <n v="429975"/>
    <n v="0"/>
    <n v="0"/>
    <m/>
    <s v="3 yrs 0 mth "/>
    <x v="6"/>
    <s v="PREGNANCY/BIRTH; AGING; REPRODUCTION/PREGNANCY"/>
    <x v="14"/>
    <d v="2018-03-31T00:00:00"/>
    <n v="1"/>
    <s v="Preterm Birth, ProstaglandinF2alpha, Receptor Modulators"/>
  </r>
  <r>
    <x v="158"/>
    <s v="Université de Montréal"/>
    <x v="2"/>
    <x v="9"/>
    <s v="201510CPG"/>
    <x v="8"/>
    <s v="Targeting the interleukin-1 receptor for treating ischemic eye diseases"/>
    <n v="375507"/>
    <n v="0"/>
    <n v="0"/>
    <m/>
    <s v="3 yrs 0 mth "/>
    <x v="6"/>
    <s v="DISEASES AFFECTING SPEECH/VISION/HEARING; DRUGS- PHARMACEUTICAL SCIENCE/CHEMISTRY &amp; NON MEDICAL USE OF DRUGS; AGING; DRUG RESEARCH"/>
    <x v="16"/>
    <d v="2019-03-31T00:00:00"/>
    <n v="1"/>
    <s v="interleukin-1 receptor, ischemic eye"/>
  </r>
  <r>
    <x v="160"/>
    <s v="Université de Montréal"/>
    <x v="2"/>
    <x v="9"/>
    <s v="201610CPG"/>
    <x v="8"/>
    <s v="Design of a bracelet embedding high-frequency ultrasound transducers to acquire venous blood echogenicity spectral data for patient monitoring"/>
    <n v="301262"/>
    <n v="0"/>
    <n v="0"/>
    <m/>
    <s v="3 yrs 0 mth "/>
    <x v="11"/>
    <s v="MULTIDISCIPLINARY; IMAGING; CARDIOVASCULAR"/>
    <x v="12"/>
    <d v="2020-03-31T00:00:00"/>
    <n v="0"/>
    <s v="ultrasound, transducers, blood"/>
  </r>
  <r>
    <x v="161"/>
    <s v="Université de Montréal"/>
    <x v="2"/>
    <x v="9"/>
    <s v="201610CPG"/>
    <x v="8"/>
    <s v="Biosynthetic alternatives to human donor corneal transplantation"/>
    <n v="321657"/>
    <n v="0"/>
    <n v="0"/>
    <m/>
    <s v="3 yrs 0 mth "/>
    <x v="3"/>
    <s v="AGING; VISION"/>
    <x v="12"/>
    <d v="2020-03-31T00:00:00"/>
    <n v="1"/>
    <s v="biosynthetic, corneal, transplantation"/>
  </r>
  <r>
    <x v="162"/>
    <s v="Université de Montréal"/>
    <x v="2"/>
    <x v="9"/>
    <s v="201810CPG"/>
    <x v="8"/>
    <s v="Azacyclopeptide Modulators of Immuno-metabolism to Treat Age-Related Macular Degeneration"/>
    <n v="403623"/>
    <n v="48053"/>
    <n v="0"/>
    <m/>
    <s v="3 yrs 0 mth "/>
    <x v="6"/>
    <s v="AGING; NONE OF THE ABOVE; DRUG RESEARCH"/>
    <x v="18"/>
    <d v="2022-03-31T00:00:00"/>
    <n v="0"/>
    <s v="Azacyclopeptide, Immuno-metabolism, Macular Degeneration"/>
  </r>
  <r>
    <x v="163"/>
    <s v="Université de Montréal"/>
    <x v="2"/>
    <x v="9"/>
    <s v="201810CPG"/>
    <x v="8"/>
    <s v="A multimodal seizure detection artificial intelligence-based smart wear"/>
    <n v="435407"/>
    <n v="45186"/>
    <n v="0"/>
    <m/>
    <s v="3 yrs 0 mth "/>
    <x v="3"/>
    <n v="0"/>
    <x v="18"/>
    <d v="2022-03-31T00:00:00"/>
    <n v="0"/>
    <s v="seizure detection, artificial intelligence, smart wear"/>
  </r>
  <r>
    <x v="164"/>
    <s v="Université de Montréal"/>
    <x v="2"/>
    <x v="9"/>
    <s v="201910CPG"/>
    <x v="8"/>
    <s v="The Liquid Cornea as an alternative to corneal transplantation: Pathway to Clinical trials"/>
    <n v="306789"/>
    <n v="14300"/>
    <n v="0"/>
    <m/>
    <s v="3 yrs 0 mth "/>
    <x v="6"/>
    <s v="AGING; MULTIDISCIPLINARY; VISION; IMMUNOLOGY-TRANSPLANTATION"/>
    <x v="13"/>
    <d v="2023-03-31T00:00:00"/>
    <n v="3"/>
    <s v="Liquid, Cornea, Transplantation"/>
  </r>
  <r>
    <x v="165"/>
    <s v="Université de Montréal"/>
    <x v="2"/>
    <x v="9"/>
    <s v="201910CPG"/>
    <x v="8"/>
    <s v="Optimization and preclinical testing of a sclerosing and embolizing gel for embolization of varicose veins"/>
    <n v="278520"/>
    <n v="3500"/>
    <n v="0"/>
    <m/>
    <s v="3 yrs 0 mth "/>
    <x v="11"/>
    <s v="MULTIDISCIPLINARY; CLOTTING DEFECTS/THROMBOSIS; CARDIOVASCULAR; IMAGING"/>
    <x v="13"/>
    <d v="2023-03-31T00:00:00"/>
    <n v="0"/>
    <s v="sclerosing, embolizing, veins"/>
  </r>
  <r>
    <x v="166"/>
    <s v="Universite du Quebec e Montreal"/>
    <x v="2"/>
    <x v="9"/>
    <s v="201310CPG"/>
    <x v="8"/>
    <s v="La portion C-terminale de la proteine P97 de Mycoplasma hyopneumoniae: une nouvelle molecule adjuvante e des fins vaccinales"/>
    <n v="364959"/>
    <n v="0"/>
    <n v="0"/>
    <m/>
    <s v="3 yrs 0 mth "/>
    <x v="7"/>
    <s v="INFECTIOUS AND PARASITIC; MULTIPLE DISEASE RELEVANCE; HEALTH RESEARCH; IMMUNOLOGY-TRANSPLANTATION"/>
    <x v="11"/>
    <d v="2017-03-31T00:00:00"/>
    <n v="0"/>
    <s v="P97, Mycoplasma hyopneumoniae, adjuvant"/>
  </r>
  <r>
    <x v="167"/>
    <s v="Universite Laval"/>
    <x v="2"/>
    <x v="9"/>
    <s v="201310CPG"/>
    <x v="8"/>
    <s v="elaboration d'un procede de production de cellules therapeutiques autologues destine au traitement de la Dystrophie musculaire de Duchenne"/>
    <n v="225592"/>
    <n v="0"/>
    <n v="0"/>
    <m/>
    <s v="3 yrs 0 mth "/>
    <x v="0"/>
    <s v="MULTIDISCIPLINARY; MUSCULAR DYSTROPHY; MUSCLE, BONE, OR JOINT; HEALTH RESEARCH"/>
    <x v="11"/>
    <d v="2017-03-31T00:00:00"/>
    <n v="0"/>
    <s v="cellules, autologues, dystrophie"/>
  </r>
  <r>
    <x v="168"/>
    <s v="Université Laval"/>
    <x v="2"/>
    <x v="9"/>
    <s v="201210CPG"/>
    <x v="8"/>
    <s v="Development and bioimaging of blood-brain barrier vectorized nanoparticles"/>
    <n v="383134"/>
    <n v="0"/>
    <n v="0"/>
    <m/>
    <s v="3 yrs 0 mth "/>
    <x v="3"/>
    <s v="DRUGS- PHARMACEUTICAL SCIENCE/CHEMISTRY &amp; NON MEDICAL USE OF DRUGS; AGING; DRUG RESEARCH; NERVOUS SYSTEM"/>
    <x v="15"/>
    <d v="2016-03-31T00:00:00"/>
    <n v="0"/>
    <s v="blood-brain barrier, nanoparticles, bioimaging"/>
  </r>
  <r>
    <x v="169"/>
    <s v="Université Laval"/>
    <x v="2"/>
    <x v="9"/>
    <s v="201310CPG"/>
    <x v="8"/>
    <s v="Sensing and modulating neuronal activity from the spinal epidural space with optical fibers"/>
    <n v="357982"/>
    <n v="0"/>
    <n v="0"/>
    <m/>
    <s v="3 yrs 0 mth "/>
    <x v="3"/>
    <s v="SPINAL CORD DISEASE; MUSCULO SKELETAL; NERVOUS SYSTEM"/>
    <x v="11"/>
    <d v="2017-03-31T00:00:00"/>
    <n v="0"/>
    <s v="neuronal activity, optical fibers, epidural space"/>
  </r>
  <r>
    <x v="170"/>
    <s v="Université Laval"/>
    <x v="2"/>
    <x v="9"/>
    <s v="201410CPG"/>
    <x v="8"/>
    <s v="Body-Environment Proximity Measurement: An integrated approach to measuring mobility deficits for assessment and treatment"/>
    <n v="181578"/>
    <n v="0"/>
    <n v="0"/>
    <m/>
    <s v="3 yrs 0 mth "/>
    <x v="0"/>
    <s v="CNS ORGANIC; MUSCULO SKELETAL; MUSCLE, BONE, OR JOINT; NERVOUS SYSTEM"/>
    <x v="14"/>
    <d v="2018-03-31T00:00:00"/>
    <n v="0"/>
    <s v="Proximity, Measurement, Mobility"/>
  </r>
  <r>
    <x v="171"/>
    <s v="Université Laval"/>
    <x v="2"/>
    <x v="9"/>
    <s v="201410CPG"/>
    <x v="8"/>
    <s v="Large-scale, high-resolution light-sheet microscope for whole brain connectomics"/>
    <n v="326994"/>
    <n v="0"/>
    <n v="0"/>
    <m/>
    <s v="3 yrs 0 mth "/>
    <x v="3"/>
    <s v="MULTIPLE DISEASE RELEVANCE; MENTAL AND BEHAVIOURAL DISEASES"/>
    <x v="14"/>
    <d v="2018-03-31T00:00:00"/>
    <n v="0"/>
    <s v="light-sheet,microscope,connectomics"/>
  </r>
  <r>
    <x v="172"/>
    <s v="Université Laval"/>
    <x v="2"/>
    <x v="9"/>
    <s v="201410CPG"/>
    <x v="8"/>
    <s v="Minimally-invasive, wireless, multimodal micro-optrodes for brain sensing"/>
    <n v="375000"/>
    <n v="0"/>
    <n v="0"/>
    <m/>
    <s v="3 yrs 0 mth "/>
    <x v="3"/>
    <s v="MENTAL AND BEHAVIOURAL DISEASES; MULTIPLE DISEASE RELEVANCE; MENTAL HEALTH; BIOPHYSICS"/>
    <x v="14"/>
    <d v="2018-03-31T00:00:00"/>
    <n v="0"/>
    <s v="micro-optrodes, brain sensing, wireless"/>
  </r>
  <r>
    <x v="173"/>
    <s v="Université Laval"/>
    <x v="2"/>
    <x v="9"/>
    <s v="201810CPG"/>
    <x v="8"/>
    <s v="Real-time multimodal tools for high resolution image-guided surgery and better treatment of Parkinson's disease"/>
    <n v="318630"/>
    <n v="0"/>
    <n v="0"/>
    <m/>
    <s v="3 yrs 0 mth "/>
    <x v="3"/>
    <s v="PARKINSON'S DISEASE; IMAGING; NERVOUS SYSTEM"/>
    <x v="18"/>
    <d v="2022-03-31T00:00:00"/>
    <n v="0"/>
    <s v="multimodal, image-guided, Parkinson's disease"/>
  </r>
  <r>
    <x v="174"/>
    <s v="University of Alberta"/>
    <x v="1"/>
    <x v="9"/>
    <s v="201210CPG"/>
    <x v="8"/>
    <s v="An Intelligent Needle Adjustment Assistant for Prostate Brachytherapy"/>
    <n v="147327"/>
    <n v="0"/>
    <n v="0"/>
    <m/>
    <s v="3 yrs 0 mth "/>
    <x v="1"/>
    <s v="PROSTATE AND BLADDER CANCER THERAPY; CANCER"/>
    <x v="15"/>
    <d v="2016-03-31T00:00:00"/>
    <n v="2"/>
    <s v="Needle, Adjustment, Brachytherapy"/>
  </r>
  <r>
    <x v="175"/>
    <s v="University of Alberta"/>
    <x v="1"/>
    <x v="9"/>
    <s v="201310CPG"/>
    <x v="8"/>
    <s v="Modulation-Encoded Micromachined Transducer Arrays for Ultrasound and Photoacoustic Imaging of Prostate and Colorectal Cancer"/>
    <n v="274000"/>
    <n v="0"/>
    <n v="0"/>
    <m/>
    <s v="3 yrs 0 mth "/>
    <x v="1"/>
    <s v="PROSTATE AND BLADDER CANCER; GASTRO-INTESTINAL CANCER; IMAGING; CANCER"/>
    <x v="11"/>
    <d v="2017-03-31T00:00:00"/>
    <n v="9"/>
    <s v="Micromachined, Transducer, Imaging"/>
  </r>
  <r>
    <x v="176"/>
    <s v="University of Alberta"/>
    <x v="1"/>
    <x v="9"/>
    <s v="201310CPG"/>
    <x v="8"/>
    <s v="Robotic interface with Haptic Guidance and Artificial Intelligence for People with Disabilities"/>
    <n v="166500"/>
    <n v="0"/>
    <n v="0"/>
    <m/>
    <s v="3 yrs 0 mth "/>
    <x v="10"/>
    <s v="NONE OF THE ABOVE; NOT CLASSIFIED"/>
    <x v="11"/>
    <d v="2017-03-31T00:00:00"/>
    <n v="0"/>
    <s v="Robotic, Haptic, Artificial Intelligence"/>
  </r>
  <r>
    <x v="177"/>
    <s v="University of Alberta"/>
    <x v="1"/>
    <x v="9"/>
    <s v="201410CPG"/>
    <x v="8"/>
    <s v="Skin Adhesive Smart Patch to Monitor Hydration Status in Real-Time"/>
    <n v="298552"/>
    <n v="0"/>
    <n v="0"/>
    <m/>
    <s v="3 yrs 0 mth "/>
    <x v="1"/>
    <s v="MULTIDISCIPLINARY; CANCER THERAPY GENERAL; HEALTH RESEARCH; CANCER"/>
    <x v="14"/>
    <d v="2018-03-31T00:00:00"/>
    <n v="1"/>
    <s v="Skin, Adhesive, Hydration"/>
  </r>
  <r>
    <x v="178"/>
    <s v="University of Alberta"/>
    <x v="1"/>
    <x v="9"/>
    <s v="201510CPG"/>
    <x v="8"/>
    <s v="Multiview Ultrasound Fusion for Cardiac and Non-cardiac Imaging"/>
    <n v="244296"/>
    <n v="0"/>
    <n v="0"/>
    <m/>
    <s v="3 yrs 0 mth "/>
    <x v="11"/>
    <s v="CARDIOLOGY; STROKE, HEART FAILURE; IMAGING; CARDIOVASCULAR"/>
    <x v="16"/>
    <d v="2019-03-31T00:00:00"/>
    <n v="1"/>
    <s v="Ultrasound, Fusion, Imaging"/>
  </r>
  <r>
    <x v="179"/>
    <s v="University of Alberta"/>
    <x v="1"/>
    <x v="9"/>
    <s v="201610CPG"/>
    <x v="8"/>
    <s v="Development of an ex vivo heart perfusion system for pre-transplant preservation and evaluation of donor hearts"/>
    <n v="315794"/>
    <n v="0"/>
    <n v="0"/>
    <m/>
    <s v="3 yrs 0 mth "/>
    <x v="11"/>
    <s v="CARDIOLOGY; STROKE, HEART FAILURE; CARDIOVASCULAR; IMMUNOLOGY-TRANSPLANTATION"/>
    <x v="12"/>
    <d v="2020-03-31T00:00:00"/>
    <n v="5"/>
    <s v="heart perfusion, ex vivo, donor preservation"/>
  </r>
  <r>
    <x v="180"/>
    <s v="University of Alberta"/>
    <x v="1"/>
    <x v="9"/>
    <s v="201711CPG"/>
    <x v="8"/>
    <s v="Computer-Integrated Ultrasound Guidance and Mechatronics Assistance for Breast Brachytherapy"/>
    <n v="219829"/>
    <n v="27671"/>
    <n v="0"/>
    <m/>
    <s v="3 yrs 0 mth "/>
    <x v="1"/>
    <s v="BREAST CANCER THERAPY; CANCER"/>
    <x v="17"/>
    <d v="2021-03-31T00:00:00"/>
    <n v="1"/>
    <s v="Ultrasound, Guidance, Brachytherapy"/>
  </r>
  <r>
    <x v="181"/>
    <s v="University of Alberta"/>
    <x v="1"/>
    <x v="9"/>
    <s v="201810CPG"/>
    <x v="8"/>
    <s v="Development of an Artificial Intelligence Chatbot supporting coaching and optimal service for individuals with Neurodevelopmental disabilities and their families"/>
    <n v="967734"/>
    <n v="0"/>
    <n v="0"/>
    <m/>
    <s v="3 yrs 0 mth "/>
    <x v="10"/>
    <s v="AUTISM; MENTAL DISABILITY; MENTAL HEALTH; PSYCHOSOCIAL/HEALTH BEHAVIOURAL RES."/>
    <x v="18"/>
    <d v="2022-03-31T00:00:00"/>
    <n v="0"/>
    <s v="Artificial Intelligence, Chatbot, Neurodevelopmental"/>
  </r>
  <r>
    <x v="182"/>
    <s v="University of Alberta"/>
    <x v="1"/>
    <x v="9"/>
    <s v="201910CPG"/>
    <x v="8"/>
    <s v="Optimization of an ex vivo heart perfusion device for pre-transplant preservation and evaluation of donor hearts"/>
    <n v="387264"/>
    <n v="69700"/>
    <n v="0"/>
    <m/>
    <s v="3 yrs 0 mth "/>
    <x v="11"/>
    <s v="CARDIOLOGY; STROKE, HEART FAILURE; CARDIOVASCULAR; IMMUNOLOGY-TRANSPLANTATION"/>
    <x v="13"/>
    <d v="2023-03-31T00:00:00"/>
    <n v="0"/>
    <s v="heart, perfusion, preservation"/>
  </r>
  <r>
    <x v="183"/>
    <s v="University of British Columbia"/>
    <x v="3"/>
    <x v="9"/>
    <s v="201210CPG"/>
    <x v="8"/>
    <s v="Polymers for Proteomic Enrichment of Early Cancer Biomarkers"/>
    <n v="452322"/>
    <n v="0"/>
    <n v="0"/>
    <m/>
    <s v="3 yrs 0 mth "/>
    <x v="1"/>
    <s v="BREAST CANCER; MULTIPLE DISEASE RELEVANCE; CANCER; BLOOD"/>
    <x v="15"/>
    <d v="2016-03-31T00:00:00"/>
    <n v="0"/>
    <s v="Polymers, Proteomic, Biomarkers"/>
  </r>
  <r>
    <x v="184"/>
    <s v="University of British Columbia"/>
    <x v="3"/>
    <x v="9"/>
    <s v="201210CPG"/>
    <x v="8"/>
    <s v="Photoacoustic Imaging for Image Guided Prostate Cancer Interventions"/>
    <n v="172625"/>
    <n v="0"/>
    <n v="0"/>
    <m/>
    <s v="3 yrs 0 mth "/>
    <x v="1"/>
    <s v="MULTIDISCIPLINARY; PROSTATE AND BLADDER CANCER; IMAGING; CANCER"/>
    <x v="15"/>
    <d v="2016-03-31T00:00:00"/>
    <n v="0"/>
    <s v="Photoacoustic, Imaging, Prostate Cancer"/>
  </r>
  <r>
    <x v="185"/>
    <s v="University of British Columbia"/>
    <x v="3"/>
    <x v="9"/>
    <s v="201210CPG"/>
    <x v="8"/>
    <s v="Closed-Loop Control of Anesthesia"/>
    <n v="309194"/>
    <n v="0"/>
    <n v="0"/>
    <m/>
    <s v="3 yrs 0 mth "/>
    <x v="11"/>
    <s v="MULTIDISCIPLINARY; NONE OF THE ABOVE; HEALTH RESEARCH; NOT CLASSIFIED"/>
    <x v="15"/>
    <d v="2016-03-31T00:00:00"/>
    <n v="2"/>
    <s v="Closed-Loop, Control, Anesthesia"/>
  </r>
  <r>
    <x v="186"/>
    <s v="University of British Columbia"/>
    <x v="3"/>
    <x v="9"/>
    <s v="201210CPG"/>
    <x v="8"/>
    <s v="Universal Smart Guided-Catheter Systems Based on Novel Shape Memory Polymer Brush Actuators for Minimally Invasive Vascular Surgery"/>
    <n v="313100"/>
    <n v="0"/>
    <n v="0"/>
    <m/>
    <s v="3 yrs 0 mth "/>
    <x v="11"/>
    <s v="CARDIOLOGY; CARDIOVASCULAR"/>
    <x v="15"/>
    <d v="2016-03-31T00:00:00"/>
    <n v="0"/>
    <s v="Smart, Catheter, Shape Memory Polymer"/>
  </r>
  <r>
    <x v="187"/>
    <s v="University of British Columbia"/>
    <x v="3"/>
    <x v="9"/>
    <s v="201210CPG"/>
    <x v="8"/>
    <s v="Non-Invasive Probe to Assess the Quality and Suitability for Transfusion of Stored Red Blood Cells"/>
    <n v="206647"/>
    <n v="0"/>
    <n v="0"/>
    <m/>
    <s v="3 yrs 0 mth "/>
    <x v="2"/>
    <s v="BLOOD"/>
    <x v="15"/>
    <d v="2016-03-31T00:00:00"/>
    <n v="0"/>
    <s v="Probe, Red Blood Cells, Transfusion"/>
  </r>
  <r>
    <x v="188"/>
    <s v="University of British Columbia"/>
    <x v="3"/>
    <x v="9"/>
    <s v="201210CPG"/>
    <x v="8"/>
    <s v="Developing an electrochemical beacon detection method for pathogen nucleic acid speciation"/>
    <n v="211250"/>
    <n v="0"/>
    <n v="0"/>
    <m/>
    <s v="3 yrs 0 mth "/>
    <x v="7"/>
    <s v="INFECTIOUS AND PARASITIC; QUALITATIVE METHODS; HEALTH RESEARCH; BIOCHEMISTRY"/>
    <x v="15"/>
    <d v="2016-03-31T00:00:00"/>
    <n v="0"/>
    <s v="electrochemical, beacon, nucleic acid"/>
  </r>
  <r>
    <x v="189"/>
    <s v="University of British Columbia"/>
    <x v="3"/>
    <x v="9"/>
    <s v="201210CPG"/>
    <x v="8"/>
    <s v="Transcutaneous microsphere vaccine technology"/>
    <n v="300000"/>
    <n v="0"/>
    <n v="0"/>
    <m/>
    <s v="3 yrs 0 mth "/>
    <x v="0"/>
    <s v="MULTIPLE DISEASE RELEVANCE; INFECTIOUS AND PARASITIC; IMMUNOLOGY-TRANSPLANTATION; DRUG RESEARCH"/>
    <x v="15"/>
    <d v="2016-03-31T00:00:00"/>
    <n v="0"/>
    <s v="Transcutaneous, microsphere, vaccine"/>
  </r>
  <r>
    <x v="190"/>
    <s v="University of British Columbia"/>
    <x v="3"/>
    <x v="9"/>
    <s v="201210CPG"/>
    <x v="8"/>
    <s v="ARMS UP/Assisted Robotic Movement after Stroke using Brain Power: Controlling robotics with EEG"/>
    <n v="194625"/>
    <n v="0"/>
    <n v="0"/>
    <m/>
    <s v="3 yrs 0 mth "/>
    <x v="3"/>
    <s v="STROKE, HEART FAILURE; HEALTH RESEARCH"/>
    <x v="15"/>
    <d v="2016-03-31T00:00:00"/>
    <n v="0"/>
    <s v="Robotics, EEG, Stroke"/>
  </r>
  <r>
    <x v="191"/>
    <s v="University of British Columbia"/>
    <x v="3"/>
    <x v="9"/>
    <s v="201310CPG"/>
    <x v="8"/>
    <s v="Real-Time In Vivo Oral Pathology for Clinical Decision Making"/>
    <n v="289499"/>
    <n v="0"/>
    <n v="0"/>
    <m/>
    <s v="3 yrs 0 mth "/>
    <x v="1"/>
    <s v="IMAGING; CANCER"/>
    <x v="11"/>
    <d v="2017-03-31T00:00:00"/>
    <n v="2"/>
    <s v="Real-Time, In Vivo, Oral Pathology"/>
  </r>
  <r>
    <x v="192"/>
    <s v="University of British Columbia"/>
    <x v="3"/>
    <x v="9"/>
    <s v="201310CPG"/>
    <x v="8"/>
    <s v="Active Stent Based Endohyperthermia System for Inhibition of In-Stent Restenosis"/>
    <n v="325935"/>
    <n v="0"/>
    <n v="0"/>
    <m/>
    <s v="3 yrs 0 mth "/>
    <x v="11"/>
    <s v="CORONARY CIRCULATION (INCL. INSUFFICIENCY); ATHEROSCLEROSIS; CARDIOVASCULAR; NOT CLASSIFIED"/>
    <x v="11"/>
    <d v="2017-03-31T00:00:00"/>
    <n v="0"/>
    <s v="Stent, Endohyperthermia, Restenosis"/>
  </r>
  <r>
    <x v="193"/>
    <s v="University of British Columbia"/>
    <x v="3"/>
    <x v="9"/>
    <s v="201310CPG"/>
    <x v="8"/>
    <s v="Development of an Ultrasound based Elastography System for Renal Transplantation"/>
    <n v="194000"/>
    <n v="0"/>
    <n v="0"/>
    <m/>
    <s v="3 yrs 0 mth "/>
    <x v="7"/>
    <s v="GENITO/URINARY SYSTEM; RENAL FUNCTION, NEPHROLOGY, UROLOGY; IMAGING"/>
    <x v="11"/>
    <d v="2017-03-31T00:00:00"/>
    <n v="0"/>
    <s v="Ultrasound, Elastography, Renal"/>
  </r>
  <r>
    <x v="194"/>
    <s v="University of British Columbia"/>
    <x v="3"/>
    <x v="9"/>
    <s v="201310CPG"/>
    <x v="8"/>
    <s v="Wearable sensors to promote arm and hand function after stroke"/>
    <n v="208671"/>
    <n v="0"/>
    <n v="0"/>
    <m/>
    <s v="3 yrs 0 mth "/>
    <x v="0"/>
    <s v="AGING; STROKE, HEART FAILURE"/>
    <x v="11"/>
    <d v="2017-03-31T00:00:00"/>
    <n v="0"/>
    <s v="wearable sensors, arm function, hand function"/>
  </r>
  <r>
    <x v="195"/>
    <s v="University of British Columbia"/>
    <x v="3"/>
    <x v="9"/>
    <s v="201410CPG"/>
    <x v="8"/>
    <s v="Microfluidic technology platform for selection of functional monoclonal antibodies with application to fibrosis"/>
    <n v="442500"/>
    <n v="0"/>
    <n v="0"/>
    <m/>
    <s v="3 yrs 0 mth "/>
    <x v="0"/>
    <s v="MULTIDISCIPLINARY; NOT CLASSIFIED"/>
    <x v="14"/>
    <d v="2018-03-31T00:00:00"/>
    <n v="3"/>
    <s v="microfluidic, monoclonal antibodies, fibrosis"/>
  </r>
  <r>
    <x v="196"/>
    <s v="University of British Columbia"/>
    <x v="3"/>
    <x v="9"/>
    <s v="201410CPG"/>
    <x v="8"/>
    <s v="Using Three-Dimensional Ultrasound to Improve Diagnosis, Guide Surgery and Reduce Radiation in Orthopaedic Trauma and Pediatric Orthopaedics"/>
    <n v="213832"/>
    <n v="0"/>
    <n v="0"/>
    <m/>
    <s v="3 yrs 0 mth "/>
    <x v="0"/>
    <s v="INJURY, REGENERATION; MUSCULO SKELETAL; MUSCLE, BONE, OR JOINT; HEALTH RESEARCH"/>
    <x v="14"/>
    <d v="2018-03-31T00:00:00"/>
    <n v="0"/>
    <s v="Ultrasound, Orthopaedic, Pediatric"/>
  </r>
  <r>
    <x v="197"/>
    <s v="University of British Columbia"/>
    <x v="3"/>
    <x v="9"/>
    <s v="201410CPG"/>
    <x v="8"/>
    <s v="Hyperbranched polyglycerol-based colloid preservation solutions: Toward clinical applications"/>
    <n v="310627"/>
    <n v="0"/>
    <n v="0"/>
    <m/>
    <s v="3 yrs 0 mth "/>
    <x v="4"/>
    <s v="INJURY, REGENERATION; MULTIPLE DISEASE RELEVANCE; CELL BIOLOGY; DRUG RESEARCH"/>
    <x v="14"/>
    <d v="2018-03-31T00:00:00"/>
    <n v="1"/>
    <s v="hyperbranched, polyglycerol, colloid"/>
  </r>
  <r>
    <x v="198"/>
    <s v="University of British Columbia"/>
    <x v="3"/>
    <x v="9"/>
    <s v="201510CPG"/>
    <x v="8"/>
    <s v="Development of an automated end-to-end next generation sequencing assay to detect all classes of genetic variant in a single diagnostic test"/>
    <n v="453152"/>
    <n v="0"/>
    <n v="0"/>
    <m/>
    <s v="3 yrs 0 mth "/>
    <x v="1"/>
    <s v="NEOPLASMS; HEALTH CARE DELIVERY; CANCER; GENOMICS, PROTEOMICS, AND BIOINFORMATICS"/>
    <x v="16"/>
    <d v="2019-03-31T00:00:00"/>
    <n v="0"/>
    <s v="automated, sequencing, genetic variant"/>
  </r>
  <r>
    <x v="199"/>
    <s v="University of British Columbia"/>
    <x v="3"/>
    <x v="9"/>
    <s v="201510CPG"/>
    <x v="8"/>
    <s v="Theranostic Vectors to Treat Cancer with Radiometals"/>
    <n v="359446"/>
    <n v="0"/>
    <n v="0"/>
    <m/>
    <s v="3 yrs 0 mth "/>
    <x v="1"/>
    <s v="CANCER THERAPY GENERAL; CANCER; IMAGING"/>
    <x v="16"/>
    <d v="2019-03-31T00:00:00"/>
    <n v="0"/>
    <s v="Theranostic, Vectors, Radiometals"/>
  </r>
  <r>
    <x v="200"/>
    <s v="University of British Columbia"/>
    <x v="3"/>
    <x v="9"/>
    <s v="201510CPG"/>
    <x v="8"/>
    <s v="INformation FUSion for Echocardiography (INFUSE): A Novel Platform for Automatic Analysis of Echocardiography Data at Any Point-Of-Care"/>
    <n v="327819"/>
    <n v="0"/>
    <n v="0"/>
    <m/>
    <s v="3 yrs 0 mth "/>
    <x v="11"/>
    <s v="CARDIOLOGY; HEALTH SERVICES RESEARCH; CARDIOVASCULAR; IMAGING"/>
    <x v="16"/>
    <d v="2019-03-31T00:00:00"/>
    <n v="0"/>
    <s v="Information, Fusion, Echocardiography"/>
  </r>
  <r>
    <x v="201"/>
    <s v="University of British Columbia"/>
    <x v="3"/>
    <x v="9"/>
    <s v="201510CPG"/>
    <x v="8"/>
    <s v="Quantitative ultrasound for detecting abnormalities of the placenta"/>
    <n v="240861"/>
    <n v="0"/>
    <n v="0"/>
    <m/>
    <s v="3 yrs 0 mth "/>
    <x v="10"/>
    <s v="PREGNANCY/BIRTH; IMAGING; REPRODUCTION/PREGNANCY"/>
    <x v="16"/>
    <d v="2019-03-31T00:00:00"/>
    <n v="0"/>
    <s v="ultrasound, placenta, abnormalities"/>
  </r>
  <r>
    <x v="202"/>
    <s v="University of British Columbia"/>
    <x v="3"/>
    <x v="9"/>
    <s v="201510CPG"/>
    <x v="8"/>
    <s v="Universal Antibiofilm Coating Solutions for Ureteral Stents"/>
    <n v="393404"/>
    <n v="0"/>
    <n v="0"/>
    <m/>
    <s v="3 yrs 0 mth "/>
    <x v="7"/>
    <s v="INFECTIOUS AND PARASITIC; GENITO/URINARY SYSTEM; RENAL FUNCTION, NEPHROLOGY, UROLOGY; BACTERIOLOGY"/>
    <x v="16"/>
    <d v="2019-03-31T00:00:00"/>
    <n v="0"/>
    <s v="Antibiofilm, Coating, Ureteral Stents"/>
  </r>
  <r>
    <x v="203"/>
    <s v="University of British Columbia"/>
    <x v="3"/>
    <x v="9"/>
    <s v="201510CPG"/>
    <x v="8"/>
    <s v="Preventing Adverse Tissue Reactions in Total Hip Replacement, from Mechanisms to New Implant Designs"/>
    <n v="511511"/>
    <n v="0"/>
    <n v="0"/>
    <m/>
    <s v="3 yrs 0 mth "/>
    <x v="0"/>
    <s v="ARTHRITIS/OSTEOARTHRITIS; MULTIDISCIPLINARY; MUSCLE, BONE, OR JOINT; AGING"/>
    <x v="16"/>
    <d v="2019-03-31T00:00:00"/>
    <n v="0"/>
    <s v="hip replacement, tissue reactions, implant design"/>
  </r>
  <r>
    <x v="204"/>
    <s v="University of British Columbia"/>
    <x v="3"/>
    <x v="9"/>
    <s v="201610CPG"/>
    <x v="8"/>
    <s v="Development of a confocal endoscope for gastrointestinal cancer diagnosis"/>
    <n v="311545"/>
    <n v="0"/>
    <n v="0"/>
    <m/>
    <s v="3 yrs 0 mth "/>
    <x v="1"/>
    <s v="GASTRO-INTESTINAL CANCER; GASTRO-INTESTINAL DISEASE; IMAGING; CANCER"/>
    <x v="12"/>
    <d v="2020-03-31T00:00:00"/>
    <n v="0"/>
    <s v="confocal, endoscope, gastrointestinal"/>
  </r>
  <r>
    <x v="205"/>
    <s v="University of British Columbia"/>
    <x v="3"/>
    <x v="9"/>
    <s v="201610CPG"/>
    <x v="8"/>
    <s v="Development of Technologies for Rapid Isolation and Genome Sequencing of Single Circulating Tumor Cells in Prostate Cancer"/>
    <n v="489780"/>
    <n v="0"/>
    <n v="0"/>
    <m/>
    <s v="3 yrs 0 mth "/>
    <x v="1"/>
    <s v="PROSTATE AND BLADDER CANCER; PROSTATE AND BLADDER CANCER THERAPY; CANCER; GENETICS"/>
    <x v="12"/>
    <d v="2020-03-31T00:00:00"/>
    <n v="0"/>
    <s v="isolation, genome sequencing, circulating tumor cells"/>
  </r>
  <r>
    <x v="206"/>
    <s v="University of British Columbia"/>
    <x v="3"/>
    <x v="9"/>
    <s v="201610CPG"/>
    <x v="8"/>
    <s v="Handheld Multiphoton Imaging Device for Detecting Oral Cancer"/>
    <n v="294250"/>
    <n v="0"/>
    <n v="0"/>
    <m/>
    <s v="3 yrs 0 mth "/>
    <x v="1"/>
    <s v="MULTIDISCIPLINARY; DENTAL DISEASE (INCL. ORAL BIOLOGY); IMAGING; CANCER"/>
    <x v="12"/>
    <d v="2020-03-31T00:00:00"/>
    <n v="0"/>
    <s v="Multiphoton, Imaging, Oral Cancer"/>
  </r>
  <r>
    <x v="207"/>
    <s v="University of British Columbia"/>
    <x v="3"/>
    <x v="9"/>
    <s v="201610CPG"/>
    <x v="8"/>
    <s v="Raman Spectroscopy Analysis to Improve the Validation of Cell Therapy Manufacturing Processes"/>
    <n v="233800"/>
    <n v="0"/>
    <n v="0"/>
    <m/>
    <s v="3 yrs 0 mth "/>
    <x v="4"/>
    <s v="MULTIDISCIPLINARY; MULTIPLE DISEASE RELEVANCE; CELL BIOLOGY; METABOLISM/DIABETES"/>
    <x v="12"/>
    <d v="2020-03-31T00:00:00"/>
    <n v="0"/>
    <s v="Raman Spectroscopy, Cell Therapy, Manufacturing"/>
  </r>
  <r>
    <x v="208"/>
    <s v="University of British Columbia"/>
    <x v="3"/>
    <x v="9"/>
    <s v="201711CPG"/>
    <x v="8"/>
    <s v="Hypoxia-selective inhibitors of DNA repair"/>
    <n v="259381"/>
    <n v="0"/>
    <n v="0"/>
    <m/>
    <s v="3 yrs 0 mth "/>
    <x v="1"/>
    <s v="CANCER THERAPY GENERAL; DRUG RESEARCH; CANCER"/>
    <x v="17"/>
    <d v="2021-03-31T00:00:00"/>
    <n v="3"/>
    <s v="hypoxia, inhibitors, DNA repair"/>
  </r>
  <r>
    <x v="209"/>
    <s v="University of British Columbia"/>
    <x v="3"/>
    <x v="9"/>
    <s v="201711CPG"/>
    <x v="8"/>
    <s v="Novel 3D bioprinted human cardiac tissue models for drug safety and efficacy testing."/>
    <n v="381750"/>
    <n v="0"/>
    <n v="0"/>
    <m/>
    <s v="3 yrs 0 mth "/>
    <x v="11"/>
    <s v="CARDIOLOGY; MULTIPLE DISEASE RELEVANCE; CARDIOVASCULAR; CELL BIOLOGY"/>
    <x v="17"/>
    <d v="2021-03-31T00:00:00"/>
    <n v="0"/>
    <s v="3D bioprinting, cardiac tissue, drug testing"/>
  </r>
  <r>
    <x v="210"/>
    <s v="University of British Columbia"/>
    <x v="3"/>
    <x v="9"/>
    <s v="201711CPG"/>
    <x v="8"/>
    <s v="Platform technology for blood diagnostics integrating microneedle blood sampling and quantum-dot based multiplexed assays"/>
    <n v="356025"/>
    <n v="0"/>
    <n v="0"/>
    <m/>
    <s v="3 yrs 0 mth "/>
    <x v="11"/>
    <s v="BLOOD"/>
    <x v="17"/>
    <d v="2021-03-31T00:00:00"/>
    <n v="0"/>
    <s v="blood, microneedle, quantum-dot"/>
  </r>
  <r>
    <x v="211"/>
    <s v="University of British Columbia"/>
    <x v="3"/>
    <x v="9"/>
    <s v="201711CPG"/>
    <x v="8"/>
    <s v="Intelligent Ureteral Stent System for Prevention of Renal Damage"/>
    <n v="326860"/>
    <n v="3750"/>
    <n v="0"/>
    <m/>
    <s v="3 yrs 0 mth "/>
    <x v="7"/>
    <s v="GENITO/URINARY SYSTEM; CANCER THERAPY GENERAL; RENAL FUNCTION, NEPHROLOGY, UROLOGY"/>
    <x v="17"/>
    <d v="2021-03-31T00:00:00"/>
    <n v="0"/>
    <s v="Ureteral stent, Renal damage, Prevention"/>
  </r>
  <r>
    <x v="212"/>
    <s v="University of British Columbia"/>
    <x v="3"/>
    <x v="9"/>
    <s v="201711CPG"/>
    <x v="8"/>
    <s v="Side effect-free cathepsin K targeting drugs for skeletal diseases"/>
    <n v="359850"/>
    <n v="0"/>
    <n v="0"/>
    <m/>
    <s v="3 yrs 0 mth "/>
    <x v="0"/>
    <s v="ARTHRITIS/OSTEOARTHRITIS; BONE CANCER THERAPY; MUSCLE, BONE, OR JOINT; DRUG RESEARCH"/>
    <x v="17"/>
    <d v="2021-03-31T00:00:00"/>
    <n v="0"/>
    <s v="cathepsin K, skeletal diseases, targeting"/>
  </r>
  <r>
    <x v="213"/>
    <s v="University of British Columbia"/>
    <x v="3"/>
    <x v="9"/>
    <s v="201810CPG"/>
    <x v="8"/>
    <s v="Intraoperative Surgical Tools for Advanced Reconstruction Workflow to Optimize Outcomes of Head and Neck Cancer Treatment"/>
    <n v="360914"/>
    <n v="33363"/>
    <n v="0"/>
    <m/>
    <s v="3 yrs 0 mth "/>
    <x v="1"/>
    <s v="DENTAL DISEASE (INCL. ORAL BIOLOGY); MUSCULO SKELETAL; DENTAL SCIENCE - Oral Biology; CANCER"/>
    <x v="18"/>
    <d v="2022-03-31T00:00:00"/>
    <n v="0"/>
    <s v="surgical tools, reconstruction, head and neck cancer"/>
  </r>
  <r>
    <x v="214"/>
    <s v="University of British Columbia"/>
    <x v="3"/>
    <x v="9"/>
    <s v="201810CPG"/>
    <x v="8"/>
    <s v="Deformability based Cell Sorting Enabling Quality Control of Stored Red Blood Cells"/>
    <n v="312155"/>
    <n v="0"/>
    <n v="0"/>
    <m/>
    <s v="3 yrs 0 mth "/>
    <x v="11"/>
    <s v="BLOOD; BIOPHYSICS"/>
    <x v="18"/>
    <d v="2022-03-31T00:00:00"/>
    <n v="0"/>
    <s v="Deformability, Cell Sorting, Red Blood Cells"/>
  </r>
  <r>
    <x v="215"/>
    <s v="University of British Columbia"/>
    <x v="3"/>
    <x v="9"/>
    <s v="201810CPG"/>
    <x v="8"/>
    <s v="Super-resolution microscopy network analysis: Drug target validation for cystic fibrosis"/>
    <n v="390330"/>
    <n v="18000"/>
    <n v="0"/>
    <m/>
    <s v="3 yrs 0 mth "/>
    <x v="11"/>
    <s v="RESPIRATION; DRUGS- PHARMACEUTICAL SCIENCE/CHEMISTRY &amp; NON MEDICAL USE OF DRUGS; CELL BIOLOGY; DRUG RESEARCH"/>
    <x v="18"/>
    <d v="2022-03-31T00:00:00"/>
    <n v="0"/>
    <s v="super-resolution, microscopy, cystic fibrosis"/>
  </r>
  <r>
    <x v="216"/>
    <s v="University of British Columbia"/>
    <x v="3"/>
    <x v="9"/>
    <s v="201810CPG"/>
    <x v="8"/>
    <s v="Bioprocess Engineering for Therapeutic T-cell Manufacturing"/>
    <n v="306802"/>
    <n v="0"/>
    <n v="0"/>
    <m/>
    <s v="3 yrs 0 mth "/>
    <x v="7"/>
    <s v="MULTIDISCIPLINARY; MULTIPLE DISEASE RELEVANCE; CELL BIOLOGY; IMMUNOLOGY-TRANSPLANTATION"/>
    <x v="18"/>
    <d v="2022-03-31T00:00:00"/>
    <n v="0"/>
    <s v="Bioprocess, T-cell, Manufacturing"/>
  </r>
  <r>
    <x v="217"/>
    <s v="University of British Columbia"/>
    <x v="3"/>
    <x v="9"/>
    <s v="201810CPG"/>
    <x v="8"/>
    <s v="Therapeutic Use of Micro-Sponge Embedded Nutritional Liquid Scaffold for Treatment of Non-Healing Wounds"/>
    <n v="381244"/>
    <n v="15000"/>
    <n v="0"/>
    <m/>
    <s v="3 yrs 0 mth "/>
    <x v="0"/>
    <s v="SKIN AND SUBCUTANEOUS TISSUS; SPINAL CORD DISEASE; HEALTH RESEARCH; AGING"/>
    <x v="18"/>
    <d v="2022-03-31T00:00:00"/>
    <n v="0"/>
    <s v="Micro-Sponge, Nutritional Liquid, Wounds"/>
  </r>
  <r>
    <x v="218"/>
    <s v="University of British Columbia"/>
    <x v="3"/>
    <x v="9"/>
    <s v="201810CPG"/>
    <x v="8"/>
    <s v="Confidential Automatic Monitoring, Examination, and Recognition of disease Activity (CAMERA): Application to Parkinson and Alzheimer Diseases"/>
    <n v="517818"/>
    <n v="61140"/>
    <n v="0"/>
    <m/>
    <s v="3 yrs 0 mth "/>
    <x v="3"/>
    <s v="PARKINSON'S DISEASE; ALZHEIMER'S DISEASE; NERVOUS SYSTEM; ETHICS"/>
    <x v="18"/>
    <d v="2022-03-31T00:00:00"/>
    <n v="0"/>
    <s v="Automatic, Monitoring, Disease"/>
  </r>
  <r>
    <x v="219"/>
    <s v="University of British Columbia"/>
    <x v="3"/>
    <x v="9"/>
    <s v="201910CPG"/>
    <x v="8"/>
    <s v="Next Generation Micro-ultrasound Technology for Detection and Monitoring of Prostate Cancer"/>
    <n v="279550"/>
    <n v="0"/>
    <n v="0"/>
    <m/>
    <s v="3 yrs 0 mth "/>
    <x v="1"/>
    <s v="PROSTATE AND BLADDER CANCER; CANCER; IMAGING"/>
    <x v="13"/>
    <d v="2023-03-31T00:00:00"/>
    <n v="1"/>
    <s v="Micro-ultrasound, Prostate Cancer, Detection"/>
  </r>
  <r>
    <x v="220"/>
    <s v="University of British Columbia"/>
    <x v="3"/>
    <x v="9"/>
    <s v="201910CPG"/>
    <x v="8"/>
    <s v="Next Generation Platelet Storage Devices for Safe and Efficient Transfusion"/>
    <n v="361850"/>
    <n v="0"/>
    <n v="0"/>
    <m/>
    <s v="3 yrs 0 mth "/>
    <x v="11"/>
    <s v="BLOOD; INFECTIOUS AND PARASITIC; CARDIOVASCULAR"/>
    <x v="13"/>
    <d v="2023-03-31T00:00:00"/>
    <n v="1"/>
    <s v="Platelet, Storage, Transfusion"/>
  </r>
  <r>
    <x v="221"/>
    <s v="University of British Columbia"/>
    <x v="3"/>
    <x v="9"/>
    <s v="201910CPG"/>
    <x v="8"/>
    <s v="Improved organ transplant across the ABO barrier through enzymatic removal of antigens"/>
    <n v="431290"/>
    <n v="0"/>
    <n v="0"/>
    <m/>
    <s v="3 yrs 0 mth "/>
    <x v="11"/>
    <s v="RESPIRATION; CORONARY CIRCULATION (INCL. INSUFFICIENCY); IMMUNOLOGY-TRANSPLANTATION; BIOCHEMISTRY"/>
    <x v="13"/>
    <d v="2023-03-31T00:00:00"/>
    <n v="3"/>
    <s v="organ transplant, enzymatic removal, antigens"/>
  </r>
  <r>
    <x v="222"/>
    <s v="University of British Columbia"/>
    <x v="3"/>
    <x v="9"/>
    <s v="201910CPG"/>
    <x v="8"/>
    <s v="Instrumented i-GRASP for the assessment and treatment of upper extremity function after neurological injury"/>
    <n v="268658"/>
    <n v="0"/>
    <n v="0"/>
    <m/>
    <s v="3 yrs 0 mth "/>
    <x v="3"/>
    <s v="STROKE, HEART FAILURE; NERVOUS SYSTEM; AGING"/>
    <x v="13"/>
    <d v="2023-03-31T00:00:00"/>
    <n v="0"/>
    <s v="i-GRASP, assessment, neurological injury"/>
  </r>
  <r>
    <x v="223"/>
    <s v="University of Calgary"/>
    <x v="1"/>
    <x v="9"/>
    <s v="201310CPG"/>
    <x v="8"/>
    <s v="Development and Clinical Efficacies of an Innovative Quantitative Intraoperative C-arm System"/>
    <n v="234775"/>
    <n v="0"/>
    <n v="0"/>
    <m/>
    <s v="3 yrs 0 mth "/>
    <x v="0"/>
    <s v="MUSCULO SKELETAL; MULTIDISCIPLINARY; IMAGING; MUSCLE, BONE, OR JOINT"/>
    <x v="11"/>
    <d v="2017-03-31T00:00:00"/>
    <n v="0"/>
    <s v="C-arm, Intraoperative, Quantitative"/>
  </r>
  <r>
    <x v="224"/>
    <s v="University of Calgary"/>
    <x v="1"/>
    <x v="9"/>
    <s v="201410CPG"/>
    <x v="8"/>
    <s v="Application of functional near-infrared imaging as a biomarker of injury and recovery in mild traumatic brain injury and concussion"/>
    <n v="249682"/>
    <n v="0"/>
    <n v="0"/>
    <m/>
    <s v="3 yrs 0 mth "/>
    <x v="3"/>
    <s v="MULTIDISCIPLINARY; MENTAL AND BEHAVIOURAL DISEASES; IMAGING; MENTAL HEALTH"/>
    <x v="14"/>
    <d v="2018-03-31T00:00:00"/>
    <n v="0"/>
    <s v="near-infrared imaging, biomarker, brain injury"/>
  </r>
  <r>
    <x v="225"/>
    <s v="University of Calgary"/>
    <x v="1"/>
    <x v="9"/>
    <s v="201410CPG"/>
    <x v="8"/>
    <s v="A novel neurosurgery-specific haptic hand-controller for robot-assisted surgical systems"/>
    <n v="234250"/>
    <n v="0"/>
    <n v="0"/>
    <m/>
    <s v="3 yrs 0 mth "/>
    <x v="3"/>
    <s v="BRAIN TUMORS THERAPY; MULTIDISCIPLINARY; HEALTH RESEARCH"/>
    <x v="14"/>
    <d v="2018-03-31T00:00:00"/>
    <n v="3"/>
    <s v="neurosurgery, haptic, robotic"/>
  </r>
  <r>
    <x v="226"/>
    <s v="University of Calgary"/>
    <x v="1"/>
    <x v="9"/>
    <s v="201711CPG"/>
    <x v="8"/>
    <s v="Development of a Blood Test for Colorectal Cancer based on Metabolomic Signature"/>
    <n v="389215"/>
    <n v="0"/>
    <n v="0"/>
    <m/>
    <s v="3 yrs 0 mth "/>
    <x v="1"/>
    <s v="GASTRO-INTESTINAL CANCER; HEALTH CARE DELIVERY; CANCER; HEALTH RESEARCH"/>
    <x v="17"/>
    <d v="2021-03-31T00:00:00"/>
    <n v="1"/>
    <s v="Blood test, colorectal cancer, metabolomics"/>
  </r>
  <r>
    <x v="227"/>
    <s v="University of Calgary"/>
    <x v="1"/>
    <x v="9"/>
    <s v="201510CPG"/>
    <x v="8"/>
    <s v="Derivation and Culture of Naeve Pluripotent Stem Cells in Stirred Suspension Bioreactors"/>
    <n v="351690"/>
    <n v="0"/>
    <n v="0"/>
    <m/>
    <s v="3 yrs 0 mth "/>
    <x v="8"/>
    <s v="MULTIDISCIPLINARY; MULTIPLE DISEASE RELEVANCE; CELL BIOLOGY; MOLECULAR BIOLOGY"/>
    <x v="16"/>
    <d v="2019-03-31T00:00:00"/>
    <n v="0"/>
    <s v="Naive, pluripotent, bioreactors"/>
  </r>
  <r>
    <x v="228"/>
    <s v="University of Guelph"/>
    <x v="0"/>
    <x v="9"/>
    <s v="201910CPG"/>
    <x v="8"/>
    <s v="Clinical Advancement of an AAV Lung Gene Therapy Platform for the Treatment of Monogenic Lung Diseases"/>
    <n v="280788"/>
    <n v="25000"/>
    <n v="0"/>
    <m/>
    <s v="3 yrs 0 mth "/>
    <x v="11"/>
    <s v="VIRAL; RESPIRATION; VIROLOGY"/>
    <x v="13"/>
    <d v="2023-03-31T00:00:00"/>
    <n v="0"/>
    <s v="AAV, gene therapy, lung"/>
  </r>
  <r>
    <x v="229"/>
    <s v="University of Manitoba"/>
    <x v="4"/>
    <x v="9"/>
    <s v="201210CPG"/>
    <x v="8"/>
    <s v="Development of Magnetic Nanoparticles to Breakthrough the Blood-Brain Barrier"/>
    <n v="440666"/>
    <n v="0"/>
    <n v="0"/>
    <m/>
    <s v="3 yrs 0 mth "/>
    <x v="3"/>
    <s v="DRUGS- PHARMACEUTICAL SCIENCE/CHEMISTRY &amp; NON MEDICAL USE OF DRUGS; BRAIN TUMORS THERAPY; DRUG RESEARCH; NERVOUS SYSTEM"/>
    <x v="15"/>
    <d v="2016-03-31T00:00:00"/>
    <n v="2"/>
    <s v="Magnetic Nanoparticles, Blood-Brain Barrier"/>
  </r>
  <r>
    <x v="230"/>
    <s v="University of Manitoba"/>
    <x v="4"/>
    <x v="9"/>
    <s v="201310CPG"/>
    <x v="8"/>
    <s v="Developing Novel Integrated Point-of-Care Systems for Chronic Kidney Disease Biomarkers Measurements"/>
    <n v="265170"/>
    <n v="0"/>
    <n v="0"/>
    <m/>
    <s v="3 yrs 0 mth "/>
    <x v="6"/>
    <s v="GENITO/URINARY SYSTEM; DIABETES MELLITUS; RENAL FUNCTION, NEPHROLOGY, UROLOGY; HEALTH RESEARCH"/>
    <x v="11"/>
    <d v="2017-03-31T00:00:00"/>
    <n v="3"/>
    <s v="Point-of-Care, Biomarkers, Kidney Disease"/>
  </r>
  <r>
    <x v="231"/>
    <s v="University of Manitoba"/>
    <x v="4"/>
    <x v="9"/>
    <s v="201810CPG"/>
    <x v="8"/>
    <s v="Development and clinical assessment of novel biomarker drugs targeting SSAT1 for detection and therapeutic monitoring of glioblastoma"/>
    <n v="405529"/>
    <n v="5232"/>
    <n v="0"/>
    <m/>
    <s v="3 yrs 0 mth "/>
    <x v="1"/>
    <s v="BRAIN TUMORS (INCL. RETINAL TUMORS); BRAIN TUMORS THERAPY; CANCER; NERVOUS SYSTEM"/>
    <x v="18"/>
    <d v="2022-03-31T00:00:00"/>
    <n v="1"/>
    <s v="biomarker, SSAT1, glioblastoma"/>
  </r>
  <r>
    <x v="232"/>
    <s v="University of Ottawa"/>
    <x v="0"/>
    <x v="9"/>
    <s v="201410CPG"/>
    <x v="8"/>
    <s v="Cocooning Therapeutic Cells"/>
    <n v="261805"/>
    <n v="0"/>
    <n v="0"/>
    <m/>
    <s v="3 yrs 0 mth "/>
    <x v="11"/>
    <s v="CARDIOLOGY; MULTIPLE DISEASE RELEVANCE; HEALTH RESEARCH; BIOPHYSICS"/>
    <x v="14"/>
    <d v="2018-03-31T00:00:00"/>
    <n v="0"/>
    <s v="Cocooning, Therapeutic Cells"/>
  </r>
  <r>
    <x v="233"/>
    <s v="University of Ottawa"/>
    <x v="0"/>
    <x v="9"/>
    <s v="201410CPG"/>
    <x v="8"/>
    <s v="An Integrated Systems Biology Approach to Developing Mesenchymal Stem/Stromal Cell-derived Cellular Therapeutics"/>
    <n v="375384"/>
    <n v="0"/>
    <n v="0"/>
    <m/>
    <s v="3 yrs 0 mth "/>
    <x v="7"/>
    <s v="MULTIDISCIPLINARY; INFECTIOUS AND PARASITIC; HEALTH RESEARCH; GENOMICS, PROTEOMICS, AND BIOINFORMATICS"/>
    <x v="14"/>
    <d v="2018-03-31T00:00:00"/>
    <n v="0"/>
    <s v="Systems biology, Mesenchymal stem cells, Cellular therapeutics"/>
  </r>
  <r>
    <x v="234"/>
    <s v="University of Ottawa"/>
    <x v="0"/>
    <x v="9"/>
    <s v="201711CPG"/>
    <x v="8"/>
    <s v="Injectable collagen matrices for cardiac tissue repair"/>
    <n v="417412"/>
    <n v="25000"/>
    <n v="0"/>
    <m/>
    <s v="3 yrs 0 mth "/>
    <x v="11"/>
    <s v="MYOCARDIAL INFARCTION; INJURY, REGENERATION; CARDIOVASCULAR"/>
    <x v="17"/>
    <d v="2021-03-31T00:00:00"/>
    <n v="1"/>
    <s v="Injectable, collagen, cardiac"/>
  </r>
  <r>
    <x v="235"/>
    <s v="University of Ottawa"/>
    <x v="0"/>
    <x v="9"/>
    <s v="201910CPG"/>
    <x v="8"/>
    <s v="Automated placenta screening to improve maternal lifetime cardiovascular health"/>
    <n v="238045"/>
    <n v="6000"/>
    <n v="0"/>
    <m/>
    <s v="3 yrs 0 mth "/>
    <x v="11"/>
    <s v="MULTIDISCIPLINARY; PREGNANCY/BIRTH; CARDIOVASCULAR; REPRODUCTION/PREGNANCY"/>
    <x v="13"/>
    <d v="2023-03-31T00:00:00"/>
    <n v="0"/>
    <s v="placenta, screening, cardiovascular"/>
  </r>
  <r>
    <x v="236"/>
    <s v="University of Ottawa"/>
    <x v="0"/>
    <x v="9"/>
    <s v="201910CPG"/>
    <x v="8"/>
    <s v="Enhancing cell therapies using microfluidic encapsulation strategies"/>
    <n v="480060"/>
    <n v="13960"/>
    <n v="0"/>
    <m/>
    <s v="3 yrs 0 mth "/>
    <x v="11"/>
    <s v="CARDIOLOGY; MULTIPLE DISEASE RELEVANCE; HEALTH RESEARCH; BIOPHYSICS"/>
    <x v="13"/>
    <d v="2023-03-31T00:00:00"/>
    <n v="0"/>
    <s v="cell, microfluidic, encapsulation"/>
  </r>
  <r>
    <x v="237"/>
    <s v="University of Toronto"/>
    <x v="0"/>
    <x v="9"/>
    <s v="201210CPG"/>
    <x v="8"/>
    <s v="A Modular Intelligent Power Wheelchair System to Enhance Mobility, Safety and Participation of Users"/>
    <n v="286788"/>
    <n v="0"/>
    <n v="0"/>
    <m/>
    <s v="3 yrs 0 mth "/>
    <x v="6"/>
    <s v="AGING; MULTIDISCIPLINARY; HEALTH RESEARCH"/>
    <x v="15"/>
    <d v="2016-03-31T00:00:00"/>
    <n v="1"/>
    <s v="Power, Wheelchair, Mobility"/>
  </r>
  <r>
    <x v="238"/>
    <s v="University of Toronto"/>
    <x v="0"/>
    <x v="9"/>
    <s v="201210CPG"/>
    <x v="8"/>
    <s v="Temperature measurement in cortical bone and bone marrow during magnetic resonance guided focused ultrasound thermo-therapy in a porcine model"/>
    <n v="302342"/>
    <n v="0"/>
    <n v="0"/>
    <m/>
    <s v="3 yrs 0 mth "/>
    <x v="1"/>
    <s v="BONE CANCER THERAPY; NEOPLASMS; IMAGING; CANCER"/>
    <x v="15"/>
    <d v="2016-03-31T00:00:00"/>
    <n v="1"/>
    <s v="temperature, magnetic resonance, ultrasound"/>
  </r>
  <r>
    <x v="239"/>
    <s v="University of Toronto"/>
    <x v="0"/>
    <x v="9"/>
    <s v="201210CPG"/>
    <x v="8"/>
    <s v="Improving Quality and Patient Safety in Radiation Therapy by Integrating Multi-Disciplinary Criteria into an Artificial Intelligence System"/>
    <n v="325530"/>
    <n v="0"/>
    <n v="0"/>
    <m/>
    <s v="3 yrs 0 mth "/>
    <x v="1"/>
    <s v="CANCER THERAPY GENERAL; CANCER; BIOPHYSICS"/>
    <x v="15"/>
    <d v="2016-03-31T00:00:00"/>
    <n v="1"/>
    <s v="Radiation Therapy, Artificial Intelligence, Patient Safety"/>
  </r>
  <r>
    <x v="240"/>
    <s v="University of Toronto"/>
    <x v="0"/>
    <x v="9"/>
    <s v="201210CPG"/>
    <x v="8"/>
    <s v="Design of a high content personalized medicine screening tool for the treatment of cancer"/>
    <n v="479799"/>
    <n v="0"/>
    <n v="0"/>
    <m/>
    <s v="3 yrs 0 mth "/>
    <x v="1"/>
    <s v="BREAST CANCER; BREAST CANCER THERAPY; CANCER; CELL BIOLOGY"/>
    <x v="15"/>
    <d v="2016-03-31T00:00:00"/>
    <n v="5"/>
    <s v="personalized medicine, screening, cancer"/>
  </r>
  <r>
    <x v="241"/>
    <s v="University of Toronto"/>
    <x v="0"/>
    <x v="9"/>
    <s v="201210CPG"/>
    <x v="8"/>
    <s v="Hybrid (Co-registered) Intravascular Imaging Technology of Coronary Atherosclerosis using Wavelength-Modulated Differential Photoacoustic Radar and Ultrasonic Tomography"/>
    <n v="404580"/>
    <n v="0"/>
    <n v="0"/>
    <m/>
    <s v="3 yrs 0 mth "/>
    <x v="11"/>
    <s v="ATHEROSCLEROSIS; HEALTH PROMOTION; CARDIOVASCULAR; BIOPHYSICS"/>
    <x v="15"/>
    <d v="2016-03-31T00:00:00"/>
    <n v="1"/>
    <s v="Intravascular imaging, Photoacoustic radar, Ultrasonic tomography"/>
  </r>
  <r>
    <x v="242"/>
    <s v="University of Toronto"/>
    <x v="0"/>
    <x v="9"/>
    <s v="201210CPG"/>
    <x v="8"/>
    <s v="Rapid gene expression and protein profiling for transplantation medicine"/>
    <n v="282900"/>
    <n v="0"/>
    <n v="0"/>
    <m/>
    <s v="3 yrs 0 mth "/>
    <x v="8"/>
    <s v="RESPIRATION; GENETICS; GENOMICS, PROTEOMICS, AND BIOINFORMATICS"/>
    <x v="15"/>
    <d v="2016-03-31T00:00:00"/>
    <n v="4"/>
    <s v="gene expression, protein profiling, transplantation"/>
  </r>
  <r>
    <x v="243"/>
    <s v="University of Toronto"/>
    <x v="0"/>
    <x v="9"/>
    <s v="201210CPG"/>
    <x v="8"/>
    <s v="Screening technologies for identification of bacterial vascular dissemination inhibitors and testing of novel antibiotic-complementing therapeutic molecules"/>
    <n v="313633"/>
    <n v="0"/>
    <n v="0"/>
    <m/>
    <s v="3 yrs 0 mth "/>
    <x v="7"/>
    <s v="INFECTIOUS AND PARASITIC; MULTIDISCIPLINARY; BACTERIOLOGY; CARDIOVASCULAR"/>
    <x v="15"/>
    <d v="2016-03-31T00:00:00"/>
    <n v="0"/>
    <s v="bacterial, vascular, inhibitors"/>
  </r>
  <r>
    <x v="244"/>
    <s v="University of Toronto"/>
    <x v="0"/>
    <x v="9"/>
    <s v="201210CPG"/>
    <x v="8"/>
    <s v="Irradiation-Sterilized Skeletal Allografts with Superior Biomechanical Performance through Collaborative Multidisciplinary Translational Research"/>
    <n v="255330"/>
    <n v="0"/>
    <n v="0"/>
    <m/>
    <s v="3 yrs 0 mth "/>
    <x v="0"/>
    <s v="MUSCULO SKELETAL; INJURY, REGENERATION; MUSCLE, BONE, OR JOINT"/>
    <x v="15"/>
    <d v="2016-03-31T00:00:00"/>
    <n v="0"/>
    <s v="Irradiation, Sterilization, Skeletal Allografts"/>
  </r>
  <r>
    <x v="245"/>
    <s v="University of Toronto"/>
    <x v="0"/>
    <x v="9"/>
    <s v="201210CPG"/>
    <x v="8"/>
    <s v="Enhancement of nerve regeneration with controlled release of neurotrophic factors"/>
    <n v="220356"/>
    <n v="0"/>
    <n v="0"/>
    <m/>
    <s v="3 yrs 0 mth "/>
    <x v="3"/>
    <s v="MUSCULO SKELETAL; MULTIDISCIPLINARY; NERVOUS SYSTEM"/>
    <x v="15"/>
    <d v="2016-03-31T00:00:00"/>
    <n v="5"/>
    <s v="nerve regeneration, neurotrophic factors, controlled release"/>
  </r>
  <r>
    <x v="246"/>
    <s v="University of Toronto"/>
    <x v="0"/>
    <x v="9"/>
    <s v="201310CPG"/>
    <x v="8"/>
    <s v="Improved Diagnosis of Leukemia Using Highly Multiplexed Surface Enhanced Raman Scattering Nanoparticles"/>
    <n v="100000"/>
    <n v="0"/>
    <n v="0"/>
    <m/>
    <s v="2 yrs 0 mth "/>
    <x v="1"/>
    <s v="LEUKAEMIAS; BLOOD; CANCER; IMAGING"/>
    <x v="11"/>
    <d v="2016-03-31T00:00:00"/>
    <n v="0"/>
    <s v="Leukemia, Surface Enhanced Raman Scattering, Nanoparticles"/>
  </r>
  <r>
    <x v="247"/>
    <s v="University of Toronto"/>
    <x v="0"/>
    <x v="9"/>
    <s v="201310CPG"/>
    <x v="8"/>
    <s v="Nonlinear Optical Imaging for Digital Pathology"/>
    <n v="508406"/>
    <n v="0"/>
    <n v="0"/>
    <m/>
    <s v="3 yrs 0 mth "/>
    <x v="1"/>
    <s v="MULTIDISCIPLINARY; QUALITATIVE METHODS; IMAGING; CANCER"/>
    <x v="11"/>
    <d v="2017-03-31T00:00:00"/>
    <n v="1"/>
    <s v="Nonlinear Optical, Imaging, Pathology"/>
  </r>
  <r>
    <x v="248"/>
    <s v="University of Toronto"/>
    <x v="0"/>
    <x v="9"/>
    <s v="201310CPG"/>
    <x v="8"/>
    <s v="Nanoparticle-based anti-Myc cancer therapeutics"/>
    <n v="448040"/>
    <n v="0"/>
    <n v="0"/>
    <m/>
    <s v="3 yrs 0 mth "/>
    <x v="1"/>
    <s v="CANCER THERAPY GENERAL; MULTIDISCIPLINARY; DRUG RESEARCH; CANCER"/>
    <x v="11"/>
    <d v="2017-03-31T00:00:00"/>
    <n v="0"/>
    <s v="Nanoparticle, cancer, therapeutics"/>
  </r>
  <r>
    <x v="249"/>
    <s v="University of Toronto"/>
    <x v="0"/>
    <x v="9"/>
    <s v="201310CPG"/>
    <x v="8"/>
    <s v="A Wireless CMOS Device for Rapid Point-of-Care Diagnosis of Bacterial Infections and Antibiotic Susceptibility Profiling"/>
    <n v="677527"/>
    <n v="0"/>
    <n v="0"/>
    <m/>
    <s v="3 yrs 0 mth "/>
    <x v="7"/>
    <s v="HEALTH CARE DELIVERY; INFECTIOUS AND PARASITIC; HEALTH RESEARCH; BACTERIOLOGY"/>
    <x v="11"/>
    <d v="2017-03-31T00:00:00"/>
    <n v="1"/>
    <s v="Wireless, CMOS, Bacterial Infections"/>
  </r>
  <r>
    <x v="250"/>
    <s v="University of Toronto"/>
    <x v="0"/>
    <x v="9"/>
    <s v="201310CPG"/>
    <x v="8"/>
    <s v="A novel mineralization-inducing membrane for promoting periodontal attachment"/>
    <n v="276081"/>
    <n v="0"/>
    <n v="0"/>
    <m/>
    <s v="3 yrs 0 mth "/>
    <x v="0"/>
    <s v="DENTAL DISEASE (INCL. ORAL BIOLOGY); MUSCULO SKELETAL; DENTAL SCIENCE - Oral Biology; MUSCLE, BONE, OR JOINT"/>
    <x v="11"/>
    <d v="2017-03-31T00:00:00"/>
    <n v="0"/>
    <s v="mineralization, membrane, periodontal"/>
  </r>
  <r>
    <x v="251"/>
    <s v="University of Toronto"/>
    <x v="0"/>
    <x v="9"/>
    <s v="201410CPG"/>
    <x v="8"/>
    <s v="Screening Assay for Inhibition of Cancer Cell Invasion"/>
    <n v="354383"/>
    <n v="0"/>
    <n v="0"/>
    <m/>
    <s v="3 yrs 0 mth "/>
    <x v="1"/>
    <s v="CANCER THERAPY GENERAL; DRUGS- PHARMACEUTICAL SCIENCE/CHEMISTRY &amp; NON MEDICAL USE OF DRUGS; CELL BIOLOGY; CANCER"/>
    <x v="14"/>
    <d v="2018-03-31T00:00:00"/>
    <n v="0"/>
    <s v="Cancer, Cell Invasion, Assay"/>
  </r>
  <r>
    <x v="252"/>
    <s v="University of Toronto"/>
    <x v="0"/>
    <x v="9"/>
    <s v="201410CPG"/>
    <x v="8"/>
    <s v="Brain Cancer Treatment: innovations in delivery of stable siRNAs and chemotherapeutics"/>
    <n v="504350"/>
    <n v="0"/>
    <n v="0"/>
    <m/>
    <s v="3 yrs 0 mth "/>
    <x v="1"/>
    <s v="BRAIN TUMORS (INCL. RETINAL TUMORS); BRAIN TUMORS THERAPY; CANCER; NERVOUS SYSTEM"/>
    <x v="14"/>
    <d v="2018-03-31T00:00:00"/>
    <n v="0"/>
    <s v="siRNAs, chemotherapeutics, brain cancer"/>
  </r>
  <r>
    <x v="253"/>
    <s v="University of Toronto"/>
    <x v="0"/>
    <x v="9"/>
    <s v="201410CPG"/>
    <x v="8"/>
    <s v="Development of a lead boron-containing ClpP inhibitor for AML therapy"/>
    <n v="299046"/>
    <n v="0"/>
    <n v="0"/>
    <m/>
    <s v="3 yrs 0 mth "/>
    <x v="1"/>
    <s v="CANCER THERAPY GENERAL; DRUGS- PHARMACEUTICAL SCIENCE/CHEMISTRY &amp; NON MEDICAL USE OF DRUGS; CANCER; DRUG RESEARCH"/>
    <x v="14"/>
    <d v="2018-03-31T00:00:00"/>
    <n v="0"/>
    <s v="lead, boron, ClpP"/>
  </r>
  <r>
    <x v="254"/>
    <s v="University of Toronto"/>
    <x v="0"/>
    <x v="9"/>
    <s v="201410CPG"/>
    <x v="8"/>
    <s v="Automated assays of gap junction functions and screening of drugs for rescuing conduction in heart tissues"/>
    <n v="300938"/>
    <n v="0"/>
    <n v="0"/>
    <m/>
    <s v="3 yrs 0 mth "/>
    <x v="11"/>
    <s v="ARRHYTHMIAS; DRUGS- PHARMACEUTICAL SCIENCE/CHEMISTRY &amp; NON MEDICAL USE OF DRUGS; CARDIOVASCULAR; GENETICS"/>
    <x v="14"/>
    <d v="2018-03-31T00:00:00"/>
    <n v="3"/>
    <s v="assays, gap junctions, heart tissues"/>
  </r>
  <r>
    <x v="255"/>
    <s v="University of Toronto"/>
    <x v="0"/>
    <x v="9"/>
    <s v="201410CPG"/>
    <x v="8"/>
    <s v="Design and evaluation of an interactive computer play platform to motivate participation in home-based therapies for young people with cerebral palsy: Let's Play!"/>
    <n v="248885"/>
    <n v="0"/>
    <n v="0"/>
    <m/>
    <s v="3 yrs 0 mth "/>
    <x v="10"/>
    <s v="MULTIDISCIPLINARY; MULTIPLE DISEASE RELEVANCE; HEALTH RESEARCH"/>
    <x v="14"/>
    <d v="2018-03-31T00:00:00"/>
    <n v="0"/>
    <s v="interactive, computer, therapies"/>
  </r>
  <r>
    <x v="256"/>
    <s v="University of Toronto"/>
    <x v="0"/>
    <x v="9"/>
    <s v="201410CPG"/>
    <x v="8"/>
    <s v="Biomaterial substrates for xeno- and feeder layer-free culture of human pluripotent stem cells"/>
    <n v="316195"/>
    <n v="0"/>
    <n v="0"/>
    <m/>
    <s v="3 yrs 0 mth "/>
    <x v="10"/>
    <s v="INJURY, REGENERATION; MULTIDISCIPLINARY"/>
    <x v="14"/>
    <d v="2018-03-31T00:00:00"/>
    <n v="2"/>
    <s v="biomaterial, stem cells, culture"/>
  </r>
  <r>
    <x v="257"/>
    <s v="University of Toronto"/>
    <x v="0"/>
    <x v="9"/>
    <s v="201410CPG"/>
    <x v="8"/>
    <s v="Characterization and mitigation of experimental and natural viral bioaerosols"/>
    <n v="241032"/>
    <n v="0"/>
    <n v="0"/>
    <m/>
    <s v="3 yrs 0 mth "/>
    <x v="7"/>
    <s v="INFECTIOUS AND PARASITIC; VIRAL; HEALTH RESEARCH; VIROLOGY"/>
    <x v="14"/>
    <d v="2018-03-31T00:00:00"/>
    <n v="0"/>
    <s v="viral, bioaerosols, characterization"/>
  </r>
  <r>
    <x v="258"/>
    <s v="University of Toronto"/>
    <x v="0"/>
    <x v="9"/>
    <s v="201410CPG"/>
    <x v="8"/>
    <s v="Orthopaedic surgical platform which uses burst-mode ultrafast laser pulses delivered by high-power fiber-optic catheter for less-invasive surgery with ultrafine control"/>
    <n v="378611"/>
    <n v="0"/>
    <n v="0"/>
    <m/>
    <s v="3 yrs 0 mth "/>
    <x v="0"/>
    <s v="ARTHRITIS/OSTEOARTHRITIS; GLAUCOMA; MUSCLE, BONE, OR JOINT; BIOPHYSICS"/>
    <x v="14"/>
    <d v="2018-03-31T00:00:00"/>
    <n v="0"/>
    <s v="ultrafast laser, fiber-optic catheter, minimally invasive"/>
  </r>
  <r>
    <x v="259"/>
    <s v="University of Toronto"/>
    <x v="0"/>
    <x v="9"/>
    <s v="201410CPG"/>
    <x v="8"/>
    <s v="The relationship of temporal gait asymmetry and rhythm perception and production"/>
    <n v="225096"/>
    <n v="0"/>
    <n v="0"/>
    <m/>
    <s v="3 yrs 0 mth "/>
    <x v="3"/>
    <s v="STROKE, HEART FAILURE; NERVOUS SYSTEM"/>
    <x v="14"/>
    <d v="2018-03-31T00:00:00"/>
    <n v="0"/>
    <s v="gait, rhythm, perception"/>
  </r>
  <r>
    <x v="260"/>
    <s v="University of Toronto"/>
    <x v="0"/>
    <x v="9"/>
    <s v="201410CPG"/>
    <x v="8"/>
    <s v="Using magnetic resonance imaging to non-invasively image and quantify kidney fibrosis"/>
    <n v="388551"/>
    <n v="0"/>
    <n v="0"/>
    <m/>
    <s v="3 yrs 0 mth "/>
    <x v="4"/>
    <s v="GENITO/URINARY SYSTEM; MULTIPLE DISEASE RELEVANCE; RENAL FUNCTION, NEPHROLOGY, UROLOGY; IMAGING"/>
    <x v="14"/>
    <d v="2018-03-31T00:00:00"/>
    <n v="3"/>
    <s v="magnetic resonance imaging, kidney fibrosis, imaging"/>
  </r>
  <r>
    <x v="261"/>
    <s v="University of Toronto"/>
    <x v="0"/>
    <x v="9"/>
    <s v="201510CPG"/>
    <x v="8"/>
    <s v="A combined nanotechnology and surgical strategy to treating liver cancer"/>
    <n v="464934"/>
    <n v="0"/>
    <n v="0"/>
    <m/>
    <s v="3 yrs 0 mth "/>
    <x v="1"/>
    <s v="LIVER DISEASE; CANCER THERAPY GENERAL; CANCER; BIOPHYSICS"/>
    <x v="16"/>
    <d v="2019-03-31T00:00:00"/>
    <n v="5"/>
    <s v="nanotechnology, surgery, liver cancer"/>
  </r>
  <r>
    <x v="262"/>
    <s v="University of Toronto"/>
    <x v="0"/>
    <x v="9"/>
    <s v="201510CPG"/>
    <x v="8"/>
    <s v="Precision medicine in breast cancer: from the computer to the clinic"/>
    <n v="375350"/>
    <n v="0"/>
    <n v="0"/>
    <m/>
    <s v="3 yrs 0 mth "/>
    <x v="1"/>
    <s v="CANCER; GENOMICS, PROTEOMICS, AND BIOINFORMATICS"/>
    <x v="16"/>
    <d v="2019-03-31T00:00:00"/>
    <n v="1"/>
    <s v="precision medicine, breast cancer, computer"/>
  </r>
  <r>
    <x v="263"/>
    <s v="University of Toronto"/>
    <x v="0"/>
    <x v="9"/>
    <s v="201510CPG"/>
    <x v="8"/>
    <s v="Analysis of Circulating Tumor Cell Heterogeneity Using a Multi-Marker Microscale Capture Approach as a tool in the Management and Treatment of Cancer"/>
    <n v="344850"/>
    <n v="0"/>
    <n v="0"/>
    <m/>
    <s v="3 yrs 0 mth "/>
    <x v="1"/>
    <s v="PROSTATE AND BLADDER CANCER; CANCER THERAPY GENERAL; CANCER; BIOCHEMISTRY"/>
    <x v="16"/>
    <d v="2019-03-31T00:00:00"/>
    <n v="3"/>
    <s v="Circulating Tumor Cells, Microscale Capture, Cancer"/>
  </r>
  <r>
    <x v="264"/>
    <s v="University of Toronto"/>
    <x v="0"/>
    <x v="9"/>
    <s v="201510CPG"/>
    <x v="8"/>
    <s v="A tissue engineering platform to identify target combinations in tumour stoma to render tumours therapy sensitive"/>
    <n v="207800"/>
    <n v="0"/>
    <n v="0"/>
    <m/>
    <s v="3 yrs 0 mth "/>
    <x v="1"/>
    <s v="CANCER THERAPY GENERAL; CANCER"/>
    <x v="16"/>
    <d v="2019-03-31T00:00:00"/>
    <n v="0"/>
    <s v="tissue engineering, tumour stroma, therapy sensitivity"/>
  </r>
  <r>
    <x v="265"/>
    <s v="University of Toronto"/>
    <x v="0"/>
    <x v="9"/>
    <s v="201510CPG"/>
    <x v="8"/>
    <s v="Image-guided Radiofrequency Ablation (RFA) - Development, Validation, and Integration of Multimodality Treatment Planning for Vertebral Tumors"/>
    <n v="165000"/>
    <n v="0"/>
    <n v="0"/>
    <m/>
    <s v="3 yrs 0 mth "/>
    <x v="1"/>
    <s v="MULTIDISCIPLINARY; BONE CANCER; CANCER; MUSCLE, BONE, OR JOINT"/>
    <x v="16"/>
    <d v="2019-03-31T00:00:00"/>
    <n v="0"/>
    <s v="Image-guided, Radiofrequency Ablation, Tumors"/>
  </r>
  <r>
    <x v="266"/>
    <s v="University of Toronto"/>
    <x v="0"/>
    <x v="9"/>
    <s v="201510CPG"/>
    <x v="8"/>
    <s v="Novel Methods to Evaluate the Cardiac Activity of Pharmaceuticals: Identifying New Therapies and Predicting Cardiac Toxicity"/>
    <n v="357480"/>
    <n v="0"/>
    <n v="0"/>
    <m/>
    <s v="3 yrs 0 mth "/>
    <x v="11"/>
    <s v="CARDIOLOGY; ARRHYTHMIAS; CARDIOVASCULAR; BIOPHYSICS"/>
    <x v="16"/>
    <d v="2019-03-31T00:00:00"/>
    <n v="1"/>
    <s v="Cardiac activity, Pharmaceuticals, Toxicity"/>
  </r>
  <r>
    <x v="267"/>
    <s v="University of Toronto"/>
    <x v="0"/>
    <x v="9"/>
    <s v="201510CPG"/>
    <x v="8"/>
    <s v="Platform technology for maturation of human stem cell derived cardiomyocytes and cardiotoxicity screening"/>
    <n v="149788"/>
    <n v="0"/>
    <n v="0"/>
    <m/>
    <s v="3 yrs 0 mth "/>
    <x v="11"/>
    <s v="CARDIOLOGY; ARRHYTHMIAS; CARDIOVASCULAR; DRUG RESEARCH"/>
    <x v="16"/>
    <d v="2019-03-31T00:00:00"/>
    <n v="4"/>
    <s v="stem cells, cardiomyocytes, cardiotoxicity"/>
  </r>
  <r>
    <x v="268"/>
    <s v="University of Toronto"/>
    <x v="0"/>
    <x v="9"/>
    <s v="201510CPG"/>
    <x v="8"/>
    <s v="Vascularized regenerative biomaterials for medical devices and cell therapy"/>
    <n v="235413"/>
    <n v="0"/>
    <n v="0"/>
    <m/>
    <s v="3 yrs 0 mth "/>
    <x v="7"/>
    <s v="DIABETES MELLITUS; IMMUNOLOGY-TRANSPLANTATION; METABOLISM/DIABETES"/>
    <x v="16"/>
    <d v="2019-03-31T00:00:00"/>
    <n v="0"/>
    <s v="Vascularized, biomaterials, cell therapy"/>
  </r>
  <r>
    <x v="269"/>
    <s v="University of Toronto"/>
    <x v="0"/>
    <x v="9"/>
    <s v="201510CPG"/>
    <x v="8"/>
    <s v="Patient-Specific Adaptive Closed-Loop Neurostimulation for Optimum Treatment of Intractable Epilepsy"/>
    <n v="232200"/>
    <n v="0"/>
    <n v="0"/>
    <m/>
    <s v="3 yrs 0 mth "/>
    <x v="3"/>
    <s v="EPILEPSY; NERVOUS SYSTEM"/>
    <x v="16"/>
    <d v="2019-03-31T00:00:00"/>
    <n v="4"/>
    <s v="Neurostimulation, Closed-Loop, Epilepsy"/>
  </r>
  <r>
    <x v="270"/>
    <s v="University of Toronto"/>
    <x v="0"/>
    <x v="9"/>
    <s v="201610CPG"/>
    <x v="8"/>
    <s v="Advancing Personalized Cancer Care with an Automated Radiomics-Based Radiation Therapy Method"/>
    <n v="276283"/>
    <n v="0"/>
    <n v="0"/>
    <m/>
    <s v="3 yrs 0 mth "/>
    <x v="1"/>
    <s v="CANCER THERAPY GENERAL; CANCER; BIOPHYSICS"/>
    <x v="12"/>
    <d v="2020-03-31T00:00:00"/>
    <n v="1"/>
    <s v="Radiomics, Radiation Therapy, Cancer"/>
  </r>
  <r>
    <x v="271"/>
    <s v="University of Toronto"/>
    <x v="0"/>
    <x v="9"/>
    <s v="201610CPG"/>
    <x v="8"/>
    <s v="Degradable Cardiac Patch with Immuno-modulatory function"/>
    <n v="273483"/>
    <n v="0"/>
    <n v="0"/>
    <m/>
    <s v="3 yrs 0 mth "/>
    <x v="11"/>
    <s v="STROKE, HEART FAILURE; MYOCARDIAL INFARCTION; CARDIOVASCULAR; HEALTH RESEARCH"/>
    <x v="12"/>
    <d v="2020-03-31T00:00:00"/>
    <n v="3"/>
    <s v="Cardiac, Degradable, Immuno-modulatory"/>
  </r>
  <r>
    <x v="272"/>
    <s v="University of Toronto"/>
    <x v="0"/>
    <x v="9"/>
    <s v="201610CPG"/>
    <x v="8"/>
    <s v="Development of a physiological cardiac microtissue platform for drug development"/>
    <n v="426720"/>
    <n v="0"/>
    <n v="0"/>
    <m/>
    <s v="3 yrs 0 mth "/>
    <x v="11"/>
    <s v="CARDIOLOGY; STROKE, HEART FAILURE; CARDIOVASCULAR; CELL BIOLOGY"/>
    <x v="12"/>
    <d v="2020-03-31T00:00:00"/>
    <n v="4"/>
    <s v="cardiac, microtissue, drug"/>
  </r>
  <r>
    <x v="273"/>
    <s v="University of Toronto"/>
    <x v="0"/>
    <x v="9"/>
    <s v="201610CPG"/>
    <x v="8"/>
    <s v="Engineering Pulmonary Valve Tissue for Pediatric Patients with Tetralogy of Fallot"/>
    <n v="386873"/>
    <n v="0"/>
    <n v="0"/>
    <m/>
    <s v="3 yrs 0 mth "/>
    <x v="11"/>
    <s v="CARDIOLOGY; CARDIOVASCULAR; CELL BIOLOGY"/>
    <x v="12"/>
    <d v="2020-03-31T00:00:00"/>
    <n v="0"/>
    <s v="Pulmonary Valve, Tissue Engineering, Pediatric"/>
  </r>
  <r>
    <x v="274"/>
    <s v="University of Toronto"/>
    <x v="0"/>
    <x v="9"/>
    <s v="201610CPG"/>
    <x v="8"/>
    <s v="Sperm Olympics: Selecting 1 in 100,000 for Intracytoplasmic Sperm Injection"/>
    <n v="272390"/>
    <n v="0"/>
    <n v="0"/>
    <m/>
    <s v="3 yrs 0 mth "/>
    <x v="10"/>
    <s v="INFERTILITY MALE; PREGNANCY/BIRTH; REPRODUCTION/PREGNANCY; RENAL FUNCTION, NEPHROLOGY, UROLOGY"/>
    <x v="12"/>
    <d v="2020-03-31T00:00:00"/>
    <n v="1"/>
    <s v="Sperm, Intracytoplasmic, Injection"/>
  </r>
  <r>
    <x v="275"/>
    <s v="University of Toronto"/>
    <x v="0"/>
    <x v="9"/>
    <s v="201610CPG"/>
    <x v="8"/>
    <s v="Next-Generation Antimicrobial Diagnostics: Speed and Precision via Whole Genome Sequencing"/>
    <n v="632425"/>
    <n v="0"/>
    <n v="0"/>
    <m/>
    <s v="3 yrs 0 mth "/>
    <x v="7"/>
    <s v="INFECTIOUS AND PARASITIC; HEALTH CARE DELIVERY; GENOMICS, PROTEOMICS, AND BIOINFORMATICS; BACTERIOLOGY"/>
    <x v="12"/>
    <d v="2020-03-31T00:00:00"/>
    <n v="0"/>
    <s v="Antimicrobial, Diagnostics, Genome Sequencing"/>
  </r>
  <r>
    <x v="276"/>
    <s v="University of Toronto"/>
    <x v="0"/>
    <x v="9"/>
    <s v="201610CPG"/>
    <x v="8"/>
    <s v="Development of a high-resolution photothermal coherence tomography clinical device for detection and 3-D mapping of early dental caries"/>
    <n v="358647"/>
    <n v="0"/>
    <n v="0"/>
    <m/>
    <s v="3 yrs 0 mth "/>
    <x v="0"/>
    <s v="DENTAL DISEASE (INCL. ORAL BIOLOGY); MULTIDISCIPLINARY; DENTAL SCIENCE - Oral Biology; IMAGING"/>
    <x v="12"/>
    <d v="2020-03-31T00:00:00"/>
    <n v="1"/>
    <s v="photothermal, coherence tomography, dental caries"/>
  </r>
  <r>
    <x v="277"/>
    <s v="University of Toronto"/>
    <x v="0"/>
    <x v="9"/>
    <s v="201610CPG"/>
    <x v="8"/>
    <s v="Novel adhesive polymeric membranes for binding degradable composite materials to bone in craniomaxillofacial repair"/>
    <n v="260200"/>
    <n v="0"/>
    <n v="0"/>
    <m/>
    <s v="3 yrs 0 mth "/>
    <x v="0"/>
    <s v="MUSCULO SKELETAL; INJURY, REGENERATION; MUSCLE, BONE, OR JOINT; HEALTH RESEARCH"/>
    <x v="12"/>
    <d v="2020-03-31T00:00:00"/>
    <n v="2"/>
    <s v="adhesive, polymeric membranes, craniomaxillofacial"/>
  </r>
  <r>
    <x v="278"/>
    <s v="University of Toronto"/>
    <x v="0"/>
    <x v="9"/>
    <s v="201610CPG"/>
    <x v="8"/>
    <s v="Wireless neurophotonic probes for the interrogation of neurons in memory circuits"/>
    <n v="349500"/>
    <n v="0"/>
    <n v="0"/>
    <m/>
    <s v="3 yrs 0 mth "/>
    <x v="3"/>
    <s v="MULTIDISCIPLINARY; MULTIPLE DISEASE RELEVANCE; NERVOUS SYSTEM; BIOPHYSICS"/>
    <x v="12"/>
    <d v="2020-03-31T00:00:00"/>
    <n v="0"/>
    <s v="wireless, neurophotonic, neurons"/>
  </r>
  <r>
    <x v="279"/>
    <s v="University of Toronto"/>
    <x v="0"/>
    <x v="9"/>
    <s v="201711CPG"/>
    <x v="8"/>
    <s v="Development of integrated bioanalyte sensors for process monitoring in closed system bioreactors"/>
    <n v="419100"/>
    <n v="0"/>
    <n v="0"/>
    <m/>
    <s v="3 yrs 0 mth "/>
    <x v="1"/>
    <n v="0"/>
    <x v="17"/>
    <d v="2021-03-31T00:00:00"/>
    <n v="0"/>
    <s v="bioanalyte, sensors, bioreactors"/>
  </r>
  <r>
    <x v="280"/>
    <s v="University of Toronto"/>
    <x v="0"/>
    <x v="9"/>
    <s v="201711CPG"/>
    <x v="8"/>
    <s v="Advanced Bioreactors for Evaluation and Systematic Optimization of Decellularization and Recellularization of the Lung and Trachea"/>
    <n v="291825"/>
    <n v="52100"/>
    <n v="0"/>
    <m/>
    <s v="3 yrs 0 mth "/>
    <x v="11"/>
    <s v="MULTIPLE DISEASE RELEVANCE; CHRONIC OBSTRUCTIVE LUNG DISEASE; HEALTH RESEARCH; RESPIRATION"/>
    <x v="17"/>
    <d v="2021-03-31T00:00:00"/>
    <n v="0"/>
    <s v="Bioreactors, Decellularization, Recellularization"/>
  </r>
  <r>
    <x v="281"/>
    <s v="University of Toronto"/>
    <x v="0"/>
    <x v="9"/>
    <s v="201711CPG"/>
    <x v="8"/>
    <s v="Development of a lung ultrasound therapy system for acute respiratory distress syndrome"/>
    <n v="362865"/>
    <n v="0"/>
    <n v="0"/>
    <m/>
    <s v="3 yrs 0 mth "/>
    <x v="11"/>
    <s v="PNEUMONIA; RESPIRATION; BIOPHYSICS"/>
    <x v="17"/>
    <d v="2021-03-31T00:00:00"/>
    <n v="2"/>
    <s v="lung, ultrasound, respiratory distress"/>
  </r>
  <r>
    <x v="282"/>
    <s v="University of Toronto"/>
    <x v="0"/>
    <x v="9"/>
    <s v="201711CPG"/>
    <x v="8"/>
    <s v="Rescue Electrical Conduction of Heart Scar Tissue to Diminish Cardiac Arrhythmia"/>
    <n v="271119"/>
    <n v="0"/>
    <n v="0"/>
    <m/>
    <s v="3 yrs 0 mth "/>
    <x v="11"/>
    <s v="CARDIOLOGY; MYOCARDIAL INFARCTION; CARDIOVASCULAR; HEALTH RESEARCH"/>
    <x v="17"/>
    <d v="2021-03-31T00:00:00"/>
    <n v="3"/>
    <s v="Electrical conduction, heart scar tissue, arrhythmia"/>
  </r>
  <r>
    <x v="283"/>
    <s v="University of Toronto"/>
    <x v="0"/>
    <x v="9"/>
    <s v="201711CPG"/>
    <x v="8"/>
    <s v="Novel Multimodal Sensing and Actuation Mechanisms for Intra-Ventricular Neurosurgery Robotic Tools"/>
    <n v="251940"/>
    <n v="10500"/>
    <n v="0"/>
    <m/>
    <s v="3 yrs 0 mth "/>
    <x v="10"/>
    <s v="CONGENITAL ANOMALIES; EPILEPSY; NERVOUS SYSTEM; CANCER"/>
    <x v="17"/>
    <d v="2021-03-31T00:00:00"/>
    <n v="0"/>
    <s v="Multimodal sensing, actuation, neurosurgery"/>
  </r>
  <r>
    <x v="284"/>
    <s v="University of Toronto"/>
    <x v="0"/>
    <x v="9"/>
    <s v="201711CPG"/>
    <x v="8"/>
    <s v="Engineering DNAzyme-gold nanoparticle diagnostic device"/>
    <n v="353172"/>
    <n v="15000"/>
    <n v="0"/>
    <m/>
    <s v="3 yrs 0 mth "/>
    <x v="7"/>
    <s v="INFECTIOUS AND PARASITIC; VIROLOGY"/>
    <x v="17"/>
    <d v="2021-03-31T00:00:00"/>
    <n v="0"/>
    <s v="DNAzyme, gold nanoparticle, diagnostic"/>
  </r>
  <r>
    <x v="285"/>
    <s v="University of Toronto"/>
    <x v="0"/>
    <x v="9"/>
    <s v="201711CPG"/>
    <x v="8"/>
    <s v="Biological Finger Joint Replacement"/>
    <n v="299503"/>
    <n v="0"/>
    <n v="0"/>
    <m/>
    <s v="3 yrs 0 mth "/>
    <x v="0"/>
    <s v="ARTHRITIS/OSTEOARTHRITIS; MUSCLE, BONE, OR JOINT"/>
    <x v="17"/>
    <d v="2021-03-31T00:00:00"/>
    <n v="0"/>
    <s v="biological, finger joint, replacement"/>
  </r>
  <r>
    <x v="286"/>
    <s v="University of Toronto"/>
    <x v="0"/>
    <x v="9"/>
    <s v="201810CPG"/>
    <x v="8"/>
    <s v="Development of Machine Learning to Assess Lung Function Using Airway Oscillometry"/>
    <n v="347441"/>
    <n v="66200"/>
    <n v="0"/>
    <m/>
    <s v="3 yrs 0 mth "/>
    <x v="11"/>
    <s v="RESPIRATION; MULTIDISCIPLINARY; NOT CLASSIFIED"/>
    <x v="18"/>
    <d v="2022-03-31T00:00:00"/>
    <n v="1"/>
    <s v="Machine Learning, Lung Function, Airway Oscillometry"/>
  </r>
  <r>
    <x v="287"/>
    <s v="University of Toronto"/>
    <x v="0"/>
    <x v="9"/>
    <s v="201810CPG"/>
    <x v="8"/>
    <s v="Neonatal Stem Cell Secretomes as a Novel Regenerative Therapy for Heart Failure"/>
    <n v="318560"/>
    <n v="0"/>
    <n v="0"/>
    <m/>
    <s v="3 yrs 0 mth "/>
    <x v="11"/>
    <s v="STROKE, HEART FAILURE; CARDIOLOGY; CARDIOVASCULAR; BIOCHEMISTRY"/>
    <x v="18"/>
    <d v="2022-03-31T00:00:00"/>
    <n v="1"/>
    <s v="Neonatal, Stem Cell, Heart Failure"/>
  </r>
  <r>
    <x v="288"/>
    <s v="University of Toronto"/>
    <x v="0"/>
    <x v="9"/>
    <s v="201810CPG"/>
    <x v="8"/>
    <s v="Using artificial intelligence to identify and predict delirium among hospitalized medical patients"/>
    <n v="426104"/>
    <n v="17500"/>
    <n v="0"/>
    <m/>
    <s v="3 yrs 0 mth "/>
    <x v="2"/>
    <s v="MENTAL AND BEHAVIOURAL DISEASES; GERIATRICS; HEALTH SERVICES RESEARCH"/>
    <x v="18"/>
    <d v="2022-03-31T00:00:00"/>
    <n v="0"/>
    <s v="artificial intelligence, delirium, hospitalized patients"/>
  </r>
  <r>
    <x v="289"/>
    <s v="University of Toronto"/>
    <x v="0"/>
    <x v="9"/>
    <s v="201810CPG"/>
    <x v="8"/>
    <s v="Biomechanical biofeedback targeting the high-level rehabilitation of mobility in youth with lower limb amputations"/>
    <n v="374050"/>
    <n v="0"/>
    <n v="0"/>
    <m/>
    <s v="3 yrs 0 mth "/>
    <x v="10"/>
    <s v="MUSCULO SKELETAL; MUSCLE, BONE, OR JOINT"/>
    <x v="18"/>
    <d v="2022-03-31T00:00:00"/>
    <n v="0"/>
    <s v="biomechanical, biofeedback, rehabilitation"/>
  </r>
  <r>
    <x v="290"/>
    <s v="University of Toronto"/>
    <x v="0"/>
    <x v="9"/>
    <s v="201810CPG"/>
    <x v="8"/>
    <s v="The Virtual Music Teacher: Children of all abilities banding together in early childhood music education"/>
    <n v="511851"/>
    <n v="0"/>
    <n v="0"/>
    <m/>
    <s v="3 yrs 0 mth "/>
    <x v="10"/>
    <s v="MULTIDISCIPLINARY; HEALTH RESEARCH; SOCIETAL &amp; CULTURAL DIMENSIONS OF HEALTH"/>
    <x v="18"/>
    <d v="2022-03-31T00:00:00"/>
    <n v="0"/>
    <s v="Virtual, Music, Education"/>
  </r>
  <r>
    <x v="291"/>
    <s v="University of Toronto"/>
    <x v="0"/>
    <x v="9"/>
    <s v="201810CPG"/>
    <x v="8"/>
    <s v="Refining processes to maximize the provision of donor human milk rich in nutrients and bioactive components: An integrated multidisciplinary approach at a human milk bank serving critically-ill neonates."/>
    <n v="246233"/>
    <n v="10900"/>
    <n v="0"/>
    <m/>
    <s v="3 yrs 0 mth "/>
    <x v="10"/>
    <s v="MULTIDISCIPLINARY; NUTRITION; BACTERIOLOGY"/>
    <x v="18"/>
    <d v="2022-03-31T00:00:00"/>
    <n v="0"/>
    <s v="donor human milk, bioactive components, neonates"/>
  </r>
  <r>
    <x v="292"/>
    <s v="University of Toronto"/>
    <x v="0"/>
    <x v="9"/>
    <s v="201810CPG"/>
    <x v="8"/>
    <s v="Development of a Magnetic Resonance guided High Intensity Focused Ultrasound Therapy Platform for Perinatal Applications"/>
    <n v="325250"/>
    <n v="0"/>
    <n v="0"/>
    <m/>
    <s v="3 yrs 0 mth "/>
    <x v="10"/>
    <s v="PERINATAL; CONGENITAL ANOMALIES; IMAGING; REPRODUCTION/PREGNANCY"/>
    <x v="18"/>
    <d v="2022-03-31T00:00:00"/>
    <n v="0"/>
    <s v="Magnetic Resonance, Focused Ultrasound, Perinatal"/>
  </r>
  <r>
    <x v="293"/>
    <s v="University of Toronto"/>
    <x v="0"/>
    <x v="9"/>
    <s v="201810CPG"/>
    <x v="8"/>
    <s v="Shifting the Paradigm in Home Physiotherapy: Implementation and Implications of Adherence Monitoring with Artificial Intelligence"/>
    <n v="322322"/>
    <n v="25000"/>
    <n v="0"/>
    <m/>
    <s v="3 yrs 0 mth "/>
    <x v="0"/>
    <s v="MUSCULO SKELETAL; ETHICS; MUSCLE, BONE, OR JOINT"/>
    <x v="18"/>
    <d v="2022-03-31T00:00:00"/>
    <n v="0"/>
    <s v="Physiotherapy, Adherence Monitoring, Artificial Intelligence"/>
  </r>
  <r>
    <x v="294"/>
    <s v="University of Toronto"/>
    <x v="0"/>
    <x v="9"/>
    <s v="201810CPG"/>
    <x v="8"/>
    <s v="Utilizing high resolution physiological data and artificial intelligence to develop a pediatric cardiac arrest prediction tool for integration into bedside clinical practice"/>
    <n v="596830"/>
    <n v="28120"/>
    <n v="0"/>
    <m/>
    <s v="3 yrs 0 mth "/>
    <x v="5"/>
    <s v="HEALTH CARE DELIVERY; HEALTH SERVICES RESEARCH; BIOPHYSICS; HEALTH RESEARCH"/>
    <x v="18"/>
    <d v="2022-03-31T00:00:00"/>
    <n v="0"/>
    <s v="physiological data, artificial intelligence, cardiac arrest"/>
  </r>
  <r>
    <x v="295"/>
    <s v="University of Toronto"/>
    <x v="0"/>
    <x v="9"/>
    <s v="201910CPG"/>
    <x v="8"/>
    <s v="Applying machine learning to 3D tumor histopathology for predicting patient outcomes"/>
    <n v="484151"/>
    <n v="0"/>
    <n v="0"/>
    <m/>
    <s v="3 yrs 0 mth "/>
    <x v="1"/>
    <s v="LUNG CANCER; CANCER; BIOPHYSICS"/>
    <x v="13"/>
    <d v="2023-03-31T00:00:00"/>
    <n v="2"/>
    <s v="machine learning, histopathology, tumor"/>
  </r>
  <r>
    <x v="296"/>
    <s v="University of Toronto"/>
    <x v="0"/>
    <x v="9"/>
    <s v="201910CPG"/>
    <x v="8"/>
    <s v="Personalized Contingent Neurostimulation for Epilepsy by Machine Learning in Organic Brain Interfaces"/>
    <n v="360000"/>
    <n v="15000"/>
    <n v="0"/>
    <m/>
    <s v="3 yrs 0 mth "/>
    <x v="3"/>
    <s v="EPILEPSY; MULTIDISCIPLINARY; BIOPHYSICS; NERVOUS SYSTEM"/>
    <x v="13"/>
    <d v="2023-03-31T00:00:00"/>
    <n v="1"/>
    <s v="Neurostimulation, Epilepsy, Brain Interfaces"/>
  </r>
  <r>
    <x v="297"/>
    <s v="University of Toronto"/>
    <x v="0"/>
    <x v="9"/>
    <s v="201910CPG"/>
    <x v="8"/>
    <s v="Engineering healing: Combinatorial strategies to promote repair of the stroke injured brain"/>
    <n v="551700"/>
    <n v="0"/>
    <n v="0"/>
    <m/>
    <s v="3 yrs 0 mth "/>
    <x v="3"/>
    <s v="INJURY, REGENERATION; STROKE, HEART FAILURE; NERVOUS SYSTEM; CELL BIOLOGY"/>
    <x v="13"/>
    <d v="2023-03-31T00:00:00"/>
    <n v="0"/>
    <s v="brain, repair, stroke"/>
  </r>
  <r>
    <x v="298"/>
    <s v="University of Toronto"/>
    <x v="0"/>
    <x v="9"/>
    <s v="201910CPG"/>
    <x v="8"/>
    <s v="Development and validation of a clinically feasible, novel therapy for improving standing balance and reducing falls"/>
    <n v="297385"/>
    <n v="4064"/>
    <n v="0"/>
    <m/>
    <s v="3 yrs 0 mth "/>
    <x v="3"/>
    <s v="SPINAL CORD DISEASE; STROKE, HEART FAILURE; HEALTH RESEARCH; NERVOUS SYSTEM"/>
    <x v="13"/>
    <d v="2023-03-31T00:00:00"/>
    <n v="0"/>
    <s v="standing balance, fall prevention, clinical validation"/>
  </r>
  <r>
    <x v="299"/>
    <s v="University of Toronto"/>
    <x v="0"/>
    <x v="9"/>
    <s v="201910CPG"/>
    <x v="8"/>
    <s v="Synthetic biology approaches to design living medicines to improve intestinal and metabolic health."/>
    <n v="450330"/>
    <n v="0"/>
    <n v="0"/>
    <m/>
    <s v="3 yrs 0 mth "/>
    <x v="4"/>
    <s v="GASTRO-INTESTINAL DISEASE; METABOLISM AND NUTRITION; GASTROINTESTINAL (LIVER); HEALTH RESEARCH"/>
    <x v="13"/>
    <d v="2023-03-31T00:00:00"/>
    <n v="1"/>
    <s v="synthetic biology, living medicines, metabolic health"/>
  </r>
  <r>
    <x v="300"/>
    <s v="University of Toronto"/>
    <x v="0"/>
    <x v="9"/>
    <s v="201810CPG"/>
    <x v="8"/>
    <s v="Using &quot;enhanced ultrasound&quot; to help select the best kidneys for transplantation"/>
    <n v="491750"/>
    <n v="0"/>
    <n v="0"/>
    <m/>
    <s v="3 yrs 0 mth "/>
    <x v="4"/>
    <s v="GENITO/URINARY SYSTEM; MULTIDISCIPLINARY; RENAL FUNCTION, NEPHROLOGY, UROLOGY; IMAGING"/>
    <x v="18"/>
    <d v="2022-03-31T00:00:00"/>
    <n v="3"/>
    <s v="ultrasound, kidneys, transplantation"/>
  </r>
  <r>
    <x v="301"/>
    <s v="University of Waterloo (Ontario)"/>
    <x v="0"/>
    <x v="9"/>
    <s v="201210CPG"/>
    <x v="8"/>
    <s v="Intra-operative Optical Coherence Tomography for corneal transplant surgery in Keratoconus"/>
    <n v="314970"/>
    <n v="0"/>
    <n v="0"/>
    <m/>
    <s v="3 yrs 0 mth "/>
    <x v="3"/>
    <s v="MULTIDISCIPLINARY; NONE OF THE ABOVE; IMAGING; VISION"/>
    <x v="15"/>
    <d v="2016-03-31T00:00:00"/>
    <n v="0"/>
    <s v="Optical Coherence Tomography, corneal transplant, Keratoconus"/>
  </r>
  <r>
    <x v="302"/>
    <s v="University of Waterloo (Ontario)"/>
    <x v="0"/>
    <x v="9"/>
    <s v="201410CPG"/>
    <x v="8"/>
    <s v="A framework for hybrid machine and human computation for the accurate and scalable analysis of human clinical EEG recordings"/>
    <n v="218374"/>
    <n v="0"/>
    <n v="0"/>
    <m/>
    <s v="3 yrs 0 mth "/>
    <x v="3"/>
    <s v="EPILEPSY; SLEEP DISORDERS; NERVOUS SYSTEM; HEALTH RESEARCH"/>
    <x v="14"/>
    <d v="2018-03-31T00:00:00"/>
    <n v="0"/>
    <s v="machine, EEG, analysis"/>
  </r>
  <r>
    <x v="303"/>
    <s v="University of Waterloo (Ontario)"/>
    <x v="0"/>
    <x v="9"/>
    <s v="201510CPG"/>
    <x v="8"/>
    <s v="Supervised in vivo lung perfusion strategy for treatment of cancer metastases to the lungs. Real time monitoring of chemotherapy by on-site analytical platform"/>
    <n v="431583"/>
    <n v="0"/>
    <n v="0"/>
    <m/>
    <s v="3 yrs 0 mth "/>
    <x v="1"/>
    <s v="LUNG CANCER THERAPY; MULTIDISCIPLINARY; CANCER; RESPIRATION"/>
    <x v="16"/>
    <d v="2019-03-31T00:00:00"/>
    <n v="0"/>
    <s v="lung perfusion, cancer metastases, chemotherapy"/>
  </r>
  <r>
    <x v="304"/>
    <s v="University of Waterloo (Ontario)"/>
    <x v="0"/>
    <x v="9"/>
    <s v="201510CPG"/>
    <x v="8"/>
    <s v="Novel non-invasive imaging of amyloid in the retina of the eye as a predictor of amyloid in the brain in Alzheimer's disease"/>
    <n v="406292"/>
    <n v="0"/>
    <n v="0"/>
    <m/>
    <s v="3 yrs 0 mth "/>
    <x v="3"/>
    <s v="ALZHEIMER'S DISEASE; DISEASES AFFECTING SPEECH/VISION/HEARING; IMAGING; BIOPHYSICS"/>
    <x v="16"/>
    <d v="2019-03-31T00:00:00"/>
    <n v="1"/>
    <s v="imaging, amyloid, retina"/>
  </r>
  <r>
    <x v="305"/>
    <s v="Western University (Ontario)"/>
    <x v="0"/>
    <x v="9"/>
    <s v="201310CPG"/>
    <x v="8"/>
    <s v="Novel Haptics-Enabled Robotic Systems for Rehabilitation Therapy"/>
    <n v="273395"/>
    <n v="0"/>
    <n v="0"/>
    <m/>
    <s v="3 yrs 0 mth "/>
    <x v="6"/>
    <s v="AGING; MUSCULO SKELETAL; HEALTH SERVICES RESEARCH"/>
    <x v="11"/>
    <d v="2017-03-31T00:00:00"/>
    <n v="1"/>
    <s v="Haptics, Robotic Systems, Rehabilitation"/>
  </r>
  <r>
    <x v="306"/>
    <s v="Western University (Ontario)"/>
    <x v="0"/>
    <x v="9"/>
    <s v="201310CPG"/>
    <x v="8"/>
    <s v="Development of a Virtual Training Simulator to Model Shoulder Replacement Surgery"/>
    <n v="253000"/>
    <n v="0"/>
    <n v="0"/>
    <m/>
    <s v="3 yrs 0 mth "/>
    <x v="0"/>
    <s v="MUSCULO SKELETAL"/>
    <x v="11"/>
    <d v="2017-03-31T00:00:00"/>
    <n v="0"/>
    <s v="Virtual, Simulator, Shoulder"/>
  </r>
  <r>
    <x v="307"/>
    <s v="Western University (Ontario)"/>
    <x v="0"/>
    <x v="9"/>
    <s v="201410CPG"/>
    <x v="8"/>
    <s v="Hybrid Molecular Imaging in the Diagnosis of Heart Disease"/>
    <n v="223308"/>
    <n v="0"/>
    <n v="0"/>
    <m/>
    <s v="3 yrs 0 mth "/>
    <x v="11"/>
    <s v="MULTIDISCIPLINARY; CARDIOVASCULAR; IMAGING"/>
    <x v="14"/>
    <d v="2018-03-31T00:00:00"/>
    <n v="0"/>
    <s v="Molecular Imaging, Heart Disease"/>
  </r>
  <r>
    <x v="308"/>
    <s v="Western University (Ontario)"/>
    <x v="0"/>
    <x v="9"/>
    <s v="201410CPG"/>
    <x v="8"/>
    <s v="Noninvasive Functional Biomarker for Early Detection and Continuous Monitoring of Microvascular Dysfunction"/>
    <n v="319446"/>
    <n v="0"/>
    <n v="0"/>
    <m/>
    <s v="3 yrs 0 mth "/>
    <x v="11"/>
    <s v="BLOOD; DIABETES MELLITUS; CARDIOVASCULAR; IMMUNOLOGY-TRANSPLANTATION"/>
    <x v="14"/>
    <d v="2018-03-31T00:00:00"/>
    <n v="0"/>
    <s v="Biomarker, Microvascular, Monitoring"/>
  </r>
  <r>
    <x v="309"/>
    <s v="Western University (Ontario)"/>
    <x v="0"/>
    <x v="9"/>
    <s v="201410CPG"/>
    <x v="8"/>
    <s v="The need for neuromonitoring during the golden hour to prevent preterm brain injury"/>
    <n v="185373"/>
    <n v="0"/>
    <n v="0"/>
    <m/>
    <s v="3 yrs 0 mth "/>
    <x v="10"/>
    <s v="PREGNANCY/BIRTH; MULTIDISCIPLINARY"/>
    <x v="14"/>
    <d v="2018-03-31T00:00:00"/>
    <n v="0"/>
    <s v="neuromonitoring, preterm brain injury, golden hour"/>
  </r>
  <r>
    <x v="310"/>
    <s v="Western University (Ontario)"/>
    <x v="0"/>
    <x v="9"/>
    <s v="201510CPG"/>
    <x v="8"/>
    <s v="Non-contact 3D photoacoustic/ultrasonic imaging for detecting the early response to neoadjuvant chemotherapy in breast cancer patients"/>
    <n v="325780"/>
    <n v="0"/>
    <n v="0"/>
    <m/>
    <s v="3 yrs 0 mth "/>
    <x v="1"/>
    <s v="BREAST CANCER; BREAST CANCER THERAPY; IMAGING; CANCER"/>
    <x v="16"/>
    <d v="2019-03-31T00:00:00"/>
    <n v="0"/>
    <s v="photoacoustic, ultrasonic, imaging"/>
  </r>
  <r>
    <x v="311"/>
    <s v="Western University (Ontario)"/>
    <x v="0"/>
    <x v="9"/>
    <s v="201510CPG"/>
    <x v="8"/>
    <s v="Non-diffusing 3D gel dosimeters: A platform technology for dose verification and quality assurance in radiation therapy"/>
    <n v="213650"/>
    <n v="0"/>
    <n v="0"/>
    <m/>
    <s v="3 yrs 0 mth "/>
    <x v="1"/>
    <s v="CANCER THERAPY GENERAL; CANCER"/>
    <x v="16"/>
    <d v="2019-03-31T00:00:00"/>
    <n v="0"/>
    <s v="3D gel dosimeters, dose verification, radiation therapy"/>
  </r>
  <r>
    <x v="312"/>
    <s v="Western University (Ontario)"/>
    <x v="0"/>
    <x v="9"/>
    <s v="201510CPG"/>
    <x v="8"/>
    <s v="Rapid measures of speech-evoked brainstem activity in infants who have hearing loss: Assessing hearing aid benefit for speech sounds."/>
    <n v="164423"/>
    <n v="0"/>
    <n v="0"/>
    <m/>
    <s v="3 yrs 0 mth "/>
    <x v="10"/>
    <s v="DEAFNESS; MULTIDISCIPLINARY; HEARING; NERVOUS SYSTEM"/>
    <x v="16"/>
    <d v="2019-03-31T00:00:00"/>
    <n v="0"/>
    <s v="speech, brainstem, hearing loss"/>
  </r>
  <r>
    <x v="313"/>
    <s v="Western University (Ontario)"/>
    <x v="0"/>
    <x v="9"/>
    <s v="201510CPG"/>
    <x v="8"/>
    <s v="CCN3: a novel antifibrotic treatment?"/>
    <n v="274797"/>
    <n v="0"/>
    <n v="0"/>
    <m/>
    <s v="3 yrs 0 mth "/>
    <x v="0"/>
    <s v="SKIN AND SUBCUTANEOUS TISSUS; MUSCULO SKELETAL; HEALTH RESEARCH; MUSCLE, BONE, OR JOINT"/>
    <x v="16"/>
    <d v="2019-03-31T00:00:00"/>
    <n v="0"/>
    <s v="CCN3, antifibrotic"/>
  </r>
  <r>
    <x v="314"/>
    <s v="Western University (Ontario)"/>
    <x v="0"/>
    <x v="9"/>
    <s v="201610CPG"/>
    <x v="8"/>
    <s v="Mastoidectomy Simulator for Surgical Training and Rehearsal"/>
    <n v="186200"/>
    <n v="0"/>
    <n v="0"/>
    <m/>
    <s v="3 yrs 0 mth "/>
    <x v="3"/>
    <s v="HEALTH CARE DELIVERY; DEAFNESS; IMAGING; HEARING"/>
    <x v="12"/>
    <d v="2020-03-31T00:00:00"/>
    <n v="0"/>
    <s v="Mastoidectomy, Simulator, Surgical"/>
  </r>
  <r>
    <x v="315"/>
    <s v="Western University (Ontario)"/>
    <x v="0"/>
    <x v="9"/>
    <s v="201711CPG"/>
    <x v="8"/>
    <s v="Novel technologies for engineering closure of non-healing skin wounds"/>
    <n v="348985"/>
    <n v="0"/>
    <n v="0"/>
    <m/>
    <s v="3 yrs 0 mth "/>
    <x v="0"/>
    <s v="SKIN AND SUBCUTANEOUS TISSUS; AGING; CELL BIOLOGY"/>
    <x v="17"/>
    <d v="2021-03-31T00:00:00"/>
    <n v="0"/>
    <s v="skin wounds, closure, engineering"/>
  </r>
  <r>
    <x v="316"/>
    <s v="Western University (Ontario)"/>
    <x v="0"/>
    <x v="9"/>
    <s v="201711CPG"/>
    <x v="8"/>
    <s v="Mechatronic Device for Multimodal Suppression of Parkinsonian Tremor"/>
    <n v="207246"/>
    <n v="4223"/>
    <n v="0"/>
    <m/>
    <s v="3 yrs 0 mth "/>
    <x v="0"/>
    <s v="PARKINSON'S DISEASE; HEALTH CARE DELIVERY; HEALTH RESEARCH; MUSCLE, BONE, OR JOINT"/>
    <x v="17"/>
    <d v="2021-03-31T00:00:00"/>
    <n v="1"/>
    <s v="Mechatronic, Suppression, Tremor"/>
  </r>
  <r>
    <x v="317"/>
    <s v="York University (Toronto, Ontario)"/>
    <x v="0"/>
    <x v="9"/>
    <s v="201310CPG"/>
    <x v="8"/>
    <s v="Technology for Analysis of miRNA Signatures (TAmiRS): a Novel Tool for Personalized Cancer Medicine"/>
    <n v="451599"/>
    <n v="0"/>
    <n v="0"/>
    <m/>
    <s v="3 yrs 0 mth "/>
    <x v="1"/>
    <s v="PROSTATE AND BLADDER CANCER THERAPY; CANCER; HEALTH RESEARCH"/>
    <x v="11"/>
    <d v="2017-03-31T00:00:00"/>
    <n v="0"/>
    <s v="miRNA, Signatures, Cancer"/>
  </r>
  <r>
    <x v="318"/>
    <s v="York University (Toronto, Ontario)"/>
    <x v="0"/>
    <x v="9"/>
    <s v="201810CPG"/>
    <x v="8"/>
    <s v="Rebooting Infant Pain Assessment: Using Machine Learning to Exponentially Improve Neonatal Intensive Care Unit Practice."/>
    <n v="856779"/>
    <n v="85000"/>
    <n v="0"/>
    <m/>
    <s v="3 yrs 0 mth "/>
    <x v="10"/>
    <s v="NONE OF THE ABOVE; HEALTH RESEARCH"/>
    <x v="18"/>
    <d v="2022-03-31T00:00:00"/>
    <n v="0"/>
    <s v="Machine Learning, Neonatal, Pain Assessment"/>
  </r>
  <r>
    <x v="319"/>
    <s v="Queen's University (Kingston, Ontario)"/>
    <x v="0"/>
    <x v="10"/>
    <s v="202403NW2"/>
    <x v="9"/>
    <s v="Listening to our Women: Understanding barriers, enablers, and strategies to cervical cancer screening uptake using HPV DNA self-sampling through participatory, community-based approaches among Indigenous women living remotely in Ontario"/>
    <n v="600000"/>
    <n v="0"/>
    <n v="0"/>
    <m/>
    <s v="2 yrs 10 mths "/>
    <x v="12"/>
    <s v="POPULATION HEALTH; CANCER"/>
    <x v="19"/>
    <d v="2027-03-31T00:00:00"/>
    <n v="0"/>
    <s v="HPV DNA, self-sampling, cervical cancer"/>
  </r>
  <r>
    <x v="320"/>
    <s v="Universite Laval"/>
    <x v="2"/>
    <x v="10"/>
    <s v="202403NW2"/>
    <x v="9"/>
    <s v="L'inversion de la pyramide des soins antenataux pour ameliorer l'acces aux soins et la sante des meres et des enfants vivant en region eloignee (PROJET PYRAMIDE)"/>
    <n v="599003"/>
    <n v="0"/>
    <n v="0"/>
    <m/>
    <s v="2 yrs 10 mths "/>
    <x v="10"/>
    <s v="PREGNANCY/BIRTH; DETERMINANTS OF HEALTH; REPRODUCTION/PREGNANCY; HEALTH SERVICES RESEARCH"/>
    <x v="19"/>
    <d v="2027-03-31T00:00:00"/>
    <n v="0"/>
    <s v="pyramide, soins, sante"/>
  </r>
  <r>
    <x v="321"/>
    <s v="University of Manitoba"/>
    <x v="4"/>
    <x v="10"/>
    <s v="202403NW2"/>
    <x v="9"/>
    <s v="Protecting and supporting breastfeeding and lactation equity in Manitoba through community-integrated education and care using novel technologies, culturally safe and gender affirming approaches"/>
    <n v="600000"/>
    <n v="0"/>
    <n v="0"/>
    <m/>
    <s v="2 yrs 10 mths "/>
    <x v="9"/>
    <s v="PREGNANCY/BIRTH; METABOLISM AND NUTRITION; HEALTH SERVICES RESEARCH; POPULATION HEALTH"/>
    <x v="19"/>
    <d v="2027-03-31T00:00:00"/>
    <n v="0"/>
    <s v="breastfeeding, lactation, community"/>
  </r>
  <r>
    <x v="322"/>
    <s v="Centre hospitalier universitaire Sainte-Justine (Montreal, Quebec)"/>
    <x v="2"/>
    <x v="11"/>
    <s v="202403NW3"/>
    <x v="9"/>
    <s v="A Breakthrough Solution to Effectively Prevent Preterm Birth"/>
    <n v="599500"/>
    <n v="0"/>
    <n v="0"/>
    <m/>
    <s v="2 yrs 10 mths "/>
    <x v="10"/>
    <s v="PREGNANCY/BIRTH; PERINATAL; REPRODUCTION/PREGNANCY; DRUG RESEARCH"/>
    <x v="19"/>
    <d v="2027-03-31T00:00:00"/>
    <n v="0"/>
    <s v="Preterm Birth, Prevention"/>
  </r>
  <r>
    <x v="323"/>
    <s v="McMaster University"/>
    <x v="0"/>
    <x v="11"/>
    <s v="202403NW3"/>
    <x v="9"/>
    <s v="Development of a Novel Non-Surgical Endometriosis Diagnostic by Combining an Ultrasound-Based Procedure with Single Molecule Arrays (SIMOA)"/>
    <n v="598183"/>
    <n v="0"/>
    <n v="0"/>
    <m/>
    <s v="2 yrs 10 mths "/>
    <x v="9"/>
    <s v="INFERTILITY FEMALE; SUPPLEMENTARY CLASSIFICATIONS; REPRODUCTION/PREGNANCY; BIOCHEMISTRY"/>
    <x v="19"/>
    <d v="2027-03-31T00:00:00"/>
    <n v="0"/>
    <s v="Endometriosis, Ultrasound, SIMOA"/>
  </r>
  <r>
    <x v="324"/>
    <s v="McMaster University"/>
    <x v="0"/>
    <x v="11"/>
    <s v="202403NW3"/>
    <x v="9"/>
    <s v="Development of a novel risk prediction model for chronic postsurgical pain after breast cancer surgery"/>
    <n v="600000"/>
    <n v="0"/>
    <n v="0"/>
    <m/>
    <s v="2 yrs 10 mths "/>
    <x v="1"/>
    <s v="BREAST CANCER; POPULATION HEALTH; CANCER"/>
    <x v="19"/>
    <d v="2027-03-31T00:00:00"/>
    <n v="0"/>
    <s v="risk prediction, chronic postsurgical pain, breast cancer"/>
  </r>
  <r>
    <x v="325"/>
    <s v="Queen's University (Kingston, Ontario)"/>
    <x v="0"/>
    <x v="11"/>
    <s v="202403NW3"/>
    <x v="9"/>
    <s v="Examining the efficacy of a multimodal virtual program on pain and sexual outcomes in individuals with provoked vestibulodynia: A randomized clinical trial"/>
    <n v="599086"/>
    <n v="0"/>
    <n v="0"/>
    <m/>
    <s v="2 yrs 10 mths "/>
    <x v="9"/>
    <s v="GENITO/URINARY SYSTEM; HEALTH RESEARCH"/>
    <x v="19"/>
    <d v="2027-03-31T00:00:00"/>
    <n v="0"/>
    <s v="virtual, pain, vestibulodynia"/>
  </r>
  <r>
    <x v="326"/>
    <s v="Research Institute of the McGill University Health Centre"/>
    <x v="2"/>
    <x v="11"/>
    <s v="202403NW3"/>
    <x v="9"/>
    <s v="Social Prescribing to Improve Adherence and Outcomes in Women with Heart Failure"/>
    <n v="600000"/>
    <n v="0"/>
    <n v="0"/>
    <m/>
    <s v="2 yrs 10 mths "/>
    <x v="9"/>
    <s v="STROKE, HEART FAILURE; EPIDEMIOLOGY; CARDIOVASCULAR; SOCIETAL &amp; CULTURAL DIMENSIONS OF HEALTH"/>
    <x v="19"/>
    <d v="2027-03-31T00:00:00"/>
    <n v="0"/>
    <s v="Social prescribing, heart failure, adherence"/>
  </r>
  <r>
    <x v="327"/>
    <s v="Universite Laval"/>
    <x v="2"/>
    <x v="11"/>
    <s v="202403NW3"/>
    <x v="9"/>
    <s v="Klotho, a new biomarker to improve breast cancer screening programs by reducing false-positive results."/>
    <n v="300000"/>
    <n v="0"/>
    <n v="0"/>
    <m/>
    <s v="2 yrs 0 mth "/>
    <x v="1"/>
    <s v="BREAST CANCER; NEOPLASMS; CANCER; HEALTH RESEARCH"/>
    <x v="19"/>
    <d v="2026-05-31T00:00:00"/>
    <n v="0"/>
    <s v="Klotho, biomarker, breast cancer"/>
  </r>
  <r>
    <x v="328"/>
    <s v="University of Alberta"/>
    <x v="1"/>
    <x v="11"/>
    <s v="202403NW3"/>
    <x v="9"/>
    <s v="Hormonal route of administration and cardiorenal health"/>
    <n v="420000"/>
    <n v="0"/>
    <n v="0"/>
    <m/>
    <s v="2 yrs 10 mths "/>
    <x v="9"/>
    <s v="HYPERTENSION; CARDIOVASCULAR; RENAL FUNCTION, NEPHROLOGY, UROLOGY"/>
    <x v="19"/>
    <d v="2027-03-31T00:00:00"/>
    <n v="0"/>
    <s v="hormonal, administration, cardiorenal"/>
  </r>
  <r>
    <x v="329"/>
    <s v="University of British Columbia"/>
    <x v="3"/>
    <x v="11"/>
    <s v="202403NW3"/>
    <x v="9"/>
    <s v="Development and validation of a clinical assessment tool to improve detection of brain injury in intimate partner violence"/>
    <n v="495144"/>
    <n v="0"/>
    <n v="0"/>
    <m/>
    <s v="2 yrs 10 mths "/>
    <x v="9"/>
    <s v="ACCIDENTS, POISONING - VIOLENCE; NERVOUS SYSTEM"/>
    <x v="19"/>
    <d v="2027-03-31T00:00:00"/>
    <n v="0"/>
    <s v="brain injury, assessment tool, violence"/>
  </r>
  <r>
    <x v="330"/>
    <s v="University of Ottawa"/>
    <x v="0"/>
    <x v="11"/>
    <s v="202403NW3"/>
    <x v="9"/>
    <s v="Does repetitive transcranial magnetic stimulation (rTMS) reduce pain associated with endometriosis more effectively than a sham rTMS intervention? A randomized controlled trial."/>
    <n v="600000"/>
    <n v="0"/>
    <n v="0"/>
    <m/>
    <s v="2 yrs 10 mths "/>
    <x v="9"/>
    <s v="ILL-DEFINED CONDITIONS; PREGNANCY/BIRTH; HEALTH RESEARCH; REPRODUCTION/PREGNANCY"/>
    <x v="19"/>
    <d v="2027-03-31T00:00:00"/>
    <n v="0"/>
    <s v="transcranial magnetic stimulation, endometriosis, pain"/>
  </r>
  <r>
    <x v="66"/>
    <s v="Vancouver Island University (Nanaimo, BC)"/>
    <x v="3"/>
    <x v="11"/>
    <s v="202403NW3"/>
    <x v="9"/>
    <s v="Psilocybin-assisted therapy for post-traumatic stress disorder (PTSD) in intimate partner violence (IPV) survivors"/>
    <n v="599500"/>
    <n v="0"/>
    <n v="0"/>
    <m/>
    <s v="2 yrs 10 mths "/>
    <x v="9"/>
    <s v="MENTAL AND BEHAVIOURAL DISEASES; NONE OF THE ABOVE; MENTAL HEALTH; HEALTH RESEARCH"/>
    <x v="19"/>
    <d v="2027-03-31T00:00:00"/>
    <n v="0"/>
    <s v="Psilocybin, PTSD, survivors"/>
  </r>
  <r>
    <x v="331"/>
    <s v="Women's College Hospital (Toronto)"/>
    <x v="0"/>
    <x v="11"/>
    <s v="202403NW3"/>
    <x v="9"/>
    <s v="Let's not wait 11 years: Development and rapid adoption of a screening measure for endometriosis in young Canadian adults"/>
    <n v="594250"/>
    <n v="0"/>
    <n v="0"/>
    <m/>
    <s v="2 yrs 10 mths "/>
    <x v="9"/>
    <s v="HEALTH RESEARCH"/>
    <x v="19"/>
    <d v="2027-03-31T00:00:00"/>
    <n v="0"/>
    <s v="endometriosis, screening, young adults"/>
  </r>
  <r>
    <x v="332"/>
    <s v="McMaster University"/>
    <x v="0"/>
    <x v="12"/>
    <s v="201506EH2"/>
    <x v="10"/>
    <s v="THE SMArT VIEW, CoVeRed: TecHnology Enabled monitoring  and Self-MAnagemenT- VIsion for patient EmpoWerment following  Cardiac and VasculaR surgery"/>
    <n v="749876"/>
    <n v="0"/>
    <n v="0"/>
    <m/>
    <s v="4 yrs 0 mth "/>
    <x v="11"/>
    <s v="CARDIOLOGY; HEALTH CARE DELIVERY; CARDIOVASCULAR; HEALTH SERVICES RESEARCH"/>
    <x v="20"/>
    <d v="2019-09-30T00:00:00"/>
    <n v="0"/>
    <s v="monitoring, vision, patient empowerment"/>
  </r>
  <r>
    <x v="333"/>
    <s v="Universite Laval"/>
    <x v="2"/>
    <x v="12"/>
    <s v="201506EH2"/>
    <x v="10"/>
    <s v="Projet FreeDom (FreeO2 e domicile). Mise au point et evaluation d'une strategie innovante de prise en charge pour reduire la duree d'hospitalisation au cours des exacerbations de MPOC: retour precoce e domicile en combinant le sevrage et l'ajustement automatise de l'oxygene (FreeO2) et la telemedecine. Benefices pour les patients et pour le systeme de sante."/>
    <n v="384683"/>
    <n v="0"/>
    <n v="0"/>
    <m/>
    <s v="4 yrs 0 mth "/>
    <x v="11"/>
    <s v="CHRONIC OBSTRUCTIVE LUNG DISEASE; HEALTH SERVICES RESEARCH; RESPIRATION"/>
    <x v="20"/>
    <d v="2019-09-30T00:00:00"/>
    <n v="0"/>
    <s v="oxygen, telemedicine, COPD"/>
  </r>
  <r>
    <x v="334"/>
    <s v="Alberta Health Services"/>
    <x v="1"/>
    <x v="13"/>
    <s v="200809MOP"/>
    <x v="11"/>
    <s v="Investigation of Pulsed Radiation Effects on RF Coils for Integrated MRI-Linac Project"/>
    <n v="263007"/>
    <n v="0"/>
    <n v="0"/>
    <m/>
    <s v="3 yrs 0 mth "/>
    <x v="1"/>
    <s v="CANCER THERAPY GENERAL; LUNG CANCER THERAPY; CANCER; IMAGING"/>
    <x v="10"/>
    <d v="2012-03-31T00:00:00"/>
    <n v="3"/>
    <s v="Pulsed Radiation, RF Coils, MRI-Linac"/>
  </r>
  <r>
    <x v="335"/>
    <s v="Baycrest Centre for Geriatric Care (Toronto)"/>
    <x v="0"/>
    <x v="13"/>
    <s v="201209MOP"/>
    <x v="11"/>
    <s v="Physiology Basis of Resting-State Functional MRI"/>
    <n v="398027"/>
    <n v="0"/>
    <n v="0"/>
    <m/>
    <s v="4 yrs 0 mth "/>
    <x v="6"/>
    <s v="AGING; STROKE, HEART FAILURE"/>
    <x v="15"/>
    <d v="2017-03-31T00:00:00"/>
    <n v="0"/>
    <s v="Resting-State, Functional MRI, Physiology"/>
  </r>
  <r>
    <x v="336"/>
    <s v="Canadian Blood Services (Ottawa)"/>
    <x v="0"/>
    <x v="13"/>
    <s v="201203MOP"/>
    <x v="12"/>
    <s v="Polymer-Grafted Allogeneic Leukocytes and Systemic Immune Modulation"/>
    <n v="822276"/>
    <n v="0"/>
    <n v="0"/>
    <m/>
    <s v="5 yrs 0 mth "/>
    <x v="11"/>
    <s v="MULTIDISCIPLINARY; BLOOD"/>
    <x v="21"/>
    <d v="2017-09-30T00:00:00"/>
    <n v="9"/>
    <s v="Polymer-Grafted, Leukocytes, Immune"/>
  </r>
  <r>
    <x v="337"/>
    <s v="Centre hospitalier de l'Université de Montréal (CHUM)"/>
    <x v="2"/>
    <x v="13"/>
    <s v="200903MOP"/>
    <x v="6"/>
    <s v="Bcl-xL regulation and function during G2 and mitotic spindle assembly checkpoints"/>
    <n v="612420"/>
    <n v="0"/>
    <n v="0"/>
    <m/>
    <s v="5 yrs 0 mth "/>
    <x v="1"/>
    <s v="NEOPLASMS; CANCER THERAPY GENERAL; CANCER; MOLECULAR BIOLOGY"/>
    <x v="4"/>
    <d v="2014-09-30T00:00:00"/>
    <n v="0"/>
    <s v="Bcl-xL, mitotic spindle, checkpoints"/>
  </r>
  <r>
    <x v="338"/>
    <s v="Centre hospitalier de l'Université de Montréal (CHUM)"/>
    <x v="2"/>
    <x v="13"/>
    <s v="200909MOP"/>
    <x v="6"/>
    <s v="Oncogenic signaling pathways in breast cancer: regulation and function of the IKKepsilon kinase."/>
    <n v="346936"/>
    <n v="0"/>
    <n v="0"/>
    <m/>
    <s v="3 yrs 0 mth "/>
    <x v="1"/>
    <s v="BREAST CANCER; CANCER; CELL BIOLOGY"/>
    <x v="22"/>
    <d v="2013-03-31T00:00:00"/>
    <n v="0"/>
    <s v="oncogenic, signaling pathways, IKKepsilon kinase"/>
  </r>
  <r>
    <x v="339"/>
    <s v="Centre hospitalier de l'Université de Montréal (CHUM)"/>
    <x v="2"/>
    <x v="13"/>
    <s v="201003MOP"/>
    <x v="11"/>
    <s v="Echocardiographic assessment of global and regional left ventricular function using an original modality of coupled wall-fluid dynamics mapping."/>
    <n v="358987"/>
    <n v="0"/>
    <n v="0"/>
    <m/>
    <s v="5 yrs 0 mth "/>
    <x v="11"/>
    <s v="CARDIOLOGY; IMAGING; CARDIOVASCULAR"/>
    <x v="5"/>
    <d v="2015-09-30T00:00:00"/>
    <n v="0"/>
    <s v="echocardiographic, ventricular, wall-fluid"/>
  </r>
  <r>
    <x v="340"/>
    <s v="Centre hospitalier de l'Université de Montréal (CHUM)"/>
    <x v="2"/>
    <x v="13"/>
    <s v="201103MOP"/>
    <x v="11"/>
    <s v="Monitoring of abdominal aortic aneurysm after endovascular repair by ultrasound elastography: feasibility, optimization and validation"/>
    <n v="631588"/>
    <n v="0"/>
    <n v="0"/>
    <m/>
    <s v="4 yrs 0 mth "/>
    <x v="11"/>
    <s v="ATHEROSCLEROSIS; MULTIDISCIPLINARY; CARDIOVASCULAR; IMAGING"/>
    <x v="23"/>
    <d v="2015-09-30T00:00:00"/>
    <n v="0"/>
    <s v="abdominal aortic aneurysm, ultrasound elastography, endovascular repair"/>
  </r>
  <r>
    <x v="341"/>
    <s v="Centre hospitalier de l'Université de Montréal (CHUM)"/>
    <x v="2"/>
    <x v="13"/>
    <s v="201103MOP"/>
    <x v="13"/>
    <s v="Remodeling of the tumor microenvironment by CD73: a therapeutic target"/>
    <n v="497491"/>
    <n v="0"/>
    <n v="0"/>
    <m/>
    <s v="4 yrs 0 mth "/>
    <x v="1"/>
    <s v="CANCER THERAPY GENERAL; BREAST CANCER; CANCER; IMMUNOLOGY-TRANSPLANTATION"/>
    <x v="23"/>
    <d v="2015-06-30T00:00:00"/>
    <n v="0"/>
    <s v="tumor microenvironment, CD73, remodeling"/>
  </r>
  <r>
    <x v="342"/>
    <s v="Centre hospitalier de l'Université de Montréal (CHUM)"/>
    <x v="2"/>
    <x v="13"/>
    <s v="201103MOP"/>
    <x v="6"/>
    <s v="Mechanisms regulating persistent DNA damage signaling and the linked control of cell proliferation and extracellular signals"/>
    <n v="606634"/>
    <n v="0"/>
    <n v="0"/>
    <m/>
    <s v="5 yrs 0 mth "/>
    <x v="1"/>
    <s v="NEOPLASMS; CANCER THERAPY GENERAL; CANCER; AGING"/>
    <x v="23"/>
    <d v="2016-09-30T00:00:00"/>
    <n v="3"/>
    <s v="DNA damage, cell proliferation, signaling"/>
  </r>
  <r>
    <x v="343"/>
    <s v="Centre hospitalier de l'Université de Montréal (CHUM)"/>
    <x v="2"/>
    <x v="13"/>
    <s v="201203MOP"/>
    <x v="11"/>
    <s v="Plane-wave quantitative ultrasound imaging of blood mechanical properties"/>
    <n v="760348"/>
    <n v="0"/>
    <n v="0"/>
    <m/>
    <s v="5 yrs 0 mth "/>
    <x v="11"/>
    <s v="BLOOD; MULTIDISCIPLINARY; IMAGING; CARDIOVASCULAR"/>
    <x v="21"/>
    <d v="2017-09-30T00:00:00"/>
    <n v="2"/>
    <s v="plane-wave, ultrasound, blood"/>
  </r>
  <r>
    <x v="344"/>
    <s v="Centre hospitalier universitaire Sainte-Justine (Montréal, Québec)"/>
    <x v="2"/>
    <x v="13"/>
    <s v="200809MOP"/>
    <x v="14"/>
    <s v="Regulatory polymorphisms in apoptosis genes and susceptibility to childhood leukemia"/>
    <n v="410877"/>
    <n v="0"/>
    <n v="0"/>
    <m/>
    <s v="3 yrs 0 mth "/>
    <x v="8"/>
    <s v="LEUKAEMIAS; MULTIDISCIPLINARY; GENETICS; CANCER"/>
    <x v="10"/>
    <d v="2012-03-31T00:00:00"/>
    <n v="0"/>
    <s v="polymorphisms, apoptosis, leukemia"/>
  </r>
  <r>
    <x v="345"/>
    <s v="Centre hospitalier universitaire Sainte-Justine (Montréal, Québec)"/>
    <x v="2"/>
    <x v="13"/>
    <s v="200909MOP"/>
    <x v="12"/>
    <s v="Non Invasive 3D Assessment of the Reducibility of Scoliotic Trunk Deformities for an Effective Surgical Planning"/>
    <n v="241512"/>
    <n v="0"/>
    <n v="0"/>
    <m/>
    <s v="3 yrs 0 mth "/>
    <x v="0"/>
    <s v="MUSCULO SKELETAL; ARTHRITIS/OSTEOARTHRITIS; MUSCLE, BONE, OR JOINT; IMAGING"/>
    <x v="22"/>
    <d v="2013-03-31T00:00:00"/>
    <n v="1"/>
    <s v="3D, assessment, scoliosis"/>
  </r>
  <r>
    <x v="345"/>
    <s v="Centre hospitalier universitaire Sainte-Justine (Montréal, Québec)"/>
    <x v="2"/>
    <x v="13"/>
    <s v="201003MOP"/>
    <x v="12"/>
    <s v="Towards a 3-D classification of adolescent idiopathic scoliosis"/>
    <n v="184598"/>
    <n v="0"/>
    <n v="0"/>
    <m/>
    <s v="3 yrs 0 mth "/>
    <x v="0"/>
    <s v="MUSCULO SKELETAL; SPINAL CORD DISEASE; MUSCLE, BONE, OR JOINT; IMAGING"/>
    <x v="5"/>
    <d v="2013-09-30T00:00:00"/>
    <n v="0"/>
    <s v="3-D, classification, scoliosis"/>
  </r>
  <r>
    <x v="346"/>
    <s v="Centre hospitalier universitaire Sainte-Justine (Montréal, Québec)"/>
    <x v="2"/>
    <x v="13"/>
    <s v="201003MOP"/>
    <x v="13"/>
    <s v="Genetic determinants of the resistance to corticosteroids, vincristine and asparaginase in childhood acute lymphoblastic leukemia"/>
    <n v="295728"/>
    <n v="0"/>
    <n v="0"/>
    <m/>
    <s v="3 yrs 0 mth "/>
    <x v="1"/>
    <s v="LEUKAEMIAS; DRUGS- PHARMACEUTICAL SCIENCE/CHEMISTRY &amp; NON MEDICAL USE OF DRUGS; GENETICS; DRUG RESEARCH"/>
    <x v="5"/>
    <d v="2013-09-30T00:00:00"/>
    <n v="0"/>
    <s v="genetic, corticosteroids, leukemia"/>
  </r>
  <r>
    <x v="344"/>
    <s v="Centre hospitalier universitaire Sainte-Justine (Montréal, Québec)"/>
    <x v="2"/>
    <x v="13"/>
    <s v="201003MOP"/>
    <x v="13"/>
    <s v="Investigation of the genomic determinants of childhood leukemia using next-generation sequencing"/>
    <n v="647040"/>
    <n v="0"/>
    <n v="0"/>
    <m/>
    <s v="5 yrs 0 mth "/>
    <x v="8"/>
    <s v="LEUKAEMIAS; BIOSTATISTICS; CANCER; GENOMICS, PROTEOMICS, AND BIOINFORMATICS"/>
    <x v="5"/>
    <d v="2015-09-30T00:00:00"/>
    <n v="0"/>
    <s v="genomic, leukemia, sequencing"/>
  </r>
  <r>
    <x v="345"/>
    <s v="Centre hospitalier universitaire Sainte-Justine (Montréal, Québec)"/>
    <x v="2"/>
    <x v="13"/>
    <s v="201209MOP"/>
    <x v="12"/>
    <s v="Non Invasive Prediction of Scoliosis Progression"/>
    <n v="380000"/>
    <n v="0"/>
    <n v="0"/>
    <m/>
    <s v="4 yrs 0 mth "/>
    <x v="0"/>
    <s v="MUSCULO SKELETAL; ARTHRITIS/OSTEOARTHRITIS; MUSCLE, BONE, OR JOINT; IMAGING"/>
    <x v="15"/>
    <d v="2017-03-31T00:00:00"/>
    <n v="1"/>
    <s v="Non Invasive, Prediction, Scoliosis"/>
  </r>
  <r>
    <x v="347"/>
    <s v="Centre hospitalier universitaire Sainte-Justine (Montréal, Québec)"/>
    <x v="2"/>
    <x v="13"/>
    <s v="201303MOP"/>
    <x v="6"/>
    <s v="Preclinical models of natural killer cell-based immunotherapy to cure refractory childhood acute lymphoblastic leukemia"/>
    <n v="331970"/>
    <n v="0"/>
    <n v="0"/>
    <m/>
    <s v="3 yrs 0 mth "/>
    <x v="1"/>
    <s v="CANCER THERAPY GENERAL; LEUKAEMIAS; CANCER; BLOOD"/>
    <x v="24"/>
    <d v="2016-09-30T00:00:00"/>
    <n v="0"/>
    <s v="natural killer, immunotherapy, leukemia"/>
  </r>
  <r>
    <x v="348"/>
    <s v="Centre hospitalier universitaire Sainte-Justine (Montréal, Québec)"/>
    <x v="2"/>
    <x v="13"/>
    <s v="201503MOP"/>
    <x v="6"/>
    <s v="Toward the cure of neuroblastoma: innovative immunotherapeutic approaches"/>
    <n v="996969"/>
    <n v="0"/>
    <n v="0"/>
    <m/>
    <s v="5 yrs 0 mth "/>
    <x v="1"/>
    <s v="CANCER THERAPY GENERAL; CANCER"/>
    <x v="25"/>
    <d v="2020-06-30T00:00:00"/>
    <n v="0"/>
    <s v="neuroblastoma, immunotherapy, approaches"/>
  </r>
  <r>
    <x v="349"/>
    <s v="Children's Hospital of Eastern Ontario Research Institute Inc"/>
    <x v="0"/>
    <x v="13"/>
    <s v="201309MOP"/>
    <x v="13"/>
    <s v="Combined IAP antagonism and immunotherapy for cancer treatment"/>
    <n v="794885"/>
    <n v="0"/>
    <n v="0"/>
    <m/>
    <s v="5 yrs 0 mth "/>
    <x v="1"/>
    <s v="CANCER THERAPY GENERAL; VIRAL; CANCER; CELL BIOLOGY"/>
    <x v="11"/>
    <d v="2019-03-31T00:00:00"/>
    <n v="0"/>
    <s v="IAP, immunotherapy, cancer"/>
  </r>
  <r>
    <x v="350"/>
    <s v="Children's Hospital of Eastern Ontario Research Institute Inc"/>
    <x v="0"/>
    <x v="13"/>
    <s v="201405MOP"/>
    <x v="6"/>
    <s v="Oncolytic Virus Immunotherapy for Brain Cancer"/>
    <n v="100000"/>
    <n v="0"/>
    <n v="0"/>
    <m/>
    <s v="1 yr 0 mth "/>
    <x v="1"/>
    <s v="BRAIN TUMORS THERAPY; CANCER THERAPY GENERAL; CANCER; MOLECULAR BIOLOGY"/>
    <x v="26"/>
    <d v="2015-09-30T00:00:00"/>
    <n v="7"/>
    <s v="Oncolytic virus, Immunotherapy, Brain cancer"/>
  </r>
  <r>
    <x v="351"/>
    <s v="CIUSSS de Centre-Ouest-de-l'Ile-de-Montréal-Jewish General"/>
    <x v="2"/>
    <x v="13"/>
    <s v="200809MOP"/>
    <x v="6"/>
    <s v="Arginine methylase PRMT1 and PRMT6 in cancer and genomic instability."/>
    <n v="877100"/>
    <n v="0"/>
    <n v="0"/>
    <m/>
    <s v="5 yrs 0 mth "/>
    <x v="1"/>
    <s v="CANCER THERAPY GENERAL; LEUKAEMIAS; CANCER; MOLECULAR BIOLOGY"/>
    <x v="10"/>
    <d v="2014-03-31T00:00:00"/>
    <n v="0"/>
    <s v="Arginine methylase, PRMT1, PRMT6"/>
  </r>
  <r>
    <x v="352"/>
    <s v="CIUSSS de Centre-Ouest-de-l'Ile-de-Montréal-Jewish General"/>
    <x v="2"/>
    <x v="13"/>
    <s v="200809MOP"/>
    <x v="14"/>
    <s v="Mechanisms of the anti-cancer actions of arsenic."/>
    <n v="851780"/>
    <n v="0"/>
    <n v="0"/>
    <m/>
    <s v="5 yrs 0 mth "/>
    <x v="1"/>
    <s v="CANCER THERAPY GENERAL; CANCER"/>
    <x v="10"/>
    <d v="2014-03-31T00:00:00"/>
    <n v="0"/>
    <s v="arsenic, anti-cancer, mechanisms"/>
  </r>
  <r>
    <x v="353"/>
    <s v="CIUSSS de Centre-Ouest-de-l'Ile-de-Montréal-Jewish General"/>
    <x v="2"/>
    <x v="13"/>
    <s v="200903MOP"/>
    <x v="11"/>
    <s v="Beta-cell imaging with 18F-labeled glibenclamide-glucose conjugates by positron emission tomography"/>
    <n v="238386"/>
    <n v="0"/>
    <n v="0"/>
    <m/>
    <s v="3 yrs 0 mth "/>
    <x v="4"/>
    <s v="DIABETES MELLITUS; ENDOCRINOLOGY; IMAGING; METABOLISM/DIABETES"/>
    <x v="4"/>
    <d v="2012-09-30T00:00:00"/>
    <n v="0"/>
    <s v="beta-cell, imaging, positron emission tomography"/>
  </r>
  <r>
    <x v="354"/>
    <s v="CIUSSS de Centre-Ouest-de-l'Ile-de-Montréal-Jewish General"/>
    <x v="2"/>
    <x v="13"/>
    <s v="200903MOP"/>
    <x v="14"/>
    <s v="A study of novel anti-cancer immunomodulatory fusion proteins and transgenic cell therapy"/>
    <n v="1147574"/>
    <n v="0"/>
    <n v="0"/>
    <m/>
    <s v="5 yrs 0 mth "/>
    <x v="1"/>
    <s v="CANCER THERAPY GENERAL; CANCER; DRUG RESEARCH"/>
    <x v="4"/>
    <d v="2014-09-30T00:00:00"/>
    <n v="8"/>
    <s v="anti-cancer, immunomodulatory, fusion proteins"/>
  </r>
  <r>
    <x v="355"/>
    <s v="CIUSSS de Centre-Ouest-de-l'Ile-de-Montréal-Jewish General"/>
    <x v="2"/>
    <x v="13"/>
    <s v="201009MOP"/>
    <x v="12"/>
    <s v="Tissue Engineering of Intervertebral Discs"/>
    <n v="328001"/>
    <n v="0"/>
    <n v="0"/>
    <m/>
    <s v="3 yrs 0 mth "/>
    <x v="0"/>
    <s v="MUSCULO SKELETAL; ARTHRITIS/OSTEOARTHRITIS; MUSCLE, BONE, OR JOINT; CELL BIOLOGY"/>
    <x v="27"/>
    <d v="2014-03-31T00:00:00"/>
    <n v="1"/>
    <s v="Tissue engineering, Intervertebral discs"/>
  </r>
  <r>
    <x v="356"/>
    <s v="CIUSSS de Centre-Ouest-de-l'Ile-de-Montréal-Jewish General"/>
    <x v="2"/>
    <x v="13"/>
    <s v="201009MOP"/>
    <x v="13"/>
    <s v="Mechanisms through which ShcA integrates tyrosine kinase signaling to promote breast cancer progression"/>
    <n v="681336"/>
    <n v="0"/>
    <n v="0"/>
    <m/>
    <s v="5 yrs 0 mth "/>
    <x v="1"/>
    <s v="BREAST CANCER; CANCER; MOLECULAR BIOLOGY"/>
    <x v="27"/>
    <d v="2016-03-31T00:00:00"/>
    <n v="0"/>
    <s v="ShcA, tyrosine kinase, breast cancer"/>
  </r>
  <r>
    <x v="352"/>
    <s v="CIUSSS de Centre-Ouest-de-l'Ile-de-Montréal-Jewish General"/>
    <x v="2"/>
    <x v="13"/>
    <s v="201103MOP"/>
    <x v="14"/>
    <s v="Targeting the eukaryotic translation initiation factor eIF4E with ribavirin in breast cancer"/>
    <n v="425282"/>
    <n v="0"/>
    <n v="0"/>
    <m/>
    <s v="3 yrs 0 mth "/>
    <x v="1"/>
    <s v="BREAST CANCER THERAPY; CANCER; DRUG RESEARCH"/>
    <x v="23"/>
    <d v="2014-09-30T00:00:00"/>
    <n v="0"/>
    <s v="eIF4E, ribavirin, breast cancer"/>
  </r>
  <r>
    <x v="357"/>
    <s v="CIUSSS de Centre-Ouest-de-l'Ile-de-Montréal-Jewish General"/>
    <x v="2"/>
    <x v="13"/>
    <s v="201109MOP"/>
    <x v="12"/>
    <s v="The efficacy of Link N as a mediator of repair in Intervertebral Disc Degeneration"/>
    <n v="454098"/>
    <n v="0"/>
    <n v="0"/>
    <m/>
    <s v="4 yrs 0 mth "/>
    <x v="0"/>
    <s v="MUSCULO SKELETAL; MUSCLE, BONE, OR JOINT; HEALTH RESEARCH"/>
    <x v="28"/>
    <d v="2016-03-31T00:00:00"/>
    <n v="1"/>
    <s v="Link N, intervertebral disc, repair"/>
  </r>
  <r>
    <x v="351"/>
    <s v="CIUSSS de Centre-Ouest-de-l'Ile-de-Montréal-Jewish General"/>
    <x v="2"/>
    <x v="13"/>
    <s v="201109MOP"/>
    <x v="6"/>
    <s v="The role of post-translational modifications of MRE11 in mediating the DNA damage response."/>
    <n v="873345"/>
    <n v="0"/>
    <n v="0"/>
    <m/>
    <s v="5 yrs 0 mth "/>
    <x v="1"/>
    <s v="LEUKAEMIAS; CANCER THERAPY GENERAL; CANCER; AGING"/>
    <x v="28"/>
    <d v="2017-03-31T00:00:00"/>
    <n v="0"/>
    <s v="post-translational modifications, MRE11, DNA damage response"/>
  </r>
  <r>
    <x v="358"/>
    <s v="CIUSSS de Centre-Ouest-de-l'Ile-de-Montréal-Jewish General"/>
    <x v="2"/>
    <x v="13"/>
    <s v="201203MOP"/>
    <x v="6"/>
    <s v="Regulation and function of NFE2L3: linking transcription factor activity to carcinogenesis."/>
    <n v="683860"/>
    <n v="0"/>
    <n v="0"/>
    <m/>
    <s v="5 yrs 0 mth "/>
    <x v="1"/>
    <s v="NEOPLASMS; CARCINOGENS (INCL ENVIRONMENTAL); CANCER; MOLECULAR BIOLOGY"/>
    <x v="21"/>
    <d v="2017-09-30T00:00:00"/>
    <n v="0"/>
    <s v="NFE2L3, transcription factor, carcinogenesis"/>
  </r>
  <r>
    <x v="359"/>
    <s v="CIUSSS de Centre-Ouest-de-l'Ile-de-Montréal-Jewish General"/>
    <x v="2"/>
    <x v="13"/>
    <s v="201203MOP"/>
    <x v="6"/>
    <s v="The epigenetic impact of deregulated poly(ADP)ribosylation in breast cancer."/>
    <n v="695970"/>
    <n v="0"/>
    <n v="0"/>
    <m/>
    <s v="5 yrs 0 mth "/>
    <x v="1"/>
    <s v="BREAST CANCER; CANCER; MOLECULAR BIOLOGY"/>
    <x v="21"/>
    <d v="2017-09-30T00:00:00"/>
    <n v="0"/>
    <s v="epigenetic, poly(ADP)ribosylation, breast cancer"/>
  </r>
  <r>
    <x v="360"/>
    <s v="CIUSSS de Centre-Ouest-de-l'Ile-de-Montréal-Jewish General"/>
    <x v="2"/>
    <x v="13"/>
    <s v="201209MOP"/>
    <x v="14"/>
    <s v="Novel strategy to selectively target tumor cell growth and chemosensitivity"/>
    <n v="767780"/>
    <n v="0"/>
    <n v="0"/>
    <m/>
    <s v="5 yrs 0 mth "/>
    <x v="1"/>
    <s v="CANCER THERAPY GENERAL; NONE OF THE ABOVE; CANCER; MOLECULAR BIOLOGY"/>
    <x v="15"/>
    <d v="2018-03-31T00:00:00"/>
    <n v="0"/>
    <s v="tumor, cell growth, chemosensitivity"/>
  </r>
  <r>
    <x v="352"/>
    <s v="CIUSSS de Centre-Ouest-de-l'Ile-de-Montréal-Jewish General"/>
    <x v="2"/>
    <x v="13"/>
    <s v="201209MOP"/>
    <x v="13"/>
    <s v="Mechanisms of response and resistance to epigenetic therapy in hematological malignancy"/>
    <n v="729885"/>
    <n v="0"/>
    <n v="0"/>
    <m/>
    <s v="5 yrs 0 mth "/>
    <x v="1"/>
    <s v="CANCER THERAPY GENERAL; CANCER; CELL BIOLOGY"/>
    <x v="15"/>
    <d v="2018-03-31T00:00:00"/>
    <n v="0"/>
    <s v="epigenetic, hematological malignancy, response"/>
  </r>
  <r>
    <x v="361"/>
    <s v="CIUSSS de Centre-Ouest-de-l'Ile-de-Montréal-Jewish General"/>
    <x v="2"/>
    <x v="13"/>
    <s v="201303MOP"/>
    <x v="13"/>
    <s v="Overcoming therapeutic resistance in lymphoma"/>
    <n v="449166"/>
    <n v="0"/>
    <n v="0"/>
    <m/>
    <s v="3 yrs 0 mth "/>
    <x v="1"/>
    <s v="NEOPLASMS; CANCER"/>
    <x v="24"/>
    <d v="2016-09-30T00:00:00"/>
    <n v="0"/>
    <s v="therapeutic resistance, lymphoma"/>
  </r>
  <r>
    <x v="351"/>
    <s v="CIUSSS de Centre-Ouest-de-l'Ile-de-Montréal-Jewish General"/>
    <x v="2"/>
    <x v="13"/>
    <s v="201309MOP"/>
    <x v="6"/>
    <s v="Defining the role of protein arginine methyltransferases (PRMTs) and RGG/RG motifs in cancer and in the maintenance of genomic stability."/>
    <n v="967960"/>
    <n v="0"/>
    <n v="0"/>
    <m/>
    <s v="5 yrs 0 mth "/>
    <x v="1"/>
    <s v="CANCER THERAPY GENERAL; LEUKAEMIAS; CANCER; MOLECULAR BIOLOGY"/>
    <x v="11"/>
    <d v="2017-06-30T00:00:00"/>
    <n v="0"/>
    <s v="protein arginine methyltransferases, RGG/RG motifs, genomic stability"/>
  </r>
  <r>
    <x v="356"/>
    <s v="CIUSSS de Centre-Ouest-de-l'Ile-de-Montréal-Jewish General"/>
    <x v="2"/>
    <x v="13"/>
    <s v="201309MOP"/>
    <x v="14"/>
    <s v="Defining the Molecular Mechanisms and Clinical Implications of p66ShcA as a Driver of the Epithelial to Mesenchymal Transition in Breast Cancer"/>
    <n v="685520"/>
    <n v="0"/>
    <n v="0"/>
    <m/>
    <s v="5 yrs 0 mth "/>
    <x v="1"/>
    <s v="BREAST CANCER; NEOPLASMS; CANCER; MOLECULAR BIOLOGY"/>
    <x v="11"/>
    <d v="2019-03-31T00:00:00"/>
    <n v="0"/>
    <s v="p66ShcA, Epithelial to Mesenchymal Transition, Breast Cancer"/>
  </r>
  <r>
    <x v="352"/>
    <s v="CIUSSS de Centre-Ouest-de-l'Ile-de-Montréal-Jewish General"/>
    <x v="2"/>
    <x v="13"/>
    <s v="201503MOP"/>
    <x v="13"/>
    <s v="Understanding the role of the MNK-eIF4E axis in the response and resistance to BRAF inhibitors."/>
    <n v="720155"/>
    <n v="0"/>
    <n v="0"/>
    <m/>
    <s v="5 yrs 0 mth "/>
    <x v="1"/>
    <s v="SKIN AND SUBCUTANEOUS TISSUS; CANCER THERAPY GENERAL; CANCER; MOLECULAR BIOLOGY"/>
    <x v="25"/>
    <d v="2020-06-30T00:00:00"/>
    <n v="0"/>
    <s v="MNK, eIF4E, BRAF"/>
  </r>
  <r>
    <x v="356"/>
    <s v="CIUSSS de Centre-Ouest-de-l'Ile-de-Montréal-Jewish General"/>
    <x v="2"/>
    <x v="13"/>
    <s v="201503MOP"/>
    <x v="13"/>
    <s v="Defining the mechanisms and therapeutic potential of ShcA-mediated angiogenesis and metabolism that fuel breast tumorigenesis"/>
    <n v="817643"/>
    <n v="0"/>
    <n v="0"/>
    <m/>
    <s v="5 yrs 0 mth "/>
    <x v="1"/>
    <s v="BREAST CANCER; NEOPLASMS; CANCER; MOLECULAR BIOLOGY"/>
    <x v="25"/>
    <d v="2020-06-30T00:00:00"/>
    <n v="0"/>
    <s v="ShcA, angiogenesis, tumorigenesis"/>
  </r>
  <r>
    <x v="362"/>
    <s v="CIUSSS du Centre-Sud-de-l'Île-de-Montréal (Montréal, Québec)"/>
    <x v="2"/>
    <x v="13"/>
    <s v="201203MOP"/>
    <x v="11"/>
    <s v="MRI characterization of neurovascular function in carotid artery disease"/>
    <n v="672197"/>
    <n v="0"/>
    <n v="0"/>
    <m/>
    <s v="5 yrs 0 mth "/>
    <x v="3"/>
    <s v="ATHEROSCLEROSIS; MENTAL AND BEHAVIOURAL DISEASES; IMAGING; NERVOUS SYSTEM"/>
    <x v="21"/>
    <d v="2017-09-30T00:00:00"/>
    <n v="0"/>
    <s v="MRI, neurovascular, carotid artery"/>
  </r>
  <r>
    <x v="363"/>
    <s v="CIUSSS Est-de-l'Ile-de- Montréal-Maisonneuve Rosemont"/>
    <x v="2"/>
    <x v="13"/>
    <s v="200809MOP"/>
    <x v="6"/>
    <s v="The role of human glyceraldehyde-3-phosphate dehydrogenase in reactivating oxidized forms of the DNA repair enzyme APE1"/>
    <n v="355206"/>
    <n v="0"/>
    <n v="0"/>
    <m/>
    <s v="3 yrs 0 mth "/>
    <x v="1"/>
    <s v="CANCER THERAPY GENERAL; CARCINOGENS (INCL ENVIRONMENTAL); CANCER; DRUG RESEARCH"/>
    <x v="10"/>
    <d v="2012-03-31T00:00:00"/>
    <n v="0"/>
    <s v="glyceraldehyde-3-phosphate dehydrogenase, DNA repair, APE1"/>
  </r>
  <r>
    <x v="363"/>
    <s v="CIUSSS Est-de-l'Ile-de- Montréal-Maisonneuve Rosemont"/>
    <x v="2"/>
    <x v="13"/>
    <s v="201109MOP"/>
    <x v="6"/>
    <s v="The role of human glyceraldehyde-3-phosphate dehydrogenase in maintaining the redox state of the DNA repair enzyme APE1"/>
    <n v="622134"/>
    <n v="0"/>
    <n v="0"/>
    <m/>
    <s v="5 yrs 0 mth "/>
    <x v="1"/>
    <s v="CANCER THERAPY GENERAL; CARCINOGENS (INCL ENVIRONMENTAL); CELL BIOLOGY; BIOCHEMISTRY"/>
    <x v="28"/>
    <d v="2017-03-31T00:00:00"/>
    <n v="0"/>
    <s v="glyceraldehyde-3-phosphate dehydrogenase, DNA repair, APE1"/>
  </r>
  <r>
    <x v="364"/>
    <s v="CIUSSS Est-de-l'Ile-de- Montréal-Maisonneuve Rosemont"/>
    <x v="2"/>
    <x v="13"/>
    <s v="201309MOP"/>
    <x v="6"/>
    <s v="Regulation of UV Damage Repair by the ATR-mediated DNA Damage Checkpoint in Malignant Melanoma"/>
    <n v="364536"/>
    <n v="0"/>
    <n v="0"/>
    <m/>
    <s v="3 yrs 0 mth "/>
    <x v="1"/>
    <s v="CARCINOGENS (INCL ENVIRONMENTAL); ENVIRONMENTAL INFLUENCES ON HEALTH; CANCER; MOLECULAR BIOLOGY"/>
    <x v="11"/>
    <d v="2017-03-31T00:00:00"/>
    <n v="0"/>
    <s v="UV damage, DNA repair, melanoma"/>
  </r>
  <r>
    <x v="365"/>
    <s v="CIUSSS Est-de-l'Ile-de- Montréal-Maisonneuve Rosemont"/>
    <x v="2"/>
    <x v="13"/>
    <s v="201309MOP"/>
    <x v="11"/>
    <s v="Development of novel OCT-based clinical measurements of ocular elasticity and retinal deformation as risk factors in glaucoma."/>
    <n v="511724"/>
    <n v="0"/>
    <n v="0"/>
    <m/>
    <s v="5 yrs 0 mth "/>
    <x v="6"/>
    <s v="GLAUCOMA; MULTIDISCIPLINARY; IMAGING; VISION"/>
    <x v="11"/>
    <d v="2019-03-31T00:00:00"/>
    <n v="1"/>
    <s v="OCT, ocular elasticity, retinal deformation"/>
  </r>
  <r>
    <x v="366"/>
    <s v="CIUSSS Est-de-l'Ile-de- Montréal-Maisonneuve Rosemont"/>
    <x v="2"/>
    <x v="13"/>
    <s v="201403MOP"/>
    <x v="13"/>
    <s v="Relationship between clonal architecture of aging hematopoiesis and the risk of developing age-associated myeloid cancers."/>
    <n v="845460"/>
    <n v="0"/>
    <n v="0"/>
    <m/>
    <s v="5 yrs 0 mth "/>
    <x v="1"/>
    <s v="LEUKAEMIAS; AGING; BLOOD; GENETICS"/>
    <x v="29"/>
    <d v="2019-06-30T00:00:00"/>
    <n v="0"/>
    <s v="clonal architecture, hematopoiesis, myeloid cancers"/>
  </r>
  <r>
    <x v="367"/>
    <s v="CIUSSS Est-de-l'Ile-de- Montréal-Maisonneuve Rosemont"/>
    <x v="2"/>
    <x v="13"/>
    <s v="201503MOP"/>
    <x v="12"/>
    <s v="Elucidating mechanisms of MSC-induced tissue regeneration: path to mesenchymal stromal cell clinical trial in glaucoma"/>
    <n v="596450"/>
    <n v="0"/>
    <n v="0"/>
    <m/>
    <s v="5 yrs 0 mth "/>
    <x v="2"/>
    <s v="GLAUCOMA; INJURY, REGENERATION; VISION; CELL BIOLOGY"/>
    <x v="25"/>
    <d v="2020-06-30T00:00:00"/>
    <n v="0"/>
    <s v="MSC, tissue regeneration, glaucoma"/>
  </r>
  <r>
    <x v="368"/>
    <s v="Dalhousie University (Nova Scotia)"/>
    <x v="6"/>
    <x v="13"/>
    <s v="200903MOP"/>
    <x v="6"/>
    <s v="Involvement of the DNA-dependent protein kinase (DNA-PK) in p53-mediated apoptosis."/>
    <n v="648339"/>
    <n v="0"/>
    <n v="0"/>
    <m/>
    <s v="5 yrs 0 mth "/>
    <x v="1"/>
    <s v="CANCER THERAPY GENERAL; CANCER; CELL BIOLOGY"/>
    <x v="4"/>
    <d v="2014-09-30T00:00:00"/>
    <n v="0"/>
    <s v="DNA-PK, p53, apoptosis"/>
  </r>
  <r>
    <x v="369"/>
    <s v="Dalhousie University (Nova Scotia)"/>
    <x v="6"/>
    <x v="13"/>
    <s v="201103MOP"/>
    <x v="6"/>
    <s v="The promyelocytic leukemia protein and nuclear domain function in DNA damage signalling and tumour suppression"/>
    <n v="756990"/>
    <n v="0"/>
    <n v="0"/>
    <m/>
    <s v="5 yrs 0 mth "/>
    <x v="1"/>
    <s v="NEOPLASMS; MULTIPLE DISEASE RELEVANCE; CANCER; CELL BIOLOGY"/>
    <x v="23"/>
    <d v="2016-09-30T00:00:00"/>
    <n v="0"/>
    <s v="promyelocytic leukemia, DNA damage, tumour suppression"/>
  </r>
  <r>
    <x v="370"/>
    <s v="Dalhousie University (Nova Scotia)"/>
    <x v="6"/>
    <x v="13"/>
    <s v="201303MOP"/>
    <x v="14"/>
    <s v="The role of ALDH1A3 in breast cancer progression and cancer stem cell biology"/>
    <n v="627147"/>
    <n v="0"/>
    <n v="0"/>
    <m/>
    <s v="5 yrs 0 mth "/>
    <x v="1"/>
    <s v="BREAST CANCER; CANCER"/>
    <x v="24"/>
    <d v="2018-09-30T00:00:00"/>
    <n v="0"/>
    <s v="ALDH1A3, breast cancer, cancer stem cells"/>
  </r>
  <r>
    <x v="371"/>
    <s v="Dalhousie University (Nova Scotia)"/>
    <x v="6"/>
    <x v="13"/>
    <s v="201309MOP"/>
    <x v="12"/>
    <s v="Mechanical Overload in Tendons Produces Characteristic Nanoscaled Damage to Collagen Fibrils which Activates Cellular Remodelling"/>
    <n v="383948"/>
    <n v="0"/>
    <n v="0"/>
    <m/>
    <s v="4 yrs 0 mth "/>
    <x v="0"/>
    <s v="MUSCULO SKELETAL; ARTHRITIS/OSTEOARTHRITIS; MUSCLE, BONE, OR JOINT; BIOPHYSICS"/>
    <x v="11"/>
    <d v="2018-03-31T00:00:00"/>
    <n v="1"/>
    <s v="Mechanical overload, collagen fibrils, cellular remodelling"/>
  </r>
  <r>
    <x v="368"/>
    <s v="Dalhousie University (Nova Scotia)"/>
    <x v="6"/>
    <x v="13"/>
    <s v="201405MOP"/>
    <x v="6"/>
    <s v="The role of NMNAT2, a new p53 target gene, in feedback regulation of p53 function via the SIRT deacetylases."/>
    <n v="100000"/>
    <n v="0"/>
    <n v="0"/>
    <m/>
    <s v="1 yr 0 mth "/>
    <x v="1"/>
    <s v="CANCER THERAPY GENERAL; CANCER; CELL BIOLOGY"/>
    <x v="26"/>
    <d v="2015-09-30T00:00:00"/>
    <n v="0"/>
    <s v="NMNAT2,p53,SIRT"/>
  </r>
  <r>
    <x v="368"/>
    <s v="Dalhousie University (Nova Scotia)"/>
    <x v="6"/>
    <x v="13"/>
    <s v="201503MOP"/>
    <x v="6"/>
    <s v="The role of NMNAT2, a new p53 target gene, in feedback regulation of p53 function via the SIRT deacetylases."/>
    <n v="570028"/>
    <n v="0"/>
    <n v="0"/>
    <m/>
    <s v="4 yrs 0 mth "/>
    <x v="1"/>
    <s v="CANCER THERAPY GENERAL; CANCER; CELL BIOLOGY"/>
    <x v="25"/>
    <d v="2015-09-30T00:00:00"/>
    <n v="0"/>
    <s v="NMNAT2,p53,SIRT"/>
  </r>
  <r>
    <x v="372"/>
    <s v="Hospital for Sick Children (Toronto)"/>
    <x v="0"/>
    <x v="13"/>
    <s v="200903MOP"/>
    <x v="11"/>
    <s v="MRI Assessment of Pulmonary Vascular Remodelling and Vasoconstriction in Pulmonary Hypertension"/>
    <n v="233833"/>
    <n v="0"/>
    <n v="0"/>
    <m/>
    <s v="3 yrs 0 mth "/>
    <x v="11"/>
    <s v="MULTIDISCIPLINARY; MULTIPLE DISEASE RELEVANCE; IMAGING; CARDIOVASCULAR"/>
    <x v="4"/>
    <d v="2012-09-30T00:00:00"/>
    <n v="0"/>
    <s v="MRI, Pulmonary Vascular, Hypertension"/>
  </r>
  <r>
    <x v="373"/>
    <s v="Hospital for Sick Children (Toronto)"/>
    <x v="0"/>
    <x v="13"/>
    <s v="200903MOP"/>
    <x v="6"/>
    <s v="DNA Copy Number Variation in Li-Fraumeni Syndrome"/>
    <n v="769785"/>
    <n v="0"/>
    <n v="0"/>
    <m/>
    <s v="4 yrs 0 mth "/>
    <x v="1"/>
    <s v="NEOPLASMS; CANCER; GENETICS"/>
    <x v="4"/>
    <d v="2013-09-30T00:00:00"/>
    <n v="0"/>
    <s v="DNA, Copy Number, Variation"/>
  </r>
  <r>
    <x v="374"/>
    <s v="Hospital for Sick Children (Toronto)"/>
    <x v="0"/>
    <x v="13"/>
    <s v="200909MOP"/>
    <x v="14"/>
    <s v="Role of Histone Lysine Methylation in Medulloblastoma and Cerebellar Development"/>
    <n v="540219"/>
    <n v="0"/>
    <n v="0"/>
    <m/>
    <s v="3 yrs 0 mth "/>
    <x v="1"/>
    <s v="BRAIN TUMORS (INCL. RETINAL TUMORS); NEOPLASMS; CANCER; NERVOUS SYSTEM"/>
    <x v="22"/>
    <d v="2013-03-31T00:00:00"/>
    <n v="0"/>
    <s v="Histone, Methylation, Medulloblastoma"/>
  </r>
  <r>
    <x v="375"/>
    <s v="Hospital for Sick Children (Toronto)"/>
    <x v="0"/>
    <x v="13"/>
    <s v="200909MOP"/>
    <x v="11"/>
    <s v="The Effect of Flow on Atherogenesis in Mice"/>
    <n v="347223"/>
    <n v="0"/>
    <n v="0"/>
    <m/>
    <s v="3 yrs 0 mth "/>
    <x v="11"/>
    <s v="ATHEROSCLEROSIS; IMAGING; CARDIOVASCULAR"/>
    <x v="22"/>
    <d v="2013-03-31T00:00:00"/>
    <n v="0"/>
    <s v="Flow, Atherogenesis, Mice"/>
  </r>
  <r>
    <x v="376"/>
    <s v="Hospital for Sick Children (Toronto)"/>
    <x v="0"/>
    <x v="13"/>
    <s v="200909MOP"/>
    <x v="14"/>
    <s v="Discovery and characterization of C19MC a novel oncogenic miRNA locus in malignant brain tumors"/>
    <n v="515320"/>
    <n v="0"/>
    <n v="0"/>
    <m/>
    <s v="4 yrs 0 mth "/>
    <x v="1"/>
    <s v="BRAIN TUMORS (INCL. RETINAL TUMORS); BRAIN TUMORS THERAPY; CANCER; MOLECULAR BIOLOGY"/>
    <x v="22"/>
    <d v="2014-03-31T00:00:00"/>
    <n v="0"/>
    <s v="C19MC, miRNA, brain tumors"/>
  </r>
  <r>
    <x v="377"/>
    <s v="Hospital for Sick Children (Toronto)"/>
    <x v="0"/>
    <x v="13"/>
    <s v="200909MOP"/>
    <x v="6"/>
    <s v="GATA4 and GATA6 Transcription Factors in Gliomagenesis"/>
    <n v="808632"/>
    <n v="0"/>
    <n v="0"/>
    <m/>
    <s v="5 yrs 0 mth "/>
    <x v="1"/>
    <s v="BRAIN TUMORS (INCL. RETINAL TUMORS); BRAIN TUMORS THERAPY; CANCER; NERVOUS SYSTEM"/>
    <x v="22"/>
    <d v="2015-03-31T00:00:00"/>
    <n v="0"/>
    <s v="GATA4, GATA6, Gliomagenesis"/>
  </r>
  <r>
    <x v="378"/>
    <s v="Hospital for Sick Children (Toronto)"/>
    <x v="0"/>
    <x v="13"/>
    <s v="200909MOP"/>
    <x v="6"/>
    <s v="Molecular targeting of the Rho-GTPase pathway in human astrocytomas"/>
    <n v="797005"/>
    <n v="0"/>
    <n v="0"/>
    <m/>
    <s v="5 yrs 0 mth "/>
    <x v="1"/>
    <s v="BRAIN TUMORS (INCL. RETINAL TUMORS); BRAIN TUMORS THERAPY; CANCER; CELL BIOLOGY"/>
    <x v="22"/>
    <d v="2015-03-31T00:00:00"/>
    <n v="0"/>
    <s v="Rho-GTPase, molecular targeting, astrocytomas"/>
  </r>
  <r>
    <x v="379"/>
    <s v="Hospital for Sick Children (Toronto)"/>
    <x v="0"/>
    <x v="13"/>
    <s v="201003MOP"/>
    <x v="6"/>
    <s v="Function and regulation of Numb alternative splicing in cancer."/>
    <n v="654230"/>
    <n v="0"/>
    <n v="0"/>
    <m/>
    <s v="5 yrs 0 mth "/>
    <x v="1"/>
    <s v="CANCER THERAPY GENERAL; BRAIN TUMORS (INCL. RETINAL TUMORS); CELL BIOLOGY; MOLECULAR BIOLOGY"/>
    <x v="5"/>
    <d v="2015-09-30T00:00:00"/>
    <n v="0"/>
    <s v="Numb, splicing, cancer"/>
  </r>
  <r>
    <x v="373"/>
    <s v="Hospital for Sick Children (Toronto)"/>
    <x v="0"/>
    <x v="13"/>
    <s v="201003MOP"/>
    <x v="14"/>
    <s v="Molecular Determinants of Li-Fraumeni Syndrome Associated Cancers"/>
    <n v="748696"/>
    <n v="0"/>
    <n v="0"/>
    <m/>
    <s v="5 yrs 0 mth "/>
    <x v="1"/>
    <s v="NEOPLASMS; CANCER; GENETICS"/>
    <x v="5"/>
    <d v="2015-06-30T00:00:00"/>
    <n v="0"/>
    <s v="Li-Fraumeni, Cancers, Molecular"/>
  </r>
  <r>
    <x v="380"/>
    <s v="Hospital for Sick Children (Toronto)"/>
    <x v="0"/>
    <x v="13"/>
    <s v="201003MOP"/>
    <x v="11"/>
    <s v="Where is Autism Located in the Brain?"/>
    <n v="761924"/>
    <n v="0"/>
    <n v="0"/>
    <m/>
    <s v="5 yrs 0 mth "/>
    <x v="8"/>
    <s v="AUTISM; MENTAL AND BEHAVIOURAL DISEASES; IMAGING; HEALTH RESEARCH"/>
    <x v="5"/>
    <d v="2015-06-30T00:00:00"/>
    <n v="0"/>
    <s v="Autism, Brain, Localization"/>
  </r>
  <r>
    <x v="381"/>
    <s v="Hospital for Sick Children (Toronto)"/>
    <x v="0"/>
    <x v="13"/>
    <s v="201009MOP"/>
    <x v="14"/>
    <s v="Prediction and Prevention of glioma recurrence by targeting telomere dependent self-renewal capacity of tumor initiating cells."/>
    <n v="757479"/>
    <n v="0"/>
    <n v="0"/>
    <m/>
    <s v="5 yrs 0 mth "/>
    <x v="1"/>
    <s v="BRAIN TUMORS THERAPY; CANCER THERAPY GENERAL; CANCER; MOLECULAR BIOLOGY"/>
    <x v="27"/>
    <d v="2016-03-31T00:00:00"/>
    <n v="0"/>
    <s v="glioma, telomere, self-renewal"/>
  </r>
  <r>
    <x v="382"/>
    <s v="Hospital for Sick Children (Toronto)"/>
    <x v="0"/>
    <x v="13"/>
    <s v="201009MOP"/>
    <x v="11"/>
    <s v="Neurovascular Adaptation"/>
    <n v="793339"/>
    <n v="0"/>
    <n v="0"/>
    <m/>
    <s v="5 yrs 0 mth "/>
    <x v="3"/>
    <s v="MULTIPLE DISEASE RELEVANCE; ALZHEIMER'S DISEASE; IMAGING; NERVOUS SYSTEM"/>
    <x v="27"/>
    <d v="2016-03-31T00:00:00"/>
    <n v="0"/>
    <s v="Neurovascular, Adaptation"/>
  </r>
  <r>
    <x v="373"/>
    <s v="Hospital for Sick Children (Toronto)"/>
    <x v="0"/>
    <x v="13"/>
    <s v="201103MOP"/>
    <x v="14"/>
    <s v="Targeting the Integrin-Linked Kinase Pathway in Rhabdomyosarcoma"/>
    <n v="295309"/>
    <n v="0"/>
    <n v="0"/>
    <m/>
    <s v="3 yrs 0 mth "/>
    <x v="1"/>
    <s v="CANCER THERAPY GENERAL; NEOPLASMS; CANCER; MOLECULAR BIOLOGY"/>
    <x v="23"/>
    <d v="2014-09-30T00:00:00"/>
    <n v="0"/>
    <s v="Integrin, Kinase, Rhabdomyosarcoma"/>
  </r>
  <r>
    <x v="383"/>
    <s v="Hospital for Sick Children (Toronto)"/>
    <x v="0"/>
    <x v="13"/>
    <s v="201103MOP"/>
    <x v="14"/>
    <s v="Targeting Paediatric Brainstem Glioma Using Integrated Whole Genome Analysis"/>
    <n v="581429"/>
    <n v="0"/>
    <n v="0"/>
    <m/>
    <s v="4 yrs 0 mth "/>
    <x v="1"/>
    <s v="BRAIN TUMORS (INCL. RETINAL TUMORS); BRAIN TUMORS THERAPY; CANCER; GENOMICS, PROTEOMICS, AND BIOINFORMATICS"/>
    <x v="23"/>
    <d v="2015-09-30T00:00:00"/>
    <n v="0"/>
    <s v="Paediatric, Brainstem Glioma, Whole Genome"/>
  </r>
  <r>
    <x v="376"/>
    <s v="Hospital for Sick Children (Toronto)"/>
    <x v="0"/>
    <x v="13"/>
    <s v="201109MOP"/>
    <x v="13"/>
    <s v="Targeting Thrombospondin-1 in medulloblastoma"/>
    <n v="762872"/>
    <n v="0"/>
    <n v="0"/>
    <m/>
    <s v="5 yrs 0 mth "/>
    <x v="1"/>
    <s v="BRAIN TUMORS THERAPY; CANCER THERAPY GENERAL; CANCER; MOLECULAR BIOLOGY"/>
    <x v="28"/>
    <d v="2017-03-31T00:00:00"/>
    <n v="0"/>
    <s v="Thrombospondin-1, medulloblastoma"/>
  </r>
  <r>
    <x v="384"/>
    <s v="Hospital for Sick Children (Toronto)"/>
    <x v="0"/>
    <x v="13"/>
    <s v="201109MOP"/>
    <x v="11"/>
    <s v="Neuroanatomical late effects in pediatric brain irradiation"/>
    <n v="705269"/>
    <n v="0"/>
    <n v="0"/>
    <m/>
    <s v="5 yrs 0 mth "/>
    <x v="1"/>
    <s v="BRAIN TUMORS THERAPY; MENTAL DISABILITY; CANCER; NERVOUS SYSTEM"/>
    <x v="28"/>
    <d v="2017-03-31T00:00:00"/>
    <n v="0"/>
    <s v="neuroanatomical, brain, irradiation"/>
  </r>
  <r>
    <x v="381"/>
    <s v="Hospital for Sick Children (Toronto)"/>
    <x v="0"/>
    <x v="13"/>
    <s v="201203MOP"/>
    <x v="14"/>
    <s v="Clinical and biological implications of monoallelic gene expression in pediatric malignant brain tumors."/>
    <n v="573543"/>
    <n v="0"/>
    <n v="0"/>
    <m/>
    <s v="4 yrs 0 mth "/>
    <x v="1"/>
    <s v="BRAIN TUMORS (INCL. RETINAL TUMORS); BRAIN TUMORS THERAPY; CANCER; MOLECULAR BIOLOGY"/>
    <x v="21"/>
    <d v="2016-09-30T00:00:00"/>
    <n v="1"/>
    <s v="monoallelic gene expression, pediatric brain tumors, malignancy"/>
  </r>
  <r>
    <x v="385"/>
    <s v="Hospital for Sick Children (Toronto)"/>
    <x v="0"/>
    <x v="13"/>
    <s v="201203MOP"/>
    <x v="14"/>
    <s v="Characterizing the Sarcoma Tumor Initiating Cell: Implications for the Development of Novel Treatments for Undifferentiated Pleomorphic Sarcoma"/>
    <n v="732722"/>
    <n v="0"/>
    <n v="0"/>
    <m/>
    <s v="5 yrs 0 mth "/>
    <x v="0"/>
    <s v="BONE CANCER; BONE CANCER THERAPY; CANCER; MUSCLE, BONE, OR JOINT"/>
    <x v="21"/>
    <d v="2017-09-30T00:00:00"/>
    <n v="0"/>
    <s v="Sarcoma, Tumor, Cell"/>
  </r>
  <r>
    <x v="386"/>
    <s v="Hospital for Sick Children (Toronto)"/>
    <x v="0"/>
    <x v="13"/>
    <s v="201203MOP"/>
    <x v="11"/>
    <s v="Deciphering the bases of sex differences in the brain and their role in psychiatric disorders"/>
    <n v="779591"/>
    <n v="0"/>
    <n v="0"/>
    <m/>
    <s v="5 yrs 0 mth "/>
    <x v="3"/>
    <s v="MENTAL AND BEHAVIOURAL DISEASES; ENDOCRINOLOGY; NERVOUS SYSTEM; IMAGING"/>
    <x v="21"/>
    <d v="2017-09-30T00:00:00"/>
    <n v="0"/>
    <s v="sex differences, brain, psychiatric disorders"/>
  </r>
  <r>
    <x v="387"/>
    <s v="Hospital for Sick Children (Toronto)"/>
    <x v="0"/>
    <x v="13"/>
    <s v="201303MOP"/>
    <x v="11"/>
    <s v="Advanced MRI methods for early detection and characterization of placental dysfunction and the monitoring of therapy"/>
    <n v="470585"/>
    <n v="0"/>
    <n v="0"/>
    <m/>
    <s v="3 yrs 0 mth "/>
    <x v="10"/>
    <s v="PREGNANCY/BIRTH; MULTIDISCIPLINARY"/>
    <x v="24"/>
    <d v="2016-09-30T00:00:00"/>
    <n v="0"/>
    <s v="MRI, placental dysfunction, detection"/>
  </r>
  <r>
    <x v="373"/>
    <s v="Hospital for Sick Children (Toronto)"/>
    <x v="0"/>
    <x v="13"/>
    <s v="201303MOP"/>
    <x v="14"/>
    <s v="DNA Copy Number Variation in Li-Fraumeni Syndrome"/>
    <n v="1075723"/>
    <n v="0"/>
    <n v="0"/>
    <m/>
    <s v="5 yrs 0 mth "/>
    <x v="1"/>
    <s v="NEOPLASMS; CANCER; GENETICS"/>
    <x v="24"/>
    <d v="2015-06-30T00:00:00"/>
    <n v="0"/>
    <s v="DNA, Copy Number, Variation"/>
  </r>
  <r>
    <x v="388"/>
    <s v="Hospital for Sick Children (Toronto)"/>
    <x v="0"/>
    <x v="13"/>
    <s v="201309MOP"/>
    <x v="14"/>
    <s v="Targeting metastatic neuroblastoma"/>
    <n v="771485"/>
    <n v="0"/>
    <n v="0"/>
    <m/>
    <s v="5 yrs 0 mth "/>
    <x v="1"/>
    <s v="BRAIN TUMORS (INCL. RETINAL TUMORS); BONE CANCER; CANCER; CELL BIOLOGY"/>
    <x v="11"/>
    <d v="2019-03-31T00:00:00"/>
    <n v="0"/>
    <s v="metastatic, neuroblastoma"/>
  </r>
  <r>
    <x v="381"/>
    <s v="Hospital for Sick Children (Toronto)"/>
    <x v="0"/>
    <x v="13"/>
    <s v="201403MOP"/>
    <x v="14"/>
    <s v="Novel implications of THOR hypermethylation in telomere maintenance and gliomageneis."/>
    <n v="911430"/>
    <n v="0"/>
    <n v="0"/>
    <m/>
    <s v="5 yrs 0 mth "/>
    <x v="1"/>
    <s v="CANCER THERAPY GENERAL; NEOPLASMS; CANCER; NERVOUS SYSTEM"/>
    <x v="29"/>
    <d v="2019-06-30T00:00:00"/>
    <n v="1"/>
    <s v="THOR, hypermethylation, telomere"/>
  </r>
  <r>
    <x v="376"/>
    <s v="Hospital for Sick Children (Toronto)"/>
    <x v="0"/>
    <x v="13"/>
    <s v="201403MOP"/>
    <x v="13"/>
    <s v="Delineating transforming pathways in childhood primitive neuro-ectodermal brain tumours"/>
    <n v="990596"/>
    <n v="0"/>
    <n v="0"/>
    <m/>
    <s v="5 yrs 0 mth "/>
    <x v="1"/>
    <s v="BRAIN TUMORS THERAPY; CANCER THERAPY GENERAL; CANCER; CELL BIOLOGY"/>
    <x v="29"/>
    <d v="2019-06-30T00:00:00"/>
    <n v="2"/>
    <s v="neuro-ectodermal, brain tumours, pathways"/>
  </r>
  <r>
    <x v="380"/>
    <s v="Hospital for Sick Children (Toronto)"/>
    <x v="0"/>
    <x v="13"/>
    <s v="201403MOP"/>
    <x v="11"/>
    <s v="Magnetic resonance imaging of brain plasticity"/>
    <n v="694870"/>
    <n v="0"/>
    <n v="0"/>
    <m/>
    <s v="5 yrs 0 mth "/>
    <x v="3"/>
    <s v="MENTAL AND BEHAVIOURAL DISEASES; BIOSTATISTICS; NERVOUS SYSTEM; IMAGING"/>
    <x v="29"/>
    <d v="2015-06-30T00:00:00"/>
    <n v="0"/>
    <s v="Magnetic resonance, brain, plasticity"/>
  </r>
  <r>
    <x v="389"/>
    <s v="Hospital for Sick Children (Toronto)"/>
    <x v="0"/>
    <x v="13"/>
    <s v="201503MOP"/>
    <x v="6"/>
    <s v="Mechanisms and Risk Stratification for Treatment of Acute Myeloid Leukemia in Children with Down  syndrome"/>
    <n v="773060"/>
    <n v="0"/>
    <n v="0"/>
    <m/>
    <s v="5 yrs 0 mth "/>
    <x v="1"/>
    <s v="LEUKAEMIAS; CANCER; MOLECULAR BIOLOGY"/>
    <x v="25"/>
    <d v="2020-06-30T00:00:00"/>
    <n v="0"/>
    <s v="Acute Myeloid Leukemia, Risk Stratification, Down syndrome"/>
  </r>
  <r>
    <x v="379"/>
    <s v="Hospital for Sick Children (Toronto)"/>
    <x v="0"/>
    <x v="13"/>
    <s v="201503MOP"/>
    <x v="13"/>
    <s v="Function and regulation of Numb protein isoforms in cancer."/>
    <n v="817497"/>
    <n v="0"/>
    <n v="0"/>
    <m/>
    <s v="5 yrs 0 mth "/>
    <x v="1"/>
    <s v="BREAST CANCER; LUNG CANCER; CANCER; MOLECULAR BIOLOGY"/>
    <x v="25"/>
    <d v="2020-06-30T00:00:00"/>
    <n v="0"/>
    <s v="Numb protein, isoforms, cancer"/>
  </r>
  <r>
    <x v="390"/>
    <s v="INRS - (Québec, QC)"/>
    <x v="2"/>
    <x v="13"/>
    <s v="201103MOP"/>
    <x v="14"/>
    <s v="Antiandrogenic and antiproliferative effects of diindolylmethane (DIM) and ring-substituted analogs (ring-DIMs) in androgen -ependent and -independent human prostate cancer cells in vitro, and in vivo using real-time imaging technology."/>
    <n v="345661"/>
    <n v="0"/>
    <n v="0"/>
    <m/>
    <s v="3 yrs 0 mth "/>
    <x v="9"/>
    <s v="PROSTATE AND BLADDER CANCER; PROSTATE AND BLADDER CANCER THERAPY; HEALTH RESEARCH; CANCER"/>
    <x v="23"/>
    <d v="2014-09-30T00:00:00"/>
    <n v="0"/>
    <s v="antiandrogenic, antiproliferative, prostate cancer"/>
  </r>
  <r>
    <x v="391"/>
    <s v="Institut de recherches cliniques de Montréal"/>
    <x v="2"/>
    <x v="13"/>
    <s v="201009MOP"/>
    <x v="6"/>
    <s v="Dose dependent role of Gfi1 in the initiation and maintenance of T-cell leukemia and lymphoma"/>
    <n v="339678"/>
    <n v="0"/>
    <n v="0"/>
    <m/>
    <s v="3 yrs 0 mth "/>
    <x v="1"/>
    <s v="BLOOD; LEUKAEMIAS; MOLECULAR BIOLOGY; IMMUNOLOGY-TRANSPLANTATION"/>
    <x v="27"/>
    <d v="2014-03-31T00:00:00"/>
    <n v="1"/>
    <s v="Gfi1, T-cell leukemia, lymphoma"/>
  </r>
  <r>
    <x v="391"/>
    <s v="Institut de recherches cliniques de Montréal"/>
    <x v="2"/>
    <x v="13"/>
    <s v="201103MOP"/>
    <x v="6"/>
    <s v="Function of the BTB/POZ domain transcription factor Miz-1 in the activation of lymphoid cells and in lymphoid leukemia and lymphoma"/>
    <n v="706460"/>
    <n v="0"/>
    <n v="0"/>
    <m/>
    <s v="5 yrs 0 mth "/>
    <x v="1"/>
    <s v="LEUKAEMIAS; BLOOD; CANCER; IMMUNOLOGY-TRANSPLANTATION"/>
    <x v="23"/>
    <d v="2016-09-30T00:00:00"/>
    <n v="0"/>
    <s v="BTB, transcription factor, lymphoid"/>
  </r>
  <r>
    <x v="392"/>
    <s v="Institut de recherches cliniques de Montréal"/>
    <x v="2"/>
    <x v="13"/>
    <s v="201203MOP"/>
    <x v="14"/>
    <s v="Hedgehog signaling and medulloblastoma tumorigenesis"/>
    <n v="713954"/>
    <n v="0"/>
    <n v="0"/>
    <m/>
    <s v="5 yrs 0 mth "/>
    <x v="1"/>
    <s v="BRAIN TUMORS (INCL. RETINAL TUMORS); NEOPLASMS; CANCER; GENETICS"/>
    <x v="21"/>
    <d v="2017-09-30T00:00:00"/>
    <n v="0"/>
    <s v="Hedgehog signaling, medulloblastoma, tumorigenesis"/>
  </r>
  <r>
    <x v="391"/>
    <s v="Institut de recherches cliniques de Montréal"/>
    <x v="2"/>
    <x v="13"/>
    <s v="201209MOP"/>
    <x v="6"/>
    <s v="Role of Gfi1 as a modulator of the ATM/DNA-PK DNA damage response pathway"/>
    <n v="686375"/>
    <n v="0"/>
    <n v="0"/>
    <m/>
    <s v="5 yrs 0 mth "/>
    <x v="1"/>
    <s v="LEUKAEMIAS; BLOOD; CANCER"/>
    <x v="15"/>
    <d v="2018-03-31T00:00:00"/>
    <n v="0"/>
    <s v="Gfi1, ATM, DNA-PK"/>
  </r>
  <r>
    <x v="393"/>
    <s v="Institut de recherches cliniques de Montréal"/>
    <x v="2"/>
    <x v="13"/>
    <s v="201303MOP"/>
    <x v="6"/>
    <s v="Coordinating DNA deamination, double strand break and repair to prevent genomic instability during antibody gene diversification."/>
    <n v="528516"/>
    <n v="0"/>
    <n v="0"/>
    <m/>
    <s v="4 yrs 0 mth "/>
    <x v="1"/>
    <s v="MULTIPLE DISEASE RELEVANCE; MOLECULAR BIOLOGY; CANCER"/>
    <x v="24"/>
    <d v="2018-03-31T00:00:00"/>
    <n v="1"/>
    <s v="DNA, deamination, repair"/>
  </r>
  <r>
    <x v="394"/>
    <s v="IWK Health Centre (Halifax)"/>
    <x v="6"/>
    <x v="13"/>
    <s v="200909MOP"/>
    <x v="6"/>
    <s v="Zebrafish as an in vivo model of vertebrate mast cell development and systemic mastocytosis"/>
    <n v="295157"/>
    <n v="0"/>
    <n v="0"/>
    <m/>
    <s v="3 yrs 0 mth "/>
    <x v="1"/>
    <s v="BLOOD; LEUKAEMIAS; CANCER"/>
    <x v="22"/>
    <d v="2013-03-31T00:00:00"/>
    <n v="0"/>
    <s v="zebrafish, mast cell, systemic mastocytosis"/>
  </r>
  <r>
    <x v="394"/>
    <s v="IWK Health Centre (Halifax)"/>
    <x v="6"/>
    <x v="13"/>
    <s v="201209MOP"/>
    <x v="14"/>
    <s v="New insights into mast cell development and contribution to malignant progression - further exploitation of the zebrafish model"/>
    <n v="565415"/>
    <n v="0"/>
    <n v="0"/>
    <m/>
    <s v="4 yrs 0 mth "/>
    <x v="1"/>
    <s v="LEUKAEMIAS; CANCER; IMMUNOLOGY-TRANSPLANTATION"/>
    <x v="15"/>
    <d v="2017-03-31T00:00:00"/>
    <n v="0"/>
    <s v="mast cell, zebrafish, malignant progression"/>
  </r>
  <r>
    <x v="395"/>
    <s v="London Health Sciences Centre Res. Inc. (Ont.)"/>
    <x v="0"/>
    <x v="13"/>
    <s v="200903MOP"/>
    <x v="11"/>
    <s v="Continuous monitoring of cerebral blood flow and metabolism in the critically ill newborn"/>
    <n v="215912"/>
    <n v="0"/>
    <n v="0"/>
    <m/>
    <s v="3 yrs 0 mth "/>
    <x v="11"/>
    <s v="STROKE, HEART FAILURE; PERINATAL; IMAGING; BIOPHYSICS"/>
    <x v="4"/>
    <d v="2012-09-30T00:00:00"/>
    <n v="0"/>
    <s v="cerebral blood flow, metabolism, newborn"/>
  </r>
  <r>
    <x v="396"/>
    <s v="London Health Sciences Centre Res. Inc. (Ont.)"/>
    <x v="0"/>
    <x v="13"/>
    <s v="201003MOP"/>
    <x v="11"/>
    <s v="Development of a photoacoustic imaging system for lesion characterization during breast cancer diagnostics"/>
    <n v="557990"/>
    <n v="0"/>
    <n v="0"/>
    <m/>
    <s v="5 yrs 0 mth "/>
    <x v="1"/>
    <s v="BREAST CANCER; IMAGING; CANCER"/>
    <x v="5"/>
    <d v="2015-09-30T00:00:00"/>
    <n v="0"/>
    <s v="photoacoustic, imaging, breast cancer"/>
  </r>
  <r>
    <x v="397"/>
    <s v="London Health Sciences Centre Res. Inc. (Ont.)"/>
    <x v="0"/>
    <x v="13"/>
    <s v="201103MOP"/>
    <x v="11"/>
    <s v="Quantitative CT Myocardial Perfusion Imaging"/>
    <n v="456711"/>
    <n v="0"/>
    <n v="0"/>
    <m/>
    <s v="4 yrs 0 mth "/>
    <x v="11"/>
    <s v="CARDIOLOGY; MYOCARDIAL INFARCTION; IMAGING; CARDIOVASCULAR"/>
    <x v="23"/>
    <d v="2015-09-30T00:00:00"/>
    <n v="3"/>
    <s v="CT, Myocardial Perfusion, Imaging"/>
  </r>
  <r>
    <x v="395"/>
    <s v="London Health Sciences Centre Res. Inc. (Ont.)"/>
    <x v="0"/>
    <x v="13"/>
    <s v="201109MOP"/>
    <x v="11"/>
    <s v="Development of a Perfusion MRI Technique to Investigate Longitudinal Effects of Chronic Pain on Brain Function"/>
    <n v="451668"/>
    <n v="0"/>
    <n v="0"/>
    <m/>
    <s v="4 yrs 0 mth "/>
    <x v="3"/>
    <s v="CNS ORGANIC; IMAGING; NERVOUS SYSTEM"/>
    <x v="28"/>
    <d v="2016-03-31T00:00:00"/>
    <n v="0"/>
    <s v="Perfusion MRI, Chronic Pain, Brain Function"/>
  </r>
  <r>
    <x v="395"/>
    <s v="London Health Sciences Centre Res. Inc. (Ont.)"/>
    <x v="0"/>
    <x v="13"/>
    <s v="201303MOP"/>
    <x v="11"/>
    <s v="Improving neurological outcome of intensive care by bedside monitoring of cerebral perfusion"/>
    <n v="459168"/>
    <n v="0"/>
    <n v="0"/>
    <m/>
    <s v="4 yrs 0 mth "/>
    <x v="11"/>
    <s v="STROKE, HEART FAILURE; NONE OF THE ABOVE; IMAGING; NERVOUS SYSTEM"/>
    <x v="24"/>
    <d v="2018-03-31T00:00:00"/>
    <n v="0"/>
    <s v="neurological, perfusion, monitoring"/>
  </r>
  <r>
    <x v="398"/>
    <s v="McGill University"/>
    <x v="2"/>
    <x v="13"/>
    <s v="200810MOP"/>
    <x v="14"/>
    <s v="The Role of Systemic Inflammation in Esophageal Cancer Metastasis: Exploring Neutrophil Dependent and Independent Mechanisms"/>
    <n v="94265"/>
    <n v="0"/>
    <n v="0"/>
    <m/>
    <s v="1 yr 0 mth "/>
    <x v="1"/>
    <s v="GASTRO-INTESTINAL CANCER; NEOPLASMS; CANCER; CELL BIOLOGY"/>
    <x v="3"/>
    <d v="2010-02-28T00:00:00"/>
    <n v="0"/>
    <s v="Systemic Inflammation, Esophageal Cancer, Metastasis"/>
  </r>
  <r>
    <x v="399"/>
    <s v="McGill University"/>
    <x v="2"/>
    <x v="13"/>
    <s v="200809MOP"/>
    <x v="6"/>
    <s v="Role of the AMP-activated protein kinase (AMPK) in stress resistance and cancer"/>
    <n v="533730"/>
    <n v="0"/>
    <n v="0"/>
    <m/>
    <s v="4 yrs 0 mth "/>
    <x v="1"/>
    <s v="CANCER THERAPY GENERAL; AGING; CANCER"/>
    <x v="10"/>
    <d v="2013-03-31T00:00:00"/>
    <n v="0"/>
    <s v="AMP-activated protein kinase, stress resistance, cancer"/>
  </r>
  <r>
    <x v="400"/>
    <s v="McGill University"/>
    <x v="2"/>
    <x v="13"/>
    <s v="200809MOP"/>
    <x v="11"/>
    <s v="High field imaging of focal epilepsy"/>
    <n v="393809"/>
    <n v="0"/>
    <n v="0"/>
    <m/>
    <s v="4 yrs 0 mth "/>
    <x v="3"/>
    <s v="EPILEPSY; IMAGING; NERVOUS SYSTEM"/>
    <x v="10"/>
    <d v="2013-03-31T00:00:00"/>
    <n v="0"/>
    <s v="high field, imaging, epilepsy"/>
  </r>
  <r>
    <x v="401"/>
    <s v="McGill University"/>
    <x v="2"/>
    <x v="13"/>
    <s v="200903MOP"/>
    <x v="12"/>
    <s v="Image guided neurosurgery: Improving guidance during spinal surgery."/>
    <n v="503702"/>
    <n v="0"/>
    <n v="0"/>
    <m/>
    <s v="3 yrs 0 mth "/>
    <x v="0"/>
    <s v="MUSCULO SKELETAL; SPINAL CORD DISEASE; NERVOUS SYSTEM; IMAGING"/>
    <x v="4"/>
    <d v="2012-09-30T00:00:00"/>
    <n v="0"/>
    <s v="Image, neurosurgery, guidance"/>
  </r>
  <r>
    <x v="402"/>
    <s v="McGill University"/>
    <x v="2"/>
    <x v="13"/>
    <s v="200903MOP"/>
    <x v="12"/>
    <s v="Adaptive stimulation strategies for the treatment of epileptic syndromes in vivo"/>
    <n v="180000"/>
    <n v="0"/>
    <n v="0"/>
    <m/>
    <s v="3 yrs 0 mth "/>
    <x v="3"/>
    <s v="EPILEPSY; NERVOUS SYSTEM"/>
    <x v="4"/>
    <d v="2012-09-30T00:00:00"/>
    <n v="0"/>
    <s v="adaptive, stimulation, epileptic"/>
  </r>
  <r>
    <x v="403"/>
    <s v="McGill University"/>
    <x v="2"/>
    <x v="13"/>
    <s v="200903MOP"/>
    <x v="12"/>
    <s v="Neural Encoding in the Visual Cortex: Engineering Principles for Advanced Neural Prosthetics"/>
    <n v="370776"/>
    <n v="0"/>
    <n v="0"/>
    <m/>
    <s v="4 yrs 0 mth "/>
    <x v="3"/>
    <s v="MULTIDISCIPLINARY; CNS ORGANIC; NERVOUS SYSTEM; VISION"/>
    <x v="4"/>
    <d v="2013-09-30T00:00:00"/>
    <n v="0"/>
    <s v="Neural encoding, visual cortex, neural prosthetics"/>
  </r>
  <r>
    <x v="404"/>
    <s v="McGill University"/>
    <x v="2"/>
    <x v="13"/>
    <s v="200903MOP"/>
    <x v="6"/>
    <s v="Transcription and Translesion Synthesis"/>
    <n v="699673"/>
    <n v="0"/>
    <n v="0"/>
    <m/>
    <s v="5 yrs 0 mth "/>
    <x v="1"/>
    <s v="NEOPLASMS; NONE OF THE ABOVE; MOLECULAR BIOLOGY; CANCER"/>
    <x v="4"/>
    <d v="2014-09-30T00:00:00"/>
    <n v="1"/>
    <s v="Transcription, Translesion Synthesis"/>
  </r>
  <r>
    <x v="405"/>
    <s v="McGill University"/>
    <x v="2"/>
    <x v="13"/>
    <s v="200909MOP"/>
    <x v="14"/>
    <s v="Co-targeting parathyroid-hormone related protein (PTHrP) signaling and osteoclast activation to counter breast cancer metastasis to bone"/>
    <n v="506268"/>
    <n v="0"/>
    <n v="0"/>
    <m/>
    <s v="4 yrs 0 mth "/>
    <x v="0"/>
    <s v="BREAST CANCER; BONE CANCER"/>
    <x v="22"/>
    <d v="2014-03-31T00:00:00"/>
    <n v="0"/>
    <s v="PTHrP, osteoclast, metastasis"/>
  </r>
  <r>
    <x v="406"/>
    <s v="McGill University"/>
    <x v="2"/>
    <x v="13"/>
    <s v="200909MOP"/>
    <x v="14"/>
    <s v="Role of the microenvironment in liver metastasis"/>
    <n v="622074"/>
    <n v="0"/>
    <n v="0"/>
    <m/>
    <s v="5 yrs 0 mth "/>
    <x v="1"/>
    <s v="NEOPLASMS; GASTRO-INTESTINAL CANCER; CANCER; MOLECULAR BIOLOGY"/>
    <x v="22"/>
    <d v="2015-03-31T00:00:00"/>
    <n v="1"/>
    <s v="microenvironment, liver, metastasis"/>
  </r>
  <r>
    <x v="407"/>
    <s v="McGill University"/>
    <x v="2"/>
    <x v="13"/>
    <s v="200909MOP"/>
    <x v="11"/>
    <s v="Quantitative magnetic resonance imaging of multiple sclerosis"/>
    <n v="805242"/>
    <n v="0"/>
    <n v="0"/>
    <m/>
    <s v="5 yrs 0 mth "/>
    <x v="3"/>
    <s v="MULTIPLE SCLEROSIS; MULTIPLE DISEASE RELEVANCE; IMAGING; NERVOUS SYSTEM"/>
    <x v="22"/>
    <d v="2015-03-31T00:00:00"/>
    <n v="0"/>
    <s v="magnetic resonance imaging, multiple sclerosis"/>
  </r>
  <r>
    <x v="408"/>
    <s v="McGill University"/>
    <x v="2"/>
    <x v="13"/>
    <s v="201003MOP"/>
    <x v="13"/>
    <s v="Modelling Translation Inhibition as Cancer Therapy"/>
    <n v="797054"/>
    <n v="0"/>
    <n v="0"/>
    <m/>
    <s v="5 yrs 0 mth "/>
    <x v="1"/>
    <s v="NEOPLASMS; LEUKAEMIAS; CANCER; GENETICS"/>
    <x v="5"/>
    <d v="2015-09-30T00:00:00"/>
    <n v="2"/>
    <s v="Translation, Inhibition, Cancer"/>
  </r>
  <r>
    <x v="409"/>
    <s v="McGill University"/>
    <x v="2"/>
    <x v="13"/>
    <s v="201003MOP"/>
    <x v="11"/>
    <s v="Magnetic resonance imaging of epilepsy"/>
    <n v="704014"/>
    <n v="0"/>
    <n v="0"/>
    <m/>
    <s v="5 yrs 0 mth "/>
    <x v="3"/>
    <s v="EPILEPSY; IMAGING; NERVOUS SYSTEM"/>
    <x v="5"/>
    <d v="2015-09-30T00:00:00"/>
    <n v="0"/>
    <s v="Magnetic resonance imaging, epilepsy"/>
  </r>
  <r>
    <x v="410"/>
    <s v="McGill University"/>
    <x v="2"/>
    <x v="13"/>
    <s v="201009MOP"/>
    <x v="11"/>
    <s v="Development and validation of MRI biomarkers for diagnosis and prognosis of prodromal Alzheimer's disease"/>
    <n v="383741"/>
    <n v="0"/>
    <n v="0"/>
    <m/>
    <s v="3 yrs 0 mth "/>
    <x v="3"/>
    <s v="ALZHEIMER'S DISEASE; MULTIDISCIPLINARY; AGING; IMAGING"/>
    <x v="27"/>
    <d v="2014-03-31T00:00:00"/>
    <n v="1"/>
    <s v="MRI, biomarkers, Alzheimer's"/>
  </r>
  <r>
    <x v="411"/>
    <s v="McGill University"/>
    <x v="2"/>
    <x v="13"/>
    <s v="201103MOP"/>
    <x v="13"/>
    <s v="Tumour suppressor mediated mechanisms of angiogenesis inhibition"/>
    <n v="377699"/>
    <n v="0"/>
    <n v="0"/>
    <m/>
    <s v="3 yrs 0 mth "/>
    <x v="1"/>
    <s v="CANCER THERAPY GENERAL; LUNG CANCER"/>
    <x v="23"/>
    <d v="2014-09-30T00:00:00"/>
    <n v="0"/>
    <s v="tumour suppressor, angiogenesis"/>
  </r>
  <r>
    <x v="398"/>
    <s v="McGill University"/>
    <x v="2"/>
    <x v="13"/>
    <s v="201103MOP"/>
    <x v="13"/>
    <s v="Acute bacterial infection promotes cancer metastasis through toll like receptor signal transduction"/>
    <n v="497573"/>
    <n v="0"/>
    <n v="0"/>
    <m/>
    <s v="4 yrs 0 mth "/>
    <x v="1"/>
    <s v="LUNG CANCER; PNEUMONIA; CANCER"/>
    <x v="23"/>
    <d v="2015-09-30T00:00:00"/>
    <n v="0"/>
    <s v="bacterial infection, toll like receptor, metastasis"/>
  </r>
  <r>
    <x v="412"/>
    <s v="McGill University"/>
    <x v="2"/>
    <x v="13"/>
    <s v="201109MOP"/>
    <x v="12"/>
    <s v="Endothelial Cell Biomechanics: The mechanotransduction of wall shear stress gradients"/>
    <n v="433200"/>
    <n v="0"/>
    <n v="0"/>
    <m/>
    <s v="4 yrs 0 mth "/>
    <x v="11"/>
    <s v="MULTIDISCIPLINARY; ATHEROSCLEROSIS; BIOPHYSICS; CARDIOVASCULAR"/>
    <x v="28"/>
    <d v="2016-03-31T00:00:00"/>
    <n v="0"/>
    <s v="Endothelial cells, Biomechanics, Mechanotransduction"/>
  </r>
  <r>
    <x v="413"/>
    <s v="McGill University"/>
    <x v="2"/>
    <x v="13"/>
    <s v="201109MOP"/>
    <x v="13"/>
    <s v="CEACAM1 in colon cancer progression and metastasis"/>
    <n v="834100"/>
    <n v="0"/>
    <n v="0"/>
    <m/>
    <s v="5 yrs 0 mth "/>
    <x v="1"/>
    <s v="GASTRO-INTESTINAL CANCER; GASTRO-INTESTINAL CANCER THERAPY; CANCER; CELL BIOLOGY"/>
    <x v="28"/>
    <d v="2017-03-31T00:00:00"/>
    <n v="0"/>
    <s v="CEACAM1, colon cancer, metastasis"/>
  </r>
  <r>
    <x v="414"/>
    <s v="McGill University"/>
    <x v="2"/>
    <x v="13"/>
    <s v="201109MOP"/>
    <x v="13"/>
    <s v="GPNMB as an emerging therapeutic target in metastatic breast cancer"/>
    <n v="729830"/>
    <n v="0"/>
    <n v="0"/>
    <m/>
    <s v="5 yrs 0 mth "/>
    <x v="1"/>
    <s v="BREAST CANCER; BREAST CANCER THERAPY; CANCER; MOLECULAR BIOLOGY"/>
    <x v="28"/>
    <d v="2017-03-31T00:00:00"/>
    <n v="0"/>
    <s v="GPNMB, metastatic breast cancer, therapeutic target"/>
  </r>
  <r>
    <x v="407"/>
    <s v="McGill University"/>
    <x v="2"/>
    <x v="13"/>
    <s v="201109MOP"/>
    <x v="11"/>
    <s v="Functional MRI of Brain Physiology"/>
    <n v="829562"/>
    <n v="0"/>
    <n v="0"/>
    <m/>
    <s v="5 yrs 0 mth "/>
    <x v="3"/>
    <s v="STROKE, HEART FAILURE; MULTIPLE DISEASE RELEVANCE; IMAGING; NERVOUS SYSTEM"/>
    <x v="28"/>
    <d v="2017-03-31T00:00:00"/>
    <n v="0"/>
    <s v="Functional MRI, Brain Physiology"/>
  </r>
  <r>
    <x v="415"/>
    <s v="McGill University"/>
    <x v="2"/>
    <x v="13"/>
    <s v="201209MOP"/>
    <x v="13"/>
    <s v="Blood-based protein test for early detection of breast cancer using antibody colocalization microarrays"/>
    <n v="210140"/>
    <n v="0"/>
    <n v="0"/>
    <m/>
    <s v="2 yrs 0 mth "/>
    <x v="8"/>
    <s v="BREAST CANCER; MULTIDISCIPLINARY; GENOMICS, PROTEOMICS, AND BIOINFORMATICS"/>
    <x v="15"/>
    <d v="2015-03-31T00:00:00"/>
    <n v="2"/>
    <s v="blood, protein, breast cancer"/>
  </r>
  <r>
    <x v="399"/>
    <s v="McGill University"/>
    <x v="2"/>
    <x v="13"/>
    <s v="201209MOP"/>
    <x v="6"/>
    <s v="Regulation of tumourigenesis and tumour cell metabolism by the energy sensor AMPK"/>
    <n v="797450"/>
    <n v="0"/>
    <n v="0"/>
    <m/>
    <s v="5 yrs 0 mth "/>
    <x v="1"/>
    <s v="CANCER THERAPY GENERAL; LEUKAEMIAS; CANCER; CELL BIOLOGY"/>
    <x v="15"/>
    <d v="2018-03-31T00:00:00"/>
    <n v="1"/>
    <s v="tumourigenesis, cell metabolism, AMPK"/>
  </r>
  <r>
    <x v="416"/>
    <s v="McGill University"/>
    <x v="2"/>
    <x v="13"/>
    <s v="201303MOP"/>
    <x v="6"/>
    <s v="FBW7-dependent regulation of cMYC and MXD1 function by the vitamin D receptor"/>
    <n v="380219"/>
    <n v="0"/>
    <n v="0"/>
    <m/>
    <s v="3 yrs 0 mth "/>
    <x v="1"/>
    <s v="CANCER THERAPY GENERAL; ENDOCRINOLOGY; MOLECULAR BIOLOGY; CELL BIOLOGY"/>
    <x v="24"/>
    <d v="2016-09-30T00:00:00"/>
    <n v="0"/>
    <s v="FBW7, cMYC, vitamin D receptor"/>
  </r>
  <r>
    <x v="417"/>
    <s v="McGill University"/>
    <x v="2"/>
    <x v="13"/>
    <s v="201303MOP"/>
    <x v="6"/>
    <s v="Role of Gata3 in prostate stem cells and cancer"/>
    <n v="767453"/>
    <n v="0"/>
    <n v="0"/>
    <m/>
    <s v="5 yrs 0 mth "/>
    <x v="1"/>
    <s v="PROSTATE AND BLADDER CANCER; GENITO/URINARY SYSTEM; CANCER; GENETICS"/>
    <x v="24"/>
    <d v="2018-09-30T00:00:00"/>
    <n v="0"/>
    <s v="Gata3, prostate, stem cells"/>
  </r>
  <r>
    <x v="418"/>
    <s v="McGill University"/>
    <x v="2"/>
    <x v="13"/>
    <s v="201303MOP"/>
    <x v="13"/>
    <s v="Drug resistance driven by SWI/SNF chromatin remodelers in lung cancer"/>
    <n v="815192"/>
    <n v="0"/>
    <n v="0"/>
    <m/>
    <s v="5 yrs 0 mth "/>
    <x v="1"/>
    <s v="CANCER THERAPY GENERAL; LUNG CANCER THERAPY; CANCER; GENETICS"/>
    <x v="24"/>
    <d v="2018-09-30T00:00:00"/>
    <n v="0"/>
    <s v="drug resistance, SWI/SNF, chromatin remodeling"/>
  </r>
  <r>
    <x v="419"/>
    <s v="McGill University"/>
    <x v="2"/>
    <x v="13"/>
    <s v="201303MOP"/>
    <x v="11"/>
    <s v="Magnetic Resonance Imaging of Multiple Sclerosis"/>
    <n v="698337"/>
    <n v="0"/>
    <n v="0"/>
    <m/>
    <s v="5 yrs 0 mth "/>
    <x v="3"/>
    <s v="MULTIPLE SCLEROSIS; IMAGING; NERVOUS SYSTEM"/>
    <x v="24"/>
    <d v="2018-09-30T00:00:00"/>
    <n v="0"/>
    <s v="Magnetic Resonance, Imaging, Multiple Sclerosis"/>
  </r>
  <r>
    <x v="420"/>
    <s v="McGill University"/>
    <x v="2"/>
    <x v="13"/>
    <s v="201303MOP"/>
    <x v="11"/>
    <s v="Electrical and metobolic analysis of human epileptogenic lesions"/>
    <n v="808834"/>
    <n v="0"/>
    <n v="0"/>
    <m/>
    <s v="5 yrs 0 mth "/>
    <x v="3"/>
    <s v="EPILEPSY; NERVOUS SYSTEM; IMAGING"/>
    <x v="24"/>
    <d v="2015-06-30T00:00:00"/>
    <n v="0"/>
    <s v="Electrical, metabolic, epileptogenic"/>
  </r>
  <r>
    <x v="421"/>
    <s v="McGill University"/>
    <x v="2"/>
    <x v="13"/>
    <s v="201309MOP"/>
    <x v="11"/>
    <s v="Nanoparticle-aided radiation therapy with scintillating high Z materials"/>
    <n v="325851"/>
    <n v="0"/>
    <n v="0"/>
    <m/>
    <s v="3 yrs 0 mth "/>
    <x v="1"/>
    <s v="CANCER THERAPY GENERAL; CANCER; BIOPHYSICS"/>
    <x v="11"/>
    <d v="2017-03-31T00:00:00"/>
    <n v="0"/>
    <s v="nanoparticle, radiation, scintillating"/>
  </r>
  <r>
    <x v="422"/>
    <s v="McGill University"/>
    <x v="2"/>
    <x v="13"/>
    <s v="201309MOP"/>
    <x v="11"/>
    <s v="Multimodal identification of the neurovascular coupling within the epileptogenic network"/>
    <n v="486582"/>
    <n v="0"/>
    <n v="0"/>
    <m/>
    <s v="4 yrs 0 mth "/>
    <x v="3"/>
    <s v="EPILEPSY; IMAGING; NERVOUS SYSTEM"/>
    <x v="11"/>
    <d v="2018-03-31T00:00:00"/>
    <n v="0"/>
    <s v="neurovascular, coupling, epileptogenic"/>
  </r>
  <r>
    <x v="423"/>
    <s v="McGill University"/>
    <x v="2"/>
    <x v="13"/>
    <s v="201309MOP"/>
    <x v="14"/>
    <s v="Identification of PI-3K coupled signalling pathways involved in mammary tumour progression: Implication for resistance to targeted therapy."/>
    <n v="841225"/>
    <n v="0"/>
    <n v="0"/>
    <m/>
    <s v="5 yrs 0 mth "/>
    <x v="1"/>
    <s v="BREAST CANCER; BREAST CANCER THERAPY; CANCER; MOLECULAR BIOLOGY"/>
    <x v="11"/>
    <d v="2016-06-30T00:00:00"/>
    <n v="0"/>
    <s v="PI-3K, signalling pathways, mammary tumor"/>
  </r>
  <r>
    <x v="414"/>
    <s v="McGill University"/>
    <x v="2"/>
    <x v="13"/>
    <s v="201403MOP"/>
    <x v="14"/>
    <s v="Claudin-2 as a Prognostic and Therapeutic Target in Breast Cancer Liver Metastasis"/>
    <n v="761594"/>
    <n v="0"/>
    <n v="0"/>
    <m/>
    <s v="5 yrs 0 mth "/>
    <x v="1"/>
    <s v="BREAST CANCER; BREAST CANCER THERAPY; CANCER; MOLECULAR BIOLOGY"/>
    <x v="29"/>
    <d v="2019-06-30T00:00:00"/>
    <n v="0"/>
    <s v="Claudin-2, Breast Cancer, Liver Metastasis"/>
  </r>
  <r>
    <x v="404"/>
    <s v="McGill University"/>
    <x v="2"/>
    <x v="13"/>
    <s v="201403MOP"/>
    <x v="6"/>
    <s v="Structure/Function Analysis of Cut Repeat Domains in Base Excision Repair"/>
    <n v="604954"/>
    <n v="0"/>
    <n v="0"/>
    <m/>
    <s v="5 yrs 0 mth "/>
    <x v="1"/>
    <s v="NEOPLASMS; CANCER THERAPY GENERAL; MOLECULAR BIOLOGY; CELL BIOLOGY"/>
    <x v="26"/>
    <d v="2019-09-30T00:00:00"/>
    <n v="0"/>
    <s v="Base Excision Repair, Cut Repeat Domains, Structure-Function"/>
  </r>
  <r>
    <x v="424"/>
    <s v="McGill University"/>
    <x v="2"/>
    <x v="13"/>
    <s v="201503MOP"/>
    <x v="12"/>
    <s v="Endothelial progenitor cell adhesion to biomimetic vascular substitutes"/>
    <n v="576284"/>
    <n v="0"/>
    <n v="0"/>
    <m/>
    <s v="5 yrs 0 mth "/>
    <x v="11"/>
    <s v="ATHEROSCLEROSIS; STROKE, HEART FAILURE; CARDIOVASCULAR; CELL BIOLOGY"/>
    <x v="25"/>
    <d v="2020-06-30T00:00:00"/>
    <n v="0"/>
    <s v="endothelial, progenitor, biomimetic"/>
  </r>
  <r>
    <x v="425"/>
    <s v="McGill University"/>
    <x v="2"/>
    <x v="13"/>
    <s v="201503MOP"/>
    <x v="6"/>
    <s v="The PRL-CNNM-Magnesium cascade, a new paradigm in oncogenesis."/>
    <n v="778857"/>
    <n v="0"/>
    <n v="0"/>
    <m/>
    <s v="5 yrs 0 mth "/>
    <x v="1"/>
    <s v="CANCER THERAPY GENERAL; BREAST CANCER; CANCER; CELL BIOLOGY"/>
    <x v="25"/>
    <d v="2018-06-30T00:00:00"/>
    <n v="0"/>
    <s v="PRL-CNNM, Magnesium, oncogenesis"/>
  </r>
  <r>
    <x v="426"/>
    <s v="McGill University"/>
    <x v="2"/>
    <x v="13"/>
    <s v="201503MOP"/>
    <x v="11"/>
    <s v="Development of Novel Methods for Analyzing the Structure and Connectivity of the Human Basal Ganglia, Thalamus and Brainstem"/>
    <n v="645025"/>
    <n v="0"/>
    <n v="0"/>
    <m/>
    <s v="5 yrs 0 mth "/>
    <x v="6"/>
    <s v="PARKINSON'S DISEASE; MUSCULO SKELETAL; AGING; NERVOUS SYSTEM"/>
    <x v="25"/>
    <d v="2020-06-30T00:00:00"/>
    <n v="0"/>
    <s v="Basal Ganglia, Connectivity, Brainstem"/>
  </r>
  <r>
    <x v="427"/>
    <s v="McMaster University"/>
    <x v="0"/>
    <x v="13"/>
    <s v="200810MOP"/>
    <x v="6"/>
    <s v="Determining the fate of tumour cells killed by an oncolytic virus."/>
    <n v="100000"/>
    <n v="0"/>
    <n v="0"/>
    <m/>
    <s v="1 yr 0 mth "/>
    <x v="1"/>
    <s v="GASTRO-INTESTINAL CANCER THERAPY; BREAST CANCER THERAPY; CANCER; IMMUNOLOGY-TRANSPLANTATION"/>
    <x v="3"/>
    <d v="2010-02-28T00:00:00"/>
    <n v="0"/>
    <s v="oncolytic virus, tumour cells, fate"/>
  </r>
  <r>
    <x v="33"/>
    <s v="McMaster University"/>
    <x v="0"/>
    <x v="13"/>
    <s v="200810MOP"/>
    <x v="6"/>
    <s v="Developing RNA-cleaving DNAzymes as Molecular Tools for Cancer Study and as Cancer Therapeutics"/>
    <n v="89919"/>
    <n v="0"/>
    <n v="0"/>
    <m/>
    <s v="1 yr 0 mth "/>
    <x v="1"/>
    <s v="MULTIDISCIPLINARY; CANCER THERAPY GENERAL; BIOCHEMISTRY; CANCER"/>
    <x v="3"/>
    <d v="2009-09-30T00:00:00"/>
    <n v="0"/>
    <s v="RNA, DNAzymes, Cancer"/>
  </r>
  <r>
    <x v="428"/>
    <s v="McMaster University"/>
    <x v="0"/>
    <x v="13"/>
    <s v="200903MOP"/>
    <x v="11"/>
    <s v="CT Angiography Prediction of Vascular events In noncardiac Surgery patients cOhort evaluatioN (CTA-VISION)"/>
    <n v="467247"/>
    <n v="0"/>
    <n v="0"/>
    <m/>
    <s v="3 yrs 0 mth "/>
    <x v="11"/>
    <s v="CARDIOLOGY; CORONARY CIRCULATION (INCL. INSUFFICIENCY); HEALTH RESEARCH; IMAGING"/>
    <x v="4"/>
    <d v="2012-09-30T00:00:00"/>
    <n v="0"/>
    <s v="CT, Angiography, Vascular"/>
  </r>
  <r>
    <x v="33"/>
    <s v="McMaster University"/>
    <x v="0"/>
    <x v="13"/>
    <s v="200903MOP"/>
    <x v="6"/>
    <s v="Developing RNA-cleaving DNAzymes as Molecular Tools for Cancer Study and as Cancer Therapeutics"/>
    <n v="616690"/>
    <n v="0"/>
    <n v="0"/>
    <m/>
    <s v="5 yrs 0 mth "/>
    <x v="1"/>
    <s v="MULTIDISCIPLINARY; CANCER THERAPY GENERAL; BIOCHEMISTRY; CANCER"/>
    <x v="4"/>
    <d v="2014-09-30T00:00:00"/>
    <n v="0"/>
    <s v="RNA, DNAzymes, Cancer"/>
  </r>
  <r>
    <x v="429"/>
    <s v="McMaster University"/>
    <x v="0"/>
    <x v="13"/>
    <s v="201009MOP"/>
    <x v="6"/>
    <s v="CAR-engineered CD4+ T cells for tumor immunotherapy"/>
    <n v="406695"/>
    <n v="0"/>
    <n v="0"/>
    <m/>
    <s v="3 yrs 0 mth "/>
    <x v="1"/>
    <s v="CANCER THERAPY GENERAL; BREAST CANCER THERAPY; CANCER; IMMUNOLOGY-TRANSPLANTATION"/>
    <x v="27"/>
    <d v="2014-03-31T00:00:00"/>
    <n v="9"/>
    <s v="CAR, CD4+, T cells"/>
  </r>
  <r>
    <x v="430"/>
    <s v="McMaster University"/>
    <x v="0"/>
    <x v="13"/>
    <s v="201103MOP"/>
    <x v="11"/>
    <s v="On the development of bone quality parameters for assessing osteoporosis using peripheral quantitative computed tomography"/>
    <n v="657828"/>
    <n v="0"/>
    <n v="0"/>
    <m/>
    <s v="5 yrs 0 mth "/>
    <x v="0"/>
    <s v="OSTEOPOROSIS; AGING; MUSCLE, BONE, OR JOINT; IMAGING"/>
    <x v="23"/>
    <d v="2016-09-30T00:00:00"/>
    <n v="0"/>
    <s v="bone, osteoporosis, computed tomography"/>
  </r>
  <r>
    <x v="431"/>
    <s v="McMaster University"/>
    <x v="0"/>
    <x v="13"/>
    <s v="201109MOP"/>
    <x v="6"/>
    <s v="Avoidance of Radiotherapy in Luminal A Breast Cancer"/>
    <n v="339130"/>
    <n v="0"/>
    <n v="0"/>
    <m/>
    <s v="2 yrs 0 mth "/>
    <x v="1"/>
    <s v="BREAST CANCER; BREAST CANCER THERAPY; CANCER; MOLECULAR BIOLOGY"/>
    <x v="28"/>
    <d v="2014-03-31T00:00:00"/>
    <n v="0"/>
    <s v="Radiotherapy, Luminal A, Breast Cancer"/>
  </r>
  <r>
    <x v="432"/>
    <s v="McMaster University"/>
    <x v="0"/>
    <x v="13"/>
    <s v="201203MOP"/>
    <x v="6"/>
    <s v="Potentiation of cancer immunotherapy by HDAC inhibition"/>
    <n v="724820"/>
    <n v="0"/>
    <n v="0"/>
    <m/>
    <s v="5 yrs 0 mth "/>
    <x v="1"/>
    <s v="CANCER THERAPY GENERAL; CANCER; IMMUNOLOGY-TRANSPLANTATION"/>
    <x v="21"/>
    <d v="2017-09-30T00:00:00"/>
    <n v="1"/>
    <s v="cancer, immunotherapy, HDAC"/>
  </r>
  <r>
    <x v="433"/>
    <s v="McMaster University"/>
    <x v="0"/>
    <x v="13"/>
    <s v="201209MOP"/>
    <x v="6"/>
    <s v="Functional Analysis of Proteins Involved in Telomere Maintenance and Genome Integrity"/>
    <n v="813505"/>
    <n v="0"/>
    <n v="0"/>
    <m/>
    <s v="5 yrs 0 mth "/>
    <x v="1"/>
    <s v="CANCER THERAPY GENERAL; AGING; CANCER"/>
    <x v="15"/>
    <d v="2018-03-31T00:00:00"/>
    <n v="0"/>
    <s v="Proteins, Telomere, Genome"/>
  </r>
  <r>
    <x v="434"/>
    <s v="McMaster University"/>
    <x v="0"/>
    <x v="13"/>
    <s v="201303MOP"/>
    <x v="6"/>
    <s v="A phase II study to investigate combination of chemo-radiotherapy with metformin in patients with Locally Advanced Non-Small Cell Lung Cancer (LA-NSCLC)."/>
    <n v="568514"/>
    <n v="0"/>
    <n v="0"/>
    <m/>
    <s v="4 yrs 0 mth "/>
    <x v="1"/>
    <s v="LUNG CANCER THERAPY; CANCER THERAPY GENERAL; CANCER; HEALTH RESEARCH"/>
    <x v="24"/>
    <d v="2018-03-31T00:00:00"/>
    <n v="0"/>
    <s v="chemo-radiotherapy, metformin, lung cancer"/>
  </r>
  <r>
    <x v="435"/>
    <s v="McMaster University"/>
    <x v="0"/>
    <x v="13"/>
    <s v="201303MOP"/>
    <x v="6"/>
    <s v="Clonal evolution of medulloblastoma BTICs (brain tumor initiating cells) in response to therapy: Discovering the refractory BTIC population through genes regulating stem cell self-renewal"/>
    <n v="554057"/>
    <n v="0"/>
    <n v="0"/>
    <m/>
    <s v="5 yrs 0 mth "/>
    <x v="1"/>
    <s v="BRAIN TUMORS (INCL. RETINAL TUMORS); BRAIN TUMORS THERAPY; CANCER; MOLECULAR BIOLOGY"/>
    <x v="24"/>
    <d v="2018-09-30T00:00:00"/>
    <n v="2"/>
    <s v="medulloblastoma, BTICs, stem cell"/>
  </r>
  <r>
    <x v="436"/>
    <s v="McMaster University"/>
    <x v="0"/>
    <x v="13"/>
    <s v="201403MOP"/>
    <x v="14"/>
    <s v="Regulation of stromal cell support of cancer in lungs"/>
    <n v="334403"/>
    <n v="0"/>
    <n v="0"/>
    <m/>
    <s v="3 yrs 0 mth "/>
    <x v="1"/>
    <s v="LUNG CANCER THERAPY; CANCER THERAPY GENERAL; CANCER; RESPIRATION"/>
    <x v="29"/>
    <d v="2017-06-30T00:00:00"/>
    <n v="0"/>
    <s v="stromal cells, cancer, lungs"/>
  </r>
  <r>
    <x v="437"/>
    <s v="McMaster University"/>
    <x v="0"/>
    <x v="13"/>
    <s v="201403MOP"/>
    <x v="6"/>
    <s v="Prophylactic Antibiotic Regimens in Tumor Surgery (PARITY): A Multi-Center Randomized Controlled Trial"/>
    <n v="913568"/>
    <n v="0"/>
    <n v="0"/>
    <m/>
    <s v="5 yrs 0 mth "/>
    <x v="1"/>
    <s v="BONE CANCER THERAPY; BONE CANCER; CANCER; MUSCLE, BONE, OR JOINT"/>
    <x v="29"/>
    <d v="2019-06-30T00:00:00"/>
    <n v="0"/>
    <s v="Antibiotic, Tumor, Surgery"/>
  </r>
  <r>
    <x v="438"/>
    <s v="McMaster University"/>
    <x v="0"/>
    <x v="13"/>
    <s v="201503MOP"/>
    <x v="14"/>
    <s v="Mechanism of action of drugs affecting serotonin signalling in breast cancer stem cells"/>
    <n v="664508"/>
    <n v="0"/>
    <n v="0"/>
    <m/>
    <s v="4 yrs 0 mth "/>
    <x v="1"/>
    <s v="BREAST CANCER; CANCER THERAPY GENERAL; CANCER; MOLECULAR BIOLOGY"/>
    <x v="25"/>
    <d v="2019-06-30T00:00:00"/>
    <n v="0"/>
    <s v="serotonin, breast cancer, stem cells"/>
  </r>
  <r>
    <x v="439"/>
    <s v="Ottawa Heart Institute Research Corporation (Ontario)"/>
    <x v="0"/>
    <x v="13"/>
    <s v="201303MOP"/>
    <x v="12"/>
    <s v="Optimizing Signaling, Cells, and Host Environment in Matrix-based Cardiac Regenerative Therapy: Towards Pre-clinical Application"/>
    <n v="619261"/>
    <n v="0"/>
    <n v="0"/>
    <m/>
    <s v="5 yrs 0 mth "/>
    <x v="11"/>
    <s v="CARDIOLOGY; CARDIOVASCULAR"/>
    <x v="24"/>
    <d v="2018-09-30T00:00:00"/>
    <n v="1"/>
    <s v="Signaling, Cells, Cardiac"/>
  </r>
  <r>
    <x v="440"/>
    <s v="Ottawa Heart Institute Research Corporation (Ontario)"/>
    <x v="0"/>
    <x v="13"/>
    <s v="201309MOP"/>
    <x v="11"/>
    <s v="Translational Imaging of Coronary Endothelial Function with Positron Tomography"/>
    <n v="391460"/>
    <n v="0"/>
    <n v="0"/>
    <m/>
    <s v="4 yrs 0 mth "/>
    <x v="11"/>
    <s v="ATHEROSCLEROSIS; CORONARY CIRCULATION (INCL. INSUFFICIENCY); CARDIOVASCULAR; IMAGING"/>
    <x v="11"/>
    <d v="2018-03-31T00:00:00"/>
    <n v="0"/>
    <s v="Imaging, Coronary, Positron"/>
  </r>
  <r>
    <x v="441"/>
    <s v="Ottawa Hospital Research Institute"/>
    <x v="0"/>
    <x v="13"/>
    <s v="201003MOP"/>
    <x v="14"/>
    <s v="The Use of Extended Peri-operative Low Molecular Weight Heparin to Improve Cancer Specific Survival Following Surgical Resection of Colon Cancer: A Randomized Controlled Trial"/>
    <n v="816176"/>
    <n v="0"/>
    <n v="0"/>
    <m/>
    <s v="4 yrs 0 mth "/>
    <x v="1"/>
    <s v="GASTRO-INTESTINAL CANCER; CLOTTING DEFECTS/THROMBOSIS; CANCER; HEALTH RESEARCH"/>
    <x v="5"/>
    <d v="2014-09-30T00:00:00"/>
    <n v="0"/>
    <s v="Heparin, Cancer, Surgery"/>
  </r>
  <r>
    <x v="442"/>
    <s v="Ottawa Hospital Research Institute"/>
    <x v="0"/>
    <x v="13"/>
    <s v="201009MOP"/>
    <x v="14"/>
    <s v="Evaluation of protein kinase C iota as a target for glioblastoma therapy"/>
    <n v="326658"/>
    <n v="0"/>
    <n v="0"/>
    <m/>
    <s v="3 yrs 0 mth "/>
    <x v="1"/>
    <s v="BRAIN TUMORS THERAPY; CANCER THERAPY GENERAL; CANCER; CELL BIOLOGY"/>
    <x v="27"/>
    <d v="2014-03-31T00:00:00"/>
    <n v="0"/>
    <s v="protein kinase C, glioblastoma, target"/>
  </r>
  <r>
    <x v="443"/>
    <s v="Ottawa Hospital Research Institute"/>
    <x v="0"/>
    <x v="13"/>
    <s v="201309MOP"/>
    <x v="6"/>
    <s v="Targeting the mevalonate pathway in novel combination based therapeutic approaches"/>
    <n v="349842"/>
    <n v="0"/>
    <n v="0"/>
    <m/>
    <s v="3 yrs 0 mth "/>
    <x v="1"/>
    <s v="CANCER THERAPY GENERAL; NEOPLASMS; CANCER; BIOCHEMISTRY"/>
    <x v="11"/>
    <d v="2017-03-31T00:00:00"/>
    <n v="0"/>
    <s v="mevalonate pathway, combination therapy"/>
  </r>
  <r>
    <x v="444"/>
    <s v="Ottawa Hospital Research Institute"/>
    <x v="0"/>
    <x v="13"/>
    <s v="201309MOP"/>
    <x v="6"/>
    <s v="Genomic Analysis of Rhabdomyosarcoma Tumor Initiating Cells"/>
    <n v="1207800"/>
    <n v="0"/>
    <n v="0"/>
    <m/>
    <s v="5 yrs 0 mth "/>
    <x v="1"/>
    <s v="MUSCULO SKELETAL; NEOPLASMS; GENOMICS, PROTEOMICS, AND BIOINFORMATICS; CANCER"/>
    <x v="11"/>
    <d v="2016-06-30T00:00:00"/>
    <n v="1"/>
    <s v="Genomic, Rhabdomyosarcoma, Tumor Cells"/>
  </r>
  <r>
    <x v="442"/>
    <s v="Ottawa Hospital Research Institute"/>
    <x v="0"/>
    <x v="13"/>
    <s v="201403MOP"/>
    <x v="14"/>
    <s v="Evaluation of protein kinase C iota as a target for glioblastoma therapy"/>
    <n v="567572"/>
    <n v="0"/>
    <n v="0"/>
    <m/>
    <s v="4 yrs 0 mth "/>
    <x v="1"/>
    <s v="BRAIN TUMORS THERAPY; CANCER THERAPY GENERAL; CANCER; CELL BIOLOGY"/>
    <x v="29"/>
    <d v="2018-06-30T00:00:00"/>
    <n v="0"/>
    <s v="protein kinase C, glioblastoma, target"/>
  </r>
  <r>
    <x v="445"/>
    <s v="Ottawa Hospital Research Institute"/>
    <x v="0"/>
    <x v="13"/>
    <s v="201503MOP"/>
    <x v="6"/>
    <s v="The role of PCL2/PRC2 in hematopoietic stem cells and leukemia"/>
    <n v="1163874"/>
    <n v="0"/>
    <n v="0"/>
    <m/>
    <s v="5 yrs 0 mth "/>
    <x v="1"/>
    <s v="BLOOD; LEUKAEMIAS; CANCER"/>
    <x v="25"/>
    <d v="2021-06-30T00:00:00"/>
    <n v="1"/>
    <s v="PCL2, PRC2, hematopoietic stem cells"/>
  </r>
  <r>
    <x v="446"/>
    <s v="Polytechnique Montréal"/>
    <x v="2"/>
    <x v="13"/>
    <s v="201103MOP"/>
    <x v="12"/>
    <s v="Mechanisms and optimisation of marrow stimulated cartilage repair"/>
    <n v="558505"/>
    <n v="0"/>
    <n v="0"/>
    <m/>
    <s v="5 yrs 0 mth "/>
    <x v="0"/>
    <s v="ARTHRITIS/OSTEOARTHRITIS; INJURY, REGENERATION; MUSCLE, BONE, OR JOINT"/>
    <x v="23"/>
    <d v="2016-09-30T00:00:00"/>
    <n v="0"/>
    <s v="marrow, cartilage, repair"/>
  </r>
  <r>
    <x v="446"/>
    <s v="Polytechnique Montréal"/>
    <x v="2"/>
    <x v="13"/>
    <s v="201109MOP"/>
    <x v="12"/>
    <s v="Polymer-based Gene Delivery for Rheumatoid Arthritis"/>
    <n v="361539"/>
    <n v="0"/>
    <n v="0"/>
    <m/>
    <s v="3 yrs 0 mth "/>
    <x v="0"/>
    <s v="ARTHRITIS/OSTEOARTHRITIS; MUSCLE, BONE, OR JOINT"/>
    <x v="28"/>
    <d v="2015-03-31T00:00:00"/>
    <n v="3"/>
    <s v="Polymer, Gene Delivery, Rheumatoid Arthritis"/>
  </r>
  <r>
    <x v="34"/>
    <s v="Polytechnique Montréal"/>
    <x v="2"/>
    <x v="13"/>
    <s v="201203MOP"/>
    <x v="11"/>
    <s v="Functionalized nanoparticles applied to photoacoustic molecular imaging of atherosclerotic plaque."/>
    <n v="424935"/>
    <n v="0"/>
    <n v="0"/>
    <m/>
    <s v="5 yrs 0 mth "/>
    <x v="11"/>
    <s v="ATHEROSCLEROSIS; CLOTTING DEFECTS/THROMBOSIS"/>
    <x v="21"/>
    <d v="2017-09-30T00:00:00"/>
    <n v="0"/>
    <s v="nanoparticles, photoacoustic, imaging"/>
  </r>
  <r>
    <x v="34"/>
    <s v="Polytechnique Montréal"/>
    <x v="2"/>
    <x v="13"/>
    <s v="201303MOP"/>
    <x v="11"/>
    <s v="Microscopic underpinnings of brain oxygen delivery with aging."/>
    <n v="554138"/>
    <n v="0"/>
    <n v="0"/>
    <m/>
    <s v="5 yrs 0 mth "/>
    <x v="6"/>
    <s v="AGING; ATHEROSCLEROSIS; BIOPHYSICS"/>
    <x v="24"/>
    <d v="2018-09-30T00:00:00"/>
    <n v="0"/>
    <s v="brain, oxygen, delivery"/>
  </r>
  <r>
    <x v="447"/>
    <s v="Polytechnique Montréal"/>
    <x v="2"/>
    <x v="13"/>
    <s v="201309MOP"/>
    <x v="12"/>
    <s v="Defining therapeutic inflammation for cartilage repair"/>
    <n v="658035"/>
    <n v="0"/>
    <n v="0"/>
    <m/>
    <s v="5 yrs 0 mth "/>
    <x v="0"/>
    <s v="ARTHRITIS/OSTEOARTHRITIS; INJURY, REGENERATION"/>
    <x v="11"/>
    <d v="2019-03-31T00:00:00"/>
    <n v="2"/>
    <s v="therapeutic inflammation, cartilage repair"/>
  </r>
  <r>
    <x v="448"/>
    <s v="Polytechnique Montréal"/>
    <x v="2"/>
    <x v="13"/>
    <s v="201503MOP"/>
    <x v="11"/>
    <s v="Image-guided device interventions for arterial therapies in liver cancer"/>
    <n v="334419"/>
    <n v="0"/>
    <n v="0"/>
    <m/>
    <s v="3 yrs 0 mth "/>
    <x v="1"/>
    <s v="LIVER DISEASE; IMAGING; CANCER"/>
    <x v="25"/>
    <d v="2018-06-30T00:00:00"/>
    <n v="1"/>
    <s v="image-guided, device, liver cancer"/>
  </r>
  <r>
    <x v="449"/>
    <s v="Queen's University (Kingston, Ontario)"/>
    <x v="0"/>
    <x v="13"/>
    <s v="200809MOP"/>
    <x v="14"/>
    <s v="Nitric oxide-mediated inhibition of hypoxia-induced immune escape in cancer"/>
    <n v="529669"/>
    <n v="0"/>
    <n v="0"/>
    <m/>
    <s v="3 yrs 0 mth "/>
    <x v="1"/>
    <s v="CANCER THERAPY GENERAL; NONE OF THE ABOVE; CELL BIOLOGY; CANCER"/>
    <x v="10"/>
    <d v="2012-03-31T00:00:00"/>
    <n v="0"/>
    <s v="Nitric oxide, hypoxia, immune escape"/>
  </r>
  <r>
    <x v="450"/>
    <s v="Queen's University (Kingston, Ontario)"/>
    <x v="0"/>
    <x v="13"/>
    <s v="200903MOP"/>
    <x v="14"/>
    <s v="The role of microRNAs in Malignant Melanoma"/>
    <n v="397897"/>
    <n v="0"/>
    <n v="0"/>
    <m/>
    <s v="3 yrs 0 mth "/>
    <x v="1"/>
    <s v="CANCER THERAPY GENERAL; NONE OF THE ABOVE; CANCER; HEALTH RESEARCH"/>
    <x v="4"/>
    <d v="2012-09-30T00:00:00"/>
    <n v="0"/>
    <s v="microRNAs, Malignant Melanoma"/>
  </r>
  <r>
    <x v="451"/>
    <s v="Queen's University (Kingston, Ontario)"/>
    <x v="0"/>
    <x v="13"/>
    <s v="200909MOP"/>
    <x v="14"/>
    <s v="A novel Src/ezrin signalling network as a potential marker for breast cancer metastasis"/>
    <n v="487301"/>
    <n v="0"/>
    <n v="0"/>
    <m/>
    <s v="4 yrs 0 mth "/>
    <x v="1"/>
    <s v="BREAST CANCER; BREAST CANCER THERAPY; CANCER; CELL BIOLOGY"/>
    <x v="22"/>
    <d v="2014-03-31T00:00:00"/>
    <n v="0"/>
    <s v="Src, ezrin, metastasis"/>
  </r>
  <r>
    <x v="452"/>
    <s v="Queen's University (Kingston, Ontario)"/>
    <x v="0"/>
    <x v="13"/>
    <s v="201003MOP"/>
    <x v="6"/>
    <s v="Genetic and cell biological analysis of calpain: a potential therapeutic target in breast cancer"/>
    <n v="734701"/>
    <n v="0"/>
    <n v="0"/>
    <m/>
    <s v="5 yrs 0 mth "/>
    <x v="1"/>
    <s v="CANCER THERAPY GENERAL; BREAST CANCER; CANCER; MOLECULAR BIOLOGY"/>
    <x v="5"/>
    <d v="2015-09-30T00:00:00"/>
    <n v="0"/>
    <s v="calpain, genetic, breast cancer"/>
  </r>
  <r>
    <x v="453"/>
    <s v="Queen's University (Kingston, Ontario)"/>
    <x v="0"/>
    <x v="13"/>
    <s v="201103MOP"/>
    <x v="11"/>
    <s v="Advancing gel dosimetry for clinical radiation therapy"/>
    <n v="369252"/>
    <n v="0"/>
    <n v="0"/>
    <m/>
    <s v="5 yrs 0 mth "/>
    <x v="1"/>
    <s v="CANCER THERAPY GENERAL; NONE OF THE ABOVE; CANCER; IMAGING"/>
    <x v="23"/>
    <d v="2016-09-30T00:00:00"/>
    <n v="0"/>
    <s v="gel, dosimetry, radiation"/>
  </r>
  <r>
    <x v="449"/>
    <s v="Queen's University (Kingston, Ontario)"/>
    <x v="0"/>
    <x v="13"/>
    <s v="201109MOP"/>
    <x v="14"/>
    <s v="Mechanisms of hypoxia-induced immune escape in cancer and their regulation by nitric oxide"/>
    <n v="443733"/>
    <n v="0"/>
    <n v="0"/>
    <m/>
    <s v="3 yrs 0 mth "/>
    <x v="1"/>
    <s v="CANCER THERAPY GENERAL; NONE OF THE ABOVE; CANCER; CELL BIOLOGY"/>
    <x v="28"/>
    <d v="2015-03-31T00:00:00"/>
    <n v="0"/>
    <s v="hypoxia, immune escape, nitric oxide"/>
  </r>
  <r>
    <x v="454"/>
    <s v="Queen's University (Kingston, Ontario)"/>
    <x v="0"/>
    <x v="13"/>
    <s v="201109MOP"/>
    <x v="12"/>
    <s v="Engineering Adipogenesis for Soft Tissue Regeneration"/>
    <n v="423928"/>
    <n v="0"/>
    <n v="0"/>
    <m/>
    <s v="4 yrs 0 mth "/>
    <x v="0"/>
    <s v="SKIN AND SUBCUTANEOUS TISSUS; INJURY, REGENERATION; CELL BIOLOGY; MOLECULAR BIOLOGY"/>
    <x v="28"/>
    <d v="2016-03-31T00:00:00"/>
    <n v="0"/>
    <s v="Adipogenesis, Soft Tissue, Regeneration"/>
  </r>
  <r>
    <x v="455"/>
    <s v="Queen's University (Kingston, Ontario)"/>
    <x v="0"/>
    <x v="13"/>
    <s v="201109MOP"/>
    <x v="14"/>
    <s v="Roles of F-BAR proteins in lung cancer progression and metastases"/>
    <n v="706058"/>
    <n v="0"/>
    <n v="0"/>
    <m/>
    <s v="5 yrs 0 mth "/>
    <x v="1"/>
    <s v="LUNG CANCER; CANCER THERAPY GENERAL; CANCER; CELL BIOLOGY"/>
    <x v="28"/>
    <d v="2017-03-31T00:00:00"/>
    <n v="2"/>
    <s v="F-BAR, lung cancer, metastases"/>
  </r>
  <r>
    <x v="456"/>
    <s v="Queen's University (Kingston, Ontario)"/>
    <x v="0"/>
    <x v="13"/>
    <s v="201403MOP"/>
    <x v="12"/>
    <s v="Biomimetic Scaffold for Ligament Tissue Engineering"/>
    <n v="409478"/>
    <n v="0"/>
    <n v="0"/>
    <m/>
    <s v="4 yrs 0 mth "/>
    <x v="0"/>
    <s v="INJURY, REGENERATION; MUSCULO SKELETAL"/>
    <x v="29"/>
    <d v="2018-06-30T00:00:00"/>
    <n v="0"/>
    <s v="Biomimetic, Scaffold, Ligament"/>
  </r>
  <r>
    <x v="457"/>
    <s v="Queen's University (Kingston, Ontario)"/>
    <x v="0"/>
    <x v="13"/>
    <s v="201503MOP"/>
    <x v="6"/>
    <s v="Mechanisms regulating RET receptor-mediated tumourigenesis"/>
    <n v="695582"/>
    <n v="0"/>
    <n v="0"/>
    <m/>
    <s v="5 yrs 0 mth "/>
    <x v="1"/>
    <s v="NEOPLASMS; MULTIPLE DISEASE RELEVANCE; CANCER; CELL BIOLOGY"/>
    <x v="25"/>
    <d v="2021-06-30T00:00:00"/>
    <n v="0"/>
    <s v="RET, receptor, tumourigenesis"/>
  </r>
  <r>
    <x v="458"/>
    <s v="Research Institute of the McGill University Health Centre"/>
    <x v="2"/>
    <x v="13"/>
    <s v="200809MOP"/>
    <x v="12"/>
    <s v="Characterization and efficacy of bisphosphonate eluting orthopaedic implants"/>
    <n v="321624"/>
    <n v="0"/>
    <n v="0"/>
    <m/>
    <s v="3 yrs 0 mth "/>
    <x v="0"/>
    <s v="MUSCULO SKELETAL; ARTHRITIS/OSTEOARTHRITIS; MUSCLE, BONE, OR JOINT; DRUG RESEARCH"/>
    <x v="10"/>
    <d v="2012-03-31T00:00:00"/>
    <n v="1"/>
    <s v="bisphosphonate, orthopaedic implants, eluting"/>
  </r>
  <r>
    <x v="459"/>
    <s v="Research Institute of the McGill University Health Centre"/>
    <x v="2"/>
    <x v="13"/>
    <s v="200809MOP"/>
    <x v="14"/>
    <s v="CD9 and its partners: their role in induction of mitotic catastrophe and in irradiation and microtubule-targeted drug sensitivity."/>
    <n v="313083"/>
    <n v="0"/>
    <n v="0"/>
    <m/>
    <s v="3 yrs 0 mth "/>
    <x v="1"/>
    <s v="PROSTATE AND BLADDER CANCER; PROSTATE AND BLADDER CANCER THERAPY; CANCER; CELL BIOLOGY"/>
    <x v="10"/>
    <d v="2012-03-31T00:00:00"/>
    <n v="0"/>
    <s v="CD9, mitotic catastrophe, microtubules"/>
  </r>
  <r>
    <x v="460"/>
    <s v="Research Institute of the McGill University Health Centre"/>
    <x v="2"/>
    <x v="13"/>
    <s v="200909MOP"/>
    <x v="14"/>
    <s v="Elucidating the tumor suppressor genes involved in reprogramming an ovarian cancer cell line model modified by chromosome 3 transfer"/>
    <n v="404578"/>
    <n v="0"/>
    <n v="0"/>
    <m/>
    <s v="3 yrs 0 mth "/>
    <x v="1"/>
    <s v="NEOPLASMS; GENITO/URINARY SYSTEM; CANCER; MOLECULAR BIOLOGY"/>
    <x v="22"/>
    <d v="2013-03-31T00:00:00"/>
    <n v="0"/>
    <s v="tumor suppressor, reprogramming, ovarian cancer"/>
  </r>
  <r>
    <x v="461"/>
    <s v="Research Institute of the McGill University Health Centre"/>
    <x v="2"/>
    <x v="13"/>
    <s v="200909MOP"/>
    <x v="14"/>
    <s v="Tissue factor in tumour progression and angiogenesis"/>
    <n v="744120"/>
    <n v="0"/>
    <n v="0"/>
    <m/>
    <s v="5 yrs 0 mth "/>
    <x v="1"/>
    <s v="CANCER THERAPY GENERAL; BRAIN TUMORS THERAPY; CANCER; CELL BIOLOGY"/>
    <x v="22"/>
    <d v="2015-03-31T00:00:00"/>
    <n v="0"/>
    <s v="Tissue factor, tumour progression, angiogenesis"/>
  </r>
  <r>
    <x v="462"/>
    <s v="Research Institute of the McGill University Health Centre"/>
    <x v="2"/>
    <x v="13"/>
    <s v="200909MOP"/>
    <x v="11"/>
    <s v="Monte Carlo-based mixed electron/photon beam inverse treatment planning, delivery and verification"/>
    <n v="300000"/>
    <n v="0"/>
    <n v="0"/>
    <m/>
    <s v="5 yrs 0 mth "/>
    <x v="1"/>
    <s v="CANCER THERAPY GENERAL; MULTIDISCIPLINARY; CANCER; HEALTH RESEARCH"/>
    <x v="22"/>
    <d v="2015-03-31T00:00:00"/>
    <n v="2"/>
    <s v="Monte Carlo, electron/photon, beam"/>
  </r>
  <r>
    <x v="461"/>
    <s v="Research Institute of the McGill University Health Centre"/>
    <x v="2"/>
    <x v="13"/>
    <s v="201009MOP"/>
    <x v="13"/>
    <s v="Oncogene-containing microvesicles as mediators and messengers of tumour progression"/>
    <n v="774560"/>
    <n v="0"/>
    <n v="0"/>
    <m/>
    <s v="5 yrs 0 mth "/>
    <x v="1"/>
    <s v="NEOPLASMS; BRAIN TUMORS THERAPY; CANCER; CELL BIOLOGY"/>
    <x v="27"/>
    <d v="2016-03-31T00:00:00"/>
    <n v="4"/>
    <s v="oncogene, microvesicles, tumour"/>
  </r>
  <r>
    <x v="463"/>
    <s v="Research Institute of the McGill University Health Centre"/>
    <x v="2"/>
    <x v="13"/>
    <s v="201103MOP"/>
    <x v="13"/>
    <s v="Identification and characterization of genes involved in the genesis and progression of pediatric astrocytomas."/>
    <n v="707975"/>
    <n v="0"/>
    <n v="0"/>
    <m/>
    <s v="5 yrs 0 mth "/>
    <x v="1"/>
    <s v="BRAIN TUMORS (INCL. RETINAL TUMORS); BRAIN TUMORS THERAPY; CANCER; GENETICS"/>
    <x v="23"/>
    <d v="2016-09-30T00:00:00"/>
    <n v="1"/>
    <s v="genes, astrocytomas, pediatric"/>
  </r>
  <r>
    <x v="464"/>
    <s v="Research Institute of the McGill University Health Centre"/>
    <x v="2"/>
    <x v="13"/>
    <s v="201103MOP"/>
    <x v="11"/>
    <s v="Modelling of Radiotherapy Induced Damage in Locally Advanced Lung Cancer by a Novel System Radiobiology Approach"/>
    <n v="678951"/>
    <n v="0"/>
    <n v="0"/>
    <m/>
    <s v="5 yrs 0 mth "/>
    <x v="1"/>
    <s v="LUNG CANCER THERAPY; LUNG CANCER; CANCER"/>
    <x v="23"/>
    <d v="2016-09-30T00:00:00"/>
    <n v="0"/>
    <s v="Radiotherapy, Lung Cancer, Radiobiology"/>
  </r>
  <r>
    <x v="465"/>
    <s v="Research Institute of the McGill University Health Centre"/>
    <x v="2"/>
    <x v="13"/>
    <s v="201109MOP"/>
    <x v="14"/>
    <s v="Integration of mTOR-p53 pathway crosstalk and miR-34 family in prognostication and prediction of response to bladder cancer therapy"/>
    <n v="549872"/>
    <n v="0"/>
    <n v="0"/>
    <m/>
    <s v="4 yrs 0 mth "/>
    <x v="1"/>
    <s v="PROSTATE AND BLADDER CANCER THERAPY; PROSTATE AND BLADDER CANCER; CANCER"/>
    <x v="28"/>
    <d v="2016-03-31T00:00:00"/>
    <n v="0"/>
    <s v="mTOR, p53, miR-34"/>
  </r>
  <r>
    <x v="466"/>
    <s v="Research Institute of the McGill University Health Centre"/>
    <x v="2"/>
    <x v="13"/>
    <s v="201203MOP"/>
    <x v="13"/>
    <s v="Diagnosing Ovarian Cancer Early (DOvE)by targeting symptomatic women"/>
    <n v="1404691"/>
    <n v="0"/>
    <n v="0"/>
    <m/>
    <s v="3 yrs 0 mth "/>
    <x v="1"/>
    <s v="NEOPLASMS; GENITO/URINARY SYSTEM; CANCER; HEALTH SERVICES RESEARCH"/>
    <x v="21"/>
    <d v="2015-09-30T00:00:00"/>
    <n v="2"/>
    <s v="Ovarian cancer, diagnosis, symptomatic women"/>
  </r>
  <r>
    <x v="467"/>
    <s v="Research Institute of the McGill University Health Centre"/>
    <x v="2"/>
    <x v="13"/>
    <s v="201203MOP"/>
    <x v="13"/>
    <s v="Development of a Transgenic Mouse Model and Testing Platform of Multiple Myeloma Bone Disease"/>
    <n v="331788"/>
    <n v="0"/>
    <n v="0"/>
    <m/>
    <s v="3 yrs 0 mth "/>
    <x v="1"/>
    <s v="CANCER THERAPY GENERAL; BLOOD; CANCER; MUSCLE, BONE, OR JOINT"/>
    <x v="21"/>
    <d v="2015-09-30T00:00:00"/>
    <n v="1"/>
    <s v="Transgenic, Mouse Model, Multiple Myeloma"/>
  </r>
  <r>
    <x v="463"/>
    <s v="Research Institute of the McGill University Health Centre"/>
    <x v="2"/>
    <x v="13"/>
    <s v="201209MOP"/>
    <x v="13"/>
    <s v="Role of chromatin remodeling in the genesis of pediatric and young adult astrocytomas"/>
    <n v="788500"/>
    <n v="0"/>
    <n v="0"/>
    <m/>
    <s v="5 yrs 0 mth "/>
    <x v="1"/>
    <s v="BRAIN TUMORS (INCL. RETINAL TUMORS); BRAIN TUMORS THERAPY; CANCER; NERVOUS SYSTEM"/>
    <x v="15"/>
    <d v="2018-03-31T00:00:00"/>
    <n v="0"/>
    <s v="chromatin remodeling, astrocytomas, genesis"/>
  </r>
  <r>
    <x v="398"/>
    <s v="Research Institute of the McGill University Health Centre"/>
    <x v="2"/>
    <x v="13"/>
    <s v="201309MOP"/>
    <x v="13"/>
    <s v="Investigating the Role of Neutrophil Extracellular Traps In Cancer Metastasis"/>
    <n v="707578"/>
    <n v="0"/>
    <n v="0"/>
    <m/>
    <s v="5 yrs 0 mth "/>
    <x v="1"/>
    <s v="LUNG CANCER; GASTRO-INTESTINAL CANCER; CANCER; CELL BIOLOGY"/>
    <x v="11"/>
    <d v="2019-03-31T00:00:00"/>
    <n v="0"/>
    <s v="Neutrophil, Extracellular Traps, Cancer"/>
  </r>
  <r>
    <x v="461"/>
    <s v="Research Institute of the McGill University Health Centre"/>
    <x v="2"/>
    <x v="13"/>
    <s v="201309MOP"/>
    <x v="13"/>
    <s v="Coagulation system effectors as regulators of tumour dormancy and therapeutic targets"/>
    <n v="710040"/>
    <n v="0"/>
    <n v="0"/>
    <m/>
    <s v="5 yrs 0 mth "/>
    <x v="1"/>
    <s v="NEOPLASMS; BRAIN TUMORS THERAPY; CANCER; BLOOD"/>
    <x v="11"/>
    <d v="2015-06-30T00:00:00"/>
    <n v="0"/>
    <s v="coagulation, tumour, dormancy"/>
  </r>
  <r>
    <x v="464"/>
    <s v="Research Institute of the McGill University Health Centre"/>
    <x v="2"/>
    <x v="13"/>
    <s v="201403MOP"/>
    <x v="11"/>
    <s v="Hybrid Image Analysis for Radiotherapy"/>
    <n v="394720"/>
    <n v="0"/>
    <n v="0"/>
    <m/>
    <s v="4 yrs 0 mth "/>
    <x v="1"/>
    <s v="CANCER THERAPY GENERAL; MULTIDISCIPLINARY; BIOPHYSICS; CANCER"/>
    <x v="29"/>
    <d v="2018-06-30T00:00:00"/>
    <n v="4"/>
    <s v="Image analysis, radiotherapy"/>
  </r>
  <r>
    <x v="405"/>
    <s v="Research Institute of the McGill University Health Centre"/>
    <x v="2"/>
    <x v="13"/>
    <s v="201503MOP"/>
    <x v="14"/>
    <s v="Co-targeting parathyroid-hormone related protein (PTHrP) signaling and osteoclast activation to counter breast cancer metastasis to bone"/>
    <n v="739955"/>
    <n v="0"/>
    <n v="0"/>
    <m/>
    <s v="5 yrs 0 mth "/>
    <x v="0"/>
    <s v="BREAST CANCER; BONE CANCER"/>
    <x v="25"/>
    <d v="2020-06-30T00:00:00"/>
    <n v="0"/>
    <s v="PTHrP, osteoclast, metastasis"/>
  </r>
  <r>
    <x v="468"/>
    <s v="Simon Fraser University (Burnaby, B.C.)"/>
    <x v="3"/>
    <x v="13"/>
    <s v="201303MOP"/>
    <x v="6"/>
    <s v="Investigating the mutations driving non Hodgkin lymphomas and developing plasma-based assays for tumour detection and monitoring"/>
    <n v="612722"/>
    <n v="0"/>
    <n v="0"/>
    <m/>
    <s v="5 yrs 0 mth "/>
    <x v="1"/>
    <s v="LEUKAEMIAS; CANCER THERAPY GENERAL; CANCER; GENOMICS, PROTEOMICS, AND BIOINFORMATICS"/>
    <x v="24"/>
    <d v="2018-09-30T00:00:00"/>
    <n v="0"/>
    <s v="mutations, lymphomas, assays"/>
  </r>
  <r>
    <x v="469"/>
    <s v="Simon Fraser University (Burnaby, B.C.)"/>
    <x v="3"/>
    <x v="13"/>
    <s v="201503MOP"/>
    <x v="14"/>
    <s v="Modulators of epigenomic processes - a novel approach to cancer therapy"/>
    <n v="560420"/>
    <n v="0"/>
    <n v="0"/>
    <m/>
    <s v="4 yrs 0 mth "/>
    <x v="1"/>
    <s v="CANCER THERAPY GENERAL; CANCER; DRUG RESEARCH"/>
    <x v="25"/>
    <d v="2019-06-30T00:00:00"/>
    <n v="0"/>
    <s v="epigenomic, modulators, cancer"/>
  </r>
  <r>
    <x v="470"/>
    <s v="Sinai Health System (Toronto)"/>
    <x v="0"/>
    <x v="13"/>
    <s v="200810MOP"/>
    <x v="14"/>
    <s v="Genetic, Epigenetic and Proteomic Analysis of the Kallikrein Family in Search for Novel Diagnostic Prognostic and Risk Susceptibility Algorithms for Prostate Cancer"/>
    <n v="100000"/>
    <n v="0"/>
    <n v="0"/>
    <m/>
    <s v="1 yr 0 mth "/>
    <x v="1"/>
    <s v="PROSTATE AND BLADDER CANCER; GENITO/URINARY SYSTEM; GENOMICS, PROTEOMICS, AND BIOINFORMATICS; CANCER"/>
    <x v="3"/>
    <d v="2010-02-28T00:00:00"/>
    <n v="0"/>
    <s v="Genetic, Epigenetic, Proteomic"/>
  </r>
  <r>
    <x v="471"/>
    <s v="Sinai Health System (Toronto)"/>
    <x v="0"/>
    <x v="13"/>
    <s v="200809MOP"/>
    <x v="14"/>
    <s v="Discovery and characterization of clinically important changes in axillary node-negative breast cancer."/>
    <n v="866726"/>
    <n v="0"/>
    <n v="0"/>
    <m/>
    <s v="5 yrs 0 mth "/>
    <x v="1"/>
    <s v="BREAST CANCER; CANCER; GENETICS"/>
    <x v="10"/>
    <d v="2014-03-31T00:00:00"/>
    <n v="0"/>
    <s v="axillary node, breast cancer, characterization"/>
  </r>
  <r>
    <x v="470"/>
    <s v="Sinai Health System (Toronto)"/>
    <x v="0"/>
    <x v="13"/>
    <s v="200903MOP"/>
    <x v="14"/>
    <s v="Genetic, Epigenetic and Proteomic Analysis of the Kallikrein Family in Search for Novel Diagnostic Prognostic and Risk Susceptibility Algorithms for Prostate Cancer"/>
    <n v="599728"/>
    <n v="0"/>
    <n v="0"/>
    <m/>
    <s v="3 yrs 0 mth "/>
    <x v="1"/>
    <s v="PROSTATE AND BLADDER CANCER; GENITO/URINARY SYSTEM; GENOMICS, PROTEOMICS, AND BIOINFORMATICS; CANCER"/>
    <x v="4"/>
    <d v="2012-09-30T00:00:00"/>
    <n v="0"/>
    <s v="Genetic, Epigenetic, Proteomic"/>
  </r>
  <r>
    <x v="472"/>
    <s v="Sinai Health System (Toronto)"/>
    <x v="0"/>
    <x v="13"/>
    <s v="200903MOP"/>
    <x v="6"/>
    <s v="Studies of the role of an Ets family protein in prostate cancer"/>
    <n v="694200"/>
    <n v="0"/>
    <n v="0"/>
    <m/>
    <s v="5 yrs 0 mth "/>
    <x v="1"/>
    <s v="PROSTATE AND BLADDER CANCER; CANCER; MOLECULAR BIOLOGY"/>
    <x v="4"/>
    <d v="2014-09-30T00:00:00"/>
    <n v="0"/>
    <s v="Ets, prostate cancer"/>
  </r>
  <r>
    <x v="473"/>
    <s v="Sinai Health System (Toronto)"/>
    <x v="0"/>
    <x v="13"/>
    <s v="201003MOP"/>
    <x v="6"/>
    <s v="Functional genomics of the response to DNA double-strand breaks"/>
    <n v="858940"/>
    <n v="0"/>
    <n v="0"/>
    <m/>
    <s v="5 yrs 0 mth "/>
    <x v="8"/>
    <s v="CANCER THERAPY GENERAL; CARCINOGENS (INCL ENVIRONMENTAL); CANCER; GENETICS"/>
    <x v="5"/>
    <d v="2015-06-30T00:00:00"/>
    <n v="0"/>
    <s v="genomics, DNA breaks, double-strand"/>
  </r>
  <r>
    <x v="474"/>
    <s v="Sinai Health System (Toronto)"/>
    <x v="0"/>
    <x v="13"/>
    <s v="201103MOP"/>
    <x v="12"/>
    <s v="Establishing annulus fibrosus interfaces:  towards tissue engineering an intervertebral disc"/>
    <n v="459432"/>
    <n v="0"/>
    <n v="0"/>
    <m/>
    <s v="3 yrs 0 mth "/>
    <x v="0"/>
    <s v="MUSCULO SKELETAL; MULTIDISCIPLINARY; MUSCLE, BONE, OR JOINT; AGING"/>
    <x v="23"/>
    <d v="2014-09-30T00:00:00"/>
    <n v="2"/>
    <s v="annulus fibrosus, tissue engineering, intervertebral disc"/>
  </r>
  <r>
    <x v="475"/>
    <s v="Sinai Health System (Toronto)"/>
    <x v="0"/>
    <x v="13"/>
    <s v="201103MOP"/>
    <x v="12"/>
    <s v="Engineering of Irradiation-Sterilized Musculoskeletal Allografts for Improved Biomechanical Performance"/>
    <n v="230350"/>
    <n v="0"/>
    <n v="0"/>
    <m/>
    <s v="3 yrs 0 mth "/>
    <x v="0"/>
    <s v="MUSCULO SKELETAL; INJURY, REGENERATION; MUSCLE, BONE, OR JOINT"/>
    <x v="23"/>
    <d v="2014-09-30T00:00:00"/>
    <n v="1"/>
    <s v="Irradiation, Allografts, Biomechanical"/>
  </r>
  <r>
    <x v="470"/>
    <s v="Sinai Health System (Toronto)"/>
    <x v="0"/>
    <x v="13"/>
    <s v="201209MOP"/>
    <x v="14"/>
    <s v="Integrated Approach to Discover Prostate Cancer Biomarkers in Seminal Plasma"/>
    <n v="417240"/>
    <n v="0"/>
    <n v="0"/>
    <m/>
    <s v="3 yrs 0 mth "/>
    <x v="1"/>
    <s v="PROSTATE AND BLADDER CANCER; CANCER; GENOMICS, PROTEOMICS, AND BIOINFORMATICS"/>
    <x v="15"/>
    <d v="2016-03-31T00:00:00"/>
    <n v="1"/>
    <s v="Prostate, Biomarkers, Seminal Plasma"/>
  </r>
  <r>
    <x v="473"/>
    <s v="Sinai Health System (Toronto)"/>
    <x v="0"/>
    <x v="13"/>
    <s v="201309MOP"/>
    <x v="6"/>
    <s v="Understanding DNA repair pathway choice control."/>
    <n v="978785"/>
    <n v="0"/>
    <n v="0"/>
    <m/>
    <s v="5 yrs 0 mth "/>
    <x v="1"/>
    <s v="CANCER THERAPY GENERAL; CARCINOGENS (INCL ENVIRONMENTAL); MOLECULAR BIOLOGY; CANCER"/>
    <x v="11"/>
    <d v="2015-06-30T00:00:00"/>
    <n v="5"/>
    <s v="DNA, repair, pathway"/>
  </r>
  <r>
    <x v="476"/>
    <s v="Sinai Health System (Toronto)"/>
    <x v="0"/>
    <x v="13"/>
    <s v="201403MOP"/>
    <x v="13"/>
    <s v="Metabolic reprogramming in cancer cells and the hexosamine biosynthesis pathway"/>
    <n v="664934"/>
    <n v="0"/>
    <n v="0"/>
    <m/>
    <s v="5 yrs 0 mth "/>
    <x v="1"/>
    <s v="CANCER THERAPY GENERAL; METABOLISM AND NUTRITION; CANCER; METABOLISM/DIABETES"/>
    <x v="29"/>
    <d v="2019-06-30T00:00:00"/>
    <n v="0"/>
    <s v="metabolic reprogramming, cancer cells, hexosamine biosynthesis"/>
  </r>
  <r>
    <x v="474"/>
    <s v="Sinai Health System (Toronto)"/>
    <x v="0"/>
    <x v="13"/>
    <s v="201503MOP"/>
    <x v="12"/>
    <s v="Tissue engineering an intervertebral disc replacement"/>
    <n v="768657"/>
    <n v="0"/>
    <n v="0"/>
    <m/>
    <s v="5 yrs 0 mth "/>
    <x v="0"/>
    <s v="MUSCULO SKELETAL; MULTIDISCIPLINARY; MUSCLE, BONE, OR JOINT; HEALTH RESEARCH"/>
    <x v="25"/>
    <d v="2021-06-30T00:00:00"/>
    <n v="0"/>
    <s v="tissue engineering, intervertebral disc"/>
  </r>
  <r>
    <x v="477"/>
    <s v="Sunnybrook Research Institute (Toronto, Ontario)"/>
    <x v="0"/>
    <x v="13"/>
    <s v="200809MOP"/>
    <x v="6"/>
    <s v="Metabolic Regulation of Toll-like Receptor Agonist Therapy in Leukemia"/>
    <n v="380709"/>
    <n v="0"/>
    <n v="0"/>
    <m/>
    <s v="3 yrs 0 mth "/>
    <x v="1"/>
    <s v="LEUKAEMIAS; CANCER THERAPY GENERAL; CANCER; IMMUNOLOGY-TRANSPLANTATION"/>
    <x v="10"/>
    <d v="2012-03-31T00:00:00"/>
    <n v="0"/>
    <s v="Metabolic, Toll-like Receptor, Leukemia"/>
  </r>
  <r>
    <x v="478"/>
    <s v="Sunnybrook Research Institute (Toronto, Ontario)"/>
    <x v="0"/>
    <x v="13"/>
    <s v="200809MOP"/>
    <x v="11"/>
    <s v="Biophysics of Functional MRI"/>
    <n v="276264"/>
    <n v="0"/>
    <n v="0"/>
    <m/>
    <s v="3 yrs 0 mth "/>
    <x v="3"/>
    <s v="MULTIDISCIPLINARY; IMAGING; BIOPHYSICS"/>
    <x v="10"/>
    <d v="2012-03-31T00:00:00"/>
    <n v="0"/>
    <s v="Biophysics, Functional MRI"/>
  </r>
  <r>
    <x v="479"/>
    <s v="Sunnybrook Research Institute (Toronto, Ontario)"/>
    <x v="0"/>
    <x v="13"/>
    <s v="200809MOP"/>
    <x v="11"/>
    <s v="Magnetic Resonance Imaging for Ischemic Heart Disease"/>
    <n v="830540"/>
    <n v="0"/>
    <n v="0"/>
    <m/>
    <s v="5 yrs 0 mth "/>
    <x v="11"/>
    <s v="MYOCARDIAL INFARCTION; CARDIOLOGY; IMAGING; CARDIOVASCULAR"/>
    <x v="10"/>
    <d v="2014-03-31T00:00:00"/>
    <n v="11"/>
    <s v="Magnetic Resonance, Imaging, Ischemic Heart Disease"/>
  </r>
  <r>
    <x v="480"/>
    <s v="Sunnybrook Research Institute (Toronto, Ontario)"/>
    <x v="0"/>
    <x v="13"/>
    <s v="201009MOP"/>
    <x v="14"/>
    <s v="Long term outcomes of a multicentre controlled clinical trial of breast irradiation using Intensity-Modulated Radiation Therapy"/>
    <n v="130322"/>
    <n v="0"/>
    <n v="0"/>
    <m/>
    <s v="3 yrs 0 mth "/>
    <x v="1"/>
    <s v="BREAST CANCER THERAPY; CANCER"/>
    <x v="27"/>
    <d v="2014-03-31T00:00:00"/>
    <n v="0"/>
    <s v="breast irradiation, intensity-modulated radiation therapy, clinical trial"/>
  </r>
  <r>
    <x v="481"/>
    <s v="Sunnybrook Research Institute (Toronto, Ontario)"/>
    <x v="0"/>
    <x v="13"/>
    <s v="201009MOP"/>
    <x v="13"/>
    <s v="Interaction of cancer initiating cells with the tumor microenvironment during leukemogenesis"/>
    <n v="696385"/>
    <n v="0"/>
    <n v="0"/>
    <m/>
    <s v="5 yrs 0 mth "/>
    <x v="1"/>
    <s v="LEUKAEMIAS; BLOOD; CANCER"/>
    <x v="27"/>
    <d v="2016-03-31T00:00:00"/>
    <n v="0"/>
    <s v="cancer cells, tumor microenvironment, leukemogenesis"/>
  </r>
  <r>
    <x v="482"/>
    <s v="Sunnybrook Research Institute (Toronto, Ontario)"/>
    <x v="0"/>
    <x v="13"/>
    <s v="201103MOP"/>
    <x v="11"/>
    <s v="Automatic Motion Correction for Dynamic Contrast Enhanced MRI"/>
    <n v="198878"/>
    <n v="0"/>
    <n v="0"/>
    <m/>
    <s v="3 yrs 0 mth "/>
    <x v="1"/>
    <s v="CANCER THERAPY GENERAL; MULTIPLE DISEASE RELEVANCE; IMAGING; CANCER"/>
    <x v="23"/>
    <d v="2014-09-30T00:00:00"/>
    <n v="0"/>
    <s v="Motion, Correction, MRI"/>
  </r>
  <r>
    <x v="483"/>
    <s v="Sunnybrook Research Institute (Toronto, Ontario)"/>
    <x v="0"/>
    <x v="13"/>
    <s v="201109MOP"/>
    <x v="11"/>
    <s v="Acoustically activated submicron droplets of liquid perfluorocarbon as a new contrast agent for ultrasound imaging"/>
    <n v="360706"/>
    <n v="0"/>
    <n v="0"/>
    <m/>
    <s v="4 yrs 0 mth "/>
    <x v="1"/>
    <s v="NEOPLASMS; BREAST CANCER; IMAGING; BIOPHYSICS"/>
    <x v="28"/>
    <d v="2016-03-31T00:00:00"/>
    <n v="0"/>
    <s v="acoustically activated, submicron droplets, ultrasound imaging"/>
  </r>
  <r>
    <x v="484"/>
    <s v="Sunnybrook Research Institute (Toronto, Ontario)"/>
    <x v="0"/>
    <x v="13"/>
    <s v="201109MOP"/>
    <x v="13"/>
    <s v="Translational studies of acquired resistance to antiangiogenic therapies undertaken in new preclinical models of locally advanced or metastatic cancer"/>
    <n v="781655"/>
    <n v="0"/>
    <n v="0"/>
    <m/>
    <s v="5 yrs 0 mth "/>
    <x v="1"/>
    <s v="CANCER THERAPY GENERAL; NEOPLASMS"/>
    <x v="28"/>
    <d v="2017-03-31T00:00:00"/>
    <n v="0"/>
    <s v="antiangiogenic, resistance, cancer"/>
  </r>
  <r>
    <x v="485"/>
    <s v="Sunnybrook Research Institute (Toronto, Ontario)"/>
    <x v="0"/>
    <x v="13"/>
    <s v="201109MOP"/>
    <x v="11"/>
    <s v="Investigation of the bioeffects of blood-brain barrier disruption by focused ultrasound: A multifaceted imaging approach"/>
    <n v="803100"/>
    <n v="0"/>
    <n v="0"/>
    <m/>
    <s v="5 yrs 0 mth "/>
    <x v="3"/>
    <s v="ALZHEIMER'S DISEASE; AGING; IMAGING; NERVOUS SYSTEM"/>
    <x v="28"/>
    <d v="2017-03-31T00:00:00"/>
    <n v="9"/>
    <s v="blood-brain barrier, focused ultrasound, imaging"/>
  </r>
  <r>
    <x v="478"/>
    <s v="Sunnybrook Research Institute (Toronto, Ontario)"/>
    <x v="0"/>
    <x v="13"/>
    <s v="201203MOP"/>
    <x v="11"/>
    <s v="The mechanism of neurovascular remodelling after focal ischemia"/>
    <n v="621248"/>
    <n v="0"/>
    <n v="0"/>
    <m/>
    <s v="5 yrs 0 mth "/>
    <x v="3"/>
    <s v="STROKE, HEART FAILURE; INJURY, REGENERATION; IMAGING; BIOPHYSICS"/>
    <x v="21"/>
    <d v="2017-09-30T00:00:00"/>
    <n v="0"/>
    <s v="neurovascular, remodelling, ischemia"/>
  </r>
  <r>
    <x v="486"/>
    <s v="Sunnybrook Research Institute (Toronto, Ontario)"/>
    <x v="0"/>
    <x v="13"/>
    <s v="201209MOP"/>
    <x v="11"/>
    <s v="Multifrequency Ultrasound: Technology and Applications"/>
    <n v="414316"/>
    <n v="0"/>
    <n v="0"/>
    <m/>
    <s v="3 yrs 0 mth "/>
    <x v="1"/>
    <s v="CANCER THERAPY GENERAL; IMAGING; CANCER"/>
    <x v="15"/>
    <d v="2016-03-31T00:00:00"/>
    <n v="0"/>
    <s v="Ultrasound, Multifrequency"/>
  </r>
  <r>
    <x v="487"/>
    <s v="Sunnybrook Research Institute (Toronto, Ontario)"/>
    <x v="0"/>
    <x v="13"/>
    <s v="201209MOP"/>
    <x v="11"/>
    <s v="Evaluation of MR Chemical Exchange Saturation Transfer Imaging as a marker of tumour environment and pH"/>
    <n v="540084"/>
    <n v="0"/>
    <n v="0"/>
    <m/>
    <s v="4 yrs 0 mth "/>
    <x v="1"/>
    <s v="CANCER THERAPY GENERAL; BREAST CANCER THERAPY; BIOPHYSICS; CANCER"/>
    <x v="15"/>
    <d v="2017-03-31T00:00:00"/>
    <n v="0"/>
    <s v="MR, Chemical Exchange Saturation Transfer, tumor environment"/>
  </r>
  <r>
    <x v="488"/>
    <s v="Sunnybrook Research Institute (Toronto, Ontario)"/>
    <x v="0"/>
    <x v="13"/>
    <s v="201209MOP"/>
    <x v="12"/>
    <s v="Implications of pathologic changes to bone material properties on the skeletal stability of the metastatic spine"/>
    <n v="720465"/>
    <n v="0"/>
    <n v="0"/>
    <m/>
    <s v="5 yrs 0 mth "/>
    <x v="1"/>
    <s v="BONE CANCER; MUSCULO SKELETAL; CANCER; MUSCLE, BONE, OR JOINT"/>
    <x v="15"/>
    <d v="2018-03-31T00:00:00"/>
    <n v="0"/>
    <s v="bone, metastasis, stability"/>
  </r>
  <r>
    <x v="483"/>
    <s v="Sunnybrook Research Institute (Toronto, Ontario)"/>
    <x v="0"/>
    <x v="13"/>
    <s v="201209MOP"/>
    <x v="11"/>
    <s v="Ultrasound Imaging Investigation of Resistance and Adaptation to Targeted Anti-cancer Therapeutics"/>
    <n v="579409"/>
    <n v="0"/>
    <n v="0"/>
    <m/>
    <s v="5 yrs 0 mth "/>
    <x v="1"/>
    <s v="CANCER THERAPY GENERAL; IMAGING; BIOPHYSICS"/>
    <x v="15"/>
    <d v="2018-03-31T00:00:00"/>
    <n v="1"/>
    <s v="Ultrasound, Imaging, Anti-cancer"/>
  </r>
  <r>
    <x v="479"/>
    <s v="Sunnybrook Research Institute (Toronto, Ontario)"/>
    <x v="0"/>
    <x v="13"/>
    <s v="201209MOP"/>
    <x v="11"/>
    <s v="MR-Guided Revascularization of Occlusive Peripheral Arterial Disease"/>
    <n v="562215"/>
    <n v="0"/>
    <n v="0"/>
    <m/>
    <s v="5 yrs 0 mth "/>
    <x v="11"/>
    <s v="ATHEROSCLEROSIS; IMAGING; CARDIOVASCULAR"/>
    <x v="15"/>
    <d v="2018-03-31T00:00:00"/>
    <n v="0"/>
    <s v="MR, Revascularization, Peripheral Arterial Disease"/>
  </r>
  <r>
    <x v="477"/>
    <s v="Sunnybrook Research Institute (Toronto, Ontario)"/>
    <x v="0"/>
    <x v="13"/>
    <s v="201303MOP"/>
    <x v="14"/>
    <s v="Improving Glucocorticoid Therapy in Leukemia"/>
    <n v="377124"/>
    <n v="0"/>
    <n v="0"/>
    <m/>
    <s v="3 yrs 0 mth "/>
    <x v="1"/>
    <s v="CANCER THERAPY GENERAL; LEUKAEMIAS; CANCER; DRUG RESEARCH"/>
    <x v="24"/>
    <d v="2016-09-30T00:00:00"/>
    <n v="0"/>
    <s v="Glucocorticoid, Leukemia"/>
  </r>
  <r>
    <x v="489"/>
    <s v="Sunnybrook Research Institute (Toronto, Ontario)"/>
    <x v="0"/>
    <x v="13"/>
    <s v="201303MOP"/>
    <x v="11"/>
    <s v="Novel Ultrasound-Activated Microbubble Enhancement of Radiation Response: Optimization of Response"/>
    <n v="706608"/>
    <n v="0"/>
    <n v="0"/>
    <m/>
    <s v="5 yrs 0 mth "/>
    <x v="1"/>
    <s v="CANCER THERAPY GENERAL; BREAST CANCER THERAPY; CANCER; BIOPHYSICS"/>
    <x v="24"/>
    <d v="2018-09-30T00:00:00"/>
    <n v="0"/>
    <s v="Ultrasound, Microbubble, Radiation"/>
  </r>
  <r>
    <x v="490"/>
    <s v="Sunnybrook Research Institute (Toronto, Ontario)"/>
    <x v="0"/>
    <x v="13"/>
    <s v="201309MOP"/>
    <x v="11"/>
    <s v="Characterization and Validation of Hyperpolarized Carbon-13 Signals Associated with Heart Failure"/>
    <n v="344523"/>
    <n v="0"/>
    <n v="0"/>
    <m/>
    <s v="3 yrs 0 mth "/>
    <x v="11"/>
    <s v="CARDIOLOGY; MYOCARDIAL INFARCTION; IMAGING; CARDIOVASCULAR"/>
    <x v="11"/>
    <d v="2017-03-31T00:00:00"/>
    <n v="2"/>
    <s v="Hyperpolarized, Carbon-13, Heart Failure"/>
  </r>
  <r>
    <x v="479"/>
    <s v="Sunnybrook Research Institute (Toronto, Ontario)"/>
    <x v="0"/>
    <x v="13"/>
    <s v="201309MOP"/>
    <x v="11"/>
    <s v="MRI for Arrhythmia Management in Ischemic Heart Disease"/>
    <n v="820920"/>
    <n v="0"/>
    <n v="0"/>
    <m/>
    <s v="5 yrs 0 mth "/>
    <x v="11"/>
    <s v="CARDIOLOGY; MYOCARDIAL INFARCTION; IMAGING; CARDIOVASCULAR"/>
    <x v="11"/>
    <d v="2019-03-31T00:00:00"/>
    <n v="0"/>
    <s v="MRI, Arrhythmia, Heart Disease"/>
  </r>
  <r>
    <x v="486"/>
    <s v="Sunnybrook Research Institute (Toronto, Ontario)"/>
    <x v="0"/>
    <x v="13"/>
    <s v="201403MOP"/>
    <x v="11"/>
    <s v="Development of biogenic gas nanostructures as a new class of molecular reporters for ultrasound"/>
    <n v="731378"/>
    <n v="0"/>
    <n v="0"/>
    <m/>
    <s v="5 yrs 0 mth "/>
    <x v="1"/>
    <s v="CANCER THERAPY GENERAL; IMAGING; CANCER"/>
    <x v="29"/>
    <d v="2016-06-30T00:00:00"/>
    <n v="0"/>
    <s v="biogenic gas, nanostructures, ultrasound"/>
  </r>
  <r>
    <x v="491"/>
    <s v="Sunnybrook Research Institute (Toronto, Ontario)"/>
    <x v="0"/>
    <x v="13"/>
    <s v="201503MOP"/>
    <x v="11"/>
    <s v="Personalizing Radionuclide Therapy of Neuroendocrine Tumours"/>
    <n v="433320"/>
    <n v="0"/>
    <n v="0"/>
    <m/>
    <s v="4 yrs 0 mth "/>
    <x v="1"/>
    <s v="CANCER THERAPY GENERAL; MULTIDISCIPLINARY; CANCER; IMAGING"/>
    <x v="25"/>
    <d v="2019-06-30T00:00:00"/>
    <n v="0"/>
    <s v="Radionuclide, Neuroendocrine, Tumours"/>
  </r>
  <r>
    <x v="485"/>
    <s v="Sunnybrook Research Institute (Toronto, Ontario)"/>
    <x v="0"/>
    <x v="13"/>
    <s v="201503MOP"/>
    <x v="11"/>
    <s v="Feasibility of focused ultrasound treatment of deep vein thrombosis"/>
    <n v="722716"/>
    <n v="0"/>
    <n v="0"/>
    <m/>
    <s v="5 yrs 0 mth "/>
    <x v="11"/>
    <s v="CLOTTING DEFECTS/THROMBOSIS; IMAGING"/>
    <x v="25"/>
    <d v="2017-06-30T00:00:00"/>
    <n v="1"/>
    <s v="focused ultrasound, deep vein thrombosis"/>
  </r>
  <r>
    <x v="152"/>
    <s v="Toronto Metropolitan University"/>
    <x v="0"/>
    <x v="13"/>
    <s v="200903MOP"/>
    <x v="11"/>
    <s v="Mid to High frequency ultrasound imaging and spectroscopy for cancer treatment monitoring"/>
    <n v="427592"/>
    <n v="0"/>
    <n v="0"/>
    <m/>
    <s v="3 yrs 0 mth "/>
    <x v="1"/>
    <s v="CANCER THERAPY GENERAL; MULTIDISCIPLINARY; BIOPHYSICS; IMAGING"/>
    <x v="4"/>
    <d v="2012-09-30T00:00:00"/>
    <n v="9"/>
    <s v="ultrasound, imaging, spectroscopy"/>
  </r>
  <r>
    <x v="492"/>
    <s v="Toronto Metropolitan University"/>
    <x v="0"/>
    <x v="13"/>
    <s v="201009MOP"/>
    <x v="11"/>
    <s v="Optical Coherence Tomography for Intraoperative Imaging During Skull Base Neurosurgical Procedures"/>
    <n v="379765"/>
    <n v="0"/>
    <n v="0"/>
    <m/>
    <s v="3 yrs 0 mth "/>
    <x v="11"/>
    <s v="MULTIDISCIPLINARY; MULTIPLE DISEASE RELEVANCE; BIOPHYSICS; NERVOUS SYSTEM"/>
    <x v="27"/>
    <d v="2014-03-31T00:00:00"/>
    <n v="5"/>
    <s v="Optical Coherence Tomography, Intraoperative Imaging, Skull Base"/>
  </r>
  <r>
    <x v="493"/>
    <s v="Toronto Metropolitan University"/>
    <x v="0"/>
    <x v="13"/>
    <s v="201403MOP"/>
    <x v="12"/>
    <s v="Tissue engineering of auricular cartilage implants for external ear reconstruction"/>
    <n v="339992"/>
    <n v="0"/>
    <n v="0"/>
    <m/>
    <s v="4 yrs 0 mth "/>
    <x v="0"/>
    <s v="SKIN AND SUBCUTANEOUS TISSUS; CONGENITAL ANOMALIES; MUSCLE, BONE, OR JOINT; BIOPHYSICS"/>
    <x v="29"/>
    <d v="2018-06-30T00:00:00"/>
    <n v="1"/>
    <s v="tissue engineering, auricular cartilage, ear reconstruction"/>
  </r>
  <r>
    <x v="494"/>
    <s v="Toronto Rehabilitation Institute-UHN"/>
    <x v="0"/>
    <x v="13"/>
    <s v="201009MOP"/>
    <x v="12"/>
    <s v="Novel methodology to reduce muscle fatigue during functional electrical stimulation"/>
    <n v="120364"/>
    <n v="0"/>
    <n v="0"/>
    <m/>
    <s v="2 yrs 0 mth "/>
    <x v="0"/>
    <s v="MUSCULO SKELETAL; SPINAL CORD DISEASE; MUSCLE, BONE, OR JOINT; NERVOUS SYSTEM"/>
    <x v="27"/>
    <d v="2013-03-31T00:00:00"/>
    <n v="0"/>
    <s v="muscle fatigue, functional electrical stimulation"/>
  </r>
  <r>
    <x v="495"/>
    <s v="Unity Health Toronto"/>
    <x v="0"/>
    <x v="13"/>
    <s v="201109MOP"/>
    <x v="14"/>
    <s v="The Role of microRNAs in Renal Cell Carcinoma Pathogenesis and their Clinical Utility as Tumor Markers"/>
    <n v="493169"/>
    <n v="0"/>
    <n v="0"/>
    <m/>
    <s v="3 yrs 0 mth "/>
    <x v="1"/>
    <s v="NEOPLASMS; GENITO/URINARY SYSTEM; CANCER; MOLECULAR BIOLOGY"/>
    <x v="28"/>
    <d v="2015-03-31T00:00:00"/>
    <n v="1"/>
    <s v="microRNAs, renal cell carcinoma, tumor markers"/>
  </r>
  <r>
    <x v="496"/>
    <s v="Unity Health Toronto"/>
    <x v="0"/>
    <x v="13"/>
    <s v="201503MOP"/>
    <x v="13"/>
    <s v="Targeting bevacizumb resistance via LIVE-mediated vascular mimicry in glioblastoma."/>
    <n v="545268"/>
    <n v="0"/>
    <n v="0"/>
    <m/>
    <s v="4 yrs 0 mth "/>
    <x v="1"/>
    <s v="BRAIN TUMORS (INCL. RETINAL TUMORS); BRAIN TUMORS THERAPY; CELL BIOLOGY; CANCER"/>
    <x v="25"/>
    <d v="2019-06-30T00:00:00"/>
    <n v="0"/>
    <s v="bevacizumab, vascular mimicry, glioblastoma"/>
  </r>
  <r>
    <x v="497"/>
    <s v="Université de Moncton (New Brunswick)"/>
    <x v="7"/>
    <x v="13"/>
    <s v="201403MOP"/>
    <x v="14"/>
    <s v="Exploiting synthetic lethality in Renal Cell Carcinoma: Targeting the loss of the von Hippel-Lindau tumor suppressor gene through autophagy for the development of anticancer therapy"/>
    <n v="495930"/>
    <n v="0"/>
    <n v="0"/>
    <m/>
    <s v="5 yrs 0 mth "/>
    <x v="1"/>
    <s v="CANCER; BIOCHEMISTRY"/>
    <x v="29"/>
    <d v="2019-06-30T00:00:00"/>
    <n v="0"/>
    <s v="synthetic lethality, renal cell carcinoma, autophagy"/>
  </r>
  <r>
    <x v="498"/>
    <s v="Université de Montréal"/>
    <x v="2"/>
    <x v="13"/>
    <s v="201009MOP"/>
    <x v="6"/>
    <s v="Mechanisms of the tumor suppression activity of the ERK pathway"/>
    <n v="791460"/>
    <n v="0"/>
    <n v="0"/>
    <m/>
    <s v="5 yrs 0 mth "/>
    <x v="1"/>
    <s v="NEOPLASMS; AGING; CANCER; CELL BIOLOGY"/>
    <x v="27"/>
    <d v="2016-03-31T00:00:00"/>
    <n v="0"/>
    <s v="tumor suppression, ERK pathway"/>
  </r>
  <r>
    <x v="499"/>
    <s v="Universite de Sherbrooke"/>
    <x v="2"/>
    <x v="13"/>
    <s v="201109MOP"/>
    <x v="6"/>
    <s v="Radiolabelled peptides to improve cancer diagnosis by positron emission tomography / Peptides radiomarques pour ameliorer le diagnostic du cancer par tomographie e emission de positron"/>
    <n v="710710"/>
    <n v="0"/>
    <n v="0"/>
    <m/>
    <s v="5 yrs 0 mth "/>
    <x v="1"/>
    <s v="BREAST CANCER; PROSTATE AND BLADDER CANCER; CANCER; IMAGING"/>
    <x v="28"/>
    <d v="2017-03-31T00:00:00"/>
    <n v="2"/>
    <s v="radiolabelled peptides, cancer diagnosis, positron emission tomography"/>
  </r>
  <r>
    <x v="500"/>
    <s v="Universite de Sherbrooke"/>
    <x v="2"/>
    <x v="13"/>
    <s v="201209MOP"/>
    <x v="11"/>
    <s v="Secondary electron collision cross sections for use in radiotherapy and radioprotection/Sections efficaces de diffusion des electrons secondaires pour utilisation en radiotherapie et radioprotection."/>
    <n v="670172"/>
    <n v="0"/>
    <n v="0"/>
    <m/>
    <s v="5 yrs 0 mth "/>
    <x v="1"/>
    <s v="POPULATION HEALTH; CANCER THERAPY GENERAL; CANCER"/>
    <x v="15"/>
    <d v="2018-03-31T00:00:00"/>
    <n v="0"/>
    <s v="electron, radiotherapy, radioprotection"/>
  </r>
  <r>
    <x v="501"/>
    <s v="Universite de Sherbrooke"/>
    <x v="2"/>
    <x v="13"/>
    <s v="201003MOP"/>
    <x v="14"/>
    <s v="Developpement de nouvelles strategies therapeutiques pour enrayer la dissemination metastatique et les douleurs chroniques consecutives au cancer du sein"/>
    <n v="445569"/>
    <n v="0"/>
    <n v="0"/>
    <m/>
    <s v="3 yrs 0 mth "/>
    <x v="1"/>
    <s v="BONE CANCER; BREAST CANCER; CANCER; HEALTH RESEARCH"/>
    <x v="5"/>
    <d v="2013-09-30T00:00:00"/>
    <n v="1"/>
    <s v="metastatic, cancer, pain"/>
  </r>
  <r>
    <x v="502"/>
    <s v="Université de Sherbrooke"/>
    <x v="2"/>
    <x v="13"/>
    <s v="200809MOP"/>
    <x v="11"/>
    <s v="Pharmacokinetic modeling: Validation of DCE-MRI and PET/MRI combination"/>
    <n v="306240"/>
    <n v="0"/>
    <n v="0"/>
    <m/>
    <s v="3 yrs 0 mth "/>
    <x v="1"/>
    <s v="IMAGING; CANCER"/>
    <x v="10"/>
    <d v="2012-03-31T00:00:00"/>
    <n v="0"/>
    <s v="pharmacokinetic, DCE-MRI, PET/MRI"/>
  </r>
  <r>
    <x v="503"/>
    <s v="Université de Sherbrooke"/>
    <x v="2"/>
    <x v="13"/>
    <s v="201003MOP"/>
    <x v="6"/>
    <s v="Tumor immunotherapy: enhancing the efficacy of cytotoxic T lymphocytes by IL-21 and IL-15"/>
    <n v="343654"/>
    <n v="0"/>
    <n v="0"/>
    <m/>
    <s v="3 yrs 0 mth "/>
    <x v="1"/>
    <s v="CANCER THERAPY GENERAL; CANCER; IMMUNOLOGY-TRANSPLANTATION"/>
    <x v="5"/>
    <d v="2013-09-30T00:00:00"/>
    <n v="0"/>
    <s v="tumor, immunotherapy, cytotoxic T lymphocytes"/>
  </r>
  <r>
    <x v="504"/>
    <s v="Université de Sherbrooke"/>
    <x v="2"/>
    <x v="13"/>
    <s v="201003MOP"/>
    <x v="14"/>
    <s v="The role of receptor tyrosine kinases in the initiation and progression of colorectal cancer"/>
    <n v="657991"/>
    <n v="0"/>
    <n v="0"/>
    <m/>
    <s v="5 yrs 0 mth "/>
    <x v="1"/>
    <s v="GASTRO-INTESTINAL CANCER; NEOPLASMS; CANCER; GASTROINTESTINAL (LIVER)"/>
    <x v="5"/>
    <d v="2015-09-30T00:00:00"/>
    <n v="0"/>
    <s v="receptor tyrosine kinases, colorectal cancer"/>
  </r>
  <r>
    <x v="505"/>
    <s v="Université de Sherbrooke"/>
    <x v="2"/>
    <x v="13"/>
    <s v="201003MOP"/>
    <x v="11"/>
    <s v="Investigations of low energy electron damage to cellular constituents: application to Chemoradiation therapy."/>
    <n v="753239"/>
    <n v="0"/>
    <n v="0"/>
    <m/>
    <s v="5 yrs 0 mth "/>
    <x v="1"/>
    <s v="CANCER THERAPY GENERAL; BRAIN TUMORS THERAPY; CANCER; DRUG RESEARCH"/>
    <x v="5"/>
    <d v="2015-09-30T00:00:00"/>
    <n v="0"/>
    <s v="electron, damage, chemoradiation"/>
  </r>
  <r>
    <x v="506"/>
    <s v="Université de Sherbrooke"/>
    <x v="2"/>
    <x v="13"/>
    <s v="201103MOP"/>
    <x v="14"/>
    <s v="Understanding the contribution of ovarian cancer ascites to drug and death receptor resistance"/>
    <n v="338166"/>
    <n v="0"/>
    <n v="0"/>
    <m/>
    <s v="3 yrs 0 mth "/>
    <x v="1"/>
    <s v="NEOPLASMS; CANCER THERAPY GENERAL; CANCER; CELL BIOLOGY"/>
    <x v="23"/>
    <d v="2014-09-30T00:00:00"/>
    <n v="0"/>
    <s v="ovarian cancer, ascites, resistance"/>
  </r>
  <r>
    <x v="507"/>
    <s v="Université de Sherbrooke"/>
    <x v="2"/>
    <x v="13"/>
    <s v="201203MOP"/>
    <x v="6"/>
    <s v="Subcellular Redistribution of Proteins Following DNA Damage: A Role for the MCM Complex in DNA Repair."/>
    <n v="394992"/>
    <n v="0"/>
    <n v="0"/>
    <m/>
    <s v="3 yrs 0 mth "/>
    <x v="1"/>
    <s v="CANCER THERAPY GENERAL; ENVIRONMENTAL INFLUENCES ON HEALTH; GENOMICS, PROTEOMICS, AND BIOINFORMATICS; CELL BIOLOGY"/>
    <x v="21"/>
    <d v="2015-09-30T00:00:00"/>
    <n v="0"/>
    <s v="Proteins, DNA repair, MCM complex"/>
  </r>
  <r>
    <x v="502"/>
    <s v="Université de Sherbrooke"/>
    <x v="2"/>
    <x v="13"/>
    <s v="201203MOP"/>
    <x v="11"/>
    <s v="Imaging important steps in the formation of brain metastases"/>
    <n v="582717"/>
    <n v="0"/>
    <n v="0"/>
    <m/>
    <s v="5 yrs 0 mth "/>
    <x v="1"/>
    <s v="NEOPLASMS; BRAIN TUMORS (INCL. RETINAL TUMORS); CANCER"/>
    <x v="21"/>
    <d v="2017-09-30T00:00:00"/>
    <n v="0"/>
    <s v="imaging, brain metastases, formation"/>
  </r>
  <r>
    <x v="508"/>
    <s v="Université de Sherbrooke"/>
    <x v="2"/>
    <x v="13"/>
    <s v="201209MOP"/>
    <x v="13"/>
    <s v="Regulation and role of P2Y6 nucleotide receptor in colorectal cancer"/>
    <n v="647299"/>
    <n v="0"/>
    <n v="0"/>
    <m/>
    <s v="5 yrs 0 mth "/>
    <x v="4"/>
    <s v="GASTRO-INTESTINAL DISEASE; GASTRO-INTESTINAL CANCER; CELL BIOLOGY; MOLECULAR BIOLOGY"/>
    <x v="15"/>
    <d v="2018-03-31T00:00:00"/>
    <n v="0"/>
    <s v="P2Y6, nucleotide receptor, colorectal cancer"/>
  </r>
  <r>
    <x v="509"/>
    <s v="Universite Laval"/>
    <x v="2"/>
    <x v="13"/>
    <s v="201003MOP"/>
    <x v="12"/>
    <s v="Peau reconstruite par genie tissulaire: etude de l'influence de l'innervation cutanee sur la guerison des plaies"/>
    <n v="447139"/>
    <n v="0"/>
    <n v="0"/>
    <m/>
    <s v="3 yrs 0 mth "/>
    <x v="0"/>
    <s v="SKIN AND SUBCUTANEOUS TISSUS; INJURY, REGENERATION; CELL BIOLOGY; BIOCHEMISTRY"/>
    <x v="5"/>
    <d v="2013-09-30T00:00:00"/>
    <n v="0"/>
    <s v="tissue engineering, skin innervation, wound healing"/>
  </r>
  <r>
    <x v="510"/>
    <s v="Universite Laval"/>
    <x v="2"/>
    <x v="13"/>
    <s v="200809MOP"/>
    <x v="12"/>
    <s v="La methode d'auto-assemblage pour l'elaboration de tissus urologiques autologues reconstruits par genie tissulaire."/>
    <n v="388428"/>
    <n v="0"/>
    <n v="0"/>
    <m/>
    <s v="3 yrs 0 mth "/>
    <x v="0"/>
    <s v="GENITO/URINARY SYSTEM; INJURY, REGENERATION; RENAL FUNCTION, NEPHROLOGY, UROLOGY"/>
    <x v="10"/>
    <d v="2012-03-31T00:00:00"/>
    <n v="0"/>
    <s v="auto-assemblage, tissus, g√©nie tissulaire"/>
  </r>
  <r>
    <x v="510"/>
    <s v="Universite Laval"/>
    <x v="2"/>
    <x v="13"/>
    <s v="201109MOP"/>
    <x v="12"/>
    <s v="Reconstruction de tissus urologiques par genie tissulaire."/>
    <n v="727135"/>
    <n v="0"/>
    <n v="0"/>
    <m/>
    <s v="5 yrs 0 mth "/>
    <x v="0"/>
    <s v="GENITO/URINARY SYSTEM; INJURY, REGENERATION; RENAL FUNCTION, NEPHROLOGY, UROLOGY; CELL BIOLOGY"/>
    <x v="28"/>
    <d v="2017-03-31T00:00:00"/>
    <n v="0"/>
    <s v="tissus, g√©nie tissulaire"/>
  </r>
  <r>
    <x v="511"/>
    <s v="Universite Laval"/>
    <x v="2"/>
    <x v="13"/>
    <s v="201009MOP"/>
    <x v="12"/>
    <s v="Tissu adipeux humain reconstruit par genie tissulaire: substituts endothelialises et compatibles avec la clinique"/>
    <n v="692633"/>
    <n v="0"/>
    <n v="0"/>
    <m/>
    <s v="5 yrs 0 mth "/>
    <x v="0"/>
    <s v="INJURY, REGENERATION; SKIN AND SUBCUTANEOUS TISSUS; CELL BIOLOGY; MOLECULAR BIOLOGY"/>
    <x v="27"/>
    <d v="2016-03-31T00:00:00"/>
    <n v="0"/>
    <s v="adipose tissue, tissue engineering, endothelialization"/>
  </r>
  <r>
    <x v="512"/>
    <s v="Universite Laval"/>
    <x v="2"/>
    <x v="13"/>
    <s v="200909MOP"/>
    <x v="12"/>
    <s v="Cornee reconstruite in vitro par genie tissulaire pour des applications experimentales et cliniques"/>
    <n v="860972"/>
    <n v="0"/>
    <n v="0"/>
    <m/>
    <s v="5 yrs 0 mth "/>
    <x v="3"/>
    <s v="DISEASES AFFECTING SPEECH/VISION/HEARING; INJURY, REGENERATION; CELL BIOLOGY; MOLECULAR BIOLOGY"/>
    <x v="22"/>
    <d v="2015-03-31T00:00:00"/>
    <n v="0"/>
    <s v="cornee, genie tissulaire, in vitro"/>
  </r>
  <r>
    <x v="513"/>
    <s v="Université Laval"/>
    <x v="2"/>
    <x v="13"/>
    <s v="200809MOP"/>
    <x v="6"/>
    <s v="Optimization of immunotherapy of bladder cancer: response to various non-specific immunomodulators"/>
    <n v="322690"/>
    <n v="0"/>
    <n v="0"/>
    <m/>
    <s v="3 yrs 0 mth "/>
    <x v="1"/>
    <s v="PROSTATE AND BLADDER CANCER; PROSTATE AND BLADDER CANCER THERAPY; CANCER; IMMUNOLOGY-TRANSPLANTATION"/>
    <x v="10"/>
    <d v="2012-03-31T00:00:00"/>
    <n v="1"/>
    <s v="immunotherapy, bladder cancer, immunomodulators"/>
  </r>
  <r>
    <x v="514"/>
    <s v="Université Laval"/>
    <x v="2"/>
    <x v="13"/>
    <s v="200903MOP"/>
    <x v="14"/>
    <s v="Sulfatase and aromatase pathways for estradiol synthesis in human breast cancer cells, tissues and animal models: identifying a combinatory therapy"/>
    <n v="773023"/>
    <n v="0"/>
    <n v="0"/>
    <m/>
    <s v="5 yrs 0 mth "/>
    <x v="1"/>
    <s v="BREAST CANCER THERAPY; CANCER"/>
    <x v="4"/>
    <d v="2014-09-30T00:00:00"/>
    <n v="1"/>
    <s v="Sulfatase, aromatase, estradiol"/>
  </r>
  <r>
    <x v="515"/>
    <s v="Université Laval"/>
    <x v="2"/>
    <x v="13"/>
    <s v="200909MOP"/>
    <x v="6"/>
    <s v="MRE11-RAD50-NBS1: at the crossroads of DNA double-strand break repair and Fanconi anemia"/>
    <n v="821551"/>
    <n v="0"/>
    <n v="0"/>
    <m/>
    <s v="5 yrs 0 mth "/>
    <x v="8"/>
    <s v="CANCER THERAPY GENERAL; BREAST CANCER; BIOCHEMISTRY; CANCER"/>
    <x v="22"/>
    <d v="2015-03-31T00:00:00"/>
    <n v="0"/>
    <s v="DNA repair, double-strand break, Fanconi anemia"/>
  </r>
  <r>
    <x v="516"/>
    <s v="Université Laval"/>
    <x v="2"/>
    <x v="13"/>
    <s v="201003MOP"/>
    <x v="11"/>
    <s v="An Integrated Real-Time 3D Ultrasound Guidance System for Multi-catheters Breast Brachytherapy"/>
    <n v="275233"/>
    <n v="0"/>
    <n v="0"/>
    <m/>
    <s v="3 yrs 0 mth "/>
    <x v="1"/>
    <s v="BREAST CANCER; BREAST CANCER THERAPY; CANCER; IMAGING"/>
    <x v="5"/>
    <d v="2013-09-30T00:00:00"/>
    <n v="0"/>
    <s v="Ultrasound, Brachytherapy, Guidance"/>
  </r>
  <r>
    <x v="517"/>
    <s v="Université Laval"/>
    <x v="2"/>
    <x v="13"/>
    <s v="201003MOP"/>
    <x v="12"/>
    <s v="Cell Response to Electrical Stimulation Mediated by Conductive Scaffold"/>
    <n v="459471"/>
    <n v="0"/>
    <n v="0"/>
    <m/>
    <s v="5 yrs 0 mth "/>
    <x v="0"/>
    <s v="INJURY, REGENERATION; MULTIDISCIPLINARY; MUSCLE, BONE, OR JOINT; CELL BIOLOGY"/>
    <x v="5"/>
    <d v="2015-09-30T00:00:00"/>
    <n v="0"/>
    <s v="Cell, Electrical Stimulation, Conductive Scaffold"/>
  </r>
  <r>
    <x v="518"/>
    <s v="Université Laval"/>
    <x v="2"/>
    <x v="13"/>
    <s v="201009MOP"/>
    <x v="13"/>
    <s v="Understanding the function and regulation of the new metastasis suppressor gene Growth Arrest Specific 1 (GAS1)"/>
    <n v="452248"/>
    <n v="0"/>
    <n v="0"/>
    <m/>
    <s v="4 yrs 0 mth "/>
    <x v="1"/>
    <s v="SKIN AND SUBCUTANEOUS TISSUS; NEOPLASMS; CANCER; MOLECULAR BIOLOGY"/>
    <x v="27"/>
    <d v="2015-03-31T00:00:00"/>
    <n v="0"/>
    <s v="metastasis, suppressor gene, GAS1"/>
  </r>
  <r>
    <x v="515"/>
    <s v="Université Laval"/>
    <x v="2"/>
    <x v="13"/>
    <s v="201009MOP"/>
    <x v="6"/>
    <s v="Functions of the tumor suppressor PALB2 in DNA double-strand break repair and tumorigenesis"/>
    <n v="742371"/>
    <n v="0"/>
    <n v="0"/>
    <m/>
    <s v="5 yrs 0 mth "/>
    <x v="8"/>
    <s v="CANCER THERAPY GENERAL; BREAST CANCER; BIOCHEMISTRY; CANCER"/>
    <x v="27"/>
    <d v="2016-03-31T00:00:00"/>
    <n v="0"/>
    <s v="PALB2,DNA repair, tumorigenesis"/>
  </r>
  <r>
    <x v="519"/>
    <s v="Université Laval"/>
    <x v="2"/>
    <x v="13"/>
    <s v="201003MOP"/>
    <x v="6"/>
    <s v="Role of eIF4E in stress granules formation and the associated resistance to chemotherapy"/>
    <n v="421824"/>
    <n v="0"/>
    <n v="0"/>
    <m/>
    <s v="3 yrs 0 mth "/>
    <x v="1"/>
    <s v="CANCER THERAPY GENERAL; BREAST CANCER THERAPY; CANCER; BIOCHEMISTRY"/>
    <x v="30"/>
    <d v="2016-06-30T00:00:00"/>
    <n v="0"/>
    <s v="eIF4E, stress granules, chemotherapy"/>
  </r>
  <r>
    <x v="515"/>
    <s v="Université Laval"/>
    <x v="2"/>
    <x v="13"/>
    <s v="201303MOP"/>
    <x v="6"/>
    <s v="Interplay between homologous recombination and anti-recombination activities at broken DNA replication forks and genomic instability"/>
    <n v="514295"/>
    <n v="0"/>
    <n v="0"/>
    <m/>
    <s v="5 yrs 0 mth "/>
    <x v="8"/>
    <s v="CANCER THERAPY GENERAL; BREAST CANCER; BIOCHEMISTRY; MOLECULAR BIOLOGY"/>
    <x v="24"/>
    <d v="2018-06-30T00:00:00"/>
    <n v="0"/>
    <s v="homologous recombination, DNA replication, genomic instability"/>
  </r>
  <r>
    <x v="520"/>
    <s v="Université Laval"/>
    <x v="2"/>
    <x v="13"/>
    <s v="201403MOP"/>
    <x v="6"/>
    <s v="Elucidating the role of alpha2beta1 integrin in the chemoresistance of acute lymphoblastic leukemia."/>
    <n v="567520"/>
    <n v="0"/>
    <n v="0"/>
    <m/>
    <s v="5 yrs 0 mth "/>
    <x v="1"/>
    <s v="LEUKAEMIAS; CANCER THERAPY GENERAL; CANCER"/>
    <x v="29"/>
    <d v="2019-06-30T00:00:00"/>
    <n v="0"/>
    <s v="alpha2beta1 integrin, chemoresistance, leukemia"/>
  </r>
  <r>
    <x v="521"/>
    <s v="University Health Network (Toronto)"/>
    <x v="0"/>
    <x v="13"/>
    <s v="200810MOP"/>
    <x v="6"/>
    <s v="Identification and characterization of ovarian cancer initiating cells"/>
    <n v="100000"/>
    <n v="0"/>
    <n v="0"/>
    <m/>
    <s v="1 yr 0 mth "/>
    <x v="1"/>
    <s v="NEOPLASMS; CANCER"/>
    <x v="3"/>
    <d v="2010-02-28T00:00:00"/>
    <n v="0"/>
    <s v="ovarian cancer, initiating cells, characterization"/>
  </r>
  <r>
    <x v="522"/>
    <s v="University Health Network (Toronto)"/>
    <x v="0"/>
    <x v="13"/>
    <s v="200809MOP"/>
    <x v="6"/>
    <s v="Probing the Temporal Dynamics of Tumor Cell Kill and Vascular Damage in Radiation Therapy using Optical Molecular Imaging Techniques"/>
    <n v="347478"/>
    <n v="0"/>
    <n v="0"/>
    <m/>
    <s v="3 yrs 0 mth "/>
    <x v="1"/>
    <s v="CANCER THERAPY GENERAL; CANCER; IMAGING"/>
    <x v="10"/>
    <d v="2012-03-31T00:00:00"/>
    <n v="1"/>
    <s v="Tumor, Radiation, Imaging"/>
  </r>
  <r>
    <x v="523"/>
    <s v="University Health Network (Toronto)"/>
    <x v="0"/>
    <x v="13"/>
    <s v="200809MOP"/>
    <x v="14"/>
    <s v="Molecular dynamics of the cell-surface proteome in primary prostate cancer cells: Towards a community resource for therapeutic intervention and biomarker discovery"/>
    <n v="383699"/>
    <n v="0"/>
    <n v="0"/>
    <m/>
    <s v="3 yrs 0 mth "/>
    <x v="1"/>
    <s v="PROSTATE AND BLADDER CANCER THERAPY; GENOMICS, PROTEOMICS, AND BIOINFORMATICS; CANCER"/>
    <x v="10"/>
    <d v="2012-03-31T00:00:00"/>
    <n v="2"/>
    <s v="molecular dynamics, cell-surface proteome, prostate cancer"/>
  </r>
  <r>
    <x v="524"/>
    <s v="University Health Network (Toronto)"/>
    <x v="0"/>
    <x v="13"/>
    <s v="200809MOP"/>
    <x v="11"/>
    <s v="Delivery improvements for photodynamic therapy"/>
    <n v="451912"/>
    <n v="0"/>
    <n v="0"/>
    <m/>
    <s v="4 yrs 0 mth "/>
    <x v="1"/>
    <s v="CANCER THERAPY GENERAL; BRAIN TUMORS THERAPY; BIOPHYSICS; CANCER"/>
    <x v="10"/>
    <d v="2013-03-31T00:00:00"/>
    <n v="3"/>
    <s v="delivery, photodynamic, therapy"/>
  </r>
  <r>
    <x v="525"/>
    <s v="University Health Network (Toronto)"/>
    <x v="0"/>
    <x v="13"/>
    <s v="200903MOP"/>
    <x v="14"/>
    <s v="DNA Hypermethylation in AML: A means to understand the disease and to direct therapy"/>
    <n v="391824"/>
    <n v="0"/>
    <n v="0"/>
    <m/>
    <s v="3 yrs 0 mth "/>
    <x v="1"/>
    <s v="NEOPLASMS; LEUKAEMIAS; CANCER; MOLECULAR BIOLOGY"/>
    <x v="4"/>
    <d v="2012-09-30T00:00:00"/>
    <n v="2"/>
    <s v="DNA, Hypermethylation, AML"/>
  </r>
  <r>
    <x v="526"/>
    <s v="University Health Network (Toronto)"/>
    <x v="0"/>
    <x v="13"/>
    <s v="200903MOP"/>
    <x v="6"/>
    <s v="Adaptation to hypoxia in cancer through the unfolded protein response"/>
    <n v="845046"/>
    <n v="0"/>
    <n v="0"/>
    <m/>
    <s v="5 yrs 0 mth "/>
    <x v="1"/>
    <s v="CANCER THERAPY GENERAL; CANCER; CELL BIOLOGY"/>
    <x v="4"/>
    <d v="2014-09-30T00:00:00"/>
    <n v="0"/>
    <s v="hypoxia, unfolded protein response, cancer"/>
  </r>
  <r>
    <x v="524"/>
    <s v="University Health Network (Toronto)"/>
    <x v="0"/>
    <x v="13"/>
    <s v="200903MOP"/>
    <x v="11"/>
    <s v="Breast cancer risk assessment using optical transillumination spectroscopy"/>
    <n v="661302"/>
    <n v="0"/>
    <n v="0"/>
    <m/>
    <s v="5 yrs 0 mth "/>
    <x v="1"/>
    <s v="BREAST CANCER; EPIDEMIOLOGY; BIOPHYSICS; CANCER"/>
    <x v="4"/>
    <d v="2014-09-30T00:00:00"/>
    <n v="0"/>
    <s v="breast cancer, optical transillumination, spectroscopy"/>
  </r>
  <r>
    <x v="527"/>
    <s v="University Health Network (Toronto)"/>
    <x v="0"/>
    <x v="13"/>
    <s v="200909MOP"/>
    <x v="6"/>
    <s v="Role of APLF in DNA damage signaling, DNA repair and in the maintenance of genome stability"/>
    <n v="325560"/>
    <n v="0"/>
    <n v="0"/>
    <m/>
    <s v="3 yrs 0 mth "/>
    <x v="1"/>
    <s v="BREAST CANCER; BREAST CANCER THERAPY; MOLECULAR BIOLOGY; CANCER"/>
    <x v="22"/>
    <d v="2013-03-31T00:00:00"/>
    <n v="0"/>
    <s v="APLF,DNA repair,genome stability"/>
  </r>
  <r>
    <x v="528"/>
    <s v="University Health Network (Toronto)"/>
    <x v="0"/>
    <x v="13"/>
    <s v="200909MOP"/>
    <x v="6"/>
    <s v="Small Molecule Inhibitors Against a Novel Radio- and Chemo-sensitizing Target for Human Cancers"/>
    <n v="422554"/>
    <n v="0"/>
    <n v="0"/>
    <m/>
    <s v="3 yrs 0 mth "/>
    <x v="1"/>
    <s v="CANCER THERAPY GENERAL; NEOPLASMS; CANCER"/>
    <x v="22"/>
    <d v="2013-03-31T00:00:00"/>
    <n v="3"/>
    <s v="Small molecule, Inhibitors, Cancers"/>
  </r>
  <r>
    <x v="529"/>
    <s v="University Health Network (Toronto)"/>
    <x v="0"/>
    <x v="13"/>
    <s v="200909MOP"/>
    <x v="6"/>
    <s v="Identification of molecular pathways associated with Notch activation in triple-negative breast cancer"/>
    <n v="346950"/>
    <n v="0"/>
    <n v="0"/>
    <m/>
    <s v="3 yrs 0 mth "/>
    <x v="1"/>
    <s v="BREAST CANCER; BREAST CANCER THERAPY; CANCER; MOLECULAR BIOLOGY"/>
    <x v="22"/>
    <d v="2013-03-31T00:00:00"/>
    <n v="0"/>
    <s v="Notch, molecular pathways, breast cancer"/>
  </r>
  <r>
    <x v="530"/>
    <s v="University Health Network (Toronto)"/>
    <x v="0"/>
    <x v="13"/>
    <s v="200909MOP"/>
    <x v="14"/>
    <s v="Distribution of anticancer drugs and target cells within solid tumours"/>
    <n v="379994"/>
    <n v="0"/>
    <n v="0"/>
    <m/>
    <s v="3 yrs 0 mth "/>
    <x v="1"/>
    <s v="CANCER THERAPY GENERAL; NEOPLASMS; CANCER; CELL BIOLOGY"/>
    <x v="22"/>
    <d v="2013-03-31T00:00:00"/>
    <n v="0"/>
    <s v="anticancer, drugs, tumours"/>
  </r>
  <r>
    <x v="524"/>
    <s v="University Health Network (Toronto)"/>
    <x v="0"/>
    <x v="13"/>
    <s v="200909MOP"/>
    <x v="12"/>
    <s v="Lab-on-a-chip platform for single rare cell genomic and proteomic analysis"/>
    <n v="373708"/>
    <n v="0"/>
    <n v="0"/>
    <m/>
    <s v="4 yrs 0 mth "/>
    <x v="1"/>
    <s v="MULTIPLE DISEASE RELEVANCE; BIOPHYSICS; CANCER"/>
    <x v="22"/>
    <d v="2014-03-31T00:00:00"/>
    <n v="0"/>
    <s v="lab-on-a-chip, genomics, proteomics"/>
  </r>
  <r>
    <x v="531"/>
    <s v="University Health Network (Toronto)"/>
    <x v="0"/>
    <x v="13"/>
    <s v="200909MOP"/>
    <x v="14"/>
    <s v="Hypoxia:  Effects on Tumour Response and Progression in Cervix Cancer"/>
    <n v="599314"/>
    <n v="0"/>
    <n v="0"/>
    <m/>
    <s v="4 yrs 0 mth "/>
    <x v="1"/>
    <s v="CANCER THERAPY GENERAL; CANCER; CELL BIOLOGY"/>
    <x v="22"/>
    <d v="2014-03-31T00:00:00"/>
    <n v="0"/>
    <s v="Hypoxia, Tumour, Cervix Cancer"/>
  </r>
  <r>
    <x v="532"/>
    <s v="University Health Network (Toronto)"/>
    <x v="0"/>
    <x v="13"/>
    <s v="200909MOP"/>
    <x v="11"/>
    <s v="Engineering Gold Nanoparticle Radiosensitizers for Cancer Therapy"/>
    <n v="559353"/>
    <n v="0"/>
    <n v="0"/>
    <m/>
    <s v="5 yrs 0 mth "/>
    <x v="1"/>
    <s v="CANCER THERAPY GENERAL; MULTIDISCIPLINARY; CANCER; BIOPHYSICS"/>
    <x v="22"/>
    <d v="2015-03-31T00:00:00"/>
    <n v="1"/>
    <s v="Gold, Nanoparticles, Radiosensitizers"/>
  </r>
  <r>
    <x v="533"/>
    <s v="University Health Network (Toronto)"/>
    <x v="0"/>
    <x v="13"/>
    <s v="201003MOP"/>
    <x v="6"/>
    <s v="The roles of p53 and p73 in DNA repair and oncogenesis."/>
    <n v="851814"/>
    <n v="0"/>
    <n v="0"/>
    <m/>
    <s v="5 yrs 0 mth "/>
    <x v="1"/>
    <s v="NEOPLASMS; CANCER; GENETICS"/>
    <x v="5"/>
    <d v="2015-06-30T00:00:00"/>
    <n v="0"/>
    <s v="p53, p73, DNA repair"/>
  </r>
  <r>
    <x v="534"/>
    <s v="University Health Network (Toronto)"/>
    <x v="0"/>
    <x v="13"/>
    <s v="201003MOP"/>
    <x v="13"/>
    <s v="Characterization of importance of sCD200 levels for prognosis in CLL patients"/>
    <n v="599397"/>
    <n v="0"/>
    <n v="0"/>
    <m/>
    <s v="5 yrs 0 mth "/>
    <x v="1"/>
    <s v="LEUKAEMIAS; CANCER THERAPY GENERAL; CANCER; BLOOD"/>
    <x v="5"/>
    <d v="2015-09-30T00:00:00"/>
    <n v="1"/>
    <s v="sCD200, prognosis, CLL"/>
  </r>
  <r>
    <x v="535"/>
    <s v="University Health Network (Toronto)"/>
    <x v="0"/>
    <x v="13"/>
    <s v="201103MOP"/>
    <x v="13"/>
    <s v="A Systematic Proteomic Analysis Strategy for Biomarker Discovery in Head &amp; Neck Cancer"/>
    <n v="437079"/>
    <n v="0"/>
    <n v="0"/>
    <m/>
    <s v="3 yrs 0 mth "/>
    <x v="1"/>
    <s v="CANCER THERAPY GENERAL; BLOOD; CANCER; GENOMICS, PROTEOMICS, AND BIOINFORMATICS"/>
    <x v="23"/>
    <d v="2014-09-30T00:00:00"/>
    <n v="1"/>
    <s v="Proteomic, Biomarker, Cancer"/>
  </r>
  <r>
    <x v="536"/>
    <s v="University Health Network (Toronto)"/>
    <x v="0"/>
    <x v="13"/>
    <s v="201103MOP"/>
    <x v="14"/>
    <s v="Roles of carcinoma associated fibroblasts and tumor stromal genes in lung cancer"/>
    <n v="812446"/>
    <n v="0"/>
    <n v="0"/>
    <m/>
    <s v="5 yrs 0 mth "/>
    <x v="1"/>
    <s v="LUNG CANCER; LUNG CANCER THERAPY; CANCER; CELL BIOLOGY"/>
    <x v="23"/>
    <d v="2016-09-30T00:00:00"/>
    <n v="0"/>
    <s v="carcinoma associated fibroblasts, tumor stromal genes, lung cancer"/>
  </r>
  <r>
    <x v="530"/>
    <s v="University Health Network (Toronto)"/>
    <x v="0"/>
    <x v="13"/>
    <s v="201109MOP"/>
    <x v="14"/>
    <s v="Phase II clinical trial of pantoprazole and docetaxel for men with metastatic castration-resistant prostate cancer"/>
    <n v="297244"/>
    <n v="0"/>
    <n v="0"/>
    <m/>
    <s v="3 yrs 0 mth "/>
    <x v="1"/>
    <s v="PROSTATE AND BLADDER CANCER THERAPY; CANCER"/>
    <x v="28"/>
    <d v="2015-03-31T00:00:00"/>
    <n v="0"/>
    <s v="pantoprazole, docetaxel, prostate cancer"/>
  </r>
  <r>
    <x v="537"/>
    <s v="University Health Network (Toronto)"/>
    <x v="0"/>
    <x v="13"/>
    <s v="201109MOP"/>
    <x v="13"/>
    <s v="Towards a Better Understanding of Breast Cancer Intratumoural Heterogeneity"/>
    <n v="403829"/>
    <n v="0"/>
    <n v="0"/>
    <m/>
    <s v="3 yrs 0 mth "/>
    <x v="1"/>
    <s v="BREAST CANCER; NEOPLASMS; CANCER; GENETICS"/>
    <x v="28"/>
    <d v="2015-03-31T00:00:00"/>
    <n v="0"/>
    <s v="breast cancer, intratumoural heterogeneity"/>
  </r>
  <r>
    <x v="525"/>
    <s v="University Health Network (Toronto)"/>
    <x v="0"/>
    <x v="13"/>
    <s v="201109MOP"/>
    <x v="13"/>
    <s v="CSF1R as a therapeutic target in Acute Myeloid Leukemia"/>
    <n v="361800"/>
    <n v="0"/>
    <n v="0"/>
    <m/>
    <s v="3 yrs 0 mth "/>
    <x v="1"/>
    <s v="LEUKAEMIAS; CANCER THERAPY GENERAL; CANCER; BLOOD"/>
    <x v="28"/>
    <d v="2015-03-31T00:00:00"/>
    <n v="0"/>
    <s v="CSF1R, Acute Myeloid Leukemia, therapeutic target"/>
  </r>
  <r>
    <x v="538"/>
    <s v="University Health Network (Toronto)"/>
    <x v="0"/>
    <x v="13"/>
    <s v="201109MOP"/>
    <x v="13"/>
    <s v="A small molecule inhibitor of G protein-coupled Receptor Kinase 6 (GRK6) to treat human Multiple Myeloma and related diseases"/>
    <n v="361800"/>
    <n v="0"/>
    <n v="0"/>
    <m/>
    <s v="3 yrs 0 mth "/>
    <x v="1"/>
    <s v="CANCER THERAPY GENERAL; BONE CANCER THERAPY; CANCER; DRUG RESEARCH"/>
    <x v="28"/>
    <d v="2015-03-31T00:00:00"/>
    <n v="1"/>
    <s v="small molecule, G protein-coupled Receptor Kinase 6, Multiple Myeloma"/>
  </r>
  <r>
    <x v="539"/>
    <s v="University Health Network (Toronto)"/>
    <x v="0"/>
    <x v="13"/>
    <s v="201109MOP"/>
    <x v="13"/>
    <s v="Role of Bone Marrow Derived Progenitor Cells in Brain Tumor Neovascularizatoin"/>
    <n v="385251"/>
    <n v="0"/>
    <n v="0"/>
    <m/>
    <s v="3 yrs 0 mth "/>
    <x v="1"/>
    <s v="BRAIN TUMORS (INCL. RETINAL TUMORS); BRAIN TUMORS THERAPY; CANCER; NERVOUS SYSTEM"/>
    <x v="28"/>
    <d v="2015-03-31T00:00:00"/>
    <n v="0"/>
    <s v="Bone Marrow, Progenitor Cells, Brain Tumor"/>
  </r>
  <r>
    <x v="540"/>
    <s v="University Health Network (Toronto)"/>
    <x v="0"/>
    <x v="13"/>
    <s v="201109MOP"/>
    <x v="6"/>
    <s v="Porphysome nanoparticle-enabled minimally invasive transbronchial photothermal ablation of lung cancer"/>
    <n v="756699"/>
    <n v="0"/>
    <n v="0"/>
    <m/>
    <s v="5 yrs 0 mth "/>
    <x v="1"/>
    <s v="LUNG CANCER THERAPY; MULTIDISCIPLINARY; CANCER; IMAGING"/>
    <x v="28"/>
    <d v="2017-03-31T00:00:00"/>
    <n v="6"/>
    <s v="Porphysome, nanoparticle, photothermal"/>
  </r>
  <r>
    <x v="541"/>
    <s v="University Health Network (Toronto)"/>
    <x v="0"/>
    <x v="13"/>
    <s v="201109MOP"/>
    <x v="13"/>
    <s v="Development of personalized immunotherapy to treat lung cancer using gamma-delta-T cells"/>
    <n v="785005"/>
    <n v="0"/>
    <n v="0"/>
    <m/>
    <s v="5 yrs 0 mth "/>
    <x v="1"/>
    <s v="LUNG CANCER THERAPY; CANCER THERAPY GENERAL; CANCER; IMMUNOLOGY-TRANSPLANTATION"/>
    <x v="28"/>
    <d v="2017-03-31T00:00:00"/>
    <n v="8"/>
    <s v="immunotherapy, gamma-delta-T cells, lung cancer"/>
  </r>
  <r>
    <x v="542"/>
    <s v="University Health Network (Toronto)"/>
    <x v="0"/>
    <x v="13"/>
    <s v="201203MOP"/>
    <x v="14"/>
    <s v="Biomarkers for the detection of aggressive prostate cancers: Application of targeted proteomics to clinically stratified expressed prostatic secretions and urines"/>
    <n v="346847"/>
    <n v="0"/>
    <n v="0"/>
    <m/>
    <s v="3 yrs 0 mth "/>
    <x v="1"/>
    <s v="PROSTATE AND BLADDER CANCER; CANCER; GENOMICS, PROTEOMICS, AND BIOINFORMATICS"/>
    <x v="21"/>
    <d v="2015-09-30T00:00:00"/>
    <n v="1"/>
    <s v="biomarkers, proteomics, prostate"/>
  </r>
  <r>
    <x v="543"/>
    <s v="University Health Network (Toronto)"/>
    <x v="0"/>
    <x v="13"/>
    <s v="201203MOP"/>
    <x v="13"/>
    <s v="The Pharmacogenetics of Bevacizumab: A Companion Correlative Study of the Ovarian Cancer Clinical Trial, ICON7"/>
    <n v="390342"/>
    <n v="0"/>
    <n v="0"/>
    <m/>
    <s v="3 yrs 0 mth "/>
    <x v="1"/>
    <s v="CANCER THERAPY GENERAL"/>
    <x v="21"/>
    <d v="2015-09-30T00:00:00"/>
    <n v="0"/>
    <s v="Pharmacogenetics, Bevacizumab, Ovarian Cancer"/>
  </r>
  <r>
    <x v="522"/>
    <s v="University Health Network (Toronto)"/>
    <x v="0"/>
    <x v="13"/>
    <s v="201203MOP"/>
    <x v="6"/>
    <s v="Developing Preclinical Optical Imaging Tools for Studying Vasculature, Microenvironment, and Radiation Response of Solid Tumours In Vivo."/>
    <n v="447823"/>
    <n v="0"/>
    <n v="0"/>
    <m/>
    <s v="4 yrs 0 mth "/>
    <x v="1"/>
    <s v="CANCER THERAPY GENERAL"/>
    <x v="21"/>
    <d v="2016-09-30T00:00:00"/>
    <n v="7"/>
    <s v="Optical imaging, Vasculature, Tumours"/>
  </r>
  <r>
    <x v="544"/>
    <s v="University Health Network (Toronto)"/>
    <x v="0"/>
    <x v="13"/>
    <s v="201203MOP"/>
    <x v="14"/>
    <s v="Role of HK2 in Regulating Brain Tumor Metabolism and Angiogenesis"/>
    <n v="560636"/>
    <n v="0"/>
    <n v="0"/>
    <m/>
    <s v="4 yrs 0 mth "/>
    <x v="1"/>
    <s v="BRAIN TUMORS (INCL. RETINAL TUMORS); BRAIN TUMORS THERAPY; CANCER; NERVOUS SYSTEM"/>
    <x v="21"/>
    <d v="2016-09-30T00:00:00"/>
    <n v="0"/>
    <s v="HK2, Brain Tumor, Angiogenesis"/>
  </r>
  <r>
    <x v="545"/>
    <s v="University Health Network (Toronto)"/>
    <x v="0"/>
    <x v="13"/>
    <s v="201203MOP"/>
    <x v="12"/>
    <s v="Ocular Biomechanics and Glaucoma:  Finite Element Modeling of the Optic Nerve's Response to Biomechanical Insult and it's Role in Astrocyte Activation"/>
    <n v="692821"/>
    <n v="0"/>
    <n v="0"/>
    <m/>
    <s v="5 yrs 0 mth "/>
    <x v="3"/>
    <s v="GLAUCOMA; DISEASES AFFECTING SPEECH/VISION/HEARING; VISION; BIOPHYSICS"/>
    <x v="21"/>
    <d v="2017-09-30T00:00:00"/>
    <n v="1"/>
    <s v="ocular, biomechanics, glaucoma"/>
  </r>
  <r>
    <x v="546"/>
    <s v="University Health Network (Toronto)"/>
    <x v="0"/>
    <x v="13"/>
    <s v="201209MOP"/>
    <x v="6"/>
    <s v="Hypoxia in micrometastases as a cause of treatment failure in the adjuvant setting"/>
    <n v="245857"/>
    <n v="0"/>
    <n v="0"/>
    <m/>
    <s v="3 yrs 0 mth "/>
    <x v="1"/>
    <s v="GASTRO-INTESTINAL CANCER; GASTRO-INTESTINAL CANCER THERAPY; CANCER; HEALTH RESEARCH"/>
    <x v="15"/>
    <d v="2016-03-31T00:00:00"/>
    <n v="0"/>
    <s v="hypoxia, micrometastases, treatment failure"/>
  </r>
  <r>
    <x v="528"/>
    <s v="University Health Network (Toronto)"/>
    <x v="0"/>
    <x v="13"/>
    <s v="201209MOP"/>
    <x v="13"/>
    <s v="Discovery and Characterization of UROD Inhibitors for Cancer Therapy"/>
    <n v="457488"/>
    <n v="0"/>
    <n v="0"/>
    <m/>
    <s v="3 yrs 0 mth "/>
    <x v="1"/>
    <s v="CANCER THERAPY GENERAL; CANCER"/>
    <x v="15"/>
    <d v="2016-03-31T00:00:00"/>
    <n v="0"/>
    <s v="UROD, Inhibitors, Cancer"/>
  </r>
  <r>
    <x v="547"/>
    <s v="University Health Network (Toronto)"/>
    <x v="0"/>
    <x v="13"/>
    <s v="201209MOP"/>
    <x v="13"/>
    <s v="Tumour-Initiating Cells in Oral Cancer Patients: Predictors of Outcome and Identification of Candidate Therapeutic Targets"/>
    <n v="523091"/>
    <n v="0"/>
    <n v="0"/>
    <m/>
    <s v="4 yrs 0 mth "/>
    <x v="1"/>
    <s v="NEOPLASMS; CANCER; HEALTH RESEARCH"/>
    <x v="15"/>
    <d v="2017-03-31T00:00:00"/>
    <n v="0"/>
    <s v="Tumour-Initiating Cells, Oral Cancer, Therapeutic Targets"/>
  </r>
  <r>
    <x v="548"/>
    <s v="University Health Network (Toronto)"/>
    <x v="0"/>
    <x v="13"/>
    <s v="201209MOP"/>
    <x v="14"/>
    <s v="Molecular dissection of TIMP3-dependent hepatocellular carcinoma"/>
    <n v="623520"/>
    <n v="0"/>
    <n v="0"/>
    <m/>
    <s v="5 yrs 0 mth "/>
    <x v="1"/>
    <s v="CANCER THERAPY GENERAL; LIVER DISEASE; CANCER"/>
    <x v="15"/>
    <d v="2018-03-31T00:00:00"/>
    <n v="0"/>
    <s v="TIMP3, hepatocellular carcinoma, molecular"/>
  </r>
  <r>
    <x v="549"/>
    <s v="University Health Network (Toronto)"/>
    <x v="0"/>
    <x v="13"/>
    <s v="201209MOP"/>
    <x v="13"/>
    <s v="Inhibiting oncogenic kinases to target metabolism in AML"/>
    <n v="714400"/>
    <n v="0"/>
    <n v="0"/>
    <m/>
    <s v="5 yrs 0 mth "/>
    <x v="1"/>
    <s v="LEUKAEMIAS; CANCER THERAPY GENERAL; CANCER; BLOOD"/>
    <x v="15"/>
    <d v="2018-03-31T00:00:00"/>
    <n v="1"/>
    <s v="kinases, metabolism, AML"/>
  </r>
  <r>
    <x v="550"/>
    <s v="University Health Network (Toronto)"/>
    <x v="0"/>
    <x v="13"/>
    <s v="201209MOP"/>
    <x v="11"/>
    <s v="Optical coherence tomography for assessment of early radiobiological response in-vivo"/>
    <n v="500960"/>
    <n v="0"/>
    <n v="0"/>
    <m/>
    <s v="5 yrs 0 mth "/>
    <x v="1"/>
    <s v="CANCER THERAPY GENERAL; BIOPHYSICS; IMAGING"/>
    <x v="15"/>
    <d v="2018-03-31T00:00:00"/>
    <n v="0"/>
    <s v="Optical coherence tomography, radiobiological response, in-vivo"/>
  </r>
  <r>
    <x v="551"/>
    <s v="University Health Network (Toronto)"/>
    <x v="0"/>
    <x v="13"/>
    <s v="201303MOP"/>
    <x v="11"/>
    <s v="Improved treatment of cervical cancer through heat-activated delivery of chemo-radiosensitizing agents in combination with radiotherapy"/>
    <n v="328486"/>
    <n v="0"/>
    <n v="0"/>
    <m/>
    <s v="3 yrs 0 mth "/>
    <x v="1"/>
    <s v="CANCER THERAPY GENERAL; CANCER"/>
    <x v="24"/>
    <d v="2016-09-30T00:00:00"/>
    <n v="0"/>
    <s v="cervical cancer, heat-activated, chemo-radiosensitizing"/>
  </r>
  <r>
    <x v="552"/>
    <s v="University Health Network (Toronto)"/>
    <x v="0"/>
    <x v="13"/>
    <s v="201303MOP"/>
    <x v="11"/>
    <s v="A potential biomarker for vascular dementia"/>
    <n v="324598"/>
    <n v="0"/>
    <n v="0"/>
    <m/>
    <s v="4 yrs 0 mth "/>
    <x v="6"/>
    <s v="CNS ORGANIC; AGING; NERVOUS SYSTEM; IMAGING"/>
    <x v="24"/>
    <d v="2018-03-31T00:00:00"/>
    <n v="0"/>
    <s v="biomarker, vascular, dementia"/>
  </r>
  <r>
    <x v="553"/>
    <s v="University Health Network (Toronto)"/>
    <x v="0"/>
    <x v="13"/>
    <s v="201303MOP"/>
    <x v="6"/>
    <s v="Investigation of Dendritic Cell De-differentiation in Cancer"/>
    <n v="673346"/>
    <n v="0"/>
    <n v="0"/>
    <m/>
    <s v="5 yrs 0 mth "/>
    <x v="1"/>
    <s v="CANCER THERAPY GENERAL; NEOPLASMS; CANCER"/>
    <x v="24"/>
    <d v="2018-09-30T00:00:00"/>
    <n v="0"/>
    <s v="Dendritic cell, De-differentiation, Cancer"/>
  </r>
  <r>
    <x v="542"/>
    <s v="University Health Network (Toronto)"/>
    <x v="0"/>
    <x v="13"/>
    <s v="201309MOP"/>
    <x v="14"/>
    <s v="A Novel Biomarker Discovery Strategy Combining Primary Tumour Xenograft Models and Glyco-Capture of Secreted Proteins"/>
    <n v="351553"/>
    <n v="0"/>
    <n v="0"/>
    <m/>
    <s v="3 yrs 0 mth "/>
    <x v="1"/>
    <s v="CANCER; GENOMICS, PROTEOMICS, AND BIOINFORMATICS"/>
    <x v="11"/>
    <d v="2017-03-31T00:00:00"/>
    <n v="0"/>
    <s v="Biomarker, Xenograft, Glyco-Capture"/>
  </r>
  <r>
    <x v="554"/>
    <s v="University Health Network (Toronto)"/>
    <x v="0"/>
    <x v="13"/>
    <s v="201309MOP"/>
    <x v="6"/>
    <s v="A model for Group C Medulloblastoma induced by deletion of RB1 and p53 tumor suppressors"/>
    <n v="486928"/>
    <n v="0"/>
    <n v="0"/>
    <m/>
    <s v="4 yrs 0 mth "/>
    <x v="1"/>
    <s v="BRAIN TUMORS (INCL. RETINAL TUMORS); BRAIN TUMORS THERAPY; CANCER; NERVOUS SYSTEM"/>
    <x v="11"/>
    <d v="2018-03-31T00:00:00"/>
    <n v="0"/>
    <s v="Medulloblastoma,RB1,p53"/>
  </r>
  <r>
    <x v="540"/>
    <s v="University Health Network (Toronto)"/>
    <x v="0"/>
    <x v="13"/>
    <s v="201309MOP"/>
    <x v="13"/>
    <s v="Improving cure rate of early stage lung cancer with personalized nanomedicine"/>
    <n v="695400"/>
    <n v="0"/>
    <n v="0"/>
    <m/>
    <s v="5 yrs 0 mth "/>
    <x v="1"/>
    <s v="LUNG CANCER THERAPY; MULTIDISCIPLINARY; CANCER"/>
    <x v="11"/>
    <d v="2017-06-30T00:00:00"/>
    <n v="3"/>
    <s v="lung cancer, nanomedicine, cure rate"/>
  </r>
  <r>
    <x v="555"/>
    <s v="University Health Network (Toronto)"/>
    <x v="0"/>
    <x v="13"/>
    <s v="201403MOP"/>
    <x v="13"/>
    <s v="Nanoparticle targeting of the liver"/>
    <n v="483813"/>
    <n v="0"/>
    <n v="0"/>
    <m/>
    <s v="3 yrs 0 mth "/>
    <x v="1"/>
    <s v="CANCER THERAPY GENERAL; MULTIPLE DISEASE RELEVANCE; CANCER; GASTROINTESTINAL (LIVER)"/>
    <x v="29"/>
    <d v="2017-06-30T00:00:00"/>
    <n v="0"/>
    <s v="Nanoparticle, targeting, liver"/>
  </r>
  <r>
    <x v="522"/>
    <s v="University Health Network (Toronto)"/>
    <x v="0"/>
    <x v="13"/>
    <s v="201403MOP"/>
    <x v="11"/>
    <s v="Portable Intraoperative Fluorescence Imaging for Real-time Margin Assessment and Guidance During Breast Cancer Surgery"/>
    <n v="333390"/>
    <n v="0"/>
    <n v="0"/>
    <m/>
    <s v="3 yrs 0 mth "/>
    <x v="1"/>
    <s v="BREAST CANCER; BREAST CANCER THERAPY; IMAGING; CANCER"/>
    <x v="29"/>
    <d v="2017-06-30T00:00:00"/>
    <n v="10"/>
    <s v="Intraoperative, Fluorescence Imaging, Breast Cancer"/>
  </r>
  <r>
    <x v="549"/>
    <s v="University Health Network (Toronto)"/>
    <x v="0"/>
    <x v="13"/>
    <s v="201403MOP"/>
    <x v="6"/>
    <s v="Targeting the mitochondrial proteasome, ClpP, in AML"/>
    <n v="707495"/>
    <n v="0"/>
    <n v="0"/>
    <m/>
    <s v="5 yrs 0 mth "/>
    <x v="1"/>
    <s v="LEUKAEMIAS; CANCER THERAPY GENERAL; CANCER; BLOOD"/>
    <x v="29"/>
    <d v="2017-06-30T00:00:00"/>
    <n v="0"/>
    <s v="mitochondrial proteasome, ClpP, AML"/>
  </r>
  <r>
    <x v="521"/>
    <s v="University Health Network (Toronto)"/>
    <x v="0"/>
    <x v="13"/>
    <s v="201403MOP"/>
    <x v="13"/>
    <s v="Cell of Origin and Tumor Initiating Cells in Serous Ovarian Cancer"/>
    <n v="804047"/>
    <n v="0"/>
    <n v="0"/>
    <m/>
    <s v="5 yrs 0 mth "/>
    <x v="1"/>
    <s v="NEOPLASMS; CANCER; CELL BIOLOGY"/>
    <x v="29"/>
    <d v="2019-06-30T00:00:00"/>
    <n v="5"/>
    <s v="Cell, Tumor, Ovarian"/>
  </r>
  <r>
    <x v="536"/>
    <s v="University Health Network (Toronto)"/>
    <x v="0"/>
    <x v="13"/>
    <s v="201403MOP"/>
    <x v="13"/>
    <s v="Functional Genomics and in vitro Modeling of Human Pancreatic Carcinogenesis"/>
    <n v="754235"/>
    <n v="0"/>
    <n v="0"/>
    <m/>
    <s v="5 yrs 0 mth "/>
    <x v="1"/>
    <s v="NEOPLASMS; GASTRO-INTESTINAL CANCER; CANCER; CELL BIOLOGY"/>
    <x v="29"/>
    <d v="2016-06-30T00:00:00"/>
    <n v="3"/>
    <s v="Genomics, in vitro, Pancreatic Carcinogenesis"/>
  </r>
  <r>
    <x v="556"/>
    <s v="University Health Network (Toronto)"/>
    <x v="0"/>
    <x v="13"/>
    <s v="201303MOP"/>
    <x v="6"/>
    <s v="Targeting colorectal cancer-initiating cells and anti-EGFR therapeutic resistance by manipulating levels of the reactive aldehyde, 4-hydroxynonenal"/>
    <n v="625730"/>
    <n v="0"/>
    <n v="0"/>
    <m/>
    <s v="4 yrs 0 mth "/>
    <x v="1"/>
    <s v="GASTRO-INTESTINAL CANCER; GASTRO-INTESTINAL CANCER THERAPY; CANCER; MOLECULAR BIOLOGY"/>
    <x v="31"/>
    <d v="2020-06-30T00:00:00"/>
    <n v="0"/>
    <s v="colorectal cancer, EGFR, aldehyde"/>
  </r>
  <r>
    <x v="557"/>
    <s v="University Health Network (Toronto)"/>
    <x v="0"/>
    <x v="13"/>
    <s v="201405MOP"/>
    <x v="6"/>
    <s v="Targeting hypoxia in pancreatic cancer through the unfolded protein response"/>
    <n v="100000"/>
    <n v="0"/>
    <n v="0"/>
    <m/>
    <s v="1 yr 0 mth "/>
    <x v="1"/>
    <s v="CANCER THERAPY GENERAL; NEOPLASMS"/>
    <x v="25"/>
    <d v="2020-06-30T00:00:00"/>
    <n v="0"/>
    <s v="hypoxia, pancreatic cancer, unfolded protein response"/>
  </r>
  <r>
    <x v="558"/>
    <s v="University Health Network (Toronto)"/>
    <x v="0"/>
    <x v="13"/>
    <s v="201503MOP"/>
    <x v="11"/>
    <s v="Improving Target Definition in Radiation Therapy Planning by the Spatial Registration of Optical Endoscopy Imaging with Volumetric Imaging"/>
    <n v="280582"/>
    <n v="0"/>
    <n v="0"/>
    <m/>
    <s v="3 yrs 0 mth "/>
    <x v="1"/>
    <s v="CANCER THERAPY GENERAL; GASTRO-INTESTINAL CANCER THERAPY; CANCER; IMAGING"/>
    <x v="25"/>
    <d v="2018-06-30T00:00:00"/>
    <n v="0"/>
    <s v="Radiation Therapy, Optical Endoscopy, Volumetric Imaging"/>
  </r>
  <r>
    <x v="557"/>
    <s v="University Health Network (Toronto)"/>
    <x v="0"/>
    <x v="13"/>
    <s v="201503MOP"/>
    <x v="6"/>
    <s v="Targeting hypoxia in pancreatic cancer through the unfolded protein response"/>
    <n v="738505"/>
    <n v="0"/>
    <n v="0"/>
    <m/>
    <s v="5 yrs 0 mth "/>
    <x v="1"/>
    <s v="CANCER THERAPY GENERAL; NEOPLASMS"/>
    <x v="25"/>
    <d v="2020-06-30T00:00:00"/>
    <n v="0"/>
    <s v="hypoxia, pancreatic cancer, unfolded protein response"/>
  </r>
  <r>
    <x v="559"/>
    <s v="University Health Network (Toronto)"/>
    <x v="0"/>
    <x v="13"/>
    <s v="201503MOP"/>
    <x v="14"/>
    <s v="Epigenetic Regulation and Noncoding RNA in Prostate Cancer Progression"/>
    <n v="695400"/>
    <n v="0"/>
    <n v="0"/>
    <m/>
    <s v="5 yrs 0 mth "/>
    <x v="1"/>
    <s v="PROSTATE AND BLADDER CANCER THERAPY; CANCER THERAPY GENERAL; CANCER; GENETICS"/>
    <x v="25"/>
    <d v="2021-06-30T00:00:00"/>
    <n v="1"/>
    <s v="Epigenetic, Noncoding RNA, Prostate Cancer"/>
  </r>
  <r>
    <x v="548"/>
    <s v="University Health Network (Toronto)"/>
    <x v="0"/>
    <x v="13"/>
    <s v="201503MOP"/>
    <x v="13"/>
    <s v="Discovery of Novel Therapeutic Targets in Osteosarcoma"/>
    <n v="802985"/>
    <n v="0"/>
    <n v="0"/>
    <m/>
    <s v="5 yrs 0 mth "/>
    <x v="1"/>
    <s v="BONE CANCER THERAPY; CANCER; MOLECULAR BIOLOGY"/>
    <x v="25"/>
    <d v="2017-06-30T00:00:00"/>
    <n v="0"/>
    <s v="Osteosarcoma, Therapeutic targets"/>
  </r>
  <r>
    <x v="560"/>
    <s v="University Health Network (Toronto)"/>
    <x v="0"/>
    <x v="13"/>
    <s v="201503MOP"/>
    <x v="13"/>
    <s v="Targeting the Mevalonate Pathway and its Restorative Feedback Loop"/>
    <n v="731950"/>
    <n v="0"/>
    <n v="0"/>
    <m/>
    <s v="5 yrs 0 mth "/>
    <x v="1"/>
    <s v="PROSTATE AND BLADDER CANCER THERAPY; CANCER THERAPY GENERAL; CANCER; MOLECULAR BIOLOGY"/>
    <x v="25"/>
    <d v="2021-06-30T00:00:00"/>
    <n v="0"/>
    <s v="Mevalonate pathway, feedback loop"/>
  </r>
  <r>
    <x v="561"/>
    <s v="University of Alberta"/>
    <x v="1"/>
    <x v="13"/>
    <s v="200809MOP"/>
    <x v="12"/>
    <s v="Vitrification and transplantation of articular cartilage"/>
    <n v="254422"/>
    <n v="0"/>
    <n v="0"/>
    <m/>
    <s v="3 yrs 0 mth "/>
    <x v="0"/>
    <s v="ARTHRITIS/OSTEOARTHRITIS; MUSCULO SKELETAL; MUSCLE, BONE, OR JOINT"/>
    <x v="10"/>
    <d v="2012-03-31T00:00:00"/>
    <n v="1"/>
    <s v="Vitrification, transplantation, articular cartilage"/>
  </r>
  <r>
    <x v="562"/>
    <s v="University of Alberta"/>
    <x v="1"/>
    <x v="13"/>
    <s v="200809MOP"/>
    <x v="11"/>
    <s v="Quantitative Magnetic Resonance Imaging of Neurodevelopment"/>
    <n v="733595"/>
    <n v="0"/>
    <n v="0"/>
    <m/>
    <s v="5 yrs 0 mth "/>
    <x v="3"/>
    <s v="CNS ORGANIC; MENTAL AND BEHAVIOURAL DISEASES; IMAGING; NERVOUS SYSTEM"/>
    <x v="10"/>
    <d v="2014-03-31T00:00:00"/>
    <n v="0"/>
    <s v="Magnetic Resonance, Imaging, Neurodevelopment"/>
  </r>
  <r>
    <x v="563"/>
    <s v="University of Alberta"/>
    <x v="1"/>
    <x v="13"/>
    <s v="200903MOP"/>
    <x v="11"/>
    <s v="Molecular imaging of cyclooxygenase-2 (COX-2) expression in vivo by means of positron emission tomography (PET)"/>
    <n v="321076"/>
    <n v="0"/>
    <n v="0"/>
    <m/>
    <s v="3 yrs 0 mth "/>
    <x v="1"/>
    <s v="GASTRO-INTESTINAL CANCER; DRUGS- PHARMACEUTICAL SCIENCE/CHEMISTRY &amp; NON MEDICAL USE OF DRUGS; IMAGING; CANCER"/>
    <x v="4"/>
    <d v="2012-09-30T00:00:00"/>
    <n v="0"/>
    <s v="molecular imaging, cyclooxygenase-2, positron emission tomography"/>
  </r>
  <r>
    <x v="564"/>
    <s v="University of Alberta"/>
    <x v="1"/>
    <x v="13"/>
    <s v="200909MOP"/>
    <x v="6"/>
    <s v="Polynucleotide kinase: its role in DNA single-strand break repair and a potential therapeutic target to enhance radio- and chemotherapy."/>
    <n v="531872"/>
    <n v="0"/>
    <n v="0"/>
    <m/>
    <s v="4 yrs 0 mth "/>
    <x v="1"/>
    <s v="CANCER THERAPY GENERAL; CANCER; BIOCHEMISTRY"/>
    <x v="22"/>
    <d v="2014-03-31T00:00:00"/>
    <n v="0"/>
    <s v="Polynucleotide kinase, DNA repair, chemotherapy"/>
  </r>
  <r>
    <x v="565"/>
    <s v="University of Alberta"/>
    <x v="1"/>
    <x v="13"/>
    <s v="200909MOP"/>
    <x v="11"/>
    <s v="Quantitative MRI for Multiple Sclerosis"/>
    <n v="664475"/>
    <n v="0"/>
    <n v="0"/>
    <m/>
    <s v="5 yrs 0 mth "/>
    <x v="3"/>
    <s v="MULTIPLE SCLEROSIS; IMAGING; MENTAL HEALTH"/>
    <x v="22"/>
    <d v="2014-09-30T00:00:00"/>
    <n v="0"/>
    <s v="MRI, Multiple Sclerosis"/>
  </r>
  <r>
    <x v="566"/>
    <s v="University of Alberta"/>
    <x v="1"/>
    <x v="13"/>
    <s v="201003MOP"/>
    <x v="11"/>
    <s v="Imaging the Mechanisms of Diastolic Dysfunction and its Role in Cardiovascular Performance"/>
    <n v="281098"/>
    <n v="0"/>
    <n v="0"/>
    <m/>
    <s v="3 yrs 0 mth "/>
    <x v="11"/>
    <s v="CARDIOLOGY; MULTIDISCIPLINARY; IMAGING; CARDIOVASCULAR"/>
    <x v="5"/>
    <d v="2013-09-30T00:00:00"/>
    <n v="1"/>
    <s v="Imaging, Diastolic Dysfunction, Cardiovascular"/>
  </r>
  <r>
    <x v="564"/>
    <s v="University of Alberta"/>
    <x v="1"/>
    <x v="13"/>
    <s v="201103MOP"/>
    <x v="6"/>
    <s v="Preclinical evaluation of polynucleotide kinase/phosphatase as a therapeutic target."/>
    <n v="357058"/>
    <n v="0"/>
    <n v="0"/>
    <m/>
    <s v="3 yrs 0 mth "/>
    <x v="1"/>
    <s v="CANCER THERAPY GENERAL; CANCER; DRUG RESEARCH"/>
    <x v="23"/>
    <d v="2014-09-30T00:00:00"/>
    <n v="0"/>
    <s v="polynucleotide kinase, phosphatase, therapeutic target"/>
  </r>
  <r>
    <x v="567"/>
    <s v="University of Alberta"/>
    <x v="1"/>
    <x v="13"/>
    <s v="201109MOP"/>
    <x v="6"/>
    <s v="Sarcopenia: a predictor of cancer treatment response, treatment toxicity &amp; drug metabolism"/>
    <n v="135206"/>
    <n v="0"/>
    <n v="0"/>
    <m/>
    <s v="2 yrs 0 mth "/>
    <x v="1"/>
    <s v="LUNG CANCER THERAPY; CANCER THERAPY GENERAL; CANCER"/>
    <x v="28"/>
    <d v="2014-03-31T00:00:00"/>
    <n v="0"/>
    <s v="Sarcopenia, cancer, metabolism"/>
  </r>
  <r>
    <x v="568"/>
    <s v="University of Alberta"/>
    <x v="1"/>
    <x v="13"/>
    <s v="201109MOP"/>
    <x v="12"/>
    <s v="Designing Amphiphilic Polymeric Carriers of DNA for Gene Therapy"/>
    <n v="513029"/>
    <n v="0"/>
    <n v="0"/>
    <m/>
    <s v="4 yrs 0 mth "/>
    <x v="0"/>
    <s v="MUSCULO SKELETAL; SKIN AND SUBCUTANEOUS TISSUS; CELL BIOLOGY; DRUG RESEARCH"/>
    <x v="28"/>
    <d v="2016-03-31T00:00:00"/>
    <n v="1"/>
    <s v="Amphiphilic, Polymeric, DNA"/>
  </r>
  <r>
    <x v="569"/>
    <s v="University of Alberta"/>
    <x v="1"/>
    <x v="13"/>
    <s v="201203MOP"/>
    <x v="12"/>
    <s v="Prevention of Pressure Ulcer Formation using Intermittent Electrical Stimulation"/>
    <n v="459602"/>
    <n v="0"/>
    <n v="0"/>
    <m/>
    <s v="3 yrs 6 mths "/>
    <x v="3"/>
    <s v="SPINAL CORD DISEASE; MUSCULO SKELETAL; NERVOUS SYSTEM; MUSCLE, BONE, OR JOINT"/>
    <x v="21"/>
    <d v="2016-03-31T00:00:00"/>
    <n v="2"/>
    <s v="Pressure ulcer, electrical stimulation, prevention"/>
  </r>
  <r>
    <x v="570"/>
    <s v="University of Alberta"/>
    <x v="1"/>
    <x v="13"/>
    <s v="201209MOP"/>
    <x v="13"/>
    <s v="The Biological and Clinical Significance of Platelet Derived Growth Factor Receptor in Papillary Thyroid Cancer"/>
    <n v="642147"/>
    <n v="0"/>
    <n v="0"/>
    <m/>
    <s v="5 yrs 0 mth "/>
    <x v="1"/>
    <s v="THYROID; NEOPLASMS; CELL BIOLOGY; DRUG RESEARCH"/>
    <x v="15"/>
    <d v="2018-03-31T00:00:00"/>
    <n v="2"/>
    <s v="Platelet, Growth Factor Receptor, Thyroid Cancer"/>
  </r>
  <r>
    <x v="569"/>
    <s v="University of Alberta"/>
    <x v="1"/>
    <x v="13"/>
    <s v="201303MOP"/>
    <x v="12"/>
    <s v="Intraspinal Neural Prosthesis for Restoring Function after Spinal Cord Injury"/>
    <n v="661685"/>
    <n v="0"/>
    <n v="0"/>
    <m/>
    <s v="4 yrs 0 mth "/>
    <x v="3"/>
    <s v="SPINAL CORD DISEASE; MUSCULO SKELETAL; NERVOUS SYSTEM; MUSCLE, BONE, OR JOINT"/>
    <x v="24"/>
    <d v="2018-03-31T00:00:00"/>
    <n v="0"/>
    <s v="neural prosthesis, spinal cord, injury"/>
  </r>
  <r>
    <x v="571"/>
    <s v="University of Alberta"/>
    <x v="1"/>
    <x v="13"/>
    <s v="201303MOP"/>
    <x v="14"/>
    <s v="Role of Brain Fatty Acid-binding Protein in Malignant Glioma Progression"/>
    <n v="723341"/>
    <n v="0"/>
    <n v="100000"/>
    <s v="Alberta Cancer Foundation"/>
    <s v="5 yrs 0 mth "/>
    <x v="1"/>
    <s v="BRAIN TUMORS (INCL. RETINAL TUMORS); NEOPLASMS; CANCER; MOLECULAR BIOLOGY"/>
    <x v="24"/>
    <d v="2018-09-30T00:00:00"/>
    <n v="0"/>
    <s v="Brain, Fatty Acid-binding Protein, Glioma"/>
  </r>
  <r>
    <x v="572"/>
    <s v="University of Alberta"/>
    <x v="1"/>
    <x v="13"/>
    <s v="201303MOP"/>
    <x v="13"/>
    <s v="The development of safer oncolytic poxviruses dependent on cellular dNTP synthesis"/>
    <n v="748558"/>
    <n v="0"/>
    <n v="0"/>
    <m/>
    <s v="5 yrs 0 mth "/>
    <x v="1"/>
    <s v="CANCER THERAPY GENERAL; VIRAL; CANCER; VIROLOGY"/>
    <x v="24"/>
    <d v="2018-09-30T00:00:00"/>
    <n v="1"/>
    <s v="oncolytic poxviruses, dNTP synthesis"/>
  </r>
  <r>
    <x v="573"/>
    <s v="University of Alberta"/>
    <x v="1"/>
    <x v="13"/>
    <s v="201110MOP"/>
    <x v="12"/>
    <s v="Cryobiology and Preservation of Cells and Tissues"/>
    <n v="100000"/>
    <n v="0"/>
    <n v="0"/>
    <m/>
    <s v="1 yr 0 mth "/>
    <x v="3"/>
    <s v="MULTIDISCIPLINARY; MULTIPLE DISEASE RELEVANCE; NOT CLASSIFIED; BIOPHYSICS"/>
    <x v="11"/>
    <d v="2019-03-31T00:00:00"/>
    <n v="0"/>
    <s v="Cryobiology, Preservation, Cells"/>
  </r>
  <r>
    <x v="574"/>
    <s v="University of Alberta"/>
    <x v="1"/>
    <x v="13"/>
    <s v="201309MOP"/>
    <x v="6"/>
    <s v="Mechanisms of arsenic carcinogenesis"/>
    <n v="702720"/>
    <n v="0"/>
    <n v="100000"/>
    <s v="Alberta Cancer Foundation"/>
    <s v="4 yrs 0 mth "/>
    <x v="1"/>
    <s v="CARCINOGENS (INCL ENVIRONMENTAL); POPULATION HEALTH; CANCER; ENVIRONMENTAL INFLUENCES ON HEALTH"/>
    <x v="11"/>
    <d v="2011-09-30T00:00:00"/>
    <n v="0"/>
    <s v="arsenic, carcinogenesis"/>
  </r>
  <r>
    <x v="573"/>
    <s v="University of Alberta"/>
    <x v="1"/>
    <x v="13"/>
    <s v="201309MOP"/>
    <x v="12"/>
    <s v="Cryobiology and Preservation of Cells and Tissues"/>
    <n v="604466"/>
    <n v="0"/>
    <n v="0"/>
    <m/>
    <s v="5 yrs 0 mth "/>
    <x v="3"/>
    <s v="MULTIDISCIPLINARY; MULTIPLE DISEASE RELEVANCE; NOT CLASSIFIED; BIOPHYSICS"/>
    <x v="11"/>
    <d v="2019-03-31T00:00:00"/>
    <n v="0"/>
    <s v="Cryobiology, Preservation, Cells"/>
  </r>
  <r>
    <x v="569"/>
    <s v="University of Alberta"/>
    <x v="1"/>
    <x v="13"/>
    <s v="201309MOP"/>
    <x v="12"/>
    <s v="Patterned electrical stimulation of the arms and legs to improve walking after spinal cord injury"/>
    <n v="994127"/>
    <n v="0"/>
    <n v="0"/>
    <m/>
    <s v="5 yrs 0 mth "/>
    <x v="3"/>
    <s v="SPINAL CORD DISEASE; STROKE, HEART FAILURE; NERVOUS SYSTEM; MUSCLE, BONE, OR JOINT"/>
    <x v="11"/>
    <d v="2019-03-31T00:00:00"/>
    <n v="1"/>
    <s v="electrical stimulation, spinal cord injury, walking"/>
  </r>
  <r>
    <x v="564"/>
    <s v="University of Alberta"/>
    <x v="1"/>
    <x v="13"/>
    <s v="201309MOP"/>
    <x v="6"/>
    <s v="Polynucleotide kinase: its role in DNA strand break repair and a potential therapeutic target to enhance radio- and chemotherapy"/>
    <n v="952465"/>
    <n v="0"/>
    <n v="0"/>
    <m/>
    <s v="5 yrs 0 mth "/>
    <x v="1"/>
    <s v="CANCER THERAPY GENERAL; CARCINOGENS (INCL ENVIRONMENTAL); CANCER; MOLECULAR BIOLOGY"/>
    <x v="11"/>
    <d v="2019-03-31T00:00:00"/>
    <n v="3"/>
    <s v="Polynucleotide kinase, DNA repair, chemotherapy"/>
  </r>
  <r>
    <x v="566"/>
    <s v="University of Alberta"/>
    <x v="1"/>
    <x v="13"/>
    <s v="201403MOP"/>
    <x v="11"/>
    <s v="Imaging Diffuse Fibrosis in Acute Myocardial Infarction"/>
    <n v="462429"/>
    <n v="0"/>
    <n v="0"/>
    <m/>
    <s v="4 yrs 0 mth "/>
    <x v="11"/>
    <s v="CARDIOLOGY; MULTIDISCIPLINARY; IMAGING; CARDIOVASCULAR"/>
    <x v="29"/>
    <d v="2018-06-30T00:00:00"/>
    <n v="0"/>
    <s v="Imaging, Fibrosis, Myocardial Infarction"/>
  </r>
  <r>
    <x v="562"/>
    <s v="University of Alberta"/>
    <x v="1"/>
    <x v="13"/>
    <s v="201403MOP"/>
    <x v="11"/>
    <s v="Development of Novel Diffusion Magnetic Resonance Methods for the Brain: Initial Applications to Stroke"/>
    <n v="777172"/>
    <n v="0"/>
    <n v="0"/>
    <m/>
    <s v="5 yrs 0 mth "/>
    <x v="11"/>
    <s v="STROKE, HEART FAILURE; MULTIDISCIPLINARY; IMAGING; NERVOUS SYSTEM"/>
    <x v="29"/>
    <d v="2016-06-30T00:00:00"/>
    <n v="0"/>
    <s v="Diffusion, Magnetic Resonance, Stroke"/>
  </r>
  <r>
    <x v="575"/>
    <s v="University of Alberta"/>
    <x v="1"/>
    <x v="13"/>
    <s v="201405MOP"/>
    <x v="13"/>
    <s v="Nanodelivery Systems for Modulation of Chemotherapy Response in Invasive and Metastatic Breast Cancer"/>
    <n v="100000"/>
    <n v="0"/>
    <n v="0"/>
    <m/>
    <s v="1 yr 0 mth "/>
    <x v="1"/>
    <s v="DRUGS- PHARMACEUTICAL SCIENCE/CHEMISTRY &amp; NON MEDICAL USE OF DRUGS; CANCER THERAPY GENERAL; CANCER; DRUG RESEARCH"/>
    <x v="26"/>
    <d v="2015-09-30T00:00:00"/>
    <n v="1"/>
    <s v="Nanodelivery, Chemotherapy, Breast Cancer"/>
  </r>
  <r>
    <x v="565"/>
    <s v="University of Alberta"/>
    <x v="1"/>
    <x v="13"/>
    <s v="201403MOP"/>
    <x v="11"/>
    <s v="Imaging Brain Iron in Multiple Sclerosis: Development, Validation and Clinical Implementation"/>
    <n v="678786"/>
    <n v="0"/>
    <n v="0"/>
    <m/>
    <s v="5 yrs 0 mth "/>
    <x v="3"/>
    <s v="MULTIPLE SCLEROSIS; IMAGING"/>
    <x v="26"/>
    <d v="2019-09-30T00:00:00"/>
    <n v="0"/>
    <s v="Brain imaging, Iron detection, Multiple sclerosis"/>
  </r>
  <r>
    <x v="568"/>
    <s v="University of Alberta"/>
    <x v="1"/>
    <x v="13"/>
    <s v="201503MOP"/>
    <x v="12"/>
    <s v="siRNA Therapy for Leukemia: Synthetic Biomaterials to Deliver siRNA and Curb Uncontrolled Growth of Leukemic Cells"/>
    <n v="597400"/>
    <n v="0"/>
    <n v="0"/>
    <m/>
    <s v="5 yrs 0 mth "/>
    <x v="1"/>
    <s v="LEUKAEMIAS; DRUGS- PHARMACEUTICAL SCIENCE/CHEMISTRY &amp; NON MEDICAL USE OF DRUGS; CANCER; DRUG RESEARCH"/>
    <x v="25"/>
    <d v="2021-06-30T00:00:00"/>
    <n v="1"/>
    <s v="siRNA, Biomaterials, Leukemia"/>
  </r>
  <r>
    <x v="576"/>
    <s v="University of British Columbia"/>
    <x v="3"/>
    <x v="13"/>
    <s v="200810MOP"/>
    <x v="6"/>
    <s v="Investigations of nanoparticulate formulations of lipophilic prodrugs"/>
    <n v="100000"/>
    <n v="0"/>
    <n v="0"/>
    <m/>
    <s v="1 yr 0 mth "/>
    <x v="1"/>
    <s v="CANCER THERAPY GENERAL; DRUGS- PHARMACEUTICAL SCIENCE/CHEMISTRY &amp; NON MEDICAL USE OF DRUGS; CANCER; BIOPHYSICS"/>
    <x v="3"/>
    <d v="2010-02-28T00:00:00"/>
    <n v="6"/>
    <s v="nanoparticulate, lipophilic, prodrugs"/>
  </r>
  <r>
    <x v="577"/>
    <s v="University of British Columbia"/>
    <x v="3"/>
    <x v="13"/>
    <s v="200810MOP"/>
    <x v="14"/>
    <s v="Molecular mechanisms of lung cancer development in former smokers"/>
    <n v="100000"/>
    <n v="0"/>
    <n v="0"/>
    <m/>
    <s v="1 yr 0 mth "/>
    <x v="1"/>
    <s v="LUNG CANCER; POPULATION HEALTH; CANCER; GENETICS"/>
    <x v="3"/>
    <d v="2012-09-30T00:00:00"/>
    <n v="0"/>
    <s v="molecular, lung cancer, smokers"/>
  </r>
  <r>
    <x v="578"/>
    <s v="University of British Columbia"/>
    <x v="3"/>
    <x v="13"/>
    <s v="200810MOP"/>
    <x v="14"/>
    <s v="Biomarkers for Chronic Graft-Versus-Host disease"/>
    <n v="100000"/>
    <n v="0"/>
    <n v="0"/>
    <m/>
    <s v="1 yr 0 mth "/>
    <x v="1"/>
    <s v="LEUKAEMIAS; CANCER THERAPY GENERAL; CANCER; IMMUNOLOGY-TRANSPLANTATION"/>
    <x v="3"/>
    <d v="2009-09-30T00:00:00"/>
    <n v="0"/>
    <s v="biomarkers, Graft-Versus-Host, disease"/>
  </r>
  <r>
    <x v="579"/>
    <s v="University of British Columbia"/>
    <x v="3"/>
    <x v="13"/>
    <s v="200809MOP"/>
    <x v="14"/>
    <s v="Pioneering novel approaches to manage cancer recurrence  through the use of YB-1 inhibitors and off-patent drugs."/>
    <n v="433402"/>
    <n v="0"/>
    <n v="0"/>
    <m/>
    <s v="3 yrs 0 mth "/>
    <x v="1"/>
    <s v="BREAST CANCER; CANCER THERAPY GENERAL; CANCER; DRUG RESEARCH"/>
    <x v="10"/>
    <d v="2012-03-31T00:00:00"/>
    <n v="2"/>
    <s v="YB-1 inhibitors, cancer recurrence, off-patent drugs"/>
  </r>
  <r>
    <x v="580"/>
    <s v="University of British Columbia"/>
    <x v="3"/>
    <x v="13"/>
    <s v="200809MOP"/>
    <x v="14"/>
    <s v="The role of IMP3 in pancreatic cancer progression and chemoresistance"/>
    <n v="367857"/>
    <n v="0"/>
    <n v="0"/>
    <m/>
    <s v="3 yrs 0 mth "/>
    <x v="1"/>
    <s v="GASTRO-INTESTINAL CANCER; GASTRO-INTESTINAL CANCER THERAPY; CANCER; CELL BIOLOGY"/>
    <x v="10"/>
    <d v="2012-03-31T00:00:00"/>
    <n v="0"/>
    <s v="IMP3, pancreatic cancer, chemoresistance"/>
  </r>
  <r>
    <x v="581"/>
    <s v="University of British Columbia"/>
    <x v="3"/>
    <x v="13"/>
    <s v="200809MOP"/>
    <x v="6"/>
    <s v="Hypoxia-selective radiation sensitizers"/>
    <n v="560232"/>
    <n v="0"/>
    <n v="0"/>
    <m/>
    <s v="4 yrs 0 mth "/>
    <x v="1"/>
    <s v="CANCER THERAPY GENERAL; CANCER"/>
    <x v="10"/>
    <d v="2013-03-31T00:00:00"/>
    <n v="0"/>
    <s v="Hypoxia, radiation, sensitizers"/>
  </r>
  <r>
    <x v="582"/>
    <s v="University of British Columbia"/>
    <x v="3"/>
    <x v="13"/>
    <s v="200809MOP"/>
    <x v="14"/>
    <s v="Identification and functional analysis of a novel metastasis-associated gene in prostate cancer"/>
    <n v="541348"/>
    <n v="0"/>
    <n v="0"/>
    <m/>
    <s v="4 yrs 0 mth "/>
    <x v="1"/>
    <s v="PROSTATE AND BLADDER CANCER; PROSTATE AND BLADDER CANCER THERAPY; CANCER; CELL BIOLOGY"/>
    <x v="10"/>
    <d v="2013-03-31T00:00:00"/>
    <n v="4"/>
    <s v="metastasis, gene, prostate cancer"/>
  </r>
  <r>
    <x v="583"/>
    <s v="University of British Columbia"/>
    <x v="3"/>
    <x v="13"/>
    <s v="200809MOP"/>
    <x v="14"/>
    <s v="Pannexins as a novel growth regulator in gliomas"/>
    <n v="645690"/>
    <n v="0"/>
    <n v="0"/>
    <m/>
    <s v="5 yrs 0 mth "/>
    <x v="1"/>
    <s v="BRAIN TUMORS (INCL. RETINAL TUMORS); BRAIN TUMORS THERAPY; CANCER; CELL BIOLOGY"/>
    <x v="10"/>
    <d v="2014-03-31T00:00:00"/>
    <n v="0"/>
    <s v="Pannexins, gliomas, growth regulator"/>
  </r>
  <r>
    <x v="584"/>
    <s v="University of British Columbia"/>
    <x v="3"/>
    <x v="13"/>
    <s v="200903MOP"/>
    <x v="12"/>
    <s v="Modular Design of Macromolecular Iron Chelator Structures for Chelation Therapy: Towards Effective Prevention of Primary and Transfusional Iron Overload"/>
    <n v="385110"/>
    <n v="0"/>
    <n v="0"/>
    <m/>
    <s v="3 yrs 0 mth "/>
    <x v="11"/>
    <s v="BLOOD"/>
    <x v="4"/>
    <d v="2012-09-30T00:00:00"/>
    <n v="0"/>
    <s v="Macromolecular, Iron, Chelator"/>
  </r>
  <r>
    <x v="585"/>
    <s v="University of British Columbia"/>
    <x v="3"/>
    <x v="13"/>
    <s v="200903MOP"/>
    <x v="6"/>
    <s v="Targeting interleukin-6 and the amino-terminus of the androgen receptor in osseous prostate cancer"/>
    <n v="362448"/>
    <n v="0"/>
    <n v="0"/>
    <m/>
    <s v="3 yrs 0 mth "/>
    <x v="1"/>
    <s v="PROSTATE AND BLADDER CANCER; CANCER; MOLECULAR BIOLOGY"/>
    <x v="4"/>
    <d v="2012-09-30T00:00:00"/>
    <n v="7"/>
    <s v="interleukin-6, androgen receptor, prostate cancer"/>
  </r>
  <r>
    <x v="577"/>
    <s v="University of British Columbia"/>
    <x v="3"/>
    <x v="13"/>
    <s v="200903MOP"/>
    <x v="14"/>
    <s v="Molecular mechanisms of lung cancer development in former smokers"/>
    <n v="431680"/>
    <n v="0"/>
    <n v="0"/>
    <m/>
    <s v="3 yrs 0 mth "/>
    <x v="1"/>
    <s v="LUNG CANCER; POPULATION HEALTH; CANCER; GENETICS"/>
    <x v="4"/>
    <d v="2012-09-30T00:00:00"/>
    <n v="0"/>
    <s v="molecular, lung cancer, smokers"/>
  </r>
  <r>
    <x v="586"/>
    <s v="University of British Columbia"/>
    <x v="3"/>
    <x v="13"/>
    <s v="200903MOP"/>
    <x v="12"/>
    <s v="Mechanisms of Bone Fracture and their Clinical Applications"/>
    <n v="511717"/>
    <n v="0"/>
    <n v="0"/>
    <m/>
    <s v="4 yrs 0 mth "/>
    <x v="0"/>
    <s v="OSTEOPOROSIS; AGING; MUSCLE, BONE, OR JOINT"/>
    <x v="4"/>
    <d v="2013-09-30T00:00:00"/>
    <n v="0"/>
    <s v="Bone, Fracture, Mechanisms"/>
  </r>
  <r>
    <x v="42"/>
    <s v="University of British Columbia"/>
    <x v="3"/>
    <x v="13"/>
    <s v="200903MOP"/>
    <x v="6"/>
    <s v="Regulation of antigen processing machinery in carcinomas"/>
    <n v="480608"/>
    <n v="0"/>
    <n v="0"/>
    <m/>
    <s v="4 yrs 0 mth "/>
    <x v="1"/>
    <s v="LUNG CANCER; LUNG CANCER THERAPY; CANCER; CELL BIOLOGY"/>
    <x v="4"/>
    <d v="2013-09-30T00:00:00"/>
    <n v="16"/>
    <s v="antigen processing, machinery, carcinomas"/>
  </r>
  <r>
    <x v="587"/>
    <s v="University of British Columbia"/>
    <x v="3"/>
    <x v="13"/>
    <s v="200903MOP"/>
    <x v="14"/>
    <s v="Clinical and functional significance of a pathognomonic FOXL2 mutation in granulosa cell tumours of the ovary"/>
    <n v="538998"/>
    <n v="0"/>
    <n v="0"/>
    <m/>
    <s v="4 yrs 0 mth "/>
    <x v="1"/>
    <s v="NEOPLASMS; CANCER; GENOMICS, PROTEOMICS, AND BIOINFORMATICS"/>
    <x v="4"/>
    <d v="2013-09-30T00:00:00"/>
    <n v="3"/>
    <s v="FOXL2, granulosa cells, tumours"/>
  </r>
  <r>
    <x v="588"/>
    <s v="University of British Columbia"/>
    <x v="3"/>
    <x v="13"/>
    <s v="200903MOP"/>
    <x v="12"/>
    <s v="Molecular basis of tenascin elasticity and mechanotransduction"/>
    <n v="544236"/>
    <n v="0"/>
    <n v="0"/>
    <m/>
    <s v="5 yrs 0 mth "/>
    <x v="0"/>
    <s v="MUSCULO SKELETAL; INJURY, REGENERATION; BIOPHYSICS; BIOCHEMISTRY"/>
    <x v="4"/>
    <d v="2014-09-30T00:00:00"/>
    <n v="0"/>
    <s v="tenascin, elasticity, mechanotransduction"/>
  </r>
  <r>
    <x v="578"/>
    <s v="University of British Columbia"/>
    <x v="3"/>
    <x v="13"/>
    <s v="200903MOP"/>
    <x v="14"/>
    <s v="Biomarkers for Chronic Graft-Versus-Host disease"/>
    <n v="972275"/>
    <n v="0"/>
    <n v="0"/>
    <m/>
    <s v="5 yrs 0 mth "/>
    <x v="1"/>
    <s v="LEUKAEMIAS; CANCER THERAPY GENERAL; CANCER; IMMUNOLOGY-TRANSPLANTATION"/>
    <x v="4"/>
    <d v="2014-09-30T00:00:00"/>
    <n v="0"/>
    <s v="biomarkers, Graft-Versus-Host, disease"/>
  </r>
  <r>
    <x v="589"/>
    <s v="University of British Columbia"/>
    <x v="3"/>
    <x v="13"/>
    <s v="200909MOP"/>
    <x v="12"/>
    <s v="eVENT: An expert system for detecting ventilatory events during anesthesia"/>
    <n v="299186"/>
    <n v="0"/>
    <n v="0"/>
    <m/>
    <s v="3 yrs 0 mth "/>
    <x v="11"/>
    <s v="NONE OF THE ABOVE; HEALTH RESEARCH; NOT CLASSIFIED"/>
    <x v="22"/>
    <d v="2013-03-31T00:00:00"/>
    <n v="1"/>
    <s v="ventilatory events, expert system, anesthesia"/>
  </r>
  <r>
    <x v="582"/>
    <s v="University of British Columbia"/>
    <x v="3"/>
    <x v="13"/>
    <s v="200909MOP"/>
    <x v="14"/>
    <s v="Prostate Cancer Metastasis-Associated Serum miRNAs"/>
    <n v="363690"/>
    <n v="0"/>
    <n v="0"/>
    <m/>
    <s v="3 yrs 0 mth "/>
    <x v="1"/>
    <s v="PROSTATE AND BLADDER CANCER; CANCER; ENDOCRINOLOGY"/>
    <x v="22"/>
    <d v="2013-03-31T00:00:00"/>
    <n v="0"/>
    <s v="Prostate, Cancer, miRNAs"/>
  </r>
  <r>
    <x v="590"/>
    <s v="University of British Columbia"/>
    <x v="3"/>
    <x v="13"/>
    <s v="200909MOP"/>
    <x v="11"/>
    <s v="MEMS Enabled Reflectance Confocal Microscopy for Early GI Cancer Detection"/>
    <n v="293915"/>
    <n v="0"/>
    <n v="0"/>
    <m/>
    <s v="3 yrs 0 mth "/>
    <x v="1"/>
    <s v="GASTRO-INTESTINAL CANCER; MULTIDISCIPLINARY; IMAGING; CANCER"/>
    <x v="22"/>
    <d v="2013-03-31T00:00:00"/>
    <n v="2"/>
    <s v="MEMS, Confocal Microscopy, GI Cancer"/>
  </r>
  <r>
    <x v="591"/>
    <s v="University of British Columbia"/>
    <x v="3"/>
    <x v="13"/>
    <s v="200909MOP"/>
    <x v="12"/>
    <s v="Regulation of cell behaviour on implants by surface topography"/>
    <n v="685810"/>
    <n v="0"/>
    <n v="0"/>
    <m/>
    <s v="5 yrs 0 mth "/>
    <x v="0"/>
    <s v="DENTAL DISEASE (INCL. ORAL BIOLOGY); DENTAL SCIENCE - Oral Biology; MUSCLE, BONE, OR JOINT"/>
    <x v="22"/>
    <d v="2015-03-31T00:00:00"/>
    <n v="0"/>
    <s v="cell, surface, topography"/>
  </r>
  <r>
    <x v="592"/>
    <s v="University of British Columbia"/>
    <x v="3"/>
    <x v="13"/>
    <s v="200909MOP"/>
    <x v="6"/>
    <s v="Targeting Carbonic Anhydrase IX and Hypoxia for the diagnosis and treatment of aggresive breast cancers"/>
    <n v="926186"/>
    <n v="0"/>
    <n v="0"/>
    <m/>
    <s v="5 yrs 0 mth "/>
    <x v="1"/>
    <s v="BREAST CANCER; BREAST CANCER THERAPY; CANCER; DRUG RESEARCH"/>
    <x v="22"/>
    <d v="2015-03-31T00:00:00"/>
    <n v="3"/>
    <s v="Carbonic Anhydrase, Hypoxia, Breast Cancers"/>
  </r>
  <r>
    <x v="583"/>
    <s v="University of British Columbia"/>
    <x v="3"/>
    <x v="13"/>
    <s v="200909MOP"/>
    <x v="14"/>
    <s v="Connexin regulation and glioma growth control"/>
    <n v="693965"/>
    <n v="0"/>
    <n v="0"/>
    <m/>
    <s v="5 yrs 0 mth "/>
    <x v="1"/>
    <s v="BRAIN TUMORS (INCL. RETINAL TUMORS); NEOPLASMS; CANCER; CELL BIOLOGY"/>
    <x v="22"/>
    <d v="2015-03-31T00:00:00"/>
    <n v="0"/>
    <s v="Connexin, glioma, regulation"/>
  </r>
  <r>
    <x v="593"/>
    <s v="University of British Columbia"/>
    <x v="3"/>
    <x v="13"/>
    <s v="200909MOP"/>
    <x v="14"/>
    <s v="The role of SPARC in chemotherapy sensitization"/>
    <n v="1030027"/>
    <n v="0"/>
    <n v="0"/>
    <m/>
    <s v="5 yrs 0 mth "/>
    <x v="1"/>
    <s v="GASTRO-INTESTINAL CANCER; CANCER THERAPY GENERAL; CANCER; GASTROINTESTINAL (LIVER)"/>
    <x v="22"/>
    <d v="2015-03-31T00:00:00"/>
    <n v="4"/>
    <s v="SPARC, chemotherapy, sensitization"/>
  </r>
  <r>
    <x v="594"/>
    <s v="University of British Columbia"/>
    <x v="3"/>
    <x v="13"/>
    <s v="201003MOP"/>
    <x v="13"/>
    <s v="Small molecule SHIP agonists for inhibiting the phosphoinositide 3-kinase pathway"/>
    <n v="390802"/>
    <n v="0"/>
    <n v="0"/>
    <m/>
    <s v="3 yrs 0 mth "/>
    <x v="1"/>
    <s v="LEUKAEMIAS; DRUGS- PHARMACEUTICAL SCIENCE/CHEMISTRY &amp; NON MEDICAL USE OF DRUGS; CANCER; DRUG RESEARCH"/>
    <x v="5"/>
    <d v="2013-09-30T00:00:00"/>
    <n v="0"/>
    <s v="small molecule, SHIP, phosphoinositide 3-kinase"/>
  </r>
  <r>
    <x v="595"/>
    <s v="University of British Columbia"/>
    <x v="3"/>
    <x v="13"/>
    <s v="201003MOP"/>
    <x v="13"/>
    <s v="CSF1 pathway inhibitors in tenosynovial giant cell tumors and leiomyosarcoma"/>
    <n v="289885"/>
    <n v="0"/>
    <n v="0"/>
    <m/>
    <s v="3 yrs 0 mth "/>
    <x v="1"/>
    <s v="MUSCULO SKELETAL; CANCER THERAPY GENERAL; CANCER; DRUG RESEARCH"/>
    <x v="5"/>
    <d v="2013-09-30T00:00:00"/>
    <n v="0"/>
    <s v="CSF1, pathway inhibitors, giant cell tumors"/>
  </r>
  <r>
    <x v="596"/>
    <s v="University of British Columbia"/>
    <x v="3"/>
    <x v="13"/>
    <s v="201003MOP"/>
    <x v="6"/>
    <s v="Chemical Biology of Amanitin-Induced Transcriptional Inhibiton"/>
    <n v="357800"/>
    <n v="0"/>
    <n v="0"/>
    <m/>
    <s v="4 yrs 0 mth "/>
    <x v="1"/>
    <s v="CANCER THERAPY GENERAL; MULTIDISCIPLINARY; BIOCHEMISTRY; GENOMICS, PROTEOMICS, AND BIOINFORMATICS"/>
    <x v="5"/>
    <d v="2014-09-30T00:00:00"/>
    <n v="0"/>
    <s v="Amanitin, Transcription, Inhibition"/>
  </r>
  <r>
    <x v="597"/>
    <s v="University of British Columbia"/>
    <x v="3"/>
    <x v="13"/>
    <s v="201003MOP"/>
    <x v="14"/>
    <s v="Deciphering and reconstituting genetic events in oral cancer progression"/>
    <n v="484436"/>
    <n v="0"/>
    <n v="0"/>
    <m/>
    <s v="4 yrs 0 mth "/>
    <x v="1"/>
    <s v="NEOPLASMS; MOLECULAR BIOLOGY; CANCER"/>
    <x v="5"/>
    <d v="2014-09-30T00:00:00"/>
    <n v="0"/>
    <s v="genetic, oral cancer, reconstitution"/>
  </r>
  <r>
    <x v="587"/>
    <s v="University of British Columbia"/>
    <x v="3"/>
    <x v="13"/>
    <s v="201003MOP"/>
    <x v="14"/>
    <s v="Mutations in the SWI/SNF chromatin remodelling complex genes: an alternative mechanism for ovarian carcinogenesis"/>
    <n v="541640"/>
    <n v="0"/>
    <n v="0"/>
    <m/>
    <s v="4 yrs 0 mth "/>
    <x v="1"/>
    <s v="NEOPLASMS; CANCER; GENOMICS, PROTEOMICS, AND BIOINFORMATICS"/>
    <x v="5"/>
    <d v="2014-09-30T00:00:00"/>
    <n v="2"/>
    <s v="SWI/SNF, chromatin remodelling, ovarian carcinogenesis"/>
  </r>
  <r>
    <x v="598"/>
    <s v="University of British Columbia"/>
    <x v="3"/>
    <x v="13"/>
    <s v="201003MOP"/>
    <x v="6"/>
    <s v="Toward personalized immunotherapy: identifying tumour-specific factors that dictate the response of spontaneous mammary cancers to T cells"/>
    <n v="671932"/>
    <n v="0"/>
    <n v="0"/>
    <m/>
    <s v="5 yrs 0 mth "/>
    <x v="1"/>
    <s v="BREAST CANCER THERAPY; CANCER THERAPY GENERAL; CANCER; IMMUNOLOGY-TRANSPLANTATION"/>
    <x v="5"/>
    <d v="2015-09-30T00:00:00"/>
    <n v="1"/>
    <s v="immunotherapy, tumor-specific factors, T cells"/>
  </r>
  <r>
    <x v="599"/>
    <s v="University of British Columbia"/>
    <x v="3"/>
    <x v="13"/>
    <s v="201003MOP"/>
    <x v="12"/>
    <s v="Imaging-based assessments of knee mechanics"/>
    <n v="676920"/>
    <n v="0"/>
    <n v="0"/>
    <m/>
    <s v="5 yrs 0 mth "/>
    <x v="0"/>
    <s v="ARTHRITIS/OSTEOARTHRITIS; MUSCULO SKELETAL; MUSCLE, BONE, OR JOINT; IMAGING"/>
    <x v="5"/>
    <d v="2015-09-30T00:00:00"/>
    <n v="2"/>
    <s v="Imaging, knee, mechanics"/>
  </r>
  <r>
    <x v="600"/>
    <s v="University of British Columbia"/>
    <x v="3"/>
    <x v="13"/>
    <s v="201003MOP"/>
    <x v="6"/>
    <s v="MCL-1: Functions in the nucleus regulating cell cycle and DNA damage response"/>
    <n v="665920"/>
    <n v="0"/>
    <n v="0"/>
    <m/>
    <s v="5 yrs 0 mth "/>
    <x v="1"/>
    <s v="MULTIPLE DISEASE RELEVANCE; CANCER THERAPY GENERAL; CANCER; CELL BIOLOGY"/>
    <x v="5"/>
    <d v="2015-09-30T00:00:00"/>
    <n v="0"/>
    <s v="MCL-1, cell cycle, DNA damage"/>
  </r>
  <r>
    <x v="601"/>
    <s v="University of British Columbia"/>
    <x v="3"/>
    <x v="13"/>
    <s v="201003MOP"/>
    <x v="13"/>
    <s v="Identifying Cytoprotective Responses Triggered Following Initial Exposure to Targeted Therapy: Defining Improved Treatment Strategies for Patients with HER-2 Positive Breast Cancer."/>
    <n v="774156"/>
    <n v="0"/>
    <n v="0"/>
    <m/>
    <s v="5 yrs 0 mth "/>
    <x v="1"/>
    <s v="BREAST CANCER THERAPY; DRUGS- PHARMACEUTICAL SCIENCE/CHEMISTRY &amp; NON MEDICAL USE OF DRUGS; DRUG RESEARCH; CANCER"/>
    <x v="5"/>
    <d v="2015-09-30T00:00:00"/>
    <n v="0"/>
    <s v="Cytoprotective responses, HER-2, breast cancer"/>
  </r>
  <r>
    <x v="585"/>
    <s v="University of British Columbia"/>
    <x v="3"/>
    <x v="13"/>
    <s v="201009MOP"/>
    <x v="14"/>
    <s v="Characterization of EPI-001 for the treatment of prostate cancer"/>
    <n v="498929"/>
    <n v="0"/>
    <n v="0"/>
    <m/>
    <s v="3 yrs 0 mth "/>
    <x v="1"/>
    <s v="PROSTATE AND BLADDER CANCER; PROSTATE AND BLADDER CANCER THERAPY; CANCER; MOLECULAR BIOLOGY"/>
    <x v="27"/>
    <d v="2014-03-31T00:00:00"/>
    <n v="0"/>
    <s v="EPI-001, prostate cancer"/>
  </r>
  <r>
    <x v="602"/>
    <s v="University of British Columbia"/>
    <x v="3"/>
    <x v="13"/>
    <s v="201009MOP"/>
    <x v="13"/>
    <s v="Genetic mechanisms underlying immune escape in malignant lymphomas"/>
    <n v="368667"/>
    <n v="0"/>
    <n v="0"/>
    <m/>
    <s v="3 yrs 0 mth "/>
    <x v="1"/>
    <s v="NEOPLASMS; BLOOD; CANCER; HEALTH RESEARCH"/>
    <x v="27"/>
    <d v="2014-03-31T00:00:00"/>
    <n v="1"/>
    <s v="genetic, immune escape, lymphomas"/>
  </r>
  <r>
    <x v="603"/>
    <s v="University of British Columbia"/>
    <x v="3"/>
    <x v="13"/>
    <s v="201009MOP"/>
    <x v="13"/>
    <s v="Evaluation of autocrine motility factor as a targeted delivery agent for cancer therapy"/>
    <n v="405657"/>
    <n v="0"/>
    <n v="0"/>
    <m/>
    <s v="3 yrs 0 mth "/>
    <x v="1"/>
    <s v="CANCER THERAPY GENERAL; CANCER; CELL BIOLOGY"/>
    <x v="27"/>
    <d v="2014-03-31T00:00:00"/>
    <n v="0"/>
    <s v="autocrine motility factor, targeted delivery, cancer"/>
  </r>
  <r>
    <x v="604"/>
    <s v="University of British Columbia"/>
    <x v="3"/>
    <x v="13"/>
    <s v="201009MOP"/>
    <x v="11"/>
    <s v="High-Resolution OCT Imaging of Bronchial Epithelium"/>
    <n v="266164"/>
    <n v="0"/>
    <n v="0"/>
    <m/>
    <s v="3 yrs 0 mth "/>
    <x v="1"/>
    <s v="LUNG CANCER; NEOPLASMS; CANCER; BIOPHYSICS"/>
    <x v="27"/>
    <d v="2014-03-31T00:00:00"/>
    <n v="2"/>
    <s v="OCT, Imaging, Bronchial Epithelium"/>
  </r>
  <r>
    <x v="605"/>
    <s v="University of British Columbia"/>
    <x v="3"/>
    <x v="13"/>
    <s v="201009MOP"/>
    <x v="13"/>
    <s v="In Vivo siRNA Knockdown of Androgen Receptors to Treat Advanced Prostate Cancer"/>
    <n v="685781"/>
    <n v="0"/>
    <n v="0"/>
    <m/>
    <s v="5 yrs 0 mth "/>
    <x v="1"/>
    <s v="ENDOCRINOLOGY; PROSTATE AND BLADDER CANCER; CANCER"/>
    <x v="27"/>
    <d v="2016-03-31T00:00:00"/>
    <n v="4"/>
    <s v="siRNA, androgen receptors, prostate cancer"/>
  </r>
  <r>
    <x v="606"/>
    <s v="University of British Columbia"/>
    <x v="3"/>
    <x v="13"/>
    <s v="201009MOP"/>
    <x v="6"/>
    <s v="The role of tumour suppressor ING1b in genomic stability upon replication stress"/>
    <n v="746213"/>
    <n v="0"/>
    <n v="0"/>
    <m/>
    <s v="5 yrs 0 mth "/>
    <x v="1"/>
    <s v="NEOPLASMS; SKIN AND SUBCUTANEOUS TISSUS; CANCER; MOLECULAR BIOLOGY"/>
    <x v="27"/>
    <d v="2016-03-31T00:00:00"/>
    <n v="0"/>
    <s v="tumour suppressor, genomic stability, replication stress"/>
  </r>
  <r>
    <x v="607"/>
    <s v="University of British Columbia"/>
    <x v="3"/>
    <x v="13"/>
    <s v="201009MOP"/>
    <x v="14"/>
    <s v="Proteolytic Signatures in Breast Cancer"/>
    <n v="890620"/>
    <n v="0"/>
    <n v="0"/>
    <m/>
    <s v="5 yrs 0 mth "/>
    <x v="1"/>
    <s v="BREAST CANCER; LUNG CANCER; CANCER; IMMUNOLOGY-TRANSPLANTATION"/>
    <x v="27"/>
    <d v="2016-03-31T00:00:00"/>
    <n v="0"/>
    <s v="Proteolytic, Signatures, Breast Cancer"/>
  </r>
  <r>
    <x v="608"/>
    <s v="University of British Columbia"/>
    <x v="3"/>
    <x v="13"/>
    <s v="201103MOP"/>
    <x v="13"/>
    <s v="Abnormal Activation of Thymocytes High-Mobility Group Box Protein (TOX) in Cutaneous T Cell Lymphomas: Pathogenic Significance and Clinical Applications"/>
    <n v="340314"/>
    <n v="0"/>
    <n v="0"/>
    <m/>
    <s v="3 yrs 0 mth "/>
    <x v="0"/>
    <s v="SKIN AND SUBCUTANEOUS TISSUS; BLOOD; CANCER; MOLECULAR BIOLOGY"/>
    <x v="23"/>
    <d v="2014-09-30T00:00:00"/>
    <n v="2"/>
    <s v="Thymocytes, TOX, T Cell Lymphomas"/>
  </r>
  <r>
    <x v="609"/>
    <s v="University of British Columbia"/>
    <x v="3"/>
    <x v="13"/>
    <s v="201103MOP"/>
    <x v="13"/>
    <s v="Genomic Disruption in High-Grade Serous Ovarian Carcinomas: Steady State or Continuous Drift?"/>
    <n v="563330"/>
    <n v="0"/>
    <n v="0"/>
    <m/>
    <s v="4 yrs 0 mth "/>
    <x v="1"/>
    <s v="NEOPLASMS; CANCER; GENETICS"/>
    <x v="23"/>
    <d v="2015-09-30T00:00:00"/>
    <n v="4"/>
    <s v="Genomic, Ovarian, Carcinomas"/>
  </r>
  <r>
    <x v="610"/>
    <s v="University of British Columbia"/>
    <x v="3"/>
    <x v="13"/>
    <s v="201103MOP"/>
    <x v="11"/>
    <s v="Needle Guidance System for Neuraxial Analgesia and Anesthesia"/>
    <n v="449365"/>
    <n v="0"/>
    <n v="0"/>
    <m/>
    <s v="4 yrs 0 mth "/>
    <x v="0"/>
    <s v="MUSCULO SKELETAL; AGING; IMAGING; MUSCLE, BONE, OR JOINT"/>
    <x v="23"/>
    <d v="2015-09-30T00:00:00"/>
    <n v="1"/>
    <s v="Needle guidance, Neuraxial, Analgesia"/>
  </r>
  <r>
    <x v="579"/>
    <s v="University of British Columbia"/>
    <x v="3"/>
    <x v="13"/>
    <s v="201103MOP"/>
    <x v="14"/>
    <s v="Targeting the YB-1 pathway to overcome breast cancer recurrence"/>
    <n v="686778"/>
    <n v="0"/>
    <n v="0"/>
    <m/>
    <s v="5 yrs 0 mth "/>
    <x v="1"/>
    <s v="BREAST CANCER THERAPY; BREAST CANCER; MOLECULAR BIOLOGY; CANCER"/>
    <x v="23"/>
    <d v="2016-09-30T00:00:00"/>
    <n v="3"/>
    <s v="YB-1, breast cancer, pathway"/>
  </r>
  <r>
    <x v="611"/>
    <s v="University of British Columbia"/>
    <x v="3"/>
    <x v="13"/>
    <s v="201103MOP"/>
    <x v="11"/>
    <s v="Multi-parametric MRI for prostate cancer diagnosis and prognosis"/>
    <n v="627332"/>
    <n v="0"/>
    <n v="0"/>
    <m/>
    <s v="5 yrs 0 mth "/>
    <x v="1"/>
    <s v="PROSTATE AND BLADDER CANCER"/>
    <x v="23"/>
    <d v="2016-09-30T00:00:00"/>
    <n v="0"/>
    <s v="MRI, prostate cancer, diagnosis"/>
  </r>
  <r>
    <x v="612"/>
    <s v="University of British Columbia"/>
    <x v="3"/>
    <x v="13"/>
    <s v="201109MOP"/>
    <x v="12"/>
    <s v="Microfluidic Device to Measure the Deformability of Stored Red Blood Cells"/>
    <n v="318353"/>
    <n v="0"/>
    <n v="0"/>
    <m/>
    <s v="3 yrs 0 mth "/>
    <x v="11"/>
    <s v="BLOOD; BIOPHYSICS"/>
    <x v="28"/>
    <d v="2015-03-31T00:00:00"/>
    <n v="0"/>
    <s v="microfluidic, deformability, red blood cells"/>
  </r>
  <r>
    <x v="613"/>
    <s v="University of British Columbia"/>
    <x v="3"/>
    <x v="13"/>
    <s v="201109MOP"/>
    <x v="6"/>
    <s v="Regulation of fusion oncoprotein stability by the IGF1 receptor axis"/>
    <n v="409800"/>
    <n v="0"/>
    <n v="0"/>
    <m/>
    <s v="3 yrs 0 mth "/>
    <x v="1"/>
    <s v="NEOPLASMS; CANCER THERAPY GENERAL; CANCER; BIOCHEMISTRY"/>
    <x v="28"/>
    <d v="2015-03-31T00:00:00"/>
    <n v="0"/>
    <s v="fusion,oncoprotein,IGF1 receptor"/>
  </r>
  <r>
    <x v="581"/>
    <s v="University of British Columbia"/>
    <x v="3"/>
    <x v="13"/>
    <s v="201109MOP"/>
    <x v="6"/>
    <s v="Microenvironmental strategies for the optimal utilization of anti-angiogenic drugs combinations"/>
    <n v="662588"/>
    <n v="0"/>
    <n v="0"/>
    <m/>
    <s v="4 yrs 0 mth "/>
    <x v="1"/>
    <s v="CANCER THERAPY GENERAL; CANCER"/>
    <x v="28"/>
    <d v="2016-03-31T00:00:00"/>
    <n v="0"/>
    <s v="microenvironment, anti-angiogenic, drugs"/>
  </r>
  <r>
    <x v="614"/>
    <s v="University of British Columbia"/>
    <x v="3"/>
    <x v="13"/>
    <s v="201109MOP"/>
    <x v="14"/>
    <s v="PP2a protein serine/threonine phosphatase mutations in cancer: functional consequences and clinical relevance"/>
    <n v="588895"/>
    <n v="0"/>
    <n v="0"/>
    <m/>
    <s v="4 yrs 0 mth "/>
    <x v="1"/>
    <s v="BREAST CANCER; GENITO/URINARY SYSTEM"/>
    <x v="28"/>
    <d v="2016-03-31T00:00:00"/>
    <n v="0"/>
    <s v="PP2a, phosphatase, cancer"/>
  </r>
  <r>
    <x v="615"/>
    <s v="University of British Columbia"/>
    <x v="3"/>
    <x v="13"/>
    <s v="201109MOP"/>
    <x v="14"/>
    <s v="Molecular Targeting of Critical Domains of AHI-1 Oncoprotein in Chronic Myeloid Leukemia Stem Cells Resistant to Current Tyrosine Kinase Inhibitor Therapy"/>
    <n v="636768"/>
    <n v="0"/>
    <n v="0"/>
    <m/>
    <s v="4 yrs 0 mth "/>
    <x v="1"/>
    <s v="LEUKAEMIAS; BLOOD; CANCER; BIOCHEMISTRY"/>
    <x v="28"/>
    <d v="2016-03-31T00:00:00"/>
    <n v="0"/>
    <s v="AHI-1, Leukemia, Kinase"/>
  </r>
  <r>
    <x v="616"/>
    <s v="University of British Columbia"/>
    <x v="3"/>
    <x v="13"/>
    <s v="201109MOP"/>
    <x v="14"/>
    <s v="Paracrine Hedgehog as a Mediator of Castration Resistant Prostate Cancer"/>
    <n v="567625"/>
    <n v="0"/>
    <n v="0"/>
    <m/>
    <s v="5 yrs 0 mth "/>
    <x v="1"/>
    <s v="PROSTATE AND BLADDER CANCER; ENDOCRINOLOGY; CANCER"/>
    <x v="28"/>
    <d v="2017-03-31T00:00:00"/>
    <n v="0"/>
    <s v="Hedgehog, Paracrine, Prostate Cancer"/>
  </r>
  <r>
    <x v="613"/>
    <s v="University of British Columbia"/>
    <x v="3"/>
    <x v="13"/>
    <s v="201203MOP"/>
    <x v="6"/>
    <s v="The Hace1 tumour suppressor--a novel regulator of the oxidative stress response"/>
    <n v="458026"/>
    <n v="0"/>
    <n v="0"/>
    <m/>
    <s v="3 yrs 0 mth "/>
    <x v="1"/>
    <s v="NEOPLASMS; LUNG CANCER; MOLECULAR BIOLOGY; CANCER"/>
    <x v="21"/>
    <d v="2015-06-30T00:00:00"/>
    <n v="0"/>
    <s v="Hace1, tumour suppressor, oxidative stress"/>
  </r>
  <r>
    <x v="617"/>
    <s v="University of British Columbia"/>
    <x v="3"/>
    <x v="13"/>
    <s v="201203MOP"/>
    <x v="13"/>
    <s v="Prognostic markers and biology of relapsed Hodgkin lymphoma"/>
    <n v="502157"/>
    <n v="0"/>
    <n v="0"/>
    <m/>
    <s v="3 yrs 0 mth "/>
    <x v="1"/>
    <s v="NEOPLASMS; BLOOD; CANCER"/>
    <x v="21"/>
    <d v="2015-09-30T00:00:00"/>
    <n v="2"/>
    <s v="prognostic markers, Hodgkin lymphoma, relapsed"/>
  </r>
  <r>
    <x v="618"/>
    <s v="University of British Columbia"/>
    <x v="3"/>
    <x v="13"/>
    <s v="201203MOP"/>
    <x v="13"/>
    <s v="Adult vs. Fetal Programs in Leukemia Pathogenesis"/>
    <n v="351308"/>
    <n v="0"/>
    <n v="0"/>
    <m/>
    <s v="3 yrs 0 mth "/>
    <x v="1"/>
    <s v="LEUKAEMIAS; CANCER THERAPY GENERAL; CANCER"/>
    <x v="21"/>
    <d v="2015-09-30T00:00:00"/>
    <n v="0"/>
    <s v="Leukemia, Pathogenesis, Fetal"/>
  </r>
  <r>
    <x v="619"/>
    <s v="University of British Columbia"/>
    <x v="3"/>
    <x v="13"/>
    <s v="201203MOP"/>
    <x v="12"/>
    <s v="Towards a Cervical Spine Injury Tolerance Criterion that incorporates Lateral Bending Loading"/>
    <n v="420848"/>
    <n v="0"/>
    <n v="0"/>
    <m/>
    <s v="4 yrs 0 mth "/>
    <x v="0"/>
    <s v="MUSCULO SKELETAL; INJURY, REGENERATION; MUSCLE, BONE, OR JOINT; NERVOUS SYSTEM"/>
    <x v="21"/>
    <d v="2016-09-30T00:00:00"/>
    <n v="0"/>
    <s v="Cervical Spine, Injury Tolerance, Lateral Bending"/>
  </r>
  <r>
    <x v="577"/>
    <s v="University of British Columbia"/>
    <x v="3"/>
    <x v="13"/>
    <s v="201203MOP"/>
    <x v="14"/>
    <s v="Understanding the mechanisms of lung cancer development in never smokers"/>
    <n v="597109"/>
    <n v="0"/>
    <n v="0"/>
    <m/>
    <s v="4 yrs 0 mth "/>
    <x v="1"/>
    <s v="LUNG CANCER; LUNG CANCER THERAPY"/>
    <x v="21"/>
    <d v="2016-09-30T00:00:00"/>
    <n v="1"/>
    <s v="lung cancer, mechanisms, smokers"/>
  </r>
  <r>
    <x v="620"/>
    <s v="University of British Columbia"/>
    <x v="3"/>
    <x v="13"/>
    <s v="201203MOP"/>
    <x v="13"/>
    <s v="Identification of miRNAs and their Specific Gene Targets that are Critical for Prostate Cancer Metastases"/>
    <n v="775000"/>
    <n v="0"/>
    <n v="0"/>
    <m/>
    <s v="4 yrs 0 mth "/>
    <x v="1"/>
    <s v="PROSTATE AND BLADDER CANCER; PROSTATE AND BLADDER CANCER THERAPY; CANCER; CELL BIOLOGY"/>
    <x v="21"/>
    <d v="2016-09-30T00:00:00"/>
    <n v="1"/>
    <s v="miRNAs, gene targets, prostate cancer"/>
  </r>
  <r>
    <x v="605"/>
    <s v="University of British Columbia"/>
    <x v="3"/>
    <x v="13"/>
    <s v="201209MOP"/>
    <x v="14"/>
    <s v="A virus-based strategy for measurement of circulating tumour cells"/>
    <n v="352260"/>
    <n v="0"/>
    <n v="0"/>
    <m/>
    <s v="3 yrs 0 mth "/>
    <x v="1"/>
    <s v="PROSTATE AND BLADDER CANCER; VIRAL; CANCER"/>
    <x v="15"/>
    <d v="2016-03-31T00:00:00"/>
    <n v="0"/>
    <s v="virus, circulating tumour cells, measurement"/>
  </r>
  <r>
    <x v="621"/>
    <s v="University of British Columbia"/>
    <x v="3"/>
    <x v="13"/>
    <s v="201209MOP"/>
    <x v="11"/>
    <s v="Ultrasound Guidance for Epidural Analgesia and Anesthesia"/>
    <n v="434490"/>
    <n v="0"/>
    <n v="0"/>
    <m/>
    <s v="4 yrs 0 mth "/>
    <x v="0"/>
    <s v="PREGNANCY/BIRTH; MUSCULO SKELETAL; IMAGING; MUSCLE, BONE, OR JOINT"/>
    <x v="15"/>
    <d v="2017-03-31T00:00:00"/>
    <n v="2"/>
    <s v="Ultrasound, Epidural, Analgesia"/>
  </r>
  <r>
    <x v="622"/>
    <s v="University of British Columbia"/>
    <x v="3"/>
    <x v="13"/>
    <s v="201209MOP"/>
    <x v="6"/>
    <s v="Promotion of breast cancer metastasis by tumour hypoxia and myeloid cells."/>
    <n v="699413"/>
    <n v="0"/>
    <n v="0"/>
    <m/>
    <s v="5 yrs 0 mth "/>
    <x v="1"/>
    <s v="BREAST CANCER; CANCER THERAPY GENERAL; CANCER; GENETICS"/>
    <x v="15"/>
    <d v="2018-03-31T00:00:00"/>
    <n v="0"/>
    <s v="breast cancer, metastasis, hypoxia"/>
  </r>
  <r>
    <x v="623"/>
    <s v="University of British Columbia"/>
    <x v="3"/>
    <x v="13"/>
    <s v="201209MOP"/>
    <x v="6"/>
    <s v="Membrane domain regulation of receptor signaling"/>
    <n v="867203"/>
    <n v="0"/>
    <n v="0"/>
    <m/>
    <s v="5 yrs 0 mth "/>
    <x v="1"/>
    <s v="CANCER THERAPY GENERAL; THYROID; CANCER; CELL BIOLOGY"/>
    <x v="15"/>
    <d v="2018-03-31T00:00:00"/>
    <n v="1"/>
    <s v="Membrane, receptor, signaling"/>
  </r>
  <r>
    <x v="624"/>
    <s v="University of British Columbia"/>
    <x v="3"/>
    <x v="13"/>
    <s v="201209MOP"/>
    <x v="6"/>
    <s v="Identifying Determinants of Acute Lymphoblastic Leukemia Progression"/>
    <n v="582966"/>
    <n v="0"/>
    <n v="0"/>
    <m/>
    <s v="5 yrs 0 mth "/>
    <x v="1"/>
    <s v="LEUKAEMIAS; NONE OF THE ABOVE; CANCER; IMMUNOLOGY-TRANSPLANTATION"/>
    <x v="15"/>
    <d v="2018-03-31T00:00:00"/>
    <n v="0"/>
    <s v="Acute Lymphoblastic Leukemia, Progression, Determinants"/>
  </r>
  <r>
    <x v="625"/>
    <s v="University of British Columbia"/>
    <x v="3"/>
    <x v="13"/>
    <s v="201209MOP"/>
    <x v="14"/>
    <s v="Preclinical Development Of Inhibitors Of Podocalyxin-Driven Tumor Progression"/>
    <n v="754756"/>
    <n v="0"/>
    <n v="0"/>
    <m/>
    <s v="5 yrs 0 mth "/>
    <x v="1"/>
    <s v="BREAST CANCER; BREAST CANCER THERAPY; CANCER; DRUG RESEARCH"/>
    <x v="15"/>
    <d v="2018-03-31T00:00:00"/>
    <n v="1"/>
    <s v="Podocalyxin, Inhibitors, Tumor"/>
  </r>
  <r>
    <x v="626"/>
    <s v="University of British Columbia"/>
    <x v="3"/>
    <x v="13"/>
    <s v="201303MOP"/>
    <x v="13"/>
    <s v="Reversible inhibitors of the N-terminal domain of the androgen receptor"/>
    <n v="467474"/>
    <n v="0"/>
    <n v="0"/>
    <m/>
    <s v="3 yrs 0 mth "/>
    <x v="1"/>
    <s v="DRUGS- PHARMACEUTICAL SCIENCE/CHEMISTRY &amp; NON MEDICAL USE OF DRUGS; PROSTATE AND BLADDER CANCER THERAPY; CANCER; ENDOCRINOLOGY"/>
    <x v="24"/>
    <d v="2016-09-30T00:00:00"/>
    <n v="20"/>
    <s v="inhibitors, androgen receptor, N-terminal"/>
  </r>
  <r>
    <x v="584"/>
    <s v="University of British Columbia"/>
    <x v="3"/>
    <x v="13"/>
    <s v="201303MOP"/>
    <x v="12"/>
    <s v="Polymer-based Bioengineering Approaches for Systemic Iron Removal"/>
    <n v="610078"/>
    <n v="0"/>
    <n v="0"/>
    <m/>
    <s v="5 yrs 0 mth "/>
    <x v="11"/>
    <s v="ANAEMIAS; BLOOD; NOT CLASSIFIED"/>
    <x v="24"/>
    <d v="2018-09-30T00:00:00"/>
    <n v="0"/>
    <s v="Polymer, Bioengineering, Iron"/>
  </r>
  <r>
    <x v="618"/>
    <s v="University of British Columbia"/>
    <x v="3"/>
    <x v="13"/>
    <s v="201303MOP"/>
    <x v="13"/>
    <s v="Regulation of Leukemia Stem Cell Activity by Signaling through PKC[theta]"/>
    <n v="868690"/>
    <n v="0"/>
    <n v="0"/>
    <m/>
    <s v="5 yrs 0 mth "/>
    <x v="1"/>
    <s v="LEUKAEMIAS; CANCER THERAPY GENERAL; CANCER"/>
    <x v="24"/>
    <d v="2018-09-30T00:00:00"/>
    <n v="0"/>
    <s v="Leukemia, Stem Cell, PKC theta"/>
  </r>
  <r>
    <x v="627"/>
    <s v="University of British Columbia"/>
    <x v="3"/>
    <x v="13"/>
    <s v="201303MOP"/>
    <x v="11"/>
    <s v="Integrated In Vivo Multiphoton Microscopy and Confocal Raman Spectroscopy for Skin Cancer Detection and Evaluation"/>
    <n v="493204"/>
    <n v="0"/>
    <n v="0"/>
    <m/>
    <s v="5 yrs 0 mth "/>
    <x v="1"/>
    <s v="SKIN AND SUBCUTANEOUS TISSUS; MULTIDISCIPLINARY; IMAGING; CANCER"/>
    <x v="24"/>
    <d v="2018-09-30T00:00:00"/>
    <n v="2"/>
    <s v="Multiphoton Microscopy, Raman Spectroscopy, Skin Cancer"/>
  </r>
  <r>
    <x v="597"/>
    <s v="University of British Columbia"/>
    <x v="3"/>
    <x v="13"/>
    <s v="201309MOP"/>
    <x v="14"/>
    <s v="Evaluation of circulating small RNA markers as simple blood test biomarkers for detecting and predicting outcomes in oral cancer"/>
    <n v="491649"/>
    <n v="0"/>
    <n v="0"/>
    <m/>
    <s v="3 yrs 0 mth "/>
    <x v="1"/>
    <s v="DENTAL DISEASE (INCL. ORAL BIOLOGY); CANCER; MOLECULAR BIOLOGY"/>
    <x v="11"/>
    <d v="2017-03-31T00:00:00"/>
    <n v="0"/>
    <s v="small RNA, biomarkers, oral cancer"/>
  </r>
  <r>
    <x v="612"/>
    <s v="University of British Columbia"/>
    <x v="3"/>
    <x v="13"/>
    <s v="201309MOP"/>
    <x v="12"/>
    <s v="Microfluidic Separation of Circulating Tumor Cells"/>
    <n v="632779"/>
    <n v="0"/>
    <n v="0"/>
    <m/>
    <s v="4 yrs 0 mth "/>
    <x v="1"/>
    <s v="PROSTATE AND BLADDER CANCER; BLOOD; CANCER; BIOPHYSICS"/>
    <x v="11"/>
    <d v="2018-03-31T00:00:00"/>
    <n v="0"/>
    <s v="microfluidic, circulating tumor cells"/>
  </r>
  <r>
    <x v="628"/>
    <s v="University of British Columbia"/>
    <x v="3"/>
    <x v="13"/>
    <s v="201309MOP"/>
    <x v="12"/>
    <s v="Biomechanical factors in spinal cord injury - relevance to the timing of decompression"/>
    <n v="423361"/>
    <n v="0"/>
    <n v="0"/>
    <m/>
    <s v="4 yrs 0 mth "/>
    <x v="3"/>
    <s v="SPINAL CORD DISEASE; INJURY, REGENERATION; NERVOUS SYSTEM; MUSCLE, BONE, OR JOINT"/>
    <x v="11"/>
    <d v="2018-03-31T00:00:00"/>
    <n v="0"/>
    <s v="biomechanical, spinal cord injury, decompression"/>
  </r>
  <r>
    <x v="592"/>
    <s v="University of British Columbia"/>
    <x v="3"/>
    <x v="13"/>
    <s v="201309MOP"/>
    <x v="14"/>
    <s v="Development of therapeutic antibodies targeting carbonic anhydrase IX (CAIX)"/>
    <n v="609976"/>
    <n v="0"/>
    <n v="0"/>
    <m/>
    <s v="4 yrs 0 mth "/>
    <x v="1"/>
    <s v="CANCER THERAPY GENERAL; BREAST CANCER"/>
    <x v="11"/>
    <d v="2015-06-30T00:00:00"/>
    <n v="1"/>
    <s v="therapeutic antibodies, carbonic anhydrase IX, CAIX"/>
  </r>
  <r>
    <x v="581"/>
    <s v="University of British Columbia"/>
    <x v="3"/>
    <x v="13"/>
    <s v="201309MOP"/>
    <x v="6"/>
    <s v="Metabolic manipulation of hypoxia and radiotherapy response"/>
    <n v="727090"/>
    <n v="0"/>
    <n v="0"/>
    <m/>
    <s v="5 yrs 0 mth "/>
    <x v="1"/>
    <s v="CANCER THERAPY GENERAL"/>
    <x v="11"/>
    <d v="2019-03-31T00:00:00"/>
    <n v="2"/>
    <s v="metabolic, hypoxia, radiotherapy"/>
  </r>
  <r>
    <x v="629"/>
    <s v="University of British Columbia"/>
    <x v="3"/>
    <x v="13"/>
    <s v="201309MOP"/>
    <x v="6"/>
    <s v="Regulation of intestinal homeostasis and cancer by the lysine methyltransferase Set7"/>
    <n v="795064"/>
    <n v="0"/>
    <n v="0"/>
    <m/>
    <s v="5 yrs 0 mth "/>
    <x v="1"/>
    <s v="GASTRO-INTESTINAL DISEASE; LIVER DISEASE; CANCER; GASTROINTESTINAL (LIVER)"/>
    <x v="11"/>
    <d v="2018-06-30T00:00:00"/>
    <n v="0"/>
    <s v="intestinal, methyltransferase, cancer"/>
  </r>
  <r>
    <x v="615"/>
    <s v="University of British Columbia"/>
    <x v="3"/>
    <x v="13"/>
    <s v="201309MOP"/>
    <x v="14"/>
    <s v="Targeting Drug-Insensitive CML Stem Cells with Combination Therapy of New ABL and PP2A Inhibitors"/>
    <n v="658800"/>
    <n v="0"/>
    <n v="0"/>
    <m/>
    <s v="5 yrs 0 mth "/>
    <x v="1"/>
    <s v="BLOOD; LEUKAEMIAS; CANCER"/>
    <x v="11"/>
    <d v="2019-03-31T00:00:00"/>
    <n v="0"/>
    <s v="CML, ABL, PP2A"/>
  </r>
  <r>
    <x v="584"/>
    <s v="University of British Columbia"/>
    <x v="3"/>
    <x v="13"/>
    <s v="201403MOP"/>
    <x v="12"/>
    <s v="Novel Cell Surface Engineering Approaches for Cell-based Therapies"/>
    <n v="731651"/>
    <n v="0"/>
    <n v="0"/>
    <m/>
    <s v="5 yrs 0 mth "/>
    <x v="11"/>
    <s v="BLOOD"/>
    <x v="29"/>
    <d v="2019-06-30T00:00:00"/>
    <n v="4"/>
    <s v="Cell surface, Engineering, Therapies"/>
  </r>
  <r>
    <x v="617"/>
    <s v="University of British Columbia"/>
    <x v="3"/>
    <x v="13"/>
    <s v="201403MOP"/>
    <x v="6"/>
    <s v="Somatic mutations in the JAK-STAT signaling pathway in primary mediastinal large B cell lymphoma"/>
    <n v="855882"/>
    <n v="0"/>
    <n v="0"/>
    <m/>
    <s v="5 yrs 0 mth "/>
    <x v="1"/>
    <s v="BLOOD; NEOPLASMS; CANCER"/>
    <x v="29"/>
    <d v="2016-06-30T00:00:00"/>
    <n v="0"/>
    <s v="JAK-STAT, mutations, lymphoma"/>
  </r>
  <r>
    <x v="598"/>
    <s v="University of British Columbia"/>
    <x v="3"/>
    <x v="13"/>
    <s v="201405MOP"/>
    <x v="13"/>
    <s v="Mechanisms of Protective Immunity in Ovarian Cancer"/>
    <n v="100000"/>
    <n v="0"/>
    <n v="0"/>
    <m/>
    <s v="1 yr 0 mth "/>
    <x v="1"/>
    <s v="CANCER THERAPY GENERAL; CANCER; IMMUNOLOGY-TRANSPLANTATION"/>
    <x v="25"/>
    <d v="2020-06-30T00:00:00"/>
    <n v="0"/>
    <s v="Protective immunity, ovarian cancer"/>
  </r>
  <r>
    <x v="630"/>
    <s v="University of British Columbia"/>
    <x v="3"/>
    <x v="13"/>
    <s v="201503MOP"/>
    <x v="11"/>
    <s v="Multi-Scale Tissue System's Biology approach to Identify Lethal Prostate Cancer"/>
    <n v="511228"/>
    <n v="0"/>
    <n v="0"/>
    <m/>
    <s v="4 yrs 0 mth "/>
    <x v="1"/>
    <s v="PROSTATE AND BLADDER CANCER; NEOPLASMS; IMAGING; CANCER"/>
    <x v="25"/>
    <d v="2019-06-30T00:00:00"/>
    <n v="0"/>
    <s v="Tissue, Prostate, Cancer"/>
  </r>
  <r>
    <x v="631"/>
    <s v="University of British Columbia"/>
    <x v="3"/>
    <x v="13"/>
    <s v="201503MOP"/>
    <x v="12"/>
    <s v="Kinematics and Muscle Activation of the Cervical Spine During Impending Head First Impacts in Motor Vehicle Rollovers"/>
    <n v="355773"/>
    <n v="0"/>
    <n v="0"/>
    <m/>
    <s v="5 yrs 0 mth "/>
    <x v="0"/>
    <s v="MUSCULO SKELETAL; INJURY, REGENERATION; MUSCLE, BONE, OR JOINT; BIOPHYSICS"/>
    <x v="25"/>
    <d v="2020-06-30T00:00:00"/>
    <n v="0"/>
    <s v="Kinematics, Muscle Activation, Cervical Spine"/>
  </r>
  <r>
    <x v="632"/>
    <s v="University of British Columbia"/>
    <x v="3"/>
    <x v="13"/>
    <s v="201503MOP"/>
    <x v="14"/>
    <s v="Using genetically engineered mouse models to define variables producing pancreatic ductal adenocarcinoma heterogeneity"/>
    <n v="644632"/>
    <n v="0"/>
    <n v="0"/>
    <m/>
    <s v="5 yrs 0 mth "/>
    <x v="1"/>
    <s v="GASTRO-INTESTINAL CANCER; GASTRO-INTESTINAL DISEASE; CANCER; CELL BIOLOGY"/>
    <x v="25"/>
    <d v="2021-06-30T00:00:00"/>
    <n v="0"/>
    <s v="genetically engineered, mouse models, pancreatic ductal adenocarcinoma"/>
  </r>
  <r>
    <x v="633"/>
    <s v="University of British Columbia"/>
    <x v="3"/>
    <x v="13"/>
    <s v="201503MOP"/>
    <x v="14"/>
    <s v="Longitudinal assessment of immune-tumor interactions during lung cancer progression"/>
    <n v="704111"/>
    <n v="0"/>
    <n v="0"/>
    <m/>
    <s v="5 yrs 0 mth "/>
    <x v="1"/>
    <s v="LUNG CANCER; LUNG CANCER THERAPY; CANCER"/>
    <x v="25"/>
    <d v="2020-06-30T00:00:00"/>
    <n v="0"/>
    <s v="immune, tumor, lung"/>
  </r>
  <r>
    <x v="598"/>
    <s v="University of British Columbia"/>
    <x v="3"/>
    <x v="13"/>
    <s v="201503MOP"/>
    <x v="13"/>
    <s v="Mechanisms of Protective Immunity in Ovarian Cancer"/>
    <n v="639477"/>
    <n v="0"/>
    <n v="0"/>
    <m/>
    <s v="5 yrs 0 mth "/>
    <x v="1"/>
    <s v="CANCER THERAPY GENERAL; CANCER; IMMUNOLOGY-TRANSPLANTATION"/>
    <x v="25"/>
    <d v="2020-06-30T00:00:00"/>
    <n v="0"/>
    <s v="Protective immunity, ovarian cancer"/>
  </r>
  <r>
    <x v="634"/>
    <s v="University of British Columbia"/>
    <x v="3"/>
    <x v="13"/>
    <s v="201503MOP"/>
    <x v="11"/>
    <s v="Image guidance for radical prostatectomy"/>
    <n v="667966"/>
    <n v="0"/>
    <n v="0"/>
    <m/>
    <s v="5 yrs 0 mth "/>
    <x v="1"/>
    <s v="PROSTATE AND BLADDER CANCER THERAPY; PROSTATE AND BLADDER CANCER; IMAGING; RENAL FUNCTION, NEPHROLOGY, UROLOGY"/>
    <x v="25"/>
    <d v="2020-06-30T00:00:00"/>
    <n v="3"/>
    <s v="Image guidance, prostatectomy"/>
  </r>
  <r>
    <x v="635"/>
    <s v="University of Calgary"/>
    <x v="1"/>
    <x v="13"/>
    <s v="200909MOP"/>
    <x v="6"/>
    <s v="Characterization of a novel model of inflammation-induced gastric neoplasia."/>
    <n v="384114"/>
    <n v="0"/>
    <n v="0"/>
    <m/>
    <s v="3 yrs 0 mth "/>
    <x v="1"/>
    <s v="GASTRO-INTESTINAL CANCER; NEOPLASMS; CANCER; IMMUNOLOGY-TRANSPLANTATION"/>
    <x v="22"/>
    <d v="2013-03-31T00:00:00"/>
    <n v="0"/>
    <s v="inflammation, gastric, neoplasia"/>
  </r>
  <r>
    <x v="636"/>
    <s v="University of Calgary"/>
    <x v="1"/>
    <x v="13"/>
    <s v="201003MOP"/>
    <x v="12"/>
    <s v="A biomedical engineering approach to investigating bone quality across the lifespan"/>
    <n v="629550"/>
    <n v="0"/>
    <n v="0"/>
    <m/>
    <s v="5 yrs 0 mth "/>
    <x v="0"/>
    <s v="OSTEOPOROSIS; MUSCULO SKELETAL; MUSCLE, BONE, OR JOINT; HEALTH RESEARCH"/>
    <x v="5"/>
    <d v="2015-09-30T00:00:00"/>
    <n v="0"/>
    <s v="biomedical engineering, bone quality, lifespan"/>
  </r>
  <r>
    <x v="637"/>
    <s v="University of Calgary"/>
    <x v="1"/>
    <x v="13"/>
    <s v="201003MOP"/>
    <x v="11"/>
    <s v="Imaging of Small Vessel Disease in Dementia"/>
    <n v="815081"/>
    <n v="0"/>
    <n v="0"/>
    <m/>
    <s v="5 yrs 0 mth "/>
    <x v="11"/>
    <s v="STROKE, HEART FAILURE; ALZHEIMER'S DISEASE; CARDIOVASCULAR; AGING"/>
    <x v="5"/>
    <d v="2015-06-30T00:00:00"/>
    <n v="0"/>
    <s v="Imaging, Small Vessel Disease, Dementia"/>
  </r>
  <r>
    <x v="638"/>
    <s v="University of Calgary"/>
    <x v="1"/>
    <x v="13"/>
    <s v="201009MOP"/>
    <x v="12"/>
    <s v="Chondrocyte mechanics and biology in the intact joint: towards an understanding of osteoarthritis development in vivo"/>
    <n v="528435"/>
    <n v="0"/>
    <n v="0"/>
    <m/>
    <s v="5 yrs 0 mth "/>
    <x v="0"/>
    <s v="MUSCULO SKELETAL; ARTHRITIS/OSTEOARTHRITIS; MUSCLE, BONE, OR JOINT; MOLECULAR BIOLOGY"/>
    <x v="27"/>
    <d v="2016-03-31T00:00:00"/>
    <n v="0"/>
    <s v="chondrocyte, biomechanics, osteoarthritis"/>
  </r>
  <r>
    <x v="639"/>
    <s v="University of Calgary"/>
    <x v="1"/>
    <x v="13"/>
    <s v="201103MOP"/>
    <x v="6"/>
    <s v="Surviving the break-up in DNA damage response with a novel partner: TPX2"/>
    <n v="272532"/>
    <n v="0"/>
    <n v="0"/>
    <m/>
    <s v="3 yrs 0 mth "/>
    <x v="1"/>
    <s v="CANCER THERAPY GENERAL; LUNG CANCER; CANCER; MOLECULAR BIOLOGY"/>
    <x v="23"/>
    <d v="2014-09-30T00:00:00"/>
    <n v="0"/>
    <s v="DNA damage, TPX2, response"/>
  </r>
  <r>
    <x v="640"/>
    <s v="University of Calgary"/>
    <x v="1"/>
    <x v="13"/>
    <s v="201109MOP"/>
    <x v="6"/>
    <s v="Chromatin remodeling dynamics during human DNA double strand break repair"/>
    <n v="758975"/>
    <n v="0"/>
    <n v="0"/>
    <m/>
    <s v="5 yrs 0 mth "/>
    <x v="1"/>
    <s v="CANCER THERAPY GENERAL; AGING; CELL BIOLOGY; MOLECULAR BIOLOGY"/>
    <x v="28"/>
    <d v="2017-03-31T00:00:00"/>
    <n v="0"/>
    <s v="chromatin remodeling, DNA repair, double strand break"/>
  </r>
  <r>
    <x v="641"/>
    <s v="University of Calgary"/>
    <x v="1"/>
    <x v="13"/>
    <s v="201203MOP"/>
    <x v="6"/>
    <s v="Regulation of PNKP and XRCC4 in non-homologous end-joining by dynamic, reversible protein phosphorylation."/>
    <n v="978301"/>
    <n v="0"/>
    <n v="0"/>
    <m/>
    <s v="5 yrs 0 mth "/>
    <x v="1"/>
    <s v="CANCER THERAPY GENERAL; NONE OF THE ABOVE; BIOCHEMISTRY; MOLECULAR BIOLOGY"/>
    <x v="21"/>
    <d v="2017-09-30T00:00:00"/>
    <n v="0"/>
    <s v="PNKP, XRCC4, end-joining"/>
  </r>
  <r>
    <x v="642"/>
    <s v="University of Calgary"/>
    <x v="1"/>
    <x v="13"/>
    <s v="201209MOP"/>
    <x v="14"/>
    <s v="Bortezomib mediated BRCAness in Myeloma cells: novel therapeutic approach combining PARP1-2 and 26S proteasome inhibitors."/>
    <n v="522880"/>
    <n v="0"/>
    <n v="100000"/>
    <s v="Alberta Cancer Foundation"/>
    <s v="4 yrs 0 mth "/>
    <x v="1"/>
    <s v="CANCER THERAPY GENERAL; NEOPLASMS; CANCER; BLOOD"/>
    <x v="15"/>
    <d v="2017-03-31T00:00:00"/>
    <n v="0"/>
    <s v="Bortezomib, BRCAness, PARP1-2"/>
  </r>
  <r>
    <x v="643"/>
    <s v="University of Calgary"/>
    <x v="1"/>
    <x v="13"/>
    <s v="201209MOP"/>
    <x v="12"/>
    <s v="The mechanical causes of osteoarthritis"/>
    <n v="665010"/>
    <n v="0"/>
    <n v="0"/>
    <m/>
    <s v="5 yrs 0 mth "/>
    <x v="0"/>
    <s v="MUSCULO SKELETAL; ARTHRITIS/OSTEOARTHRITIS; HEALTH RESEARCH; AGING"/>
    <x v="15"/>
    <d v="2018-03-31T00:00:00"/>
    <n v="0"/>
    <s v="mechanical, osteoarthritis, causes"/>
  </r>
  <r>
    <x v="638"/>
    <s v="University of Calgary"/>
    <x v="1"/>
    <x v="13"/>
    <s v="201003MOP"/>
    <x v="12"/>
    <s v="The functional role of titin in muscle contraction"/>
    <n v="251472"/>
    <n v="0"/>
    <n v="0"/>
    <m/>
    <s v="3 yrs 0 mth "/>
    <x v="0"/>
    <s v="MUSCULO SKELETAL; MUSCLE, BONE, OR JOINT"/>
    <x v="24"/>
    <d v="2016-09-30T00:00:00"/>
    <n v="0"/>
    <s v="titin, muscle contraction"/>
  </r>
  <r>
    <x v="638"/>
    <s v="University of Calgary"/>
    <x v="1"/>
    <x v="13"/>
    <s v="201303MOP"/>
    <x v="12"/>
    <s v="The functional role of titin in muscle contraction"/>
    <n v="540050"/>
    <n v="0"/>
    <n v="0"/>
    <m/>
    <s v="5 yrs 0 mth "/>
    <x v="0"/>
    <s v="MUSCULO SKELETAL; MUSCLE, BONE, OR JOINT"/>
    <x v="24"/>
    <d v="2015-06-30T00:00:00"/>
    <n v="0"/>
    <s v="titin, muscle contraction"/>
  </r>
  <r>
    <x v="644"/>
    <s v="University of Calgary"/>
    <x v="1"/>
    <x v="13"/>
    <s v="201309MOP"/>
    <x v="13"/>
    <s v="The role of CIC in oligodendroglioma"/>
    <n v="656900"/>
    <n v="0"/>
    <n v="0"/>
    <m/>
    <s v="5 yrs 0 mth "/>
    <x v="1"/>
    <s v="BRAIN TUMORS (INCL. RETINAL TUMORS); CANCER; NERVOUS SYSTEM"/>
    <x v="11"/>
    <d v="2019-03-31T00:00:00"/>
    <n v="0"/>
    <s v="CIC, oligodendroglioma"/>
  </r>
  <r>
    <x v="645"/>
    <s v="University of Calgary"/>
    <x v="1"/>
    <x v="13"/>
    <s v="201403MOP"/>
    <x v="12"/>
    <s v="Optimizing the size and composition of beta cell aggregates to improve islet graft survival"/>
    <n v="586594"/>
    <n v="0"/>
    <n v="0"/>
    <m/>
    <s v="5 yrs 0 mth "/>
    <x v="4"/>
    <s v="DIABETES MELLITUS; METABOLISM/DIABETES; CELL BIOLOGY"/>
    <x v="29"/>
    <d v="2019-06-30T00:00:00"/>
    <n v="0"/>
    <s v="beta cell, islet graft, aggregates"/>
  </r>
  <r>
    <x v="646"/>
    <s v="University of Calgary"/>
    <x v="1"/>
    <x v="13"/>
    <s v="201403MOP"/>
    <x v="6"/>
    <s v="Nej1 and Lif1 form structural filaments that bridge the ends of DNA at a DSB"/>
    <n v="628466"/>
    <n v="0"/>
    <n v="0"/>
    <m/>
    <s v="5 yrs 0 mth "/>
    <x v="8"/>
    <s v="CANCER THERAPY GENERAL; GENETICS; CANCER"/>
    <x v="29"/>
    <d v="2019-06-30T00:00:00"/>
    <n v="0"/>
    <s v="Nej1, Lif1, DNA"/>
  </r>
  <r>
    <x v="635"/>
    <s v="University of Calgary"/>
    <x v="1"/>
    <x v="13"/>
    <s v="201503MOP"/>
    <x v="14"/>
    <s v="Stimulator of interferon genes (STING)-induced tumour-associated macrophage re-education as a novel strategy for the treatment of lung cancer."/>
    <n v="660400"/>
    <n v="0"/>
    <n v="0"/>
    <m/>
    <s v="4 yrs 0 mth "/>
    <x v="1"/>
    <s v="LUNG CANCER THERAPY; LUNG CANCER; CANCER; IMMUNOLOGY-TRANSPLANTATION"/>
    <x v="25"/>
    <d v="2019-06-30T00:00:00"/>
    <n v="0"/>
    <s v="STING, macrophage, lung cancer"/>
  </r>
  <r>
    <x v="647"/>
    <s v="University of Guelph"/>
    <x v="0"/>
    <x v="13"/>
    <s v="201003MOP"/>
    <x v="14"/>
    <s v="Is IGF-IR Mediated Mammary Tumorigenesis Influenced by the Mammary Developmental Stage"/>
    <n v="453972"/>
    <n v="0"/>
    <n v="0"/>
    <m/>
    <s v="4 yrs 0 mth "/>
    <x v="1"/>
    <s v="BREAST CANCER; BREAST CANCER THERAPY; CANCER; CELL BIOLOGY"/>
    <x v="5"/>
    <d v="2014-09-30T00:00:00"/>
    <n v="0"/>
    <s v="IGF-IR, Mammary, Tumorigenesis"/>
  </r>
  <r>
    <x v="648"/>
    <s v="University of Guelph"/>
    <x v="0"/>
    <x v="13"/>
    <s v="201103MOP"/>
    <x v="14"/>
    <s v="Thrombospondin-1 as a potent anti-tumor and anti-angiogenic factor in ovarian cancer"/>
    <n v="549816"/>
    <n v="0"/>
    <n v="100000"/>
    <s v="Ovarian Cancer Canada (Toronto)"/>
    <s v="5 yrs 0 mth "/>
    <x v="1"/>
    <s v="CANCER THERAPY GENERAL; CANCER"/>
    <x v="23"/>
    <d v="2016-09-30T00:00:00"/>
    <n v="0"/>
    <s v="Thrombospondin-1, anti-angiogenic, ovarian cancer"/>
  </r>
  <r>
    <x v="647"/>
    <s v="University of Guelph"/>
    <x v="0"/>
    <x v="13"/>
    <s v="201403MOP"/>
    <x v="6"/>
    <s v="miRNA function in breast cancer"/>
    <n v="589508"/>
    <n v="0"/>
    <n v="0"/>
    <m/>
    <s v="5 yrs 0 mth "/>
    <x v="1"/>
    <s v="BREAST CANCER; BREAST CANCER THERAPY; CANCER; CELL BIOLOGY"/>
    <x v="29"/>
    <d v="2019-06-30T00:00:00"/>
    <n v="0"/>
    <s v="miRNA, breast cancer"/>
  </r>
  <r>
    <x v="649"/>
    <s v="University of Manitoba"/>
    <x v="4"/>
    <x v="13"/>
    <s v="200809MOP"/>
    <x v="6"/>
    <s v="Mechanisms and consequences of three-dimensional (3D) nuclear remodeling of telomeres in cancer"/>
    <n v="388829"/>
    <n v="0"/>
    <n v="0"/>
    <m/>
    <s v="3 yrs 0 mth "/>
    <x v="1"/>
    <s v="LEUKAEMIAS; NEOPLASMS; CANCER; GENETICS"/>
    <x v="10"/>
    <d v="2012-03-31T00:00:00"/>
    <n v="6"/>
    <s v="nuclear remodeling, telomeres, cancer"/>
  </r>
  <r>
    <x v="650"/>
    <s v="University of Manitoba"/>
    <x v="4"/>
    <x v="13"/>
    <s v="200903MOP"/>
    <x v="14"/>
    <s v="Beyond the estrogen receptor: Involvement of kinases in estrogen dependence and independence in human breast cancer"/>
    <n v="729830"/>
    <n v="0"/>
    <n v="0"/>
    <m/>
    <s v="5 yrs 0 mth "/>
    <x v="1"/>
    <s v="BREAST CANCER; ENDOCRINOLOGY; CANCER"/>
    <x v="4"/>
    <d v="2014-09-30T00:00:00"/>
    <n v="1"/>
    <s v="estrogen receptor, kinases, breast cancer"/>
  </r>
  <r>
    <x v="651"/>
    <s v="University of Manitoba"/>
    <x v="4"/>
    <x v="13"/>
    <s v="201009MOP"/>
    <x v="11"/>
    <s v="Point of care diagnostic and analytical metabolomic testing."/>
    <n v="289018"/>
    <n v="0"/>
    <n v="0"/>
    <m/>
    <s v="3 yrs 0 mth "/>
    <x v="5"/>
    <s v="MULTIDISCIPLINARY; MULTIPLE DISEASE RELEVANCE; GENOMICS, PROTEOMICS, AND BIOINFORMATICS; BIOPHYSICS"/>
    <x v="27"/>
    <d v="2014-03-31T00:00:00"/>
    <n v="0"/>
    <s v="point of care, diagnostic, metabolomic"/>
  </r>
  <r>
    <x v="652"/>
    <s v="University of Manitoba"/>
    <x v="4"/>
    <x v="13"/>
    <s v="201309MOP"/>
    <x v="13"/>
    <s v="Functional characterization of novel biomarkers for subtype-specific medulloblastoma cell phenotypes"/>
    <n v="614472"/>
    <n v="0"/>
    <n v="0"/>
    <m/>
    <s v="5 yrs 0 mth "/>
    <x v="1"/>
    <s v="BRAIN TUMORS (INCL. RETINAL TUMORS); MULTIDISCIPLINARY; CANCER; CELL BIOLOGY"/>
    <x v="11"/>
    <d v="2019-03-31T00:00:00"/>
    <n v="1"/>
    <s v="biomarkers, medulloblastoma, phenotypes"/>
  </r>
  <r>
    <x v="653"/>
    <s v="University of Manitoba"/>
    <x v="4"/>
    <x v="13"/>
    <s v="201403MOP"/>
    <x v="6"/>
    <s v="ATM and TDP1 coordinate neurodevelopment and modulate Top1-mediated anti-cancer therapeutic outcome"/>
    <n v="817320"/>
    <n v="0"/>
    <n v="0"/>
    <m/>
    <s v="5 yrs 0 mth "/>
    <x v="1"/>
    <s v="CANCER THERAPY GENERAL; MULTIPLE DISEASE RELEVANCE; CANCER; GENETICS"/>
    <x v="29"/>
    <d v="2019-06-30T00:00:00"/>
    <n v="0"/>
    <s v="ATM, TDP1, Top1"/>
  </r>
  <r>
    <x v="654"/>
    <s v="University of Ottawa"/>
    <x v="0"/>
    <x v="13"/>
    <s v="201009MOP"/>
    <x v="12"/>
    <s v="Autologous Bone Marrow-Derived Cellular Augmentation in Rotator Cuff Repair"/>
    <n v="866864"/>
    <n v="0"/>
    <n v="0"/>
    <m/>
    <s v="5 yrs 0 mth "/>
    <x v="0"/>
    <s v="MUSCULO SKELETAL; INJURY, REGENERATION; MUSCLE, BONE, OR JOINT"/>
    <x v="27"/>
    <d v="2016-03-31T00:00:00"/>
    <n v="0"/>
    <s v="Bone Marrow, Cellular, Rotator Cuff"/>
  </r>
  <r>
    <x v="655"/>
    <s v="University of Ottawa"/>
    <x v="0"/>
    <x v="13"/>
    <s v="201309MOP"/>
    <x v="12"/>
    <s v="Identification and modulation of molecular mechanisms involved in the biological response to wear and corrosion of hip implants"/>
    <n v="524631"/>
    <n v="0"/>
    <n v="0"/>
    <m/>
    <s v="4 yrs 0 mth "/>
    <x v="0"/>
    <s v="MUSCULO SKELETAL; MULTIDISCIPLINARY; MUSCLE, BONE, OR JOINT; CELL BIOLOGY"/>
    <x v="11"/>
    <d v="2018-03-31T00:00:00"/>
    <n v="1"/>
    <s v="molecular mechanisms, biological response, hip implants"/>
  </r>
  <r>
    <x v="656"/>
    <s v="University of Saskatchewan"/>
    <x v="8"/>
    <x v="13"/>
    <s v="200809MOP"/>
    <x v="6"/>
    <s v="Molecular mechanisms of DNA damage tolerance - A yeast model"/>
    <n v="492133"/>
    <n v="0"/>
    <n v="0"/>
    <m/>
    <s v="4 yrs 0 mth "/>
    <x v="1"/>
    <s v="CARCINOGENS (INCL ENVIRONMENTAL); CANCER THERAPY GENERAL; CANCER; GENETICS"/>
    <x v="10"/>
    <d v="2013-03-31T00:00:00"/>
    <n v="1"/>
    <s v="DNA, damage, yeast"/>
  </r>
  <r>
    <x v="657"/>
    <s v="University of Saskatchewan"/>
    <x v="8"/>
    <x v="13"/>
    <s v="201003MOP"/>
    <x v="6"/>
    <s v="The Role of Natural Antisense Transcripts in Silencing Transforming Growth Factor Beta Regulated Genes in Acute Myeloid Leukemia"/>
    <n v="444907"/>
    <n v="0"/>
    <n v="0"/>
    <m/>
    <s v="4 yrs 0 mth "/>
    <x v="1"/>
    <s v="LEUKAEMIAS; CANCER THERAPY GENERAL; CANCER; MOLECULAR BIOLOGY"/>
    <x v="5"/>
    <d v="2014-09-30T00:00:00"/>
    <n v="0"/>
    <s v="Antisense transcripts, Gene regulation, Leukemia"/>
  </r>
  <r>
    <x v="658"/>
    <s v="University of Saskatchewan"/>
    <x v="8"/>
    <x v="13"/>
    <s v="201405MOP"/>
    <x v="14"/>
    <s v="Targeting Metastatic Breast Cancer"/>
    <n v="100000"/>
    <n v="0"/>
    <n v="0"/>
    <m/>
    <s v="1 yr 0 mth "/>
    <x v="1"/>
    <s v="BREAST CANCER; BREAST CANCER THERAPY; CANCER"/>
    <x v="26"/>
    <d v="2015-09-30T00:00:00"/>
    <n v="1"/>
    <s v="Metastatic, Breast Cancer"/>
  </r>
  <r>
    <x v="659"/>
    <s v="University of Toronto"/>
    <x v="0"/>
    <x v="13"/>
    <s v="200809MOP"/>
    <x v="12"/>
    <s v="Assessing the Size Dependent Cancer Targeting of Herceptin-coated Nanoparticles"/>
    <n v="419013"/>
    <n v="0"/>
    <n v="0"/>
    <m/>
    <s v="4 yrs 0 mth "/>
    <x v="1"/>
    <s v="BREAST CANCER; BIOPHYSICS; CANCER"/>
    <x v="10"/>
    <d v="2013-03-31T00:00:00"/>
    <n v="0"/>
    <s v="Herceptin, nanoparticles, cancer"/>
  </r>
  <r>
    <x v="660"/>
    <s v="University of Toronto"/>
    <x v="0"/>
    <x v="13"/>
    <s v="200903MOP"/>
    <x v="12"/>
    <s v="Prediction and control of seizure onset"/>
    <n v="293444"/>
    <n v="0"/>
    <n v="0"/>
    <m/>
    <s v="3 yrs 0 mth "/>
    <x v="3"/>
    <s v="EPILEPSY; MENTAL DISABILITY; BIOPHYSICS; NERVOUS SYSTEM"/>
    <x v="4"/>
    <d v="2012-09-30T00:00:00"/>
    <n v="2"/>
    <s v="seizure, prediction, control"/>
  </r>
  <r>
    <x v="661"/>
    <s v="University of Toronto"/>
    <x v="0"/>
    <x v="13"/>
    <s v="201009MOP"/>
    <x v="6"/>
    <s v="CD123-Targeted Auger Electron Radioimmunotherapy of Acute Myelogenous Leukemia (AML)"/>
    <n v="372204"/>
    <n v="0"/>
    <n v="0"/>
    <m/>
    <s v="3 yrs 0 mth "/>
    <x v="1"/>
    <s v="LEUKAEMIAS; DRUGS- PHARMACEUTICAL SCIENCE/CHEMISTRY &amp; NON MEDICAL USE OF DRUGS; CANCER; DRUG RESEARCH"/>
    <x v="27"/>
    <d v="2014-03-31T00:00:00"/>
    <n v="0"/>
    <s v="CD123, Auger electron, leukemia"/>
  </r>
  <r>
    <x v="662"/>
    <s v="University of Toronto"/>
    <x v="0"/>
    <x v="13"/>
    <s v="201009MOP"/>
    <x v="14"/>
    <s v="Specific inhibitors of deubiquitinating enzymes"/>
    <n v="485957"/>
    <n v="0"/>
    <n v="0"/>
    <m/>
    <s v="3 yrs 0 mth "/>
    <x v="1"/>
    <s v="MOLECULAR BIOLOGY; CANCER"/>
    <x v="27"/>
    <d v="2014-03-31T00:00:00"/>
    <n v="0"/>
    <s v="deubiquitinating enzymes, inhibitors"/>
  </r>
  <r>
    <x v="663"/>
    <s v="University of Toronto"/>
    <x v="0"/>
    <x v="13"/>
    <s v="201009MOP"/>
    <x v="12"/>
    <s v="Monocyte directed tissue regeneration of a blood vessel substitute using a pro-cellular degradable tubular scaffold"/>
    <n v="379080"/>
    <n v="0"/>
    <n v="0"/>
    <m/>
    <s v="3 yrs 0 mth "/>
    <x v="11"/>
    <s v="CORONARY CIRCULATION (INCL. INSUFFICIENCY); ATHEROSCLEROSIS; CARDIOVASCULAR; HEALTH RESEARCH"/>
    <x v="27"/>
    <d v="2014-03-31T00:00:00"/>
    <n v="0"/>
    <s v="monocyte, tissue regeneration, blood vessel"/>
  </r>
  <r>
    <x v="664"/>
    <s v="University of Toronto"/>
    <x v="0"/>
    <x v="13"/>
    <s v="201009MOP"/>
    <x v="12"/>
    <s v="Polymeric Nanospheres Designed for Targeted Delivery in Breast Cancer"/>
    <n v="586822"/>
    <n v="0"/>
    <n v="0"/>
    <m/>
    <s v="4 yrs 0 mth "/>
    <x v="1"/>
    <s v="BREAST CANCER; CANCER"/>
    <x v="27"/>
    <d v="2015-03-31T00:00:00"/>
    <n v="0"/>
    <s v="Polymeric, Nanospheres, Breast Cancer"/>
  </r>
  <r>
    <x v="665"/>
    <s v="University of Toronto"/>
    <x v="0"/>
    <x v="13"/>
    <s v="201103MOP"/>
    <x v="12"/>
    <s v="Novel Nitric Oxide Delivery System for Wound Healing"/>
    <n v="276484"/>
    <n v="0"/>
    <n v="0"/>
    <m/>
    <s v="3 yrs 0 mth "/>
    <x v="4"/>
    <s v="SKIN AND SUBCUTANEOUS TISSUS; INFECTIOUS AND PARASITIC; DRUG RESEARCH; METABOLISM/DIABETES"/>
    <x v="23"/>
    <d v="2014-09-30T00:00:00"/>
    <n v="6"/>
    <s v="Nitric Oxide, Delivery System, Wound Healing"/>
  </r>
  <r>
    <x v="666"/>
    <s v="University of Toronto"/>
    <x v="0"/>
    <x v="13"/>
    <s v="201103MOP"/>
    <x v="12"/>
    <s v="Modular Tissue Engineering for Islet Transplantation"/>
    <n v="346262"/>
    <n v="0"/>
    <n v="0"/>
    <m/>
    <s v="3 yrs 0 mth "/>
    <x v="4"/>
    <s v="DIABETES MELLITUS; SKIN AND SUBCUTANEOUS TISSUS; METABOLISM/DIABETES; IMMUNOLOGY-TRANSPLANTATION"/>
    <x v="23"/>
    <d v="2014-09-30T00:00:00"/>
    <n v="1"/>
    <s v="Tissue engineering, Islet transplantation"/>
  </r>
  <r>
    <x v="667"/>
    <s v="University of Toronto"/>
    <x v="0"/>
    <x v="13"/>
    <s v="201109MOP"/>
    <x v="14"/>
    <s v="Mitochondrial delivery of DNA-alkylating anticancer agents"/>
    <n v="514560"/>
    <n v="0"/>
    <n v="0"/>
    <m/>
    <s v="4 yrs 0 mth "/>
    <x v="1"/>
    <s v="CANCER THERAPY GENERAL; LEUKAEMIAS; CANCER; GENETICS"/>
    <x v="28"/>
    <d v="2016-03-31T00:00:00"/>
    <n v="0"/>
    <s v="Mitochondrial, DNA-alkylating, anticancer"/>
  </r>
  <r>
    <x v="668"/>
    <s v="University of Toronto"/>
    <x v="0"/>
    <x v="13"/>
    <s v="201109MOP"/>
    <x v="14"/>
    <s v="Molecular characterization of JMML"/>
    <n v="782020"/>
    <n v="0"/>
    <n v="0"/>
    <m/>
    <s v="5 yrs 0 mth "/>
    <x v="1"/>
    <s v="LEUKAEMIAS; CANCER THERAPY GENERAL; CANCER; MOLECULAR BIOLOGY"/>
    <x v="28"/>
    <d v="2017-03-31T00:00:00"/>
    <n v="0"/>
    <s v="Molecular, characterization, JMML"/>
  </r>
  <r>
    <x v="669"/>
    <s v="University of Toronto"/>
    <x v="0"/>
    <x v="13"/>
    <s v="201203MOP"/>
    <x v="12"/>
    <s v="Engineering niches to support the development of definitive blood progenitors from human pluripotent stem cells"/>
    <n v="819405"/>
    <n v="0"/>
    <n v="0"/>
    <m/>
    <s v="5 yrs 0 mth "/>
    <x v="11"/>
    <s v="BLOOD; LEUKAEMIAS; CELL BIOLOGY"/>
    <x v="21"/>
    <d v="2017-09-30T00:00:00"/>
    <n v="0"/>
    <s v="blood progenitors, pluripotent stem cells, niches"/>
  </r>
  <r>
    <x v="664"/>
    <s v="University of Toronto"/>
    <x v="0"/>
    <x v="13"/>
    <s v="201203MOP"/>
    <x v="12"/>
    <s v="Local Delivery of Therapeutic Biomolecules to the Injured Spinal Cord"/>
    <n v="756107"/>
    <n v="0"/>
    <n v="0"/>
    <m/>
    <s v="5 yrs 0 mth "/>
    <x v="3"/>
    <s v="SPINAL CORD DISEASE; INJURY, REGENERATION; NERVOUS SYSTEM"/>
    <x v="21"/>
    <d v="2017-09-30T00:00:00"/>
    <n v="3"/>
    <s v="biomolecules, spinal cord, delivery"/>
  </r>
  <r>
    <x v="670"/>
    <s v="University of Toronto"/>
    <x v="0"/>
    <x v="13"/>
    <s v="201203MOP"/>
    <x v="11"/>
    <s v="Super-Resolution Imaging of Receptor Dynamics and Structure: Self-Association of CEACAM and Its Implications for Cancer,Infection, and Inflammation"/>
    <n v="592876"/>
    <n v="0"/>
    <n v="0"/>
    <m/>
    <s v="5 yrs 0 mth "/>
    <x v="7"/>
    <s v="MULTIPLE DISEASE RELEVANCE; MULTIDISCIPLINARY; BIOPHYSICS; CELL BIOLOGY"/>
    <x v="21"/>
    <d v="2017-09-30T00:00:00"/>
    <n v="0"/>
    <s v="Super-Resolution, Receptor, CEACAM"/>
  </r>
  <r>
    <x v="671"/>
    <s v="University of Toronto"/>
    <x v="0"/>
    <x v="13"/>
    <s v="201209MOP"/>
    <x v="12"/>
    <s v="Engineering Microenvironments for Cardiac Regeneration"/>
    <n v="523039"/>
    <n v="0"/>
    <n v="0"/>
    <m/>
    <s v="4 yrs 0 mth "/>
    <x v="11"/>
    <s v="CARDIOLOGY; MULTIDISCIPLINARY; CARDIOVASCULAR; DRUG RESEARCH"/>
    <x v="15"/>
    <d v="2017-03-31T00:00:00"/>
    <n v="6"/>
    <s v="Microenvironments, Cardiac, Regeneration"/>
  </r>
  <r>
    <x v="660"/>
    <s v="University of Toronto"/>
    <x v="0"/>
    <x v="13"/>
    <s v="201209MOP"/>
    <x v="12"/>
    <s v="Classification and control of the electrical activities in the brain's neural networks under epileptic seizure conditions"/>
    <n v="418000"/>
    <n v="0"/>
    <n v="0"/>
    <m/>
    <s v="5 yrs 0 mth "/>
    <x v="3"/>
    <s v="EPILEPSY; MENTAL DISABILITY; BIOPHYSICS; NERVOUS SYSTEM"/>
    <x v="15"/>
    <d v="2018-03-31T00:00:00"/>
    <n v="4"/>
    <s v="brain, neural networks, epilepsy"/>
  </r>
  <r>
    <x v="672"/>
    <s v="University of Toronto"/>
    <x v="0"/>
    <x v="13"/>
    <s v="201303MOP"/>
    <x v="12"/>
    <s v="Systematic screening of engineered microenvironments for improved heart valve tissue regeneration"/>
    <n v="411566"/>
    <n v="0"/>
    <n v="0"/>
    <m/>
    <s v="3 yrs 0 mth "/>
    <x v="11"/>
    <s v="CARDIOLOGY; CARDIOVASCULAR; BIOPHYSICS"/>
    <x v="24"/>
    <d v="2016-09-30T00:00:00"/>
    <n v="0"/>
    <s v="microenvironments, heart valve, tissue regeneration"/>
  </r>
  <r>
    <x v="659"/>
    <s v="University of Toronto"/>
    <x v="0"/>
    <x v="13"/>
    <s v="201303MOP"/>
    <x v="12"/>
    <s v="Engineering DNA-nanosystems for tumor targeting"/>
    <n v="632126"/>
    <n v="0"/>
    <n v="0"/>
    <m/>
    <s v="5 yrs 0 mth "/>
    <x v="1"/>
    <s v="BREAST CANCER"/>
    <x v="24"/>
    <d v="2018-06-30T00:00:00"/>
    <n v="0"/>
    <s v="DNA, nanosystems, tumor"/>
  </r>
  <r>
    <x v="669"/>
    <s v="University of Toronto"/>
    <x v="0"/>
    <x v="13"/>
    <s v="201309MOP"/>
    <x v="12"/>
    <s v="Regulatory control of pluripotent cell identity and fate"/>
    <n v="917420"/>
    <n v="0"/>
    <n v="0"/>
    <m/>
    <s v="5 yrs 0 mth "/>
    <x v="10"/>
    <s v="MULTIPLE DISEASE RELEVANCE; MULTIDISCIPLINARY; CELL BIOLOGY; HEALTH RESEARCH"/>
    <x v="11"/>
    <d v="2017-06-30T00:00:00"/>
    <n v="5"/>
    <s v="regulatory control, pluripotent cell, cell identity"/>
  </r>
  <r>
    <x v="671"/>
    <s v="University of Toronto"/>
    <x v="0"/>
    <x v="13"/>
    <s v="201403MOP"/>
    <x v="12"/>
    <s v="Injectable functional tissues: a perfect marriage of tissue engineering and minimally invasive delivery"/>
    <n v="542243"/>
    <n v="0"/>
    <n v="0"/>
    <m/>
    <s v="4 yrs 0 mth "/>
    <x v="11"/>
    <s v="MYOCARDIAL INFARCTION; MULTIDISCIPLINARY; CARDIOVASCULAR; CELL BIOLOGY"/>
    <x v="29"/>
    <d v="2018-06-30T00:00:00"/>
    <n v="8"/>
    <s v="injectable, tissue engineering, minimally invasive"/>
  </r>
  <r>
    <x v="663"/>
    <s v="University of Toronto"/>
    <x v="0"/>
    <x v="13"/>
    <s v="201403MOP"/>
    <x v="12"/>
    <s v="Monocyte directed tissue regeneration of a blood vessel substitute using a pro-cellular degradable tubular scaffold"/>
    <n v="482574"/>
    <n v="0"/>
    <n v="0"/>
    <m/>
    <s v="4 yrs 0 mth "/>
    <x v="11"/>
    <s v="CORONARY CIRCULATION (INCL. INSUFFICIENCY); ATHEROSCLEROSIS; CARDIOVASCULAR; HEALTH RESEARCH"/>
    <x v="29"/>
    <d v="2018-06-30T00:00:00"/>
    <n v="0"/>
    <s v="monocyte, tissue regeneration, blood vessel"/>
  </r>
  <r>
    <x v="673"/>
    <s v="University of Toronto"/>
    <x v="0"/>
    <x v="13"/>
    <s v="201403MOP"/>
    <x v="14"/>
    <s v="Targeted Polymeric Nanotechnology for Multi-Modality Treatment of HER2 Positive Breast Cancer"/>
    <n v="492845"/>
    <n v="0"/>
    <n v="100000"/>
    <s v="Avon Foundation for Women - Canada"/>
    <s v="4 yrs 0 mth "/>
    <x v="1"/>
    <s v="BREAST CANCER THERAPY; CANCER THERAPY GENERAL; CANCER; DRUG RESEARCH"/>
    <x v="29"/>
    <d v="2018-06-30T00:00:00"/>
    <n v="0"/>
    <s v="Polymeric, Nanotechnology, HER2"/>
  </r>
  <r>
    <x v="674"/>
    <s v="University of Toronto"/>
    <x v="0"/>
    <x v="13"/>
    <s v="201403MOP"/>
    <x v="12"/>
    <s v="Engineering Transformable Polymer-lipid Nanoparticles for Cascade Drug Delivery to Brain Cancer Cells"/>
    <n v="512205"/>
    <n v="0"/>
    <n v="0"/>
    <m/>
    <s v="5 yrs 0 mth "/>
    <x v="1"/>
    <s v="CANCER THERAPY GENERAL; BRAIN TUMORS THERAPY; CANCER"/>
    <x v="29"/>
    <d v="2019-06-30T00:00:00"/>
    <n v="3"/>
    <s v="Polymer-lipid, Nanoparticles, Drug delivery"/>
  </r>
  <r>
    <x v="668"/>
    <s v="University of Toronto"/>
    <x v="0"/>
    <x v="13"/>
    <s v="201403MOP"/>
    <x v="14"/>
    <s v="Molecular characterization of EpoR regulation in cancer progression"/>
    <n v="834840"/>
    <n v="0"/>
    <n v="0"/>
    <m/>
    <s v="5 yrs 0 mth "/>
    <x v="1"/>
    <s v="NEOPLASMS; BLOOD; CANCER; MOLECULAR BIOLOGY"/>
    <x v="29"/>
    <d v="2019-06-30T00:00:00"/>
    <n v="0"/>
    <s v="EpoR, cancer, regulation"/>
  </r>
  <r>
    <x v="662"/>
    <s v="University of Toronto"/>
    <x v="0"/>
    <x v="13"/>
    <s v="201403MOP"/>
    <x v="13"/>
    <s v="Specific inhibitors of ubiquitin ligases and deubiquitinases"/>
    <n v="919406"/>
    <n v="0"/>
    <n v="0"/>
    <m/>
    <s v="5 yrs 0 mth "/>
    <x v="8"/>
    <s v="MOLECULAR BIOLOGY; CANCER"/>
    <x v="29"/>
    <d v="2019-06-30T00:00:00"/>
    <n v="4"/>
    <s v="ubiquitin, ligases, deubiquitinases"/>
  </r>
  <r>
    <x v="666"/>
    <s v="University of Toronto"/>
    <x v="0"/>
    <x v="13"/>
    <s v="201503MOP"/>
    <x v="12"/>
    <s v="Robust vascularization using modular tissue engineering"/>
    <n v="619244"/>
    <n v="0"/>
    <n v="0"/>
    <m/>
    <s v="5 yrs 0 mth "/>
    <x v="11"/>
    <s v="DIABETES MELLITUS; SKIN AND SUBCUTANEOUS TISSUS; CARDIOVASCULAR; IMMUNOLOGY-TRANSPLANTATION"/>
    <x v="25"/>
    <d v="2017-06-30T00:00:00"/>
    <n v="0"/>
    <s v="vascularization, tissue engineering, modular"/>
  </r>
  <r>
    <x v="598"/>
    <s v="University of Victoria (British Columbia)"/>
    <x v="3"/>
    <x v="13"/>
    <s v="200903MOP"/>
    <x v="6"/>
    <s v="Tumor-infiltrating T cells in ovarian cancer: functional impact on patient survival"/>
    <n v="421287"/>
    <n v="0"/>
    <n v="0"/>
    <m/>
    <s v="3 yrs 0 mth "/>
    <x v="1"/>
    <s v="CANCER THERAPY GENERAL; INFECTIOUS AND PARASITIC; CANCER; IMMUNOLOGY-TRANSPLANTATION"/>
    <x v="4"/>
    <d v="2012-09-30T00:00:00"/>
    <n v="1"/>
    <s v="Tumor-infiltrating T cells, ovarian cancer, patient survival"/>
  </r>
  <r>
    <x v="675"/>
    <s v="University of Victoria (British Columbia)"/>
    <x v="3"/>
    <x v="13"/>
    <s v="201109MOP"/>
    <x v="11"/>
    <s v="Developing Raman spectroscopic techniques for the prediction and monitoring of cellular and tumour response to radiation therapy"/>
    <n v="523965"/>
    <n v="0"/>
    <n v="0"/>
    <m/>
    <s v="5 yrs 0 mth "/>
    <x v="1"/>
    <s v="PROSTATE AND BLADDER CANCER; CANCER THERAPY GENERAL"/>
    <x v="28"/>
    <d v="2017-03-31T00:00:00"/>
    <n v="0"/>
    <s v="Raman spectroscopy, cellular response, radiation"/>
  </r>
  <r>
    <x v="676"/>
    <s v="University of Waterloo (Ontario)"/>
    <x v="0"/>
    <x v="13"/>
    <s v="200909MOP"/>
    <x v="11"/>
    <s v="Molecular-Mechanism-Based Target Identification and Drug Discovery for Radiotherapy of Cancer"/>
    <n v="662867"/>
    <n v="0"/>
    <n v="0"/>
    <m/>
    <s v="5 yrs 0 mth "/>
    <x v="1"/>
    <s v="CANCER THERAPY GENERAL; DRUGS- PHARMACEUTICAL SCIENCE/CHEMISTRY &amp; NON MEDICAL USE OF DRUGS; BIOPHYSICS; CANCER"/>
    <x v="22"/>
    <d v="2015-03-31T00:00:00"/>
    <n v="3"/>
    <s v="molecular, target, radiotherapy"/>
  </r>
  <r>
    <x v="677"/>
    <s v="University of Windsor (Ontario)"/>
    <x v="0"/>
    <x v="13"/>
    <s v="201503MOP"/>
    <x v="6"/>
    <s v="Novel Cell Cycle Regulation in the Initiation and Therapeutic Intervention of Breast Cancer"/>
    <n v="765202"/>
    <n v="0"/>
    <n v="0"/>
    <m/>
    <s v="5 yrs 0 mth "/>
    <x v="1"/>
    <s v="BREAST CANCER; BREAST CANCER THERAPY; CANCER; MOLECULAR BIOLOGY"/>
    <x v="25"/>
    <d v="2021-06-30T00:00:00"/>
    <n v="3"/>
    <s v="Cell cycle, breast cancer, regulation"/>
  </r>
  <r>
    <x v="678"/>
    <s v="Western University (Ontario)"/>
    <x v="0"/>
    <x v="13"/>
    <s v="200809MOP"/>
    <x v="12"/>
    <s v="Computer Assisted Surgery of the Elbow"/>
    <n v="386369"/>
    <n v="0"/>
    <n v="0"/>
    <m/>
    <s v="4 yrs 0 mth "/>
    <x v="0"/>
    <s v="MUSCULO SKELETAL; MUSCLE, BONE, OR JOINT"/>
    <x v="10"/>
    <d v="2013-03-31T00:00:00"/>
    <n v="1"/>
    <s v="Computer, Surgery, Elbow"/>
  </r>
  <r>
    <x v="679"/>
    <s v="Western University (Ontario)"/>
    <x v="0"/>
    <x v="13"/>
    <s v="200809MOP"/>
    <x v="11"/>
    <s v="3D ultrasound-guided trans-perineal focal prostate therapy platform"/>
    <n v="631813"/>
    <n v="0"/>
    <n v="0"/>
    <m/>
    <s v="5 yrs 0 mth "/>
    <x v="1"/>
    <s v="PROSTATE AND BLADDER CANCER; IMAGING; RENAL FUNCTION, NEPHROLOGY, UROLOGY"/>
    <x v="10"/>
    <d v="2014-03-31T00:00:00"/>
    <n v="7"/>
    <s v="ultrasound, prostate, therapy"/>
  </r>
  <r>
    <x v="680"/>
    <s v="Western University (Ontario)"/>
    <x v="0"/>
    <x v="13"/>
    <s v="200903MOP"/>
    <x v="11"/>
    <s v="Hyperpolarized Helium-3 Magnetic Resonance Imaging Phenotypes of Chronic Obstructive Pulmonary Disease"/>
    <n v="359119"/>
    <n v="0"/>
    <n v="0"/>
    <m/>
    <s v="3 yrs 0 mth "/>
    <x v="11"/>
    <s v="CHRONIC OBSTRUCTIVE LUNG DISEASE; EMPHYSEMA; IMAGING; RESPIRATION"/>
    <x v="4"/>
    <d v="2012-09-30T00:00:00"/>
    <n v="0"/>
    <s v="Hyperpolarized, Helium-3, MRI"/>
  </r>
  <r>
    <x v="681"/>
    <s v="Western University (Ontario)"/>
    <x v="0"/>
    <x v="13"/>
    <s v="200909MOP"/>
    <x v="11"/>
    <s v="A Systems Approach to Sepsis: Pathological versus Adaptive Microvascular Responses"/>
    <n v="642828"/>
    <n v="0"/>
    <n v="0"/>
    <m/>
    <s v="5 yrs 0 mth "/>
    <x v="11"/>
    <s v="MULTIPLE DISEASE RELEVANCE; BLOOD; CARDIOVASCULAR; IMAGING"/>
    <x v="22"/>
    <d v="2015-03-31T00:00:00"/>
    <n v="0"/>
    <s v="Sepsis, Microvascular, Responses"/>
  </r>
  <r>
    <x v="682"/>
    <s v="Western University (Ontario)"/>
    <x v="0"/>
    <x v="13"/>
    <s v="200910MOP"/>
    <x v="11"/>
    <s v="Magnetic Resonance PARACEST Imaging of In-vivo Protease Activity"/>
    <n v="96414"/>
    <n v="0"/>
    <n v="0"/>
    <m/>
    <s v="1 yr 0 mth "/>
    <x v="6"/>
    <s v="ALZHEIMER'S DISEASE; AGING; IMAGING; BIOPHYSICS"/>
    <x v="5"/>
    <d v="2011-09-30T00:00:00"/>
    <n v="0"/>
    <s v="Magnetic Resonance, PARACEST, Protease"/>
  </r>
  <r>
    <x v="683"/>
    <s v="Western University (Ontario)"/>
    <x v="0"/>
    <x v="13"/>
    <s v="201003MOP"/>
    <x v="12"/>
    <s v="Hemi-Arthroplasty of the Elbow: The Effect of Implant Surface Design and Materials on Joint Kinematics and Contact Mechanics"/>
    <n v="307002"/>
    <n v="0"/>
    <n v="0"/>
    <m/>
    <s v="4 yrs 0 mth "/>
    <x v="0"/>
    <s v="MUSCULO SKELETAL; ARTHRITIS/OSTEOARTHRITIS; MUSCLE, BONE, OR JOINT"/>
    <x v="5"/>
    <d v="2014-09-30T00:00:00"/>
    <n v="0"/>
    <s v="Hemi-Arthroplasty, Implant Surface, Contact Mechanics"/>
  </r>
  <r>
    <x v="682"/>
    <s v="Western University (Ontario)"/>
    <x v="0"/>
    <x v="13"/>
    <s v="201003MOP"/>
    <x v="11"/>
    <s v="Magnetic Resonance PARACEST Imaging of In-vivo Protease Activity"/>
    <n v="449243"/>
    <n v="0"/>
    <n v="0"/>
    <m/>
    <s v="4 yrs 0 mth "/>
    <x v="6"/>
    <s v="ALZHEIMER'S DISEASE; AGING; IMAGING; BIOPHYSICS"/>
    <x v="5"/>
    <d v="2014-09-30T00:00:00"/>
    <n v="0"/>
    <s v="Magnetic Resonance, PARACEST, Protease"/>
  </r>
  <r>
    <x v="684"/>
    <s v="Western University (Ontario)"/>
    <x v="0"/>
    <x v="13"/>
    <s v="201009MOP"/>
    <x v="11"/>
    <s v="Functional and Metabolic Magnetic Resonance Imaging of Lung Inflammation"/>
    <n v="367905"/>
    <n v="0"/>
    <n v="0"/>
    <m/>
    <s v="3 yrs 0 mth "/>
    <x v="11"/>
    <s v="RESPIRATION; NONE OF THE ABOVE; IMAGING"/>
    <x v="27"/>
    <d v="2014-03-31T00:00:00"/>
    <n v="0"/>
    <s v="Magnetic Resonance Imaging, Lung Inflammation"/>
  </r>
  <r>
    <x v="685"/>
    <s v="Western University (Ontario)"/>
    <x v="0"/>
    <x v="13"/>
    <s v="201009MOP"/>
    <x v="6"/>
    <s v="Integrin-linked kinase in epidermal stem cells"/>
    <n v="703280"/>
    <n v="0"/>
    <n v="0"/>
    <m/>
    <s v="5 yrs 0 mth "/>
    <x v="0"/>
    <s v="SKIN AND SUBCUTANEOUS TISSUS; MULTIPLE DISEASE RELEVANCE; CELL BIOLOGY"/>
    <x v="27"/>
    <d v="2016-03-31T00:00:00"/>
    <n v="0"/>
    <s v="Integrin, kinase, epidermal stem cells"/>
  </r>
  <r>
    <x v="686"/>
    <s v="Western University (Ontario)"/>
    <x v="0"/>
    <x v="13"/>
    <s v="201009MOP"/>
    <x v="11"/>
    <s v="Single-plane dynamic radiography for quantification of bone and joint motion"/>
    <n v="752848"/>
    <n v="0"/>
    <n v="0"/>
    <m/>
    <s v="5 yrs 0 mth "/>
    <x v="0"/>
    <s v="MUSCULO SKELETAL; ARTHRITIS/OSTEOARTHRITIS; IMAGING; MUSCLE, BONE, OR JOINT"/>
    <x v="27"/>
    <d v="2016-03-31T00:00:00"/>
    <n v="1"/>
    <s v="radiography, bone, joint"/>
  </r>
  <r>
    <x v="687"/>
    <s v="Western University (Ontario)"/>
    <x v="0"/>
    <x v="13"/>
    <s v="201009MOP"/>
    <x v="11"/>
    <s v="Ultra high field MRI measurements of tissue magnetic susceptibility in Multiple Sclerosis"/>
    <n v="912635"/>
    <n v="0"/>
    <n v="0"/>
    <m/>
    <s v="5 yrs 0 mth "/>
    <x v="3"/>
    <s v="MULTIPLE SCLEROSIS; CNS ORGANIC; IMAGING; NERVOUS SYSTEM"/>
    <x v="27"/>
    <d v="2016-03-31T00:00:00"/>
    <n v="0"/>
    <s v="MRI, magnetic susceptibility, Multiple Sclerosis"/>
  </r>
  <r>
    <x v="688"/>
    <s v="Western University (Ontario)"/>
    <x v="0"/>
    <x v="13"/>
    <s v="201103MOP"/>
    <x v="12"/>
    <s v="Matricellular Protein Biomimetic Scaffolds to Enhance Skin Regeneration"/>
    <n v="335902"/>
    <n v="0"/>
    <n v="0"/>
    <m/>
    <s v="3 yrs 0 mth "/>
    <x v="0"/>
    <s v="SKIN AND SUBCUTANEOUS TISSUS; CELL BIOLOGY; MOLECULAR BIOLOGY"/>
    <x v="23"/>
    <d v="2014-09-30T00:00:00"/>
    <n v="0"/>
    <s v="Matricellular, Biomimetic, Scaffolds"/>
  </r>
  <r>
    <x v="689"/>
    <s v="Western University (Ontario)"/>
    <x v="0"/>
    <x v="13"/>
    <s v="201103MOP"/>
    <x v="6"/>
    <s v="Differential control of E2F transcription factors by pRB in  normal and cancer cells"/>
    <n v="434192"/>
    <n v="0"/>
    <n v="0"/>
    <m/>
    <s v="3 yrs 0 mth "/>
    <x v="1"/>
    <s v="NEOPLASMS; CANCER THERAPY GENERAL; CANCER; GENETICS"/>
    <x v="23"/>
    <d v="2014-09-30T00:00:00"/>
    <n v="0"/>
    <s v="E2F, pRB, transcription factors"/>
  </r>
  <r>
    <x v="690"/>
    <s v="Western University (Ontario)"/>
    <x v="0"/>
    <x v="13"/>
    <s v="201103MOP"/>
    <x v="6"/>
    <s v="Characterization of RanBPM function in apoptosis and cell transformation"/>
    <n v="335472"/>
    <n v="0"/>
    <n v="0"/>
    <m/>
    <s v="3 yrs 0 mth "/>
    <x v="1"/>
    <s v="MULTIPLE DISEASE RELEVANCE; BREAST CANCER; CANCER; MOLECULAR BIOLOGY"/>
    <x v="23"/>
    <d v="2014-09-30T00:00:00"/>
    <n v="0"/>
    <s v="RanBPM, apoptosis, cell transformation"/>
  </r>
  <r>
    <x v="691"/>
    <s v="Western University (Ontario)"/>
    <x v="0"/>
    <x v="13"/>
    <s v="201103MOP"/>
    <x v="11"/>
    <s v="Energy-Subtraction Cardiac Angiography: A New Approach in X-Ray Imaging"/>
    <n v="329049"/>
    <n v="0"/>
    <n v="0"/>
    <m/>
    <s v="3 yrs 0 mth "/>
    <x v="11"/>
    <s v="CARDIOLOGY; IMAGING; CARDIOVASCULAR"/>
    <x v="23"/>
    <d v="2014-09-30T00:00:00"/>
    <n v="0"/>
    <s v="Energy-Subtraction, Cardiac Angiography, X-Ray Imaging"/>
  </r>
  <r>
    <x v="692"/>
    <s v="Western University (Ontario)"/>
    <x v="0"/>
    <x v="13"/>
    <s v="201103MOP"/>
    <x v="11"/>
    <s v="Advanced techniques for image assisted cardiac interventions"/>
    <n v="822596"/>
    <n v="0"/>
    <n v="0"/>
    <m/>
    <s v="5 yrs 0 mth "/>
    <x v="11"/>
    <s v="ARRHYTHMIAS; CARDIOLOGY; IMAGING; CARDIOVASCULAR"/>
    <x v="23"/>
    <d v="2016-09-30T00:00:00"/>
    <n v="3"/>
    <s v="image, cardiac, interventions"/>
  </r>
  <r>
    <x v="693"/>
    <s v="Western University (Ontario)"/>
    <x v="0"/>
    <x v="13"/>
    <s v="201109MOP"/>
    <x v="13"/>
    <s v="Role Of The Embryonic Morphpogen Nodal In The Regulation Of Breast Cancer Invasion"/>
    <n v="739830"/>
    <n v="0"/>
    <n v="0"/>
    <m/>
    <s v="5 yrs 0 mth "/>
    <x v="1"/>
    <s v="BREAST CANCER; NEOPLASMS; CANCER; CELL BIOLOGY"/>
    <x v="28"/>
    <d v="2017-03-31T00:00:00"/>
    <n v="1"/>
    <s v="embryonic, Nodal, breast cancer"/>
  </r>
  <r>
    <x v="694"/>
    <s v="Western University (Ontario)"/>
    <x v="0"/>
    <x v="13"/>
    <s v="201109MOP"/>
    <x v="11"/>
    <s v="Image-guided Mitral Valve Repair"/>
    <n v="711980"/>
    <n v="0"/>
    <n v="0"/>
    <m/>
    <s v="5 yrs 0 mth "/>
    <x v="11"/>
    <s v="CARDIOLOGY; IMAGING"/>
    <x v="28"/>
    <d v="2017-03-31T00:00:00"/>
    <n v="0"/>
    <s v="Image-guided, Mitral Valve, Repair"/>
  </r>
  <r>
    <x v="695"/>
    <s v="Western University (Ontario)"/>
    <x v="0"/>
    <x v="13"/>
    <s v="201203MOP"/>
    <x v="11"/>
    <s v="Hyperpolarized Xenon-129 Magnetic Resonance Imaging of Radiation-Induced Lung Injury"/>
    <n v="500264"/>
    <n v="0"/>
    <n v="0"/>
    <m/>
    <s v="5 yrs 0 mth "/>
    <x v="11"/>
    <s v="CANCER THERAPY GENERAL; LUNG CANCER THERAPY; IMAGING; CANCER"/>
    <x v="21"/>
    <d v="2017-09-30T00:00:00"/>
    <n v="0"/>
    <s v="Hyperpolarized, Xenon-129, MRI"/>
  </r>
  <r>
    <x v="696"/>
    <s v="Western University (Ontario)"/>
    <x v="0"/>
    <x v="13"/>
    <s v="201209MOP"/>
    <x v="14"/>
    <s v="The role of IDO1 vs IDO2 on tumour immune evasion  and immune therapy"/>
    <n v="313349"/>
    <n v="0"/>
    <n v="0"/>
    <m/>
    <s v="3 yrs 0 mth "/>
    <x v="1"/>
    <s v="CANCER THERAPY GENERAL; CANCER; IMMUNOLOGY-TRANSPLANTATION"/>
    <x v="15"/>
    <d v="2016-03-31T00:00:00"/>
    <n v="0"/>
    <s v="IDO1, IDO2, immune evasion"/>
  </r>
  <r>
    <x v="686"/>
    <s v="Western University (Ontario)"/>
    <x v="0"/>
    <x v="13"/>
    <s v="201209MOP"/>
    <x v="11"/>
    <s v="Real-time microscopy during high-frequency mechanostimulation of living cells"/>
    <n v="649806"/>
    <n v="0"/>
    <n v="0"/>
    <m/>
    <s v="5 yrs 0 mth "/>
    <x v="0"/>
    <s v="MUSCULO SKELETAL; ARTHRITIS/OSTEOARTHRITIS; IMAGING; MUSCLE, BONE, OR JOINT"/>
    <x v="15"/>
    <d v="2018-03-31T00:00:00"/>
    <n v="0"/>
    <s v="microscopy, mechanostimulation, cells"/>
  </r>
  <r>
    <x v="697"/>
    <s v="Western University (Ontario)"/>
    <x v="0"/>
    <x v="13"/>
    <s v="201303MOP"/>
    <x v="14"/>
    <s v="In Vivo Investigation of Mechanisms of Brain Metastasis and Metastatic Recurrence"/>
    <n v="381453"/>
    <n v="0"/>
    <n v="0"/>
    <m/>
    <s v="3 yrs 0 mth "/>
    <x v="1"/>
    <s v="BREAST CANCER; BRAIN TUMORS (INCL. RETINAL TUMORS); CANCER; IMAGING"/>
    <x v="24"/>
    <d v="2016-09-30T00:00:00"/>
    <n v="0"/>
    <s v="brain, metastasis, recurrence"/>
  </r>
  <r>
    <x v="698"/>
    <s v="Western University (Ontario)"/>
    <x v="0"/>
    <x v="13"/>
    <s v="201309MOP"/>
    <x v="11"/>
    <s v="High-Performance X-Ray Detectors that Maximize Image Quality and Reduce Patient Exposures"/>
    <n v="419099"/>
    <n v="0"/>
    <n v="0"/>
    <m/>
    <s v="3 yrs 0 mth "/>
    <x v="1"/>
    <s v="BREAST CANCER; IMAGING; CANCER"/>
    <x v="11"/>
    <d v="2017-03-31T00:00:00"/>
    <n v="2"/>
    <s v="X-Ray, Detectors, Image Quality"/>
  </r>
  <r>
    <x v="686"/>
    <s v="Western University (Ontario)"/>
    <x v="0"/>
    <x v="13"/>
    <s v="201309MOP"/>
    <x v="11"/>
    <s v="Dynamic micro-computed tomography for pre-clinical musculoskeletal research"/>
    <n v="719145"/>
    <n v="0"/>
    <n v="0"/>
    <m/>
    <s v="5 yrs 0 mth "/>
    <x v="0"/>
    <s v="MUSCULO SKELETAL; ARTHRITIS/OSTEOARTHRITIS; IMAGING; MUSCLE, BONE, OR JOINT"/>
    <x v="11"/>
    <d v="2016-06-30T00:00:00"/>
    <n v="0"/>
    <s v="micro-computed tomography, musculoskeletal, pre-clinical"/>
  </r>
  <r>
    <x v="699"/>
    <s v="Western University (Ontario)"/>
    <x v="0"/>
    <x v="13"/>
    <s v="201403MOP"/>
    <x v="11"/>
    <s v="Development and validation of new technologies to monitor hydrocephalus"/>
    <n v="367156"/>
    <n v="0"/>
    <n v="0"/>
    <m/>
    <s v="4 yrs 0 mth "/>
    <x v="10"/>
    <s v="PERINATAL; MULTIDISCIPLINARY; IMAGING; NERVOUS SYSTEM"/>
    <x v="29"/>
    <d v="2018-06-30T00:00:00"/>
    <n v="0"/>
    <s v="hydrocephalus, monitoring, validation"/>
  </r>
  <r>
    <x v="687"/>
    <s v="Western University (Ontario)"/>
    <x v="0"/>
    <x v="13"/>
    <s v="201403MOP"/>
    <x v="11"/>
    <s v="Beyond the McDonald Criteria. Can MRI diagnose Multiple Sclerosis at the onset of initial symptoms ?"/>
    <n v="773740"/>
    <n v="0"/>
    <n v="0"/>
    <m/>
    <s v="5 yrs 0 mth "/>
    <x v="3"/>
    <s v="MULTIPLE SCLEROSIS; MULTIPLE DISEASE RELEVANCE; IMAGING; NERVOUS SYSTEM"/>
    <x v="29"/>
    <d v="2016-06-30T00:00:00"/>
    <n v="0"/>
    <s v="MRI, Multiple Sclerosis, Diagnosis"/>
  </r>
  <r>
    <x v="679"/>
    <s v="Western University (Ontario)"/>
    <x v="0"/>
    <x v="13"/>
    <s v="201405MOP"/>
    <x v="11"/>
    <s v="MR-Guided Focal Laser Thermal Ablation of Prostate Cancer therapy"/>
    <n v="100000"/>
    <n v="0"/>
    <n v="0"/>
    <m/>
    <s v="1 yr 0 mth "/>
    <x v="1"/>
    <s v="PROSTATE AND BLADDER CANCER THERAPY; IMAGING; CANCER"/>
    <x v="26"/>
    <d v="2015-09-30T00:00:00"/>
    <n v="0"/>
    <s v="MR, Laser, Prostate"/>
  </r>
  <r>
    <x v="688"/>
    <s v="Western University (Ontario)"/>
    <x v="0"/>
    <x v="13"/>
    <s v="201403MOP"/>
    <x v="12"/>
    <s v="Development of Matricellular Protein-Containing Granulation Tissue Biomimetic Scaffolds to Enhance Skin Regeneration"/>
    <n v="723542"/>
    <n v="0"/>
    <n v="0"/>
    <m/>
    <s v="5 yrs 0 mth "/>
    <x v="0"/>
    <s v="SKIN AND SUBCUTANEOUS TISSUS; CELL BIOLOGY; MOLECULAR BIOLOGY"/>
    <x v="26"/>
    <d v="2019-09-30T00:00:00"/>
    <n v="1"/>
    <s v="Matricellular protein, Granulation tissue, Skin regeneration"/>
  </r>
  <r>
    <x v="694"/>
    <s v="Western University (Ontario)"/>
    <x v="0"/>
    <x v="13"/>
    <s v="201403MOP"/>
    <x v="11"/>
    <s v="Quantitative Imaging for Epilepsy Surgery"/>
    <n v="728495"/>
    <n v="0"/>
    <n v="0"/>
    <m/>
    <s v="5 yrs 0 mth "/>
    <x v="3"/>
    <s v="EPILEPSY; NERVOUS SYSTEM; IMAGING"/>
    <x v="26"/>
    <d v="2019-09-30T00:00:00"/>
    <n v="0"/>
    <s v="Imaging, Epilepsy, Surgery"/>
  </r>
  <r>
    <x v="679"/>
    <s v="Western University (Ontario)"/>
    <x v="0"/>
    <x v="13"/>
    <s v="201503MOP"/>
    <x v="11"/>
    <s v="MR-Guided Focal Laser Thermal Ablation for Prostate Cancer therapy"/>
    <n v="419820"/>
    <n v="0"/>
    <n v="0"/>
    <m/>
    <s v="3 yrs 0 mth "/>
    <x v="1"/>
    <s v="PROSTATE AND BLADDER CANCER THERAPY; IMAGING; CANCER"/>
    <x v="25"/>
    <d v="2017-06-30T00:00:00"/>
    <n v="0"/>
    <s v="MR-guided, laser ablation, prostate cancer"/>
  </r>
  <r>
    <x v="683"/>
    <s v="Western University (Ontario)"/>
    <x v="0"/>
    <x v="13"/>
    <s v="201503MOP"/>
    <x v="12"/>
    <s v="The Biomechanical Assessment and Optimization of Minimally Invasive Implants for the Elbow and Shoulder"/>
    <n v="242575"/>
    <n v="0"/>
    <n v="0"/>
    <m/>
    <s v="4 yrs 0 mth "/>
    <x v="0"/>
    <s v="MUSCULO SKELETAL; ARTHRITIS/OSTEOARTHRITIS"/>
    <x v="25"/>
    <d v="2019-06-30T00:00:00"/>
    <n v="0"/>
    <s v="Biomechanical, Implants, Elbow"/>
  </r>
  <r>
    <x v="454"/>
    <s v="Western University (Ontario)"/>
    <x v="0"/>
    <x v="13"/>
    <s v="201503MOP"/>
    <x v="12"/>
    <s v="Engineering Adipogenesis for Soft Tissue Regeneration"/>
    <n v="682393"/>
    <n v="0"/>
    <n v="0"/>
    <m/>
    <s v="5 yrs 0 mth "/>
    <x v="0"/>
    <s v="SKIN AND SUBCUTANEOUS TISSUS; INJURY, REGENERATION; CELL BIOLOGY; MOLECULAR BIOLOGY"/>
    <x v="25"/>
    <d v="2021-06-30T00:00:00"/>
    <n v="0"/>
    <s v="Adipogenesis, Soft Tissue, Regeneration"/>
  </r>
  <r>
    <x v="690"/>
    <s v="Western University (Ontario)"/>
    <x v="0"/>
    <x v="13"/>
    <s v="201503MOP"/>
    <x v="6"/>
    <s v="Cell signaling pathway regulation by the RanBPM/CTLH complex in cancer development"/>
    <n v="711895"/>
    <n v="0"/>
    <n v="0"/>
    <m/>
    <s v="5 yrs 0 mth "/>
    <x v="1"/>
    <s v="MULTIPLE DISEASE RELEVANCE; NEOPLASMS; CANCER; MOLECULAR BIOLOGY"/>
    <x v="25"/>
    <d v="2020-06-30T00:00:00"/>
    <n v="0"/>
    <s v="cell signaling, RanBPM, cancer"/>
  </r>
  <r>
    <x v="700"/>
    <s v="Western University (Ontario)"/>
    <x v="0"/>
    <x v="13"/>
    <s v="201503MOP"/>
    <x v="14"/>
    <s v="Mechanisms of resistance and sensitivity to PI3K inhibition in head and neck cancer."/>
    <n v="515090"/>
    <n v="0"/>
    <n v="0"/>
    <m/>
    <s v="5 yrs 0 mth "/>
    <x v="1"/>
    <s v="CANCER THERAPY GENERAL; NEOPLASMS; CANCER; GENOMICS, PROTEOMICS, AND BIOINFORMATICS"/>
    <x v="25"/>
    <d v="2020-06-30T00:00:00"/>
    <n v="1"/>
    <s v="PI3K, resistance, cancer"/>
  </r>
  <r>
    <x v="701"/>
    <s v="Women's College Hospital (Toronto)"/>
    <x v="0"/>
    <x v="13"/>
    <s v="201203MOP"/>
    <x v="6"/>
    <s v="The effect of prophylactic salpingo-oophorectomy on markers of health in women who carry a BRCA mutation"/>
    <n v="382243"/>
    <n v="0"/>
    <n v="0"/>
    <m/>
    <s v="3 yrs 0 mth "/>
    <x v="1"/>
    <s v="ENDOCRINOLOGY; NEOPLASMS; CANCER; GENETICS"/>
    <x v="21"/>
    <d v="2015-09-30T00:00:00"/>
    <n v="0"/>
    <s v="salpingo-oophorectomy, BRCA, markers"/>
  </r>
  <r>
    <x v="702"/>
    <s v="York University (Toronto, Ontario)"/>
    <x v="0"/>
    <x v="13"/>
    <s v="200810MOP"/>
    <x v="14"/>
    <s v="From Tumors to Blood: Biomarker-Based Diagnostics, and Implications in Prognostics and Therapeutics of Glioblastoma Multiforme"/>
    <n v="100000"/>
    <n v="0"/>
    <n v="0"/>
    <m/>
    <s v="1 yr 0 mth "/>
    <x v="1"/>
    <s v="BRAIN TUMORS (INCL. RETINAL TUMORS); NONE OF THE ABOVE; CANCER; GENOMICS, PROTEOMICS, AND BIOINFORMATICS"/>
    <x v="3"/>
    <d v="2009-09-30T00:00:00"/>
    <n v="0"/>
    <s v="Biomarkers, Glioblastoma, Diagnostics"/>
  </r>
  <r>
    <x v="702"/>
    <s v="York University (Toronto, Ontario)"/>
    <x v="0"/>
    <x v="13"/>
    <s v="200903MOP"/>
    <x v="14"/>
    <s v="From Tumors to Blood: Biomarker-Based Diagnostics, and Implications in Prognostics and Therapeutics of Glioblastoma Multiforme"/>
    <n v="385416"/>
    <n v="0"/>
    <n v="0"/>
    <m/>
    <s v="3 yrs 0 mth "/>
    <x v="1"/>
    <s v="BRAIN TUMORS (INCL. RETINAL TUMORS); NONE OF THE ABOVE; CANCER; GENOMICS, PROTEOMICS, AND BIOINFORMATICS"/>
    <x v="4"/>
    <d v="2012-09-30T00:00:00"/>
    <n v="0"/>
    <s v="Biomarkers, Glioblastoma, Diagnostics"/>
  </r>
  <r>
    <x v="574"/>
    <s v="University of Alberta"/>
    <x v="1"/>
    <x v="14"/>
    <s v="201203OAC"/>
    <x v="6"/>
    <s v="Mechanisms of arsenic carcinogenesis"/>
    <n v="0"/>
    <n v="0"/>
    <n v="100000"/>
    <s v="Alberta Cancer Foundation"/>
    <s v="1 yr 0 mth "/>
    <x v="1"/>
    <s v="CARCINOGENS (INCL ENVIRONMENTAL); POPULATION HEALTH; CANCER; ENVIRONMENTAL INFLUENCES ON HEALTH"/>
    <x v="21"/>
    <d v="2013-09-30T00:00:00"/>
    <n v="0"/>
    <s v="arsenic, carcinogenesis"/>
  </r>
  <r>
    <x v="571"/>
    <s v="University of Alberta"/>
    <x v="1"/>
    <x v="14"/>
    <s v="201203OAC"/>
    <x v="14"/>
    <s v="Role of Brain Fatty Acid-binding Protein in Malignant Glioma Progression"/>
    <n v="0"/>
    <n v="0"/>
    <n v="100000"/>
    <s v="Alberta Cancer Foundation"/>
    <s v="1 yr 0 mth "/>
    <x v="1"/>
    <s v="BRAIN TUMORS (INCL. RETINAL TUMORS); NEOPLASMS; CANCER; MOLECULAR BIOLOGY"/>
    <x v="21"/>
    <d v="2013-09-30T00:00:00"/>
    <n v="0"/>
    <s v="Brain, Fatty Acid-binding Protein, Glioma"/>
  </r>
  <r>
    <x v="642"/>
    <s v="University of Calgary"/>
    <x v="1"/>
    <x v="14"/>
    <s v="201109OAC"/>
    <x v="14"/>
    <s v="Bortezomib mediated BRCAness in Myeloma cells: novel therapeutic approach combining PARP1-2 and 26S proteasome inhibitors."/>
    <n v="0"/>
    <n v="0"/>
    <n v="100000"/>
    <s v="Alberta Cancer Foundation"/>
    <s v="1 yr 0 mth "/>
    <x v="1"/>
    <s v="CANCER THERAPY GENERAL; NEOPLASMS; CANCER; BLOOD"/>
    <x v="15"/>
    <d v="2014-03-31T00:00:00"/>
    <n v="0"/>
    <s v="Bortezomib, BRCAness, PARP1-2"/>
  </r>
  <r>
    <x v="703"/>
    <s v="McGill University"/>
    <x v="2"/>
    <x v="15"/>
    <s v="200909IC1"/>
    <x v="6"/>
    <s v="The role of the PGC-1 transcriptional coactivators in the regulation of breast cancer metabolism"/>
    <n v="100000"/>
    <n v="0"/>
    <n v="0"/>
    <m/>
    <s v="1 yr 0 mth "/>
    <x v="1"/>
    <s v="BREAST CANCER; METABOLISM AND NUTRITION; CANCER; METABOLISM/DIABETES"/>
    <x v="22"/>
    <d v="2011-03-31T00:00:00"/>
    <n v="0"/>
    <s v="PGC-1, transcriptional coactivators, breast cancer"/>
  </r>
  <r>
    <x v="416"/>
    <s v="McGill University"/>
    <x v="2"/>
    <x v="15"/>
    <s v="201109IC1"/>
    <x v="6"/>
    <s v="Regulation of FoxO protein and cMYC function by the vitamin D receptor"/>
    <n v="100000"/>
    <n v="0"/>
    <n v="0"/>
    <m/>
    <s v="1 yr 0 mth "/>
    <x v="1"/>
    <s v="CANCER THERAPY GENERAL; ENDOCRINOLOGY; CANCER"/>
    <x v="32"/>
    <d v="2013-02-28T00:00:00"/>
    <n v="0"/>
    <s v="FoxO, cMYC, vitamin D receptor"/>
  </r>
  <r>
    <x v="704"/>
    <s v="McMaster University"/>
    <x v="0"/>
    <x v="15"/>
    <s v="200809IC1"/>
    <x v="14"/>
    <s v="Adiponectin Signaling in Cancer"/>
    <n v="100000"/>
    <n v="0"/>
    <n v="0"/>
    <m/>
    <s v="1 yr 0 mth "/>
    <x v="1"/>
    <s v="PROSTATE AND BLADDER CANCER; OBESITY; CANCER; ENDOCRINOLOGY"/>
    <x v="33"/>
    <d v="2009-12-31T00:00:00"/>
    <n v="0"/>
    <s v="Adiponectin, Signaling, Cancer"/>
  </r>
  <r>
    <x v="443"/>
    <s v="Ottawa Hospital Research Institute"/>
    <x v="0"/>
    <x v="15"/>
    <s v="201203IC1"/>
    <x v="13"/>
    <s v="The cellular stress response regulator ATF3 is a novel mediator of platin induced tumour cell cytotoxicity and resistance"/>
    <n v="100000"/>
    <n v="0"/>
    <n v="0"/>
    <m/>
    <s v="1 yr 0 mth "/>
    <x v="1"/>
    <s v="CANCER THERAPY GENERAL; NEOPLASMS; CANCER; DRUG RESEARCH"/>
    <x v="21"/>
    <d v="2013-09-30T00:00:00"/>
    <n v="0"/>
    <s v="ATF3, platin, cytotoxicity"/>
  </r>
  <r>
    <x v="453"/>
    <s v="Queen's University (Kingston, Ontario)"/>
    <x v="0"/>
    <x v="15"/>
    <s v="201009IC1"/>
    <x v="11"/>
    <s v="Advancing gel dosimetry for clinical radiation therapy"/>
    <n v="60388"/>
    <n v="0"/>
    <n v="0"/>
    <m/>
    <s v="1 yr 0 mth "/>
    <x v="1"/>
    <s v="CANCER THERAPY GENERAL; NONE OF THE ABOVE; CANCER; IMAGING"/>
    <x v="34"/>
    <d v="2012-02-29T00:00:00"/>
    <n v="0"/>
    <s v="gel, dosimetry, radiation"/>
  </r>
  <r>
    <x v="460"/>
    <s v="Research Institute of the McGill University Health Centre"/>
    <x v="2"/>
    <x v="15"/>
    <s v="200903IC1"/>
    <x v="14"/>
    <s v="An integrated functional and genomics approach at elucidating the chromosome 3 genes important in ovarian cancer"/>
    <n v="100000"/>
    <n v="0"/>
    <n v="0"/>
    <m/>
    <s v="1 yr 0 mth "/>
    <x v="1"/>
    <s v="NEOPLASMS; GENITO/URINARY SYSTEM; CANCER; MOLECULAR BIOLOGY"/>
    <x v="4"/>
    <d v="2010-09-30T00:00:00"/>
    <n v="0"/>
    <s v="chromosome 3, genomics, ovarian cancer"/>
  </r>
  <r>
    <x v="705"/>
    <s v="Sunnybrook Research Institute (Toronto, Ontario)"/>
    <x v="0"/>
    <x v="15"/>
    <s v="201103IC1"/>
    <x v="6"/>
    <s v="Myelodysplastic Syndromes (MDS) in Canada:  A national prospective study of the epidemiology, quality of life and impact of co-morbidity/frailty on disease outcome"/>
    <n v="100000"/>
    <n v="0"/>
    <n v="0"/>
    <m/>
    <s v="1 yr 0 mth "/>
    <x v="1"/>
    <s v="BLOOD; EPIDEMIOLOGY; CANCER; HEALTH RESEARCH"/>
    <x v="23"/>
    <d v="2012-09-30T00:00:00"/>
    <n v="0"/>
    <s v="Myelodysplastic Syndromes, epidemiology, co-morbidity"/>
  </r>
  <r>
    <x v="706"/>
    <s v="Université de Montréal"/>
    <x v="2"/>
    <x v="15"/>
    <s v="201203IC1"/>
    <x v="14"/>
    <s v="Antiestrogen-HDACi hybrid molecules for breast cancer treatment."/>
    <n v="100000"/>
    <n v="0"/>
    <n v="0"/>
    <m/>
    <s v="1 yr 0 mth "/>
    <x v="1"/>
    <s v="BREAST CANCER THERAPY; BREAST CANCER; CANCER; DRUG RESEARCH"/>
    <x v="21"/>
    <d v="2013-09-30T00:00:00"/>
    <n v="1"/>
    <s v="Antiestrogen, HDACi, breast cancer"/>
  </r>
  <r>
    <x v="707"/>
    <s v="Université de Sherbrooke"/>
    <x v="2"/>
    <x v="15"/>
    <s v="200909IC1"/>
    <x v="14"/>
    <s v="Cooperation between the Notch and the kRas signaling pathways in pancreatic cancer progression."/>
    <n v="100000"/>
    <n v="0"/>
    <n v="0"/>
    <m/>
    <s v="1 yr 0 mth "/>
    <x v="1"/>
    <s v="GASTRO-INTESTINAL CANCER; GASTRO-INTESTINAL CANCER THERAPY; CANCER; GASTROINTESTINAL (LIVER)"/>
    <x v="22"/>
    <d v="2011-03-31T00:00:00"/>
    <n v="0"/>
    <s v="Notch, kRas, pancreatic cancer"/>
  </r>
  <r>
    <x v="507"/>
    <s v="Université de Sherbrooke"/>
    <x v="2"/>
    <x v="15"/>
    <s v="201109IC1"/>
    <x v="6"/>
    <s v="Subcellular Redistribution of Proteins Following DNA Damage: A Role for the MCM-ASF1 Complex in DNA Repair."/>
    <n v="100000"/>
    <n v="0"/>
    <n v="0"/>
    <m/>
    <s v="1 yr 0 mth "/>
    <x v="1"/>
    <s v="CANCER THERAPY GENERAL; ENVIRONMENTAL INFLUENCES ON HEALTH; GENOMICS, PROTEOMICS, AND BIOINFORMATICS; CELL BIOLOGY"/>
    <x v="32"/>
    <d v="2013-02-28T00:00:00"/>
    <n v="0"/>
    <s v="Proteins,DNA Repair,MCM-ASF1"/>
  </r>
  <r>
    <x v="527"/>
    <s v="University Health Network (Toronto)"/>
    <x v="0"/>
    <x v="15"/>
    <s v="200809IC1"/>
    <x v="6"/>
    <s v="Characterization of APLF (C2orf13) in DNA double-strand break repair and in the maintenance of genome stability"/>
    <n v="100000"/>
    <n v="0"/>
    <n v="0"/>
    <m/>
    <s v="1 yr 0 mth "/>
    <x v="1"/>
    <s v="BREAST CANCER; BREAST CANCER THERAPY; MOLECULAR BIOLOGY; CANCER"/>
    <x v="33"/>
    <d v="2009-12-31T00:00:00"/>
    <n v="0"/>
    <s v="DNA repair, genome stability, APLF"/>
  </r>
  <r>
    <x v="708"/>
    <s v="University Health Network (Toronto)"/>
    <x v="0"/>
    <x v="15"/>
    <s v="200903IC1"/>
    <x v="6"/>
    <s v="Targeted imaging and therapy of breast cancers using Tn antigen-specific DNA aptamers"/>
    <n v="100000"/>
    <n v="0"/>
    <n v="0"/>
    <m/>
    <s v="1 yr 0 mth "/>
    <x v="1"/>
    <s v="BREAST CANCER; DRUGS- PHARMACEUTICAL SCIENCE/CHEMISTRY &amp; NON MEDICAL USE OF DRUGS; CANCER; DRUG RESEARCH"/>
    <x v="4"/>
    <d v="2010-09-30T00:00:00"/>
    <n v="1"/>
    <s v="imaging, DNA aptamers, breast cancers"/>
  </r>
  <r>
    <x v="709"/>
    <s v="University Health Network (Toronto)"/>
    <x v="0"/>
    <x v="15"/>
    <s v="201009IC1"/>
    <x v="6"/>
    <s v="Roles of Histone Demethylases in Estrogen Receptor Signaling Network"/>
    <n v="100000"/>
    <n v="0"/>
    <n v="0"/>
    <m/>
    <s v="1 yr 0 mth "/>
    <x v="1"/>
    <s v="BREAST CANCER; ENDOCRINOLOGY; CANCER; MOLECULAR BIOLOGY"/>
    <x v="34"/>
    <d v="2012-02-29T00:00:00"/>
    <n v="0"/>
    <s v="Histone Demethylases, Estrogen Receptor, Signaling"/>
  </r>
  <r>
    <x v="528"/>
    <s v="University Health Network (Toronto)"/>
    <x v="0"/>
    <x v="15"/>
    <s v="201009IC1"/>
    <x v="13"/>
    <s v="MicroRNA and mRNA Expression Profiling to Predict Outcome and Characterize the Cervix Cancer Microenvironment"/>
    <n v="100000"/>
    <n v="0"/>
    <n v="0"/>
    <m/>
    <s v="1 yr 0 mth "/>
    <x v="1"/>
    <s v="CANCER"/>
    <x v="34"/>
    <d v="2012-02-29T00:00:00"/>
    <n v="0"/>
    <s v="MicroRNA, mRNA, Cervix Cancer"/>
  </r>
  <r>
    <x v="710"/>
    <s v="University Health Network (Toronto)"/>
    <x v="0"/>
    <x v="15"/>
    <s v="201109IC1"/>
    <x v="11"/>
    <s v="A Finite Element Model Approach to Modeling Changes of the Head and Neck"/>
    <n v="100000"/>
    <n v="0"/>
    <n v="0"/>
    <m/>
    <s v="1 yr 0 mth "/>
    <x v="1"/>
    <s v="CANCER THERAPY GENERAL; CANCER; IMAGING"/>
    <x v="32"/>
    <d v="2013-02-28T00:00:00"/>
    <n v="0"/>
    <s v="Finite Element, Head, Neck"/>
  </r>
  <r>
    <x v="711"/>
    <s v="University of British Columbia"/>
    <x v="3"/>
    <x v="15"/>
    <s v="200809IC1"/>
    <x v="12"/>
    <s v="Static and Dynamic 3D Computer Model of Pre-Invasive Neoplastic Epithelial Tissues"/>
    <n v="100000"/>
    <n v="0"/>
    <n v="0"/>
    <m/>
    <s v="1 yr 0 mth "/>
    <x v="1"/>
    <s v="NEOPLASMS; BIOSTATISTICS; CANCER; BIOPHYSICS"/>
    <x v="33"/>
    <d v="2009-12-31T00:00:00"/>
    <n v="0"/>
    <s v="3D modeling, Neoplastic tissues, Epithelial"/>
  </r>
  <r>
    <x v="606"/>
    <s v="University of British Columbia"/>
    <x v="3"/>
    <x v="15"/>
    <s v="201003IC1"/>
    <x v="6"/>
    <s v="The role of tumour suppressor ING1b in genomic stability upon replication stress"/>
    <n v="100000"/>
    <n v="0"/>
    <n v="0"/>
    <m/>
    <s v="1 yr 0 mth "/>
    <x v="1"/>
    <s v="NEOPLASMS; SKIN AND SUBCUTANEOUS TISSUS; CANCER; MOLECULAR BIOLOGY"/>
    <x v="35"/>
    <d v="2011-08-31T00:00:00"/>
    <n v="0"/>
    <s v="tumour suppressor, genomic stability, replication stress"/>
  </r>
  <r>
    <x v="580"/>
    <s v="University of British Columbia"/>
    <x v="3"/>
    <x v="15"/>
    <s v="201003IC1"/>
    <x v="14"/>
    <s v="Antiangiogenesis-Induced Changes in the Tumour Microenvironment: A Window for Therapeutic Exploitation in Pancreatic Cancer"/>
    <n v="100000"/>
    <n v="0"/>
    <n v="0"/>
    <m/>
    <s v="1 yr 0 mth "/>
    <x v="1"/>
    <s v="GASTRO-INTESTINAL CANCER; GASTRO-INTESTINAL CANCER THERAPY; CANCER; DRUG RESEARCH"/>
    <x v="35"/>
    <d v="2011-08-31T00:00:00"/>
    <n v="0"/>
    <s v="Antiangiogenesis, Tumour Microenvironment, Pancreatic Cancer"/>
  </r>
  <r>
    <x v="712"/>
    <s v="University of British Columbia"/>
    <x v="3"/>
    <x v="15"/>
    <s v="201309IC1"/>
    <x v="11"/>
    <s v="Computational multimodal radiologic profiling as a prognostic biomarker for individualized prostate cancer therapy"/>
    <n v="100000"/>
    <n v="0"/>
    <n v="0"/>
    <m/>
    <s v="1 yr 0 mth "/>
    <x v="1"/>
    <s v="PROSTATE AND BLADDER CANCER"/>
    <x v="1"/>
    <d v="2015-02-28T00:00:00"/>
    <n v="3"/>
    <s v="computational, radiologic, prostate cancer"/>
  </r>
  <r>
    <x v="690"/>
    <s v="Western University (Ontario)"/>
    <x v="0"/>
    <x v="15"/>
    <s v="200909IC1"/>
    <x v="6"/>
    <s v="Mechanisms of RanBPM-mediated cell death"/>
    <n v="100000"/>
    <n v="0"/>
    <n v="0"/>
    <m/>
    <s v="1 yr 0 mth "/>
    <x v="1"/>
    <s v="MULTIPLE DISEASE RELEVANCE; BREAST CANCER; CANCER; MOLECULAR BIOLOGY"/>
    <x v="22"/>
    <d v="2011-03-31T00:00:00"/>
    <n v="0"/>
    <s v="RanBPM, cell death, mechanisms"/>
  </r>
  <r>
    <x v="549"/>
    <s v="University Health Network (Toronto)"/>
    <x v="0"/>
    <x v="16"/>
    <s v="202303OGB"/>
    <x v="14"/>
    <s v="The IL23 Receptor (IL23R) regulates mitotic spindle formation and is a novel therapeutic target for AML"/>
    <n v="100000"/>
    <n v="0"/>
    <n v="0"/>
    <m/>
    <s v="1 yr 0 mth "/>
    <x v="8"/>
    <s v="Cancer-Cancer Drug Development and Therapeutics; Cancer-Mechanisms of Carcinogenesis"/>
    <x v="36"/>
    <d v="2024-09-30T00:00:00"/>
    <n v="0"/>
    <s v="IL23R, mitotic spindle, AML"/>
  </r>
  <r>
    <x v="713"/>
    <s v="University of British Columbia"/>
    <x v="3"/>
    <x v="16"/>
    <s v="202109OGB"/>
    <x v="12"/>
    <s v="A bioengineering platform to promote safe cell therapies"/>
    <n v="100000"/>
    <n v="0"/>
    <n v="0"/>
    <m/>
    <s v="1 yr 0 mth "/>
    <x v="8"/>
    <s v="Biomedical Engineering-Regenerative Medicine and Tissue Engineering"/>
    <x v="37"/>
    <d v="2027-09-30T00:00:00"/>
    <n v="0"/>
    <s v="bioengineering, cell therapies, platform"/>
  </r>
  <r>
    <x v="475"/>
    <s v="Sinai Health System (Toronto)"/>
    <x v="0"/>
    <x v="17"/>
    <s v="201403ONM"/>
    <x v="12"/>
    <s v="Engineering of Irradiation-Sterilized Skeletal Allograft for Improved Clinical Outcomes"/>
    <n v="100000"/>
    <n v="0"/>
    <n v="0"/>
    <m/>
    <s v="1 yr 0 mth "/>
    <x v="0"/>
    <s v="MUSCULO SKELETAL; INJURY, REGENERATION; MUSCLE, BONE, OR JOINT"/>
    <x v="26"/>
    <d v="2015-09-30T00:00:00"/>
    <n v="0"/>
    <s v="Irradiation, Sterilization, Allograft"/>
  </r>
  <r>
    <x v="714"/>
    <s v="University of Toronto"/>
    <x v="0"/>
    <x v="17"/>
    <s v="201403ONM"/>
    <x v="12"/>
    <s v="Matrix biomechanics and satellite cell aging"/>
    <n v="100000"/>
    <n v="0"/>
    <n v="0"/>
    <m/>
    <s v="1 yr 0 mth "/>
    <x v="0"/>
    <s v="AGING; MUSCULO SKELETAL; MUSCLE, BONE, OR JOINT"/>
    <x v="26"/>
    <d v="2015-09-30T00:00:00"/>
    <n v="0"/>
    <s v="matrix, biomechanics, satellite cell"/>
  </r>
  <r>
    <x v="494"/>
    <s v="University Health Network (Toronto)"/>
    <x v="0"/>
    <x v="18"/>
    <s v="201303OMH"/>
    <x v="12"/>
    <s v="Development of novel tool to reduce muscle fatigue during rehabilitation using functional electrical stimulation"/>
    <n v="100000"/>
    <n v="0"/>
    <n v="0"/>
    <m/>
    <s v="1 yr 0 mth "/>
    <x v="0"/>
    <s v="MUSCULO SKELETAL; SPINAL CORD DISEASE; MUSCLE, BONE, OR JOINT; NERVOUS SYSTEM"/>
    <x v="24"/>
    <d v="2014-09-30T00:00:00"/>
    <n v="0"/>
    <s v="muscle fatigue, functional electrical stimulation, rehabilitation"/>
  </r>
  <r>
    <x v="509"/>
    <s v="Universite Laval"/>
    <x v="2"/>
    <x v="19"/>
    <s v="201503INO"/>
    <x v="12"/>
    <s v="Strategies de reparation des transsections des nerfs peripheriques par genie tissulaire"/>
    <n v="100000"/>
    <n v="0"/>
    <n v="0"/>
    <m/>
    <s v="1 yr 0 mth "/>
    <x v="3"/>
    <s v="INJURY, REGENERATION; NONE OF THE ABOVE; CELL BIOLOGY; NERVOUS SYSTEM"/>
    <x v="38"/>
    <d v="2021-06-30T00:00:00"/>
    <n v="0"/>
    <s v="nerfs, tissulaire, reparation"/>
  </r>
  <r>
    <x v="573"/>
    <s v="University of Alberta"/>
    <x v="1"/>
    <x v="19"/>
    <s v="201209INO"/>
    <x v="12"/>
    <s v="Cryobiology and Preservation of Cells and Tissues"/>
    <n v="100000"/>
    <n v="0"/>
    <n v="0"/>
    <m/>
    <s v="1 yr 0 mth "/>
    <x v="3"/>
    <s v="MULTIDISCIPLINARY; MULTIPLE DISEASE RELEVANCE; NOT CLASSIFIED; BIOPHYSICS"/>
    <x v="0"/>
    <d v="2014-02-28T00:00:00"/>
    <n v="0"/>
    <s v="Cryobiology, Preservation, Cells"/>
  </r>
  <r>
    <x v="573"/>
    <s v="University of Alberta"/>
    <x v="1"/>
    <x v="19"/>
    <s v="201303INO"/>
    <x v="12"/>
    <s v="Cryobiology and Preservation of Cells and Tissues"/>
    <n v="100000"/>
    <n v="0"/>
    <n v="0"/>
    <m/>
    <s v="1 yr 0 mth "/>
    <x v="3"/>
    <s v="MULTIDISCIPLINARY; MULTIPLE DISEASE RELEVANCE; NOT CLASSIFIED; BIOPHYSICS"/>
    <x v="11"/>
    <d v="2019-03-31T00:00:00"/>
    <n v="0"/>
    <s v="Cryobiology, Preservation, Cells"/>
  </r>
  <r>
    <x v="353"/>
    <s v="CIUSSS de Centre-Ouest-de-l'Ile-de-Montréal-Jewish General"/>
    <x v="2"/>
    <x v="20"/>
    <s v="200809NMD"/>
    <x v="11"/>
    <s v="Beta-cell imaging with 18F-labeled glibenclamide-glucose conjugates by positron emission tomography"/>
    <n v="81155"/>
    <n v="0"/>
    <n v="0"/>
    <m/>
    <s v="1 yr 0 mth "/>
    <x v="4"/>
    <s v="DIABETES MELLITUS; ENDOCRINOLOGY; IMAGING; METABOLISM/DIABETES"/>
    <x v="33"/>
    <d v="2009-12-31T00:00:00"/>
    <n v="0"/>
    <s v="beta-cell, imaging, positron emission tomography"/>
  </r>
  <r>
    <x v="446"/>
    <s v="Polytechnique Montréal"/>
    <x v="2"/>
    <x v="20"/>
    <s v="200903NMD"/>
    <x v="12"/>
    <s v="Chitosan/Plasmid-DNA Polyelectrolyte Complexes for Delivery of Glucagon-Like Peptide-1 (GLP-1) in Diabetes Type 2 Models"/>
    <n v="100000"/>
    <n v="0"/>
    <n v="0"/>
    <m/>
    <s v="1 yr 0 mth "/>
    <x v="4"/>
    <s v="DIABETES MELLITUS; OBESITY; METABOLISM/DIABETES; BIOPHYSICS"/>
    <x v="4"/>
    <d v="2010-09-30T00:00:00"/>
    <n v="1"/>
    <s v="Chitosan, Plasmid-DNA, GLP-1"/>
  </r>
  <r>
    <x v="715"/>
    <s v="CIUSSS de Centre-Ouest-de-l'Ile-de-Montréal-Jewish General"/>
    <x v="2"/>
    <x v="21"/>
    <s v="200909IC3"/>
    <x v="14"/>
    <s v="Molecular and Translational Studies of Filamin Signaling Network in Invasive Cancer"/>
    <n v="100000"/>
    <n v="0"/>
    <n v="0"/>
    <m/>
    <s v="1 yr 0 mth "/>
    <x v="1"/>
    <s v="CANCER THERAPY GENERAL; NEOPLASMS; CANCER; CELL BIOLOGY"/>
    <x v="39"/>
    <d v="2011-02-28T00:00:00"/>
    <n v="0"/>
    <s v="Filamin, Signaling, Cancer"/>
  </r>
  <r>
    <x v="711"/>
    <s v="University of British Columbia"/>
    <x v="3"/>
    <x v="21"/>
    <s v="200909IC3"/>
    <x v="12"/>
    <s v="A 3D cell-based computer model for a system biology approach to the study of intra epithelial neoplastic processes."/>
    <n v="100000"/>
    <n v="0"/>
    <n v="0"/>
    <m/>
    <s v="1 yr 0 mth "/>
    <x v="1"/>
    <s v="NEOPLASMS; BIOSTATISTICS; CANCER; BIOPHYSICS"/>
    <x v="39"/>
    <d v="2011-02-28T00:00:00"/>
    <n v="1"/>
    <s v="3D cell model, system biology, intra epithelial neoplastic"/>
  </r>
  <r>
    <x v="600"/>
    <s v="University of British Columbia"/>
    <x v="3"/>
    <x v="21"/>
    <s v="200909IC3"/>
    <x v="6"/>
    <s v="MCL-1: Functions in the nucleus regulating cell cycle and DNA damage response"/>
    <n v="100000"/>
    <n v="0"/>
    <n v="0"/>
    <m/>
    <s v="1 yr 0 mth "/>
    <x v="1"/>
    <s v="MULTIPLE DISEASE RELEVANCE; CANCER THERAPY GENERAL; CANCER; CELL BIOLOGY"/>
    <x v="39"/>
    <d v="2011-02-28T00:00:00"/>
    <n v="0"/>
    <s v="MCL-1, cell cycle, DNA damage"/>
  </r>
  <r>
    <x v="446"/>
    <s v="Polytechnique Montréal"/>
    <x v="2"/>
    <x v="22"/>
    <s v="201009IMH"/>
    <x v="12"/>
    <s v="Mechanisms and optimisation of marrow stimulated cartilage repair"/>
    <n v="100000"/>
    <n v="0"/>
    <n v="0"/>
    <m/>
    <s v="1 yr 0 mth "/>
    <x v="0"/>
    <s v="ARTHRITIS/OSTEOARTHRITIS; INJURY, REGENERATION; MUSCLE, BONE, OR JOINT"/>
    <x v="34"/>
    <d v="2012-02-29T00:00:00"/>
    <n v="0"/>
    <s v="marrow, cartilage, repair"/>
  </r>
  <r>
    <x v="454"/>
    <s v="Queen's University (Kingston, Ontario)"/>
    <x v="0"/>
    <x v="22"/>
    <s v="201009IMH"/>
    <x v="12"/>
    <s v="Engineering Adipogenesis for Soft Tissue Regeneration"/>
    <n v="99346"/>
    <n v="0"/>
    <n v="0"/>
    <m/>
    <s v="1 yr 0 mth "/>
    <x v="0"/>
    <s v="SKIN AND SUBCUTANEOUS TISSUS; INJURY, REGENERATION; CELL BIOLOGY; MOLECULAR BIOLOGY"/>
    <x v="34"/>
    <d v="2012-02-29T00:00:00"/>
    <n v="0"/>
    <s v="Adipogenesis, Soft Tissue, Regeneration"/>
  </r>
  <r>
    <x v="456"/>
    <s v="Queen's University (Kingston, Ontario)"/>
    <x v="0"/>
    <x v="22"/>
    <s v="201109IMH"/>
    <x v="12"/>
    <s v="Biomimetic Scaffold for Ligament Tissue Engineering"/>
    <n v="100000"/>
    <n v="0"/>
    <n v="0"/>
    <m/>
    <s v="1 yr 0 mth "/>
    <x v="0"/>
    <s v="INJURY, REGENERATION; MUSCULO SKELETAL"/>
    <x v="32"/>
    <d v="2013-02-28T00:00:00"/>
    <n v="0"/>
    <s v="Biomimetic, Scaffold, Ligament"/>
  </r>
  <r>
    <x v="716"/>
    <s v="Université Laval"/>
    <x v="2"/>
    <x v="22"/>
    <s v="201303IMH"/>
    <x v="6"/>
    <s v="Roles of poly(ADP-ribose)polymerase-1 in cellular responses to ultraviolet radiations"/>
    <n v="100000"/>
    <n v="0"/>
    <n v="0"/>
    <m/>
    <s v="1 yr 0 mth "/>
    <x v="1"/>
    <s v="SKIN AND SUBCUTANEOUS TISSUS; ENVIRONMENTAL INFLUENCES ON HEALTH; CANCER; MOLECULAR BIOLOGY"/>
    <x v="24"/>
    <d v="2014-09-30T00:00:00"/>
    <n v="0"/>
    <s v="poly(ADP-ribose)polymerase-1, cellular responses, ultraviolet radiations"/>
  </r>
  <r>
    <x v="717"/>
    <s v="University of British Columbia"/>
    <x v="3"/>
    <x v="22"/>
    <s v="201003IMH"/>
    <x v="11"/>
    <s v="Depth-sensitive low-coherent speckle technique for skin lesion differentiation"/>
    <n v="85212"/>
    <n v="0"/>
    <n v="0"/>
    <m/>
    <s v="1 yr 0 mth "/>
    <x v="1"/>
    <s v="SKIN AND SUBCUTANEOUS TISSUS; MULTIDISCIPLINARY; BIOPHYSICS; CANCER"/>
    <x v="5"/>
    <d v="2011-09-30T00:00:00"/>
    <n v="0"/>
    <s v="depth, speckle, skin lesion"/>
  </r>
  <r>
    <x v="718"/>
    <s v="University of Calgary"/>
    <x v="1"/>
    <x v="22"/>
    <s v="200809IMH"/>
    <x v="12"/>
    <s v="Damage Mechanics and Mechanisms in Ligament and Tendon"/>
    <n v="73019"/>
    <n v="0"/>
    <n v="0"/>
    <m/>
    <s v="1 yr 0 mth "/>
    <x v="0"/>
    <s v="MUSCULO SKELETAL; AGING; MUSCLE, BONE, OR JOINT"/>
    <x v="33"/>
    <d v="2009-12-31T00:00:00"/>
    <n v="0"/>
    <s v="Damage, Mechanics, Ligament"/>
  </r>
  <r>
    <x v="643"/>
    <s v="University of Calgary"/>
    <x v="1"/>
    <x v="22"/>
    <s v="201109IMH"/>
    <x v="12"/>
    <s v="Investigating the Mechanisims of Osteoarthritis in an Ovine Model"/>
    <n v="100000"/>
    <n v="0"/>
    <n v="0"/>
    <m/>
    <s v="1 yr 0 mth "/>
    <x v="0"/>
    <s v="MUSCULO SKELETAL; ARTHRITIS/OSTEOARTHRITIS; MUSCLE, BONE, OR JOINT"/>
    <x v="32"/>
    <d v="2013-02-28T00:00:00"/>
    <n v="0"/>
    <s v="Osteoarthritis, Ovine, Mechanisms"/>
  </r>
  <r>
    <x v="719"/>
    <s v="Memorial University of Newfoundland"/>
    <x v="5"/>
    <x v="23"/>
    <s v="201003RNL"/>
    <x v="14"/>
    <s v="Identification of genetic factors correlated with survival in colorectal cancer: Investigation of genetic markers from angiogenesis/lymphangiogenesis and metastasis pathways"/>
    <n v="114190"/>
    <n v="0"/>
    <n v="0"/>
    <m/>
    <s v="2 yrs 6 mths "/>
    <x v="1"/>
    <s v="GASTRO-INTESTINAL CANCER; NONE OF THE ABOVE; CANCER; GENETICS"/>
    <x v="34"/>
    <d v="2012-02-29T00:00:00"/>
    <n v="0"/>
    <s v="genetic factors, colorectal cancer, metastasis"/>
  </r>
  <r>
    <x v="720"/>
    <s v="Memorial University of Newfoundland"/>
    <x v="5"/>
    <x v="23"/>
    <s v="201303RNL"/>
    <x v="13"/>
    <s v="Analysis of human Pygopus 2 as an essential androgen-responsive cellular biomarker for prostate cancer progression"/>
    <n v="153012"/>
    <n v="0"/>
    <n v="0"/>
    <m/>
    <s v="3 yrs 0 mth "/>
    <x v="1"/>
    <s v="PROSTATE AND BLADDER CANCER; PROSTATE AND BLADDER CANCER THERAPY; CANCER; CELL BIOLOGY"/>
    <x v="11"/>
    <d v="2017-03-31T00:00:00"/>
    <n v="0"/>
    <s v="Pygopus 2, androgen-responsive, prostate cancer"/>
  </r>
  <r>
    <x v="721"/>
    <s v="Dalhousie University (Nova Scotia)"/>
    <x v="6"/>
    <x v="24"/>
    <s v="201203RNS"/>
    <x v="14"/>
    <s v="The Role of Carboxypeptidase-D in Prostate Cancer Growth and Progression"/>
    <n v="174874"/>
    <n v="0"/>
    <n v="0"/>
    <m/>
    <s v="3 yrs 0 mth "/>
    <x v="1"/>
    <s v="PROSTATE AND BLADDER CANCER; PROSTATE AND BLADDER CANCER THERAPY; CANCER; ENDOCRINOLOGY"/>
    <x v="21"/>
    <d v="2015-09-30T00:00:00"/>
    <n v="0"/>
    <s v="Carboxypeptidase-D, Prostate Cancer, Growth"/>
  </r>
  <r>
    <x v="394"/>
    <s v="IWK Health Centre (Halifax)"/>
    <x v="6"/>
    <x v="24"/>
    <s v="201103RNS"/>
    <x v="14"/>
    <s v="Molecular interrogation and a small molecule screen of NUP98-HOXA9 induced AML in the zebrafish"/>
    <n v="168452"/>
    <n v="0"/>
    <n v="0"/>
    <m/>
    <s v="3 yrs 0 mth "/>
    <x v="1"/>
    <s v="LEUKAEMIAS; CANCER; BLOOD"/>
    <x v="23"/>
    <d v="2014-09-30T00:00:00"/>
    <n v="0"/>
    <s v="NUP98-HOXA9, small molecule, AML"/>
  </r>
  <r>
    <x v="612"/>
    <s v="University of British Columbia"/>
    <x v="3"/>
    <x v="25"/>
    <s v="201403BUC"/>
    <x v="12"/>
    <s v="Microfluidic Devices to Measure the Deformability of Stored Red Blood Cells"/>
    <n v="0"/>
    <n v="0"/>
    <n v="398301"/>
    <s v="Canadian Blood Services (Ottawa)"/>
    <s v="3 yrs 0 mth "/>
    <x v="11"/>
    <s v="BLOOD; BIOPHYSICS"/>
    <x v="26"/>
    <d v="2017-09-30T00:00:00"/>
    <n v="1"/>
    <s v="microfluidic, deformability, red blood cells"/>
  </r>
  <r>
    <x v="715"/>
    <s v="CIUSSS de Centre-Ouest-de-l'Ile-de-Montréal-Jewish General"/>
    <x v="2"/>
    <x v="26"/>
    <s v="201003COP"/>
    <x v="13"/>
    <s v="Investigation of the Filamin Signaling Network's Function in Cancer Progression"/>
    <n v="740235"/>
    <n v="0"/>
    <n v="0"/>
    <m/>
    <s v="5 yrs 0 mth "/>
    <x v="1"/>
    <s v="CANCER THERAPY GENERAL; NEOPLASMS; CANCER; CELL BIOLOGY"/>
    <x v="5"/>
    <d v="2015-09-30T00:00:00"/>
    <n v="0"/>
    <s v="Filamin, Signaling, Cancer"/>
  </r>
  <r>
    <x v="722"/>
    <s v="Institut de recherches cliniques de Montréal"/>
    <x v="2"/>
    <x v="26"/>
    <s v="201209COP"/>
    <x v="14"/>
    <s v="Biomarker discovery for human breast cancer relapse in a mouse model of artificial late recurrence."/>
    <n v="100000"/>
    <n v="0"/>
    <n v="0"/>
    <m/>
    <s v="1 yr 0 mth "/>
    <x v="1"/>
    <s v="BREAST CANCER; MULTIPLE DISEASE RELEVANCE; CANCER; MOLECULAR BIOLOGY"/>
    <x v="0"/>
    <d v="2014-02-28T00:00:00"/>
    <n v="0"/>
    <s v="biomarker, breast cancer, relapse"/>
  </r>
  <r>
    <x v="438"/>
    <s v="McMaster University"/>
    <x v="0"/>
    <x v="26"/>
    <s v="201403COP"/>
    <x v="14"/>
    <s v="Identification and characterization of drugs affecting serotonin signalling that may be repurposed to treat breast cancer"/>
    <n v="100000"/>
    <n v="0"/>
    <n v="0"/>
    <m/>
    <s v="1 yr 0 mth "/>
    <x v="1"/>
    <s v="BREAST CANCER; CANCER THERAPY GENERAL; CANCER; MOLECULAR BIOLOGY"/>
    <x v="26"/>
    <d v="2015-09-30T00:00:00"/>
    <n v="0"/>
    <s v="serotonin, drugs, breast cancer"/>
  </r>
  <r>
    <x v="488"/>
    <s v="Sunnybrook Research Institute (Toronto, Ontario)"/>
    <x v="0"/>
    <x v="26"/>
    <s v="201203COP"/>
    <x v="12"/>
    <s v="Implications of pathologic changes to bone material properties on the skeletal stability of the metastatic spine"/>
    <n v="100000"/>
    <n v="0"/>
    <n v="0"/>
    <m/>
    <s v="1 yr 0 mth "/>
    <x v="1"/>
    <s v="BONE CANCER; MUSCULO SKELETAL; CANCER; MUSCLE, BONE, OR JOINT"/>
    <x v="21"/>
    <d v="2013-09-30T00:00:00"/>
    <n v="0"/>
    <s v="bone, metastasis, stability"/>
  </r>
  <r>
    <x v="723"/>
    <s v="University Health Network (Toronto)"/>
    <x v="0"/>
    <x v="26"/>
    <s v="201003COP"/>
    <x v="6"/>
    <s v="Functional characterization of the NIMA-related kinase 10 (Nek10) in development and disease"/>
    <n v="481140"/>
    <n v="0"/>
    <n v="0"/>
    <m/>
    <s v="4 yrs 0 mth "/>
    <x v="1"/>
    <s v="BREAST CANCER; MULTIPLE DISEASE RELEVANCE; MOLECULAR BIOLOGY; CANCER"/>
    <x v="5"/>
    <d v="2014-09-30T00:00:00"/>
    <n v="0"/>
    <s v="NIMA-related kinase, Nek10, disease"/>
  </r>
  <r>
    <x v="622"/>
    <s v="University of British Columbia"/>
    <x v="3"/>
    <x v="26"/>
    <s v="201109COP"/>
    <x v="6"/>
    <s v="Promotion of breast cancer metastasis by tumour hypoxia and myeloid cells."/>
    <n v="100000"/>
    <n v="0"/>
    <n v="0"/>
    <m/>
    <s v="1 yr 0 mth "/>
    <x v="1"/>
    <s v="BREAST CANCER; CANCER THERAPY GENERAL; CANCER; GENETICS"/>
    <x v="32"/>
    <d v="2013-02-28T00:00:00"/>
    <n v="0"/>
    <s v="breast cancer, metastasis, hypoxia"/>
  </r>
  <r>
    <x v="592"/>
    <s v="University of British Columbia"/>
    <x v="3"/>
    <x v="26"/>
    <s v="201303COP"/>
    <x v="6"/>
    <s v="Role of ILK/Rictor complex in the TGF-b and Hippo signaling pathway mediated EMT, cancer stem cell function and tumor progression"/>
    <n v="100000"/>
    <n v="0"/>
    <n v="0"/>
    <m/>
    <s v="1 yr 0 mth "/>
    <x v="1"/>
    <s v="BREAST CANCER; CANCER THERAPY GENERAL; CANCER; CELL BIOLOGY"/>
    <x v="24"/>
    <d v="2014-09-30T00:00:00"/>
    <n v="0"/>
    <s v="ILK, Rictor, TGF-b"/>
  </r>
  <r>
    <x v="724"/>
    <s v="University of Saskatchewan"/>
    <x v="8"/>
    <x v="26"/>
    <s v="201003COP"/>
    <x v="14"/>
    <s v="The cellular implications of breast tumor kinase induction in mammary tumorigenesis."/>
    <n v="270471"/>
    <n v="0"/>
    <n v="0"/>
    <m/>
    <s v="3 yrs 0 mth "/>
    <x v="1"/>
    <s v="BREAST CANCER; BREAST CANCER THERAPY; CANCER; MOLECULAR BIOLOGY"/>
    <x v="5"/>
    <d v="2013-09-30T00:00:00"/>
    <n v="0"/>
    <s v="breast tumor kinase, mammary tumorigenesis, cellular implications"/>
  </r>
  <r>
    <x v="659"/>
    <s v="University of Toronto"/>
    <x v="0"/>
    <x v="26"/>
    <s v="201209COP"/>
    <x v="12"/>
    <s v="Engineering DNA-nanosystems for tumor targeting"/>
    <n v="100000"/>
    <n v="0"/>
    <n v="0"/>
    <m/>
    <s v="1 yr 0 mth "/>
    <x v="1"/>
    <s v="BREAST CANCER"/>
    <x v="0"/>
    <d v="2014-02-28T00:00:00"/>
    <n v="0"/>
    <s v="DNA, nanosystems, tumor"/>
  </r>
  <r>
    <x v="673"/>
    <s v="University of Toronto"/>
    <x v="0"/>
    <x v="26"/>
    <s v="201309COP"/>
    <x v="14"/>
    <s v="Targeted Polymeric Nanotechnology for Multi-Modality Treatment of HER2 Positive Breast Cancer"/>
    <n v="0"/>
    <n v="0"/>
    <n v="100000"/>
    <s v="Avon Foundation for Women - Canada"/>
    <s v="1 yr 0 mth "/>
    <x v="1"/>
    <s v="BREAST CANCER THERAPY; CANCER THERAPY GENERAL; CANCER; DRUG RESEARCH"/>
    <x v="29"/>
    <d v="2018-06-30T00:00:00"/>
    <n v="0"/>
    <s v="Polymeric, Nanotechnology, HER2"/>
  </r>
  <r>
    <x v="725"/>
    <s v="Simon Fraser University (Burnaby, B.C.)"/>
    <x v="3"/>
    <x v="27"/>
    <s v="201209OBC"/>
    <x v="14"/>
    <s v="Autophagy inhibition for the treatment of chemotherapy-refractory triple-negative breast cancer"/>
    <n v="0"/>
    <n v="0"/>
    <n v="750000"/>
    <s v="Avon Foundation for Women - Canada"/>
    <s v="5 yrs 0 mth "/>
    <x v="1"/>
    <s v="BREAST CANCER; BREAST CANCER THERAPY; CANCER; CELL BIOLOGY"/>
    <x v="15"/>
    <d v="2018-03-31T00:00:00"/>
    <n v="0"/>
    <s v="Autophagy, chemotherapy, breast cancer"/>
  </r>
  <r>
    <x v="726"/>
    <s v="University of British Columbia"/>
    <x v="3"/>
    <x v="27"/>
    <s v="201309OBC"/>
    <x v="6"/>
    <s v="Understanding the mitotic and non-mitotic roles of RHAMM, a novel regulator for aurora kinase A."/>
    <n v="0"/>
    <n v="0"/>
    <n v="631358"/>
    <s v="Avon Foundation for Women - Canada"/>
    <s v="5 yrs 0 mth "/>
    <x v="1"/>
    <s v="BREAST CANCER; BREAST CANCER THERAPY; CANCER; CELL BIOLOGY"/>
    <x v="11"/>
    <d v="2019-03-31T00:00:00"/>
    <n v="0"/>
    <s v="mitotic, RHAMM, aurora kinase"/>
  </r>
  <r>
    <x v="648"/>
    <s v="University of Guelph"/>
    <x v="0"/>
    <x v="28"/>
    <s v="201009OVA"/>
    <x v="14"/>
    <s v="Thrombospondin-1 as a potent anti-tumor and anti-angiogenic factor in ovarian cancer"/>
    <n v="0"/>
    <n v="0"/>
    <n v="100000"/>
    <s v="Ovarian Cancer Canada (Toronto)"/>
    <s v="1 yr 0 mth "/>
    <x v="1"/>
    <s v="CANCER THERAPY GENERAL; CANCER"/>
    <x v="23"/>
    <d v="2012-09-30T00:00:00"/>
    <n v="0"/>
    <s v="Thrombospondin-1, anti-angiogenic, ovarian cancer"/>
  </r>
  <r>
    <x v="727"/>
    <s v="Women's College Hospital (Toronto)"/>
    <x v="0"/>
    <x v="28"/>
    <s v="201109OVA"/>
    <x v="13"/>
    <s v="Telomere Length and Ovarian Cancer Prognosis"/>
    <n v="100000"/>
    <n v="0"/>
    <n v="0"/>
    <m/>
    <s v="1 yr 0 mth "/>
    <x v="1"/>
    <s v="GENITO/URINARY SYSTEM; EPIDEMIOLOGY; CANCER; MOLECULAR BIOLOGY"/>
    <x v="28"/>
    <d v="2013-03-31T00:00:00"/>
    <n v="0"/>
    <s v="Telomere, Ovarian Cancer, Prognosis"/>
  </r>
  <r>
    <x v="728"/>
    <s v="CIUSSS du Centre-Sud-de-l'ele-de-Montreal (Montreal, Quebec)"/>
    <x v="2"/>
    <x v="29"/>
    <s v="201110TO1"/>
    <x v="15"/>
    <s v="Combining functional near infra-red spectroscopy and dual-task walking to track preclinical motor and cognitive declines and their evolution in aging individuals."/>
    <n v="140000"/>
    <n v="60000"/>
    <n v="0"/>
    <m/>
    <s v="2 yrs 0 mth "/>
    <x v="6"/>
    <s v="AGING; MULTIDISCIPLINARY; HEALTH RESEARCH"/>
    <x v="40"/>
    <d v="2014-01-31T00:00:00"/>
    <n v="0"/>
    <s v="near-infrared spectroscopy, dual-task walking, aging"/>
  </r>
  <r>
    <x v="729"/>
    <s v="McGill University"/>
    <x v="2"/>
    <x v="29"/>
    <s v="201110TO1"/>
    <x v="15"/>
    <s v="Identifying states and courses of a mental disorder from longitudinal data: Delirium as an example"/>
    <n v="190662"/>
    <n v="3000"/>
    <n v="0"/>
    <m/>
    <s v="2 yrs 0 mth "/>
    <x v="5"/>
    <s v="BIOSTATISTICS; EPIDEMIOLOGY; MENTAL HEALTH; HEALTH RESEARCH"/>
    <x v="40"/>
    <d v="2014-01-31T00:00:00"/>
    <n v="0"/>
    <s v="mental disorder, longitudinal data, delirium"/>
  </r>
  <r>
    <x v="730"/>
    <s v="Universite de Sherbrooke"/>
    <x v="2"/>
    <x v="29"/>
    <s v="201110TO1"/>
    <x v="15"/>
    <s v="Novel approaches to aging physiology: Using statistics and data mining to understand dysregulation of biomarker networks in human populations"/>
    <n v="193482"/>
    <n v="0"/>
    <n v="0"/>
    <m/>
    <s v="3 yrs 0 mth "/>
    <x v="6"/>
    <s v="AGING; BIOSTATISTICS; POPULATION HEALTH"/>
    <x v="40"/>
    <d v="2015-01-31T00:00:00"/>
    <n v="0"/>
    <s v="aging, data mining, biomarkers"/>
  </r>
  <r>
    <x v="731"/>
    <s v="Sinai Health System (Toronto)"/>
    <x v="0"/>
    <x v="30"/>
    <s v="201810APC"/>
    <x v="16"/>
    <s v="Development of an automated point of care system for rapid multiplex detection and antibiotic resistance profiling of microbial pathogens."/>
    <n v="673199"/>
    <n v="0"/>
    <n v="0"/>
    <m/>
    <s v="3 yrs 0 mth "/>
    <x v="7"/>
    <s v="INFECTIOUS AND PARASITIC; VIRAL; BACTERIOLOGY; GENOMICS, PROTEOMICS, AND BIOINFORMATICS"/>
    <x v="41"/>
    <d v="2021-12-31T00:00:00"/>
    <n v="0"/>
    <s v="point of care, multiplex detection, antibiotic resistance"/>
  </r>
  <r>
    <x v="732"/>
    <s v="University of Alberta"/>
    <x v="1"/>
    <x v="30"/>
    <s v="201810APC"/>
    <x v="16"/>
    <s v="Point-of-Care Diagnostic Discrimination Between Bacterial and Viral Infections Using a Nanostructured Platform Device for Detection of Host Biomarkers."/>
    <n v="620000"/>
    <n v="0"/>
    <n v="0"/>
    <m/>
    <s v="3 yrs 0 mth "/>
    <x v="7"/>
    <s v="VIRAL; PNEUMONIA; HEALTH RESEARCH; BACTERIOLOGY"/>
    <x v="41"/>
    <d v="2021-12-31T00:00:00"/>
    <n v="0"/>
    <s v="Point-of-Care, Nanostructured, Biomarkers"/>
  </r>
  <r>
    <x v="733"/>
    <s v="University of Calgary"/>
    <x v="1"/>
    <x v="30"/>
    <s v="201810APC"/>
    <x v="16"/>
    <s v="Reducing the burden of antimicrobial resistance via rapid diagnosis of urinary tract infections"/>
    <n v="675000"/>
    <n v="0"/>
    <n v="0"/>
    <m/>
    <s v="3 yrs 0 mth "/>
    <x v="7"/>
    <s v="INFECTIOUS AND PARASITIC; HEALTH CARE DELIVERY; HEALTH RESEARCH; BIOCHEMISTRY"/>
    <x v="41"/>
    <d v="2021-12-31T00:00:00"/>
    <n v="3"/>
    <s v="antimicrobial resistance, rapid diagnosis, urinary tract infections"/>
  </r>
  <r>
    <x v="734"/>
    <s v="Centre hospitalier de l'Université de Montréal (CHUM)"/>
    <x v="2"/>
    <x v="31"/>
    <s v="202005VR2"/>
    <x v="17"/>
    <s v="Early immune predictors of sustained SARS-CoV-2 antibody responses after COVID-19 disease"/>
    <n v="0"/>
    <n v="0"/>
    <n v="0"/>
    <m/>
    <s v="1 yr 0 mth "/>
    <x v="7"/>
    <s v="INFECTIOUS AND PARASITIC; VIROLOGY; IMMUNOLOGY-TRANSPLANTATION"/>
    <x v="42"/>
    <d v="2021-08-31T00:00:00"/>
    <n v="0"/>
    <s v="immune, SARS-CoV-2, antibody"/>
  </r>
  <r>
    <x v="735"/>
    <s v="Centre hospitalier universitaire Sainte-Justine (Montréal, Québec)"/>
    <x v="2"/>
    <x v="31"/>
    <s v="202005VR2"/>
    <x v="17"/>
    <s v="REinfection in COVid-19 Estimation of Risk (RECOVER)"/>
    <n v="2112471"/>
    <n v="0"/>
    <n v="0"/>
    <m/>
    <s v="1 yr 0 mth "/>
    <x v="5"/>
    <s v="EPIDEMIOLOGY; VIRAL; POPULATION HEALTH"/>
    <x v="43"/>
    <d v="2021-05-31T00:00:00"/>
    <n v="0"/>
    <s v="COVID-19, Reinfection, Risk"/>
  </r>
  <r>
    <x v="736"/>
    <s v="Hospital for Sick Children (Toronto)"/>
    <x v="0"/>
    <x v="31"/>
    <s v="202005VR2"/>
    <x v="17"/>
    <s v="A central role for the vascular endothelium in COVID-19 pathogenesis"/>
    <n v="583472"/>
    <n v="0"/>
    <n v="0"/>
    <m/>
    <s v="1 yr 0 mth "/>
    <x v="11"/>
    <s v="VIRAL; BLOOD; HEALTH RESEARCH; CELL BIOLOGY"/>
    <x v="43"/>
    <d v="2021-05-31T00:00:00"/>
    <n v="0"/>
    <s v="vascular endothelium, COVID-19, pathogenesis"/>
  </r>
  <r>
    <x v="737"/>
    <s v="McMaster University"/>
    <x v="0"/>
    <x v="31"/>
    <s v="202005VR2"/>
    <x v="17"/>
    <s v="COVID-19: Comprehensive biomarker analysis for prediction of clinical course and patient treatment outcomes (COVID-BEACONS)"/>
    <n v="1173325"/>
    <n v="0"/>
    <n v="0"/>
    <m/>
    <s v="1 yr 0 mth "/>
    <x v="11"/>
    <s v="CLOTTING DEFECTS/THROMBOSIS; BLOOD; BIOCHEMISTRY"/>
    <x v="43"/>
    <d v="2021-05-31T00:00:00"/>
    <n v="0"/>
    <s v="COVID-19, biomarker, prediction"/>
  </r>
  <r>
    <x v="738"/>
    <s v="McMaster University"/>
    <x v="0"/>
    <x v="31"/>
    <s v="202005VR2"/>
    <x v="17"/>
    <s v="A rapid at-home test for SARS-CoV-2"/>
    <n v="1314083"/>
    <n v="0"/>
    <n v="0"/>
    <m/>
    <s v="1 yr 0 mth "/>
    <x v="7"/>
    <s v="INFECTIOUS AND PARASITIC; VIRAL; BIOCHEMISTRY; VIROLOGY"/>
    <x v="43"/>
    <d v="2021-05-31T00:00:00"/>
    <n v="9"/>
    <s v="SARS-CoV-2, rapid test, at-home"/>
  </r>
  <r>
    <x v="739"/>
    <s v="McMaster University"/>
    <x v="0"/>
    <x v="31"/>
    <s v="202005VR2"/>
    <x v="17"/>
    <s v="Long-term protective immunity against SARS-CoV-2 virus in COVID-19 patients"/>
    <n v="0"/>
    <n v="0"/>
    <n v="350000"/>
    <s v="Public Health Agency of Canada"/>
    <s v="1 yr 0 mth "/>
    <x v="7"/>
    <s v="VIRAL; INFECTIOUS AND PARASITIC; VIROLOGY; IMMUNOLOGY-TRANSPLANTATION"/>
    <x v="42"/>
    <d v="2021-08-31T00:00:00"/>
    <n v="1"/>
    <s v="immunity, SARS-CoV-2, COVID-19"/>
  </r>
  <r>
    <x v="740"/>
    <s v="Simon Fraser University (Burnaby, B.C.)"/>
    <x v="3"/>
    <x v="31"/>
    <s v="202005VR2"/>
    <x v="17"/>
    <s v="General and Inexpensive Saliva-based Viral RNA Testing by Direct Imaging"/>
    <n v="82026"/>
    <n v="0"/>
    <n v="0"/>
    <m/>
    <s v="1 yr 0 mth "/>
    <x v="7"/>
    <s v="VIRAL; MULTIDISCIPLINARY; IMAGING; BIOCHEMISTRY"/>
    <x v="43"/>
    <d v="2021-05-31T00:00:00"/>
    <n v="1"/>
    <s v="Saliva, Viral RNA, Imaging"/>
  </r>
  <r>
    <x v="741"/>
    <s v="Toronto Metropolitan University"/>
    <x v="0"/>
    <x v="31"/>
    <s v="202005VR2"/>
    <x v="17"/>
    <s v="A low-cost, portable, and decentralized microfluidic device for detecting SARS-CoV-2 neutralizing antibodies"/>
    <n v="0"/>
    <n v="0"/>
    <n v="235800"/>
    <s v="Public Health Agency of Canada"/>
    <s v="1 yr 0 mth "/>
    <x v="7"/>
    <s v="VIRAL; MULTIDISCIPLINARY; BIOCHEMISTRY; VIROLOGY"/>
    <x v="42"/>
    <d v="2021-08-31T00:00:00"/>
    <n v="0"/>
    <s v="microfluidic, SARS-CoV-2, antibodies"/>
  </r>
  <r>
    <x v="742"/>
    <s v="University Health Network (Toronto)"/>
    <x v="0"/>
    <x v="31"/>
    <s v="202005VR2"/>
    <x v="17"/>
    <s v="Development of a Predictive Serologic Test for Cytopathogenic Autoantibodies in COVID-19 Patients"/>
    <n v="215475"/>
    <n v="0"/>
    <n v="0"/>
    <m/>
    <s v="1 yr 0 mth "/>
    <x v="7"/>
    <s v="LUPUS; INJURY, REGENERATION; IMMUNOLOGY-TRANSPLANTATION; CELL BIOLOGY"/>
    <x v="43"/>
    <d v="2021-05-31T00:00:00"/>
    <n v="0"/>
    <s v="Predictive, Serologic, Autoantibodies"/>
  </r>
  <r>
    <x v="743"/>
    <s v="University of Alberta"/>
    <x v="1"/>
    <x v="31"/>
    <s v="202005VR2"/>
    <x v="17"/>
    <s v="MOIST study: Multi-Organ Imaging with Serial Testing in COVID-19 infected patients"/>
    <n v="342369"/>
    <n v="0"/>
    <n v="0"/>
    <m/>
    <s v="1 yr 0 mth "/>
    <x v="11"/>
    <s v="VIRAL; CARDIOLOGY; CARDIOVASCULAR; RESPIRATION"/>
    <x v="43"/>
    <d v="2021-05-31T00:00:00"/>
    <n v="0"/>
    <s v="Multi-Organ, Imaging, COVID-19"/>
  </r>
  <r>
    <x v="744"/>
    <s v="University of Alberta"/>
    <x v="1"/>
    <x v="31"/>
    <s v="202005VR2"/>
    <x v="17"/>
    <s v="Population-based seroprevalence of prior infection with COVID-19 in Canada: implications for testing, economic revitalization and population health."/>
    <n v="955694"/>
    <n v="0"/>
    <n v="0"/>
    <m/>
    <s v="1 yr 0 mth "/>
    <x v="7"/>
    <s v="INFECTIOUS AND PARASITIC; EPIDEMIOLOGY; VIROLOGY; IMMUNOLOGY-TRANSPLANTATION"/>
    <x v="43"/>
    <d v="2021-05-31T00:00:00"/>
    <n v="0"/>
    <s v="seroprevalence, COVID-19, infection"/>
  </r>
  <r>
    <x v="745"/>
    <s v="University of Alberta"/>
    <x v="1"/>
    <x v="31"/>
    <s v="202005VR2"/>
    <x v="17"/>
    <s v="Rational design and standardization of serology diagnostics using immunoaffinity-targeted proteomics assays"/>
    <n v="0"/>
    <n v="0"/>
    <n v="215500"/>
    <s v="Public Health Agency of Canada"/>
    <s v="1 yr 0 mth "/>
    <x v="7"/>
    <s v="VIRAL; BLOOD; GENOMICS, PROTEOMICS, AND BIOINFORMATICS"/>
    <x v="42"/>
    <d v="2021-08-31T00:00:00"/>
    <n v="0"/>
    <s v="serology, immunoaffinity, proteomics"/>
  </r>
  <r>
    <x v="746"/>
    <s v="University of British Columbia"/>
    <x v="3"/>
    <x v="31"/>
    <s v="202005VR2"/>
    <x v="17"/>
    <s v="Point of Care Heart-Lung Imaging for Patients Presenting with COVID-19 Symptoms: Artificial Intelligence Precision Modeling for Prediction of Outcomes"/>
    <n v="260326"/>
    <n v="0"/>
    <n v="0"/>
    <m/>
    <s v="1 yr 0 mth "/>
    <x v="11"/>
    <s v="INFECTIOUS AND PARASITIC; CARDIOLOGY; CARDIOVASCULAR; IMAGING"/>
    <x v="43"/>
    <d v="2021-05-31T00:00:00"/>
    <n v="0"/>
    <s v="Heart-Lung, Imaging, COVID-19"/>
  </r>
  <r>
    <x v="747"/>
    <s v="University of British Columbia"/>
    <x v="3"/>
    <x v="31"/>
    <s v="202005VR2"/>
    <x v="17"/>
    <s v="Diagnosing the onset of severe Covid-19 disease"/>
    <n v="422084"/>
    <n v="0"/>
    <n v="0"/>
    <m/>
    <s v="1 yr 0 mth "/>
    <x v="7"/>
    <s v="INFECTIOUS AND PARASITIC; GENOMICS, PROTEOMICS, AND BIOINFORMATICS; HEALTH RESEARCH"/>
    <x v="43"/>
    <d v="2021-05-31T00:00:00"/>
    <n v="0"/>
    <s v="Covid-19, diagnosis, disease"/>
  </r>
  <r>
    <x v="18"/>
    <s v="University of Ottawa"/>
    <x v="0"/>
    <x v="31"/>
    <s v="202005VR2"/>
    <x v="17"/>
    <s v="Analysis of Antibody Neutralization Efficiency and Cellular Immunity in SARS-CoV-2-Positive Individuals Identified in At-Risk Individuals"/>
    <n v="2112500"/>
    <n v="0"/>
    <n v="0"/>
    <m/>
    <s v="1 yr 0 mth "/>
    <x v="7"/>
    <s v="VIRAL; VIROLOGY"/>
    <x v="43"/>
    <d v="2021-05-31T00:00:00"/>
    <n v="0"/>
    <s v="Antibody, Neutralization, SARS-CoV-2"/>
  </r>
  <r>
    <x v="748"/>
    <s v="University of Regina (Saskatchewan)"/>
    <x v="8"/>
    <x v="31"/>
    <s v="202005VR2"/>
    <x v="17"/>
    <s v="Development of SARS-CoV-2 Peptide Therapeutics and Point-of-Care Salivary Diagnostics for Rapid Viral Detection"/>
    <n v="937950"/>
    <n v="0"/>
    <n v="0"/>
    <m/>
    <s v="1 yr 0 mth "/>
    <x v="8"/>
    <s v="VIRAL; DRUGS- PHARMACEUTICAL SCIENCE/CHEMISTRY &amp; NON MEDICAL USE OF DRUGS; DRUG RESEARCH; VIROLOGY"/>
    <x v="43"/>
    <d v="2021-05-31T00:00:00"/>
    <n v="0"/>
    <s v="SARS-CoV-2, Peptide, Diagnostics"/>
  </r>
  <r>
    <x v="749"/>
    <s v="University of Toronto"/>
    <x v="0"/>
    <x v="31"/>
    <s v="202005VR2"/>
    <x v="17"/>
    <s v="Development of a yeast-based immunoassay for SARS-CoV-2 serologic testing amenable to inexpensive local production"/>
    <n v="179140"/>
    <n v="0"/>
    <n v="0"/>
    <m/>
    <s v="1 yr 0 mth "/>
    <x v="7"/>
    <s v="VIRAL; EPIDEMIOLOGY; MOLECULAR BIOLOGY; INTERNATIONAL HEALTH"/>
    <x v="43"/>
    <d v="2021-05-31T00:00:00"/>
    <n v="0"/>
    <s v="yeast, immunoassay, SARS-CoV-2"/>
  </r>
  <r>
    <x v="750"/>
    <s v="University of Waterloo (Ontario)"/>
    <x v="0"/>
    <x v="31"/>
    <s v="202005VR2"/>
    <x v="17"/>
    <s v="Development of a Microwave Enabled Bio-Nano-Microfluidic Device for Point-of-Care Diagnosis of COVID-19"/>
    <n v="264908"/>
    <n v="0"/>
    <n v="0"/>
    <m/>
    <s v="1 yr 0 mth "/>
    <x v="7"/>
    <s v="INFECTIOUS AND PARASITIC; VIRAL; VIROLOGY"/>
    <x v="43"/>
    <d v="2021-05-31T00:00:00"/>
    <n v="0"/>
    <s v="Microwave, Bio-Nano-Microfluidic, Diagnosis"/>
  </r>
  <r>
    <x v="751"/>
    <s v="Western University (Ontario)"/>
    <x v="0"/>
    <x v="31"/>
    <s v="202005VR2"/>
    <x v="17"/>
    <s v="Simple assay to assess antibody-dependent enhancement of SARS-CoV-2"/>
    <n v="0"/>
    <n v="0"/>
    <n v="151050"/>
    <s v="Public Health Agency of Canada"/>
    <s v="1 yr 0 mth "/>
    <x v="7"/>
    <s v="VIRAL; VIROLOGY; IMMUNOLOGY-TRANSPLANTATION"/>
    <x v="42"/>
    <d v="2021-08-31T00:00:00"/>
    <n v="0"/>
    <s v="assay, antibody, SARS-CoV-2"/>
  </r>
  <r>
    <x v="752"/>
    <s v="Centre hospitalier universitaire Sainte-Justine (Montréal, Québec)"/>
    <x v="2"/>
    <x v="32"/>
    <s v="202005VR3"/>
    <x v="18"/>
    <s v="PRevention of COVID-19 with high dose Oral Vitamin D supplemental Therapy in Essential healthCare Teams (PROTECT)"/>
    <n v="4224996"/>
    <n v="0"/>
    <n v="0"/>
    <m/>
    <s v="1 yr 0 mth "/>
    <x v="4"/>
    <s v="INFECTIOUS AND PARASITIC; METABOLISM AND NUTRITION; DRUG RESEARCH; HEALTH RESEARCH"/>
    <x v="43"/>
    <d v="2021-05-31T00:00:00"/>
    <n v="0"/>
    <s v="COVID-19, Vitamin D, supplementation"/>
  </r>
  <r>
    <x v="753"/>
    <s v="CIUSSS de Centre-Ouest-de-l'Ile-de-Montréal-Jewish General"/>
    <x v="2"/>
    <x v="32"/>
    <s v="202005VR3"/>
    <x v="18"/>
    <s v="Development of small interfering RNAs (siRNAs) for the treatment of Severe Acute Respiratory Syndrome-Coronavirus-2 (SARS-CoV-2)"/>
    <n v="360377"/>
    <n v="0"/>
    <n v="0"/>
    <m/>
    <s v="1 yr 0 mth "/>
    <x v="7"/>
    <s v="INFECTIOUS AND PARASITIC; VIRAL; VIROLOGY; DRUG RESEARCH"/>
    <x v="43"/>
    <d v="2021-05-31T00:00:00"/>
    <n v="0"/>
    <s v="siRNAs, RNA, SARS-CoV-2"/>
  </r>
  <r>
    <x v="754"/>
    <s v="McGill University"/>
    <x v="2"/>
    <x v="32"/>
    <s v="202005VR3"/>
    <x v="18"/>
    <s v="INTERCEPTORs: engINeered ThERapeutiC dEfensive Particles TO SARS-CoV-2"/>
    <n v="745124"/>
    <n v="0"/>
    <n v="0"/>
    <m/>
    <s v="1 yr 0 mth "/>
    <x v="7"/>
    <s v="MULTIDISCIPLINARY; MOLECULAR BIOLOGY; VIROLOGY"/>
    <x v="43"/>
    <d v="2021-05-31T00:00:00"/>
    <n v="0"/>
    <s v="interceptor, engineered particles, SARS-CoV-2"/>
  </r>
  <r>
    <x v="755"/>
    <s v="McMaster University"/>
    <x v="0"/>
    <x v="32"/>
    <s v="202005VR3"/>
    <x v="18"/>
    <s v="Awake Prone Position in Hypoxemic Patients with Coronavirus Disease 19"/>
    <n v="1089205"/>
    <n v="0"/>
    <n v="0"/>
    <m/>
    <s v="0 yr 6 mths "/>
    <x v="11"/>
    <s v="RESPIRATION; VIRAL; VIROLOGY"/>
    <x v="43"/>
    <d v="2021-05-31T00:00:00"/>
    <n v="0"/>
    <s v="Prone Position, Hypoxemic, Coronavirus"/>
  </r>
  <r>
    <x v="756"/>
    <s v="McMaster University"/>
    <x v="0"/>
    <x v="32"/>
    <s v="202005VR3"/>
    <x v="18"/>
    <s v="A Randomized Open-Label Trial of CONvalescent Plasma for Hospitalized Adults With Acute COVID-19 Respiratory Illness (CONCOR-1)"/>
    <n v="2972273"/>
    <n v="0"/>
    <n v="0"/>
    <m/>
    <s v="1 yr 0 mth "/>
    <x v="11"/>
    <s v="BLOOD; VIRAL; IMMUNOLOGY-TRANSPLANTATION"/>
    <x v="43"/>
    <d v="2021-05-31T00:00:00"/>
    <n v="0"/>
    <s v="Convalescent Plasma, COVID-19, Respiratory Illness"/>
  </r>
  <r>
    <x v="757"/>
    <s v="McMaster University"/>
    <x v="0"/>
    <x v="32"/>
    <s v="202005VR3"/>
    <x v="18"/>
    <s v="Anti-Coronavirus Therapy (ACT) to prevent COVID-19 disease progression: a clinical trial platform"/>
    <n v="2937119"/>
    <n v="0"/>
    <n v="0"/>
    <m/>
    <s v="1 yr 0 mth "/>
    <x v="7"/>
    <s v="VIRAL; NOT CLASSIFIED"/>
    <x v="43"/>
    <d v="2021-05-31T00:00:00"/>
    <n v="0"/>
    <s v="Anti-Coronavirus, COVID-19, clinical trial"/>
  </r>
  <r>
    <x v="758"/>
    <s v="Ottawa Hospital Research Institute"/>
    <x v="0"/>
    <x v="32"/>
    <s v="202005VR3"/>
    <x v="18"/>
    <s v="Cellular Immuno-Therapy for COVID-19 Induced Acute Respiratory Distress Syndrome: the CIRCA-19 Trial"/>
    <n v="1860523"/>
    <n v="0"/>
    <n v="0"/>
    <m/>
    <s v="1 yr 0 mth "/>
    <x v="11"/>
    <n v="0"/>
    <x v="43"/>
    <d v="2021-05-31T00:00:00"/>
    <n v="0"/>
    <s v="Cellular, Immuno-Therapy, COVID-19"/>
  </r>
  <r>
    <x v="759"/>
    <s v="Université de Sherbrooke"/>
    <x v="2"/>
    <x v="32"/>
    <s v="202005VR3"/>
    <x v="18"/>
    <s v="Characterization of Covid-19 infection in rheumatoid arthritis patients- the CoViD-in-RA project"/>
    <n v="502775"/>
    <n v="0"/>
    <n v="0"/>
    <m/>
    <s v="1 yr 0 mth "/>
    <x v="0"/>
    <s v="ARTHRITIS/OSTEOARTHRITIS; MUSCLE, BONE, OR JOINT"/>
    <x v="43"/>
    <d v="2021-05-31T00:00:00"/>
    <n v="0"/>
    <s v="Covid-19, rheumatoid arthritis, infection"/>
  </r>
  <r>
    <x v="760"/>
    <s v="Université Laval"/>
    <x v="2"/>
    <x v="32"/>
    <s v="202005VR3"/>
    <x v="18"/>
    <s v="COVID-19 trilogy: ARDS, inflammation and coagulopathy."/>
    <n v="226625"/>
    <n v="0"/>
    <n v="0"/>
    <m/>
    <s v="1 yr 0 mth "/>
    <x v="7"/>
    <s v="VIRAL; VIROLOGY"/>
    <x v="43"/>
    <d v="2021-05-31T00:00:00"/>
    <n v="0"/>
    <s v="COVID-19, ARDS, coagulopathy"/>
  </r>
  <r>
    <x v="761"/>
    <s v="University Health Network (Toronto)"/>
    <x v="0"/>
    <x v="32"/>
    <s v="202005VR3"/>
    <x v="18"/>
    <s v="Semaglutide to reduce Myocardial injury in PATIents with COVID-19 (SEMPATICO): An exploratory randomized controlled clinical trial"/>
    <n v="664145"/>
    <n v="0"/>
    <n v="0"/>
    <m/>
    <s v="1 yr 0 mth "/>
    <x v="11"/>
    <s v="CARDIOLOGY; MULTIPLE DISEASE RELEVANCE; CARDIOVASCULAR"/>
    <x v="43"/>
    <d v="2021-05-31T00:00:00"/>
    <n v="0"/>
    <s v="Semaglutide, Myocardial injury, COVID-19"/>
  </r>
  <r>
    <x v="762"/>
    <s v="University Health Network (Toronto)"/>
    <x v="0"/>
    <x v="32"/>
    <s v="202005VR3"/>
    <x v="18"/>
    <s v="A Randomized trial to determine the effect of vitamin D and zinc supplementation for improving treatment outcomes among COVID-19 patients in Mumbai, India"/>
    <n v="887006"/>
    <n v="0"/>
    <n v="0"/>
    <m/>
    <s v="1 yr 0 mth "/>
    <x v="7"/>
    <s v="INFECTIOUS AND PARASITIC; MALNUTRITION; NUTRITION; INTERNATIONAL HEALTH"/>
    <x v="43"/>
    <d v="2021-05-31T00:00:00"/>
    <n v="0"/>
    <s v="vitamin D, zinc, COVID-19"/>
  </r>
  <r>
    <x v="763"/>
    <s v="University of Alberta"/>
    <x v="1"/>
    <x v="32"/>
    <s v="202005VR3"/>
    <x v="18"/>
    <s v="Optimizing polar, small inhibitors of a viral cysteine protease to identify a lead for an oral COVID-19 treatment"/>
    <n v="585228"/>
    <n v="0"/>
    <n v="0"/>
    <m/>
    <s v="1 yr 0 mth "/>
    <x v="7"/>
    <s v="VIRAL; VIROLOGY; DRUG RESEARCH"/>
    <x v="43"/>
    <d v="2021-05-31T00:00:00"/>
    <n v="3"/>
    <s v="polar, inhibitors, cysteine protease"/>
  </r>
  <r>
    <x v="764"/>
    <s v="University of Alberta"/>
    <x v="1"/>
    <x v="32"/>
    <s v="202005VR3"/>
    <x v="18"/>
    <s v="Advancing a Potent Inhibitor of SARS-CoV-2 3CL Protease into Clinical Trials"/>
    <n v="904236"/>
    <n v="0"/>
    <n v="0"/>
    <m/>
    <s v="1 yr 0 mth "/>
    <x v="7"/>
    <s v="DRUGS- PHARMACEUTICAL SCIENCE/CHEMISTRY &amp; NON MEDICAL USE OF DRUGS; VIRAL; DRUG RESEARCH"/>
    <x v="43"/>
    <d v="2021-05-31T00:00:00"/>
    <n v="2"/>
    <s v="SARS-CoV-2, 3CL Protease, Inhibitor"/>
  </r>
  <r>
    <x v="765"/>
    <s v="University of Alberta"/>
    <x v="1"/>
    <x v="32"/>
    <s v="202005VR3"/>
    <x v="18"/>
    <s v="Characterization of interferon-lambda 1 as a treatment for COVID-19"/>
    <n v="499775"/>
    <n v="0"/>
    <n v="0"/>
    <m/>
    <s v="1 yr 0 mth "/>
    <x v="7"/>
    <s v="VIRAL; VIROLOGY; IMMUNOLOGY-TRANSPLANTATION"/>
    <x v="43"/>
    <d v="2021-05-31T00:00:00"/>
    <n v="0"/>
    <s v="interferon-lambda, COVID-19"/>
  </r>
  <r>
    <x v="766"/>
    <s v="University of British Columbia"/>
    <x v="3"/>
    <x v="32"/>
    <s v="202005VR3"/>
    <x v="18"/>
    <s v="Mechanistic studies on ACE2 as a rational therapy for COVID-19"/>
    <n v="578090"/>
    <n v="0"/>
    <n v="0"/>
    <m/>
    <s v="1 yr 0 mth "/>
    <x v="11"/>
    <s v="RESPIRATION; VIRAL; DRUG RESEARCH"/>
    <x v="43"/>
    <d v="2021-05-31T00:00:00"/>
    <n v="4"/>
    <s v="ACE2, COVID-19, therapy"/>
  </r>
  <r>
    <x v="767"/>
    <s v="University of British Columbia"/>
    <x v="3"/>
    <x v="32"/>
    <s v="202005VR3"/>
    <x v="18"/>
    <s v="HOST RESPONSE MEDIATORS IN CORONAVIRUS (COVID-19) INFECTION - IS THERE A PROTECTIVE EFFECT OF ARBs ON OUTCOMES OF CORONAVIRUS INFECTION? (ARBs CORONA II)"/>
    <n v="3456541"/>
    <n v="0"/>
    <n v="0"/>
    <m/>
    <s v="1 yr 0 mth "/>
    <x v="11"/>
    <s v="INFECTIOUS AND PARASITIC; HEALTH RESEARCH"/>
    <x v="43"/>
    <d v="2021-05-31T00:00:00"/>
    <n v="0"/>
    <s v="host response, coronavirus, ARBs"/>
  </r>
  <r>
    <x v="768"/>
    <s v="University of British Columbia"/>
    <x v="3"/>
    <x v="32"/>
    <s v="202005VR3"/>
    <x v="18"/>
    <s v="Contribution of genetic variation of ACE2, the receptor for SARS-CoV-2, to COVID-19 disease expression and development of therapeutics"/>
    <n v="172414"/>
    <n v="0"/>
    <n v="0"/>
    <m/>
    <s v="1 yr 0 mth "/>
    <x v="8"/>
    <s v="INFECTIOUS AND PARASITIC; MOLECULAR BIOLOGY"/>
    <x v="43"/>
    <d v="2021-05-31T00:00:00"/>
    <n v="0"/>
    <s v="ACE2, SARS-CoV-2, genetics"/>
  </r>
  <r>
    <x v="769"/>
    <s v="University of British Columbia"/>
    <x v="3"/>
    <x v="32"/>
    <s v="202005VR3"/>
    <x v="18"/>
    <s v="Computer-aided discovery of synergistic drug combinations with Remdevisir for COVID-19 through mechanism-based drug repurposing and combinatorial organoid screening."/>
    <n v="2109120"/>
    <n v="0"/>
    <n v="0"/>
    <m/>
    <s v="1 yr 0 mth "/>
    <x v="7"/>
    <s v="DRUGS- PHARMACEUTICAL SCIENCE/CHEMISTRY &amp; NON MEDICAL USE OF DRUGS; INFECTIOUS AND PARASITIC; DRUG RESEARCH; INTERNATIONAL HEALTH"/>
    <x v="43"/>
    <d v="2021-05-31T00:00:00"/>
    <n v="0"/>
    <s v="drug combinations, COVID-19, organoid screening"/>
  </r>
  <r>
    <x v="576"/>
    <s v="University of British Columbia"/>
    <x v="3"/>
    <x v="32"/>
    <s v="202005VR3"/>
    <x v="18"/>
    <s v="Liver as a bioreactor for robust production of SARS-CoV-2 neutralizing antibodies"/>
    <n v="237445"/>
    <n v="0"/>
    <n v="0"/>
    <m/>
    <s v="1 yr 0 mth "/>
    <x v="7"/>
    <s v="DRUGS- PHARMACEUTICAL SCIENCE/CHEMISTRY &amp; NON MEDICAL USE OF DRUGS; VIRAL; DRUG RESEARCH; HEALTH RESEARCH"/>
    <x v="43"/>
    <d v="2021-05-31T00:00:00"/>
    <n v="0"/>
    <s v="liver, bioreactor, antibodies"/>
  </r>
  <r>
    <x v="594"/>
    <s v="University of British Columbia"/>
    <x v="3"/>
    <x v="32"/>
    <s v="202005VR3"/>
    <x v="18"/>
    <s v="The role of interleukin-10 responsiveness in lung inflammation in SARS CoV2 infection"/>
    <n v="150072"/>
    <n v="0"/>
    <n v="0"/>
    <m/>
    <s v="1 yr 0 mth "/>
    <x v="7"/>
    <s v="MULTIDISCIPLINARY; IMMUNOLOGY-TRANSPLANTATION; BIOCHEMISTRY"/>
    <x v="43"/>
    <d v="2021-05-31T00:00:00"/>
    <n v="1"/>
    <s v="interleukin-10, lung inflammation, SARS CoV2"/>
  </r>
  <r>
    <x v="596"/>
    <s v="University of British Columbia"/>
    <x v="3"/>
    <x v="32"/>
    <s v="202005VR3"/>
    <x v="18"/>
    <s v="Peptide macrocycle decoys against COVID-19 viral spike protein"/>
    <n v="167056"/>
    <n v="0"/>
    <n v="0"/>
    <m/>
    <s v="1 yr 0 mth "/>
    <x v="7"/>
    <s v="MULTIDISCIPLINARY; INFECTIOUS AND PARASITIC; BIOCHEMISTRY; MOLECULAR BIOLOGY"/>
    <x v="43"/>
    <d v="2021-05-31T00:00:00"/>
    <n v="0"/>
    <s v="peptide, macrocycle, spike protein"/>
  </r>
  <r>
    <x v="770"/>
    <s v="University of British Columbia"/>
    <x v="3"/>
    <x v="32"/>
    <s v="202005VR3"/>
    <x v="18"/>
    <s v="Bespoke transition state analog inhibitors of SARS-CoV-2 3CL and PL proteases"/>
    <n v="403065"/>
    <n v="0"/>
    <n v="0"/>
    <m/>
    <s v="1 yr 0 mth "/>
    <x v="7"/>
    <s v="INFECTIOUS AND PARASITIC; DRUGS- PHARMACEUTICAL SCIENCE/CHEMISTRY &amp; NON MEDICAL USE OF DRUGS; DRUG RESEARCH; BIOPHYSICS"/>
    <x v="43"/>
    <d v="2021-05-31T00:00:00"/>
    <n v="0"/>
    <s v="transition state, inhibitors, proteases"/>
  </r>
  <r>
    <x v="771"/>
    <s v="University of Calgary"/>
    <x v="1"/>
    <x v="32"/>
    <s v="202005VR3"/>
    <x v="18"/>
    <s v="Imaging COVID-19 Lungs to Uncover Therapies"/>
    <n v="1271404"/>
    <n v="0"/>
    <n v="0"/>
    <m/>
    <s v="1 yr 0 mth "/>
    <x v="7"/>
    <s v="INFECTIOUS AND PARASITIC; VIRAL; IMAGING; IMMUNOLOGY-TRANSPLANTATION"/>
    <x v="43"/>
    <d v="2021-05-31T00:00:00"/>
    <n v="0"/>
    <s v="Imaging, COVID-19, Lungs"/>
  </r>
  <r>
    <x v="772"/>
    <s v="University of Guelph"/>
    <x v="0"/>
    <x v="32"/>
    <s v="202005VR3"/>
    <x v="18"/>
    <s v="Identification and validation of nutraceuticals that prevent SARS-CoV-2 infection"/>
    <n v="211250"/>
    <n v="0"/>
    <n v="0"/>
    <m/>
    <s v="1 yr 0 mth "/>
    <x v="7"/>
    <s v="VIRAL; DRUG RESEARCH"/>
    <x v="43"/>
    <d v="2021-05-31T00:00:00"/>
    <n v="0"/>
    <s v="nutraceuticals, SARS-CoV-2, infection"/>
  </r>
  <r>
    <x v="773"/>
    <s v="University of Manitoba"/>
    <x v="4"/>
    <x v="32"/>
    <s v="202005VR3"/>
    <x v="18"/>
    <s v="ANTI-THROMBOTIC THERAPY TO AMELIORATE COMPLICATIONS OF COVID-19 (ATTACC): A randomized, international, multi-centre, adaptive, controlled clinical trial"/>
    <n v="3573336"/>
    <n v="0"/>
    <n v="0"/>
    <m/>
    <s v="1 yr 0 mth "/>
    <x v="11"/>
    <s v="INFECTIOUS AND PARASITIC; HEALTH RESEARCH"/>
    <x v="43"/>
    <d v="2021-05-31T00:00:00"/>
    <n v="0"/>
    <s v="anti-thrombotic, COVID-19, clinical trial"/>
  </r>
  <r>
    <x v="774"/>
    <s v="University of Manitoba"/>
    <x v="4"/>
    <x v="32"/>
    <s v="202005VR3"/>
    <x v="18"/>
    <s v="Integrated multi-omic delineation of SARS-CoV-2-dysregulated cellular processes"/>
    <n v="790162"/>
    <n v="0"/>
    <n v="0"/>
    <m/>
    <s v="1 yr 0 mth "/>
    <x v="7"/>
    <s v="VIRAL; INFECTIOUS AND PARASITIC; VIROLOGY; CELL BIOLOGY"/>
    <x v="43"/>
    <d v="2021-05-31T00:00:00"/>
    <n v="0"/>
    <s v="multi-omic, SARS-CoV-2, cellular processes"/>
  </r>
  <r>
    <x v="775"/>
    <s v="University of Saskatchewan"/>
    <x v="8"/>
    <x v="32"/>
    <s v="202005VR3"/>
    <x v="18"/>
    <s v="BLT-Lung mice for the rapid evaluation of COVID-19 therapeutics"/>
    <n v="267258"/>
    <n v="0"/>
    <n v="0"/>
    <m/>
    <s v="1 yr 0 mth "/>
    <x v="7"/>
    <s v="INFECTIOUS AND PARASITIC; VIRAL; DRUG RESEARCH; VIROLOGY"/>
    <x v="43"/>
    <d v="2021-05-31T00:00:00"/>
    <n v="0"/>
    <s v="BLT, COVID-19, mice"/>
  </r>
  <r>
    <x v="776"/>
    <s v="University of Saskatchewan"/>
    <x v="8"/>
    <x v="32"/>
    <s v="202005VR3"/>
    <x v="18"/>
    <s v="SARS-CoV2 therapeutic discovery through genetic screens and repurposing drugs that target essential virus-host interactions."/>
    <n v="449276"/>
    <n v="0"/>
    <n v="0"/>
    <m/>
    <s v="1 yr 0 mth "/>
    <x v="7"/>
    <s v="VIRAL; INFECTIOUS AND PARASITIC; VIROLOGY; DRUG RESEARCH"/>
    <x v="43"/>
    <d v="2021-05-31T00:00:00"/>
    <n v="0"/>
    <s v="SARS-CoV2, genetic screens, virus-host interactions"/>
  </r>
  <r>
    <x v="777"/>
    <s v="Dalhousie University (Nova Scotia)"/>
    <x v="6"/>
    <x v="33"/>
    <s v="202005VR1"/>
    <x v="19"/>
    <s v="Expression and Purification of COVID19 Virus Spike (S) Protein for Diagnostics and Vaccines"/>
    <n v="138097"/>
    <n v="0"/>
    <n v="0"/>
    <m/>
    <s v="1 yr 0 mth "/>
    <x v="7"/>
    <s v="VIRAL; INFECTIOUS AND PARASITIC; VIROLOGY; MOLECULAR BIOLOGY"/>
    <x v="43"/>
    <d v="2021-05-31T00:00:00"/>
    <n v="0"/>
    <s v="COVID19, Spike Protein, Diagnostics"/>
  </r>
  <r>
    <x v="778"/>
    <s v="McMaster University"/>
    <x v="0"/>
    <x v="33"/>
    <s v="202005VR1"/>
    <x v="19"/>
    <s v="Rapid bench-to-human development of safe and effective aerosol vaccine strategies against Covid-19"/>
    <n v="1920985"/>
    <n v="0"/>
    <n v="0"/>
    <m/>
    <s v="1 yr 0 mth "/>
    <x v="7"/>
    <s v="INFECTIOUS AND PARASITIC; RESPIRATION; HEALTH RESEARCH"/>
    <x v="43"/>
    <d v="2021-05-31T00:00:00"/>
    <n v="2"/>
    <s v="aerosol, vaccine, Covid-19"/>
  </r>
  <r>
    <x v="17"/>
    <s v="Memorial University of Newfoundland"/>
    <x v="5"/>
    <x v="33"/>
    <s v="202005VR1"/>
    <x v="19"/>
    <s v="Characterization of Cellular and Humoral Immunity Against SARS-CoV-2"/>
    <n v="0"/>
    <n v="0"/>
    <n v="497175"/>
    <s v="Public Health Agency of Canada"/>
    <s v="1 yr 0 mth "/>
    <x v="7"/>
    <s v="VIRAL; HEALTH PROMOTION; IMMUNOLOGY-TRANSPLANTATION; VIROLOGY"/>
    <x v="42"/>
    <d v="2021-08-31T00:00:00"/>
    <n v="0"/>
    <s v="Cellular immunity, Humoral immunity, SARS-CoV-2"/>
  </r>
  <r>
    <x v="779"/>
    <s v="Ottawa Hospital Research Institute"/>
    <x v="0"/>
    <x v="33"/>
    <s v="202005VR1"/>
    <x v="19"/>
    <s v="Development of Vaccines to Prevent SARS-CoV-2 Infection of High Risk Individuals"/>
    <n v="1936150"/>
    <n v="0"/>
    <n v="0"/>
    <m/>
    <s v="1 yr 0 mth "/>
    <x v="7"/>
    <s v="DRUGS- PHARMACEUTICAL SCIENCE/CHEMISTRY &amp; NON MEDICAL USE OF DRUGS; DRUG RESEARCH"/>
    <x v="43"/>
    <d v="2021-05-31T00:00:00"/>
    <n v="1"/>
    <s v="Vaccines,SARS-CoV-2,Infection"/>
  </r>
  <r>
    <x v="166"/>
    <s v="Université du Québec à Montréal"/>
    <x v="2"/>
    <x v="33"/>
    <s v="202005VR1"/>
    <x v="19"/>
    <s v="SARS-CoV-2 immunization strategies to enhance protective immunity with reduced risk of antibody-dependent enhancement (ADE)"/>
    <n v="622782"/>
    <n v="0"/>
    <n v="0"/>
    <m/>
    <s v="1 yr 0 mth "/>
    <x v="7"/>
    <s v="VIRAL; PNEUMONIA; VIROLOGY; HEALTH RESEARCH"/>
    <x v="43"/>
    <d v="2021-05-31T00:00:00"/>
    <n v="2"/>
    <s v="SARS-CoV-2, immunization, antibody-dependent enhancement"/>
  </r>
  <r>
    <x v="780"/>
    <s v="University of Alberta"/>
    <x v="1"/>
    <x v="33"/>
    <s v="202005VR1"/>
    <x v="19"/>
    <s v="Rapid Prototyping and Deployment of a Therapeutic Pan-Coronavirus Fusogenix DNA Vaccine Engineered to Eliminate ADE"/>
    <n v="4175000"/>
    <n v="0"/>
    <n v="0"/>
    <m/>
    <s v="1 yr 0 mth "/>
    <x v="7"/>
    <s v="INFECTIOUS AND PARASITIC; VIROLOGY"/>
    <x v="43"/>
    <d v="2021-05-31T00:00:00"/>
    <n v="2"/>
    <s v="Prototyping, DNA vaccine, Fusogenix"/>
  </r>
  <r>
    <x v="781"/>
    <s v="University of Saskatchewan"/>
    <x v="8"/>
    <x v="33"/>
    <s v="202005VR1"/>
    <x v="19"/>
    <s v="Vaccine efficacy in nonhuman primates against SARS-CoV-2: protection, cross-protection and immune enhancement"/>
    <n v="1459325"/>
    <n v="0"/>
    <n v="0"/>
    <m/>
    <s v="1 yr 0 mth "/>
    <x v="7"/>
    <s v="VIRAL; PNEUMONIA; VIROLOGY; IMMUNOLOGY-TRANSPLANTATION"/>
    <x v="43"/>
    <d v="2021-05-31T00:00:00"/>
    <n v="0"/>
    <s v="Vaccine, SARS-CoV-2, primates"/>
  </r>
  <r>
    <x v="782"/>
    <s v="University of Toronto"/>
    <x v="0"/>
    <x v="33"/>
    <s v="202005VR1"/>
    <x v="19"/>
    <s v="Development of safe and effective vaccines against COVID-19"/>
    <n v="416483"/>
    <n v="0"/>
    <n v="0"/>
    <m/>
    <s v="1 yr 0 mth "/>
    <x v="7"/>
    <s v="INFECTIOUS AND PARASITIC; VIRAL; VIROLOGY; IMMUNOLOGY-TRANSPLANTATION"/>
    <x v="43"/>
    <d v="2021-05-31T00:00:00"/>
    <n v="2"/>
    <s v="vaccines, COVID-19"/>
  </r>
  <r>
    <x v="783"/>
    <s v="University of Toronto"/>
    <x v="0"/>
    <x v="33"/>
    <s v="202005VR1"/>
    <x v="19"/>
    <s v="Towards a comprehensive understanding of adaptive immunity to SARS-CoV-2"/>
    <n v="1069730"/>
    <n v="0"/>
    <n v="0"/>
    <m/>
    <s v="1 yr 0 mth "/>
    <x v="7"/>
    <s v="INFECTIOUS AND PARASITIC; VIRAL; IMMUNOLOGY-TRANSPLANTATION"/>
    <x v="43"/>
    <d v="2021-05-31T00:00:00"/>
    <n v="0"/>
    <s v="adaptive immunity, SARS-CoV-2"/>
  </r>
  <r>
    <x v="401"/>
    <s v="McGill University"/>
    <x v="2"/>
    <x v="34"/>
    <s v="200809MUS"/>
    <x v="12"/>
    <s v="Image guided neurosurgery"/>
    <n v="100000"/>
    <n v="0"/>
    <n v="0"/>
    <m/>
    <s v="1 yr 0 mth "/>
    <x v="3"/>
    <s v="MUSCULO SKELETAL; SPINAL CORD DISEASE; NERVOUS SYSTEM; IMAGING"/>
    <x v="33"/>
    <d v="2009-12-31T00:00:00"/>
    <n v="0"/>
    <s v="Image, neurosurgery"/>
  </r>
  <r>
    <x v="784"/>
    <s v="University of British Columbia"/>
    <x v="3"/>
    <x v="34"/>
    <s v="200809MUS"/>
    <x v="6"/>
    <s v="CXC chemokines in basal cell carcinomas"/>
    <n v="84507"/>
    <n v="0"/>
    <n v="0"/>
    <m/>
    <s v="1 yr 0 mth "/>
    <x v="0"/>
    <s v="SKIN AND SUBCUTANEOUS TISSUS; NEOPLASMS; CANCER; CELL BIOLOGY"/>
    <x v="33"/>
    <d v="2009-12-31T00:00:00"/>
    <n v="0"/>
    <s v="CXC chemokines, basal cell carcinoma"/>
  </r>
  <r>
    <x v="340"/>
    <s v="Centre hospitalier de l'Université de Montréal (CHUM)"/>
    <x v="2"/>
    <x v="35"/>
    <s v="201203IPR"/>
    <x v="7"/>
    <s v="Endovascular repair of abdominal aortic aneurysm : Enhanced guidance by elastic registration between CT-Scanner and fluoroscopy"/>
    <n v="274796"/>
    <n v="0"/>
    <n v="0"/>
    <m/>
    <s v="3 yrs 0 mth "/>
    <x v="11"/>
    <s v="ATHEROSCLEROSIS; MULTIDISCIPLINARY; CARDIOVASCULAR; IMAGING"/>
    <x v="21"/>
    <d v="2015-09-30T00:00:00"/>
    <n v="0"/>
    <s v="endovascular, aneurysm, elastic registration"/>
  </r>
  <r>
    <x v="785"/>
    <s v="Centre hospitalier de l'Université de Montréal (CHUM)"/>
    <x v="2"/>
    <x v="35"/>
    <s v="201503IPR"/>
    <x v="7"/>
    <s v="Pharmacological intervention to reduce ischemic injury: Development of a novel infarct-sparing agent"/>
    <n v="79872"/>
    <n v="0"/>
    <n v="0"/>
    <m/>
    <s v="1 yr 0 mth "/>
    <x v="11"/>
    <s v="MYOCARDIAL INFARCTION; DRUGS- PHARMACEUTICAL SCIENCE/CHEMISTRY &amp; NON MEDICAL USE OF DRUGS; CARDIOVASCULAR; DRUG RESEARCH"/>
    <x v="20"/>
    <d v="2016-09-30T00:00:00"/>
    <n v="0"/>
    <s v="ischemic injury, infarct-sparing, pharmacological"/>
  </r>
  <r>
    <x v="502"/>
    <s v="CIUSSS de l'Ouest-de-l'Ile-de-Montréal-Douglas Hospital"/>
    <x v="2"/>
    <x v="35"/>
    <s v="201503IPR"/>
    <x v="7"/>
    <s v="Aripiprazole Long Acting Injectable (ALAI), its potential enhancing effect on memory and associated neural structures: A longitudinal brain imaging study in first-episode psychosis"/>
    <n v="568337"/>
    <n v="0"/>
    <n v="0"/>
    <m/>
    <s v="5 yrs 0 mth "/>
    <x v="3"/>
    <s v="SCHIZOPHRENIA; MENTAL HEALTH; IMAGING"/>
    <x v="20"/>
    <d v="2021-09-30T00:00:00"/>
    <n v="0"/>
    <s v="Aripiprazole, Injectable, Brain imaging"/>
  </r>
  <r>
    <x v="786"/>
    <s v="Dalhousie University (Nova Scotia)"/>
    <x v="6"/>
    <x v="35"/>
    <s v="201303IPR"/>
    <x v="7"/>
    <s v="Preventing Respiratory Syncytial Virus (RSV) infection with a novel antigen-adjuvant platform"/>
    <n v="193512"/>
    <n v="0"/>
    <n v="0"/>
    <m/>
    <s v="2 yrs 0 mth "/>
    <x v="7"/>
    <s v="INFECTIOUS AND PARASITIC; HEALTH RESEARCH"/>
    <x v="24"/>
    <d v="2015-09-30T00:00:00"/>
    <n v="0"/>
    <s v="Respiratory Syncytial Virus, antigen, adjuvant"/>
  </r>
  <r>
    <x v="787"/>
    <s v="Hospital for Sick Children (Toronto)"/>
    <x v="0"/>
    <x v="35"/>
    <s v="201209IPR"/>
    <x v="7"/>
    <s v="Discovery and Development of Small Molecule Toxin Antagonists to Treat C. difficile-Associated Disease"/>
    <n v="499795"/>
    <n v="0"/>
    <n v="0"/>
    <m/>
    <s v="5 yrs 0 mth "/>
    <x v="7"/>
    <s v="DRUGS- PHARMACEUTICAL SCIENCE/CHEMISTRY &amp; NON MEDICAL USE OF DRUGS; GASTRO-INTESTINAL DISEASE; DRUG RESEARCH; CELL BIOLOGY"/>
    <x v="15"/>
    <d v="2018-03-31T00:00:00"/>
    <n v="6"/>
    <s v="Small Molecule, Toxin, C. difficile"/>
  </r>
  <r>
    <x v="788"/>
    <s v="London Health Sciences Centre Res. Inc. (Ont.)"/>
    <x v="0"/>
    <x v="35"/>
    <s v="201403IPR"/>
    <x v="7"/>
    <s v="Proportional Assist Ventilation for Minimizing the Duration of Mechanical Ventilation"/>
    <n v="140952"/>
    <n v="0"/>
    <n v="0"/>
    <m/>
    <s v="3 yrs 0 mth "/>
    <x v="11"/>
    <s v="RESPIRATION; HEALTH CARE DELIVERY; HEALTH RESEARCH"/>
    <x v="26"/>
    <d v="2017-09-30T00:00:00"/>
    <n v="0"/>
    <s v="Proportional Assist, Ventilation, Mechanical"/>
  </r>
  <r>
    <x v="789"/>
    <s v="McMaster University"/>
    <x v="0"/>
    <x v="35"/>
    <s v="201109IPR"/>
    <x v="7"/>
    <s v="A randomized trial of ThrOmbectomy vs. PCI Alone for STEMI (TOTAL trial)"/>
    <n v="796316"/>
    <n v="0"/>
    <n v="0"/>
    <m/>
    <s v="3 yrs 6 mths "/>
    <x v="11"/>
    <s v="CORONARY CIRCULATION (INCL. INSUFFICIENCY); CARDIOVASCULAR"/>
    <x v="28"/>
    <d v="2015-09-30T00:00:00"/>
    <n v="0"/>
    <s v="Thrombectomy, PCI, STEMI"/>
  </r>
  <r>
    <x v="790"/>
    <s v="McMaster University"/>
    <x v="0"/>
    <x v="35"/>
    <s v="201109IPR"/>
    <x v="7"/>
    <s v="A randomized double-blind placebo-controlled trial for the evaluation of a polypill, a low dose aspirin and vitamin D supplementation in primary prevention to reduce cardiovascular disease (CVD) outcomes - The International Polycap Study 3 (TIPS-3)"/>
    <n v="810452"/>
    <n v="0"/>
    <n v="0"/>
    <m/>
    <s v="5 yrs 0 mth "/>
    <x v="11"/>
    <s v="POPULATION HEALTH; CARDIOVASCULAR; CANCER"/>
    <x v="28"/>
    <d v="2017-03-31T00:00:00"/>
    <n v="0"/>
    <s v="polypill, aspirin, cardiovascular disease"/>
  </r>
  <r>
    <x v="791"/>
    <s v="McMaster University"/>
    <x v="0"/>
    <x v="35"/>
    <s v="201203IPR"/>
    <x v="7"/>
    <s v="Prevalence of Sub-Clinical Atrial Fibrillation in Patients with Cardiovascular Risk Factors Detected Using an Implantable Loop Recorder (ASSERT-2)"/>
    <n v="136535"/>
    <n v="0"/>
    <n v="0"/>
    <m/>
    <s v="3 yrs 0 mth "/>
    <x v="11"/>
    <s v="ARRHYTHMIAS; STROKE, HEART FAILURE"/>
    <x v="21"/>
    <d v="2015-09-30T00:00:00"/>
    <n v="0"/>
    <s v="Atrial Fibrillation, Implantable Loop Recorder, Cardiovascular Risk"/>
  </r>
  <r>
    <x v="792"/>
    <s v="McMaster University"/>
    <x v="0"/>
    <x v="35"/>
    <s v="201209IPR"/>
    <x v="7"/>
    <s v="Integration of clinical, biomarker, and genetic data for prediction of adverse outcomes in diabetes."/>
    <n v="999330"/>
    <n v="0"/>
    <n v="0"/>
    <m/>
    <s v="4 yrs 0 mth "/>
    <x v="4"/>
    <s v="DIABETES MELLITUS; METABOLISM/DIABETES; GENETICS"/>
    <x v="15"/>
    <d v="2017-03-31T00:00:00"/>
    <n v="3"/>
    <s v="clinical, biomarker, genetics"/>
  </r>
  <r>
    <x v="793"/>
    <s v="McMaster University"/>
    <x v="0"/>
    <x v="35"/>
    <s v="201503IPR"/>
    <x v="7"/>
    <s v="Development of peptide immunotherapy for Rheumatoid Arthritis: Identification and validation of T cell epitopes from citrullinated auto-antigens."/>
    <n v="295386"/>
    <n v="0"/>
    <n v="0"/>
    <m/>
    <s v="3 yrs 0 mth "/>
    <x v="0"/>
    <s v="ARTHRITIS/OSTEOARTHRITIS; MUSCLE, BONE, OR JOINT; IMMUNOLOGY-TRANSPLANTATION"/>
    <x v="20"/>
    <d v="2018-09-30T00:00:00"/>
    <n v="0"/>
    <s v="peptide, immunotherapy, citrullinated"/>
  </r>
  <r>
    <x v="794"/>
    <s v="Montreal Heart Institute"/>
    <x v="2"/>
    <x v="35"/>
    <s v="201303IPR"/>
    <x v="7"/>
    <s v="Immediate vs. Delayed Stenting after Primary Percutaneous Reperfusion in ST Elevation Myocardial Infarction"/>
    <n v="211072"/>
    <n v="0"/>
    <n v="0"/>
    <m/>
    <s v="3 yrs 0 mth "/>
    <x v="11"/>
    <s v="CARDIOLOGY; CARDIOVASCULAR"/>
    <x v="24"/>
    <d v="2016-09-30T00:00:00"/>
    <n v="0"/>
    <s v="stenting, reperfusion, myocardial infarction"/>
  </r>
  <r>
    <x v="795"/>
    <s v="Ottawa Heart Institute Research Corporation (Ontario)"/>
    <x v="0"/>
    <x v="35"/>
    <s v="201509IPR"/>
    <x v="7"/>
    <s v="Developing Novel Therapeutic Targets for Heart Failure"/>
    <n v="525000"/>
    <n v="0"/>
    <n v="0"/>
    <m/>
    <s v="5 yrs 0 mth "/>
    <x v="11"/>
    <s v="STROKE, HEART FAILURE; CARDIOLOGY; CARDIOVASCULAR; AGING"/>
    <x v="16"/>
    <d v="2021-03-31T00:00:00"/>
    <n v="13"/>
    <s v="Therapeutic targets, Heart failure"/>
  </r>
  <r>
    <x v="796"/>
    <s v="Ottawa Hospital Research Institute"/>
    <x v="0"/>
    <x v="35"/>
    <s v="201109IPR"/>
    <x v="7"/>
    <s v="Development of a Therapeutic Oncolytic Poxvirus with Enhanced Systemic Delivery and Potency"/>
    <n v="968389"/>
    <n v="0"/>
    <n v="0"/>
    <m/>
    <s v="4 yrs 0 mth "/>
    <x v="1"/>
    <s v="CANCER THERAPY GENERAL; VIRAL; CANCER; MOLECULAR BIOLOGY"/>
    <x v="28"/>
    <d v="2016-03-31T00:00:00"/>
    <n v="17"/>
    <s v="Oncolytic Poxvirus, Systemic Delivery, Potency"/>
  </r>
  <r>
    <x v="797"/>
    <s v="Queen's University (Kingston, Ontario)"/>
    <x v="0"/>
    <x v="35"/>
    <s v="201403IPR"/>
    <x v="7"/>
    <s v="Evaluation of innovative therapeutic strategies for hemophilia A in a unique hemophilic dog colony."/>
    <n v="390000"/>
    <n v="0"/>
    <n v="0"/>
    <m/>
    <s v="3 yrs 0 mth "/>
    <x v="11"/>
    <s v="BLOOD; CLOTTING DEFECTS/THROMBOSIS; GENETICS"/>
    <x v="26"/>
    <d v="2017-09-30T00:00:00"/>
    <n v="0"/>
    <s v="hemophilia A, therapeutic strategies, dog colony"/>
  </r>
  <r>
    <x v="798"/>
    <s v="Queen's University (Kingston, Ontario)"/>
    <x v="0"/>
    <x v="35"/>
    <s v="201409IPR"/>
    <x v="7"/>
    <s v="Optimizing Contemporary Sequential Mapping of Atrial Fibrillation Signals as a Strategy to Identify Novel Targets for Ablation"/>
    <n v="232748"/>
    <n v="6041"/>
    <n v="0"/>
    <m/>
    <s v="4 yrs 0 mth "/>
    <x v="11"/>
    <s v="ARRHYTHMIAS; CARDIOLOGY; CARDIOVASCULAR"/>
    <x v="14"/>
    <d v="2019-03-31T00:00:00"/>
    <n v="2"/>
    <s v="Atrial Fibrillation, Sequential Mapping, Ablation"/>
  </r>
  <r>
    <x v="799"/>
    <s v="Research Institute of the McGill University Health Centre"/>
    <x v="2"/>
    <x v="35"/>
    <s v="201303IPR"/>
    <x v="7"/>
    <s v="Understanding the unusual effectiveness of Virus-Like Particle (VLP) vaccines made in plants"/>
    <n v="591600"/>
    <n v="0"/>
    <n v="0"/>
    <m/>
    <s v="3 yrs 0 mth "/>
    <x v="7"/>
    <s v="INFECTIOUS AND PARASITIC; VIRAL"/>
    <x v="24"/>
    <d v="2016-09-30T00:00:00"/>
    <n v="1"/>
    <s v="Virus-Like Particle, vaccines, plants"/>
  </r>
  <r>
    <x v="799"/>
    <s v="Research Institute of the McGill University Health Centre"/>
    <x v="2"/>
    <x v="35"/>
    <s v="201509IPR"/>
    <x v="7"/>
    <s v="Repurposing an Attenuated Salmonella typhimurium as a Novel Vector for Mucosal Vaccine Delivery"/>
    <n v="200000"/>
    <n v="0"/>
    <n v="0"/>
    <m/>
    <s v="2 yrs 0 mth "/>
    <x v="7"/>
    <s v="INFECTIOUS AND PARASITIC; PARASITIC; IMMUNOLOGY-TRANSPLANTATION; HEALTH RESEARCH"/>
    <x v="16"/>
    <d v="2018-03-31T00:00:00"/>
    <n v="3"/>
    <s v="Salmonella, vector, vaccine"/>
  </r>
  <r>
    <x v="470"/>
    <s v="Sinai Health System (Toronto)"/>
    <x v="0"/>
    <x v="35"/>
    <s v="201303IPR"/>
    <x v="7"/>
    <s v="Validation of two novel pancreatic cancer biomarkers: CUZD1 and LAMC2"/>
    <n v="519630"/>
    <n v="0"/>
    <n v="0"/>
    <m/>
    <s v="4 yrs 0 mth "/>
    <x v="1"/>
    <s v="GASTRO-INTESTINAL CANCER; NEOPLASMS; CANCER"/>
    <x v="24"/>
    <d v="2018-05-01T00:00:00"/>
    <n v="0"/>
    <s v="pancreatic cancer, biomarkers, CUZD1"/>
  </r>
  <r>
    <x v="800"/>
    <s v="Sinai Health System (Toronto)"/>
    <x v="0"/>
    <x v="35"/>
    <s v="201409IPR"/>
    <x v="7"/>
    <s v="Characterization of the bioenergetic and metabolic function of mitochondria isolated from oocyte precursor stem cells."/>
    <n v="911700"/>
    <n v="0"/>
    <n v="0"/>
    <m/>
    <s v="5 yrs 0 mth "/>
    <x v="10"/>
    <s v="INFERTILITY FEMALE; AGING; REPRODUCTION/PREGNANCY; CELL BIOLOGY"/>
    <x v="14"/>
    <d v="2020-03-31T00:00:00"/>
    <n v="0"/>
    <s v="mitochondria, bioenergetic, stem cells"/>
  </r>
  <r>
    <x v="801"/>
    <s v="Unity Health Toronto"/>
    <x v="0"/>
    <x v="35"/>
    <s v="201303IPR"/>
    <x v="7"/>
    <s v="The Peritoneal Dialysis Outcomes and Practice Patterns Study  (P-DOPPS)"/>
    <n v="500000"/>
    <n v="0"/>
    <n v="0"/>
    <m/>
    <s v="4 yrs 0 mth "/>
    <x v="4"/>
    <s v="POPULATION HEALTH; EPIDEMIOLOGY; RENAL FUNCTION, NEPHROLOGY, UROLOGY"/>
    <x v="24"/>
    <d v="2017-09-30T00:00:00"/>
    <n v="0"/>
    <s v="Peritoneal Dialysis, Outcomes, Practice Patterns"/>
  </r>
  <r>
    <x v="802"/>
    <s v="Unity Health Toronto"/>
    <x v="0"/>
    <x v="35"/>
    <s v="201409IPR"/>
    <x v="7"/>
    <s v="STandard versus Accelerated initiation of Renal Replacement Therapy in Acute Kidney Injury (STARRT-AKI)"/>
    <n v="220995"/>
    <n v="0"/>
    <n v="0"/>
    <m/>
    <s v="4 yrs 0 mth "/>
    <x v="4"/>
    <s v="MULTIDISCIPLINARY; RENAL FUNCTION, NEPHROLOGY, UROLOGY"/>
    <x v="14"/>
    <d v="2019-03-31T00:00:00"/>
    <n v="0"/>
    <s v="Renal Replacement Therapy, Acute Kidney Injury, STARRT-AKI"/>
  </r>
  <r>
    <x v="803"/>
    <s v="Université de Montréal"/>
    <x v="2"/>
    <x v="35"/>
    <s v="201403IPR"/>
    <x v="7"/>
    <s v="Exploring GPCR functional selectivity for anti-inflammatory drugs"/>
    <n v="116000"/>
    <n v="0"/>
    <n v="0"/>
    <m/>
    <s v="2 yrs 0 mth "/>
    <x v="8"/>
    <s v="CHRONIC INFLAMMATORY BOWEL DISEASE; ARTHRITIS/OSTEOARTHRITIS; DRUG RESEARCH; CELL BIOLOGY"/>
    <x v="26"/>
    <d v="2016-09-30T00:00:00"/>
    <n v="1"/>
    <s v="GPCR, selectivity, anti-inflammatory"/>
  </r>
  <r>
    <x v="804"/>
    <s v="University Health Network (Toronto)"/>
    <x v="0"/>
    <x v="35"/>
    <s v="201303IPR"/>
    <x v="7"/>
    <s v="Randomized controlled trial of the efficacy of pre-emptive tenofovir to prevent hepatitis B reactivation in patients who are anti-HBc antibody positive receiving curative intent rituximab-based chemotherapy for non-Hodgkin's lympohma"/>
    <n v="143445"/>
    <n v="0"/>
    <n v="0"/>
    <m/>
    <s v="3 yrs 0 mth "/>
    <x v="4"/>
    <s v="VIRAL; LIVER DISEASE; GASTROINTESTINAL (LIVER); VIROLOGY"/>
    <x v="24"/>
    <d v="2016-09-30T00:00:00"/>
    <n v="0"/>
    <s v="tenofovir, hepatitis B, rituximab"/>
  </r>
  <r>
    <x v="549"/>
    <s v="University Health Network (Toronto)"/>
    <x v="0"/>
    <x v="35"/>
    <s v="201309IPR"/>
    <x v="7"/>
    <s v="Targeting mitochondrial translation as a novel therapeutic strategy for AML"/>
    <n v="820000"/>
    <n v="0"/>
    <n v="0"/>
    <m/>
    <s v="5 yrs 0 mth "/>
    <x v="1"/>
    <s v="LEUKAEMIAS; CANCER THERAPY GENERAL; CANCER"/>
    <x v="11"/>
    <d v="2017-06-30T00:00:00"/>
    <n v="1"/>
    <s v="mitochondrial translation, AML"/>
  </r>
  <r>
    <x v="805"/>
    <s v="University Health Network (Toronto)"/>
    <x v="0"/>
    <x v="35"/>
    <s v="201403IPR"/>
    <x v="7"/>
    <s v="Long-term stability of local field potentials recorded from the subthalamic nucleus and effects of deep brain stimulation"/>
    <n v="270228"/>
    <n v="0"/>
    <n v="0"/>
    <m/>
    <s v="3 yrs 0 mth "/>
    <x v="3"/>
    <s v="PARKINSON'S DISEASE; MULTIPLE DISEASE RELEVANCE; NERVOUS SYSTEM; HEALTH RESEARCH"/>
    <x v="26"/>
    <d v="2017-09-30T00:00:00"/>
    <n v="0"/>
    <s v="local field potentials, subthalamic nucleus, deep brain stimulation"/>
  </r>
  <r>
    <x v="806"/>
    <s v="University Health Network (Toronto)"/>
    <x v="0"/>
    <x v="35"/>
    <s v="201509IPR"/>
    <x v="7"/>
    <s v="Clinical Investigation of Frameless, Adaptive, Image-guided Gamma Knife Radiosurgery"/>
    <n v="264656"/>
    <n v="2000"/>
    <n v="0"/>
    <m/>
    <s v="3 yrs 0 mth "/>
    <x v="1"/>
    <s v="BRAIN TUMORS THERAPY; CANCER THERAPY GENERAL; CANCER; NERVOUS SYSTEM"/>
    <x v="16"/>
    <d v="2019-03-31T00:00:00"/>
    <n v="0"/>
    <s v="Gamma Knife, Image-guided, Radiosurgery"/>
  </r>
  <r>
    <x v="582"/>
    <s v="University of British Columbia"/>
    <x v="3"/>
    <x v="35"/>
    <s v="201109IPR"/>
    <x v="7"/>
    <s v="Next generation patient-derived, genetically-defined prostate cancer xenograft models for anti- cancer drug development"/>
    <n v="375000"/>
    <n v="0"/>
    <n v="0"/>
    <m/>
    <s v="3 yrs 0 mth "/>
    <x v="1"/>
    <s v="PROSTATE AND BLADDER CANCER; PROSTATE AND BLADDER CANCER THERAPY; CANCER"/>
    <x v="28"/>
    <d v="2015-03-31T00:00:00"/>
    <n v="5"/>
    <s v="patient-derived, prostate cancer, xenograft"/>
  </r>
  <r>
    <x v="807"/>
    <s v="University of British Columbia"/>
    <x v="3"/>
    <x v="35"/>
    <s v="201203IPR"/>
    <x v="7"/>
    <s v="Discovery &amp; Development of Novel Small Molecule Inhibitors of Viroporin Proteins for the Treatment of Acute &amp; Chronic Viral Infections."/>
    <n v="576493"/>
    <n v="0"/>
    <n v="0"/>
    <m/>
    <s v="3 yrs 0 mth "/>
    <x v="7"/>
    <s v="INFECTIOUS AND PARASITIC; VIRAL; VIROLOGY; BIOPHYSICS"/>
    <x v="21"/>
    <d v="2015-09-30T00:00:00"/>
    <n v="0"/>
    <s v="Small Molecule, Viroporin Proteins, Viral Infections"/>
  </r>
  <r>
    <x v="808"/>
    <s v="University of British Columbia"/>
    <x v="3"/>
    <x v="35"/>
    <s v="201203IPR"/>
    <x v="7"/>
    <s v="Topical Granzyme B Inhibitor Research and Development"/>
    <n v="471851"/>
    <n v="0"/>
    <n v="0"/>
    <m/>
    <s v="3 yrs 0 mth "/>
    <x v="0"/>
    <s v="SKIN AND SUBCUTANEOUS TISSUS; AGING; DRUG RESEARCH"/>
    <x v="21"/>
    <d v="2015-09-30T00:00:00"/>
    <n v="9"/>
    <s v="Granzyme B, Inhibitor"/>
  </r>
  <r>
    <x v="576"/>
    <s v="University of British Columbia"/>
    <x v="3"/>
    <x v="35"/>
    <s v="201203IPR"/>
    <x v="7"/>
    <s v="Design of Lipid Nanoparticle Systems for the Systemic Delivery of siRNA"/>
    <n v="700000"/>
    <n v="0"/>
    <n v="0"/>
    <m/>
    <s v="5 yrs 0 mth "/>
    <x v="1"/>
    <s v="CANCER THERAPY GENERAL; DRUG RESEARCH; BIOCHEMISTRY"/>
    <x v="21"/>
    <d v="2017-09-30T00:00:00"/>
    <n v="17"/>
    <s v="Lipid Nanoparticle, siRNA, Delivery"/>
  </r>
  <r>
    <x v="42"/>
    <s v="University of British Columbia"/>
    <x v="3"/>
    <x v="35"/>
    <s v="201409IPR"/>
    <x v="7"/>
    <s v="Developing Technologies to Modulate Immunogenicity in Disease"/>
    <n v="750000"/>
    <n v="0"/>
    <n v="0"/>
    <m/>
    <s v="3 yrs 0 mth "/>
    <x v="7"/>
    <s v="DRUGS- PHARMACEUTICAL SCIENCE/CHEMISTRY &amp; NON MEDICAL USE OF DRUGS; CANCER THERAPY GENERAL; DRUG RESEARCH; IMMUNOLOGY-TRANSPLANTATION"/>
    <x v="14"/>
    <d v="2018-03-31T00:00:00"/>
    <n v="10"/>
    <s v="Immunogenicity, Modulation, Disease"/>
  </r>
  <r>
    <x v="809"/>
    <s v="University of British Columbia"/>
    <x v="3"/>
    <x v="35"/>
    <s v="201503IPR"/>
    <x v="7"/>
    <s v="A Defined Abeta Oligomer Epitope: Theranostic Applications"/>
    <n v="419232"/>
    <n v="0"/>
    <n v="0"/>
    <m/>
    <s v="3 yrs 0 mth "/>
    <x v="6"/>
    <s v="ALZHEIMER'S DISEASE; AGING; DRUG RESEARCH; NERVOUS SYSTEM"/>
    <x v="20"/>
    <d v="2018-09-30T00:00:00"/>
    <n v="15"/>
    <s v="Abeta, Oligomer, Epitope"/>
  </r>
  <r>
    <x v="582"/>
    <s v="University of British Columbia"/>
    <x v="3"/>
    <x v="35"/>
    <s v="201503IPR"/>
    <x v="7"/>
    <s v="Next generation patient-derived, genetically-defined kidney and bladder cancer xenograft models for anti-cancer drug development"/>
    <n v="489800"/>
    <n v="0"/>
    <n v="0"/>
    <m/>
    <s v="4 yrs 0 mth "/>
    <x v="1"/>
    <s v="PROSTATE AND BLADDER CANCER; PROSTATE AND BLADDER CANCER THERAPY; CANCER; HEALTH SERVICES RESEARCH"/>
    <x v="20"/>
    <d v="2019-09-30T00:00:00"/>
    <n v="1"/>
    <s v="kidney, bladder, xenograft"/>
  </r>
  <r>
    <x v="810"/>
    <s v="University of British Columbia"/>
    <x v="3"/>
    <x v="35"/>
    <s v="201509IPR"/>
    <x v="7"/>
    <s v="Application of antibody internalization domain to improve the efficacy and safety of Antibody Drug Conjugates"/>
    <n v="625000"/>
    <n v="0"/>
    <n v="0"/>
    <m/>
    <s v="5 yrs 0 mth "/>
    <x v="1"/>
    <s v="PROSTATE AND BLADDER CANCER; CANCER"/>
    <x v="16"/>
    <d v="2021-03-31T00:00:00"/>
    <n v="0"/>
    <s v="antibody, internalization, conjugates"/>
  </r>
  <r>
    <x v="811"/>
    <s v="University of Calgary"/>
    <x v="1"/>
    <x v="35"/>
    <s v="201403IPR"/>
    <x v="7"/>
    <s v="Risk Estimation Following Infarction Noninvasive Evaluation ICD efficacy (REFINE ICD) Trial."/>
    <n v="1248736"/>
    <n v="0"/>
    <n v="0"/>
    <m/>
    <s v="5 yrs 0 mth "/>
    <x v="11"/>
    <s v="CARDIOLOGY; ARRHYTHMIAS; CARDIOVASCULAR; HEALTH RESEARCH"/>
    <x v="26"/>
    <d v="2019-09-30T00:00:00"/>
    <n v="2"/>
    <s v="Risk, Infarction, Evaluation"/>
  </r>
  <r>
    <x v="812"/>
    <s v="University of Calgary"/>
    <x v="1"/>
    <x v="35"/>
    <s v="201509IPR"/>
    <x v="7"/>
    <s v="Pathogenesis of Hepatitis B Virus Infection in Non-Alcoholic Fatty Liver Disease"/>
    <n v="228746"/>
    <n v="0"/>
    <n v="0"/>
    <m/>
    <s v="3 yrs 0 mth "/>
    <x v="7"/>
    <s v="LIVER DISEASE; OBESITY; GASTROINTESTINAL (LIVER); HEALTH RESEARCH"/>
    <x v="16"/>
    <d v="2019-03-31T00:00:00"/>
    <n v="0"/>
    <s v="Hepatitis B, Virus Infection, Fatty Liver"/>
  </r>
  <r>
    <x v="813"/>
    <s v="University of Toronto"/>
    <x v="0"/>
    <x v="35"/>
    <s v="201209IPR"/>
    <x v="7"/>
    <s v="Toward epigenetic therapy for colon cancer"/>
    <n v="1016046"/>
    <n v="0"/>
    <n v="0"/>
    <m/>
    <s v="5 yrs 0 mth "/>
    <x v="1"/>
    <s v="GASTRO-INTESTINAL CANCER; GASTRO-INTESTINAL CANCER THERAPY; GENOMICS, PROTEOMICS, AND BIOINFORMATICS; CANCER"/>
    <x v="15"/>
    <d v="2018-03-31T00:00:00"/>
    <n v="0"/>
    <s v="epigenetic, colon cancer"/>
  </r>
  <r>
    <x v="814"/>
    <s v="University of Toronto"/>
    <x v="0"/>
    <x v="35"/>
    <s v="201309IPR"/>
    <x v="7"/>
    <s v="Defining the structural basis for LXR beta antagonism"/>
    <n v="126664"/>
    <n v="0"/>
    <n v="0"/>
    <m/>
    <s v="2 yrs 0 mth "/>
    <x v="4"/>
    <s v="DRUGS- PHARMACEUTICAL SCIENCE/CHEMISTRY &amp; NON MEDICAL USE OF DRUGS; DIABETES MELLITUS; DRUG RESEARCH; ENDOCRINOLOGY"/>
    <x v="11"/>
    <d v="2016-03-31T00:00:00"/>
    <n v="0"/>
    <s v="LXR, beta, antagonism"/>
  </r>
  <r>
    <x v="815"/>
    <s v="University of Toronto"/>
    <x v="0"/>
    <x v="35"/>
    <s v="201309IPR"/>
    <x v="7"/>
    <s v="Promoting neural regeneration with stem cell based therapies:  A novel source of autologous human neural stem cells for transplantation"/>
    <n v="1250000"/>
    <n v="0"/>
    <n v="0"/>
    <m/>
    <s v="5 yrs 0 mth "/>
    <x v="3"/>
    <s v="INJURY, REGENERATION; CELL BIOLOGY; NERVOUS SYSTEM"/>
    <x v="11"/>
    <d v="2019-03-31T00:00:00"/>
    <n v="1"/>
    <s v="neural regeneration, stem cells, transplantation"/>
  </r>
  <r>
    <x v="816"/>
    <s v="University of Waterloo (Ontario)"/>
    <x v="0"/>
    <x v="35"/>
    <s v="201203IPR"/>
    <x v="7"/>
    <s v="New strategies for overcoming bacterial resistance to antibiotics"/>
    <n v="200000"/>
    <n v="0"/>
    <n v="0"/>
    <m/>
    <s v="2 yrs 0 mth "/>
    <x v="7"/>
    <s v="INFECTIOUS AND PARASITIC; DRUG RESEARCH"/>
    <x v="21"/>
    <d v="2014-09-30T00:00:00"/>
    <n v="0"/>
    <s v="bacterial resistance, antibiotics"/>
  </r>
  <r>
    <x v="817"/>
    <s v="Centre for Addiction and Mental Health (Toronto)"/>
    <x v="0"/>
    <x v="36"/>
    <s v="201103ISO"/>
    <x v="7"/>
    <s v="A Study of H-Coil Repetitive Transcranial Magnetic Stimulation for Late-Life Depression"/>
    <n v="107757"/>
    <n v="0"/>
    <n v="0"/>
    <m/>
    <s v="4 yrs 0 mth "/>
    <x v="6"/>
    <s v="DEPRESSION; GERIATRICS; MENTAL HEALTH; AGING"/>
    <x v="23"/>
    <d v="2015-09-30T00:00:00"/>
    <n v="0"/>
    <s v="H-Coil, Transcranial Magnetic Stimulation, Depression"/>
  </r>
  <r>
    <x v="818"/>
    <s v="Centre hospitalier de l'Université de Montréal (CHUM)"/>
    <x v="2"/>
    <x v="36"/>
    <s v="200809ISO"/>
    <x v="7"/>
    <s v="Endovascular repair of abdominal aortic aneurysm: Enhanced planning, guidance and assessment by 2D/3D registration of fluoroscopic, CT, C-arm CT and virtual stent data"/>
    <n v="120845"/>
    <n v="0"/>
    <n v="0"/>
    <m/>
    <s v="3 yrs 0 mth "/>
    <x v="11"/>
    <s v="ATHEROSCLEROSIS; CARDIOVASCULAR; IMAGING"/>
    <x v="10"/>
    <d v="2012-03-31T00:00:00"/>
    <n v="2"/>
    <s v="endovascular, aneurysm, registration"/>
  </r>
  <r>
    <x v="819"/>
    <s v="Centre hospitalier de l'Université de Montréal (CHUM)"/>
    <x v="2"/>
    <x v="36"/>
    <s v="201003ISO"/>
    <x v="7"/>
    <s v="Telomere attrition rate as predictor of cardiovascular complications of type 2 diabetes"/>
    <n v="1454272"/>
    <n v="0"/>
    <n v="0"/>
    <m/>
    <s v="3 yrs 0 mth "/>
    <x v="11"/>
    <s v="CARDIOLOGY; DIABETES MELLITUS; CARDIOVASCULAR; AGING"/>
    <x v="5"/>
    <d v="2013-09-30T00:00:00"/>
    <n v="0"/>
    <s v="telomere, cardiovascular, diabetes"/>
  </r>
  <r>
    <x v="820"/>
    <s v="London Health Sciences Centre Res. Inc. (Ont.)"/>
    <x v="0"/>
    <x v="36"/>
    <s v="201103ISO"/>
    <x v="7"/>
    <s v="Randomized Controlled Trial of Bimodal Solution for Peritoneal Dialysis: 24-Hour Ultra-Filtration Efficiency Using Bimodal PD Solutions During the Long Dwell"/>
    <n v="24591"/>
    <n v="1303"/>
    <n v="0"/>
    <m/>
    <s v="1 yr 0 mth "/>
    <x v="4"/>
    <s v="DRUGS- PHARMACEUTICAL SCIENCE/CHEMISTRY &amp; NON MEDICAL USE OF DRUGS; GENITO/URINARY SYSTEM; HEALTH RESEARCH; RENAL FUNCTION, NEPHROLOGY, UROLOGY"/>
    <x v="23"/>
    <d v="2012-09-30T00:00:00"/>
    <n v="0"/>
    <s v="Peritoneal Dialysis, Ultra-Filtration, Bimodal Solutions"/>
  </r>
  <r>
    <x v="821"/>
    <s v="Ottawa Heart Institute Research Corporation (Ontario)"/>
    <x v="0"/>
    <x v="36"/>
    <s v="201009ISO"/>
    <x v="7"/>
    <s v="Vascular Health and Disease: New Concepts &amp; Therapeutic Opportunities"/>
    <n v="623749"/>
    <n v="0"/>
    <n v="0"/>
    <m/>
    <s v="5 yrs 0 mth "/>
    <x v="11"/>
    <s v="ATHEROSCLEROSIS; CARDIOLOGY; CARDIOVASCULAR; MOLECULAR BIOLOGY"/>
    <x v="27"/>
    <d v="2016-03-31T00:00:00"/>
    <n v="4"/>
    <s v="Vascular, Health, Disease"/>
  </r>
  <r>
    <x v="446"/>
    <s v="Polytechnique Montréal"/>
    <x v="2"/>
    <x v="36"/>
    <s v="201103ISO"/>
    <x v="7"/>
    <s v="Gene Delivery of Glucagon-like Peptide-1 (GLP-1) for the Treatment of Type 2 Diabetes"/>
    <n v="521739"/>
    <n v="0"/>
    <n v="0"/>
    <m/>
    <s v="3 yrs 0 mth "/>
    <x v="4"/>
    <s v="DIABETES MELLITUS; METABOLISM/DIABETES"/>
    <x v="23"/>
    <d v="2014-09-30T00:00:00"/>
    <n v="2"/>
    <s v="Gene delivery, GLP-1, diabetes"/>
  </r>
  <r>
    <x v="822"/>
    <s v="Queen's University (Kingston, Ontario)"/>
    <x v="0"/>
    <x v="36"/>
    <s v="200903ISO"/>
    <x v="7"/>
    <s v="Mechanistic basis for the metabolic differences between vitamin D2 and vitamin D3"/>
    <n v="84359"/>
    <n v="5000"/>
    <n v="0"/>
    <m/>
    <s v="1 yr 0 mth "/>
    <x v="4"/>
    <s v="ENDOCRINOLOGY; METABOLISM AND NUTRITION; BIOCHEMISTRY"/>
    <x v="4"/>
    <d v="2010-09-30T00:00:00"/>
    <n v="0"/>
    <s v="metabolic, vitamin D, D2, D3"/>
  </r>
  <r>
    <x v="799"/>
    <s v="Research Institute of the McGill University Health Centre"/>
    <x v="2"/>
    <x v="36"/>
    <s v="200909ISO"/>
    <x v="7"/>
    <s v="The next generation of vaccines: characterization of virus-like particle (VLP) vaccines made in plants."/>
    <n v="300000"/>
    <n v="0"/>
    <n v="0"/>
    <m/>
    <s v="2 yrs 0 mth "/>
    <x v="7"/>
    <s v="INFECTIOUS AND PARASITIC; VIRAL; IMMUNOLOGY-TRANSPLANTATION; VIROLOGY"/>
    <x v="22"/>
    <d v="2012-03-31T00:00:00"/>
    <n v="1"/>
    <s v="virus-like particle, vaccines, plants"/>
  </r>
  <r>
    <x v="823"/>
    <s v="Research Institute of the McGill University Health Centre"/>
    <x v="2"/>
    <x v="36"/>
    <s v="201009ISO"/>
    <x v="7"/>
    <s v="Role of endoglin in aberrant TGF-beta signaling in scleroderma"/>
    <n v="60000"/>
    <n v="0"/>
    <n v="0"/>
    <m/>
    <s v="2 yrs 0 mth "/>
    <x v="0"/>
    <s v="SKIN AND SUBCUTANEOUS TISSUS; ILL-DEFINED CONDITIONS; MOLECULAR BIOLOGY; CELL BIOLOGY"/>
    <x v="27"/>
    <d v="2013-03-31T00:00:00"/>
    <n v="0"/>
    <s v="endoglin, TGF-beta, scleroderma"/>
  </r>
  <r>
    <x v="824"/>
    <s v="Research Institute of the McGill University Health Centre"/>
    <x v="2"/>
    <x v="36"/>
    <s v="201103ISO"/>
    <x v="7"/>
    <s v="Molecular mechanism for immunoprotection and Treg induction by polyspecific immunoglobulins (IVIg)"/>
    <n v="165000"/>
    <n v="0"/>
    <n v="0"/>
    <m/>
    <s v="3 yrs 0 mth "/>
    <x v="11"/>
    <s v="ASTHMA; MULTIPLE DISEASE RELEVANCE; IMMUNOLOGY-TRANSPLANTATION; DRUG RESEARCH"/>
    <x v="23"/>
    <d v="2014-09-30T00:00:00"/>
    <n v="0"/>
    <s v="immunoprotection, Treg, immunoglobulins"/>
  </r>
  <r>
    <x v="825"/>
    <s v="Unity Health Toronto"/>
    <x v="0"/>
    <x v="36"/>
    <s v="201103ISO"/>
    <x v="7"/>
    <s v="Practice Pattern Variation in Discontinuing Mechanical Ventilation in Critically Ill Adults: An International Study."/>
    <n v="85000"/>
    <n v="0"/>
    <n v="0"/>
    <m/>
    <s v="3 yrs 0 mth "/>
    <x v="5"/>
    <s v="HEALTH CARE DELIVERY; RESPIRATION; INTERNATIONAL HEALTH"/>
    <x v="23"/>
    <d v="2014-09-30T00:00:00"/>
    <n v="0"/>
    <s v="Mechanical Ventilation, Practice Pattern, Critically Ill"/>
  </r>
  <r>
    <x v="826"/>
    <s v="Université Laval"/>
    <x v="2"/>
    <x v="36"/>
    <s v="200909ISO"/>
    <x v="7"/>
    <s v="Isolation of therapeutic fractions from intravenous immunoglobulins using the triple transgenic mouse model of Alzheimer's disease"/>
    <n v="70000"/>
    <n v="0"/>
    <n v="0"/>
    <m/>
    <s v="4 yrs 0 mth "/>
    <x v="3"/>
    <s v="ALZHEIMER'S DISEASE; BLOOD; DRUG RESEARCH; NERVOUS SYSTEM"/>
    <x v="22"/>
    <d v="2014-03-31T00:00:00"/>
    <n v="0"/>
    <s v="immunoglobulins, Alzheimer's, transgenic mouse"/>
  </r>
  <r>
    <x v="827"/>
    <s v="University of Alberta"/>
    <x v="1"/>
    <x v="36"/>
    <s v="201009ISO"/>
    <x v="7"/>
    <s v="Omega-3 Fatty Acids for Treatment of Intestinal Failure Associated Liver Disease: A Translational Research Study"/>
    <n v="131484"/>
    <n v="0"/>
    <n v="0"/>
    <m/>
    <s v="3 yrs 0 mth "/>
    <x v="4"/>
    <s v="LIVER DISEASE; MALNUTRITION; NUTRITION; GASTROINTESTINAL (LIVER)"/>
    <x v="27"/>
    <d v="2014-03-31T00:00:00"/>
    <n v="0"/>
    <s v="Omega-3, Fatty Acids, Liver Disease"/>
  </r>
  <r>
    <x v="828"/>
    <s v="University of Calgary"/>
    <x v="1"/>
    <x v="36"/>
    <s v="201003ISO"/>
    <x v="7"/>
    <s v="Potential of pathogen-specific egg yolk antibodies (IgY) for treating Clostridium difficile infections."/>
    <n v="162672"/>
    <n v="0"/>
    <n v="0"/>
    <m/>
    <s v="3 yrs 0 mth "/>
    <x v="7"/>
    <s v="INFECTIOUS AND PARASITIC; GASTRO-INTESTINAL DISEASE; BACTERIOLOGY; DRUG RESEARCH"/>
    <x v="5"/>
    <d v="2013-09-30T00:00:00"/>
    <n v="0"/>
    <s v="IgY, Clostridium difficile, antibodies"/>
  </r>
  <r>
    <x v="829"/>
    <s v="Hospital for Sick Children (Toronto)"/>
    <x v="0"/>
    <x v="37"/>
    <s v="201003IRO"/>
    <x v="7"/>
    <s v="Establishment of A New Database of Pediatric Laboratory Reference Intervals for Biomarkers of Pediatric Disease"/>
    <n v="66196"/>
    <n v="0"/>
    <n v="0"/>
    <m/>
    <s v="1 yr 0 mth "/>
    <x v="10"/>
    <s v="BLOOD; HEALTH SERVICES RESEARCH; BIOCHEMISTRY; POPULATION HEALTH"/>
    <x v="5"/>
    <d v="2011-09-30T00:00:00"/>
    <n v="0"/>
    <s v="database, biomarkers, pediatric disease"/>
  </r>
  <r>
    <x v="829"/>
    <s v="Hospital for Sick Children (Toronto)"/>
    <x v="0"/>
    <x v="37"/>
    <s v="201103IRO"/>
    <x v="7"/>
    <s v="CALIPER: A Canadian Initiative to Close the Critical Gaps in Pediatric Reference Intervals"/>
    <n v="66667"/>
    <n v="0"/>
    <n v="0"/>
    <m/>
    <s v="1 yr 0 mth "/>
    <x v="10"/>
    <s v="HEALTH CARE DELIVERY; HEALTH SERVICES RESEARCH; HEALTH RESEARCH; POPULATION HEALTH"/>
    <x v="23"/>
    <d v="2012-09-30T00:00:00"/>
    <n v="0"/>
    <s v="pediatric, reference intervals, gaps"/>
  </r>
  <r>
    <x v="830"/>
    <s v="McGill University"/>
    <x v="2"/>
    <x v="37"/>
    <s v="200903IRO"/>
    <x v="7"/>
    <s v="Therapeutic development of cystic fibrosis correctors"/>
    <n v="480000"/>
    <n v="0"/>
    <n v="0"/>
    <m/>
    <s v="2 yrs 0 mth "/>
    <x v="11"/>
    <s v="RESPIRATION; DRUGS- PHARMACEUTICAL SCIENCE/CHEMISTRY &amp; NON MEDICAL USE OF DRUGS; MOLECULAR BIOLOGY; HEALTH RESEARCH"/>
    <x v="4"/>
    <d v="2011-09-30T00:00:00"/>
    <n v="5"/>
    <s v="cystic fibrosis, correctors"/>
  </r>
  <r>
    <x v="831"/>
    <s v="McGill University"/>
    <x v="2"/>
    <x v="37"/>
    <s v="201009IRO"/>
    <x v="7"/>
    <s v="Effects of S1P receptor directed pharmaceutical agents on central nervous system myelination"/>
    <n v="178125"/>
    <n v="0"/>
    <n v="0"/>
    <m/>
    <s v="3 yrs 0 mth "/>
    <x v="3"/>
    <s v="MULTIPLE SCLEROSIS; NERVOUS SYSTEM; IMMUNOLOGY-TRANSPLANTATION"/>
    <x v="27"/>
    <d v="2014-03-31T00:00:00"/>
    <n v="0"/>
    <s v="S1P receptor, myelination, pharmaceutical agents"/>
  </r>
  <r>
    <x v="832"/>
    <s v="McMaster University"/>
    <x v="0"/>
    <x v="37"/>
    <s v="200909IRO"/>
    <x v="7"/>
    <s v="Revisiting the Pathophysiology of Immune Thrombocytopenic Purpura in the Era of Thrombopoietin Mimetics"/>
    <n v="152932"/>
    <n v="0"/>
    <n v="0"/>
    <m/>
    <s v="3 yrs 0 mth "/>
    <x v="11"/>
    <s v="BLOOD"/>
    <x v="22"/>
    <d v="2013-03-31T00:00:00"/>
    <n v="0"/>
    <s v="Immune Thrombocytopenic Purpura, Thrombopoietin Mimetics"/>
  </r>
  <r>
    <x v="797"/>
    <s v="Queen's University (Kingston, Ontario)"/>
    <x v="0"/>
    <x v="37"/>
    <s v="201103IRO"/>
    <x v="7"/>
    <s v="Evaluation of innovative therapeutic strategies for hemophilia A in a unique hemophilic dog colony."/>
    <n v="360000"/>
    <n v="0"/>
    <n v="0"/>
    <m/>
    <s v="3 yrs 0 mth "/>
    <x v="11"/>
    <s v="BLOOD; CLOTTING DEFECTS/THROMBOSIS; GENETICS"/>
    <x v="23"/>
    <d v="2014-09-30T00:00:00"/>
    <n v="0"/>
    <s v="hemophilia A, therapeutic strategies, dog colony"/>
  </r>
  <r>
    <x v="833"/>
    <s v="Research Institute of the McGill University Health Centre"/>
    <x v="2"/>
    <x v="37"/>
    <s v="200809IRO"/>
    <x v="7"/>
    <s v="Canadian Cohort Obstructive Lung Disease (CanCOLD)"/>
    <n v="427933"/>
    <n v="7000"/>
    <n v="0"/>
    <m/>
    <s v="2 yrs 0 mth "/>
    <x v="11"/>
    <s v="CHRONIC OBSTRUCTIVE LUNG DISEASE; POPULATION HEALTH; RESPIRATION"/>
    <x v="10"/>
    <d v="2011-03-31T00:00:00"/>
    <n v="0"/>
    <s v="Obstructive Lung Disease, Cohort, CanCOLD"/>
  </r>
  <r>
    <x v="833"/>
    <s v="Research Institute of the McGill University Health Centre"/>
    <x v="2"/>
    <x v="37"/>
    <s v="201009IRO"/>
    <x v="7"/>
    <s v="Canadian Cohort Obstructive Lung Disease (CanCOLD)"/>
    <n v="1051344"/>
    <n v="57500"/>
    <n v="0"/>
    <m/>
    <s v="2 yrs 6 mths "/>
    <x v="11"/>
    <s v="CHRONIC OBSTRUCTIVE LUNG DISEASE; POPULATION HEALTH; RESPIRATION"/>
    <x v="27"/>
    <d v="2013-03-31T00:00:00"/>
    <n v="0"/>
    <s v="Obstructive Lung Disease, Cohort, CanCOLD"/>
  </r>
  <r>
    <x v="834"/>
    <s v="Unity Health Toronto"/>
    <x v="0"/>
    <x v="37"/>
    <s v="200903IRO"/>
    <x v="7"/>
    <s v="Assessment of Cardiotoxicity by Cardiac MRI in Early Stage Breast Cancer Patients Receiving Adjuvant Trastuzumab: A Prospective Observational Pilot Study"/>
    <n v="37500"/>
    <n v="0"/>
    <n v="0"/>
    <m/>
    <s v="3 yrs 0 mth "/>
    <x v="1"/>
    <s v="BREAST CANCER THERAPY; STROKE, HEART FAILURE; CANCER; CARDIOVASCULAR"/>
    <x v="4"/>
    <d v="2012-09-30T00:00:00"/>
    <n v="0"/>
    <s v="Cardiac MRI, Cardiotoxicity, Breast Cancer"/>
  </r>
  <r>
    <x v="835"/>
    <s v="Universite Laval"/>
    <x v="2"/>
    <x v="37"/>
    <s v="200909IRO"/>
    <x v="7"/>
    <s v="Modulation de la pression arterielle par la NTPDase1 et les nucleotides extracellulaires"/>
    <n v="42500"/>
    <n v="0"/>
    <n v="0"/>
    <m/>
    <s v="2 yrs 0 mth "/>
    <x v="11"/>
    <s v="HYPERTENSION; CARDIOLOGY; CARDIOVASCULAR"/>
    <x v="22"/>
    <d v="2012-03-31T00:00:00"/>
    <n v="0"/>
    <s v="pressure, NTPDase1, nucleotides"/>
  </r>
  <r>
    <x v="836"/>
    <s v="Université Laval"/>
    <x v="2"/>
    <x v="37"/>
    <s v="201009IRO"/>
    <x v="7"/>
    <s v="Mechanisms of antiviral drug resistance in seasonal and pandemic influenza strains and evaluation of new therapeutic modalities"/>
    <n v="228975"/>
    <n v="0"/>
    <n v="0"/>
    <m/>
    <s v="3 yrs 0 mth "/>
    <x v="7"/>
    <s v="VIRAL; PNEUMONIA; VIROLOGY; RESPIRATION"/>
    <x v="27"/>
    <d v="2014-03-31T00:00:00"/>
    <n v="10"/>
    <s v="antiviral, drug resistance, influenza"/>
  </r>
  <r>
    <x v="837"/>
    <s v="Université Laval"/>
    <x v="2"/>
    <x v="37"/>
    <s v="201103IRO"/>
    <x v="7"/>
    <s v="Novel immunotherapies for treating Alzheimer's disease"/>
    <n v="571200"/>
    <n v="0"/>
    <n v="0"/>
    <m/>
    <s v="5 yrs 0 mth "/>
    <x v="3"/>
    <s v="ALZHEIMER'S DISEASE; AGING; NERVOUS SYSTEM; IMMUNOLOGY-TRANSPLANTATION"/>
    <x v="23"/>
    <d v="2016-09-30T00:00:00"/>
    <n v="0"/>
    <s v="immunotherapies, Alzheimer's"/>
  </r>
  <r>
    <x v="838"/>
    <s v="University Health Network (Toronto)"/>
    <x v="0"/>
    <x v="37"/>
    <s v="200903IRO"/>
    <x v="7"/>
    <s v="Radiation Therapy and Sorafenib for Primary and Metastatic Liver Cancer"/>
    <n v="357495"/>
    <n v="0"/>
    <n v="0"/>
    <m/>
    <s v="3 yrs 0 mth "/>
    <x v="1"/>
    <s v="GASTRO-INTESTINAL CANCER THERAPY; NEOPLASMS; CANCER; GASTROINTESTINAL (LIVER)"/>
    <x v="4"/>
    <d v="2012-09-30T00:00:00"/>
    <n v="0"/>
    <s v="Radiation therapy, Sorafenib, Liver cancer"/>
  </r>
  <r>
    <x v="764"/>
    <s v="University of Alberta"/>
    <x v="1"/>
    <x v="37"/>
    <s v="200903IRO"/>
    <x v="7"/>
    <s v="Studies on modulation of the innate immune response to HCV in chimeric mice"/>
    <n v="175000"/>
    <n v="0"/>
    <n v="0"/>
    <m/>
    <s v="2 yrs 0 mth "/>
    <x v="7"/>
    <s v="VIRAL; LIVER DISEASE; VIROLOGY; DRUG RESEARCH"/>
    <x v="4"/>
    <d v="2011-09-30T00:00:00"/>
    <n v="1"/>
    <s v="innate immune response, HCV, chimeric mice"/>
  </r>
  <r>
    <x v="839"/>
    <s v="University of British Columbia"/>
    <x v="3"/>
    <x v="37"/>
    <s v="200809IRO"/>
    <x v="7"/>
    <s v="Improved Screening Methods for CCR5-Antagonists Use by Ultra Deep Sequencing and Quantitative Population-Based Sequencing Techniques: Analyzes of the Phase III Human Clinical Trials of Maraviroc (08-09)."/>
    <n v="690659"/>
    <n v="0"/>
    <n v="0"/>
    <m/>
    <s v="3 yrs 0 mth "/>
    <x v="7"/>
    <s v="AIDS; EPIDEMIOLOGY; VIROLOGY; GENOMICS, PROTEOMICS, AND BIOINFORMATICS"/>
    <x v="10"/>
    <d v="2012-03-31T00:00:00"/>
    <n v="1"/>
    <s v="CCR5, sequencing, Maraviroc"/>
  </r>
  <r>
    <x v="840"/>
    <s v="University of British Columbia"/>
    <x v="3"/>
    <x v="37"/>
    <s v="200903IRO"/>
    <x v="7"/>
    <s v="HIV Drug Resistance: Transitioning to New Sequencing Technologies"/>
    <n v="63000"/>
    <n v="0"/>
    <n v="0"/>
    <m/>
    <s v="1 yr 6 mths "/>
    <x v="7"/>
    <s v="AIDS; EPIDEMIOLOGY; VIROLOGY; GENOMICS, PROTEOMICS, AND BIOINFORMATICS"/>
    <x v="4"/>
    <d v="2011-03-31T00:00:00"/>
    <n v="1"/>
    <s v="HIV, sequencing, resistance"/>
  </r>
  <r>
    <x v="841"/>
    <s v="University of Toronto"/>
    <x v="0"/>
    <x v="37"/>
    <s v="201103IRO"/>
    <x v="7"/>
    <s v="Metabotropic Glutamate and GABA Receptors in Neuroinflammation"/>
    <n v="193701"/>
    <n v="4785"/>
    <n v="0"/>
    <m/>
    <s v="3 yrs 0 mth "/>
    <x v="3"/>
    <s v="AUTISM; MENTAL DISABILITY; MENTAL HEALTH; DRUG RESEARCH"/>
    <x v="23"/>
    <d v="2014-09-30T00:00:00"/>
    <n v="1"/>
    <s v="Glutamate, GABA, Receptors"/>
  </r>
  <r>
    <x v="842"/>
    <s v="McGill University"/>
    <x v="2"/>
    <x v="38"/>
    <s v="201304OMI"/>
    <x v="20"/>
    <s v="CBRAIN: A national platform for neurodegenerative disease imaging data"/>
    <n v="225000"/>
    <n v="0"/>
    <n v="0"/>
    <m/>
    <s v="3 yrs 0 mth "/>
    <x v="3"/>
    <s v="ALZHEIMER'S DISEASE; AGING; IMAGING; GENOMICS, PROTEOMICS, AND BIOINFORMATICS"/>
    <x v="24"/>
    <d v="2016-09-30T00:00:00"/>
    <n v="0"/>
    <s v="neurodegenerative, imaging, data"/>
  </r>
  <r>
    <x v="843"/>
    <s v="Universite Laval"/>
    <x v="2"/>
    <x v="38"/>
    <s v="201304OMI"/>
    <x v="20"/>
    <s v="AD ontological architecture for neuroimaging datawarehouse: merging and establishing anatomical normative data from 17 datasets"/>
    <n v="212868"/>
    <n v="10000"/>
    <n v="0"/>
    <m/>
    <s v="3 yrs 0 mth "/>
    <x v="6"/>
    <s v="ALZHEIMER'S DISEASE; MULTIDISCIPLINARY; AGING; IMAGING"/>
    <x v="24"/>
    <d v="2016-09-30T00:00:00"/>
    <n v="0"/>
    <s v="ontology, neuroimaging, datawarehouse"/>
  </r>
  <r>
    <x v="562"/>
    <s v="University of Alberta"/>
    <x v="1"/>
    <x v="38"/>
    <s v="201304OMI"/>
    <x v="20"/>
    <s v="Integrated Software for the Assessment of Diffusion Tensor Imaging of Brain Wiring in Alzheimer's Disease and Dementia"/>
    <n v="215821"/>
    <n v="3000"/>
    <n v="0"/>
    <m/>
    <s v="3 yrs 0 mth "/>
    <x v="6"/>
    <s v="ALZHEIMER'S DISEASE; AGING; IMAGING; NERVOUS SYSTEM"/>
    <x v="24"/>
    <d v="2016-09-30T00:00:00"/>
    <n v="0"/>
    <s v="Diffusion Tensor Imaging, Brain Wiring, Alzheimer's Disease"/>
  </r>
  <r>
    <x v="844"/>
    <s v="Université Laval"/>
    <x v="2"/>
    <x v="39"/>
    <s v="201702OVV"/>
    <x v="21"/>
    <s v="Development of a safe, effective and clinically acceptable VSV-based HIV vaccine"/>
    <n v="3997503"/>
    <n v="0"/>
    <n v="0"/>
    <m/>
    <s v="3 yrs 0 mth "/>
    <x v="7"/>
    <s v="VIRAL; HEALTH RESEARCH; VIROLOGY"/>
    <x v="12"/>
    <d v="2020-03-31T00:00:00"/>
    <n v="5"/>
    <s v="VSV, HIV, vaccine"/>
  </r>
  <r>
    <x v="845"/>
    <s v="University of British Columbia"/>
    <x v="3"/>
    <x v="40"/>
    <s v="200809IHP"/>
    <x v="14"/>
    <s v="Statistical analysis of clinical lymphoma data for automated quality assurance of diagnosis and biomarker identification"/>
    <n v="68228"/>
    <n v="0"/>
    <n v="0"/>
    <m/>
    <s v="1 yr 0 mth "/>
    <x v="1"/>
    <s v="CANCER THERAPY GENERAL; HEALTH SERVICES RESEARCH; CANCER"/>
    <x v="33"/>
    <d v="2009-12-31T00:00:00"/>
    <n v="0"/>
    <s v="statistical analysis, lymphoma, biomarker"/>
  </r>
  <r>
    <x v="846"/>
    <s v="University of New Brunswick (Fredericton)"/>
    <x v="7"/>
    <x v="40"/>
    <s v="200809IHP"/>
    <x v="12"/>
    <s v="The Doctor is in the house: Validation of a toolkit for remote monitoring of progressive neuromuscular and neurological conditions"/>
    <n v="100000"/>
    <n v="0"/>
    <n v="0"/>
    <m/>
    <s v="1 yr 0 mth "/>
    <x v="3"/>
    <s v="MULTIPLE DISEASE RELEVANCE; AMYOTROPHIC LATERAL SCLEROSIS (ALS); HEALTH RESEARCH; MUSCLE, BONE, OR JOINT"/>
    <x v="33"/>
    <d v="2009-12-31T00:00:00"/>
    <n v="0"/>
    <s v="remote monitoring, neuromuscular, neurological"/>
  </r>
  <r>
    <x v="847"/>
    <s v="Centre for Addiction and Mental Health (Toronto)"/>
    <x v="0"/>
    <x v="41"/>
    <s v="201506EH1"/>
    <x v="22"/>
    <s v="Cognitive Behavior Therapy for Anxious and Depressed Youth: Improving Outcomes through Mobile Technology"/>
    <n v="728345"/>
    <n v="0"/>
    <n v="0"/>
    <m/>
    <s v="4 yrs 0 mth "/>
    <x v="10"/>
    <s v="MENTAL AND BEHAVIOURAL DISEASES; HEALTH CARE DELIVERY; MENTAL HEALTH; PSYCHOSOCIAL/HEALTH BEHAVIOURAL RES."/>
    <x v="20"/>
    <d v="2019-09-30T00:00:00"/>
    <n v="0"/>
    <s v="Cognitive Behavior Therapy, Mobile Technology, Youth"/>
  </r>
  <r>
    <x v="848"/>
    <s v="Dalhousie University (Nova Scotia)"/>
    <x v="6"/>
    <x v="41"/>
    <s v="201506EH1"/>
    <x v="22"/>
    <s v="Teacher Help: Novel technologies for meeting the immediate needs of youth with mental health disorders in Canada"/>
    <n v="297200"/>
    <n v="0"/>
    <n v="0"/>
    <m/>
    <s v="3 yrs 0 mth "/>
    <x v="10"/>
    <s v="MENTAL AND BEHAVIOURAL DISEASES; PSYCHO-SOCIAL AND BEHAVIOURAL RESEARCH; MENTAL HEALTH; HEALTH SERVICES RESEARCH"/>
    <x v="20"/>
    <d v="2018-09-30T00:00:00"/>
    <n v="0"/>
    <s v="teacher, mental health, youth"/>
  </r>
  <r>
    <x v="849"/>
    <s v="University of Prince Edward Island (Charlottetown)"/>
    <x v="9"/>
    <x v="41"/>
    <s v="201506EH1"/>
    <x v="22"/>
    <s v="Computer Based Training for Cognitive Behavioral Therapy (CBT4CBT) for Improved  Addiction Treatment in Canadian Youth"/>
    <n v="618797"/>
    <n v="0"/>
    <n v="0"/>
    <m/>
    <s v="4 yrs 0 mth "/>
    <x v="3"/>
    <s v="MENTAL AND BEHAVIOURAL DISEASES; PSYCHO-SOCIAL AND BEHAVIOURAL RESEARCH; MENTAL HEALTH; HEALTH RESEARCH"/>
    <x v="20"/>
    <d v="2019-09-30T00:00:00"/>
    <n v="0"/>
    <s v="Computer, Behavioral Therapy, Addiction"/>
  </r>
  <r>
    <x v="850"/>
    <s v="York University (Toronto, Ontario)"/>
    <x v="0"/>
    <x v="41"/>
    <s v="201506EH1"/>
    <x v="22"/>
    <s v="Students Mental Health: Virtual Support on Campus"/>
    <n v="410732"/>
    <n v="0"/>
    <n v="0"/>
    <m/>
    <s v="3 yrs 0 mth "/>
    <x v="3"/>
    <s v="HEALTH PROMOTION; MENTAL AND BEHAVIOURAL DISEASES; MENTAL HEALTH; HEALTH RESEARCH"/>
    <x v="20"/>
    <d v="2018-09-30T00:00:00"/>
    <n v="0"/>
    <s v="Mental Health, Virtual Support, Campus"/>
  </r>
  <r>
    <x v="851"/>
    <s v="Université Laval"/>
    <x v="2"/>
    <x v="42"/>
    <s v="202209MHM"/>
    <x v="12"/>
    <s v="Depicting disease heterogeneity in neurofibromatosis type 1 and the role of microenvironment in NF1-associated skin tumor formation through personalized tissue-engineered 3D models"/>
    <n v="100000"/>
    <n v="0"/>
    <n v="0"/>
    <m/>
    <s v="1 yr 0 mth "/>
    <x v="0"/>
    <s v="Biomedical Engineering-Regenerative Medicine and Tissue Engineering"/>
    <x v="44"/>
    <d v="2024-02-29T00:00:00"/>
    <n v="0"/>
    <s v="neurofibromatosis, microenvironment, tissue-engineered"/>
  </r>
  <r>
    <x v="503"/>
    <s v="Université de Sherbrooke"/>
    <x v="2"/>
    <x v="43"/>
    <s v="202104PQQ"/>
    <x v="23"/>
    <s v="Role of SOCS1 in maintaining prostate homeostasis and in suppressing malignant growth"/>
    <n v="100000"/>
    <n v="0"/>
    <n v="0"/>
    <m/>
    <s v="1 yr 0 mth "/>
    <x v="1"/>
    <s v="Cancer-Mechanisms of Carcinogenesis"/>
    <x v="45"/>
    <d v="2022-09-30T00:00:00"/>
    <n v="0"/>
    <s v="SOCS1, prostate, malignancy"/>
  </r>
  <r>
    <x v="852"/>
    <s v="Carleton University (Ottawa)"/>
    <x v="0"/>
    <x v="44"/>
    <s v="202309PJT"/>
    <x v="11"/>
    <s v="Mapping ECM Remodelling in Asthma Using Multimodal Imaging and Physiologically-Relevant Tissue Models"/>
    <n v="673200"/>
    <n v="0"/>
    <n v="0"/>
    <m/>
    <s v="5 yrs 0 mth "/>
    <x v="11"/>
    <s v="Biomedical Engineering-Biomedical Imaging; Cardiovascular, Respiratory and Circulatory Systems-Respiratory Sciences"/>
    <x v="46"/>
    <d v="2029-03-31T00:00:00"/>
    <n v="0"/>
    <s v="ECM, Imaging, Asthma"/>
  </r>
  <r>
    <x v="853"/>
    <s v="Centre hospitalier de l'Université de Montréal (CHUM)"/>
    <x v="2"/>
    <x v="44"/>
    <s v="201803PJT"/>
    <x v="11"/>
    <s v="Premature carotid atherosclerosis evolution and plaque vulnerability assessed by quantitative ultrasound biomarkers in HIV-infected individuals"/>
    <n v="569926"/>
    <n v="0"/>
    <n v="0"/>
    <m/>
    <s v="5 yrs 0 mth "/>
    <x v="11"/>
    <s v="Biomedical Engineering-Biomedical Imaging"/>
    <x v="47"/>
    <d v="2023-09-30T00:00:00"/>
    <n v="0"/>
    <s v="carotid atherosclerosis, ultrasound biomarkers, plaque vulnerability"/>
  </r>
  <r>
    <x v="854"/>
    <s v="Centre hospitalier de l'Université de Montréal (CHUM)"/>
    <x v="2"/>
    <x v="44"/>
    <s v="201903PJT"/>
    <x v="14"/>
    <s v="Prebiotics to modify the gut microbiome and enhance immune checkpoint blockers"/>
    <n v="761176"/>
    <n v="0"/>
    <n v="0"/>
    <m/>
    <s v="5 yrs 0 mth "/>
    <x v="1"/>
    <s v="Cancer-Cancer Drug Development and Therapeutics; Immunology and Infection-Microbiology and Pathogenesis (including Microbiomics)"/>
    <x v="48"/>
    <d v="2024-09-30T00:00:00"/>
    <n v="1"/>
    <s v="Prebiotics, microbiome, immune checkpoint"/>
  </r>
  <r>
    <x v="855"/>
    <s v="Centre hospitalier de l'Université de Montréal (CHUM)"/>
    <x v="2"/>
    <x v="44"/>
    <s v="201909PJT"/>
    <x v="13"/>
    <s v="Diagnosis of Aggressive Prostate Cancer Using Key Features of Raman Spectroscopy"/>
    <n v="765000"/>
    <n v="0"/>
    <n v="0"/>
    <m/>
    <s v="5 yrs 0 mth "/>
    <x v="1"/>
    <s v="Cancer-Cancer Progression and Metastasis; Molecular, Cellular and Systems Biology-Biochemistry"/>
    <x v="13"/>
    <d v="2025-03-31T00:00:00"/>
    <n v="0"/>
    <s v="Prostate Cancer, Raman Spectroscopy, Diagnosis"/>
  </r>
  <r>
    <x v="856"/>
    <s v="Centre hospitalier de l'Université de Montréal (CHUM)"/>
    <x v="2"/>
    <x v="44"/>
    <s v="202003PJT"/>
    <x v="11"/>
    <s v="Magnetic resonance navigation of drug eluting beads for liver cancer therapy: in-vitro optimization and preclinical safety efficacy study"/>
    <n v="619651"/>
    <n v="0"/>
    <n v="0"/>
    <m/>
    <s v="4 yrs 0 mth "/>
    <x v="1"/>
    <s v="Biomedical Engineering-Biomaterials, Nanotechnology and Biomechanics"/>
    <x v="49"/>
    <d v="2024-09-30T00:00:00"/>
    <n v="0"/>
    <s v="magnetic resonance, drug eluting beads, liver cancer"/>
  </r>
  <r>
    <x v="342"/>
    <s v="Centre hospitalier de l'Université de Montréal (CHUM)"/>
    <x v="2"/>
    <x v="44"/>
    <s v="202003PJT"/>
    <x v="23"/>
    <s v="Probing molecular mechanisms of epithelial ovarian cancer therapy-induced senescence to find biomarkers and drug targets"/>
    <n v="1021276"/>
    <n v="0"/>
    <n v="0"/>
    <m/>
    <s v="5 yrs 0 mth "/>
    <x v="1"/>
    <s v="Cancer-Mechanisms of Carcinogenesis; Molecular, Cellular and Systems Biology-Cell Signaling; Cancer-Cancer Drug Development and Therapeutics"/>
    <x v="49"/>
    <d v="2025-09-30T00:00:00"/>
    <n v="0"/>
    <s v="molecular, ovarian cancer, biomarkers"/>
  </r>
  <r>
    <x v="857"/>
    <s v="Centre hospitalier de l'Université de Montréal (CHUM)"/>
    <x v="2"/>
    <x v="44"/>
    <s v="202010PJT"/>
    <x v="6"/>
    <s v="To uncover, understand and exploit the estrogen-oncolytic virus crosstalk to improve therapy"/>
    <n v="768825"/>
    <n v="0"/>
    <n v="0"/>
    <m/>
    <s v="5 yrs 0 mth "/>
    <x v="1"/>
    <s v="Cancer-Cancer Drug Development and Therapeutics"/>
    <x v="50"/>
    <d v="2026-03-31T00:00:00"/>
    <n v="0"/>
    <s v="estrogen, oncolytic virus, crosstalk"/>
  </r>
  <r>
    <x v="341"/>
    <s v="Centre hospitalier de l'Université de Montréal (CHUM)"/>
    <x v="2"/>
    <x v="44"/>
    <s v="202109PJT"/>
    <x v="14"/>
    <s v="Targeting the extracellular adenosine pathway in pancreatic and liver cancers"/>
    <n v="765000"/>
    <n v="0"/>
    <n v="0"/>
    <m/>
    <s v="5 yrs 0 mth "/>
    <x v="1"/>
    <s v="Cancer-Cancer Drug Development and Therapeutics"/>
    <x v="51"/>
    <d v="2027-03-31T00:00:00"/>
    <n v="0"/>
    <s v="adenosine, pancreatic, liver"/>
  </r>
  <r>
    <x v="498"/>
    <s v="Centre hospitalier de l'Université de Montréal (CHUM)"/>
    <x v="2"/>
    <x v="44"/>
    <s v="202203PJT"/>
    <x v="23"/>
    <s v="Targeting ribosomal RNA biogenesis to restore the senescence tumor suppression mechanism"/>
    <n v="879750"/>
    <n v="0"/>
    <n v="0"/>
    <m/>
    <s v="5 yrs 0 mth "/>
    <x v="1"/>
    <s v="Cancer-Mechanisms of Carcinogenesis; Cancer-Cancer Drug Development and Therapeutics; Molecular, Cellular and Systems Biology-Cell Biology and Physiology"/>
    <x v="37"/>
    <d v="2027-09-30T00:00:00"/>
    <n v="0"/>
    <s v="ribosomal RNA, biogenesis, tumor suppression"/>
  </r>
  <r>
    <x v="343"/>
    <s v="Centre hospitalier de l'Université de Montréal (CHUM)"/>
    <x v="2"/>
    <x v="44"/>
    <s v="202303PJT"/>
    <x v="11"/>
    <s v="Inflammatory phenotype, senescence, and viscoelasticity imaging of macrophages in HIV"/>
    <n v="726750"/>
    <n v="0"/>
    <n v="0"/>
    <m/>
    <s v="5 yrs 0 mth "/>
    <x v="6"/>
    <s v="Biomedical Engineering-Biomedical Imaging; Biomedical Engineering-Biophysics, Medical Technologies and Instrumentation"/>
    <x v="36"/>
    <d v="2028-09-30T00:00:00"/>
    <n v="0"/>
    <s v="inflammatory, senescence, macrophages"/>
  </r>
  <r>
    <x v="858"/>
    <s v="Centre hospitalier de l'Université de Montréal (CHUM)"/>
    <x v="2"/>
    <x v="44"/>
    <s v="202309PJT"/>
    <x v="6"/>
    <s v="Targeting itaconate production to improve oncolytic virus therapy."/>
    <n v="772650"/>
    <n v="0"/>
    <n v="0"/>
    <m/>
    <s v="5 yrs 0 mth "/>
    <x v="1"/>
    <s v="Cancer-Cancer Drug Development and Therapeutics"/>
    <x v="46"/>
    <d v="2029-03-31T00:00:00"/>
    <n v="0"/>
    <s v="itaconate, oncolytic virus, production"/>
  </r>
  <r>
    <x v="341"/>
    <s v="Centre hospitalier de l'Université de Montréal (CHUM)"/>
    <x v="2"/>
    <x v="44"/>
    <s v="202309PJT"/>
    <x v="6"/>
    <s v="Deciphering the role of protease-activated receptor 2 in immuno-oncology"/>
    <n v="1013625"/>
    <n v="0"/>
    <n v="0"/>
    <m/>
    <s v="5 yrs 0 mth "/>
    <x v="1"/>
    <s v="Cancer-Cancer Drug Development and Therapeutics"/>
    <x v="46"/>
    <d v="2029-03-31T00:00:00"/>
    <n v="0"/>
    <s v="protease-activated receptor, immuno-oncology, receptor"/>
  </r>
  <r>
    <x v="859"/>
    <s v="Centre hospitalier universitaire Sainte-Justine (Montréal, Québec)"/>
    <x v="2"/>
    <x v="44"/>
    <s v="201709PJT"/>
    <x v="6"/>
    <s v="Alternatives to current Chimeric-Antigen Receptor (CAR)-T cell therapy in acute lymphoblastic leukemia"/>
    <n v="688500"/>
    <n v="0"/>
    <n v="0"/>
    <m/>
    <s v="5 yrs 0 mth "/>
    <x v="1"/>
    <s v="Cancer-Cancer Drug Development and Therapeutics; Cancer-Pediatric Cancer; Immunology and Infection-Transplantation, Immune Tolerance and Tumor Immunology"/>
    <x v="17"/>
    <d v="2023-03-31T00:00:00"/>
    <n v="1"/>
    <s v="Chimeric-Antigen Receptor, CAR-T, leukemia"/>
  </r>
  <r>
    <x v="860"/>
    <s v="Centre hospitalier universitaire Sainte-Justine (Montréal, Québec)"/>
    <x v="2"/>
    <x v="44"/>
    <s v="201903PJT"/>
    <x v="14"/>
    <s v="Adoptive transfers of in vitro differentiated plasmacytoid dendritic cells to prevent acute lymphoblastic leukemia relapse: mechanisms and biomarkers of sensitivity"/>
    <n v="673200"/>
    <n v="0"/>
    <n v="0"/>
    <m/>
    <s v="4 yrs 0 mth "/>
    <x v="1"/>
    <s v="Cancer-Cancer Drug Development and Therapeutics; Cancer-Pediatric Cancer; Immunology and Infection-Transplantation, Immune Tolerance and Tumor Immunology"/>
    <x v="48"/>
    <d v="2023-09-30T00:00:00"/>
    <n v="0"/>
    <s v="dendritic cells, leukemia, biomarkers"/>
  </r>
  <r>
    <x v="861"/>
    <s v="Centre hospitalier universitaire Sainte-Justine (Montréal, Québec)"/>
    <x v="2"/>
    <x v="44"/>
    <s v="201903PJT"/>
    <x v="13"/>
    <s v="A Phase 2 study of Trametinib for patients with pediatric glioma or plexiform neurofibroma with refractory tumor and activation of the MAPK/ERK pathwa"/>
    <n v="573750"/>
    <n v="0"/>
    <n v="0"/>
    <m/>
    <s v="5 yrs 0 mth "/>
    <x v="1"/>
    <s v="Cancer-Cancer Drug Development and Therapeutics; Cancer-Clinical Oncology; Cancer-Pediatric Cancer"/>
    <x v="48"/>
    <d v="2024-09-30T00:00:00"/>
    <n v="0"/>
    <s v="Trametinib, glioma, MAPK/ERK"/>
  </r>
  <r>
    <x v="862"/>
    <s v="Centre hospitalier universitaire Sainte-Justine (Montréal, Québec)"/>
    <x v="2"/>
    <x v="44"/>
    <s v="201909PJT"/>
    <x v="12"/>
    <s v="Predicting the Progression and Brace Treatment Response in Spinal Deformities with Temporal-based Machine Learning Approaches"/>
    <n v="864450"/>
    <n v="0"/>
    <n v="0"/>
    <m/>
    <s v="5 yrs 0 mth "/>
    <x v="0"/>
    <s v="Biomedical Engineering-Biomedical Imaging"/>
    <x v="13"/>
    <d v="2025-03-31T00:00:00"/>
    <n v="0"/>
    <s v="Spinal Deformities, Machine Learning, Progression"/>
  </r>
  <r>
    <x v="863"/>
    <s v="Centre hospitalier universitaire Sainte-Justine (Montréal, Québec)"/>
    <x v="2"/>
    <x v="44"/>
    <s v="201909PJT"/>
    <x v="23"/>
    <s v="Investigation of the antineoplastic effect of miRNA-181a and development a novel pharmaceutical approaches for treating advanced retinoblastoma"/>
    <n v="642600"/>
    <n v="0"/>
    <n v="0"/>
    <m/>
    <s v="5 yrs 0 mth "/>
    <x v="1"/>
    <s v="Cancer-Pediatric Cancer; Pharmacological, Toxicological and Pharmaceutical Sciences-Drug Discovery, Design and Delivery; Molecular, Cellular and Systems Biology-Cell Signaling"/>
    <x v="13"/>
    <d v="2025-03-31T00:00:00"/>
    <n v="0"/>
    <s v="miRNA-181a, retinoblastoma, antineoplastic"/>
  </r>
  <r>
    <x v="864"/>
    <s v="Centre hospitalier universitaire Sainte-Justine (Montréal, Québec)"/>
    <x v="2"/>
    <x v="44"/>
    <s v="202104PJT"/>
    <x v="23"/>
    <s v="Exploiting induction of mitochondrial apoptosis as a therapeutic vulnerability in high fatality pediatric leukemia"/>
    <n v="944776"/>
    <n v="0"/>
    <n v="0"/>
    <m/>
    <s v="5 yrs 0 mth "/>
    <x v="1"/>
    <s v="Cancer-Pediatric Cancer"/>
    <x v="45"/>
    <d v="2026-09-30T00:00:00"/>
    <n v="0"/>
    <s v="mitochondrial apoptosis, pediatric leukemia, therapeutic vulnerability"/>
  </r>
  <r>
    <x v="865"/>
    <s v="Centre hospitalier universitaire Sainte-Justine (Montréal, Québec)"/>
    <x v="2"/>
    <x v="44"/>
    <s v="202309PJT"/>
    <x v="6"/>
    <s v="Epigenetic priming of neuroblastoma to Natural Killer cell-based immunotherapy"/>
    <n v="810900"/>
    <n v="0"/>
    <n v="0"/>
    <m/>
    <s v="5 yrs 0 mth "/>
    <x v="1"/>
    <s v="Cancer-Pediatric Cancer; Cancer-Cancer Drug Development and Therapeutics; Cancer-Cancer Progression and Metastasis"/>
    <x v="46"/>
    <d v="2029-03-31T00:00:00"/>
    <n v="0"/>
    <s v="Epigenetic, neuroblastoma, immunotherapy"/>
  </r>
  <r>
    <x v="349"/>
    <s v="Children's Hospital of Eastern Ontario Research Institute Inc"/>
    <x v="0"/>
    <x v="44"/>
    <s v="201803PJT"/>
    <x v="13"/>
    <s v="Combined IAP antagonism and immunotherapy for cancer treatment"/>
    <n v="937126"/>
    <n v="0"/>
    <n v="0"/>
    <m/>
    <s v="5 yrs 0 mth "/>
    <x v="1"/>
    <s v="CANCER THERAPY GENERAL; VIRAL; CANCER; CELL BIOLOGY"/>
    <x v="11"/>
    <d v="2019-03-31T00:00:00"/>
    <n v="0"/>
    <s v="IAP, immunotherapy, cancer"/>
  </r>
  <r>
    <x v="866"/>
    <s v="Children's Hospital of Eastern Ontario Research Institute Inc"/>
    <x v="0"/>
    <x v="44"/>
    <s v="201909PJT"/>
    <x v="13"/>
    <s v="Targeted immunotherapy for the treatment of brain cancer"/>
    <n v="772650"/>
    <n v="0"/>
    <n v="0"/>
    <m/>
    <s v="5 yrs 0 mth "/>
    <x v="1"/>
    <s v="Cancer-Cancer Drug Development and Therapeutics"/>
    <x v="13"/>
    <d v="2025-03-31T00:00:00"/>
    <n v="1"/>
    <s v="immunotherapy, brain cancer"/>
  </r>
  <r>
    <x v="394"/>
    <s v="Children's Hospital of Eastern Ontario Research Institute Inc"/>
    <x v="0"/>
    <x v="44"/>
    <s v="202209PJT"/>
    <x v="14"/>
    <s v="Identifying novel strategies for leukemia prevention using zebrafish models of dnajc21-mutant Shwachman Diamond syndrome"/>
    <n v="910350"/>
    <n v="0"/>
    <n v="0"/>
    <m/>
    <s v="5 yrs 0 mth "/>
    <x v="1"/>
    <s v="Cancer-Pediatric Cancer"/>
    <x v="52"/>
    <d v="2028-03-31T00:00:00"/>
    <n v="0"/>
    <s v="leukemia, zebrafish, dnajc21"/>
  </r>
  <r>
    <x v="352"/>
    <s v="CIUSSS de Centre-Ouest-de-l'Ile-de-Montréal-Jewish General"/>
    <x v="2"/>
    <x v="44"/>
    <s v="201709PJT"/>
    <x v="6"/>
    <s v="Targeting the Mnk/eIF4E axis in the tumor microenvironment of pregnancy associated breast cancers."/>
    <n v="692325"/>
    <n v="0"/>
    <n v="0"/>
    <m/>
    <s v="5 yrs 0 mth "/>
    <x v="1"/>
    <s v="Cancer-Cancer Progression and Metastasis; Immunology and Infection-Transplantation, Immune Tolerance and Tumor Immunology; Reproduction and Development-Fertility and Maternal Health"/>
    <x v="17"/>
    <d v="2023-03-31T00:00:00"/>
    <n v="0"/>
    <s v="Mnk, eIF4E, breast cancer"/>
  </r>
  <r>
    <x v="867"/>
    <s v="CIUSSS de Centre-Ouest-de-l'Ile-de-Montréal-Jewish General"/>
    <x v="2"/>
    <x v="44"/>
    <s v="201709PJT"/>
    <x v="13"/>
    <s v="Optimizing immunotherapy in high-risk lymphoma"/>
    <n v="1208700"/>
    <n v="0"/>
    <n v="0"/>
    <m/>
    <s v="5 yrs 0 mth "/>
    <x v="1"/>
    <s v="Cancer-Cancer Drug Development and Therapeutics"/>
    <x v="17"/>
    <d v="2023-03-31T00:00:00"/>
    <n v="0"/>
    <s v="immunotherapy, lymphoma, high-risk"/>
  </r>
  <r>
    <x v="359"/>
    <s v="CIUSSS de Centre-Ouest-de-l'Ile-de-Montréal-Jewish General"/>
    <x v="2"/>
    <x v="44"/>
    <s v="201803PJT"/>
    <x v="6"/>
    <s v="Oncogenic activity of poly (ADP-ribose) polymerase."/>
    <n v="665550"/>
    <n v="0"/>
    <n v="0"/>
    <m/>
    <s v="5 yrs 0 mth "/>
    <x v="1"/>
    <s v="Cancer-Cancer Progression and Metastasis"/>
    <x v="47"/>
    <d v="2023-09-30T00:00:00"/>
    <n v="0"/>
    <s v="oncogenic, poly (ADP-ribose), polymerase"/>
  </r>
  <r>
    <x v="359"/>
    <s v="CIUSSS de Centre-Ouest-de-l'Ile-de-Montréal-Jewish General"/>
    <x v="2"/>
    <x v="44"/>
    <s v="201803PJT"/>
    <x v="13"/>
    <s v="Epigenetic characterization and therapeutic targeting of cancers harboring dysfunctional CTCF."/>
    <n v="726750"/>
    <n v="0"/>
    <n v="0"/>
    <m/>
    <s v="5 yrs 0 mth "/>
    <x v="1"/>
    <s v="Cancer-Cancer Progression and Metastasis"/>
    <x v="47"/>
    <d v="2023-09-30T00:00:00"/>
    <n v="0"/>
    <s v="Epigenetic, CTCF, cancers"/>
  </r>
  <r>
    <x v="868"/>
    <s v="CIUSSS de Centre-Ouest-de-l'Ile-de-Montréal-Jewish General"/>
    <x v="2"/>
    <x v="44"/>
    <s v="201809PJT"/>
    <x v="23"/>
    <s v="OSMR Regulation of Glioblastoma Pathogenesis"/>
    <n v="753525"/>
    <n v="0"/>
    <n v="0"/>
    <m/>
    <s v="5 yrs 0 mth "/>
    <x v="1"/>
    <s v="Cancer-Cancer Drug Development and Therapeutics"/>
    <x v="18"/>
    <d v="2024-03-31T00:00:00"/>
    <n v="0"/>
    <s v="OSMR, Glioblastoma, Pathogenesis"/>
  </r>
  <r>
    <x v="869"/>
    <s v="CIUSSS de Centre-Ouest-de-l'Ile-de-Montréal-Jewish General"/>
    <x v="2"/>
    <x v="44"/>
    <s v="201809PJT"/>
    <x v="14"/>
    <s v="Inhibiting the MNK1/2-eIF4E axis, to favor anti-tumor immunity in melanoma."/>
    <n v="761175"/>
    <n v="0"/>
    <n v="0"/>
    <m/>
    <s v="5 yrs 0 mth "/>
    <x v="1"/>
    <s v="Cancer-Cancer Progression and Metastasis; Immunology and Infection-Transplantation, Immune Tolerance and Tumor Immunology"/>
    <x v="18"/>
    <d v="2024-03-31T00:00:00"/>
    <n v="0"/>
    <s v="MNK1, eIF4E, melanoma"/>
  </r>
  <r>
    <x v="870"/>
    <s v="CIUSSS de Centre-Ouest-de-l'Ile-de-Montréal-Jewish General"/>
    <x v="2"/>
    <x v="44"/>
    <s v="201909PJT"/>
    <x v="11"/>
    <s v="Non-invasive PET imaging of tropomyosin related kinase B/C receptor in humans"/>
    <n v="579106"/>
    <n v="0"/>
    <n v="0"/>
    <m/>
    <s v="3 yrs 0 mth "/>
    <x v="3"/>
    <s v="Pharmacological, Toxicological and Pharmaceutical Sciences-Drug Discovery, Design and Delivery; Neurosciences-Neurogenesis, Neurodifferentiation and Plasticity; Neuroimaging"/>
    <x v="13"/>
    <d v="2023-03-31T00:00:00"/>
    <n v="0"/>
    <s v="PET, imaging, kinase"/>
  </r>
  <r>
    <x v="356"/>
    <s v="CIUSSS de Centre-Ouest-de-l'Ile-de-Montréal-Jewish General"/>
    <x v="2"/>
    <x v="44"/>
    <s v="201909PJT"/>
    <x v="6"/>
    <s v="Understanding how oxidative stress influences tumor evolution via metabolic reprogramming"/>
    <n v="975375"/>
    <n v="0"/>
    <n v="0"/>
    <m/>
    <s v="5 yrs 0 mth "/>
    <x v="1"/>
    <s v="Cancer-Cancer Progression and Metastasis"/>
    <x v="13"/>
    <d v="2025-03-31T00:00:00"/>
    <n v="0"/>
    <s v="oxidative stress, tumor, metabolic reprogramming"/>
  </r>
  <r>
    <x v="356"/>
    <s v="CIUSSS de Centre-Ouest-de-l'Ile-de-Montréal-Jewish General"/>
    <x v="2"/>
    <x v="44"/>
    <s v="201909PJT"/>
    <x v="13"/>
    <s v="Capitalizing on an oxidative stress response to sensitize poor outcome cancers to PARP inhibitors"/>
    <n v="948600"/>
    <n v="0"/>
    <n v="0"/>
    <m/>
    <s v="5 yrs 0 mth "/>
    <x v="1"/>
    <s v="Cancer-Cancer Drug Development and Therapeutics"/>
    <x v="13"/>
    <d v="2025-03-31T00:00:00"/>
    <n v="0"/>
    <s v="oxidative stress, cancer, PARP inhibitors"/>
  </r>
  <r>
    <x v="871"/>
    <s v="CIUSSS de Centre-Ouest-de-l'Ile-de-Montréal-Jewish General"/>
    <x v="2"/>
    <x v="44"/>
    <s v="202104PJT"/>
    <x v="13"/>
    <s v="A prospective trial of radiation omission in patients with clinically node negative breast cancer and pathologic complete response after neoadjuvant chemotherapy."/>
    <n v="1514700"/>
    <n v="0"/>
    <n v="0"/>
    <m/>
    <s v="10 yrs 0 mth "/>
    <x v="1"/>
    <s v="Cancer-Clinical Oncology"/>
    <x v="45"/>
    <d v="2031-09-30T00:00:00"/>
    <n v="0"/>
    <s v="radiation, breast cancer, chemotherapy"/>
  </r>
  <r>
    <x v="869"/>
    <s v="CIUSSS de Centre-Ouest-de-l'Ile-de-Montréal-Jewish General"/>
    <x v="2"/>
    <x v="44"/>
    <s v="202104PJT"/>
    <x v="14"/>
    <s v="Targeting mRNA translation to effectively treat uveal melanoma."/>
    <n v="715276"/>
    <n v="0"/>
    <n v="0"/>
    <m/>
    <s v="5 yrs 0 mth "/>
    <x v="1"/>
    <s v="Cancer-Cancer Progression and Metastasis"/>
    <x v="45"/>
    <d v="2026-09-30T00:00:00"/>
    <n v="0"/>
    <s v="mRNA, translation, melanoma"/>
  </r>
  <r>
    <x v="872"/>
    <s v="CIUSSS de Centre-Ouest-de-l'Ile-de-Montréal-Jewish General"/>
    <x v="2"/>
    <x v="44"/>
    <s v="202109PJT"/>
    <x v="12"/>
    <s v="Role of Link N in Osteoarthritis"/>
    <n v="699975"/>
    <n v="0"/>
    <n v="0"/>
    <m/>
    <s v="5 yrs 0 mth "/>
    <x v="0"/>
    <s v="Biomedical Engineering-Regenerative Medicine and Tissue Engineering"/>
    <x v="51"/>
    <d v="2027-03-31T00:00:00"/>
    <n v="0"/>
    <s v="Link N, Osteoarthritis"/>
  </r>
  <r>
    <x v="873"/>
    <s v="CIUSSS de Centre-Ouest-de-l'Ile-de-Montréal-Jewish General"/>
    <x v="2"/>
    <x v="44"/>
    <s v="202109PJT"/>
    <x v="23"/>
    <s v="Evaluating mutant NRAS as a molecular mediator of immunotherapy resistance in melanoma"/>
    <n v="860625"/>
    <n v="0"/>
    <n v="0"/>
    <m/>
    <s v="5 yrs 0 mth "/>
    <x v="1"/>
    <s v="Cancer-Cancer Drug Development and Therapeutics"/>
    <x v="51"/>
    <d v="2027-03-31T00:00:00"/>
    <n v="0"/>
    <s v="NRAS, immunotherapy, melanoma"/>
  </r>
  <r>
    <x v="874"/>
    <s v="CIUSSS de Centre-Ouest-de-l'Ile-de-Montréal-Jewish General"/>
    <x v="2"/>
    <x v="44"/>
    <s v="202109PJT"/>
    <x v="13"/>
    <s v="Targeting lipid metabolism in chemoresistant breast cancer"/>
    <n v="1009800"/>
    <n v="0"/>
    <n v="0"/>
    <m/>
    <s v="5 yrs 0 mth "/>
    <x v="1"/>
    <s v="Cancer-Cancer Drug Development and Therapeutics"/>
    <x v="51"/>
    <d v="2027-03-31T00:00:00"/>
    <n v="0"/>
    <s v="lipid metabolism, chemoresistant, breast cancer"/>
  </r>
  <r>
    <x v="875"/>
    <s v="CIUSSS de Centre-Ouest-de-l'Ile-de-Montréal-Jewish General"/>
    <x v="2"/>
    <x v="44"/>
    <s v="202203PJT"/>
    <x v="14"/>
    <s v="Development of effective targeted anti-GD2 cancer immunotherapies, that synergize with immune-checkpoint inhibitor blockades"/>
    <n v="1109251"/>
    <n v="0"/>
    <n v="0"/>
    <m/>
    <s v="4 yrs 0 mth "/>
    <x v="1"/>
    <s v="Cancer-Cancer Drug Development and Therapeutics"/>
    <x v="37"/>
    <d v="2026-09-30T00:00:00"/>
    <n v="2"/>
    <s v="anti-GD2, immunotherapies, immune-checkpoint"/>
  </r>
  <r>
    <x v="352"/>
    <s v="CIUSSS de Centre-Ouest-de-l'Ile-de-Montréal-Jewish General"/>
    <x v="2"/>
    <x v="44"/>
    <s v="202203PJT"/>
    <x v="6"/>
    <s v="Exploring the therapeutic potential of combined inhibition of MNK1/2 and CDK4/6 to treat melanoma."/>
    <n v="841500"/>
    <n v="0"/>
    <n v="0"/>
    <m/>
    <s v="5 yrs 0 mth "/>
    <x v="1"/>
    <s v="Cancer-Cancer Drug Development and Therapeutics"/>
    <x v="37"/>
    <d v="2027-09-30T00:00:00"/>
    <n v="0"/>
    <s v="MNK1, CDK4/6, melanoma"/>
  </r>
  <r>
    <x v="358"/>
    <s v="CIUSSS de Centre-Ouest-de-l'Ile-de-Montréal-Jewish General"/>
    <x v="2"/>
    <x v="44"/>
    <s v="202203PJT"/>
    <x v="23"/>
    <s v="Regulation and function of NFE2L3: linking transcription factor activity to colorectal cancer"/>
    <n v="906526"/>
    <n v="0"/>
    <n v="0"/>
    <m/>
    <s v="5 yrs 0 mth "/>
    <x v="1"/>
    <s v="Cancer-Mechanisms of Carcinogenesis; Molecular, Cellular and Systems Biology-Molecular Biology"/>
    <x v="37"/>
    <d v="2027-09-30T00:00:00"/>
    <n v="0"/>
    <s v="NFE2L3, transcription factor, colorectal cancer"/>
  </r>
  <r>
    <x v="876"/>
    <s v="CIUSSS de Centre-Ouest-de-l'Ile-de-Montréal-Jewish General"/>
    <x v="2"/>
    <x v="44"/>
    <s v="202209PJT"/>
    <x v="12"/>
    <s v="Small molecule inhibitor of IL-1b signaling in degenerative disc disease"/>
    <n v="734400"/>
    <n v="0"/>
    <n v="0"/>
    <m/>
    <s v="5 yrs 0 mth "/>
    <x v="6"/>
    <s v="Biomedical Engineering-Regenerative Medicine and Tissue Engineering"/>
    <x v="52"/>
    <d v="2028-03-31T00:00:00"/>
    <n v="0"/>
    <s v="small molecule, IL-1b, degenerative disc"/>
  </r>
  <r>
    <x v="877"/>
    <s v="CIUSSS de Centre-Ouest-de-l'Ile-de-Montréal-Jewish General"/>
    <x v="2"/>
    <x v="44"/>
    <s v="202209PJT"/>
    <x v="14"/>
    <s v="Understanding the role of eIF4A in AML progression and relapse"/>
    <n v="929475"/>
    <n v="0"/>
    <n v="0"/>
    <m/>
    <s v="5 yrs 0 mth "/>
    <x v="1"/>
    <s v="Cancer-Cancer Drug Development and Therapeutics; Cancer-Cancer Progression and Metastasis; Cancer-Mechanisms of Carcinogenesis"/>
    <x v="52"/>
    <d v="2028-03-31T00:00:00"/>
    <n v="0"/>
    <s v="eIF4A, AML, relapse"/>
  </r>
  <r>
    <x v="359"/>
    <s v="CIUSSS de Centre-Ouest-de-l'Ile-de-Montréal-Jewish General"/>
    <x v="2"/>
    <x v="44"/>
    <s v="202309PJT"/>
    <x v="13"/>
    <s v="Targeting changes to chromatin architecture that promote breast cancer metastasis."/>
    <n v="1097775"/>
    <n v="0"/>
    <n v="0"/>
    <m/>
    <s v="5 yrs 0 mth "/>
    <x v="1"/>
    <s v="Cancer-Cancer Progression and Metastasis"/>
    <x v="36"/>
    <d v="2024-09-30T00:00:00"/>
    <n v="0"/>
    <s v="chromatin, breast cancer, metastasis"/>
  </r>
  <r>
    <x v="878"/>
    <s v="CIUSSS de Centre-Ouest-de-l'Ile-de-Montréal-Jewish General"/>
    <x v="2"/>
    <x v="44"/>
    <s v="202403PJT"/>
    <x v="13"/>
    <s v="Altering the gut microbiome in Triple- negative breast cancer: a pilot study"/>
    <n v="1510875"/>
    <n v="0"/>
    <n v="0"/>
    <m/>
    <s v="4 yrs 0 mth "/>
    <x v="1"/>
    <s v="Cancer-Cancer Drug Development and Therapeutics"/>
    <x v="53"/>
    <d v="2025-02-28T00:00:00"/>
    <n v="0"/>
    <s v="gut microbiome, breast cancer, triple-negative"/>
  </r>
  <r>
    <x v="879"/>
    <s v="CIUSSS de l'Ouest-de-l'Ile-de-Montréal-Douglas Hospital"/>
    <x v="2"/>
    <x v="44"/>
    <s v="201903PJT"/>
    <x v="11"/>
    <s v="Development of dynamic 1H MRSI for the assessment of impaired brain glucose metabolism in patients with early Alzheimer's Disease"/>
    <n v="772651"/>
    <n v="0"/>
    <n v="0"/>
    <m/>
    <s v="4 yrs 0 mth "/>
    <x v="3"/>
    <s v="Biomedical Engineering-Biomedical Imaging; Methods Development and Modelling-Quantitative Methods Development for Health Research; Neurosciences-Neurodegeneration"/>
    <x v="48"/>
    <d v="2023-09-30T00:00:00"/>
    <n v="0"/>
    <s v="1H MRSI, brain glucose, Alzheimer's"/>
  </r>
  <r>
    <x v="880"/>
    <s v="CIUSSS de l'Ouest-de-l'Ile-de-Montréal-Douglas Hospital"/>
    <x v="2"/>
    <x v="44"/>
    <s v="201903PJT"/>
    <x v="11"/>
    <s v="Studying prenatal exposure to maternal immune activation as risk factor for neurodevelopmental disorders: from the fetus to adulthood"/>
    <n v="803250"/>
    <n v="0"/>
    <n v="0"/>
    <m/>
    <s v="5 yrs 0 mth "/>
    <x v="3"/>
    <s v="Mental Health and Behavioural Conditions-Psychology and Psychiatry; Biomedical Engineering-Biomedical Imaging; Methods Development and Modelling-Computational Biology"/>
    <x v="48"/>
    <d v="2024-09-30T00:00:00"/>
    <n v="0"/>
    <s v="prenatal exposure, maternal immune activation, neurodevelopmental disorders"/>
  </r>
  <r>
    <x v="881"/>
    <s v="CIUSSS Est-de-l'Ile-de- Montréal-Maisonneuve Rosemont"/>
    <x v="2"/>
    <x v="44"/>
    <s v="201709PJT"/>
    <x v="6"/>
    <s v="Modulation of UV damage repair by replicative stress-induced RPA exhaustion during skin cancer development"/>
    <n v="791775"/>
    <n v="0"/>
    <n v="0"/>
    <m/>
    <s v="5 yrs 0 mth "/>
    <x v="1"/>
    <s v="Cancer-Mechanisms of Carcinogenesis; Molecular, Cellular and Systems Biology-Molecular Biology; Genetics-Genomics, Transcriptomics and Proteomics"/>
    <x v="17"/>
    <d v="2023-03-31T00:00:00"/>
    <n v="0"/>
    <s v="UV damage, RPA exhaustion, skin cancer"/>
  </r>
  <r>
    <x v="882"/>
    <s v="CIUSSS Est-de-l'Ile-de- Montréal-Maisonneuve Rosemont"/>
    <x v="2"/>
    <x v="44"/>
    <s v="201709PJT"/>
    <x v="14"/>
    <s v="Identification of therapeutic targets for pediatric acute megakaryoblastic leukemia"/>
    <n v="765000"/>
    <n v="0"/>
    <n v="0"/>
    <m/>
    <s v="5 yrs 0 mth "/>
    <x v="1"/>
    <s v="Cancer-Mechanisms of Carcinogenesis; Cancer-Pediatric Cancer; Cancer-Cancer Drug Development and Therapeutics"/>
    <x v="17"/>
    <d v="2023-03-31T00:00:00"/>
    <n v="0"/>
    <s v="therapeutic targets, pediatric leukemia, megakaryoblastic"/>
  </r>
  <r>
    <x v="883"/>
    <s v="CIUSSS Est-de-l'Ile-de- Montréal-Maisonneuve Rosemont"/>
    <x v="2"/>
    <x v="44"/>
    <s v="201903PJT"/>
    <x v="13"/>
    <s v="Targeting translational machinery to overcome kinase inhibitor resistance of cancer cells"/>
    <n v="761176"/>
    <n v="0"/>
    <n v="0"/>
    <m/>
    <s v="5 yrs 0 mth "/>
    <x v="1"/>
    <s v="Cancer-Cancer Drug Development and Therapeutics; Cancer-Cancer Progression and Metastasis"/>
    <x v="48"/>
    <d v="2024-09-30T00:00:00"/>
    <n v="0"/>
    <s v="translational machinery, kinase inhibitor, cancer cells"/>
  </r>
  <r>
    <x v="367"/>
    <s v="CIUSSS Est-de-l'Ile-de- Montréal-Maisonneuve Rosemont"/>
    <x v="2"/>
    <x v="44"/>
    <s v="202010PJT"/>
    <x v="13"/>
    <s v="Exploiting minor histocompatibility antigens for personalized cancer immunotherapy"/>
    <n v="1067175"/>
    <n v="0"/>
    <n v="0"/>
    <m/>
    <s v="5 yrs 0 mth "/>
    <x v="1"/>
    <s v="Cancer-Cancer Drug Development and Therapeutics; Immunology and Infection-Transplantation, Immune Tolerance and Tumor Immunology"/>
    <x v="50"/>
    <d v="2026-03-31T00:00:00"/>
    <n v="0"/>
    <s v="minor histocompatibility, antigens, immunotherapy"/>
  </r>
  <r>
    <x v="365"/>
    <s v="CIUSSS Est-de-l'Ile-de- Montréal-Maisonneuve Rosemont"/>
    <x v="2"/>
    <x v="44"/>
    <s v="202104PJT"/>
    <x v="11"/>
    <s v="Local and global biomechanical properties of the eye as new glaucoma risk factors"/>
    <n v="692326"/>
    <n v="0"/>
    <n v="0"/>
    <m/>
    <s v="5 yrs 0 mth "/>
    <x v="3"/>
    <s v="Biomedical Engineering-Biomedical Imaging"/>
    <x v="45"/>
    <d v="2026-09-30T00:00:00"/>
    <n v="0"/>
    <s v="biomechanical properties, eye, glaucoma"/>
  </r>
  <r>
    <x v="884"/>
    <s v="CIUSSS Est-de-l'Ile-de- Montréal-Maisonneuve Rosemont"/>
    <x v="2"/>
    <x v="44"/>
    <s v="202109PJT"/>
    <x v="11"/>
    <s v="An OCT-controlled system for precise and reproducible subretinal drug injection in mice"/>
    <n v="179775"/>
    <n v="0"/>
    <n v="0"/>
    <m/>
    <s v="2 yrs 6 mths "/>
    <x v="8"/>
    <s v="Biomedical Engineering-Biophysics, Medical Technologies and Instrumentation; Biomedical Engineering-Biomedical Imaging"/>
    <x v="51"/>
    <d v="2024-09-30T00:00:00"/>
    <n v="0"/>
    <s v="OCT, subretinal injection, mice"/>
  </r>
  <r>
    <x v="364"/>
    <s v="CIUSSS Est-de-l'Ile-de- Montréal-Maisonneuve Rosemont"/>
    <x v="2"/>
    <x v="44"/>
    <s v="202109PJT"/>
    <x v="6"/>
    <s v="Replicative stress as a primary determinant of chemotherapeutic outcome in ovarian cancer"/>
    <n v="929475"/>
    <n v="0"/>
    <n v="0"/>
    <m/>
    <s v="5 yrs 0 mth "/>
    <x v="1"/>
    <s v="Cancer-Cancer Drug Development and Therapeutics; Genetics-Genomics, Transcriptomics and Proteomics"/>
    <x v="51"/>
    <d v="2027-03-31T00:00:00"/>
    <n v="0"/>
    <s v="replicative stress, chemotherapeutic, ovarian cancer"/>
  </r>
  <r>
    <x v="885"/>
    <s v="CIUSSS Est-de-l'Ile-de- Montréal-Maisonneuve Rosemont"/>
    <x v="2"/>
    <x v="44"/>
    <s v="202109PJT"/>
    <x v="6"/>
    <s v="Influence of Ikaros on treatment response in Acute Lymphoblastic Leukemia"/>
    <n v="868275"/>
    <n v="0"/>
    <n v="0"/>
    <m/>
    <s v="5 yrs 0 mth "/>
    <x v="1"/>
    <s v="Cancer-Mechanisms of Carcinogenesis; Genetics-Genomics, Transcriptomics and Proteomics; Molecular, Cellular and Systems Biology-Molecular Biology"/>
    <x v="51"/>
    <d v="2027-03-31T00:00:00"/>
    <n v="0"/>
    <s v="Ikaros, Acute Lymphoblastic Leukemia, response"/>
  </r>
  <r>
    <x v="886"/>
    <s v="CIUSSS Est-de-l'Ile-de- Montréal-Maisonneuve Rosemont"/>
    <x v="2"/>
    <x v="44"/>
    <s v="202403PJT"/>
    <x v="6"/>
    <s v="Exploiting translational reprogramming in neoplasia to devise unique strategies to eliminate cancer and cancer-promoting senescent cells"/>
    <n v="940950"/>
    <n v="0"/>
    <n v="0"/>
    <m/>
    <s v="5 yrs 0 mth "/>
    <x v="1"/>
    <s v="Molecular, Cellular and Systems Biology-Biochemistry; Cancer-Cancer Progression and Metastasis; Cancer-Mechanisms of Carcinogenesis"/>
    <x v="54"/>
    <d v="2029-09-30T00:00:00"/>
    <n v="0"/>
    <s v="translational reprogramming, neoplasia, cancer"/>
  </r>
  <r>
    <x v="422"/>
    <s v="Concordia University (Montreal, Quebec)"/>
    <x v="2"/>
    <x v="44"/>
    <s v="201803PJT"/>
    <x v="11"/>
    <s v="The importance of connector hubs in focal epilepsy: a multimodal investigation"/>
    <n v="742050"/>
    <n v="0"/>
    <n v="0"/>
    <m/>
    <s v="5 yrs 0 mth "/>
    <x v="3"/>
    <s v="Biomedical Engineering-Biomedical Imaging; Neurosciences-Neurological disorders; Neurosciences-Neural Circuits and Systems"/>
    <x v="47"/>
    <d v="2023-09-30T00:00:00"/>
    <n v="0"/>
    <s v="connector hubs, focal epilepsy, multimodal"/>
  </r>
  <r>
    <x v="887"/>
    <s v="Concordia University (Montreal, Quebec)"/>
    <x v="2"/>
    <x v="44"/>
    <s v="202303PJT"/>
    <x v="11"/>
    <s v="Ultrasound-assisted microRNA delivery towards the treatment of pathological cardiac hypertrophy"/>
    <n v="355726"/>
    <n v="0"/>
    <n v="0"/>
    <m/>
    <s v="3 yrs 0 mth "/>
    <x v="11"/>
    <s v="Biomedical Engineering-Biomedical Imaging; Biomedical Engineering-Biophysics, Medical Technologies and Instrumentation"/>
    <x v="36"/>
    <d v="2026-09-30T00:00:00"/>
    <n v="0"/>
    <s v="ultrasound, microRNA, cardiac hypertrophy"/>
  </r>
  <r>
    <x v="422"/>
    <s v="Concordia University (Montreal, Quebec)"/>
    <x v="2"/>
    <x v="44"/>
    <s v="202403PJT"/>
    <x v="11"/>
    <s v="How is neurovascular coupling impacted by the occurrence of epileptic activity during sleep: a whole night personalized EEG/fNIRS investigation"/>
    <n v="799426"/>
    <n v="0"/>
    <n v="0"/>
    <m/>
    <s v="5 yrs 0 mth "/>
    <x v="3"/>
    <s v="Biomedical Engineering-Biomedical Imaging; Neurosciences-Neurological disorders; Neurosciences-Neural Circuits and Systems"/>
    <x v="54"/>
    <d v="2029-09-30T00:00:00"/>
    <n v="0"/>
    <s v="neurovascular, epileptic activity, EEG/fNIRS"/>
  </r>
  <r>
    <x v="369"/>
    <s v="Dalhousie University (Nova Scotia)"/>
    <x v="6"/>
    <x v="44"/>
    <s v="201709PJT"/>
    <x v="6"/>
    <s v="Characterization of HR-Killer1 and identification of small molecules for cancer therapy and enhanced gene editing using CRISPR/Cas9-based DNA repair strategies"/>
    <n v="1063350"/>
    <n v="0"/>
    <n v="0"/>
    <m/>
    <s v="5 yrs 0 mth "/>
    <x v="1"/>
    <s v="Cancer-Cancer Drug Development and Therapeutics; Molecular, Cellular and Systems Biology-Molecular Biology; Molecular Biology - DNA Repair Genetics - Gene therapy"/>
    <x v="17"/>
    <d v="2023-03-31T00:00:00"/>
    <n v="0"/>
    <s v="HR-Killer1, small molecules, CRISPR"/>
  </r>
  <r>
    <x v="888"/>
    <s v="Dalhousie University (Nova Scotia)"/>
    <x v="6"/>
    <x v="44"/>
    <s v="201709PJT"/>
    <x v="23"/>
    <s v="Molecular hallmarks of breast cancer sensitivity to ErbB2-targeted therapies"/>
    <n v="684675"/>
    <n v="0"/>
    <n v="0"/>
    <m/>
    <s v="5 yrs 0 mth "/>
    <x v="1"/>
    <s v="Cancer-Cancer Progression and Metastasis; Molecular, Cellular and Systems Biology-Cell Signaling"/>
    <x v="17"/>
    <d v="2023-03-31T00:00:00"/>
    <n v="0"/>
    <s v="molecular, breast cancer, ErbB2"/>
  </r>
  <r>
    <x v="889"/>
    <s v="Dalhousie University (Nova Scotia)"/>
    <x v="6"/>
    <x v="44"/>
    <s v="201809PJT"/>
    <x v="13"/>
    <s v="Significance of S100A10 (p11) in breast cancer tumor progression"/>
    <n v="516375"/>
    <n v="0"/>
    <n v="0"/>
    <m/>
    <s v="3 yrs 0 mth "/>
    <x v="1"/>
    <s v="Cancer-Cancer Progression and Metastasis"/>
    <x v="18"/>
    <d v="2022-03-31T00:00:00"/>
    <n v="0"/>
    <s v="S100A10, breast cancer, tumor progression"/>
  </r>
  <r>
    <x v="370"/>
    <s v="Dalhousie University (Nova Scotia)"/>
    <x v="6"/>
    <x v="44"/>
    <s v="201809PJT"/>
    <x v="23"/>
    <s v="Defining the mechanism of ALDH1A3 in breast cancer for the identification of novel therapeutic targets"/>
    <n v="918000"/>
    <n v="0"/>
    <n v="0"/>
    <m/>
    <s v="5 yrs 0 mth "/>
    <x v="1"/>
    <s v="Cancer-Cancer Progression and Metastasis"/>
    <x v="18"/>
    <d v="2024-03-31T00:00:00"/>
    <n v="0"/>
    <s v="ALDH1A3, breast cancer, therapeutic targets"/>
  </r>
  <r>
    <x v="890"/>
    <s v="Dalhousie University (Nova Scotia)"/>
    <x v="6"/>
    <x v="44"/>
    <s v="202003PJT"/>
    <x v="6"/>
    <s v="Biotherapeutic implications for oncolytic virus-induced MHC class I ligandomes"/>
    <n v="1063350"/>
    <n v="0"/>
    <n v="0"/>
    <m/>
    <s v="5 yrs 0 mth "/>
    <x v="1"/>
    <s v="Cancer-Cancer Drug Development and Therapeutics"/>
    <x v="49"/>
    <d v="2025-09-30T00:00:00"/>
    <n v="0"/>
    <s v="oncolytic virus, MHC class I, ligandomes"/>
  </r>
  <r>
    <x v="891"/>
    <s v="Dalhousie University (Nova Scotia)"/>
    <x v="6"/>
    <x v="44"/>
    <s v="202109PJT"/>
    <x v="11"/>
    <s v="Clinical optical coherence tomography of the middle ear"/>
    <n v="313652"/>
    <n v="0"/>
    <n v="0"/>
    <m/>
    <s v="4 yrs 0 mth "/>
    <x v="10"/>
    <s v="Biomedical Engineering-Biomedical Imaging"/>
    <x v="51"/>
    <d v="2026-03-31T00:00:00"/>
    <n v="2"/>
    <s v="optical coherence tomography, middle ear"/>
  </r>
  <r>
    <x v="892"/>
    <s v="Dalhousie University (Nova Scotia)"/>
    <x v="6"/>
    <x v="44"/>
    <s v="202203PJT"/>
    <x v="24"/>
    <s v="Precision Image-Guided Ultrasound Ablation of Brain Tumors: A Longitudinal Pre-Clinical Study using a Newly Developed Platform"/>
    <n v="596700"/>
    <n v="0"/>
    <n v="0"/>
    <m/>
    <s v="5 yrs 0 mth "/>
    <x v="1"/>
    <s v="Biomedical Engineering-Biomedical Imaging; Cancer-Cancer Drug Development and Therapeutics; Biomedical Engineering-Biophysics, Medical Technologies and Instrumentation"/>
    <x v="37"/>
    <d v="2027-09-30T00:00:00"/>
    <n v="2"/>
    <s v="Image-Guided, Ultrasound, Ablation"/>
  </r>
  <r>
    <x v="893"/>
    <s v="Dalhousie University (Nova Scotia)"/>
    <x v="6"/>
    <x v="44"/>
    <s v="202203PJT"/>
    <x v="24"/>
    <s v="Collagen Fiber Scaffolds for Emergency Treatment of Corneal Injury"/>
    <n v="952426"/>
    <n v="0"/>
    <n v="0"/>
    <m/>
    <s v="5 yrs 0 mth "/>
    <x v="3"/>
    <s v="Biomedical Engineering-Biomaterials, Nanotechnology and Biomechanics; Biomedical Engineering-Regenerative Medicine and Tissue Engineering"/>
    <x v="37"/>
    <d v="2027-09-30T00:00:00"/>
    <n v="0"/>
    <s v="Collagen, Fiber, Corneal"/>
  </r>
  <r>
    <x v="894"/>
    <s v="Dalhousie University (Nova Scotia)"/>
    <x v="6"/>
    <x v="44"/>
    <s v="202203PJT"/>
    <x v="13"/>
    <s v="Reconstructing the microbe-host interface in an advanced bioprinted co-culture system to study microbial community contributions to chemotherapy-induced oral mucositis"/>
    <n v="573750"/>
    <n v="0"/>
    <n v="0"/>
    <m/>
    <s v="5 yrs 0 mth "/>
    <x v="1"/>
    <s v="Cancer-Cancer Drug Development and Therapeutics; Biomedical Engineering-Regenerative Medicine and Tissue Engineering"/>
    <x v="37"/>
    <d v="2027-09-30T00:00:00"/>
    <n v="0"/>
    <s v="microbe-host, bioprinted, oral mucositis"/>
  </r>
  <r>
    <x v="370"/>
    <s v="Dalhousie University (Nova Scotia)"/>
    <x v="6"/>
    <x v="44"/>
    <s v="202303PJT"/>
    <x v="14"/>
    <s v="Investigating the role of LINC01929 in regulating processes critical for breast cancer progression"/>
    <n v="1093950"/>
    <n v="0"/>
    <n v="0"/>
    <m/>
    <s v="5 yrs 0 mth "/>
    <x v="1"/>
    <s v="Cancer-Cancer Progression and Metastasis"/>
    <x v="36"/>
    <d v="2028-09-30T00:00:00"/>
    <n v="0"/>
    <s v="LINC01929, breast cancer, regulation"/>
  </r>
  <r>
    <x v="895"/>
    <s v="Dalhousie University (Nova Scotia)"/>
    <x v="6"/>
    <x v="44"/>
    <s v="202309PJT"/>
    <x v="12"/>
    <s v="Metabolite-based Immunoregulatory Polymer Surgical Meshes for Pelvic Floor Reconstructive Surgery"/>
    <n v="918000"/>
    <n v="0"/>
    <n v="0"/>
    <m/>
    <s v="5 yrs 0 mth "/>
    <x v="7"/>
    <s v="Biomedical Engineering-Biomaterials, Nanotechnology and Biomechanics"/>
    <x v="46"/>
    <d v="2029-03-31T00:00:00"/>
    <n v="1"/>
    <s v="Metabolite, Immunoregulatory, Polymer"/>
  </r>
  <r>
    <x v="370"/>
    <s v="Dalhousie University (Nova Scotia)"/>
    <x v="6"/>
    <x v="44"/>
    <s v="202309PJT"/>
    <x v="14"/>
    <s v="Targeting ALDH1A3 and investigating mechanisms of ALDH1A3-mediated breast cancer progression"/>
    <n v="1090125"/>
    <n v="0"/>
    <n v="0"/>
    <m/>
    <s v="5 yrs 0 mth "/>
    <x v="1"/>
    <s v="Cancer-Cancer Progression and Metastasis; Cancer-Cancer Drug Development and Therapeutics"/>
    <x v="46"/>
    <d v="2029-03-31T00:00:00"/>
    <n v="1"/>
    <s v="ALDH1A3, breast cancer, progression"/>
  </r>
  <r>
    <x v="896"/>
    <s v="Holland Bloorview Kids Rehabilitation Hospital (Toronto)"/>
    <x v="0"/>
    <x v="44"/>
    <s v="202309PJT"/>
    <x v="12"/>
    <s v="Feasibility RCT evaluating digitally and traditionally produced ankle foot orthoses for individuals with impaired lower limb function"/>
    <n v="470475"/>
    <n v="0"/>
    <n v="0"/>
    <m/>
    <s v="3 yrs 0 mth "/>
    <x v="0"/>
    <s v="Musculoskeletal Health-Rehabilitation and Physical Therapy; Health Services and Systems-Management of Chronic Diseases and Conditions"/>
    <x v="46"/>
    <d v="2027-03-31T00:00:00"/>
    <n v="0"/>
    <s v="ankle foot orthoses, lower limb, digital fabrication"/>
  </r>
  <r>
    <x v="378"/>
    <s v="Hospital for Sick Children (Toronto)"/>
    <x v="0"/>
    <x v="44"/>
    <s v="201709PJT"/>
    <x v="23"/>
    <s v="Enhancing the Delivery of Novel Chemotherapeutics to Diffuse Intrinsic Pontine Glioma"/>
    <n v="623476"/>
    <n v="0"/>
    <n v="0"/>
    <m/>
    <s v="4 yrs 0 mth "/>
    <x v="1"/>
    <s v="Cancer-Cancer Drug Development and Therapeutics"/>
    <x v="17"/>
    <d v="2022-03-31T00:00:00"/>
    <n v="0"/>
    <s v="Chemotherapeutics, Diffuse Intrinsic Pontine Glioma, Delivery"/>
  </r>
  <r>
    <x v="383"/>
    <s v="Hospital for Sick Children (Toronto)"/>
    <x v="0"/>
    <x v="44"/>
    <s v="201709PJT"/>
    <x v="14"/>
    <s v="Defining the role of the histone 3 (H3.3G34R) mutation in the pathogenesis of pediatric high grade astrocytoma"/>
    <n v="956250"/>
    <n v="0"/>
    <n v="0"/>
    <m/>
    <s v="5 yrs 0 mth "/>
    <x v="1"/>
    <s v="Cancer-Cancer Drug Development and Therapeutics; Genetics-Molecular and Functional Genetics and Epigenetics"/>
    <x v="17"/>
    <d v="2023-03-31T00:00:00"/>
    <n v="0"/>
    <s v="histone, mutation, astrocytoma"/>
  </r>
  <r>
    <x v="381"/>
    <s v="Hospital for Sick Children (Toronto)"/>
    <x v="0"/>
    <x v="44"/>
    <s v="201709PJT"/>
    <x v="13"/>
    <s v="Biological and translational implications of replication repair deficiency and hypermutation in human cancer"/>
    <n v="956250"/>
    <n v="0"/>
    <n v="0"/>
    <m/>
    <s v="5 yrs 0 mth "/>
    <x v="1"/>
    <s v="Cancer-Cancer Drug Development and Therapeutics; Genetics-Genomics, Transcriptomics and Proteomics"/>
    <x v="17"/>
    <d v="2023-03-31T00:00:00"/>
    <n v="1"/>
    <s v="replication repair, hypermutation, cancer"/>
  </r>
  <r>
    <x v="384"/>
    <s v="Hospital for Sick Children (Toronto)"/>
    <x v="0"/>
    <x v="44"/>
    <s v="201709PJT"/>
    <x v="25"/>
    <s v="Limiting late effects following pediatric cranial radiation"/>
    <n v="994500"/>
    <n v="0"/>
    <n v="0"/>
    <m/>
    <s v="5 yrs 0 mth "/>
    <x v="1"/>
    <s v="Cancer-Pediatric Cancer; Youth Health-Prevention, Treatment and Support; Neurosciences-Cognition, Communication and Behaviour (including sleep and memory)"/>
    <x v="17"/>
    <d v="2023-03-31T00:00:00"/>
    <n v="0"/>
    <s v="cranial radiation, late effects, pediatric"/>
  </r>
  <r>
    <x v="897"/>
    <s v="Hospital for Sick Children (Toronto)"/>
    <x v="0"/>
    <x v="44"/>
    <s v="201709PJT"/>
    <x v="25"/>
    <s v="Non-invasive imaging of sensorimotor plasticity following cranial nerve repair"/>
    <n v="673200"/>
    <n v="0"/>
    <n v="0"/>
    <m/>
    <s v="5 yrs 0 mth "/>
    <x v="3"/>
    <s v="Biomedical Engineering-Biomedical Imaging; Neurosciences-Motor Systems; Neurosciences-Neurodevelopment"/>
    <x v="17"/>
    <d v="2023-03-31T00:00:00"/>
    <n v="0"/>
    <s v="imaging, sensorimotor, cranial nerve"/>
  </r>
  <r>
    <x v="898"/>
    <s v="Hospital for Sick Children (Toronto)"/>
    <x v="0"/>
    <x v="44"/>
    <s v="201803PJT"/>
    <x v="13"/>
    <s v="Molecular based approach for discovery and improved outcome for children and young adults with low grade glioma"/>
    <n v="940950"/>
    <n v="0"/>
    <n v="0"/>
    <m/>
    <s v="5 yrs 0 mth "/>
    <x v="1"/>
    <s v="Cancer-Pediatric Cancer"/>
    <x v="47"/>
    <d v="2023-09-30T00:00:00"/>
    <n v="0"/>
    <s v="molecular, glioma, children"/>
  </r>
  <r>
    <x v="899"/>
    <s v="Hospital for Sick Children (Toronto)"/>
    <x v="0"/>
    <x v="44"/>
    <s v="201803PJT"/>
    <x v="13"/>
    <s v="Molecular and Functional Characterization of Childhood Ependymoma"/>
    <n v="914176"/>
    <n v="0"/>
    <n v="0"/>
    <m/>
    <s v="5 yrs 0 mth "/>
    <x v="1"/>
    <s v="Cancer-Pediatric Cancer; Cancer-Cancer Drug Development and Therapeutics; Cancer-Cancer Progression and Metastasis"/>
    <x v="47"/>
    <d v="2023-09-30T00:00:00"/>
    <n v="0"/>
    <s v="Molecular, Functional, Ependymoma"/>
  </r>
  <r>
    <x v="900"/>
    <s v="Hospital for Sick Children (Toronto)"/>
    <x v="0"/>
    <x v="44"/>
    <s v="201809PJT"/>
    <x v="23"/>
    <s v="Targeting potassium channel to disrupt the cellular hierarchy and suppress malignant growth of pediatric brain tumor"/>
    <n v="891225"/>
    <n v="0"/>
    <n v="0"/>
    <m/>
    <s v="5 yrs 0 mth "/>
    <x v="1"/>
    <s v="Cancer-Mechanisms of Carcinogenesis; Cancer-Pediatric Cancer"/>
    <x v="18"/>
    <d v="2024-03-31T00:00:00"/>
    <n v="0"/>
    <s v="potassium channel, cellular hierarchy, malignant growth"/>
  </r>
  <r>
    <x v="388"/>
    <s v="Hospital for Sick Children (Toronto)"/>
    <x v="0"/>
    <x v="44"/>
    <s v="201809PJT"/>
    <x v="14"/>
    <s v="Targeting Relapsed Metastatic Neuroblastoma"/>
    <n v="929475"/>
    <n v="0"/>
    <n v="0"/>
    <m/>
    <s v="5 yrs 0 mth "/>
    <x v="1"/>
    <s v="Cancer-Pediatric Cancer; Cancer-Cancer Progression and Metastasis"/>
    <x v="18"/>
    <d v="2024-03-31T00:00:00"/>
    <n v="0"/>
    <s v="Relapsed, Metastatic, Neuroblastoma"/>
  </r>
  <r>
    <x v="376"/>
    <s v="Hospital for Sick Children (Toronto)"/>
    <x v="0"/>
    <x v="44"/>
    <s v="201809PJT"/>
    <x v="13"/>
    <s v="Molecular Basis of Clinical Heterogeneity in Rhabdoid Brain Tumours"/>
    <n v="1023190"/>
    <n v="0"/>
    <n v="0"/>
    <m/>
    <s v="5 yrs 0 mth "/>
    <x v="1"/>
    <s v="Cancer-Pediatric Cancer"/>
    <x v="18"/>
    <d v="2024-03-31T00:00:00"/>
    <n v="0"/>
    <s v="Molecular, Rhabdoid, Brain Tumours"/>
  </r>
  <r>
    <x v="901"/>
    <s v="Hospital for Sick Children (Toronto)"/>
    <x v="0"/>
    <x v="44"/>
    <s v="201903PJT"/>
    <x v="11"/>
    <s v="Magnetic Resonance-guided Focused Ultrasound for Incisionless Musculotendinous Contracture Release"/>
    <n v="424576"/>
    <n v="0"/>
    <n v="0"/>
    <m/>
    <s v="3 yrs 0 mth "/>
    <x v="0"/>
    <s v="Musculoskeletal Health-Skeletal Muscle Biology and Physiology; Biomedical Engineering-Biophysics, Medical Technologies and Instrumentation"/>
    <x v="48"/>
    <d v="2022-09-30T00:00:00"/>
    <n v="0"/>
    <s v="Magnetic Resonance, Focused Ultrasound, Musculotendinous"/>
  </r>
  <r>
    <x v="379"/>
    <s v="Hospital for Sick Children (Toronto)"/>
    <x v="0"/>
    <x v="44"/>
    <s v="201903PJT"/>
    <x v="13"/>
    <s v="Approaches to regulate Cbl ubiquitin ligase activity and control oncogenic tyrosine kinase signaling."/>
    <n v="906526"/>
    <n v="0"/>
    <n v="0"/>
    <m/>
    <s v="5 yrs 0 mth "/>
    <x v="1"/>
    <s v="Cancer-Cancer Drug Development and Therapeutics; Molecular, Cellular and Systems Biology-Cell Signaling; Molecular, Cellular and Systems Biology-Cell Biology and Physiology"/>
    <x v="48"/>
    <d v="2024-09-30T00:00:00"/>
    <n v="0"/>
    <s v="Cbl, ubiquitin ligase, tyrosine kinase"/>
  </r>
  <r>
    <x v="902"/>
    <s v="Hospital for Sick Children (Toronto)"/>
    <x v="0"/>
    <x v="44"/>
    <s v="201909PJT"/>
    <x v="23"/>
    <s v="Modeling brain cancer in a regionally defined human neural stem cell system"/>
    <n v="956250"/>
    <n v="0"/>
    <n v="0"/>
    <m/>
    <s v="5 yrs 0 mth "/>
    <x v="1"/>
    <s v="Cancer-Mechanisms of Carcinogenesis; Cancer-Pediatric Cancer; Neurosciences-Neurodevelopment; cancer progression, pediatric cancer"/>
    <x v="13"/>
    <d v="2025-03-31T00:00:00"/>
    <n v="1"/>
    <s v="brain cancer, neural stem cells, modeling"/>
  </r>
  <r>
    <x v="903"/>
    <s v="Hospital for Sick Children (Toronto)"/>
    <x v="0"/>
    <x v="44"/>
    <s v="201909PJT"/>
    <x v="14"/>
    <s v="Combined MEK inhibition and metronomic chemotherapy for recurrent/refractory paediatric low grade gliomas"/>
    <n v="1526175"/>
    <n v="0"/>
    <n v="0"/>
    <m/>
    <s v="5 yrs 0 mth "/>
    <x v="1"/>
    <s v="Cancer-Pediatric Cancer"/>
    <x v="13"/>
    <d v="2025-03-31T00:00:00"/>
    <n v="0"/>
    <s v="MEK inhibition, chemotherapy, gliomas"/>
  </r>
  <r>
    <x v="904"/>
    <s v="Hospital for Sick Children (Toronto)"/>
    <x v="0"/>
    <x v="44"/>
    <s v="201909PJT"/>
    <x v="13"/>
    <s v="Targeting the immune landscape at presentation and relapse of Immune-Related Lobular Breast Cancer"/>
    <n v="956250"/>
    <n v="0"/>
    <n v="0"/>
    <m/>
    <s v="5 yrs 0 mth "/>
    <x v="1"/>
    <s v="Cancer-Cancer Drug Development and Therapeutics; Cancer-Cancer Progression and Metastasis; Immunology and Infection-Transplantation, Immune Tolerance and Tumor Immunology"/>
    <x v="13"/>
    <d v="2025-03-31T00:00:00"/>
    <n v="0"/>
    <s v="immune, lobular breast cancer, relapse"/>
  </r>
  <r>
    <x v="372"/>
    <s v="Hospital for Sick Children (Toronto)"/>
    <x v="0"/>
    <x v="44"/>
    <s v="201909PJT"/>
    <x v="11"/>
    <s v="Hemodynamics of Pediatric Congenital Heart Disease Using Accelerated and Motion-Compensated MRI"/>
    <n v="722925"/>
    <n v="0"/>
    <n v="0"/>
    <m/>
    <s v="5 yrs 0 mth "/>
    <x v="11"/>
    <s v="Biomedical Engineering-Biomedical Imaging; Cardiovascular, Respiratory and Circulatory Systems-Clinical and Translational Cardiovascular Sciences"/>
    <x v="13"/>
    <d v="2025-03-31T00:00:00"/>
    <n v="0"/>
    <s v="Hemodynamics, MRI, Congenital Heart Disease"/>
  </r>
  <r>
    <x v="382"/>
    <s v="Hospital for Sick Children (Toronto)"/>
    <x v="0"/>
    <x v="44"/>
    <s v="201909PJT"/>
    <x v="11"/>
    <s v="Predicting and preventing brain injury in the antenatal period"/>
    <n v="891225"/>
    <n v="0"/>
    <n v="0"/>
    <m/>
    <s v="5 yrs 0 mth "/>
    <x v="10"/>
    <s v="Biomedical Engineering-Biomedical Imaging; Reproduction and Development-Clinical Embryology, Neonatology and Pediatrics; Cardiovascular, Respiratory and Circulatory Systems-Cardiovascular and Circulatory Sciences"/>
    <x v="13"/>
    <d v="2025-03-31T00:00:00"/>
    <n v="0"/>
    <s v="brain injury, antenatal, prediction"/>
  </r>
  <r>
    <x v="905"/>
    <s v="Hospital for Sick Children (Toronto)"/>
    <x v="0"/>
    <x v="44"/>
    <s v="202003PJT"/>
    <x v="14"/>
    <s v="Epigenetic mechanisms of gastric cancer associated with ARID1A mutations and H. pylori"/>
    <n v="918000"/>
    <n v="0"/>
    <n v="0"/>
    <m/>
    <s v="5 yrs 0 mth "/>
    <x v="1"/>
    <s v="Cancer-Cancer Progression and Metastasis"/>
    <x v="49"/>
    <d v="2025-09-30T00:00:00"/>
    <n v="0"/>
    <s v="epigenetic, gastric cancer, ARID1A"/>
  </r>
  <r>
    <x v="684"/>
    <s v="Hospital for Sick Children (Toronto)"/>
    <x v="0"/>
    <x v="44"/>
    <s v="202010PJT"/>
    <x v="11"/>
    <s v="Magnetic Resonance Imaging Toolbox for Assessment of Lung Structure and Function in the Early Years of Life"/>
    <n v="627635"/>
    <n v="0"/>
    <n v="0"/>
    <m/>
    <s v="5 yrs 0 mth "/>
    <x v="11"/>
    <s v="Methods Development and Modelling-Quantitative Methods Development for Health Research; Cardiovascular, Respiratory and Circulatory Systems-Respiratory System Pathologies and Clinical Interventions"/>
    <x v="50"/>
    <d v="2026-03-31T00:00:00"/>
    <n v="0"/>
    <s v="Magnetic Resonance Imaging, Lung, Structure"/>
  </r>
  <r>
    <x v="906"/>
    <s v="Hospital for Sick Children (Toronto)"/>
    <x v="0"/>
    <x v="44"/>
    <s v="202104PJT"/>
    <x v="12"/>
    <s v="Application of Magnetically Actuated Robotic System for Minimally Invasive Epilepsy Surgery"/>
    <n v="405450"/>
    <n v="0"/>
    <n v="0"/>
    <m/>
    <s v="3 yrs 0 mth "/>
    <x v="10"/>
    <s v="Biomedical Engineering-Biophysics, Medical Technologies and Instrumentation"/>
    <x v="45"/>
    <d v="2024-09-30T00:00:00"/>
    <n v="1"/>
    <s v="Magnetically Actuated, Robotic System, Epilepsy"/>
  </r>
  <r>
    <x v="902"/>
    <s v="Hospital for Sick Children (Toronto)"/>
    <x v="0"/>
    <x v="44"/>
    <s v="202104PJT"/>
    <x v="23"/>
    <s v="Tracing the Cellular and Molecular Origins of Mouse and Human Medulloblastoma"/>
    <n v="956250"/>
    <n v="0"/>
    <n v="0"/>
    <m/>
    <s v="5 yrs 0 mth "/>
    <x v="1"/>
    <s v="Cancer-Pediatric Cancer; Cancer-Mechanisms of Carcinogenesis; Neurosciences-Neurodevelopment"/>
    <x v="45"/>
    <d v="2026-09-30T00:00:00"/>
    <n v="0"/>
    <s v="cellular, molecular, medulloblastoma"/>
  </r>
  <r>
    <x v="376"/>
    <s v="Hospital for Sick Children (Toronto)"/>
    <x v="0"/>
    <x v="44"/>
    <s v="202104PJT"/>
    <x v="14"/>
    <s v="Delineating mechanisms of cellular and phenotypic heterogeneity in ETMRs"/>
    <n v="967726"/>
    <n v="0"/>
    <n v="0"/>
    <m/>
    <s v="5 yrs 0 mth "/>
    <x v="1"/>
    <s v="Cancer-Pediatric Cancer"/>
    <x v="45"/>
    <d v="2026-09-30T00:00:00"/>
    <n v="0"/>
    <s v="cellular, heterogeneity, ETMRs"/>
  </r>
  <r>
    <x v="383"/>
    <s v="Hospital for Sick Children (Toronto)"/>
    <x v="0"/>
    <x v="44"/>
    <s v="202104PJT"/>
    <x v="13"/>
    <s v="Investigating diffuse midline glioma evolution and treatment resistance"/>
    <n v="1051876"/>
    <n v="0"/>
    <n v="0"/>
    <m/>
    <s v="5 yrs 0 mth "/>
    <x v="1"/>
    <s v="Cancer-Pediatric Cancer"/>
    <x v="45"/>
    <d v="2026-09-30T00:00:00"/>
    <n v="0"/>
    <s v="glioma, evolution, resistance"/>
  </r>
  <r>
    <x v="381"/>
    <s v="Hospital for Sick Children (Toronto)"/>
    <x v="0"/>
    <x v="44"/>
    <s v="202104PJT"/>
    <x v="13"/>
    <s v="Dissecting the origins and microenvironment of replication repair deficient hypermutant gliomas for novel immune based therapies"/>
    <n v="1300500"/>
    <n v="0"/>
    <n v="0"/>
    <m/>
    <s v="5 yrs 0 mth "/>
    <x v="1"/>
    <s v="Cancer-Cancer Drug Development and Therapeutics"/>
    <x v="45"/>
    <d v="2026-09-30T00:00:00"/>
    <n v="0"/>
    <s v="replication, repair, gliomas"/>
  </r>
  <r>
    <x v="902"/>
    <s v="Hospital for Sick Children (Toronto)"/>
    <x v="0"/>
    <x v="44"/>
    <s v="202109PJT"/>
    <x v="6"/>
    <s v="Determining the cellular mechanisms of initiation and evolution of hypermutant glioma"/>
    <n v="1147500"/>
    <n v="0"/>
    <n v="0"/>
    <m/>
    <s v="5 yrs 0 mth "/>
    <x v="1"/>
    <s v="Cancer-Mechanisms of Carcinogenesis; Neurosciences-Neurogenesis, Neurodifferentiation and Plasticity"/>
    <x v="51"/>
    <d v="2027-03-31T00:00:00"/>
    <n v="0"/>
    <s v="cellular, glioma, hypermutant"/>
  </r>
  <r>
    <x v="379"/>
    <s v="Hospital for Sick Children (Toronto)"/>
    <x v="0"/>
    <x v="44"/>
    <s v="202109PJT"/>
    <x v="14"/>
    <s v="Alternative splicing and Numb protein isoform function in cancer metastasis."/>
    <n v="860625"/>
    <n v="0"/>
    <n v="0"/>
    <m/>
    <s v="5 yrs 0 mth "/>
    <x v="1"/>
    <s v="Cancer-Cancer Progression and Metastasis; Molecular, Cellular and Systems Biology-Cell Signaling; Molecular, Cellular and Systems Biology-Molecular Biology"/>
    <x v="51"/>
    <d v="2027-03-31T00:00:00"/>
    <n v="0"/>
    <s v="splicing, Numb protein, metastasis"/>
  </r>
  <r>
    <x v="907"/>
    <s v="Hospital for Sick Children (Toronto)"/>
    <x v="0"/>
    <x v="44"/>
    <s v="202203PJT"/>
    <x v="24"/>
    <s v="Using heart rhythm detection as a prototype to translate machine learning equitably and reproducibly to the point of care"/>
    <n v="657900"/>
    <n v="0"/>
    <n v="0"/>
    <m/>
    <s v="3 yrs 0 mth "/>
    <x v="11"/>
    <s v="Cardiovascular, Respiratory and Circulatory Systems-Clinical and Translational Cardiovascular Sciences; Artificial Intelligence-Machine Learning"/>
    <x v="37"/>
    <d v="2025-09-30T00:00:00"/>
    <n v="0"/>
    <s v="heart rhythm, machine learning, point of care"/>
  </r>
  <r>
    <x v="908"/>
    <s v="Hospital for Sick Children (Toronto)"/>
    <x v="0"/>
    <x v="44"/>
    <s v="202203PJT"/>
    <x v="12"/>
    <s v="Development of miniaturized robotic tools for cleft palate repair"/>
    <n v="742050"/>
    <n v="0"/>
    <n v="0"/>
    <m/>
    <s v="5 yrs 0 mth "/>
    <x v="10"/>
    <s v="Biomedical Engineering-Biophysics, Medical Technologies and Instrumentation"/>
    <x v="37"/>
    <d v="2027-09-30T00:00:00"/>
    <n v="0"/>
    <s v="robotic tools, cleft palate"/>
  </r>
  <r>
    <x v="383"/>
    <s v="Hospital for Sick Children (Toronto)"/>
    <x v="0"/>
    <x v="44"/>
    <s v="202203PJT"/>
    <x v="13"/>
    <s v="Next generation precision oncology for pediatric-type AYA gliomas"/>
    <n v="1342576"/>
    <n v="0"/>
    <n v="0"/>
    <m/>
    <s v="5 yrs 0 mth "/>
    <x v="1"/>
    <s v="Cancer-Cancer Drug Development and Therapeutics; Cancer-Pediatric Cancer"/>
    <x v="37"/>
    <d v="2027-09-30T00:00:00"/>
    <n v="0"/>
    <s v="precision, oncology, gliomas"/>
  </r>
  <r>
    <x v="378"/>
    <s v="Hospital for Sick Children (Toronto)"/>
    <x v="0"/>
    <x v="44"/>
    <s v="202210PJT"/>
    <x v="14"/>
    <s v="Establishment of a drug discovery and delivery platform for diffuse intrinsic pontine glioma (DIPG)."/>
    <n v="100000"/>
    <n v="0"/>
    <n v="0"/>
    <m/>
    <s v="1 yr 0 mth "/>
    <x v="1"/>
    <s v="Cancer-Cancer Drug Development and Therapeutics"/>
    <x v="52"/>
    <d v="2024-03-31T00:00:00"/>
    <n v="0"/>
    <s v="drug delivery, diffuse intrinsic pontine glioma, drug discovery"/>
  </r>
  <r>
    <x v="901"/>
    <s v="Hospital for Sick Children (Toronto)"/>
    <x v="0"/>
    <x v="44"/>
    <s v="202209PJT"/>
    <x v="12"/>
    <s v="Minimally Invasive Robotic Surgical Tools for In-utero Repair of Open Spina Bifida"/>
    <n v="397800"/>
    <n v="0"/>
    <n v="0"/>
    <m/>
    <s v="4 yrs 0 mth "/>
    <x v="10"/>
    <s v="Biomedical Engineering-Biophysics, Medical Technologies and Instrumentation"/>
    <x v="52"/>
    <d v="2027-03-31T00:00:00"/>
    <n v="0"/>
    <s v="Robotic, Surgical, Spina Bifida"/>
  </r>
  <r>
    <x v="909"/>
    <s v="Hospital for Sick Children (Toronto)"/>
    <x v="0"/>
    <x v="44"/>
    <s v="202209PJT"/>
    <x v="11"/>
    <s v="An MRI-compatible focused ultrasound platform for non-invasive treatment of intraventricular hemorrhage of prematurity"/>
    <n v="612000"/>
    <n v="0"/>
    <n v="0"/>
    <m/>
    <s v="4 yrs 0 mth "/>
    <x v="10"/>
    <s v="Biomedical Engineering-Biophysics, Medical Technologies and Instrumentation; Biomedical Engineering-Biomedical Imaging; Reproduction and Development-Clinical Embryology, Neonatology and Pediatrics"/>
    <x v="52"/>
    <d v="2027-03-31T00:00:00"/>
    <n v="0"/>
    <s v="MRI, ultrasound, hemorrhage"/>
  </r>
  <r>
    <x v="910"/>
    <s v="Hospital for Sick Children (Toronto)"/>
    <x v="0"/>
    <x v="44"/>
    <s v="202209PJT"/>
    <x v="14"/>
    <s v="Upfront Adaptive Immunotherapy Approach for Hypermutant Glioblastoma in Children, Adolescents and Young Adults"/>
    <n v="1377000"/>
    <n v="0"/>
    <n v="0"/>
    <m/>
    <s v="5 yrs 0 mth "/>
    <x v="1"/>
    <s v="Cancer-Cancer Drug Development and Therapeutics; Cancer-Clinical Oncology"/>
    <x v="52"/>
    <d v="2028-03-31T00:00:00"/>
    <n v="0"/>
    <s v="Adaptive Immunotherapy, Glioblastoma, Hypermutant"/>
  </r>
  <r>
    <x v="911"/>
    <s v="Hospital for Sick Children (Toronto)"/>
    <x v="0"/>
    <x v="44"/>
    <s v="202209PJT"/>
    <x v="13"/>
    <s v="Exploiting therapeutic vulnerabilities to identify new treatments for high-risk SHH medulloblastoma"/>
    <n v="1285200"/>
    <n v="0"/>
    <n v="0"/>
    <m/>
    <s v="5 yrs 0 mth "/>
    <x v="1"/>
    <s v="Cancer-Pediatric Cancer"/>
    <x v="52"/>
    <d v="2028-03-31T00:00:00"/>
    <n v="0"/>
    <s v="therapeutic vulnerabilities, SHH medulloblastoma"/>
  </r>
  <r>
    <x v="381"/>
    <s v="Hospital for Sick Children (Toronto)"/>
    <x v="0"/>
    <x v="44"/>
    <s v="202209PJT"/>
    <x v="13"/>
    <s v="Uncovering the mechanism and impact of novel genetic and epigenetic promoter alterations on tissue-specific mismatch repair deficient cancers"/>
    <n v="1147500"/>
    <n v="0"/>
    <n v="0"/>
    <m/>
    <s v="5 yrs 0 mth "/>
    <x v="5"/>
    <s v="Cancer-Mechanisms of Carcinogenesis; Genetics-Molecular and Functional Genetics and Epigenetics; Methods Development and Modelling-Quantitative Methods Development for Health Research"/>
    <x v="52"/>
    <d v="2028-03-31T00:00:00"/>
    <n v="1"/>
    <s v="genetic, epigenetic, mismatch repair"/>
  </r>
  <r>
    <x v="908"/>
    <s v="Hospital for Sick Children (Toronto)"/>
    <x v="0"/>
    <x v="44"/>
    <s v="202303PJT"/>
    <x v="12"/>
    <s v="Development of a minimally invasive bone cutting tool for craniosynostosis surgery"/>
    <n v="864450"/>
    <n v="0"/>
    <n v="0"/>
    <m/>
    <s v="5 yrs 0 mth "/>
    <x v="10"/>
    <s v="Biomedical Engineering-Biophysics, Medical Technologies and Instrumentation"/>
    <x v="36"/>
    <d v="2028-09-30T00:00:00"/>
    <n v="1"/>
    <s v="bone, cutting, craniosynostosis"/>
  </r>
  <r>
    <x v="373"/>
    <s v="Hospital for Sick Children (Toronto)"/>
    <x v="0"/>
    <x v="44"/>
    <s v="202303PJT"/>
    <x v="14"/>
    <s v="Developing diagnostics of patient-specific cancer risk and early-stage tumorigenesis"/>
    <n v="906526"/>
    <n v="0"/>
    <n v="0"/>
    <m/>
    <s v="5 yrs 0 mth "/>
    <x v="1"/>
    <s v="Cancer-Pediatric Cancer"/>
    <x v="36"/>
    <d v="2028-09-30T00:00:00"/>
    <n v="0"/>
    <s v="diagnostics, cancer, tumorigenesis"/>
  </r>
  <r>
    <x v="372"/>
    <s v="Hospital for Sick Children (Toronto)"/>
    <x v="0"/>
    <x v="44"/>
    <s v="202303PJT"/>
    <x v="11"/>
    <s v="Advanced Fetal MRI Methods to Evaluate Prenatal Organ Development and Predict Postnatal Outcome in Congenital Heart Disease"/>
    <n v="1048050"/>
    <n v="0"/>
    <n v="0"/>
    <m/>
    <s v="5 yrs 0 mth "/>
    <x v="11"/>
    <s v="Biomedical Engineering-Biomedical Imaging; Cardiovascular, Respiratory and Circulatory Systems-Clinical and Translational Cardiovascular Sciences"/>
    <x v="36"/>
    <d v="2028-09-30T00:00:00"/>
    <n v="0"/>
    <s v="Fetal MRI, Prenatal Organ Development, Congenital Heart Disease"/>
  </r>
  <r>
    <x v="912"/>
    <s v="Hospital for Sick Children (Toronto)"/>
    <x v="0"/>
    <x v="44"/>
    <s v="202309PJT"/>
    <x v="6"/>
    <s v="Lung cancer therapy using genetically modified macrophages"/>
    <n v="979200"/>
    <n v="0"/>
    <n v="0"/>
    <m/>
    <s v="5 yrs 0 mth "/>
    <x v="11"/>
    <s v="Cardiovascular, Respiratory and Circulatory Systems-Respiratory System Pathologies and Clinical Interventions; Cancer-Cancer Drug Development and Therapeutics"/>
    <x v="46"/>
    <d v="2029-03-31T00:00:00"/>
    <n v="0"/>
    <s v="lung cancer, macrophages, genetically modified"/>
  </r>
  <r>
    <x v="384"/>
    <s v="Hospital for Sick Children (Toronto)"/>
    <x v="0"/>
    <x v="44"/>
    <s v="202309PJT"/>
    <x v="11"/>
    <s v="Genetic determinants of radiation-induced brain toxicity in a juvenile mouse model"/>
    <n v="1143675"/>
    <n v="0"/>
    <n v="0"/>
    <m/>
    <s v="5 yrs 0 mth "/>
    <x v="1"/>
    <s v="Cancer-Pediatric Cancer; Neurosciences-Cognition, Communication and Behaviour (including sleep and memory); Youth Health-Prevention, Treatment and Support"/>
    <x v="46"/>
    <d v="2029-03-31T00:00:00"/>
    <n v="0"/>
    <s v="genetic, radiation, brain toxicity"/>
  </r>
  <r>
    <x v="392"/>
    <s v="Institut de recherches cliniques de Montréal"/>
    <x v="2"/>
    <x v="44"/>
    <s v="202109PJT"/>
    <x v="13"/>
    <s v="Investigation of a novel tumor suppressor mechanism in medulloblastoma"/>
    <n v="990675"/>
    <n v="0"/>
    <n v="0"/>
    <m/>
    <s v="5 yrs 0 mth "/>
    <x v="8"/>
    <s v="Cancer-Pediatric Cancer"/>
    <x v="51"/>
    <d v="2027-03-31T00:00:00"/>
    <n v="0"/>
    <s v="tumor suppressor, medulloblastoma"/>
  </r>
  <r>
    <x v="913"/>
    <s v="Institut de recherches cliniques de Montréal"/>
    <x v="2"/>
    <x v="44"/>
    <s v="202104PJT"/>
    <x v="6"/>
    <s v="Targeting inhibitory immune checkpoints in macrophages for anti-cancer therapy"/>
    <n v="956250"/>
    <n v="0"/>
    <n v="0"/>
    <m/>
    <s v="5 yrs 0 mth "/>
    <x v="7"/>
    <s v="Cancer-Cancer Drug Development and Therapeutics; Immunology and Infection-Transplantation, Immune Tolerance and Tumor Immunology; Immunology and Infection-Immunology and Autoimmune Diseases (including rheumatology)"/>
    <x v="55"/>
    <d v="2027-06-30T00:00:00"/>
    <n v="0"/>
    <s v="immune checkpoints, macrophages, cancer"/>
  </r>
  <r>
    <x v="913"/>
    <s v="Institut de recherches cliniques de Montréal"/>
    <x v="2"/>
    <x v="44"/>
    <s v="202203PJT"/>
    <x v="6"/>
    <s v="SLAMF7 in innate immune cells and anti-cancer immunotherapy"/>
    <n v="956250"/>
    <n v="0"/>
    <n v="0"/>
    <m/>
    <s v="5 yrs 0 mth "/>
    <x v="7"/>
    <s v="Cancer-Cancer Drug Development and Therapeutics; Immunology and Infection-Transplantation, Immune Tolerance and Tumor Immunology"/>
    <x v="37"/>
    <d v="2027-09-30T00:00:00"/>
    <n v="0"/>
    <s v="SLAMF7, immune cells, immunotherapy"/>
  </r>
  <r>
    <x v="391"/>
    <s v="Institut de recherches cliniques de Montréal"/>
    <x v="2"/>
    <x v="44"/>
    <s v="202209PJT"/>
    <x v="6"/>
    <s v="Therapeutic potential of the long non-coding RNA ELDR for the Acute Myeloid Leukemia subtype M5 with t(9;11) translocations"/>
    <n v="992014"/>
    <n v="0"/>
    <n v="0"/>
    <m/>
    <s v="5 yrs 0 mth "/>
    <x v="1"/>
    <s v="Cancer-Mechanisms of Carcinogenesis; Molecular, Cellular and Systems Biology-Molecular Biology"/>
    <x v="52"/>
    <d v="2028-03-31T00:00:00"/>
    <n v="0"/>
    <s v="long non-coding RNA, Acute Myeloid Leukemia, ELDR"/>
  </r>
  <r>
    <x v="391"/>
    <s v="Institut de recherches cliniques de Montréal"/>
    <x v="2"/>
    <x v="44"/>
    <s v="202203PJT"/>
    <x v="6"/>
    <s v="The role of the RNA helicase DDX3X in Burkitt Lymphoma and its potential as a new therapeutic target"/>
    <n v="1162800"/>
    <n v="0"/>
    <n v="0"/>
    <m/>
    <s v="5 yrs 0 mth "/>
    <x v="1"/>
    <s v="Cancer-Mechanisms of Carcinogenesis"/>
    <x v="56"/>
    <d v="2028-06-30T00:00:00"/>
    <n v="0"/>
    <s v="RNA helicase, DDX3X, Burkitt Lymphoma"/>
  </r>
  <r>
    <x v="394"/>
    <s v="IWK Health Centre (Halifax)"/>
    <x v="6"/>
    <x v="44"/>
    <s v="201903PJT"/>
    <x v="14"/>
    <s v="Using the zebrafish as a model for chemoprevention for TP53 mutation carriers"/>
    <n v="845326"/>
    <n v="0"/>
    <n v="0"/>
    <m/>
    <s v="5 yrs 0 mth "/>
    <x v="1"/>
    <s v="Genetics-Molecular and Functional Genetics and Epigenetics; Cancer-Pediatric Cancer; Pharmacological, Toxicological and Pharmaceutical Sciences-Translational and Clinical Pharmacology"/>
    <x v="48"/>
    <d v="2024-09-30T00:00:00"/>
    <n v="0"/>
    <s v="zebrafish, chemoprevention, TP53"/>
  </r>
  <r>
    <x v="914"/>
    <s v="Lakehead University (Thunder Bay, Ontario)"/>
    <x v="0"/>
    <x v="44"/>
    <s v="202203PJT"/>
    <x v="11"/>
    <s v="Prostate-targeted PET/TRUS dual-modality imaging system for diagnosis and image-guided biopsy."/>
    <n v="738226"/>
    <n v="0"/>
    <n v="0"/>
    <m/>
    <s v="5 yrs 0 mth "/>
    <x v="1"/>
    <s v="Biomedical Engineering-Biomedical Imaging; Molecular Imaging"/>
    <x v="37"/>
    <d v="2027-09-30T00:00:00"/>
    <n v="0"/>
    <s v="Prostate, PET, TRUS"/>
  </r>
  <r>
    <x v="915"/>
    <s v="London Health Sciences Centre Res. Inc. (Ont.)"/>
    <x v="0"/>
    <x v="44"/>
    <s v="201709PJT"/>
    <x v="6"/>
    <s v="Inducing Mismatch Repair Deficiency in Cancer Cells for Therapeutic Benefit"/>
    <n v="983025"/>
    <n v="0"/>
    <n v="0"/>
    <m/>
    <s v="5 yrs 0 mth "/>
    <x v="1"/>
    <s v="Cancer-Cancer Drug Development and Therapeutics; Immunology and Infection-Immunology and Autoimmune Diseases (including rheumatology); Pharmacological, Toxicological and Pharmaceutical Sciences-Drug Discovery, Design and Delivery"/>
    <x v="17"/>
    <d v="2023-03-31T00:00:00"/>
    <n v="0"/>
    <s v="Mismatch repair, cancer cells, deficiency"/>
  </r>
  <r>
    <x v="916"/>
    <s v="London Health Sciences Centre Res. Inc. (Ont.)"/>
    <x v="0"/>
    <x v="44"/>
    <s v="201809PJT"/>
    <x v="12"/>
    <s v="Therapeutic potential of bloodless oxygenated perfusion of donor kidneys for prolonged storage and protection for transplantation"/>
    <n v="520200"/>
    <n v="0"/>
    <n v="0"/>
    <m/>
    <s v="4 yrs 0 mth "/>
    <x v="8"/>
    <s v="Methods Development and Modelling-Quantitative Methods Development for Health Research; Immunology and Infection-Transplantation, Immune Tolerance and Tumor Immunology; Health Services and Systems-Management of Chronic Diseases and Conditions"/>
    <x v="18"/>
    <d v="2023-03-31T00:00:00"/>
    <n v="0"/>
    <s v="bloodless, oxygenated perfusion, kidneys"/>
  </r>
  <r>
    <x v="397"/>
    <s v="London Health Sciences Centre Res. Inc. (Ont.)"/>
    <x v="0"/>
    <x v="44"/>
    <s v="201804PJT"/>
    <x v="11"/>
    <s v="Selective Brain Hypothermia via Intranasal Cooling to Limit Brain Injury  Post Cardiac Arrest"/>
    <n v="100000"/>
    <n v="0"/>
    <n v="0"/>
    <m/>
    <s v="1 yr 0 mth "/>
    <x v="11"/>
    <s v="Cardiovascular, Respiratory and Circulatory Systems-Cardiovascular and Circulatory Sciences; Neurosciences-Neuroinflammation; Biomedical Engineering-Biomedical Imaging"/>
    <x v="13"/>
    <d v="2024-03-31T00:00:00"/>
    <n v="0"/>
    <s v="brain injury, hypothermia, intranasal cooling"/>
  </r>
  <r>
    <x v="917"/>
    <s v="London Health Sciences Centre Res. Inc. (Ont.)"/>
    <x v="0"/>
    <x v="44"/>
    <s v="201909PJT"/>
    <x v="11"/>
    <s v="Multi-centre diagnostic performance of dynamic CT perfusion for functional assessment of multi-vessel coronary artery disease with dense coronary calcification"/>
    <n v="581246"/>
    <n v="0"/>
    <n v="0"/>
    <m/>
    <s v="3 yrs 0 mth "/>
    <x v="11"/>
    <s v="Cardiovascular, Respiratory and Circulatory Systems-Clinical and Translational Cardiovascular Sciences"/>
    <x v="13"/>
    <d v="2023-03-31T00:00:00"/>
    <n v="1"/>
    <s v="CT perfusion, coronary artery disease, calcification"/>
  </r>
  <r>
    <x v="397"/>
    <s v="London Health Sciences Centre Res. Inc. (Ont.)"/>
    <x v="0"/>
    <x v="44"/>
    <s v="201909PJT"/>
    <x v="11"/>
    <s v="Selective Brain Hypothermia via Intranasal Cooling to Limit Brain Injury Post Cardiac Arrest"/>
    <n v="543152"/>
    <n v="0"/>
    <n v="0"/>
    <m/>
    <s v="4 yrs 0 mth "/>
    <x v="11"/>
    <s v="Cardiovascular, Respiratory and Circulatory Systems-Cardiovascular and Circulatory Sciences; Neurosciences-Neuroinflammation; Biomedical Engineering-Biomedical Imaging"/>
    <x v="13"/>
    <d v="2024-03-31T00:00:00"/>
    <n v="0"/>
    <s v="brain, hypothermia, cooling"/>
  </r>
  <r>
    <x v="395"/>
    <s v="London Health Sciences Centre Res. Inc. (Ont.)"/>
    <x v="0"/>
    <x v="44"/>
    <s v="202010PJT"/>
    <x v="11"/>
    <s v="Development of a non-invasive optical device to guide individualized neurointensive care"/>
    <n v="631125"/>
    <n v="0"/>
    <n v="0"/>
    <m/>
    <s v="5 yrs 0 mth "/>
    <x v="11"/>
    <s v="Biomedical Engineering-Biomedical Imaging; Biomedical Engineering-Biophysics, Medical Technologies and Instrumentation"/>
    <x v="50"/>
    <d v="2026-03-31T00:00:00"/>
    <n v="0"/>
    <s v="optical device, neurointensive care, non-invasive"/>
  </r>
  <r>
    <x v="395"/>
    <s v="London Health Sciences Centre Res. Inc. (Ont.)"/>
    <x v="0"/>
    <x v="44"/>
    <s v="202109PJT"/>
    <x v="11"/>
    <s v="Does Impaired Cerebral Metabolism Link Vascular Dysfunction to Cognitive Decline?"/>
    <n v="612000"/>
    <n v="0"/>
    <n v="0"/>
    <m/>
    <s v="5 yrs 0 mth "/>
    <x v="6"/>
    <s v="Biomedical Engineering-Biomedical Imaging"/>
    <x v="51"/>
    <d v="2027-03-31T00:00:00"/>
    <n v="0"/>
    <s v="Cerebral Metabolism, Vascular Dysfunction, Cognitive Decline"/>
  </r>
  <r>
    <x v="918"/>
    <s v="London Health Sciences Centre Res. Inc. (Ont.)"/>
    <x v="0"/>
    <x v="44"/>
    <s v="202209PJT"/>
    <x v="24"/>
    <s v="Drug repositioning in a simulated ischemia-reperfusion injury model for the preservation of donor kidneys at room temperature"/>
    <n v="344250"/>
    <n v="0"/>
    <n v="0"/>
    <m/>
    <s v="3 yrs 0 mth "/>
    <x v="11"/>
    <s v="Methods Development and Modelling-Quantitative Methods Development for Health Research"/>
    <x v="52"/>
    <d v="2026-03-31T00:00:00"/>
    <n v="0"/>
    <s v="drug repositioning, ischemia-reperfusion injury, kidney preservation"/>
  </r>
  <r>
    <x v="919"/>
    <s v="McGill University"/>
    <x v="2"/>
    <x v="44"/>
    <s v="201709PJT"/>
    <x v="12"/>
    <s v="Patient-specific computational models of vocal recovery from phonosurgery"/>
    <n v="558450"/>
    <n v="0"/>
    <n v="0"/>
    <m/>
    <s v="5 yrs 0 mth "/>
    <x v="5"/>
    <s v="Methods Development and Modelling-Quantitative Methods Development for Health Research"/>
    <x v="17"/>
    <d v="2023-03-31T00:00:00"/>
    <n v="0"/>
    <s v="computational models, vocal recovery, phonosurgery"/>
  </r>
  <r>
    <x v="399"/>
    <s v="McGill University"/>
    <x v="2"/>
    <x v="44"/>
    <s v="201709PJT"/>
    <x v="6"/>
    <s v="Investigating LKB1-mediated inflammation as a mediator of tumour progression"/>
    <n v="837675"/>
    <n v="0"/>
    <n v="0"/>
    <m/>
    <s v="5 yrs 0 mth "/>
    <x v="1"/>
    <s v="Cancer-Mechanisms of Carcinogenesis; Cancer-Cancer Progression and Metastasis; Immunology and Infection-Transplantation, Immune Tolerance and Tumor Immunology"/>
    <x v="17"/>
    <d v="2023-03-31T00:00:00"/>
    <n v="0"/>
    <s v="LKB1, inflammation, tumour progression"/>
  </r>
  <r>
    <x v="404"/>
    <s v="McGill University"/>
    <x v="2"/>
    <x v="44"/>
    <s v="201709PJT"/>
    <x v="6"/>
    <s v="Base Excision Repair in Cancer- New Mechanisms, Dependencies and Vulnerabilities"/>
    <n v="826200"/>
    <n v="0"/>
    <n v="0"/>
    <m/>
    <s v="5 yrs 0 mth "/>
    <x v="1"/>
    <s v="Cancer-Cancer Drug Development and Therapeutics; Molecular, Cellular and Systems Biology-Structure and Function of Macromolecules"/>
    <x v="17"/>
    <d v="2023-03-31T00:00:00"/>
    <n v="0"/>
    <s v="Base Excision Repair, Cancer, Vulnerabilities"/>
  </r>
  <r>
    <x v="920"/>
    <s v="McGill University"/>
    <x v="2"/>
    <x v="44"/>
    <s v="201709PJT"/>
    <x v="23"/>
    <s v="Distinct roles for the Par6 polarity protein in development of low- and high-grade breast cancers."/>
    <n v="898875"/>
    <n v="0"/>
    <n v="0"/>
    <m/>
    <s v="5 yrs 0 mth "/>
    <x v="1"/>
    <s v="Cancer-Mechanisms of Carcinogenesis"/>
    <x v="17"/>
    <d v="2023-03-31T00:00:00"/>
    <n v="0"/>
    <s v="Par6, polarity protein, breast cancers"/>
  </r>
  <r>
    <x v="418"/>
    <s v="McGill University"/>
    <x v="2"/>
    <x v="44"/>
    <s v="201709PJT"/>
    <x v="14"/>
    <s v="Targeting vulnerabilities in SMARCA4-deficient lung cancers"/>
    <n v="845325"/>
    <n v="0"/>
    <n v="0"/>
    <m/>
    <s v="5 yrs 0 mth "/>
    <x v="1"/>
    <s v="Cancer-Cancer Drug Development and Therapeutics"/>
    <x v="17"/>
    <d v="2023-03-31T00:00:00"/>
    <n v="0"/>
    <s v="SMARCA4, lung cancer, vulnerabilities"/>
  </r>
  <r>
    <x v="415"/>
    <s v="McGill University"/>
    <x v="2"/>
    <x v="44"/>
    <s v="201803PJT"/>
    <x v="12"/>
    <s v="Microfiltration of Circulating and Disseminated Tumor Cells in Ovarian Cancer: From Monitoring Therapeutic Response Towards Predicting Disease Outcome"/>
    <n v="382500"/>
    <n v="0"/>
    <n v="0"/>
    <m/>
    <s v="3 yrs 0 mth "/>
    <x v="1"/>
    <s v="Biomedical Engineering-Biophysics, Medical Technologies and Instrumentation; Methods Development and Modelling-Quantitative Methods Development for Health Research; Cancer-Cancer Progression and Metastasis"/>
    <x v="47"/>
    <d v="2021-09-30T00:00:00"/>
    <n v="0"/>
    <s v="Microfiltration, Tumor Cells, Ovarian Cancer"/>
  </r>
  <r>
    <x v="921"/>
    <s v="McGill University"/>
    <x v="2"/>
    <x v="44"/>
    <s v="201803PJT"/>
    <x v="6"/>
    <s v="Impact of obesity-associated inflammation on breast cancer progression"/>
    <n v="944776"/>
    <n v="0"/>
    <n v="0"/>
    <m/>
    <s v="5 yrs 0 mth "/>
    <x v="1"/>
    <s v="Cancer-Cancer Progression and Metastasis; Immunology and Infection-Transplantation, Immune Tolerance and Tumor Immunology"/>
    <x v="47"/>
    <d v="2023-09-30T00:00:00"/>
    <n v="0"/>
    <s v="obesity, inflammation, breast cancer"/>
  </r>
  <r>
    <x v="922"/>
    <s v="McGill University"/>
    <x v="2"/>
    <x v="44"/>
    <s v="201809PJT"/>
    <x v="12"/>
    <s v="Nanoplexes for Targeted Anti-Inflammatory Gene Therapy in Atherosclerosis"/>
    <n v="707625"/>
    <n v="0"/>
    <n v="0"/>
    <m/>
    <s v="5 yrs 0 mth "/>
    <x v="11"/>
    <s v="Biomedical Engineering-Biomaterials, Nanotechnology and Biomechanics; Biomedical Engineering-Regenerative Medicine and Tissue Engineering; Cardiovascular, Respiratory and Circulatory Systems-Vascular and Endothelial Biology"/>
    <x v="18"/>
    <d v="2024-03-31T00:00:00"/>
    <n v="0"/>
    <s v="Nanoplexes, Anti-Inflammatory, Gene Therapy"/>
  </r>
  <r>
    <x v="923"/>
    <s v="McGill University"/>
    <x v="2"/>
    <x v="44"/>
    <s v="201903PJT"/>
    <x v="12"/>
    <s v="Mechanically and Biologically Functional Adhesives for Intervertebral Disc Repair and Regeneration"/>
    <n v="520200"/>
    <n v="0"/>
    <n v="0"/>
    <m/>
    <s v="4 yrs 0 mth "/>
    <x v="0"/>
    <s v="Biomedical Engineering-Biomaterials, Nanotechnology and Biomechanics; Musculoskeletal Health-Bone, Skin and Cartilage Sciences"/>
    <x v="48"/>
    <d v="2023-09-30T00:00:00"/>
    <n v="1"/>
    <s v="Adhesives, Intervertebral Disc, Regeneration"/>
  </r>
  <r>
    <x v="404"/>
    <s v="McGill University"/>
    <x v="2"/>
    <x v="44"/>
    <s v="201909PJT"/>
    <x v="6"/>
    <s v="The Tumor Suppressor Function of CUX1"/>
    <n v="673200"/>
    <n v="0"/>
    <n v="0"/>
    <m/>
    <s v="4 yrs 0 mth "/>
    <x v="1"/>
    <s v="Molecular, Cellular and Systems Biology-Molecular Biology; Cancer-Mechanisms of Carcinogenesis"/>
    <x v="13"/>
    <d v="2024-03-31T00:00:00"/>
    <n v="0"/>
    <s v="CUX1, tumor suppressor"/>
  </r>
  <r>
    <x v="418"/>
    <s v="McGill University"/>
    <x v="2"/>
    <x v="44"/>
    <s v="202003PJT"/>
    <x v="14"/>
    <s v="Exploiting genetic vulnerabilities to improve outcomes in small cell carcinoma of the ovary"/>
    <n v="952426"/>
    <n v="0"/>
    <n v="0"/>
    <m/>
    <s v="5 yrs 0 mth "/>
    <x v="1"/>
    <s v="Cancer-Cancer Drug Development and Therapeutics"/>
    <x v="49"/>
    <d v="2025-09-30T00:00:00"/>
    <n v="0"/>
    <s v="genetic, vulnerabilities, small cell carcinoma"/>
  </r>
  <r>
    <x v="920"/>
    <s v="McGill University"/>
    <x v="2"/>
    <x v="44"/>
    <s v="202003PJT"/>
    <x v="13"/>
    <s v="Overcoming suppressive micro-environments in early breast cancer progression"/>
    <n v="1338750"/>
    <n v="0"/>
    <n v="0"/>
    <m/>
    <s v="5 yrs 0 mth "/>
    <x v="1"/>
    <s v="Cancer-Cancer Progression and Metastasis"/>
    <x v="49"/>
    <d v="2025-09-30T00:00:00"/>
    <n v="0"/>
    <s v="micro-environments, breast cancer, progression"/>
  </r>
  <r>
    <x v="414"/>
    <s v="McGill University"/>
    <x v="2"/>
    <x v="44"/>
    <s v="202010PJT"/>
    <x v="13"/>
    <s v="Identifying tumor-derived and microenvironmental factors that drive invasive growth of brain metastases"/>
    <n v="1032750"/>
    <n v="0"/>
    <n v="0"/>
    <m/>
    <s v="5 yrs 0 mth "/>
    <x v="1"/>
    <s v="Cancer-Cancer Progression and Metastasis"/>
    <x v="50"/>
    <d v="2026-03-31T00:00:00"/>
    <n v="0"/>
    <s v="tumor, microenvironment, metastases"/>
  </r>
  <r>
    <x v="924"/>
    <s v="McGill University"/>
    <x v="2"/>
    <x v="44"/>
    <s v="202104PJT"/>
    <x v="12"/>
    <s v="Conformal coating using layer-by-layer self-assembly of polyelectrolytes for immunomodulation of pancreatic islets"/>
    <n v="849150"/>
    <n v="0"/>
    <n v="0"/>
    <m/>
    <s v="5 yrs 0 mth "/>
    <x v="4"/>
    <s v="Biomedical Engineering-Biomaterials, Nanotechnology and Biomechanics; Digestive, Endocrine and Excretory Systems-Metabolism and Disease (including Obesity, Diabetes and Metabolomics); Molecular, Cellular and Systems Biology-Cell Signaling"/>
    <x v="45"/>
    <d v="2026-09-30T00:00:00"/>
    <n v="0"/>
    <s v="conformal coating, layer-by-layer, polyelectrolytes"/>
  </r>
  <r>
    <x v="921"/>
    <s v="McGill University"/>
    <x v="2"/>
    <x v="44"/>
    <s v="202104PJT"/>
    <x v="6"/>
    <s v="Targeting obesity-associated monocytosis in colorectal cancer liver metastasis"/>
    <n v="948600"/>
    <n v="0"/>
    <n v="0"/>
    <m/>
    <s v="5 yrs 0 mth "/>
    <x v="1"/>
    <s v="Cancer-Cancer Progression and Metastasis; Tumor immune microenvironment"/>
    <x v="45"/>
    <d v="2026-09-30T00:00:00"/>
    <n v="0"/>
    <s v="obesity, monocytosis, colorectal cancer"/>
  </r>
  <r>
    <x v="925"/>
    <s v="McGill University"/>
    <x v="2"/>
    <x v="44"/>
    <s v="202104PJT"/>
    <x v="13"/>
    <s v="Investigation of the sexual dimorphic role of DDX3X in melanoma"/>
    <n v="803250"/>
    <n v="0"/>
    <n v="0"/>
    <m/>
    <s v="5 yrs 0 mth "/>
    <x v="1"/>
    <s v="Cancer-Mechanisms of Carcinogenesis; Molecular, Cellular and Systems Biology-Cell Signaling; Genetics-Genomics, Transcriptomics and Proteomics"/>
    <x v="45"/>
    <d v="2026-09-30T00:00:00"/>
    <n v="0"/>
    <s v="DDX3X, melanoma, sexual dimorphism"/>
  </r>
  <r>
    <x v="415"/>
    <s v="McGill University"/>
    <x v="2"/>
    <x v="44"/>
    <s v="202109PJT"/>
    <x v="12"/>
    <s v="Single-cell imaging affinity proteomics of microfiltered circulating tumor cells: Uncovering biomarkers in colorectal cancer liver metastasis"/>
    <n v="895050"/>
    <n v="0"/>
    <n v="0"/>
    <m/>
    <s v="5 yrs 0 mth "/>
    <x v="1"/>
    <s v="Biomedical Engineering-Biomedical Imaging"/>
    <x v="51"/>
    <d v="2027-03-31T00:00:00"/>
    <n v="0"/>
    <s v="single-cell imaging, proteomics, circulating tumor cells"/>
  </r>
  <r>
    <x v="923"/>
    <s v="McGill University"/>
    <x v="2"/>
    <x v="44"/>
    <s v="202109PJT"/>
    <x v="12"/>
    <s v="Bioengineering Tough Blood Clots for Hemorrhage Control"/>
    <n v="677025"/>
    <n v="0"/>
    <n v="0"/>
    <m/>
    <s v="5 yrs 0 mth "/>
    <x v="11"/>
    <s v="Biomedical Engineering-Biomaterials, Nanotechnology and Biomechanics"/>
    <x v="51"/>
    <d v="2027-03-31T00:00:00"/>
    <n v="0"/>
    <s v="Bioengineering, Blood Clots, Hemorrhage"/>
  </r>
  <r>
    <x v="926"/>
    <s v="McGill University"/>
    <x v="2"/>
    <x v="44"/>
    <s v="202109PJT"/>
    <x v="23"/>
    <s v="Identification of biological properties and molecular signatures to predict treatment response in patients with advanced HPV positive oropharyngeal cancer"/>
    <n v="665550"/>
    <n v="0"/>
    <n v="0"/>
    <m/>
    <s v="5 yrs 0 mth "/>
    <x v="1"/>
    <s v="Musculoskeletal Health-Oral Health"/>
    <x v="51"/>
    <d v="2027-03-31T00:00:00"/>
    <n v="0"/>
    <s v="biological properties, molecular signatures, HPV"/>
  </r>
  <r>
    <x v="925"/>
    <s v="McGill University"/>
    <x v="2"/>
    <x v="44"/>
    <s v="202109PJT"/>
    <x v="14"/>
    <s v="Defining the distinct roles of MAPK pathway mutations in immune and targeted therapy response in melanoma"/>
    <n v="990675"/>
    <n v="0"/>
    <n v="0"/>
    <m/>
    <s v="5 yrs 0 mth "/>
    <x v="1"/>
    <s v="Cancer-Cancer Drug Development and Therapeutics; Molecular, Cellular and Systems Biology-Cell Signaling"/>
    <x v="51"/>
    <d v="2027-03-31T00:00:00"/>
    <n v="0"/>
    <s v="MAPK, mutations, melanoma"/>
  </r>
  <r>
    <x v="927"/>
    <s v="McGill University"/>
    <x v="2"/>
    <x v="44"/>
    <s v="202203PJT"/>
    <x v="24"/>
    <s v="Engineering injectable cold atmospheric plasma-preserved hydrogel to treat breast cancer"/>
    <n v="787950"/>
    <n v="0"/>
    <n v="0"/>
    <m/>
    <s v="5 yrs 0 mth "/>
    <x v="1"/>
    <s v="Biomedical Engineering-Biomaterials, Nanotechnology and Biomechanics"/>
    <x v="37"/>
    <d v="2027-09-30T00:00:00"/>
    <n v="0"/>
    <s v="injectable, plasma, hydrogel"/>
  </r>
  <r>
    <x v="928"/>
    <s v="McGill University"/>
    <x v="2"/>
    <x v="44"/>
    <s v="202209PJT"/>
    <x v="24"/>
    <s v="Engineering a vascularized macroencapsulation device for diabetes cellular therapy"/>
    <n v="797156"/>
    <n v="0"/>
    <n v="0"/>
    <m/>
    <s v="5 yrs 0 mth "/>
    <x v="4"/>
    <s v="Biomedical Engineering-Regenerative Medicine and Tissue Engineering; Molecular, Cellular and Systems Biology-Cell Differentiation"/>
    <x v="52"/>
    <d v="2028-03-31T00:00:00"/>
    <n v="1"/>
    <s v="vascularized, macroencapsulation, diabetes"/>
  </r>
  <r>
    <x v="414"/>
    <s v="McGill University"/>
    <x v="2"/>
    <x v="44"/>
    <s v="202209PJT"/>
    <x v="6"/>
    <s v="Defining the Immunomodulatory Role of GPNMB in Triple Negative Breast Cancer"/>
    <n v="994500"/>
    <n v="0"/>
    <n v="0"/>
    <m/>
    <s v="5 yrs 0 mth "/>
    <x v="1"/>
    <s v="Cancer-Cancer Progression and Metastasis"/>
    <x v="52"/>
    <d v="2028-03-31T00:00:00"/>
    <n v="0"/>
    <s v="GPNMB, Immunomodulatory, Breast Cancer"/>
  </r>
  <r>
    <x v="929"/>
    <s v="McGill University"/>
    <x v="2"/>
    <x v="44"/>
    <s v="202209PJT"/>
    <x v="13"/>
    <s v="Identification of biomarkers using single cell technology that inform on optimal duration of immunotherapy treatment in melanoma"/>
    <n v="1422900"/>
    <n v="0"/>
    <n v="0"/>
    <m/>
    <s v="5 yrs 0 mth "/>
    <x v="1"/>
    <s v="Cancer-Cancer Progression and Metastasis"/>
    <x v="52"/>
    <d v="2028-03-31T00:00:00"/>
    <n v="0"/>
    <s v="biomarkers, single cell, immunotherapy"/>
  </r>
  <r>
    <x v="930"/>
    <s v="McGill University"/>
    <x v="2"/>
    <x v="44"/>
    <s v="202209PJT"/>
    <x v="11"/>
    <s v="Unraveling Silent Progression in MS Using Advanced Quantitative MRI, PET Molecular Imaging and Computational Neuroanatomy"/>
    <n v="914175"/>
    <n v="0"/>
    <n v="0"/>
    <m/>
    <s v="5 yrs 0 mth "/>
    <x v="3"/>
    <s v="Biomedical Engineering-Biomedical Imaging; Neurosciences-Neurological disorders; Methods Development and Modelling-Quantitative Methods Development for Health Research"/>
    <x v="52"/>
    <d v="2028-03-31T00:00:00"/>
    <n v="0"/>
    <s v="MRI, PET, Neuroanatomy"/>
  </r>
  <r>
    <x v="408"/>
    <s v="McGill University"/>
    <x v="2"/>
    <x v="44"/>
    <s v="202203PJT"/>
    <x v="14"/>
    <s v="Targeting the Oncogenic Translation Program"/>
    <n v="772650"/>
    <n v="0"/>
    <n v="0"/>
    <m/>
    <s v="5 yrs 0 mth "/>
    <x v="1"/>
    <s v="Cancer-Cancer Drug Development and Therapeutics; Molecular, Cellular and Systems Biology-Molecular Biology; Pharmacological, Toxicological and Pharmaceutical Sciences-Drug Discovery, Design and Delivery"/>
    <x v="56"/>
    <d v="2028-06-30T00:00:00"/>
    <n v="0"/>
    <s v="Oncogenic, Translation, Program"/>
  </r>
  <r>
    <x v="411"/>
    <s v="McGill University"/>
    <x v="2"/>
    <x v="44"/>
    <s v="202210PJT"/>
    <x v="13"/>
    <s v="Targeting the RNA translatome to enhance anti-mitotic chemotherapy."/>
    <n v="100000"/>
    <n v="0"/>
    <n v="0"/>
    <m/>
    <s v="1 yr 0 mth "/>
    <x v="1"/>
    <s v="Cancer-Cancer Drug Development and Therapeutics; Cancer-Cancer Progression and Metastasis; Pharmacological, Toxicological and Pharmaceutical Sciences-Drug Discovery, Design and Delivery"/>
    <x v="36"/>
    <d v="2028-09-30T00:00:00"/>
    <n v="0"/>
    <s v="RNA, translatome, chemotherapy"/>
  </r>
  <r>
    <x v="931"/>
    <s v="McGill University"/>
    <x v="2"/>
    <x v="44"/>
    <s v="202303PJT"/>
    <x v="12"/>
    <s v="Modelling and machine learning for newborn hearing screening"/>
    <n v="876690"/>
    <n v="0"/>
    <n v="0"/>
    <m/>
    <s v="5 yrs 0 mth "/>
    <x v="10"/>
    <s v="Neurosciences-Sensory Systems (including visual, auditory and pain); Methods Development and Modelling-Computational Biology; Biomedical Engineering-Biomaterials, Nanotechnology and Biomechanics; Computational biology is here taken to include, for example, mathematical modelling of biomechanics"/>
    <x v="36"/>
    <d v="2028-09-30T00:00:00"/>
    <n v="0"/>
    <s v="modelling, machine learning, hearing screening"/>
  </r>
  <r>
    <x v="423"/>
    <s v="McGill University"/>
    <x v="2"/>
    <x v="44"/>
    <s v="202303PJT"/>
    <x v="6"/>
    <s v="Chi3L1 (YKL-40) plays a multifaceted role in modulating tumor immune microenvironment during breast cancer progression."/>
    <n v="1277550"/>
    <n v="0"/>
    <n v="0"/>
    <m/>
    <s v="5 yrs 0 mth "/>
    <x v="1"/>
    <s v="Cancer-Mechanisms of Carcinogenesis"/>
    <x v="36"/>
    <d v="2028-09-30T00:00:00"/>
    <n v="0"/>
    <s v="Chi3L1, immune microenvironment, breast cancer"/>
  </r>
  <r>
    <x v="932"/>
    <s v="McGill University"/>
    <x v="2"/>
    <x v="44"/>
    <s v="202303PJT"/>
    <x v="14"/>
    <s v="Chromatin-binding deubiquitinase MYSM1 as a putative drug target for cMYC-driven B cell lymphoma"/>
    <n v="761176"/>
    <n v="0"/>
    <n v="0"/>
    <m/>
    <s v="5 yrs 0 mth "/>
    <x v="1"/>
    <s v="Cancer-Mechanisms of Carcinogenesis; Genetics-Molecular and Functional Genetics and Epigenetics; Molecular, Cellular and Systems Biology-Structure and Function of Macromolecules; Cancer&gt; Cancer Drug Development and Therapeutics"/>
    <x v="36"/>
    <d v="2028-09-30T00:00:00"/>
    <n v="0"/>
    <s v="chromatin, deubiquitinase, lymphoma"/>
  </r>
  <r>
    <x v="411"/>
    <s v="McGill University"/>
    <x v="2"/>
    <x v="44"/>
    <s v="202303PJT"/>
    <x v="14"/>
    <s v="Targeting the RNA translatome to enhance anti-mitotic chemotherapy."/>
    <n v="1120726"/>
    <n v="0"/>
    <n v="0"/>
    <m/>
    <s v="5 yrs 0 mth "/>
    <x v="1"/>
    <s v="Cancer-Cancer Drug Development and Therapeutics; Cancer-Cancer Progression and Metastasis; Pharmacological, Toxicological and Pharmaceutical Sciences-Drug Discovery, Design and Delivery"/>
    <x v="36"/>
    <d v="2028-09-30T00:00:00"/>
    <n v="0"/>
    <s v="RNA, translatome, chemotherapy"/>
  </r>
  <r>
    <x v="410"/>
    <s v="McGill University"/>
    <x v="2"/>
    <x v="44"/>
    <s v="202303PJT"/>
    <x v="11"/>
    <s v="Radiation-free neuronavigation system for spinal tumor surgery: an intraoperative augmented reality guided surgery platform"/>
    <n v="1200286"/>
    <n v="0"/>
    <n v="0"/>
    <m/>
    <s v="5 yrs 0 mth "/>
    <x v="1"/>
    <s v="Biomedical Engineering-Biomedical Imaging"/>
    <x v="36"/>
    <d v="2028-09-30T00:00:00"/>
    <n v="0"/>
    <s v="neuronavigation, augmented reality, spinal tumor"/>
  </r>
  <r>
    <x v="933"/>
    <s v="McGill University"/>
    <x v="2"/>
    <x v="44"/>
    <s v="202309PJT"/>
    <x v="24"/>
    <s v="Tissue-engineered humanized model of the gastric tumor microenvironment to mechanistically evaluate the dynamics of combined tumor-infiltrating lymphocyte and RNA nanoparticle therapy"/>
    <n v="1051875"/>
    <n v="0"/>
    <n v="0"/>
    <m/>
    <s v="5 yrs 0 mth "/>
    <x v="1"/>
    <s v="Biomedical Engineering-Biomaterials, Nanotechnology and Biomechanics; Biomedical Engineering-Regenerative Medicine and Tissue Engineering; Cancer-Cancer Drug Development and Therapeutics"/>
    <x v="46"/>
    <d v="2029-03-31T00:00:00"/>
    <n v="0"/>
    <s v="tissue-engineering, gastric tumor, RNA nanoparticle"/>
  </r>
  <r>
    <x v="934"/>
    <s v="McGill University"/>
    <x v="2"/>
    <x v="44"/>
    <s v="202309PJT"/>
    <x v="24"/>
    <s v="Engineering bacteria-based nanoplexes for melanoma immunomodulation"/>
    <n v="1002150"/>
    <n v="0"/>
    <n v="0"/>
    <m/>
    <s v="5 yrs 0 mth "/>
    <x v="1"/>
    <s v="Biomedical Engineering-Biomaterials, Nanotechnology and Biomechanics; Cancer-Cancer Drug Development and Therapeutics; Pharmacological, Toxicological and Pharmaceutical Sciences-Drug Discovery, Design and Delivery"/>
    <x v="46"/>
    <d v="2029-03-31T00:00:00"/>
    <n v="0"/>
    <s v="bacteria, nanoplexes, melanoma"/>
  </r>
  <r>
    <x v="935"/>
    <s v="McGill University"/>
    <x v="2"/>
    <x v="44"/>
    <s v="202309PJT"/>
    <x v="6"/>
    <s v="Enhancing immunotherapy through the food-gut-axis in non-small cell lung cancer"/>
    <n v="1109250"/>
    <n v="0"/>
    <n v="0"/>
    <m/>
    <s v="5 yrs 0 mth "/>
    <x v="1"/>
    <s v="Cancer-Cancer Progression and Metastasis"/>
    <x v="46"/>
    <d v="2029-03-31T00:00:00"/>
    <n v="0"/>
    <s v="immunotherapy, gut-axis, lung cancer"/>
  </r>
  <r>
    <x v="936"/>
    <s v="McGill University"/>
    <x v="2"/>
    <x v="44"/>
    <s v="202403PJT"/>
    <x v="24"/>
    <s v="Molecular profiling of single extracellular vesicles reveals therapeutic effects of temozolomide in GBM patients"/>
    <n v="677026"/>
    <n v="0"/>
    <n v="0"/>
    <m/>
    <s v="5 yrs 0 mth "/>
    <x v="1"/>
    <s v="Biomedical Engineering-Biophysics, Medical Technologies and Instrumentation"/>
    <x v="54"/>
    <d v="2029-09-30T00:00:00"/>
    <n v="0"/>
    <s v="molecular profiling, extracellular vesicles, temozolomide"/>
  </r>
  <r>
    <x v="418"/>
    <s v="McGill University"/>
    <x v="2"/>
    <x v="44"/>
    <s v="202403PJT"/>
    <x v="13"/>
    <s v="p300 histone acetyltransferase-dependency in SWI/SNF-deficient cancers: mechanisms and therapeutic implications"/>
    <n v="1116900"/>
    <n v="0"/>
    <n v="0"/>
    <m/>
    <s v="5 yrs 0 mth "/>
    <x v="1"/>
    <s v="Cancer-Cancer Progression and Metastasis"/>
    <x v="54"/>
    <d v="2029-09-30T00:00:00"/>
    <n v="0"/>
    <s v="p300, histone acetyltransferase, SWI/SNF"/>
  </r>
  <r>
    <x v="935"/>
    <s v="McGill University"/>
    <x v="2"/>
    <x v="44"/>
    <s v="202403PJT"/>
    <x v="13"/>
    <s v="Combining highly multiplexed imaging data with AI to unlock new predictive biomarkers for lung cancer"/>
    <n v="1109250"/>
    <n v="0"/>
    <n v="0"/>
    <m/>
    <s v="5 yrs 0 mth "/>
    <x v="1"/>
    <s v="Cancer-Cancer Progression and Metastasis"/>
    <x v="54"/>
    <d v="2029-09-30T00:00:00"/>
    <n v="0"/>
    <s v="multiplexed imaging, AI, biomarkers"/>
  </r>
  <r>
    <x v="937"/>
    <s v="McMaster University"/>
    <x v="0"/>
    <x v="44"/>
    <s v="201803PJT"/>
    <x v="6"/>
    <s v="Utilizing chimeric antigen receptors to direct autologous NK cell cytotoxicity to breast cancer"/>
    <n v="937740"/>
    <n v="0"/>
    <n v="0"/>
    <m/>
    <s v="5 yrs 0 mth "/>
    <x v="1"/>
    <s v="Cancer-Cancer Drug Development and Therapeutics; Immunology and Infection-Transplantation, Immune Tolerance and Tumor Immunology"/>
    <x v="47"/>
    <d v="2023-09-30T00:00:00"/>
    <n v="0"/>
    <s v="chimeric antigen receptors, NK cell, breast cancer"/>
  </r>
  <r>
    <x v="433"/>
    <s v="McMaster University"/>
    <x v="0"/>
    <x v="44"/>
    <s v="201803PJT"/>
    <x v="6"/>
    <s v="Elucidating the Role of CSB in the Maintenance of Genomic Stability"/>
    <n v="902700"/>
    <n v="0"/>
    <n v="0"/>
    <m/>
    <s v="5 yrs 0 mth "/>
    <x v="1"/>
    <s v="Cancer-Mechanisms of Carcinogenesis"/>
    <x v="47"/>
    <d v="2023-09-30T00:00:00"/>
    <n v="0"/>
    <s v="CSB, Genomic Stability, DNA Repair"/>
  </r>
  <r>
    <x v="435"/>
    <s v="McMaster University"/>
    <x v="0"/>
    <x v="44"/>
    <s v="201803PJT"/>
    <x v="14"/>
    <s v="Wnt activation as a therapeutic strategy for treatment-refractory childhood medulloblastoma"/>
    <n v="860626"/>
    <n v="0"/>
    <n v="0"/>
    <m/>
    <s v="5 yrs 0 mth "/>
    <x v="1"/>
    <s v="Cancer-Cancer Drug Development and Therapeutics; Molecular, Cellular and Systems Biology-Cell Signaling"/>
    <x v="47"/>
    <d v="2023-09-30T00:00:00"/>
    <n v="1"/>
    <s v="Wnt, medulloblastoma, activation"/>
  </r>
  <r>
    <x v="938"/>
    <s v="McMaster University"/>
    <x v="0"/>
    <x v="44"/>
    <s v="201809PJT"/>
    <x v="13"/>
    <s v="PCSK9, a novel contributor to the development of castration resistant prostate cancer"/>
    <n v="577574"/>
    <n v="0"/>
    <n v="0"/>
    <m/>
    <s v="3 yrs 0 mth "/>
    <x v="1"/>
    <s v="Cancer-Cancer Progression and Metastasis"/>
    <x v="18"/>
    <d v="2022-03-31T00:00:00"/>
    <n v="0"/>
    <s v="PCSK9, prostate cancer, castration resistant"/>
  </r>
  <r>
    <x v="939"/>
    <s v="McMaster University"/>
    <x v="0"/>
    <x v="44"/>
    <s v="201809PJT"/>
    <x v="12"/>
    <s v="Pre-clinical evaluation of micro-tissue injection and self-assembly in vivo for cardiac repairs."/>
    <n v="386324"/>
    <n v="0"/>
    <n v="0"/>
    <m/>
    <s v="4 yrs 0 mth "/>
    <x v="11"/>
    <s v="Cardiovascular, Respiratory and Circulatory Systems-Cardiovascular and Circulatory Sciences; Biomedical Engineering-Regenerative Medicine and Tissue Engineering"/>
    <x v="18"/>
    <d v="2023-03-31T00:00:00"/>
    <n v="6"/>
    <s v="micro-tissue, injection, cardiac"/>
  </r>
  <r>
    <x v="939"/>
    <s v="McMaster University"/>
    <x v="0"/>
    <x v="44"/>
    <s v="201903PJT"/>
    <x v="12"/>
    <s v="SynoPlate - Human physiology on demand"/>
    <n v="684675"/>
    <n v="0"/>
    <n v="0"/>
    <m/>
    <s v="4 yrs 0 mth "/>
    <x v="11"/>
    <s v="Biomedical Engineering-Regenerative Medicine and Tissue Engineering"/>
    <x v="48"/>
    <d v="2023-09-30T00:00:00"/>
    <n v="0"/>
    <s v="SynoPlate, physiology, on demand"/>
  </r>
  <r>
    <x v="940"/>
    <s v="McMaster University"/>
    <x v="0"/>
    <x v="44"/>
    <s v="201903PJT"/>
    <x v="23"/>
    <s v="Getting to the heart of hard-to-treat cancers: Anti-CD133 theranostics for molecular imaging and treatment of GBM"/>
    <n v="860624"/>
    <n v="0"/>
    <n v="0"/>
    <m/>
    <s v="4 yrs 0 mth "/>
    <x v="1"/>
    <s v="Cancer-Cancer Drug Development and Therapeutics; Pharmacological, Toxicological and Pharmaceutical Sciences-Drug Discovery, Design and Delivery"/>
    <x v="48"/>
    <d v="2023-09-30T00:00:00"/>
    <n v="0"/>
    <s v="CD133, theranostics, GBM"/>
  </r>
  <r>
    <x v="941"/>
    <s v="McMaster University"/>
    <x v="0"/>
    <x v="44"/>
    <s v="201909PJT"/>
    <x v="12"/>
    <s v="Artificial Placenta: A biomimetic approach to support neonates with respiratory distress"/>
    <n v="761176"/>
    <n v="0"/>
    <n v="0"/>
    <m/>
    <s v="4 yrs 0 mth "/>
    <x v="10"/>
    <s v="Biomedical Engineering-Biophysics, Medical Technologies and Instrumentation; Biomedical Engineering-Biomaterials, Nanotechnology and Biomechanics"/>
    <x v="13"/>
    <d v="2024-03-31T00:00:00"/>
    <n v="0"/>
    <s v="Artificial placenta, biomimetic, respiratory"/>
  </r>
  <r>
    <x v="942"/>
    <s v="McMaster University"/>
    <x v="0"/>
    <x v="44"/>
    <s v="202003PJT"/>
    <x v="12"/>
    <s v="A Degradable Sustained Release Mucoadhesive Drug Delivery System to Regulate Intraocular Pressure (IOP) in Glaucoma"/>
    <n v="699976"/>
    <n v="0"/>
    <n v="0"/>
    <m/>
    <s v="5 yrs 0 mth "/>
    <x v="6"/>
    <s v="Biomedical Engineering-Biomaterials, Nanotechnology and Biomechanics; Pharmacological, Toxicological and Pharmaceutical Sciences-Drug Discovery, Design and Delivery; Neurosciences-Sensory Systems (including visual, auditory and pain)"/>
    <x v="49"/>
    <d v="2025-09-30T00:00:00"/>
    <n v="0"/>
    <s v="Degradable, Mucoadhesive, Intraocular Pressure"/>
  </r>
  <r>
    <x v="943"/>
    <s v="McMaster University"/>
    <x v="0"/>
    <x v="44"/>
    <s v="202003PJT"/>
    <x v="14"/>
    <s v="Kaiso, Triple Negative Breast Cancer and Women of African Ancestry."/>
    <n v="807076"/>
    <n v="0"/>
    <n v="0"/>
    <m/>
    <s v="5 yrs 0 mth "/>
    <x v="1"/>
    <s v="Molecular, Cellular and Systems Biology-Cell Signaling; Cancer-Cancer Progression and Metastasis; Genetics-Genomics, Transcriptomics and Proteomics"/>
    <x v="49"/>
    <d v="2025-09-30T00:00:00"/>
    <n v="0"/>
    <s v="Kaiso, Breast Cancer, African Ancestry"/>
  </r>
  <r>
    <x v="944"/>
    <s v="McMaster University"/>
    <x v="0"/>
    <x v="44"/>
    <s v="202003PJT"/>
    <x v="12"/>
    <s v="Engineering solid tumors for bispecific immunotherapies through controlled delivery"/>
    <n v="692326"/>
    <n v="0"/>
    <n v="0"/>
    <m/>
    <s v="5 yrs 0 mth "/>
    <x v="1"/>
    <s v="Biomedical Engineering-Biomaterials, Nanotechnology and Biomechanics"/>
    <x v="45"/>
    <d v="2026-09-30T00:00:00"/>
    <n v="0"/>
    <s v="solid tumors, bispecific, immunotherapies"/>
  </r>
  <r>
    <x v="945"/>
    <s v="McMaster University"/>
    <x v="0"/>
    <x v="44"/>
    <s v="202109PJT"/>
    <x v="11"/>
    <s v="Investigation of the factors contributing to fracture risk in clinical populations using novel image processing techniques of standard DXA images from longitudinal datasets."/>
    <n v="459000"/>
    <n v="0"/>
    <n v="0"/>
    <m/>
    <s v="4 yrs 0 mth "/>
    <x v="0"/>
    <s v="Biomedical Engineering-Biomedical Imaging; Musculoskeletal Health-Bone, Skin and Cartilage Sciences; Aging-Aging Process and Biological Determinants of Aging"/>
    <x v="51"/>
    <d v="2026-03-31T00:00:00"/>
    <n v="0"/>
    <s v="fracture risk, image processing, DXA"/>
  </r>
  <r>
    <x v="435"/>
    <s v="McMaster University"/>
    <x v="0"/>
    <x v="44"/>
    <s v="202209PJT"/>
    <x v="6"/>
    <s v="Dynamic metabolic reprogramming drives myc-amplified medulloblastoma recurrence"/>
    <n v="841500"/>
    <n v="0"/>
    <n v="0"/>
    <m/>
    <s v="5 yrs 0 mth "/>
    <x v="1"/>
    <s v="Cancer-Pediatric Cancer"/>
    <x v="52"/>
    <d v="2028-03-31T00:00:00"/>
    <n v="1"/>
    <s v="metabolic reprogramming, myc-amplified, medulloblastoma"/>
  </r>
  <r>
    <x v="938"/>
    <s v="McMaster University"/>
    <x v="0"/>
    <x v="44"/>
    <s v="202309PJT"/>
    <x v="23"/>
    <s v="Characterization of a novel prostate cancer factor contactin 1 (CNTN1)-derived tumorigenesis through establishing a new transgenic mouse model for prostate cancer"/>
    <n v="837675"/>
    <n v="0"/>
    <n v="0"/>
    <m/>
    <s v="5 yrs 0 mth "/>
    <x v="1"/>
    <s v="Cancer-Cancer Progression and Metastasis"/>
    <x v="46"/>
    <d v="2029-03-31T00:00:00"/>
    <n v="0"/>
    <s v="prostate cancer, contactin 1, tumorigenesis"/>
  </r>
  <r>
    <x v="946"/>
    <s v="Ontario Institute for Cancer Research (Toronto, Ontario)"/>
    <x v="0"/>
    <x v="44"/>
    <s v="201709PJT"/>
    <x v="14"/>
    <s v="The evolution of prostate cancer"/>
    <n v="1147500"/>
    <n v="0"/>
    <n v="0"/>
    <m/>
    <s v="5 yrs 0 mth "/>
    <x v="1"/>
    <s v="Cancer-Cancer Progression and Metastasis"/>
    <x v="17"/>
    <d v="2023-03-31T00:00:00"/>
    <n v="6"/>
    <s v="prostate cancer"/>
  </r>
  <r>
    <x v="947"/>
    <s v="Ontario Institute for Cancer Research (Toronto, Ontario)"/>
    <x v="0"/>
    <x v="44"/>
    <s v="202003PJT"/>
    <x v="6"/>
    <s v="Immunotherapeutic Targeting of the U1 snRNA Mutation in Cancer"/>
    <n v="1013626"/>
    <n v="0"/>
    <n v="0"/>
    <m/>
    <s v="5 yrs 0 mth "/>
    <x v="1"/>
    <s v="Cancer-Cancer Drug Development and Therapeutics; Cancer-Mechanisms of Carcinogenesis"/>
    <x v="49"/>
    <d v="2025-09-30T00:00:00"/>
    <n v="0"/>
    <s v="Immunotherapy, U1 snRNA, Cancer"/>
  </r>
  <r>
    <x v="948"/>
    <s v="Ontario Institute for Cancer Research (Toronto, Ontario)"/>
    <x v="0"/>
    <x v="44"/>
    <s v="202104PJT"/>
    <x v="14"/>
    <s v="Probing the developmental origins of pediatric cerebellar brain cancers using single cell profiling"/>
    <n v="1128376"/>
    <n v="0"/>
    <n v="0"/>
    <m/>
    <s v="5 yrs 0 mth "/>
    <x v="1"/>
    <s v="Cancer-Pediatric Cancer; Methods Development and Modelling-Quantitative Methods Development for Health Research; Genetics-Molecular and Functional Genetics and Epigenetics"/>
    <x v="45"/>
    <d v="2026-09-30T00:00:00"/>
    <n v="0"/>
    <s v="pediatric, cerebellar, single cell profiling"/>
  </r>
  <r>
    <x v="949"/>
    <s v="Ontario Institute for Cancer Research (Toronto, Ontario)"/>
    <x v="0"/>
    <x v="44"/>
    <s v="202109PJT"/>
    <x v="14"/>
    <s v="Patient derived organoids as a platform for inferring treatment response in pancreatic cancer patients"/>
    <n v="975375"/>
    <n v="0"/>
    <n v="0"/>
    <m/>
    <s v="5 yrs 0 mth "/>
    <x v="1"/>
    <s v="Cancer-Cancer Progression and Metastasis"/>
    <x v="51"/>
    <d v="2027-03-31T00:00:00"/>
    <n v="0"/>
    <s v="organoids, pancreatic cancer, treatment response"/>
  </r>
  <r>
    <x v="950"/>
    <s v="Ontario Institute for Cancer Research (Toronto, Ontario)"/>
    <x v="0"/>
    <x v="44"/>
    <s v="202203PJT"/>
    <x v="23"/>
    <s v="Preparing for the Recovery from the Effects of the PAndemic on cancer control using Real-world Evidence in Canada (PREPARE-Canada)"/>
    <n v="1147500"/>
    <n v="0"/>
    <n v="0"/>
    <m/>
    <s v="5 yrs 0 mth "/>
    <x v="1"/>
    <s v="Cancer-Mechanisms of Carcinogenesis; Population and Health-Health Promotion and Disease Prevention"/>
    <x v="37"/>
    <d v="2027-09-30T00:00:00"/>
    <n v="0"/>
    <s v="cancer, real-world evidence, pandemic"/>
  </r>
  <r>
    <x v="947"/>
    <s v="Ontario Institute for Cancer Research (Toronto, Ontario)"/>
    <x v="0"/>
    <x v="44"/>
    <s v="202309PJT"/>
    <x v="14"/>
    <s v="Identifying Cancer Tissue of Origin using Plasma Whole Genome Sequencing"/>
    <n v="979200"/>
    <n v="0"/>
    <n v="0"/>
    <m/>
    <s v="4 yrs 0 mth "/>
    <x v="1"/>
    <s v="Cancer-Cancer Progression and Metastasis; Artificial Intelligence-Machine Learning"/>
    <x v="46"/>
    <d v="2028-03-31T00:00:00"/>
    <n v="0"/>
    <s v="Cancer, Genome Sequencing, Tissue"/>
  </r>
  <r>
    <x v="951"/>
    <s v="Ottawa Hospital Research Institute"/>
    <x v="0"/>
    <x v="44"/>
    <s v="201709PJT"/>
    <x v="6"/>
    <s v="Development of Viral Sensitizing Antibody Drug Conjugate and Oncolytic virus Combination Regimens for the Treatment of Breast Cancer"/>
    <n v="776475"/>
    <n v="0"/>
    <n v="0"/>
    <m/>
    <s v="5 yrs 0 mth "/>
    <x v="1"/>
    <s v="Cancer-Cancer Drug Development and Therapeutics"/>
    <x v="17"/>
    <d v="2023-03-31T00:00:00"/>
    <n v="2"/>
    <s v="Viral, Antibody, Oncolytic"/>
  </r>
  <r>
    <x v="952"/>
    <s v="Ottawa Hospital Research Institute"/>
    <x v="0"/>
    <x v="44"/>
    <s v="201709PJT"/>
    <x v="6"/>
    <s v="Enhancing ovarian cancer immunogenicity by increasing antitumoral responses using engineered oncolytic vaccines"/>
    <n v="910350"/>
    <n v="0"/>
    <n v="0"/>
    <m/>
    <s v="5 yrs 0 mth "/>
    <x v="1"/>
    <s v="Cancer-Cancer Drug Development and Therapeutics; Immunology and Infection-Antiviral Drug Resistance, Viral Vaccine Development and Therapeutics (including vaccines); Immunology and Infection-Transplantation, Immune Tolerance and Tumor Immunology"/>
    <x v="17"/>
    <d v="2023-03-31T00:00:00"/>
    <n v="0"/>
    <s v="ovarian cancer, immunogenicity, oncolytic vaccines"/>
  </r>
  <r>
    <x v="953"/>
    <s v="Ottawa Hospital Research Institute"/>
    <x v="0"/>
    <x v="44"/>
    <s v="201903PJT"/>
    <x v="6"/>
    <s v="Perioperative Targeting of Myeloid Derived Suppressor Cells to Alleviate Postoperative Immunosuppression and Metastases"/>
    <n v="860626"/>
    <n v="0"/>
    <n v="0"/>
    <m/>
    <s v="5 yrs 0 mth "/>
    <x v="1"/>
    <s v="Cancer-Cancer Drug Development and Therapeutics; Cancer-Cancer Progression and Metastasis; Immunology and Infection-Transplantation, Immune Tolerance and Tumor Immunology; Pharmacological sciences - drug design and development"/>
    <x v="48"/>
    <d v="2024-09-30T00:00:00"/>
    <n v="1"/>
    <s v="Myeloid Derived Suppressor Cells, Immunosuppression, Metastases"/>
  </r>
  <r>
    <x v="442"/>
    <s v="Ottawa Hospital Research Institute"/>
    <x v="0"/>
    <x v="44"/>
    <s v="202109PJT"/>
    <x v="14"/>
    <s v="A therapeutic strategy for PTEN tumour suppressor restoration in glioblastoma"/>
    <n v="738225"/>
    <n v="0"/>
    <n v="0"/>
    <m/>
    <s v="5 yrs 0 mth "/>
    <x v="1"/>
    <s v="Cancer-Cancer Drug Development and Therapeutics"/>
    <x v="51"/>
    <d v="2027-03-31T00:00:00"/>
    <n v="0"/>
    <s v="PTEN, glioblastoma, tumor suppressor"/>
  </r>
  <r>
    <x v="952"/>
    <s v="Ottawa Hospital Research Institute"/>
    <x v="0"/>
    <x v="44"/>
    <s v="202209PJT"/>
    <x v="6"/>
    <s v="Increasing anti-tumoral responses to ovarian cancer using engineered viruses"/>
    <n v="906525"/>
    <n v="0"/>
    <n v="0"/>
    <m/>
    <s v="5 yrs 0 mth "/>
    <x v="1"/>
    <s v="Cancer-Cancer Drug Development and Therapeutics; Immunology and Infection-Antiviral Drug Resistance, Viral Vaccine Development and Therapeutics (including vaccines); Immunology and Infection-Transplantation, Immune Tolerance and Tumor Immunology"/>
    <x v="52"/>
    <d v="2028-03-31T00:00:00"/>
    <n v="0"/>
    <s v="anti-tumoral, engineered viruses, ovarian cancer"/>
  </r>
  <r>
    <x v="796"/>
    <s v="Ottawa Hospital Research Institute"/>
    <x v="0"/>
    <x v="44"/>
    <s v="202304PJT"/>
    <x v="6"/>
    <s v="Overcoming barriers to effective cancer immunotherapy with an engineered virus based therapeutic"/>
    <n v="100000"/>
    <n v="0"/>
    <n v="0"/>
    <m/>
    <s v="1 yr 0 mth "/>
    <x v="1"/>
    <s v="Cancer-Cancer Drug Development and Therapeutics"/>
    <x v="36"/>
    <d v="2024-09-30T00:00:00"/>
    <n v="2"/>
    <s v="cancer, immunotherapy, virus"/>
  </r>
  <r>
    <x v="954"/>
    <s v="Polytechnique Montréal"/>
    <x v="2"/>
    <x v="44"/>
    <s v="201709PJT"/>
    <x v="12"/>
    <s v="Multimodal Image-based Simulation Tool to Support Decision-Making in Scoliosis Surgery"/>
    <n v="420750"/>
    <n v="0"/>
    <n v="0"/>
    <m/>
    <s v="3 yrs 0 mth "/>
    <x v="0"/>
    <s v="Biomedical Engineering-Biomedical Imaging"/>
    <x v="17"/>
    <d v="2021-03-31T00:00:00"/>
    <n v="0"/>
    <s v="Multimodal, Image-based, Scoliosis"/>
  </r>
  <r>
    <x v="955"/>
    <s v="Polytechnique Montréal"/>
    <x v="2"/>
    <x v="44"/>
    <s v="202003PJT"/>
    <x v="11"/>
    <s v="Underpinning neuro-vascular decoupling in resting state networks of vascular diseases"/>
    <n v="761176"/>
    <n v="0"/>
    <n v="0"/>
    <m/>
    <s v="5 yrs 0 mth "/>
    <x v="11"/>
    <s v="Cardiovascular, Respiratory and Circulatory Systems-Cerebrovascular Sciences (including stroke); Biomedical Engineering-Biomedical Imaging"/>
    <x v="49"/>
    <d v="2025-09-30T00:00:00"/>
    <n v="0"/>
    <s v="neuro-vascular, decoupling, resting state networks"/>
  </r>
  <r>
    <x v="956"/>
    <s v="Polytechnique Montréal"/>
    <x v="2"/>
    <x v="44"/>
    <s v="202010PJT"/>
    <x v="11"/>
    <s v="Multimodal Sensing Guidewire with Random Optical Gratings by Ultraviolet laser Exposure for Peripheral Vascular Interventions"/>
    <n v="543150"/>
    <n v="0"/>
    <n v="0"/>
    <m/>
    <s v="5 yrs 0 mth "/>
    <x v="11"/>
    <s v="Biomedical Engineering-Biophysics, Medical Technologies and Instrumentation"/>
    <x v="50"/>
    <d v="2026-03-31T00:00:00"/>
    <n v="0"/>
    <s v="Sensing, Guidewire, Optical Gratings"/>
  </r>
  <r>
    <x v="957"/>
    <s v="Polytechnique Montréal"/>
    <x v="2"/>
    <x v="44"/>
    <s v="202010PJT"/>
    <x v="11"/>
    <s v="Dynamic Ultrasound Localization Pulsatility Imaging"/>
    <n v="673200"/>
    <n v="0"/>
    <n v="0"/>
    <m/>
    <s v="5 yrs 0 mth "/>
    <x v="11"/>
    <s v="Biomedical Engineering-Biomedical Imaging; Cardiovascular, Respiratory and Circulatory Systems-Cerebrovascular Sciences (including stroke); Cardiovascular, Respiratory and Circulatory Systems-Clinical and Translational Cardiovascular Sciences"/>
    <x v="50"/>
    <d v="2026-03-31T00:00:00"/>
    <n v="2"/>
    <s v="Ultrasound, Localization, Pulsatility"/>
  </r>
  <r>
    <x v="954"/>
    <s v="Polytechnique Montréal"/>
    <x v="2"/>
    <x v="44"/>
    <s v="202209PJT"/>
    <x v="12"/>
    <s v="Non-Invasive Assessment of Scoliotic Trunk Mobility for an Effective Management of Patients"/>
    <n v="470476"/>
    <n v="0"/>
    <n v="0"/>
    <m/>
    <s v="4 yrs 0 mth "/>
    <x v="0"/>
    <s v="Biomedical Engineering-Biomedical Imaging"/>
    <x v="52"/>
    <d v="2027-03-31T00:00:00"/>
    <n v="0"/>
    <s v="Non-Invasive, Scoliotic, Mobility"/>
  </r>
  <r>
    <x v="957"/>
    <s v="Polytechnique Montréal"/>
    <x v="2"/>
    <x v="44"/>
    <s v="202309PJT"/>
    <x v="11"/>
    <s v="Dynamic Myocardial Ultrasound Localization Microscopy"/>
    <n v="841500"/>
    <n v="0"/>
    <n v="0"/>
    <m/>
    <s v="5 yrs 0 mth "/>
    <x v="11"/>
    <s v="Biomedical Engineering-Biomedical Imaging"/>
    <x v="46"/>
    <d v="2029-03-31T00:00:00"/>
    <n v="0"/>
    <s v="Myocardial, Ultrasound, Localization"/>
  </r>
  <r>
    <x v="958"/>
    <s v="Queen's University (Kingston, Ontario)"/>
    <x v="0"/>
    <x v="44"/>
    <s v="201710PJT"/>
    <x v="23"/>
    <s v="A Phase II Single Arm Trial of Elective Volume Adjusted De-Escalation Radiotherapy (EVADER) in Patients with Low-Risk HPV-Related Oropharyngeal Squamous Cell Carcinoma"/>
    <n v="100000"/>
    <n v="0"/>
    <n v="0"/>
    <m/>
    <s v="1 yr 0 mth "/>
    <x v="1"/>
    <s v="Cancer-Clinical Oncology"/>
    <x v="47"/>
    <d v="2024-09-30T00:00:00"/>
    <n v="0"/>
    <s v="Radiotherapy, HPV, Oropharyngeal carcinoma"/>
  </r>
  <r>
    <x v="452"/>
    <s v="Queen's University (Kingston, Ontario)"/>
    <x v="0"/>
    <x v="44"/>
    <s v="201804PJT"/>
    <x v="13"/>
    <s v="Calpain as a novel therapeutic target in breast cancer"/>
    <n v="100000"/>
    <n v="0"/>
    <n v="0"/>
    <m/>
    <s v="1 yr 0 mth "/>
    <x v="1"/>
    <s v="Cancer-Cancer Progression and Metastasis"/>
    <x v="47"/>
    <d v="2019-09-30T00:00:00"/>
    <n v="0"/>
    <s v="Calpain, breast cancer, therapeutic target"/>
  </r>
  <r>
    <x v="959"/>
    <s v="Queen's University (Kingston, Ontario)"/>
    <x v="0"/>
    <x v="44"/>
    <s v="201803PJT"/>
    <x v="13"/>
    <s v="Exploiting tumour innate immunity for sensitization of ovarian tumours to PD-L1 immune checkpoint blockade immunotherapy"/>
    <n v="765000"/>
    <n v="0"/>
    <n v="0"/>
    <m/>
    <s v="5 yrs 0 mth "/>
    <x v="1"/>
    <s v="Cancer-Cancer Drug Development and Therapeutics"/>
    <x v="47"/>
    <d v="2023-09-30T00:00:00"/>
    <n v="0"/>
    <s v="tumour, innate immunity, PD-L1"/>
  </r>
  <r>
    <x v="958"/>
    <s v="Queen's University (Kingston, Ontario)"/>
    <x v="0"/>
    <x v="44"/>
    <s v="201803PJT"/>
    <x v="23"/>
    <s v="A Phase II Single Arm Trial of Elective Volume Adjusted De-Escalation Radiotherapy (EVADER) in Patients with Low-Risk HPV-Related Oropharyngeal Squamous Cell Carcinoma"/>
    <n v="860628"/>
    <n v="0"/>
    <n v="0"/>
    <m/>
    <s v="6 yrs 0 mth "/>
    <x v="1"/>
    <s v="Cancer-Clinical Oncology"/>
    <x v="47"/>
    <d v="2024-09-30T00:00:00"/>
    <n v="0"/>
    <s v="Radiotherapy, HPV, Oropharyngeal carcinoma"/>
  </r>
  <r>
    <x v="960"/>
    <s v="Queen's University (Kingston, Ontario)"/>
    <x v="0"/>
    <x v="44"/>
    <s v="201809PJT"/>
    <x v="12"/>
    <s v="MyD88-dependent modulation of host response to insulin infusion cannulas"/>
    <n v="443700"/>
    <n v="0"/>
    <n v="0"/>
    <m/>
    <s v="4 yrs 0 mth "/>
    <x v="7"/>
    <s v="Biomedical Engineering-Biomaterials, Nanotechnology and Biomechanics; Immunology and Infection-Immunology and Autoimmune Diseases (including rheumatology); Molecular, Cellular and Systems Biology-Cell Signaling"/>
    <x v="18"/>
    <d v="2023-03-31T00:00:00"/>
    <n v="0"/>
    <s v="MyD88, insulin infusion, host response"/>
  </r>
  <r>
    <x v="452"/>
    <s v="Queen's University (Kingston, Ontario)"/>
    <x v="0"/>
    <x v="44"/>
    <s v="201903PJT"/>
    <x v="13"/>
    <s v="Targeting the calpain protease in breast cancer"/>
    <n v="918000"/>
    <n v="0"/>
    <n v="0"/>
    <m/>
    <s v="5 yrs 0 mth "/>
    <x v="1"/>
    <s v="Cancer-Cancer Drug Development and Therapeutics; Cancer-Cancer Progression and Metastasis"/>
    <x v="48"/>
    <d v="2024-09-30T00:00:00"/>
    <n v="0"/>
    <s v="calpain, protease, breast cancer"/>
  </r>
  <r>
    <x v="961"/>
    <s v="Queen's University (Kingston, Ontario)"/>
    <x v="0"/>
    <x v="44"/>
    <s v="202003PJT"/>
    <x v="6"/>
    <s v="Role of trained immunity in the response to BCG immunotherapy of bladder cancer"/>
    <n v="1086300"/>
    <n v="0"/>
    <n v="0"/>
    <m/>
    <s v="5 yrs 0 mth "/>
    <x v="1"/>
    <s v="Immunology and Infection-Transplantation, Immune Tolerance and Tumor Immunology"/>
    <x v="49"/>
    <d v="2025-09-30T00:00:00"/>
    <n v="0"/>
    <s v="trained immunity, BCG, bladder cancer"/>
  </r>
  <r>
    <x v="455"/>
    <s v="Queen's University (Kingston, Ontario)"/>
    <x v="0"/>
    <x v="44"/>
    <s v="202003PJT"/>
    <x v="23"/>
    <s v="Targeting TGF-beta signaling to achieve durable therapy responses in preclinical ovarian cancer models"/>
    <n v="765000"/>
    <n v="0"/>
    <n v="0"/>
    <m/>
    <s v="5 yrs 0 mth "/>
    <x v="1"/>
    <s v="Cancer-Cancer Drug Development and Therapeutics; Cancer-Cancer Progression and Metastasis"/>
    <x v="49"/>
    <d v="2025-09-30T00:00:00"/>
    <n v="1"/>
    <s v="TGF-beta, signaling, ovarian cancer"/>
  </r>
  <r>
    <x v="962"/>
    <s v="Queen's University (Kingston, Ontario)"/>
    <x v="0"/>
    <x v="44"/>
    <s v="202010PJT"/>
    <x v="6"/>
    <s v="Immunophenotyping Malignant Pleural Mesothelioma: Identifying Predictive and Prognostic Biomarkers for Combinatorial Immunotherapy"/>
    <n v="872865"/>
    <n v="0"/>
    <n v="0"/>
    <m/>
    <s v="5 yrs 0 mth "/>
    <x v="1"/>
    <s v="Cancer-Clinical Oncology"/>
    <x v="50"/>
    <d v="2026-03-31T00:00:00"/>
    <n v="0"/>
    <s v="Immunophenotyping, Mesothelioma, Biomarkers"/>
  </r>
  <r>
    <x v="963"/>
    <s v="Queen's University (Kingston, Ontario)"/>
    <x v="0"/>
    <x v="44"/>
    <s v="202010PJT"/>
    <x v="23"/>
    <s v="Elucidating the role extracellular vesicles play in leukaemogenesis"/>
    <n v="1071000"/>
    <n v="0"/>
    <n v="0"/>
    <m/>
    <s v="5 yrs 0 mth "/>
    <x v="1"/>
    <s v="Cancer-Cancer Drug Development and Therapeutics; Cancer-Cancer Progression and Metastasis"/>
    <x v="50"/>
    <d v="2026-03-31T00:00:00"/>
    <n v="0"/>
    <s v="extracellular vesicles, leukaemogenesis"/>
  </r>
  <r>
    <x v="457"/>
    <s v="Queen's University (Kingston, Ontario)"/>
    <x v="0"/>
    <x v="44"/>
    <s v="202104PJT"/>
    <x v="23"/>
    <s v="Investigating the Regulation of RET Receptor-Mediated Perineural Invasion and Metastasis"/>
    <n v="887400"/>
    <n v="0"/>
    <n v="0"/>
    <m/>
    <s v="5 yrs 0 mth "/>
    <x v="1"/>
    <s v="Cancer-Cancer Progression and Metastasis; Molecular, Cellular and Systems Biology-Molecular Biology; Neurosciences-Neurogenesis, Neurodifferentiation and Plasticity"/>
    <x v="45"/>
    <d v="2026-09-30T00:00:00"/>
    <n v="0"/>
    <s v="RET, receptor, metastasis"/>
  </r>
  <r>
    <x v="964"/>
    <s v="Queen's University (Kingston, Ontario)"/>
    <x v="0"/>
    <x v="44"/>
    <s v="202104PJT"/>
    <x v="13"/>
    <s v="Translating synthetic lethality with common driver events into targeted therapies for high fatality cancers"/>
    <n v="911116"/>
    <n v="0"/>
    <n v="0"/>
    <m/>
    <s v="5 yrs 0 mth "/>
    <x v="1"/>
    <s v="Cancer-Cancer Drug Development and Therapeutics"/>
    <x v="45"/>
    <d v="2026-09-30T00:00:00"/>
    <n v="1"/>
    <s v="synthetic lethality, driver events, targeted therapies"/>
  </r>
  <r>
    <x v="965"/>
    <s v="Queen's University (Kingston, Ontario)"/>
    <x v="0"/>
    <x v="44"/>
    <s v="202209PJT"/>
    <x v="13"/>
    <s v="Investigating the PTK-Hippo axis in breast cancer metastasis"/>
    <n v="956250"/>
    <n v="0"/>
    <n v="0"/>
    <m/>
    <s v="5 yrs 0 mth "/>
    <x v="1"/>
    <s v="Cancer-Cancer Progression and Metastasis"/>
    <x v="52"/>
    <d v="2028-03-31T00:00:00"/>
    <n v="0"/>
    <s v="PTK, Hippo, metastasis"/>
  </r>
  <r>
    <x v="966"/>
    <s v="Queen's University (Kingston, Ontario)"/>
    <x v="0"/>
    <x v="44"/>
    <s v="202303PJT"/>
    <x v="6"/>
    <s v="The TACtful Trial: A first-in-human multi-centre trial of BCMA specific T-cell antigen coupler infusion, generated from cryopreserved G-CSF-mobilized peripheral blood, in patients with relapsed and refractory multiple myeloma."/>
    <n v="3056176"/>
    <n v="0"/>
    <n v="0"/>
    <m/>
    <s v="5 yrs 0 mth "/>
    <x v="1"/>
    <s v="Cancer-Clinical Oncology"/>
    <x v="36"/>
    <d v="2028-09-30T00:00:00"/>
    <n v="0"/>
    <s v="BCMA, T-cell, multiple myeloma"/>
  </r>
  <r>
    <x v="967"/>
    <s v="Queen's University (Kingston, Ontario)"/>
    <x v="0"/>
    <x v="44"/>
    <s v="202303PJT"/>
    <x v="11"/>
    <s v="Real-time molecular-imaging guidance of breast conserving surgery"/>
    <n v="692326"/>
    <n v="0"/>
    <n v="0"/>
    <m/>
    <s v="5 yrs 0 mth "/>
    <x v="1"/>
    <s v="Biomedical Engineering-Biomedical Imaging"/>
    <x v="36"/>
    <d v="2028-09-30T00:00:00"/>
    <n v="0"/>
    <s v="molecular-imaging, breast, surgery"/>
  </r>
  <r>
    <x v="959"/>
    <s v="Queen's University (Kingston, Ontario)"/>
    <x v="0"/>
    <x v="44"/>
    <s v="202403PJT"/>
    <x v="13"/>
    <s v="Targeting B cell exhaustion in BCG non-responsive bladder cancer"/>
    <n v="975376"/>
    <n v="0"/>
    <n v="0"/>
    <m/>
    <s v="5 yrs 0 mth "/>
    <x v="1"/>
    <s v="Cancer-Cancer Drug Development and Therapeutics; Sex-and-Gender Health-Sex Differences in Cells, Tissues and Animals"/>
    <x v="54"/>
    <d v="2029-09-30T00:00:00"/>
    <n v="0"/>
    <s v="B cell exhaustion, bladder cancer, BCG"/>
  </r>
  <r>
    <x v="968"/>
    <s v="Research Institute of the McGill University Health Centre"/>
    <x v="2"/>
    <x v="44"/>
    <s v="201709PJT"/>
    <x v="23"/>
    <s v="Role of Hippo signaling in myofibroblasts during gut regeneration and tumorigenesis."/>
    <n v="650250"/>
    <n v="0"/>
    <n v="0"/>
    <m/>
    <s v="5 yrs 0 mth "/>
    <x v="1"/>
    <s v="Digestive, Endocrine and Excretory Systems-Gastroenterology and Hepatology; Cancer-Cancer Progression and Metastasis; Molecular, Cellular and Systems Biology-Cell Signaling"/>
    <x v="17"/>
    <d v="2023-03-31T00:00:00"/>
    <n v="0"/>
    <s v="Hippo signaling, myofibroblasts, gut regeneration"/>
  </r>
  <r>
    <x v="460"/>
    <s v="Research Institute of the McGill University Health Centre"/>
    <x v="2"/>
    <x v="44"/>
    <s v="201709PJT"/>
    <x v="23"/>
    <s v="Discovering new high-risk ovarian cancer predisposing genes through targeted genetic analyses of a Canadian founder population"/>
    <n v="680850"/>
    <n v="0"/>
    <n v="0"/>
    <m/>
    <s v="5 yrs 0 mth "/>
    <x v="1"/>
    <s v="Cancer-Mechanisms of Carcinogenesis; Genetics-Clinical Genetics"/>
    <x v="17"/>
    <d v="2023-03-31T00:00:00"/>
    <n v="0"/>
    <s v="ovarian cancer, genetic analyses, predisposing genes"/>
  </r>
  <r>
    <x v="969"/>
    <s v="Research Institute of the McGill University Health Centre"/>
    <x v="2"/>
    <x v="44"/>
    <s v="201709PJT"/>
    <x v="14"/>
    <s v="Novel targeted therapeutics against leukemia stem cells"/>
    <n v="665550"/>
    <n v="0"/>
    <n v="0"/>
    <m/>
    <s v="5 yrs 0 mth "/>
    <x v="1"/>
    <s v="Cancer-Cancer Drug Development and Therapeutics"/>
    <x v="17"/>
    <d v="2023-03-31T00:00:00"/>
    <n v="0"/>
    <s v="targeted therapeutics, leukemia, stem cells"/>
  </r>
  <r>
    <x v="970"/>
    <s v="Research Institute of the McGill University Health Centre"/>
    <x v="2"/>
    <x v="44"/>
    <s v="201804PJT"/>
    <x v="12"/>
    <s v="Advanced sensors for acute and chronic brain injury"/>
    <n v="100000"/>
    <n v="0"/>
    <n v="0"/>
    <m/>
    <s v="1 yr 0 mth "/>
    <x v="3"/>
    <s v="Biomedical Engineering-Biophysics, Medical Technologies and Instrumentation"/>
    <x v="47"/>
    <d v="2019-09-30T00:00:00"/>
    <n v="0"/>
    <s v="sensors, brain injury"/>
  </r>
  <r>
    <x v="971"/>
    <s v="Research Institute of the McGill University Health Centre"/>
    <x v="2"/>
    <x v="44"/>
    <s v="201809PJT"/>
    <x v="12"/>
    <s v="Autosynthetics: Cranial Regeneration"/>
    <n v="631124"/>
    <n v="0"/>
    <n v="0"/>
    <m/>
    <s v="4 yrs 0 mth "/>
    <x v="0"/>
    <s v="Musculoskeletal Health-Bone, Skin and Cartilage Sciences"/>
    <x v="18"/>
    <d v="2023-03-31T00:00:00"/>
    <n v="0"/>
    <s v="Autosynthetics, Cranial, Regeneration"/>
  </r>
  <r>
    <x v="972"/>
    <s v="Research Institute of the McGill University Health Centre"/>
    <x v="2"/>
    <x v="44"/>
    <s v="201809PJT"/>
    <x v="23"/>
    <s v="Molecular basis to diet-dependent chromatin dependencies in prostate cancer"/>
    <n v="967725"/>
    <n v="0"/>
    <n v="0"/>
    <m/>
    <s v="5 yrs 0 mth "/>
    <x v="1"/>
    <s v="Cancer-Mechanisms of Carcinogenesis; Genetics-Molecular and Functional Genetics and Epigenetics; Molecular, Cellular and Systems Biology-Molecular Biology"/>
    <x v="18"/>
    <d v="2024-03-31T00:00:00"/>
    <n v="0"/>
    <s v="molecular, chromatin, prostate cancer"/>
  </r>
  <r>
    <x v="823"/>
    <s v="Research Institute of the McGill University Health Centre"/>
    <x v="2"/>
    <x v="44"/>
    <s v="201809PJT"/>
    <x v="23"/>
    <s v="Role of CD109 in regulating cellular signaling and responses in skin and oral squamous cell carcinoma cells"/>
    <n v="1074825"/>
    <n v="0"/>
    <n v="0"/>
    <m/>
    <s v="5 yrs 0 mth "/>
    <x v="0"/>
    <s v="Musculoskeletal Health-Bone, Skin and Cartilage Sciences; Musculoskeletal Health-Oral Health"/>
    <x v="18"/>
    <d v="2024-03-31T00:00:00"/>
    <n v="1"/>
    <s v="CD109, cellular signaling, squamous cell carcinoma"/>
  </r>
  <r>
    <x v="973"/>
    <s v="Research Institute of the McGill University Health Centre"/>
    <x v="2"/>
    <x v="44"/>
    <s v="201809PJT"/>
    <x v="14"/>
    <s v="Genetic drivers of medulloblastoma metastasis"/>
    <n v="665550"/>
    <n v="0"/>
    <n v="0"/>
    <m/>
    <s v="5 yrs 0 mth "/>
    <x v="1"/>
    <s v="Cancer-Pediatric Cancer; Cancer-Cancer Progression and Metastasis"/>
    <x v="18"/>
    <d v="2024-03-31T00:00:00"/>
    <n v="0"/>
    <s v="genetic, medulloblastoma, metastasis"/>
  </r>
  <r>
    <x v="465"/>
    <s v="Research Institute of the McGill University Health Centre"/>
    <x v="2"/>
    <x v="44"/>
    <s v="201909PJT"/>
    <x v="6"/>
    <s v="Implication of neutrophil extracellular traps in the efficacy of bladder-sparing therapy in muscle invasive bladder cancer"/>
    <n v="902700"/>
    <n v="0"/>
    <n v="0"/>
    <m/>
    <s v="5 yrs 0 mth "/>
    <x v="1"/>
    <s v="Cancer-Cancer Drug Development and Therapeutics"/>
    <x v="13"/>
    <d v="2025-03-31T00:00:00"/>
    <n v="0"/>
    <s v="neutrophil extracellular traps, bladder-sparing, bladder cancer"/>
  </r>
  <r>
    <x v="974"/>
    <s v="Research Institute of the McGill University Health Centre"/>
    <x v="2"/>
    <x v="44"/>
    <s v="201909PJT"/>
    <x v="23"/>
    <s v="Ectopic reactivation of normally silenced germ cell programs contributes to genomic instability, carcinogenesis and cancer progression in Cutaneous T-Cell Lymphomas (CTCL)."/>
    <n v="573750"/>
    <n v="0"/>
    <n v="0"/>
    <m/>
    <s v="5 yrs 0 mth "/>
    <x v="1"/>
    <s v="Cancer-Mechanisms of Carcinogenesis; Cancer-Cancer Drug Development and Therapeutics; Cancer-Cancer Progression and Metastasis"/>
    <x v="13"/>
    <d v="2025-03-31T00:00:00"/>
    <n v="0"/>
    <s v="ectopic reactivation, germ cell, lymphomas"/>
  </r>
  <r>
    <x v="975"/>
    <s v="Research Institute of the McGill University Health Centre"/>
    <x v="2"/>
    <x v="44"/>
    <s v="201909PJT"/>
    <x v="14"/>
    <s v="Investigating the Molecular Determinants of Peritoneal Metastasis from Gastro-Esophageal Adenocarcinomas"/>
    <n v="753525"/>
    <n v="0"/>
    <n v="0"/>
    <m/>
    <s v="5 yrs 0 mth "/>
    <x v="1"/>
    <s v="Cancer-Cancer Progression and Metastasis"/>
    <x v="13"/>
    <d v="2025-03-31T00:00:00"/>
    <n v="0"/>
    <s v="Peritoneal metastasis, Molecular determinants, Gastro-Esophageal adenocarcinomas"/>
  </r>
  <r>
    <x v="406"/>
    <s v="Research Institute of the McGill University Health Centre"/>
    <x v="2"/>
    <x v="44"/>
    <s v="201909PJT"/>
    <x v="14"/>
    <s v="Regulatory circuits controlling the immune microenvironment of liver metastases"/>
    <n v="807075"/>
    <n v="0"/>
    <n v="0"/>
    <m/>
    <s v="5 yrs 0 mth "/>
    <x v="1"/>
    <s v="Cancer-Cancer Progression and Metastasis; Molecular, Cellular and Systems Biology-Cell Signaling"/>
    <x v="13"/>
    <d v="2025-03-31T00:00:00"/>
    <n v="0"/>
    <s v="regulatory circuits, immune microenvironment, liver metastases"/>
  </r>
  <r>
    <x v="976"/>
    <s v="Research Institute of the McGill University Health Centre"/>
    <x v="2"/>
    <x v="44"/>
    <s v="202109PJT"/>
    <x v="23"/>
    <s v="Protein glycation acts as a substrate-dependent tumorigenic molecular switch in prostate cancer"/>
    <n v="1132200"/>
    <n v="0"/>
    <n v="0"/>
    <m/>
    <s v="5 yrs 0 mth "/>
    <x v="1"/>
    <s v="Cancer-Mechanisms of Carcinogenesis; Biomedical Engineering-Regenerative Medicine and Tissue Engineering; Molecular, Cellular and Systems Biology-Cell Signaling"/>
    <x v="51"/>
    <d v="2027-03-31T00:00:00"/>
    <n v="0"/>
    <s v="Protein, glycation, prostate cancer"/>
  </r>
  <r>
    <x v="977"/>
    <s v="Research Institute of the McGill University Health Centre"/>
    <x v="2"/>
    <x v="44"/>
    <s v="202203PJT"/>
    <x v="12"/>
    <s v="Curve progression, tissue remodelling and disease-modifying drugs in idiopathic scoliosis."/>
    <n v="784126"/>
    <n v="0"/>
    <n v="0"/>
    <m/>
    <s v="5 yrs 0 mth "/>
    <x v="0"/>
    <s v="Musculoskeletal Health-Bone, Skin and Cartilage Sciences; Youth Health-Prevention, Treatment and Support"/>
    <x v="37"/>
    <d v="2027-09-30T00:00:00"/>
    <n v="0"/>
    <s v="curve, tissue remodelling, scoliosis"/>
  </r>
  <r>
    <x v="969"/>
    <s v="Research Institute of the McGill University Health Centre"/>
    <x v="2"/>
    <x v="44"/>
    <s v="202203PJT"/>
    <x v="6"/>
    <s v="Identification of the mechanisms underlying the early stages of leukemogenesis in human hematopoietic stem cells."/>
    <n v="898876"/>
    <n v="0"/>
    <n v="0"/>
    <m/>
    <s v="5 yrs 0 mth "/>
    <x v="1"/>
    <s v="Cancer-Cancer Progression and Metastasis; Cancer-Mechanisms of Carcinogenesis; Molecular, Cellular and Systems Biology-Cell Biology and Physiology"/>
    <x v="37"/>
    <d v="2027-09-30T00:00:00"/>
    <n v="0"/>
    <s v="leukemogenesis, hematopoietic stem cells, mechanisms"/>
  </r>
  <r>
    <x v="461"/>
    <s v="Research Institute of the McGill University Health Centre"/>
    <x v="2"/>
    <x v="44"/>
    <s v="202203PJT"/>
    <x v="14"/>
    <s v="Targeting exosomal mediators of vascular pathology in glioblastoma"/>
    <n v="956250"/>
    <n v="0"/>
    <n v="0"/>
    <m/>
    <s v="5 yrs 0 mth "/>
    <x v="1"/>
    <s v="Cancer-Cancer Progression and Metastasis"/>
    <x v="37"/>
    <d v="2027-09-30T00:00:00"/>
    <n v="0"/>
    <s v="exosomal, vascular, glioblastoma"/>
  </r>
  <r>
    <x v="978"/>
    <s v="Research Institute of the McGill University Health Centre"/>
    <x v="2"/>
    <x v="44"/>
    <s v="202209PJT"/>
    <x v="11"/>
    <s v="Development of intraoperative label-free Raman Spectroscopy techniques to delineate Focal Cortical Dysplasia borders in Epilepsy surgery and detect cells carrying somatic variants"/>
    <n v="1147500"/>
    <n v="0"/>
    <n v="0"/>
    <m/>
    <s v="5 yrs 0 mth "/>
    <x v="10"/>
    <s v="Biomedical Engineering-Biophysics, Medical Technologies and Instrumentation; Neurosciences-Neurological disorders"/>
    <x v="52"/>
    <d v="2028-03-31T00:00:00"/>
    <n v="0"/>
    <s v="Raman Spectroscopy, Focal Cortical Dysplasia, Epilepsy"/>
  </r>
  <r>
    <x v="979"/>
    <s v="Research Institute of the McGill University Health Centre"/>
    <x v="2"/>
    <x v="44"/>
    <s v="202303PJT"/>
    <x v="14"/>
    <s v="Modelling cancer cell-derived extracellular vesicles using synthetic nanoparticles"/>
    <n v="960076"/>
    <n v="0"/>
    <n v="0"/>
    <m/>
    <s v="5 yrs 0 mth "/>
    <x v="1"/>
    <s v="Cancer-Cancer Progression and Metastasis; Biomedical Engineering-Biomaterials, Nanotechnology and Biomechanics"/>
    <x v="36"/>
    <d v="2028-09-30T00:00:00"/>
    <n v="0"/>
    <s v="cancer, extracellular vesicles, nanoparticles"/>
  </r>
  <r>
    <x v="980"/>
    <s v="Research Institute of the McGill University Health Centre"/>
    <x v="2"/>
    <x v="44"/>
    <s v="202303PJT"/>
    <x v="14"/>
    <s v="Role of the circadian rhythm in the regulation of the tumor microenvironment of non-small cell cancer"/>
    <n v="1162800"/>
    <n v="0"/>
    <n v="0"/>
    <m/>
    <s v="5 yrs 0 mth "/>
    <x v="1"/>
    <s v="Cancer-Cancer Progression and Metastasis; Cancer-Mechanisms of Carcinogenesis; Immunology and Infection-Transplantation, Immune Tolerance and Tumor Immunology"/>
    <x v="36"/>
    <d v="2028-09-30T00:00:00"/>
    <n v="0"/>
    <s v="circadian rhythm, tumor microenvironment, non-small cell cancer"/>
  </r>
  <r>
    <x v="463"/>
    <s v="Research Institute of the McGill University Health Centre"/>
    <x v="2"/>
    <x v="44"/>
    <s v="202403PJT"/>
    <x v="13"/>
    <s v="Targeting vulnerabilities in oncohistone-mediated gliomas"/>
    <n v="1269900"/>
    <n v="0"/>
    <n v="0"/>
    <m/>
    <s v="5 yrs 0 mth "/>
    <x v="1"/>
    <s v="Cancer-Pediatric Cancer; Cancer-Cancer Drug Development and Therapeutics; Molecular, Cellular and Systems Biology-Cell Signaling"/>
    <x v="54"/>
    <d v="2029-09-30T00:00:00"/>
    <n v="0"/>
    <s v="oncohistone, gliomas, vulnerabilities"/>
  </r>
  <r>
    <x v="468"/>
    <s v="Simon Fraser University (Burnaby, B.C.)"/>
    <x v="3"/>
    <x v="44"/>
    <s v="201903PJT"/>
    <x v="14"/>
    <s v="Prioritization and functional characterization of regulatory mutations in non-Hodgkin lymphoma"/>
    <n v="784126"/>
    <n v="0"/>
    <n v="0"/>
    <m/>
    <s v="5 yrs 0 mth "/>
    <x v="1"/>
    <s v="Cancer-Cancer Progression and Metastasis; Cancer-Mechanisms of Carcinogenesis; Genetics-Genomics, Transcriptomics and Proteomics"/>
    <x v="48"/>
    <d v="2024-09-30T00:00:00"/>
    <n v="2"/>
    <s v="regulatory mutations, non-Hodgkin lymphoma, functional characterization"/>
  </r>
  <r>
    <x v="468"/>
    <s v="Simon Fraser University (Burnaby, B.C.)"/>
    <x v="3"/>
    <x v="44"/>
    <s v="202203PJT"/>
    <x v="13"/>
    <s v="All roads lead to Rome: Tracing the evolutionary paths to diffuse large B-cell lymphoma"/>
    <n v="1017450"/>
    <n v="0"/>
    <n v="0"/>
    <m/>
    <s v="5 yrs 0 mth "/>
    <x v="1"/>
    <s v="Cancer-Mechanisms of Carcinogenesis; Genetics-Genomics, Transcriptomics and Proteomics"/>
    <x v="37"/>
    <d v="2027-09-30T00:00:00"/>
    <n v="0"/>
    <s v="B-cell lymphoma, tracing, evolutionary"/>
  </r>
  <r>
    <x v="725"/>
    <s v="Simon Fraser University (Burnaby, B.C.)"/>
    <x v="3"/>
    <x v="44"/>
    <s v="202403PJT"/>
    <x v="14"/>
    <s v="Targeting adaptive autophagy to enhance treatment response in pancreatic cancer"/>
    <n v="994500"/>
    <n v="0"/>
    <n v="0"/>
    <m/>
    <s v="5 yrs 0 mth "/>
    <x v="1"/>
    <s v="Cancer-Cancer Drug Development and Therapeutics"/>
    <x v="53"/>
    <d v="2025-02-28T00:00:00"/>
    <n v="0"/>
    <s v="autophagy, pancreatic cancer, treatment response"/>
  </r>
  <r>
    <x v="981"/>
    <s v="Sinai Health System (Toronto)"/>
    <x v="0"/>
    <x v="44"/>
    <s v="201803PJT"/>
    <x v="12"/>
    <s v="Bioengineering a finger joint replacement"/>
    <n v="688501"/>
    <n v="0"/>
    <n v="0"/>
    <m/>
    <s v="4 yrs 0 mth "/>
    <x v="0"/>
    <s v="Musculoskeletal Health-Bone, Skin and Cartilage Sciences; Aging-Aging Process and Biological Determinants of Aging"/>
    <x v="47"/>
    <d v="2022-09-30T00:00:00"/>
    <n v="0"/>
    <s v="Bioengineering, finger joint, replacement"/>
  </r>
  <r>
    <x v="982"/>
    <s v="Sinai Health System (Toronto)"/>
    <x v="0"/>
    <x v="44"/>
    <s v="201903PJT"/>
    <x v="14"/>
    <s v="Whole Genome Sequencing Defines Leiomyosarcoma Evolution and Identifies Therapeutic Opportunities in the DNA Damage Pathway"/>
    <n v="948600"/>
    <n v="0"/>
    <n v="0"/>
    <m/>
    <s v="5 yrs 0 mth "/>
    <x v="1"/>
    <s v="Cancer-Cancer Progression and Metastasis; Genetics-Genomics, Transcriptomics and Proteomics; Molecular, Cellular and Systems Biology-Molecular Biology"/>
    <x v="48"/>
    <d v="2024-09-30T00:00:00"/>
    <n v="0"/>
    <s v="Genome, Sequencing, Leiomyosarcoma"/>
  </r>
  <r>
    <x v="983"/>
    <s v="Sinai Health System (Toronto)"/>
    <x v="0"/>
    <x v="44"/>
    <s v="202003PJT"/>
    <x v="23"/>
    <s v="In vivo CRISPR screen to identify clinically relevant therapeutic targets for lung cancer"/>
    <n v="1071000"/>
    <n v="0"/>
    <n v="0"/>
    <m/>
    <s v="5 yrs 0 mth "/>
    <x v="1"/>
    <s v="Cancer-Cancer Drug Development and Therapeutics"/>
    <x v="49"/>
    <d v="2025-09-30T00:00:00"/>
    <n v="0"/>
    <s v="CRISPR, lung cancer, targets"/>
  </r>
  <r>
    <x v="984"/>
    <s v="Sinai Health System (Toronto)"/>
    <x v="0"/>
    <x v="44"/>
    <s v="202010PJT"/>
    <x v="14"/>
    <s v="Targeting chemotherapy resistant multi-cellular environments in pancreatic cancer"/>
    <n v="1097775"/>
    <n v="0"/>
    <n v="0"/>
    <m/>
    <s v="5 yrs 0 mth "/>
    <x v="1"/>
    <s v="Cancer-Cancer Progression and Metastasis; Cancer-Cancer Drug Development and Therapeutics; Cancer-Clinical Oncology"/>
    <x v="50"/>
    <d v="2026-03-31T00:00:00"/>
    <n v="0"/>
    <s v="chemotherapy, pancreatic cancer, multi-cellular environments"/>
  </r>
  <r>
    <x v="985"/>
    <s v="Sinai Health System (Toronto)"/>
    <x v="0"/>
    <x v="44"/>
    <s v="202109PJT"/>
    <x v="13"/>
    <s v="Induced proximity therapeutics for the difficult-to-drug RAS and RAF oncoproteins"/>
    <n v="1300882"/>
    <n v="0"/>
    <n v="0"/>
    <m/>
    <s v="5 yrs 0 mth "/>
    <x v="1"/>
    <s v="Cancer-Cancer Drug Development and Therapeutics; Molecular, Cellular and Systems Biology-Biochemistry; Molecular, Cellular and Systems Biology-Structure and Function of Macromolecules"/>
    <x v="51"/>
    <d v="2027-03-31T00:00:00"/>
    <n v="0"/>
    <s v="induced proximity, RAS, RAF"/>
  </r>
  <r>
    <x v="473"/>
    <s v="Sinai Health System (Toronto)"/>
    <x v="0"/>
    <x v="44"/>
    <s v="202104PJT"/>
    <x v="6"/>
    <s v="Understanding and exploiting the CIP2A-BRCA synthetic lethality"/>
    <n v="882046"/>
    <n v="0"/>
    <n v="0"/>
    <m/>
    <s v="5 yrs 0 mth "/>
    <x v="1"/>
    <s v="Cancer-Cancer Drug Development and Therapeutics; Genetics-Molecular and Functional Genetics and Epigenetics; Molecular, Cellular and Systems Biology-Molecular Biology"/>
    <x v="55"/>
    <d v="2027-06-30T00:00:00"/>
    <n v="1"/>
    <s v="CIP2A, BRCA, synthetic lethality"/>
  </r>
  <r>
    <x v="474"/>
    <s v="Sinai Health System (Toronto)"/>
    <x v="0"/>
    <x v="44"/>
    <s v="202203PJT"/>
    <x v="12"/>
    <s v="An intervertebral disc replacement: a regenerative medicine approach"/>
    <n v="1170450"/>
    <n v="0"/>
    <n v="0"/>
    <m/>
    <s v="5 yrs 0 mth "/>
    <x v="0"/>
    <s v="Musculoskeletal Health-Bone, Skin and Cartilage Sciences; Aging-Aging Process and Biological Determinants of Aging"/>
    <x v="37"/>
    <d v="2027-09-30T00:00:00"/>
    <n v="0"/>
    <s v="intervertebral disc, regenerative medicine, replacement"/>
  </r>
  <r>
    <x v="986"/>
    <s v="Sinai Health System (Toronto)"/>
    <x v="0"/>
    <x v="44"/>
    <s v="202203PJT"/>
    <x v="23"/>
    <s v="Role of YAP and TAZ in Acute Myeloid Leukemia"/>
    <n v="902700"/>
    <n v="0"/>
    <n v="0"/>
    <m/>
    <s v="5 yrs 0 mth "/>
    <x v="8"/>
    <s v="Genetics-Molecular and Functional Genetics and Epigenetics; Cancer-Cancer Drug Development and Therapeutics"/>
    <x v="37"/>
    <d v="2027-09-30T00:00:00"/>
    <n v="0"/>
    <s v="YAP, TAZ, Leukemia"/>
  </r>
  <r>
    <x v="983"/>
    <s v="Sinai Health System (Toronto)"/>
    <x v="0"/>
    <x v="44"/>
    <s v="202210PJT"/>
    <x v="13"/>
    <s v="Identifying essential genes for epithelial homeostasis and KRas-driven carcinomas using in vivo CRISPR screens."/>
    <n v="100000"/>
    <n v="0"/>
    <n v="0"/>
    <m/>
    <s v="1 yr 0 mth "/>
    <x v="1"/>
    <s v="Cancer-Cancer Drug Development and Therapeutics; Cancer-Mechanisms of Carcinogenesis"/>
    <x v="52"/>
    <d v="2024-03-31T00:00:00"/>
    <n v="0"/>
    <s v="CRISPR, genes, carcinomas"/>
  </r>
  <r>
    <x v="983"/>
    <s v="Sinai Health System (Toronto)"/>
    <x v="0"/>
    <x v="44"/>
    <s v="202303PJT"/>
    <x v="14"/>
    <s v="Identifying and characterizing essential genes and cancer driver genes in HNSCC using in vivo CRISPR screens."/>
    <n v="1063350"/>
    <n v="0"/>
    <n v="0"/>
    <m/>
    <s v="5 yrs 0 mth "/>
    <x v="1"/>
    <s v="Cancer-Cancer Drug Development and Therapeutics; Cancer-Mechanisms of Carcinogenesis"/>
    <x v="36"/>
    <d v="2028-09-30T00:00:00"/>
    <n v="0"/>
    <s v="CRISPR, genes, cancer"/>
  </r>
  <r>
    <x v="479"/>
    <s v="Sunnybrook Research Institute (Toronto, Ontario)"/>
    <x v="0"/>
    <x v="44"/>
    <s v="202104PJT"/>
    <x v="11"/>
    <s v="MRI for Arrhythmia Management in Ischemic Heart Disease"/>
    <n v="925650"/>
    <n v="0"/>
    <n v="0"/>
    <m/>
    <s v="5 yrs 0 mth "/>
    <x v="11"/>
    <s v="CARDIOLOGY; MYOCARDIAL INFARCTION; IMAGING; CARDIOVASCULAR"/>
    <x v="11"/>
    <d v="2019-03-31T00:00:00"/>
    <n v="0"/>
    <s v="MRI, Arrhythmia, Heart Disease"/>
  </r>
  <r>
    <x v="489"/>
    <s v="Sunnybrook Research Institute (Toronto, Ontario)"/>
    <x v="0"/>
    <x v="44"/>
    <s v="201710PJT"/>
    <x v="11"/>
    <s v="Quantitative Ultrasound for A Priori Breast Cancer Chemotherapy Response Prediction"/>
    <n v="100000"/>
    <n v="0"/>
    <n v="0"/>
    <m/>
    <s v="1 yr 0 mth "/>
    <x v="1"/>
    <s v="Biomedical Engineering-Biomedical Imaging; Cancer-Cancer Drug Development and Therapeutics"/>
    <x v="17"/>
    <d v="2019-03-31T00:00:00"/>
    <n v="0"/>
    <s v="Ultrasound, Breast Cancer, Chemotherapy"/>
  </r>
  <r>
    <x v="488"/>
    <s v="Sunnybrook Research Institute (Toronto, Ontario)"/>
    <x v="0"/>
    <x v="44"/>
    <s v="201709PJT"/>
    <x v="12"/>
    <s v="Treatment induced changes to bone quality: Impact on the skeletal stability of the metastatic spine"/>
    <n v="966960"/>
    <n v="0"/>
    <n v="0"/>
    <m/>
    <s v="4 yrs 0 mth "/>
    <x v="0"/>
    <s v="Biomedical Engineering-Biomaterials, Nanotechnology and Biomechanics; Musculoskeletal Health-Bone, Skin and Cartilage Sciences; Cancer-Cancer Progression and Metastasis"/>
    <x v="17"/>
    <d v="2022-03-31T00:00:00"/>
    <n v="1"/>
    <s v="bone, skeletal, metastasis"/>
  </r>
  <r>
    <x v="987"/>
    <s v="Sunnybrook Research Institute (Toronto, Ontario)"/>
    <x v="0"/>
    <x v="44"/>
    <s v="201709PJT"/>
    <x v="23"/>
    <s v="DCIS-Precise: A Genomics-Driven Model for Predicting DCIS Response to Radiation"/>
    <n v="910352"/>
    <n v="0"/>
    <n v="0"/>
    <m/>
    <s v="4 yrs 0 mth "/>
    <x v="1"/>
    <s v="Cancer-Clinical Oncology"/>
    <x v="17"/>
    <d v="2022-03-31T00:00:00"/>
    <n v="0"/>
    <s v="DCIS, Genomics, Radiation"/>
  </r>
  <r>
    <x v="988"/>
    <s v="Sunnybrook Research Institute (Toronto, Ontario)"/>
    <x v="0"/>
    <x v="44"/>
    <s v="201709PJT"/>
    <x v="11"/>
    <s v="Enhancing immunotherapy with ultrasound stimulated bubbles"/>
    <n v="776475"/>
    <n v="0"/>
    <n v="0"/>
    <m/>
    <s v="5 yrs 0 mth "/>
    <x v="1"/>
    <s v="Biomedical Engineering-Biophysics, Medical Technologies and Instrumentation; Cancer-Cancer Drug Development and Therapeutics"/>
    <x v="17"/>
    <d v="2023-03-31T00:00:00"/>
    <n v="0"/>
    <s v="immunotherapy, ultrasound, bubbles"/>
  </r>
  <r>
    <x v="487"/>
    <s v="Sunnybrook Research Institute (Toronto, Ontario)"/>
    <x v="0"/>
    <x v="44"/>
    <s v="201709PJT"/>
    <x v="11"/>
    <s v="Saturation Transfer MRI as a biomarker of tumour response to radiation treatment in patients with glioblastoma multiforme"/>
    <n v="650250"/>
    <n v="0"/>
    <n v="0"/>
    <m/>
    <s v="5 yrs 0 mth "/>
    <x v="1"/>
    <s v="Biomedical Engineering-Biomedical Imaging"/>
    <x v="17"/>
    <d v="2023-03-31T00:00:00"/>
    <n v="0"/>
    <s v="Saturation Transfer, MRI, glioblastoma"/>
  </r>
  <r>
    <x v="479"/>
    <s v="Sunnybrook Research Institute (Toronto, Ontario)"/>
    <x v="0"/>
    <x v="44"/>
    <s v="201709PJT"/>
    <x v="11"/>
    <s v="MR-Guided Management of Occlusive Peripheral Arterial Disease"/>
    <n v="791775"/>
    <n v="0"/>
    <n v="0"/>
    <m/>
    <s v="5 yrs 0 mth "/>
    <x v="11"/>
    <s v="Cardiovascular, Respiratory and Circulatory Systems-Cardiovascular and Circulatory Sciences"/>
    <x v="17"/>
    <d v="2023-03-31T00:00:00"/>
    <n v="2"/>
    <s v="MR, Peripheral Arterial Disease, Occlusive"/>
  </r>
  <r>
    <x v="989"/>
    <s v="Sunnybrook Research Institute (Toronto, Ontario)"/>
    <x v="0"/>
    <x v="44"/>
    <s v="201709PJT"/>
    <x v="11"/>
    <s v="Modulating peri-ischemic neuronal hyperexcitability"/>
    <n v="918000"/>
    <n v="0"/>
    <n v="0"/>
    <m/>
    <s v="5 yrs 0 mth "/>
    <x v="3"/>
    <s v="Biomedical Engineering-Biomedical Imaging"/>
    <x v="17"/>
    <d v="2023-03-31T00:00:00"/>
    <n v="0"/>
    <s v="peri-ischemic, neuronal, hyperexcitability"/>
  </r>
  <r>
    <x v="990"/>
    <s v="Sunnybrook Research Institute (Toronto, Ontario)"/>
    <x v="0"/>
    <x v="44"/>
    <s v="201803PJT"/>
    <x v="11"/>
    <s v="Ultrasound-Stimulated Microbubble Enhancement of Tumour Radiation Response"/>
    <n v="795600"/>
    <n v="0"/>
    <n v="0"/>
    <m/>
    <s v="3 yrs 0 mth "/>
    <x v="1"/>
    <s v="Biomedical Engineering-Biophysics, Medical Technologies and Instrumentation; Cancer-Cancer Drug Development and Therapeutics"/>
    <x v="47"/>
    <d v="2021-09-30T00:00:00"/>
    <n v="0"/>
    <s v="Ultrasound, Microbubble, Radiation"/>
  </r>
  <r>
    <x v="991"/>
    <s v="Sunnybrook Research Institute (Toronto, Ontario)"/>
    <x v="0"/>
    <x v="44"/>
    <s v="201809PJT"/>
    <x v="13"/>
    <s v="Non-invasive multi-omics urinary biomarkers to guide prostate cancer management"/>
    <n v="459000"/>
    <n v="0"/>
    <n v="0"/>
    <m/>
    <s v="3 yrs 0 mth "/>
    <x v="1"/>
    <s v="Cancer-Cancer Progression and Metastasis"/>
    <x v="18"/>
    <d v="2022-03-31T00:00:00"/>
    <n v="0"/>
    <s v="multi-omics, urinary biomarkers, prostate cancer"/>
  </r>
  <r>
    <x v="489"/>
    <s v="Sunnybrook Research Institute (Toronto, Ontario)"/>
    <x v="0"/>
    <x v="44"/>
    <s v="201809PJT"/>
    <x v="11"/>
    <s v="Quantitative Ultrasound for A Priori Breast Cancer Chemoerthapy Response Prediction"/>
    <n v="598995"/>
    <n v="0"/>
    <n v="0"/>
    <m/>
    <s v="3 yrs 0 mth "/>
    <x v="1"/>
    <s v="Biomedical Engineering-Biomedical Imaging"/>
    <x v="18"/>
    <d v="2022-03-31T00:00:00"/>
    <n v="3"/>
    <s v="Ultrasound, Breast Cancer, Chemotherapy"/>
  </r>
  <r>
    <x v="992"/>
    <s v="Sunnybrook Research Institute (Toronto, Ontario)"/>
    <x v="0"/>
    <x v="44"/>
    <s v="201809PJT"/>
    <x v="11"/>
    <s v="Using deep learning to estimate breast cancer recurrence scores from histopathology images"/>
    <n v="780300"/>
    <n v="0"/>
    <n v="0"/>
    <m/>
    <s v="5 yrs 0 mth "/>
    <x v="1"/>
    <s v="Biomedical Engineering-Biomedical Imaging; Health Services and Systems-Personalized Medicine; Cancer-Clinical Oncology"/>
    <x v="18"/>
    <d v="2024-03-31T00:00:00"/>
    <n v="1"/>
    <s v="deep learning, breast cancer, histopathology"/>
  </r>
  <r>
    <x v="993"/>
    <s v="Sunnybrook Research Institute (Toronto, Ontario)"/>
    <x v="0"/>
    <x v="44"/>
    <s v="201809PJT"/>
    <x v="11"/>
    <s v="Parallel Radiofrequency Transmission MRI Applied to Deep Brain Stimulation"/>
    <n v="841500"/>
    <n v="0"/>
    <n v="0"/>
    <m/>
    <s v="5 yrs 0 mth "/>
    <x v="3"/>
    <s v="Neurosciences-Neurological disorders"/>
    <x v="18"/>
    <d v="2024-03-31T00:00:00"/>
    <n v="0"/>
    <s v="Radiofrequency, MRI, Brain Stimulation"/>
  </r>
  <r>
    <x v="994"/>
    <s v="Sunnybrook Research Institute (Toronto, Ontario)"/>
    <x v="0"/>
    <x v="44"/>
    <s v="201809PJT"/>
    <x v="11"/>
    <s v="Ultrasound-Mediated Drug Delivery to the Spinal Cord"/>
    <n v="673200"/>
    <n v="0"/>
    <n v="0"/>
    <m/>
    <s v="5 yrs 0 mth "/>
    <x v="3"/>
    <s v="Biomedical Engineering-Biophysics, Medical Technologies and Instrumentation; Biomedical Engineering-Biomedical Imaging"/>
    <x v="18"/>
    <d v="2024-03-31T00:00:00"/>
    <n v="0"/>
    <s v="Ultrasound, Drug Delivery, Spinal Cord"/>
  </r>
  <r>
    <x v="988"/>
    <s v="Sunnybrook Research Institute (Toronto, Ontario)"/>
    <x v="0"/>
    <x v="44"/>
    <s v="201903PJT"/>
    <x v="11"/>
    <s v="Novel Catheter Based Therapeutic Ultrasound Approach for the Treatment of Coronary Artery Occlusions"/>
    <n v="374851"/>
    <n v="0"/>
    <n v="0"/>
    <m/>
    <s v="4 yrs 0 mth "/>
    <x v="11"/>
    <s v="Biomedical Engineering-Biophysics, Medical Technologies and Instrumentation; Cardiovascular, Respiratory and Circulatory Systems-Cardiovascular and Circulatory Sciences"/>
    <x v="48"/>
    <d v="2023-09-30T00:00:00"/>
    <n v="1"/>
    <s v="Catheter, Ultrasound, Coronary Artery"/>
  </r>
  <r>
    <x v="995"/>
    <s v="Sunnybrook Research Institute (Toronto, Ontario)"/>
    <x v="0"/>
    <x v="44"/>
    <s v="201903PJT"/>
    <x v="11"/>
    <s v="Identifying vascular targets to treat cerebral small vessel disease"/>
    <n v="665550"/>
    <n v="0"/>
    <n v="0"/>
    <m/>
    <s v="5 yrs 0 mth "/>
    <x v="6"/>
    <s v="Cardiovascular, Respiratory and Circulatory Systems-Cerebrovascular Sciences (including stroke); Neurosciences-Neurodegeneration"/>
    <x v="48"/>
    <d v="2024-09-30T00:00:00"/>
    <n v="0"/>
    <s v="vascular, targets, vessel disease"/>
  </r>
  <r>
    <x v="484"/>
    <s v="Sunnybrook Research Institute (Toronto, Ontario)"/>
    <x v="0"/>
    <x v="44"/>
    <s v="201909PJT"/>
    <x v="14"/>
    <s v="Low Dose Metronomic Chemotherapy as a Combination Strategy to Combat Innate or Acquired Resistance to Immune Checkpoint Therapy"/>
    <n v="581400"/>
    <n v="0"/>
    <n v="0"/>
    <m/>
    <s v="4 yrs 0 mth "/>
    <x v="1"/>
    <s v="Cancer-Cancer Drug Development and Therapeutics"/>
    <x v="13"/>
    <d v="2024-03-31T00:00:00"/>
    <n v="0"/>
    <s v="Metronomic Chemotherapy, Resistance, Immune Checkpoint"/>
  </r>
  <r>
    <x v="996"/>
    <s v="Sunnybrook Research Institute (Toronto, Ontario)"/>
    <x v="0"/>
    <x v="44"/>
    <s v="201909PJT"/>
    <x v="11"/>
    <s v="Using MRI imaging to develop a personalized risk-based breast cancer screening strategy"/>
    <n v="925650"/>
    <n v="0"/>
    <n v="0"/>
    <m/>
    <s v="5 yrs 0 mth "/>
    <x v="1"/>
    <s v="Biomedical Engineering-Biomedical Imaging; Health Services and Systems-Personalized Medicine; Cancer-Clinical Oncology"/>
    <x v="13"/>
    <d v="2025-03-31T00:00:00"/>
    <n v="0"/>
    <s v="MRI, breast cancer, screening"/>
  </r>
  <r>
    <x v="997"/>
    <s v="Sunnybrook Research Institute (Toronto, Ontario)"/>
    <x v="0"/>
    <x v="44"/>
    <s v="202003PJT"/>
    <x v="11"/>
    <s v="Rescuing Neurovascular Network Function with Transcranial Neuromodulation"/>
    <n v="849150"/>
    <n v="0"/>
    <n v="0"/>
    <m/>
    <s v="5 yrs 0 mth "/>
    <x v="3"/>
    <s v="Biomedical Engineering-Biomedical Imaging"/>
    <x v="49"/>
    <d v="2025-09-30T00:00:00"/>
    <n v="0"/>
    <s v="Neurovascular, Neuromodulation, Transcranial"/>
  </r>
  <r>
    <x v="998"/>
    <s v="Sunnybrook Research Institute (Toronto, Ontario)"/>
    <x v="0"/>
    <x v="44"/>
    <s v="202003PJT"/>
    <x v="23"/>
    <s v="Prospective Evaluation of Breast-Conserving Surgery Alone in Low Risk Ductal Carcinoma in Situ Defined by a Molecular Expression Assay Combined with Clinico-Pathological Features"/>
    <n v="1235476"/>
    <n v="0"/>
    <n v="0"/>
    <m/>
    <s v="6 yrs 0 mth "/>
    <x v="1"/>
    <s v="Cancer-Clinical Oncology"/>
    <x v="49"/>
    <d v="2026-09-30T00:00:00"/>
    <n v="0"/>
    <s v="Breast-Conserving Surgery, Ductal Carcinoma, Molecular Expression"/>
  </r>
  <r>
    <x v="999"/>
    <s v="Sunnybrook Research Institute (Toronto, Ontario)"/>
    <x v="0"/>
    <x v="44"/>
    <s v="202010PJT"/>
    <x v="11"/>
    <s v="MR-Linac guided adaptive radiotherapy in glioblastoma multiforme"/>
    <n v="558450"/>
    <n v="0"/>
    <n v="0"/>
    <m/>
    <s v="5 yrs 0 mth "/>
    <x v="1"/>
    <s v="Cancer-Cancer Progression and Metastasis; Biomedical Engineering-Biomedical Imaging"/>
    <x v="50"/>
    <d v="2026-03-31T00:00:00"/>
    <n v="0"/>
    <s v="MR, radiotherapy, glioblastoma"/>
  </r>
  <r>
    <x v="1000"/>
    <s v="Sunnybrook Research Institute (Toronto, Ontario)"/>
    <x v="0"/>
    <x v="44"/>
    <s v="202010PJT"/>
    <x v="11"/>
    <s v="Functional micro-ultrasound imaging of the neurovascular response to focal ischemia"/>
    <n v="757350"/>
    <n v="0"/>
    <n v="0"/>
    <m/>
    <s v="5 yrs 0 mth "/>
    <x v="3"/>
    <s v="Biomedical Engineering-Biomedical Imaging; Neurosciences-Neurological disorders"/>
    <x v="50"/>
    <d v="2026-03-31T00:00:00"/>
    <n v="0"/>
    <s v="micro-ultrasound, neurovascular, ischemia"/>
  </r>
  <r>
    <x v="1001"/>
    <s v="Sunnybrook Research Institute (Toronto, Ontario)"/>
    <x v="0"/>
    <x v="44"/>
    <s v="202104PJT"/>
    <x v="11"/>
    <s v="Localization of epileptic spike generators using combined EEG and MRI"/>
    <n v="863530"/>
    <n v="0"/>
    <n v="0"/>
    <m/>
    <s v="5 yrs 0 mth "/>
    <x v="3"/>
    <s v="Biomedical Engineering-Biomedical Imaging; Neurosciences-Neurological disorders"/>
    <x v="45"/>
    <d v="2026-09-30T00:00:00"/>
    <n v="1"/>
    <s v="epileptic, EEG, MRI"/>
  </r>
  <r>
    <x v="1002"/>
    <s v="Sunnybrook Research Institute (Toronto, Ontario)"/>
    <x v="0"/>
    <x v="44"/>
    <s v="202109PJT"/>
    <x v="12"/>
    <s v="Quantifying Osteosarcopenia Progression with Imaging Biomarkers in Prostate Cancer"/>
    <n v="636180"/>
    <n v="0"/>
    <n v="0"/>
    <m/>
    <s v="5 yrs 0 mth "/>
    <x v="0"/>
    <s v="Biomedical Engineering-Biomedical Imaging; Musculoskeletal Health-Skeletal Muscle Biology and Physiology; Cancer-Cancer Progression and Metastasis"/>
    <x v="51"/>
    <d v="2027-03-31T00:00:00"/>
    <n v="0"/>
    <s v="Osteosarcopenia, Imaging, Biomarkers"/>
  </r>
  <r>
    <x v="1003"/>
    <s v="Sunnybrook Research Institute (Toronto, Ontario)"/>
    <x v="0"/>
    <x v="44"/>
    <s v="202109PJT"/>
    <x v="11"/>
    <s v="Redefining the paradigm for surveillance in patients with low-grade glioma using saturation transfer magnetic resonance imaging"/>
    <n v="830024"/>
    <n v="0"/>
    <n v="0"/>
    <m/>
    <s v="6 yrs 0 mth "/>
    <x v="1"/>
    <s v="Cancer-Cancer Progression and Metastasis; Neurosciences-Neurological disorders"/>
    <x v="51"/>
    <d v="2028-03-31T00:00:00"/>
    <n v="0"/>
    <s v="glioma, magnetic resonance imaging, saturation transfer"/>
  </r>
  <r>
    <x v="1004"/>
    <s v="Sunnybrook Research Institute (Toronto, Ontario)"/>
    <x v="0"/>
    <x v="44"/>
    <s v="202203PJT"/>
    <x v="11"/>
    <s v="NMR spectroscopy in brain organoids: identifying neurochemical and gene regulatory network signatures of the healthy and Alzheimer's Disease brain"/>
    <n v="940950"/>
    <n v="0"/>
    <n v="0"/>
    <m/>
    <s v="5 yrs 0 mth "/>
    <x v="6"/>
    <s v="Aging-Aging Process and Biological Determinants of Aging; Biomedical Engineering-Biomedical Imaging; Neurosciences-Neurodegeneration"/>
    <x v="37"/>
    <d v="2027-09-30T00:00:00"/>
    <n v="0"/>
    <s v="NMR, brain organoids, neurochemical"/>
  </r>
  <r>
    <x v="1005"/>
    <s v="Sunnybrook Research Institute (Toronto, Ontario)"/>
    <x v="0"/>
    <x v="44"/>
    <s v="202203PJT"/>
    <x v="11"/>
    <s v="Using AI to predict the presence of occult invasive carcinoma following diagnosis of DCIS on biopsy"/>
    <n v="887400"/>
    <n v="0"/>
    <n v="0"/>
    <m/>
    <s v="5 yrs 0 mth "/>
    <x v="1"/>
    <s v="Artificial Intelligence-Machine Learning; Biomedical Engineering-Biomedical Imaging; Cancer-Cancer Drug Development and Therapeutics"/>
    <x v="37"/>
    <d v="2027-09-30T00:00:00"/>
    <n v="0"/>
    <s v="AI, carcinoma, biopsy"/>
  </r>
  <r>
    <x v="1006"/>
    <s v="Sunnybrook Research Institute (Toronto, Ontario)"/>
    <x v="0"/>
    <x v="44"/>
    <s v="202210PJT"/>
    <x v="11"/>
    <s v="Establishing the chronic safety profile of focused ultrasound-mediated blood-spinal cord barrier opening in a large animal model"/>
    <n v="100000"/>
    <n v="0"/>
    <n v="0"/>
    <m/>
    <s v="1 yr 0 mth "/>
    <x v="3"/>
    <s v="Biomedical Engineering-Biophysics, Medical Technologies and Instrumentation; Biomedical Engineering-Biomedical Imaging"/>
    <x v="52"/>
    <d v="2024-03-31T00:00:00"/>
    <n v="0"/>
    <s v="focused ultrasound, blood-spinal cord barrier, safety"/>
  </r>
  <r>
    <x v="987"/>
    <s v="Sunnybrook Research Institute (Toronto, Ontario)"/>
    <x v="0"/>
    <x v="44"/>
    <s v="202209PJT"/>
    <x v="6"/>
    <s v="Validation of a novel biomarker classifier that predicts radiation response following breast-conserving surgery for ductal carcinoma in situ (DCIS)"/>
    <n v="1981352"/>
    <n v="0"/>
    <n v="0"/>
    <m/>
    <s v="4 yrs 0 mth "/>
    <x v="1"/>
    <s v="Cancer-Cancer Progression and Metastasis"/>
    <x v="52"/>
    <d v="2027-03-31T00:00:00"/>
    <n v="0"/>
    <s v="biomarker, classifier, radiation"/>
  </r>
  <r>
    <x v="1007"/>
    <s v="Sunnybrook Research Institute (Toronto, Ontario)"/>
    <x v="0"/>
    <x v="44"/>
    <s v="202209PJT"/>
    <x v="11"/>
    <s v="Modernizing Classic Tests of Cognition using Computerized Tablets, Eye-tracking and Functional Neuroimaging"/>
    <n v="1328230"/>
    <n v="0"/>
    <n v="0"/>
    <m/>
    <s v="5 yrs 0 mth "/>
    <x v="3"/>
    <s v="Neurosciences-Cognition, Communication and Behaviour (including sleep and memory)"/>
    <x v="52"/>
    <d v="2028-03-31T00:00:00"/>
    <n v="0"/>
    <s v="Cognition, Eye-tracking, Neuroimaging"/>
  </r>
  <r>
    <x v="1006"/>
    <s v="Sunnybrook Research Institute (Toronto, Ontario)"/>
    <x v="0"/>
    <x v="44"/>
    <s v="202303PJT"/>
    <x v="11"/>
    <s v="Establishing the chronic safety profile of focused ultrasound-mediated blood-spinal cord barrier opening in a large animal model."/>
    <n v="860626"/>
    <n v="0"/>
    <n v="0"/>
    <m/>
    <s v="5 yrs 0 mth "/>
    <x v="3"/>
    <s v="Biomedical Engineering-Biophysics, Medical Technologies and Instrumentation; Biomedical Engineering-Biomedical Imaging"/>
    <x v="52"/>
    <d v="2024-03-31T00:00:00"/>
    <n v="0"/>
    <s v="focused ultrasound, blood-spinal cord barrier, safety"/>
  </r>
  <r>
    <x v="490"/>
    <s v="Sunnybrook Research Institute (Toronto, Ontario)"/>
    <x v="0"/>
    <x v="44"/>
    <s v="202303PJT"/>
    <x v="11"/>
    <s v="Imaging Lactate Production and Consumption in the Human Brain"/>
    <n v="875925"/>
    <n v="0"/>
    <n v="0"/>
    <m/>
    <s v="4 yrs 0 mth "/>
    <x v="1"/>
    <s v="Biomedical Engineering-Biomedical Imaging; Cancer-Cancer Progression and Metastasis; Neurosciences-Neurodegeneration"/>
    <x v="36"/>
    <d v="2027-09-30T00:00:00"/>
    <n v="0"/>
    <s v="Imaging, Lactate, Brain"/>
  </r>
  <r>
    <x v="991"/>
    <s v="Sunnybrook Research Institute (Toronto, Ontario)"/>
    <x v="0"/>
    <x v="44"/>
    <s v="202303PJT"/>
    <x v="14"/>
    <s v="Primary prostate cancer cells as novel models for patient therapy prediction"/>
    <n v="883576"/>
    <n v="0"/>
    <n v="0"/>
    <m/>
    <s v="5 yrs 0 mth "/>
    <x v="1"/>
    <s v="Cancer-Cancer Progression and Metastasis"/>
    <x v="36"/>
    <d v="2028-09-30T00:00:00"/>
    <n v="0"/>
    <s v="prostate cancer, patient models, therapy prediction"/>
  </r>
  <r>
    <x v="1008"/>
    <s v="Sunnybrook Research Institute (Toronto, Ontario)"/>
    <x v="0"/>
    <x v="44"/>
    <s v="202309PJT"/>
    <x v="11"/>
    <s v="Imaging metrics of neuronal stochasticity and brain resilience"/>
    <n v="975375"/>
    <n v="0"/>
    <n v="0"/>
    <m/>
    <s v="5 yrs 0 mth "/>
    <x v="3"/>
    <s v="Biomedical Engineering-Biomedical Imaging"/>
    <x v="46"/>
    <d v="2029-03-31T00:00:00"/>
    <n v="0"/>
    <s v="Imaging, neuronal, resilience"/>
  </r>
  <r>
    <x v="1009"/>
    <s v="Sunnybrook Research Institute (Toronto, Ontario)"/>
    <x v="0"/>
    <x v="44"/>
    <s v="202203PJT"/>
    <x v="13"/>
    <s v="'Two-Step Authentication' for Optimal Prostate Cancer Risk Determination: An &quot;Extracellular Vesicle&quot;-Based Liquid Biopsy Followed by Multi-Parametric MRI."/>
    <n v="1637100"/>
    <n v="0"/>
    <n v="0"/>
    <m/>
    <s v="5 yrs 0 mth "/>
    <x v="1"/>
    <s v="Cancer-Clinical Oncology; Biomedical Engineering-Biomedical Imaging"/>
    <x v="37"/>
    <d v="2027-09-30T00:00:00"/>
    <n v="1"/>
    <s v="Extracellular Vesicle, Liquid Biopsy, MRI"/>
  </r>
  <r>
    <x v="487"/>
    <s v="Sunnybrook Research Institute (Toronto, Ontario)"/>
    <x v="0"/>
    <x v="44"/>
    <s v="202403PJT"/>
    <x v="11"/>
    <s v="Combining Advanced Metabolic MRI with Genomics to Refine the Treatment Paradigm for Grade 2/3 IDH-wildtype Astrocytoma (&quot;Molecular Glioblastoma&quot;)"/>
    <n v="787950"/>
    <n v="0"/>
    <n v="0"/>
    <m/>
    <s v="5 yrs 0 mth "/>
    <x v="1"/>
    <s v="Cancer-Cancer Progression and Metastasis; Neurosciences-Neurological disorders"/>
    <x v="54"/>
    <d v="2029-09-30T00:00:00"/>
    <n v="0"/>
    <s v="Metabolic MRI, Genomics, Astrocytoma"/>
  </r>
  <r>
    <x v="493"/>
    <s v="Toronto Metropolitan University"/>
    <x v="0"/>
    <x v="44"/>
    <s v="201809PJT"/>
    <x v="12"/>
    <s v="Controlling Glucose Metabolism to Develop Superior Tissue Engineered Cartilage"/>
    <n v="631125"/>
    <n v="0"/>
    <n v="0"/>
    <m/>
    <s v="5 yrs 0 mth "/>
    <x v="0"/>
    <s v="Biomedical Engineering-Regenerative Medicine and Tissue Engineering; Musculoskeletal Health-Bone, Skin and Cartilage Sciences"/>
    <x v="18"/>
    <d v="2024-03-31T00:00:00"/>
    <n v="0"/>
    <s v="Glucose, Metabolism, Cartilage"/>
  </r>
  <r>
    <x v="1010"/>
    <s v="Toronto Metropolitan University"/>
    <x v="0"/>
    <x v="44"/>
    <s v="201909PJT"/>
    <x v="11"/>
    <s v="Photoacoustics as a novel kidney fibrosis imaging tool"/>
    <n v="803252"/>
    <n v="0"/>
    <n v="0"/>
    <m/>
    <s v="4 yrs 0 mth "/>
    <x v="4"/>
    <s v="Biomedical Engineering-Biomedical Imaging; Biomedical Engineering-Biophysics, Medical Technologies and Instrumentation"/>
    <x v="13"/>
    <d v="2024-03-31T00:00:00"/>
    <n v="3"/>
    <s v="Photoacoustics, kidney fibrosis, imaging"/>
  </r>
  <r>
    <x v="1011"/>
    <s v="Toronto Metropolitan University"/>
    <x v="0"/>
    <x v="44"/>
    <s v="201909PJT"/>
    <x v="6"/>
    <s v="The role of ROCK1 cleavage during apoptosis in liver homeostasis and cancer"/>
    <n v="979200"/>
    <n v="0"/>
    <n v="0"/>
    <m/>
    <s v="5 yrs 0 mth "/>
    <x v="1"/>
    <s v="Cancer-Cancer Drug Development and Therapeutics; Molecular, Cellular and Systems Biology-Cell Biology and Physiology; Molecular, Cellular and Systems Biology-Cell Signaling"/>
    <x v="13"/>
    <d v="2025-03-31T00:00:00"/>
    <n v="0"/>
    <s v="ROCK1, apoptosis, liver"/>
  </r>
  <r>
    <x v="1012"/>
    <s v="Toronto Metropolitan University"/>
    <x v="0"/>
    <x v="44"/>
    <s v="202209PJT"/>
    <x v="11"/>
    <s v="Development of Magnetic Resonance Imaging Airway Segmentation to Assess and Monitor Cystic Fibrosis Lung Disease"/>
    <n v="699975"/>
    <n v="0"/>
    <n v="0"/>
    <m/>
    <s v="5 yrs 0 mth "/>
    <x v="11"/>
    <s v="Methods Development and Modelling-Quantitative Methods Development for Health Research; Cardiovascular, Respiratory and Circulatory Systems-Respiratory Sciences"/>
    <x v="52"/>
    <d v="2028-03-31T00:00:00"/>
    <n v="0"/>
    <s v="Magnetic Resonance Imaging, Airway Segmentation, Cystic Fibrosis"/>
  </r>
  <r>
    <x v="1013"/>
    <s v="Toronto Metropolitan University"/>
    <x v="0"/>
    <x v="44"/>
    <s v="202303PJT"/>
    <x v="24"/>
    <s v="Aqueous two-phase system technology for biomarker isolation and next-generation non-invasive active surveillance of prostate cancer"/>
    <n v="749700"/>
    <n v="0"/>
    <n v="0"/>
    <m/>
    <s v="5 yrs 0 mth "/>
    <x v="1"/>
    <s v="Biomedical Engineering-Biomaterials, Nanotechnology and Biomechanics"/>
    <x v="36"/>
    <d v="2028-09-30T00:00:00"/>
    <n v="1"/>
    <s v="Aqueous two-phase system, biomarker isolation, prostate cancer"/>
  </r>
  <r>
    <x v="1014"/>
    <s v="Toronto Metropolitan University"/>
    <x v="0"/>
    <x v="44"/>
    <s v="202303PJT"/>
    <x v="11"/>
    <s v="FetAS: Fetal Assessment Suite to Facilitate Rapid Fetal MRI Diagnosis using Artificial Intelligence"/>
    <n v="906526"/>
    <n v="0"/>
    <n v="0"/>
    <m/>
    <s v="5 yrs 0 mth "/>
    <x v="10"/>
    <s v="Artificial Intelligence-Machine Learning; Biomedical Engineering-Biomedical Imaging; Reproduction and Development-Clinical Embryology, Neonatology and Pediatrics"/>
    <x v="36"/>
    <d v="2028-09-30T00:00:00"/>
    <n v="0"/>
    <s v="Fetal MRI, Artificial Intelligence, Diagnosis"/>
  </r>
  <r>
    <x v="1015"/>
    <s v="Unity Health Toronto"/>
    <x v="0"/>
    <x v="44"/>
    <s v="202104PJT"/>
    <x v="6"/>
    <s v="Investigation of centrosome amplification as a therapeutic vulnerability in non-small cell lung cancer"/>
    <n v="841500"/>
    <n v="0"/>
    <n v="0"/>
    <m/>
    <s v="5 yrs 0 mth "/>
    <x v="1"/>
    <s v="Cancer-Mechanisms of Carcinogenesis; Molecular, Cellular and Systems Biology-Molecular Biology"/>
    <x v="45"/>
    <d v="2026-09-30T00:00:00"/>
    <n v="0"/>
    <s v="centrosome amplification, non-small cell lung cancer"/>
  </r>
  <r>
    <x v="1016"/>
    <s v="Université de Montréal"/>
    <x v="2"/>
    <x v="44"/>
    <s v="201709PJT"/>
    <x v="12"/>
    <s v="Pro-regeneration biomimetic corneal implants with anti-microbial and anti-inflammatory activity"/>
    <n v="749700"/>
    <n v="0"/>
    <n v="0"/>
    <m/>
    <s v="5 yrs 0 mth "/>
    <x v="0"/>
    <s v="Biomedical Engineering-Regenerative Medicine and Tissue Engineering; Biomedical Engineering-Biomaterials, Nanotechnology and Biomechanics; Neurosciences-Sensory Systems (including visual, auditory and pain)"/>
    <x v="17"/>
    <d v="2023-03-31T00:00:00"/>
    <n v="1"/>
    <s v="biomimetic, corneal, implants"/>
  </r>
  <r>
    <x v="1017"/>
    <s v="Université de Montréal"/>
    <x v="2"/>
    <x v="44"/>
    <s v="202109PJT"/>
    <x v="23"/>
    <s v="Targeting ENPP1-dependent immune evasion in ErbB2-positive breast cancer"/>
    <n v="921825"/>
    <n v="0"/>
    <n v="0"/>
    <m/>
    <s v="5 yrs 0 mth "/>
    <x v="1"/>
    <s v="Cancer-Mechanisms of Carcinogenesis; Cancer-Cancer Drug Development and Therapeutics"/>
    <x v="51"/>
    <d v="2027-03-31T00:00:00"/>
    <n v="0"/>
    <s v="ENPP1, immune evasion, breast cancer"/>
  </r>
  <r>
    <x v="1018"/>
    <s v="Université de Montréal"/>
    <x v="2"/>
    <x v="44"/>
    <s v="202109PJT"/>
    <x v="14"/>
    <s v="Investigating the metabolic determinants of triple-negative breast cancer progression through chromatin dependencies"/>
    <n v="619650"/>
    <n v="0"/>
    <n v="0"/>
    <m/>
    <s v="5 yrs 0 mth "/>
    <x v="1"/>
    <s v="Cancer-Cancer Progression and Metastasis; Cancer-Mechanisms of Carcinogenesis; Molecular, Cellular and Systems Biology-Systems Biology; Cancer - Treatment Genetics - Molecular and Functional Genetics and Epigenetics"/>
    <x v="51"/>
    <d v="2027-03-31T00:00:00"/>
    <n v="0"/>
    <s v="metabolic, breast cancer, chromatin"/>
  </r>
  <r>
    <x v="1019"/>
    <s v="Université de Montréal"/>
    <x v="2"/>
    <x v="44"/>
    <s v="202109PJT"/>
    <x v="13"/>
    <s v="Understanding the GR/PLZF axis in acute myeloid leukemia"/>
    <n v="908438"/>
    <n v="0"/>
    <n v="0"/>
    <m/>
    <s v="5 yrs 0 mth "/>
    <x v="1"/>
    <s v="Cancer-Cancer Drug Development and Therapeutics; Genetics-Molecular and Functional Genetics and Epigenetics"/>
    <x v="51"/>
    <d v="2027-03-31T00:00:00"/>
    <n v="0"/>
    <s v="GR, PLZF, leukemia"/>
  </r>
  <r>
    <x v="1020"/>
    <s v="Université de Montréal"/>
    <x v="2"/>
    <x v="44"/>
    <s v="202209PJT"/>
    <x v="6"/>
    <s v="Immunoproteasome-expressing mesenchymal stromal cells: a new tool for cancer vaccination"/>
    <n v="956250"/>
    <n v="0"/>
    <n v="0"/>
    <m/>
    <s v="5 yrs 0 mth "/>
    <x v="1"/>
    <s v="Immunology and Infection-Transplantation, Immune Tolerance and Tumor Immunology"/>
    <x v="52"/>
    <d v="2028-03-31T00:00:00"/>
    <n v="1"/>
    <s v="immunoproteasome, mesenchymal stromal cells, cancer vaccination"/>
  </r>
  <r>
    <x v="1021"/>
    <s v="Université de Montréal"/>
    <x v="2"/>
    <x v="44"/>
    <s v="202303PJT"/>
    <x v="24"/>
    <s v="Long-lasting recovery of lysosomal acid lipase deficiency using non-viral delivery of non-integrating episomal DNA constructs."/>
    <n v="661725"/>
    <n v="0"/>
    <n v="0"/>
    <m/>
    <s v="4 yrs 0 mth "/>
    <x v="4"/>
    <s v="Biomedical Engineering-Biomaterials, Nanotechnology and Biomechanics; Pharmacological, Toxicological and Pharmaceutical Sciences-Drug Discovery, Design and Delivery"/>
    <x v="36"/>
    <d v="2027-09-30T00:00:00"/>
    <n v="0"/>
    <s v="lysosomal acid lipase, non-viral delivery, episomal DNA"/>
  </r>
  <r>
    <x v="1022"/>
    <s v="Université de Montréal"/>
    <x v="2"/>
    <x v="44"/>
    <s v="202303PJT"/>
    <x v="6"/>
    <s v="Uncovering tumor specific antigens and vulnerabilities in ETP-acute lymphoblastic leukemia"/>
    <n v="856800"/>
    <n v="0"/>
    <n v="0"/>
    <m/>
    <s v="5 yrs 0 mth "/>
    <x v="1"/>
    <s v="Cancer-Cancer Drug Development and Therapeutics; Cancer-Pediatric Cancer; Immunology and Infection-Transplantation, Immune Tolerance and Tumor Immunology"/>
    <x v="36"/>
    <d v="2028-09-30T00:00:00"/>
    <n v="0"/>
    <s v="tumor antigens, vulnerabilities, leukemia"/>
  </r>
  <r>
    <x v="1020"/>
    <s v="Université de Montréal"/>
    <x v="2"/>
    <x v="44"/>
    <s v="202403PJT"/>
    <x v="6"/>
    <s v="Tuning-up thymopoiesis by targeting interleukin-21 to the bone marrow"/>
    <n v="1139850"/>
    <n v="0"/>
    <n v="0"/>
    <m/>
    <s v="5 yrs 0 mth "/>
    <x v="1"/>
    <s v="Cancer-Cancer Drug Development and Therapeutics"/>
    <x v="54"/>
    <d v="2029-09-30T00:00:00"/>
    <n v="0"/>
    <s v="thymopoiesis, interleukin-21, bone marrow"/>
  </r>
  <r>
    <x v="1023"/>
    <s v="Université de Sherbrooke"/>
    <x v="2"/>
    <x v="44"/>
    <s v="201803PJT"/>
    <x v="23"/>
    <s v="Deciphering the role of the nuclear receptor LRH-1 in the establishment of a specific transcriptional program in triple negative breast cancer."/>
    <n v="868276"/>
    <n v="0"/>
    <n v="0"/>
    <m/>
    <s v="5 yrs 0 mth "/>
    <x v="1"/>
    <s v="Molecular, Cellular and Systems Biology-Molecular Biology; Cancer-Mechanisms of Carcinogenesis; Genetics-Genomics, Transcriptomics and Proteomics"/>
    <x v="47"/>
    <d v="2023-09-30T00:00:00"/>
    <n v="0"/>
    <s v="nuclear receptor, LRH-1, breast cancer"/>
  </r>
  <r>
    <x v="1024"/>
    <s v="Université de Sherbrooke"/>
    <x v="2"/>
    <x v="44"/>
    <s v="201803PJT"/>
    <x v="23"/>
    <s v="Development of cancer therapies targeting Myc with cell penetrating b-HLH-LZ domains"/>
    <n v="868276"/>
    <n v="0"/>
    <n v="0"/>
    <m/>
    <s v="5 yrs 0 mth "/>
    <x v="1"/>
    <s v="Cancer-Cancer Drug Development and Therapeutics"/>
    <x v="47"/>
    <d v="2023-09-30T00:00:00"/>
    <n v="0"/>
    <s v="cancer, Myc, cell penetrating"/>
  </r>
  <r>
    <x v="1025"/>
    <s v="Université de Sherbrooke"/>
    <x v="2"/>
    <x v="44"/>
    <s v="201809PJT"/>
    <x v="23"/>
    <s v="Non-canonical role of initiator caspases in colorectal cancer"/>
    <n v="669375"/>
    <n v="0"/>
    <n v="0"/>
    <m/>
    <s v="5 yrs 0 mth "/>
    <x v="1"/>
    <s v="Cancer-Cancer Progression and Metastasis; Cancer-Mechanisms of Carcinogenesis"/>
    <x v="18"/>
    <d v="2024-03-31T00:00:00"/>
    <n v="0"/>
    <s v="caspases, colorectal cancer, initiator"/>
  </r>
  <r>
    <x v="1026"/>
    <s v="Université de Sherbrooke"/>
    <x v="2"/>
    <x v="44"/>
    <s v="201809PJT"/>
    <x v="14"/>
    <s v="Targeting metastatic disease of triple negative breast cancer with an immunogenic cancer vaccine"/>
    <n v="703800"/>
    <n v="0"/>
    <n v="0"/>
    <m/>
    <s v="5 yrs 0 mth "/>
    <x v="1"/>
    <s v="Cancer-Cancer Progression and Metastasis; Immunology and Infection-Transplantation, Immune Tolerance and Tumor Immunology"/>
    <x v="18"/>
    <d v="2024-03-31T00:00:00"/>
    <n v="1"/>
    <s v="metastatic disease, triple negative breast cancer, immunogenic vaccine"/>
  </r>
  <r>
    <x v="505"/>
    <s v="Université de Sherbrooke"/>
    <x v="2"/>
    <x v="44"/>
    <s v="201809PJT"/>
    <x v="11"/>
    <s v="Secondary electron collision cross sections for micro- and nano-dosimetry of emerging radiation and chemo-radiation therapies."/>
    <n v="634950"/>
    <n v="0"/>
    <n v="0"/>
    <m/>
    <s v="5 yrs 0 mth "/>
    <x v="1"/>
    <s v="Biomedical Engineering-Biophysics, Medical Technologies and Instrumentation; Cancer-Cancer Drug Development and Therapeutics"/>
    <x v="18"/>
    <d v="2024-03-31T00:00:00"/>
    <n v="0"/>
    <s v="electron, dosimetry, radiation"/>
  </r>
  <r>
    <x v="1027"/>
    <s v="Université de Sherbrooke"/>
    <x v="2"/>
    <x v="44"/>
    <s v="201810PJT"/>
    <x v="14"/>
    <s v="The small GTPase Rab4 as a target for breast cancer metastasis"/>
    <n v="100000"/>
    <n v="0"/>
    <n v="0"/>
    <m/>
    <s v="1 yr 0 mth "/>
    <x v="1"/>
    <s v="Cancer-Cancer Progression and Metastasis; Cancer-Cancer Drug Development and Therapeutics"/>
    <x v="48"/>
    <d v="2024-09-30T00:00:00"/>
    <n v="0"/>
    <s v="Rab4, GTPase, breast cancer"/>
  </r>
  <r>
    <x v="1027"/>
    <s v="Université de Sherbrooke"/>
    <x v="2"/>
    <x v="44"/>
    <s v="201903PJT"/>
    <x v="14"/>
    <s v="The small GTPase Rab4 as a target for breast cancer metastasis"/>
    <n v="822376"/>
    <n v="0"/>
    <n v="0"/>
    <m/>
    <s v="5 yrs 0 mth "/>
    <x v="1"/>
    <s v="Cancer-Cancer Progression and Metastasis; Cancer-Cancer Drug Development and Therapeutics"/>
    <x v="48"/>
    <d v="2024-09-30T00:00:00"/>
    <n v="0"/>
    <s v="Rab4, GTPase, breast cancer"/>
  </r>
  <r>
    <x v="1028"/>
    <s v="Université de Sherbrooke"/>
    <x v="2"/>
    <x v="44"/>
    <s v="202003PJT"/>
    <x v="13"/>
    <s v="Set-up of a mass spectrometry-based stool test for colorectal cancer screening"/>
    <n v="719101"/>
    <n v="0"/>
    <n v="0"/>
    <m/>
    <s v="4 yrs 0 mth "/>
    <x v="1"/>
    <s v="Cancer-Clinical Oncology"/>
    <x v="49"/>
    <d v="2024-09-30T00:00:00"/>
    <n v="0"/>
    <s v="mass spectrometry, stool test, colorectal cancer"/>
  </r>
  <r>
    <x v="502"/>
    <s v="Université de Sherbrooke"/>
    <x v="2"/>
    <x v="44"/>
    <s v="202109PJT"/>
    <x v="11"/>
    <s v="Imaging the contribution of early cerebrovascular inflammation in Alzheimer's disease"/>
    <n v="1002150"/>
    <n v="0"/>
    <n v="0"/>
    <m/>
    <s v="5 yrs 0 mth "/>
    <x v="3"/>
    <s v="Neurosciences-Neuroinflammation"/>
    <x v="51"/>
    <d v="2027-03-31T00:00:00"/>
    <n v="0"/>
    <s v="imaging, cerebrovascular, Alzheimer's"/>
  </r>
  <r>
    <x v="1029"/>
    <s v="Université de Sherbrooke"/>
    <x v="2"/>
    <x v="44"/>
    <s v="202303PJT"/>
    <x v="6"/>
    <s v="Bioengineering viruses to create safer and more effective oncolytic viruses"/>
    <n v="986850"/>
    <n v="0"/>
    <n v="0"/>
    <m/>
    <s v="5 yrs 0 mth "/>
    <x v="1"/>
    <s v="Cancer-Cancer Drug Development and Therapeutics"/>
    <x v="36"/>
    <d v="2028-09-30T00:00:00"/>
    <n v="0"/>
    <s v="bioengineering, viruses, oncolytic"/>
  </r>
  <r>
    <x v="1030"/>
    <s v="Université de Sherbrooke"/>
    <x v="2"/>
    <x v="44"/>
    <s v="202403PJT"/>
    <x v="11"/>
    <s v="Investigating the 'FLASH' effect: Mechanistic studies of the chemical and biological impact of ultra-high dose-rate radiation."/>
    <n v="983024"/>
    <n v="0"/>
    <n v="0"/>
    <m/>
    <s v="4 yrs 0 mth "/>
    <x v="1"/>
    <s v="Cancer-Cancer Drug Development and Therapeutics; Methods Development and Modelling-Quantitative Methods Development for Health Research; Sex-and-Gender Health-Sex Differences in Cells, Tissues and Animals"/>
    <x v="54"/>
    <d v="2028-09-30T00:00:00"/>
    <n v="0"/>
    <s v="FLASH, radiation, dose-rate"/>
  </r>
  <r>
    <x v="1026"/>
    <s v="Université de Sherbrooke"/>
    <x v="2"/>
    <x v="44"/>
    <s v="202403PJT"/>
    <x v="6"/>
    <s v="Precision virotherapy to treat bladder cancer"/>
    <n v="814726"/>
    <n v="0"/>
    <n v="0"/>
    <m/>
    <s v="5 yrs 0 mth "/>
    <x v="1"/>
    <s v="Cancer-Cancer Drug Development and Therapeutics"/>
    <x v="54"/>
    <d v="2029-09-30T00:00:00"/>
    <n v="0"/>
    <s v="virotherapy, bladder cancer, precision"/>
  </r>
  <r>
    <x v="509"/>
    <s v="Universite Laval"/>
    <x v="2"/>
    <x v="44"/>
    <s v="202010PJT"/>
    <x v="12"/>
    <s v="Reparation des lesions des nerfs peripheriques par genie tissulaire"/>
    <n v="1143675"/>
    <n v="0"/>
    <n v="0"/>
    <m/>
    <s v="5 yrs 0 mth "/>
    <x v="3"/>
    <s v="Biomedical Engineering-Regenerative Medicine and Tissue Engineering"/>
    <x v="50"/>
    <d v="2026-03-31T00:00:00"/>
    <n v="0"/>
    <s v="nerfs, tissulaire, lesions"/>
  </r>
  <r>
    <x v="1031"/>
    <s v="Universite Laval"/>
    <x v="2"/>
    <x v="44"/>
    <s v="202303PJT"/>
    <x v="24"/>
    <s v="Organogenese de muqueuse nasale autologue pour la reconstruction endoscopique endonasale en chirurgie de la base du crene"/>
    <n v="669376"/>
    <n v="0"/>
    <n v="0"/>
    <m/>
    <s v="5 yrs 0 mth "/>
    <x v="1"/>
    <s v="Biomedical Engineering-Biomaterials, Nanotechnology and Biomechanics"/>
    <x v="36"/>
    <d v="2028-09-30T00:00:00"/>
    <n v="0"/>
    <s v="organogenese, muqueuse nasale, reconstruction"/>
  </r>
  <r>
    <x v="1032"/>
    <s v="Universite Laval"/>
    <x v="2"/>
    <x v="44"/>
    <s v="202104PJT"/>
    <x v="14"/>
    <s v="L'AIMZ-938, un nouveau promedicament anticancereux pour le traitement des cancers du sein humain refractaires aux traitements actuels et exprimant le cytochrome P450 1A1"/>
    <n v="891226"/>
    <n v="0"/>
    <n v="0"/>
    <m/>
    <s v="5 yrs 0 mth "/>
    <x v="1"/>
    <s v="Pharmacological, Toxicological and Pharmaceutical Sciences-Drug Discovery, Design and Delivery; Cancer-Cancer Drug Development and Therapeutics"/>
    <x v="45"/>
    <d v="2026-09-30T00:00:00"/>
    <n v="0"/>
    <s v="anticancer, breast cancer, cytochrome P450"/>
  </r>
  <r>
    <x v="1033"/>
    <s v="Université Laval"/>
    <x v="2"/>
    <x v="44"/>
    <s v="201709PJT"/>
    <x v="12"/>
    <s v="Tissue Engineering of a functional Urethra for Autologous Reconstruction."/>
    <n v="562276"/>
    <n v="0"/>
    <n v="0"/>
    <m/>
    <s v="4 yrs 0 mth "/>
    <x v="0"/>
    <s v="Biomedical Engineering-Regenerative Medicine and Tissue Engineering; Digestive, Endocrine and Excretory Systems-Nephrology and Urology; Molecular, Cellular and Systems Biology-Cell Biology and Physiology"/>
    <x v="17"/>
    <d v="2022-03-31T00:00:00"/>
    <n v="0"/>
    <s v="Tissue Engineering, Urethra, Autologous"/>
  </r>
  <r>
    <x v="1034"/>
    <s v="Université Laval"/>
    <x v="2"/>
    <x v="44"/>
    <s v="201803PJT"/>
    <x v="14"/>
    <s v="Understanding Head and Neck Squamous Cell Carcinoma onset in young adults"/>
    <n v="680850"/>
    <n v="0"/>
    <n v="0"/>
    <m/>
    <s v="5 yrs 0 mth "/>
    <x v="1"/>
    <s v="Cancer-Mechanisms of Carcinogenesis; Molecular, Cellular and Systems Biology-Molecular Biology"/>
    <x v="47"/>
    <d v="2023-09-30T00:00:00"/>
    <n v="0"/>
    <s v="Head, Neck, Carcinoma"/>
  </r>
  <r>
    <x v="1035"/>
    <s v="Université Laval"/>
    <x v="2"/>
    <x v="44"/>
    <s v="201903PJT"/>
    <x v="13"/>
    <s v="Multi-pathway cholesterol depletion on top of FOLFIRINOX in newly diagnosed metastatic pancreatic adenocarcinoma: a feasibility and proof-of-concept study"/>
    <n v="153000"/>
    <n v="0"/>
    <n v="0"/>
    <m/>
    <s v="2 yrs 0 mth "/>
    <x v="1"/>
    <s v="Digestive, Endocrine and Excretory Systems-Gastroenterology and Hepatology"/>
    <x v="48"/>
    <d v="2021-09-30T00:00:00"/>
    <n v="0"/>
    <s v="cholesterol depletion, FOLFIRINOX, pancreatic adenocarcinoma"/>
  </r>
  <r>
    <x v="1036"/>
    <s v="Université Laval"/>
    <x v="2"/>
    <x v="44"/>
    <s v="201903PJT"/>
    <x v="6"/>
    <s v="Poly(ADP-ribose) writers, readers, and erasers: Functions in DNA double-strand break repair and synthetic lethality."/>
    <n v="956250"/>
    <n v="0"/>
    <n v="0"/>
    <m/>
    <s v="5 yrs 0 mth "/>
    <x v="8"/>
    <s v="Molecular, Cellular and Systems Biology-Molecular Biology; Cancer-Mechanisms of Carcinogenesis"/>
    <x v="48"/>
    <d v="2024-09-30T00:00:00"/>
    <n v="0"/>
    <s v="Poly(ADP-ribose), DNA repair, synthetic lethality"/>
  </r>
  <r>
    <x v="1037"/>
    <s v="Université Laval"/>
    <x v="2"/>
    <x v="44"/>
    <s v="201903PJT"/>
    <x v="23"/>
    <s v="Biology of S100A8 and S100A9 proteins in Human Acute Myeloid Leukemia"/>
    <n v="761176"/>
    <n v="0"/>
    <n v="0"/>
    <m/>
    <s v="5 yrs 0 mth "/>
    <x v="1"/>
    <s v="Cancer-Cancer Drug Development and Therapeutics"/>
    <x v="48"/>
    <d v="2024-09-30T00:00:00"/>
    <n v="0"/>
    <s v="S100A8, S100A9, Leukemia"/>
  </r>
  <r>
    <x v="1038"/>
    <s v="Université Laval"/>
    <x v="2"/>
    <x v="44"/>
    <s v="202003PJT"/>
    <x v="12"/>
    <s v="Anatomically relevant brachytherapy implants by a 3D printing and radiosensitizing approach"/>
    <n v="765000"/>
    <n v="0"/>
    <n v="0"/>
    <m/>
    <s v="5 yrs 0 mth "/>
    <x v="1"/>
    <s v="Biomedical Engineering-Biomaterials, Nanotechnology and Biomechanics; 3D-printing, additive manufacturing, new processes for biomaterials and devices"/>
    <x v="49"/>
    <d v="2025-09-30T00:00:00"/>
    <n v="0"/>
    <s v="brachytherapy, 3D printing, radiosensitizing"/>
  </r>
  <r>
    <x v="1039"/>
    <s v="Université Laval"/>
    <x v="2"/>
    <x v="44"/>
    <s v="202003PJT"/>
    <x v="11"/>
    <s v="The impact of Monte Carlo dose calculations on prostate and breast low-dose rate brachytherapy dose-outcome relationships and radiobiological modeling."/>
    <n v="715276"/>
    <n v="0"/>
    <n v="0"/>
    <m/>
    <s v="5 yrs 0 mth "/>
    <x v="1"/>
    <s v="Cancer-Clinical Oncology"/>
    <x v="49"/>
    <d v="2025-09-30T00:00:00"/>
    <n v="0"/>
    <s v="Monte Carlo, brachytherapy, radiobiological"/>
  </r>
  <r>
    <x v="1033"/>
    <s v="Université Laval"/>
    <x v="2"/>
    <x v="44"/>
    <s v="202104PJT"/>
    <x v="12"/>
    <s v="Tissue-engineered solutions for uro-genital reconstruction, and replacing banned synthetic meshes."/>
    <n v="868276"/>
    <n v="0"/>
    <n v="0"/>
    <m/>
    <s v="5 yrs 0 mth "/>
    <x v="9"/>
    <s v="Biomedical Engineering-Regenerative Medicine and Tissue Engineering; Reproduction and Development-Developmental Biology and Organogenesis; Molecular, Cellular and Systems Biology-Cell Biology and Physiology"/>
    <x v="45"/>
    <d v="2026-09-30T00:00:00"/>
    <n v="0"/>
    <s v="tissue-engineered, uro-genital, synthetic meshes"/>
  </r>
  <r>
    <x v="1040"/>
    <s v="Université Laval"/>
    <x v="2"/>
    <x v="44"/>
    <s v="202104PJT"/>
    <x v="13"/>
    <s v="Targeting sex steroids to improve the response to bladder cancer immunotherapy"/>
    <n v="822376"/>
    <n v="0"/>
    <n v="0"/>
    <m/>
    <s v="5 yrs 0 mth "/>
    <x v="1"/>
    <s v="Cancer-Clinical Oncology; Sex-and-Gender Health-Sex Differences in Cells, Tissues and Animals; Immunology and Infection-Transplantation, Immune Tolerance and Tumor Immunology"/>
    <x v="45"/>
    <d v="2026-09-30T00:00:00"/>
    <n v="0"/>
    <s v="sex steroids, bladder cancer, immunotherapy"/>
  </r>
  <r>
    <x v="511"/>
    <s v="Université Laval"/>
    <x v="2"/>
    <x v="44"/>
    <s v="202109PJT"/>
    <x v="12"/>
    <s v="Engineering bioactive dressings from mesenchymal cells to enhance healing of irradiated skin wounds"/>
    <n v="837675"/>
    <n v="0"/>
    <n v="0"/>
    <m/>
    <s v="5 yrs 0 mth "/>
    <x v="0"/>
    <s v="Biomedical Engineering-Regenerative Medicine and Tissue Engineering; Musculoskeletal Health-Bone, Skin and Cartilage Sciences; Molecular, Cellular and Systems Biology-Cell Biology and Physiology"/>
    <x v="51"/>
    <d v="2027-03-31T00:00:00"/>
    <n v="0"/>
    <s v="bioactive, dressings, skin"/>
  </r>
  <r>
    <x v="1041"/>
    <s v="Université Laval"/>
    <x v="2"/>
    <x v="44"/>
    <s v="202109PJT"/>
    <x v="23"/>
    <s v="Unraveling the molecular mechanisms that promote replication stress and resistance to chemoradiation in oropharyngeal cancer caused by human papillomavirus"/>
    <n v="891225"/>
    <n v="0"/>
    <n v="0"/>
    <m/>
    <s v="5 yrs 0 mth "/>
    <x v="1"/>
    <s v="Cancer-Cancer Progression and Metastasis; Immunology and Infection-Virology; Molecular, Cellular and Systems Biology-Cell Signaling"/>
    <x v="51"/>
    <d v="2027-03-31T00:00:00"/>
    <n v="0"/>
    <s v="replication stress, chemoradiation, oropharyngeal cancer"/>
  </r>
  <r>
    <x v="1042"/>
    <s v="Université Laval"/>
    <x v="2"/>
    <x v="44"/>
    <s v="202109PJT"/>
    <x v="11"/>
    <s v="Towards Personalized Dosimetry-Based Radioligand Therapy of Prostate Cancer as a New Standard of Practice"/>
    <n v="960075"/>
    <n v="0"/>
    <n v="0"/>
    <m/>
    <s v="5 yrs 0 mth "/>
    <x v="1"/>
    <s v="Biomedical Engineering-Biomedical Imaging; Cancer-Cancer Drug Development and Therapeutics; Artificial Intelligence-Machine Learning"/>
    <x v="51"/>
    <d v="2027-03-31T00:00:00"/>
    <n v="0"/>
    <s v="Dosimetry, Radioligand, Prostate Cancer"/>
  </r>
  <r>
    <x v="1037"/>
    <s v="Université Laval"/>
    <x v="2"/>
    <x v="44"/>
    <s v="202209PJT"/>
    <x v="13"/>
    <s v="Role of the RAS Pathway Activation on the Biology and Drug Response of Acute Myeloid Leukemias"/>
    <n v="891225"/>
    <n v="0"/>
    <n v="0"/>
    <m/>
    <s v="5 yrs 0 mth "/>
    <x v="1"/>
    <s v="Cancer-Cancer Progression and Metastasis; Cancer-Cancer Drug Development and Therapeutics; Cancer-Pediatric Cancer"/>
    <x v="52"/>
    <d v="2028-03-31T00:00:00"/>
    <n v="0"/>
    <s v="RAS, Leukemias, Pathway"/>
  </r>
  <r>
    <x v="851"/>
    <s v="Université Laval"/>
    <x v="2"/>
    <x v="44"/>
    <s v="202303PJT"/>
    <x v="12"/>
    <s v="Depicting disease heterogeneity in neurofibromatosis type 1 and the role of dermal fibroblasts in the establishment of microenvironment favouring NF1-associated skin tumor formation using personalized tissue-engineered 3D models"/>
    <n v="1113076"/>
    <n v="0"/>
    <n v="0"/>
    <m/>
    <s v="5 yrs 0 mth "/>
    <x v="0"/>
    <s v="Biomedical Engineering-Regenerative Medicine and Tissue Engineering"/>
    <x v="36"/>
    <d v="2028-09-30T00:00:00"/>
    <n v="0"/>
    <s v="neurofibromatosis, dermal fibroblasts, tissue-engineered"/>
  </r>
  <r>
    <x v="1043"/>
    <s v="Université Laval"/>
    <x v="2"/>
    <x v="44"/>
    <s v="202309PJT"/>
    <x v="12"/>
    <s v="A human tissue-engineered three-layer cornea (hTEC) supplemented with macrophages as a biomaterial for in vitro studies"/>
    <n v="864450"/>
    <n v="0"/>
    <n v="0"/>
    <m/>
    <s v="5 yrs 0 mth "/>
    <x v="3"/>
    <s v="Biomedical Engineering-Regenerative Medicine and Tissue Engineering; Biomedical Engineering-Biomaterials, Nanotechnology and Biomechanics; Molecular, Cellular and Systems Biology-Cell Signaling"/>
    <x v="46"/>
    <d v="2029-03-31T00:00:00"/>
    <n v="0"/>
    <s v="tissue-engineered, cornea, macrophages"/>
  </r>
  <r>
    <x v="1044"/>
    <s v="Université TÉLUQ (Québec)"/>
    <x v="2"/>
    <x v="44"/>
    <s v="202403PJT"/>
    <x v="12"/>
    <s v="Advancing Neurosurgery Training: A Realistic Simulation Platform with Sensorless Force Feedback Tutoring"/>
    <n v="493426"/>
    <n v="0"/>
    <n v="0"/>
    <m/>
    <s v="5 yrs 0 mth "/>
    <x v="3"/>
    <s v="Biomedical Engineering-Biomedical Imaging; Methods Development and Modelling-Quantitative Methods Development for Health Research"/>
    <x v="54"/>
    <d v="2029-09-30T00:00:00"/>
    <n v="0"/>
    <s v="Neurosurgery, Simulation, Force Feedback"/>
  </r>
  <r>
    <x v="1045"/>
    <s v="University Health Network (Toronto)"/>
    <x v="0"/>
    <x v="44"/>
    <s v="201709PJT"/>
    <x v="14"/>
    <s v="Proteogenomics Panorama of Localized Prostate Cancers"/>
    <n v="340425"/>
    <n v="0"/>
    <n v="0"/>
    <m/>
    <s v="3 yrs 0 mth "/>
    <x v="1"/>
    <s v="Cancer-Cancer Progression and Metastasis"/>
    <x v="17"/>
    <d v="2021-03-31T00:00:00"/>
    <n v="2"/>
    <s v="Proteogenomics, Prostate, Cancers"/>
  </r>
  <r>
    <x v="529"/>
    <s v="University Health Network (Toronto)"/>
    <x v="0"/>
    <x v="44"/>
    <s v="201709PJT"/>
    <x v="6"/>
    <s v="Priming Notch-activated basal like breast cancer for immune checkpoint blockade"/>
    <n v="918000"/>
    <n v="0"/>
    <n v="0"/>
    <m/>
    <s v="5 yrs 0 mth "/>
    <x v="1"/>
    <s v="Cancer-Cancer Drug Development and Therapeutics; Molecular, Cellular and Systems Biology-Cell Signaling; Immunology and Infection-Transplantation, Immune Tolerance and Tumor Immunology"/>
    <x v="17"/>
    <d v="2023-03-31T00:00:00"/>
    <n v="0"/>
    <s v="Notch, breast cancer, immune checkpoint"/>
  </r>
  <r>
    <x v="560"/>
    <s v="University Health Network (Toronto)"/>
    <x v="0"/>
    <x v="44"/>
    <s v="201709PJT"/>
    <x v="14"/>
    <s v="Regulating MYC Oncoprotein Stability as an Anti-Cancer Strategy"/>
    <n v="875925"/>
    <n v="0"/>
    <n v="0"/>
    <m/>
    <s v="5 yrs 0 mth "/>
    <x v="1"/>
    <s v="Cancer-Cancer Drug Development and Therapeutics; Cancer-Mechanisms of Carcinogenesis; Molecular, Cellular and Systems Biology-Molecular Biology"/>
    <x v="17"/>
    <d v="2023-03-31T00:00:00"/>
    <n v="0"/>
    <s v="MYC, Oncoprotein, Stability"/>
  </r>
  <r>
    <x v="525"/>
    <s v="University Health Network (Toronto)"/>
    <x v="0"/>
    <x v="44"/>
    <s v="201709PJT"/>
    <x v="13"/>
    <s v="Mutant nucleophosmin AML a heterogeneous disease: characterization and drug sensitivity."/>
    <n v="688500"/>
    <n v="0"/>
    <n v="0"/>
    <m/>
    <s v="5 yrs 0 mth "/>
    <x v="1"/>
    <s v="Cancer-Cancer Drug Development and Therapeutics; Genetics-Molecular and Functional Genetics and Epigenetics; Molecular, Cellular and Systems Biology-Cell Biology and Physiology"/>
    <x v="17"/>
    <d v="2023-03-31T00:00:00"/>
    <n v="0"/>
    <s v="nucleophosmin, AML, drug sensitivity"/>
  </r>
  <r>
    <x v="1046"/>
    <s v="University Health Network (Toronto)"/>
    <x v="0"/>
    <x v="44"/>
    <s v="201709PJT"/>
    <x v="13"/>
    <s v="Improving lung cancer patient bronchoscopy efficiency through a novel pairing of biosensors with EBUS-TBNA"/>
    <n v="688500"/>
    <n v="0"/>
    <n v="0"/>
    <m/>
    <s v="5 yrs 0 mth "/>
    <x v="1"/>
    <s v="Cancer-Cancer Progression and Metastasis; Cancer-Clinical Oncology; Cardiovascular, Respiratory and Circulatory Systems-Clinical and Translational Cardiovascular Sciences"/>
    <x v="17"/>
    <d v="2023-03-31T00:00:00"/>
    <n v="1"/>
    <s v="lung, biosensors, EBUS-TBNA"/>
  </r>
  <r>
    <x v="1047"/>
    <s v="University Health Network (Toronto)"/>
    <x v="0"/>
    <x v="44"/>
    <s v="201709PJT"/>
    <x v="25"/>
    <s v="Wide-field polarimetric imaging for targeted and rapid high-sensitivity analysis of breast cancer margins and heterogeneity with mass spectrometry"/>
    <n v="795600"/>
    <n v="0"/>
    <n v="0"/>
    <m/>
    <s v="5 yrs 0 mth "/>
    <x v="1"/>
    <s v="Cancer-Cancer Progression and Metastasis; Biomedical Engineering-Biomedical Imaging"/>
    <x v="17"/>
    <d v="2023-03-31T00:00:00"/>
    <n v="0"/>
    <s v="polarimetric, imaging, mass spectrometry"/>
  </r>
  <r>
    <x v="1048"/>
    <s v="University Health Network (Toronto)"/>
    <x v="0"/>
    <x v="44"/>
    <s v="201803PJT"/>
    <x v="23"/>
    <s v="PINK1 Inhibition as a Novel Therapeutic Strategy to Target Acute Myeloid Leukemia Stem Cells"/>
    <n v="348074"/>
    <n v="0"/>
    <n v="0"/>
    <m/>
    <s v="3 yrs 0 mth "/>
    <x v="1"/>
    <s v="Cancer-Cancer Drug Development and Therapeutics"/>
    <x v="47"/>
    <d v="2021-09-30T00:00:00"/>
    <n v="0"/>
    <s v="PINK1, Inhibition, Leukemia"/>
  </r>
  <r>
    <x v="1049"/>
    <s v="University Health Network (Toronto)"/>
    <x v="0"/>
    <x v="44"/>
    <s v="201803PJT"/>
    <x v="14"/>
    <s v="Early detection of cancer in high-risk patients through profiling of circulating tumour DNA"/>
    <n v="1977525"/>
    <n v="0"/>
    <n v="0"/>
    <m/>
    <s v="4 yrs 0 mth "/>
    <x v="1"/>
    <s v="Cancer-Cancer Progression and Metastasis"/>
    <x v="47"/>
    <d v="2022-09-30T00:00:00"/>
    <n v="0"/>
    <s v="cancer, circulating tumour DNA, detection"/>
  </r>
  <r>
    <x v="1050"/>
    <s v="University Health Network (Toronto)"/>
    <x v="0"/>
    <x v="44"/>
    <s v="201803PJT"/>
    <x v="14"/>
    <s v="Molecular evolution of myeloma from precursor through to relapsed disease"/>
    <n v="390152"/>
    <n v="0"/>
    <n v="0"/>
    <m/>
    <s v="4 yrs 0 mth "/>
    <x v="1"/>
    <s v="Cancer-Cancer Progression and Metastasis; Genetics-Genomics, Transcriptomics and Proteomics"/>
    <x v="47"/>
    <d v="2022-09-30T00:00:00"/>
    <n v="0"/>
    <s v="molecular evolution, myeloma, relapse"/>
  </r>
  <r>
    <x v="1051"/>
    <s v="University Health Network (Toronto)"/>
    <x v="0"/>
    <x v="44"/>
    <s v="201803PJT"/>
    <x v="11"/>
    <s v="Nuclear-targeted X-ray activated photodynamic therapy of pancreatic cancer"/>
    <n v="371024"/>
    <n v="0"/>
    <n v="0"/>
    <m/>
    <s v="4 yrs 0 mth "/>
    <x v="1"/>
    <s v="Cancer-Cancer Drug Development and Therapeutics; Biomedical Engineering-Biophysics, Medical Technologies and Instrumentation; Methods Development and Modelling-Quantitative Methods Development for Health Research"/>
    <x v="47"/>
    <d v="2022-09-30T00:00:00"/>
    <n v="3"/>
    <s v="Nuclear, X-ray, photodynamic"/>
  </r>
  <r>
    <x v="1052"/>
    <s v="University Health Network (Toronto)"/>
    <x v="0"/>
    <x v="44"/>
    <s v="201803PJT"/>
    <x v="14"/>
    <s v="Understanding the mechanisms of treatment response in glioblastoma"/>
    <n v="1503226"/>
    <n v="0"/>
    <n v="0"/>
    <m/>
    <s v="5 yrs 0 mth "/>
    <x v="1"/>
    <s v="Cancer-Clinical Oncology"/>
    <x v="47"/>
    <d v="2023-09-30T00:00:00"/>
    <n v="0"/>
    <s v="glioblastoma, response, mechanisms"/>
  </r>
  <r>
    <x v="559"/>
    <s v="University Health Network (Toronto)"/>
    <x v="0"/>
    <x v="44"/>
    <s v="201803PJT"/>
    <x v="13"/>
    <s v="Function of OC2 in Neuroendocrine Transdifferentiation and NEPC"/>
    <n v="868276"/>
    <n v="0"/>
    <n v="0"/>
    <m/>
    <s v="5 yrs 0 mth "/>
    <x v="1"/>
    <s v="Cancer-Cancer Progression and Metastasis; Cancer-Cancer Drug Development and Therapeutics"/>
    <x v="47"/>
    <d v="2023-09-30T00:00:00"/>
    <n v="0"/>
    <s v="OC2, Neuroendocrine, Transdifferentiation"/>
  </r>
  <r>
    <x v="1053"/>
    <s v="University Health Network (Toronto)"/>
    <x v="0"/>
    <x v="44"/>
    <s v="201809PJT"/>
    <x v="13"/>
    <s v="Genomics-based radiosensitization for HPV-negative squamous cell carcinoma of the aerodigestive tract"/>
    <n v="757352"/>
    <n v="0"/>
    <n v="0"/>
    <m/>
    <s v="4 yrs 0 mth "/>
    <x v="1"/>
    <s v="Cancer-Cancer Drug Development and Therapeutics; Pharmacological, Toxicological and Pharmaceutical Sciences-Translational and Clinical Pharmacology"/>
    <x v="18"/>
    <d v="2023-03-31T00:00:00"/>
    <n v="0"/>
    <s v="Genomics, radiosensitization, carcinoma"/>
  </r>
  <r>
    <x v="1054"/>
    <s v="University Health Network (Toronto)"/>
    <x v="0"/>
    <x v="44"/>
    <s v="201809PJT"/>
    <x v="11"/>
    <s v="A universal self-calibrating in vivo real-time optical radiation dosimeter for quality assurance and quality control of radiotherapy treatment."/>
    <n v="317476"/>
    <n v="0"/>
    <n v="0"/>
    <m/>
    <s v="4 yrs 0 mth "/>
    <x v="1"/>
    <s v="Biomedical Engineering-Biophysics, Medical Technologies and Instrumentation"/>
    <x v="18"/>
    <d v="2023-03-31T00:00:00"/>
    <n v="0"/>
    <s v="self-calibrating, optical radiation, dosimeter"/>
  </r>
  <r>
    <x v="1055"/>
    <s v="University Health Network (Toronto)"/>
    <x v="0"/>
    <x v="44"/>
    <s v="201809PJT"/>
    <x v="6"/>
    <s v="Development of a novel mesothelin CAR-T immunotherapy and pharmacologic combinations for triple negative breast cancer"/>
    <n v="1273725"/>
    <n v="0"/>
    <n v="0"/>
    <m/>
    <s v="5 yrs 0 mth "/>
    <x v="1"/>
    <s v="Cancer-Cancer Drug Development and Therapeutics"/>
    <x v="18"/>
    <d v="2024-03-31T00:00:00"/>
    <n v="0"/>
    <s v="mesothelin, CAR-T, breast cancer"/>
  </r>
  <r>
    <x v="1056"/>
    <s v="University Health Network (Toronto)"/>
    <x v="0"/>
    <x v="44"/>
    <s v="201809PJT"/>
    <x v="6"/>
    <s v="Mechanistic studies of macrophages and the tumour microenvironment as immunologic barriers to therapy in pancreatic ductal adenocarcinoma"/>
    <n v="1059525"/>
    <n v="0"/>
    <n v="0"/>
    <m/>
    <s v="5 yrs 0 mth "/>
    <x v="7"/>
    <s v="Immunology and Infection-Transplantation, Immune Tolerance and Tumor Immunology"/>
    <x v="18"/>
    <d v="2024-03-31T00:00:00"/>
    <n v="1"/>
    <s v="macrophages, tumour microenvironment, pancreatic ductal adenocarcinoma"/>
  </r>
  <r>
    <x v="537"/>
    <s v="University Health Network (Toronto)"/>
    <x v="0"/>
    <x v="44"/>
    <s v="201809PJT"/>
    <x v="13"/>
    <s v="Circulating tumour cells and breast cancer heterogeneity"/>
    <n v="1021275"/>
    <n v="0"/>
    <n v="0"/>
    <m/>
    <s v="5 yrs 0 mth "/>
    <x v="1"/>
    <s v="Cancer-Cancer Progression and Metastasis"/>
    <x v="18"/>
    <d v="2024-03-31T00:00:00"/>
    <n v="0"/>
    <s v="circulating tumour cells, breast cancer, heterogeneity"/>
  </r>
  <r>
    <x v="1057"/>
    <s v="University Health Network (Toronto)"/>
    <x v="0"/>
    <x v="44"/>
    <s v="201903PJT"/>
    <x v="13"/>
    <s v="Lung cancer early detection and classification using methylome analysis of plasma cell free DNA"/>
    <n v="995264"/>
    <n v="0"/>
    <n v="0"/>
    <m/>
    <s v="4 yrs 0 mth "/>
    <x v="1"/>
    <s v="Cancer-Clinical Oncology"/>
    <x v="48"/>
    <d v="2023-09-30T00:00:00"/>
    <n v="6"/>
    <s v="lung cancer, methylome, plasma cell free DNA"/>
  </r>
  <r>
    <x v="553"/>
    <s v="University Health Network (Toronto)"/>
    <x v="0"/>
    <x v="44"/>
    <s v="201903PJT"/>
    <x v="6"/>
    <s v="Transformation of the Tumor Microenvironment with Genetically-modifed Dendritic Cells for T cell-mediated Immunotherapy"/>
    <n v="921826"/>
    <n v="0"/>
    <n v="0"/>
    <m/>
    <s v="5 yrs 0 mth "/>
    <x v="1"/>
    <s v="Cancer-Cancer Drug Development and Therapeutics"/>
    <x v="48"/>
    <d v="2024-09-30T00:00:00"/>
    <n v="0"/>
    <s v="Tumor, Dendritic Cells, Immunotherapy"/>
  </r>
  <r>
    <x v="1058"/>
    <s v="University Health Network (Toronto)"/>
    <x v="0"/>
    <x v="44"/>
    <s v="201903PJT"/>
    <x v="6"/>
    <s v="Viral mimicry tolerance as a mechanism of early tumor immune evasion"/>
    <n v="868276"/>
    <n v="0"/>
    <n v="0"/>
    <m/>
    <s v="5 yrs 0 mth "/>
    <x v="1"/>
    <s v="Cancer-Mechanisms of Carcinogenesis; Cancer-Cancer Progression and Metastasis; Immunology and Infection-Transplantation, Immune Tolerance and Tumor Immunology"/>
    <x v="48"/>
    <d v="2024-09-30T00:00:00"/>
    <n v="7"/>
    <s v="viral, mimicry, immune"/>
  </r>
  <r>
    <x v="1059"/>
    <s v="University Health Network (Toronto)"/>
    <x v="0"/>
    <x v="44"/>
    <s v="201903PJT"/>
    <x v="6"/>
    <s v="Radiotherapy-driven remodelling of the tumour microenvironment dictates response to immune checkpoint blockade"/>
    <n v="1105426"/>
    <n v="0"/>
    <n v="0"/>
    <m/>
    <s v="5 yrs 0 mth "/>
    <x v="1"/>
    <s v="Cancer-Cancer Drug Development and Therapeutics"/>
    <x v="48"/>
    <d v="2024-09-30T00:00:00"/>
    <n v="0"/>
    <s v="Radiotherapy, tumor microenvironment, immune checkpoint"/>
  </r>
  <r>
    <x v="1060"/>
    <s v="University Health Network (Toronto)"/>
    <x v="0"/>
    <x v="44"/>
    <s v="201909PJT"/>
    <x v="6"/>
    <s v="Mucosal Associated Invariant T-cells (MAIT cells) as Key Mediators of Anti-Tumor Immune Responses and the Microbiome Effect in Non-Small Cell Lung Cancer (NSCLC)"/>
    <n v="283051"/>
    <n v="0"/>
    <n v="0"/>
    <m/>
    <s v="3 yrs 0 mth "/>
    <x v="1"/>
    <s v="Cancer-Cancer Drug Development and Therapeutics; Immunology and Infection-Transplantation, Immune Tolerance and Tumor Immunology; Genetics-Genomics, Transcriptomics and Proteomics"/>
    <x v="13"/>
    <d v="2023-03-31T00:00:00"/>
    <n v="0"/>
    <s v="MAIT cells, immune response, lung cancer"/>
  </r>
  <r>
    <x v="1061"/>
    <s v="University Health Network (Toronto)"/>
    <x v="0"/>
    <x v="44"/>
    <s v="201909PJT"/>
    <x v="14"/>
    <s v="Development and comparison of radiomics models for prognosis and monitoring"/>
    <n v="608175"/>
    <n v="0"/>
    <n v="0"/>
    <m/>
    <s v="3 yrs 0 mth "/>
    <x v="1"/>
    <s v="Cancer-Clinical Oncology"/>
    <x v="13"/>
    <d v="2023-03-31T00:00:00"/>
    <n v="0"/>
    <s v="radiomics, prognosis, monitoring"/>
  </r>
  <r>
    <x v="1062"/>
    <s v="University Health Network (Toronto)"/>
    <x v="0"/>
    <x v="44"/>
    <s v="201909PJT"/>
    <x v="6"/>
    <s v="Harnessing innate lymphoid cells to improve hematopoietic stem cell transplant outcomes"/>
    <n v="944775"/>
    <n v="0"/>
    <n v="0"/>
    <m/>
    <s v="5 yrs 0 mth "/>
    <x v="7"/>
    <s v="Cancer-Cancer Drug Development and Therapeutics; Immunology and Infection-Transplantation, Immune Tolerance and Tumor Immunology; Immunology and Infection-Immunology and Autoimmune Diseases (including rheumatology)"/>
    <x v="13"/>
    <d v="2025-03-31T00:00:00"/>
    <n v="2"/>
    <s v="innate lymphoid cells, hematopoietic stem cell, transplant"/>
  </r>
  <r>
    <x v="1063"/>
    <s v="University Health Network (Toronto)"/>
    <x v="0"/>
    <x v="44"/>
    <s v="201909PJT"/>
    <x v="14"/>
    <s v="Prognostic Biomarkers and Novel Therapies for Oral Squamous Cell Carcinoma Patients"/>
    <n v="1051875"/>
    <n v="0"/>
    <n v="0"/>
    <m/>
    <s v="5 yrs 0 mth "/>
    <x v="1"/>
    <s v="Cancer-Cancer Progression and Metastasis; Genetics-Genomics, Transcriptomics and Proteomics; Cancer-Cancer Drug Development and Therapeutics"/>
    <x v="13"/>
    <d v="2025-03-31T00:00:00"/>
    <n v="0"/>
    <s v="Biomarkers, Oral Squamous Cell Carcinoma, Prognostic"/>
  </r>
  <r>
    <x v="1064"/>
    <s v="University Health Network (Toronto)"/>
    <x v="0"/>
    <x v="44"/>
    <s v="201909PJT"/>
    <x v="14"/>
    <s v="The SCF(FBXO11) - XAB2 axis mediates DNA repair and therapeutic resistance in small cell lung cancer"/>
    <n v="984555"/>
    <n v="0"/>
    <n v="0"/>
    <m/>
    <s v="5 yrs 0 mth "/>
    <x v="1"/>
    <s v="Cancer-Cancer Progression and Metastasis; Cancer-Cancer Drug Development and Therapeutics; Molecular, Cellular and Systems Biology-Molecular Biology"/>
    <x v="13"/>
    <d v="2025-03-31T00:00:00"/>
    <n v="0"/>
    <s v="SCF, DNA repair, lung cancer"/>
  </r>
  <r>
    <x v="1065"/>
    <s v="University Health Network (Toronto)"/>
    <x v="0"/>
    <x v="44"/>
    <s v="202003PJT"/>
    <x v="14"/>
    <s v="Mapping and targeting the niche-specific proteomes of glioblastoma"/>
    <n v="830024"/>
    <n v="0"/>
    <n v="0"/>
    <m/>
    <s v="4 yrs 0 mth "/>
    <x v="1"/>
    <s v="Cancer-Cancer Progression and Metastasis"/>
    <x v="49"/>
    <d v="2024-09-30T00:00:00"/>
    <n v="0"/>
    <s v="glioblastoma, proteomes, mapping"/>
  </r>
  <r>
    <x v="1066"/>
    <s v="University Health Network (Toronto)"/>
    <x v="0"/>
    <x v="44"/>
    <s v="202003PJT"/>
    <x v="13"/>
    <s v="Understanding the Interaction of Acute Myeloid Leukemia with the Bone Marrow Microenvironment: Elucidating New Therapeutic Targets Through In Vivo Imaging"/>
    <n v="612000"/>
    <n v="0"/>
    <n v="0"/>
    <m/>
    <s v="4 yrs 0 mth "/>
    <x v="1"/>
    <s v="Cancer-Cancer Drug Development and Therapeutics; Cancer-Cancer Progression and Metastasis; Molecular, Cellular and Systems Biology-Cell Biology and Physiology"/>
    <x v="49"/>
    <d v="2024-09-30T00:00:00"/>
    <n v="1"/>
    <s v="Acute Myeloid Leukemia, Bone Marrow, In Vivo Imaging"/>
  </r>
  <r>
    <x v="542"/>
    <s v="University Health Network (Toronto)"/>
    <x v="0"/>
    <x v="44"/>
    <s v="202003PJT"/>
    <x v="13"/>
    <s v="The Ovarian Cancer Glycoproteome: Biomarker Discovery and Therapeutic Targets"/>
    <n v="504901"/>
    <n v="0"/>
    <n v="0"/>
    <m/>
    <s v="4 yrs 0 mth "/>
    <x v="1"/>
    <s v="Cancer-Cancer Drug Development and Therapeutics"/>
    <x v="49"/>
    <d v="2024-09-30T00:00:00"/>
    <n v="0"/>
    <s v="Ovarian cancer, Glycoproteome, Biomarkers"/>
  </r>
  <r>
    <x v="1067"/>
    <s v="University Health Network (Toronto)"/>
    <x v="0"/>
    <x v="44"/>
    <s v="202003PJT"/>
    <x v="23"/>
    <s v="Mapping epigenomic makeup in colorectal cancer patient models to identify novel therapeutic options"/>
    <n v="814726"/>
    <n v="0"/>
    <n v="0"/>
    <m/>
    <s v="5 yrs 0 mth "/>
    <x v="1"/>
    <s v="Genetics-Molecular and Functional Genetics and Epigenetics; Genetics-Genomics, Transcriptomics and Proteomics; Cancer-Cancer Drug Development and Therapeutics"/>
    <x v="49"/>
    <d v="2025-09-30T00:00:00"/>
    <n v="0"/>
    <s v="epigenomic, colorectal cancer, patient models"/>
  </r>
  <r>
    <x v="543"/>
    <s v="University Health Network (Toronto)"/>
    <x v="0"/>
    <x v="44"/>
    <s v="202003PJT"/>
    <x v="14"/>
    <s v="Organoids to guide Post-resistance Therapy In driver MutAted Lung cancers (OPTIMAL)"/>
    <n v="1147500"/>
    <n v="0"/>
    <n v="0"/>
    <m/>
    <s v="5 yrs 0 mth "/>
    <x v="1"/>
    <s v="Cancer-Cancer Drug Development and Therapeutics"/>
    <x v="49"/>
    <d v="2025-09-30T00:00:00"/>
    <n v="0"/>
    <s v="Organoids, Lung cancers, Mutated"/>
  </r>
  <r>
    <x v="1052"/>
    <s v="University Health Network (Toronto)"/>
    <x v="0"/>
    <x v="44"/>
    <s v="202003PJT"/>
    <x v="13"/>
    <s v="Establishing the epigenetic drivers of aggressive behaviour in meningiomas"/>
    <n v="902700"/>
    <n v="0"/>
    <n v="0"/>
    <m/>
    <s v="5 yrs 0 mth "/>
    <x v="1"/>
    <s v="Cancer-Cancer Drug Development and Therapeutics; Health Services and Systems-Personalized Medicine; Cancer-Clinical Oncology"/>
    <x v="49"/>
    <d v="2025-09-30T00:00:00"/>
    <n v="0"/>
    <s v="epigenetic, meningiomas, behaviour"/>
  </r>
  <r>
    <x v="1068"/>
    <s v="University Health Network (Toronto)"/>
    <x v="0"/>
    <x v="44"/>
    <s v="202010PJT"/>
    <x v="12"/>
    <s v="Establishing strategies to preserve donor lungs for multiple days: Cyclic Normothermic Ex vivo Lung Perfusion and Mitochondrial Transplantation ."/>
    <n v="803252"/>
    <n v="0"/>
    <n v="0"/>
    <m/>
    <s v="4 yrs 0 mth "/>
    <x v="11"/>
    <s v="Molecular, Cellular and Systems Biology-Molecular Biology; Cardiovascular, Respiratory and Circulatory Systems-Respiratory System Pathologies and Clinical Interventions"/>
    <x v="50"/>
    <d v="2025-03-31T00:00:00"/>
    <n v="1"/>
    <s v="lung perfusion, normothermic, mitochondrial"/>
  </r>
  <r>
    <x v="1048"/>
    <s v="University Health Network (Toronto)"/>
    <x v="0"/>
    <x v="44"/>
    <s v="202010PJT"/>
    <x v="14"/>
    <s v="Repurposing Metformin to Target TET2 Mutation Driven Clonal Hematopoiesis and Malignant Transformation"/>
    <n v="573752"/>
    <n v="0"/>
    <n v="0"/>
    <m/>
    <s v="4 yrs 0 mth "/>
    <x v="1"/>
    <s v="Cancer-Cancer Drug Development and Therapeutics"/>
    <x v="50"/>
    <d v="2025-03-31T00:00:00"/>
    <n v="0"/>
    <s v="Metformin, TET2, Hematopoiesis"/>
  </r>
  <r>
    <x v="1069"/>
    <s v="University Health Network (Toronto)"/>
    <x v="0"/>
    <x v="44"/>
    <s v="202010PJT"/>
    <x v="14"/>
    <s v="Identification of novel therapeutic targets for SOX2-driven lung squamous cell carcinoma"/>
    <n v="650252"/>
    <n v="0"/>
    <n v="0"/>
    <m/>
    <s v="4 yrs 0 mth "/>
    <x v="1"/>
    <s v="Cancer-Cancer Drug Development and Therapeutics"/>
    <x v="50"/>
    <d v="2025-03-31T00:00:00"/>
    <n v="0"/>
    <s v="SOX2, lung cancer, targets"/>
  </r>
  <r>
    <x v="1070"/>
    <s v="University Health Network (Toronto)"/>
    <x v="0"/>
    <x v="44"/>
    <s v="202010PJT"/>
    <x v="14"/>
    <s v="Understanding inevitable relapse of multiple myeloma following highly-effective anti-BCMA treatment"/>
    <n v="990676"/>
    <n v="0"/>
    <n v="0"/>
    <m/>
    <s v="4 yrs 0 mth "/>
    <x v="1"/>
    <s v="Cancer-Cancer Progression and Metastasis; Genetics-Genomics, Transcriptomics and Proteomics"/>
    <x v="50"/>
    <d v="2025-03-31T00:00:00"/>
    <n v="0"/>
    <s v="multiple myeloma, anti-BCMA, relapse"/>
  </r>
  <r>
    <x v="723"/>
    <s v="University Health Network (Toronto)"/>
    <x v="0"/>
    <x v="44"/>
    <s v="202010PJT"/>
    <x v="6"/>
    <s v="The Function of Protein Kinase NEK10 in tumour suppression"/>
    <n v="1224000"/>
    <n v="0"/>
    <n v="0"/>
    <m/>
    <s v="5 yrs 0 mth "/>
    <x v="1"/>
    <s v="Cancer-Cancer Progression and Metastasis; Genetics-Molecular and Functional Genetics and Epigenetics"/>
    <x v="50"/>
    <d v="2026-03-31T00:00:00"/>
    <n v="0"/>
    <s v="Protein Kinase, NEK10, Tumour suppression"/>
  </r>
  <r>
    <x v="1055"/>
    <s v="University Health Network (Toronto)"/>
    <x v="0"/>
    <x v="44"/>
    <s v="202010PJT"/>
    <x v="6"/>
    <s v="Development of TCR-engineered T cells against novel NY-ESO-1 epitopes for the treatment of triple negative breast cancer"/>
    <n v="1438200"/>
    <n v="0"/>
    <n v="0"/>
    <m/>
    <s v="5 yrs 0 mth "/>
    <x v="7"/>
    <s v="Immunology and Infection-Transplantation, Immune Tolerance and Tumor Immunology"/>
    <x v="50"/>
    <d v="2026-03-31T00:00:00"/>
    <n v="4"/>
    <s v="TCR, T cells, NY-ESO-1"/>
  </r>
  <r>
    <x v="1071"/>
    <s v="University Health Network (Toronto)"/>
    <x v="0"/>
    <x v="44"/>
    <s v="202010PJT"/>
    <x v="23"/>
    <s v="Discovery and validation of vulnerabilities and therapeutic strategies for cyclin-dependent kinase 4/6 inhibitor-resistant hormone receptor positive breast cancer"/>
    <n v="895050"/>
    <n v="0"/>
    <n v="0"/>
    <m/>
    <s v="5 yrs 0 mth "/>
    <x v="1"/>
    <s v="Cancer-Cancer Drug Development and Therapeutics"/>
    <x v="50"/>
    <d v="2026-03-31T00:00:00"/>
    <n v="0"/>
    <s v="cyclin-dependent kinase, inhibitor, breast cancer"/>
  </r>
  <r>
    <x v="1072"/>
    <s v="University Health Network (Toronto)"/>
    <x v="0"/>
    <x v="44"/>
    <s v="202010PJT"/>
    <x v="23"/>
    <s v="Characterization and Targeting of SIRT3 in Acute Myeloid Leukemia Stem Cells"/>
    <n v="921825"/>
    <n v="0"/>
    <n v="0"/>
    <m/>
    <s v="5 yrs 0 mth "/>
    <x v="1"/>
    <s v="Cancer-Cancer Drug Development and Therapeutics"/>
    <x v="50"/>
    <d v="2026-03-31T00:00:00"/>
    <n v="0"/>
    <s v="SIRT3, Acute Myeloid Leukemia, Stem Cells"/>
  </r>
  <r>
    <x v="556"/>
    <s v="University Health Network (Toronto)"/>
    <x v="0"/>
    <x v="44"/>
    <s v="202010PJT"/>
    <x v="14"/>
    <s v="Molecular drivers of the drug tolerant persister state in patient-derived colorectal cancer models"/>
    <n v="960075"/>
    <n v="0"/>
    <n v="0"/>
    <m/>
    <s v="5 yrs 0 mth "/>
    <x v="1"/>
    <s v="Cancer-Cancer Progression and Metastasis"/>
    <x v="50"/>
    <d v="2026-03-31T00:00:00"/>
    <n v="0"/>
    <s v="molecular drivers, drug tolerant, colorectal cancer"/>
  </r>
  <r>
    <x v="1073"/>
    <s v="University Health Network (Toronto)"/>
    <x v="0"/>
    <x v="44"/>
    <s v="202010PJT"/>
    <x v="13"/>
    <s v="Impact of copy number imbalances in mutant KRAS on pancreatic cancer chemoresistance and metastases"/>
    <n v="765000"/>
    <n v="0"/>
    <n v="0"/>
    <m/>
    <s v="5 yrs 0 mth "/>
    <x v="1"/>
    <s v="Cancer-Cancer Progression and Metastasis"/>
    <x v="50"/>
    <d v="2026-03-31T00:00:00"/>
    <n v="0"/>
    <s v="KRAS, chemoresistance, pancreatic cancer"/>
  </r>
  <r>
    <x v="1052"/>
    <s v="University Health Network (Toronto)"/>
    <x v="0"/>
    <x v="44"/>
    <s v="202010PJT"/>
    <x v="13"/>
    <s v="Liquid biopsy-based DNA methylation profiling for improved diagnosis and prognostication of primary and metastatic CNS tumors"/>
    <n v="1147500"/>
    <n v="0"/>
    <n v="0"/>
    <m/>
    <s v="5 yrs 0 mth "/>
    <x v="1"/>
    <s v="Cancer-Cancer Progression and Metastasis; Genetics-Genomics, Transcriptomics and Proteomics"/>
    <x v="50"/>
    <d v="2026-03-31T00:00:00"/>
    <n v="1"/>
    <s v="liquid biopsy, DNA methylation, CNS tumors"/>
  </r>
  <r>
    <x v="550"/>
    <s v="University Health Network (Toronto)"/>
    <x v="0"/>
    <x v="44"/>
    <s v="202010PJT"/>
    <x v="11"/>
    <s v="Shedding light on SBRT: functional optical coherence tomography and MR imaging for in vivo monitoring of high-dose few-fractions radiotherapy of pancreatic cancer"/>
    <n v="956250"/>
    <n v="0"/>
    <n v="0"/>
    <m/>
    <s v="5 yrs 0 mth "/>
    <x v="1"/>
    <s v="Biomedical Engineering-Biomedical Imaging; Biophysics and bioimaging"/>
    <x v="50"/>
    <d v="2026-03-31T00:00:00"/>
    <n v="0"/>
    <s v="optical coherence tomography, MR imaging, radiotherapy"/>
  </r>
  <r>
    <x v="1074"/>
    <s v="University Health Network (Toronto)"/>
    <x v="0"/>
    <x v="44"/>
    <s v="202010PJT"/>
    <x v="23"/>
    <s v="Tailored adjuvant therapy in POLE-mutated and p53-wildtype early stage endometrial cancer (TAPER)"/>
    <n v="1082474"/>
    <n v="0"/>
    <n v="0"/>
    <m/>
    <s v="6 yrs 0 mth "/>
    <x v="1"/>
    <s v="Cancer-Clinical Oncology; Health Services and Systems-Personalized Medicine"/>
    <x v="50"/>
    <d v="2027-03-31T00:00:00"/>
    <n v="0"/>
    <s v="adjuvant therapy, POLE-mutated, endometrial cancer"/>
  </r>
  <r>
    <x v="1065"/>
    <s v="University Health Network (Toronto)"/>
    <x v="0"/>
    <x v="44"/>
    <s v="202104PJT"/>
    <x v="11"/>
    <s v="Automated computational pathology workflows for resolving patterns of heterogeneity in cancer"/>
    <n v="680851"/>
    <n v="0"/>
    <n v="0"/>
    <m/>
    <s v="4 yrs 0 mth "/>
    <x v="1"/>
    <s v="Cancer-Cancer Progression and Metastasis; Artificial Intelligence-Artificial Intelligence; Methods Development and Modelling-Quantitative Methods Development for Health Research"/>
    <x v="45"/>
    <d v="2025-09-30T00:00:00"/>
    <n v="0"/>
    <s v="computational pathology, heterogeneity, cancer"/>
  </r>
  <r>
    <x v="560"/>
    <s v="University Health Network (Toronto)"/>
    <x v="0"/>
    <x v="44"/>
    <s v="202104PJT"/>
    <x v="14"/>
    <s v="Targeting the Metabolic Mevalonate Pathway as an Actionable Prostate Cancer Vulnerability"/>
    <n v="1002150"/>
    <n v="0"/>
    <n v="0"/>
    <m/>
    <s v="5 yrs 0 mth "/>
    <x v="1"/>
    <s v="Cancer-Cancer Drug Development and Therapeutics"/>
    <x v="45"/>
    <d v="2026-09-30T00:00:00"/>
    <n v="0"/>
    <s v="Metabolic, Mevalonate, Prostate Cancer"/>
  </r>
  <r>
    <x v="554"/>
    <s v="University Health Network (Toronto)"/>
    <x v="0"/>
    <x v="44"/>
    <s v="202104PJT"/>
    <x v="14"/>
    <s v="New mouse models and targeted therapies for aggressive forms of germline and sporadic pineoblastoma"/>
    <n v="956250"/>
    <n v="0"/>
    <n v="0"/>
    <m/>
    <s v="5 yrs 0 mth "/>
    <x v="1"/>
    <s v="Cancer-Pediatric Cancer; Cancer-Cancer Progression and Metastasis; Cancer-Cancer Drug Development and Therapeutics"/>
    <x v="45"/>
    <d v="2026-09-30T00:00:00"/>
    <n v="0"/>
    <s v="mouse models, targeted therapies, pineoblastoma"/>
  </r>
  <r>
    <x v="1075"/>
    <s v="University Health Network (Toronto)"/>
    <x v="0"/>
    <x v="44"/>
    <s v="202109PJT"/>
    <x v="6"/>
    <s v="Redox homeostasis in pancreatic cancer - molecular mechanisms and combined modalities"/>
    <n v="860625"/>
    <n v="0"/>
    <n v="0"/>
    <m/>
    <s v="5 yrs 0 mth "/>
    <x v="1"/>
    <s v="Cancer-Cancer Drug Development and Therapeutics; Molecular, Cellular and Systems Biology-Cell Biology and Physiology"/>
    <x v="51"/>
    <d v="2027-03-31T00:00:00"/>
    <n v="0"/>
    <s v="Redox, pancreatic cancer, homeostasis"/>
  </r>
  <r>
    <x v="559"/>
    <s v="University Health Network (Toronto)"/>
    <x v="0"/>
    <x v="44"/>
    <s v="202109PJT"/>
    <x v="14"/>
    <s v="Function of LSD1 in aggressive prostate cancer"/>
    <n v="998325"/>
    <n v="0"/>
    <n v="0"/>
    <m/>
    <s v="5 yrs 0 mth "/>
    <x v="1"/>
    <s v="Cancer-Cancer Progression and Metastasis"/>
    <x v="51"/>
    <d v="2027-03-31T00:00:00"/>
    <n v="0"/>
    <s v="LSD1, prostate cancer"/>
  </r>
  <r>
    <x v="1076"/>
    <s v="University Health Network (Toronto)"/>
    <x v="0"/>
    <x v="44"/>
    <s v="202109PJT"/>
    <x v="13"/>
    <s v="Identification of microenvironmental cues that promote acute lymphoblastic leukemia"/>
    <n v="1128375"/>
    <n v="0"/>
    <n v="0"/>
    <m/>
    <s v="5 yrs 0 mth "/>
    <x v="1"/>
    <s v="Cancer-Mechanisms of Carcinogenesis"/>
    <x v="51"/>
    <d v="2027-03-31T00:00:00"/>
    <n v="0"/>
    <s v="microenvironmental cues, acute lymphoblastic leukemia"/>
  </r>
  <r>
    <x v="1077"/>
    <s v="University Health Network (Toronto)"/>
    <x v="0"/>
    <x v="44"/>
    <s v="202109PJT"/>
    <x v="11"/>
    <s v="Picosecond InfraRed Laser Mass Spectrometry (PIRL-MS) for Rapid Determination of Pediatric Brain Tumour Pathology"/>
    <n v="677025"/>
    <n v="0"/>
    <n v="0"/>
    <m/>
    <s v="5 yrs 0 mth "/>
    <x v="1"/>
    <s v="Cancer-Pediatric Cancer"/>
    <x v="51"/>
    <d v="2027-03-31T00:00:00"/>
    <n v="1"/>
    <s v="Picosecond, InfraRed, Mass Spectrometry"/>
  </r>
  <r>
    <x v="1078"/>
    <s v="University Health Network (Toronto)"/>
    <x v="0"/>
    <x v="44"/>
    <s v="202203PJT"/>
    <x v="11"/>
    <s v="Towards a low-cost, optimized proton therapy accelerator"/>
    <n v="1369352"/>
    <n v="0"/>
    <n v="0"/>
    <m/>
    <s v="4 yrs 0 mth "/>
    <x v="1"/>
    <s v="Biomedical Engineering-Biophysics, Medical Technologies and Instrumentation"/>
    <x v="37"/>
    <d v="2026-09-30T00:00:00"/>
    <n v="0"/>
    <s v="proton therapy, accelerator"/>
  </r>
  <r>
    <x v="1079"/>
    <s v="University Health Network (Toronto)"/>
    <x v="0"/>
    <x v="44"/>
    <s v="202203PJT"/>
    <x v="6"/>
    <s v="Modulating T cell metabolism to enhance the efficacy of adoptive cell therapy"/>
    <n v="516376"/>
    <n v="0"/>
    <n v="0"/>
    <m/>
    <s v="5 yrs 0 mth "/>
    <x v="1"/>
    <s v="Cancer-Cancer Drug Development and Therapeutics; Immunology and Infection-Transplantation, Immune Tolerance and Tumor Immunology"/>
    <x v="37"/>
    <d v="2027-09-30T00:00:00"/>
    <n v="0"/>
    <s v="T cell, metabolism, adoptive cell therapy"/>
  </r>
  <r>
    <x v="537"/>
    <s v="University Health Network (Toronto)"/>
    <x v="0"/>
    <x v="44"/>
    <s v="202203PJT"/>
    <x v="14"/>
    <s v="Triple negative breast cancer intratumour heterogeneity and disease progression"/>
    <n v="1086300"/>
    <n v="0"/>
    <n v="0"/>
    <m/>
    <s v="5 yrs 0 mth "/>
    <x v="1"/>
    <s v="Cancer-Cancer Progression and Metastasis"/>
    <x v="37"/>
    <d v="2027-09-30T00:00:00"/>
    <n v="0"/>
    <s v="breast cancer, intratumour heterogeneity, disease progression"/>
  </r>
  <r>
    <x v="1080"/>
    <s v="University Health Network (Toronto)"/>
    <x v="0"/>
    <x v="44"/>
    <s v="202203PJT"/>
    <x v="14"/>
    <s v="Novel contrasting functions of RNF168 and RNF169 in breast cancer and therapeutic implications."/>
    <n v="956250"/>
    <n v="0"/>
    <n v="0"/>
    <m/>
    <s v="5 yrs 0 mth "/>
    <x v="1"/>
    <s v="Cancer-Mechanisms of Carcinogenesis; Cancer-Cancer Progression and Metastasis"/>
    <x v="37"/>
    <d v="2027-09-30T00:00:00"/>
    <n v="0"/>
    <s v="RNF168, RNF169, breast cancer"/>
  </r>
  <r>
    <x v="1052"/>
    <s v="University Health Network (Toronto)"/>
    <x v="0"/>
    <x v="44"/>
    <s v="202203PJT"/>
    <x v="13"/>
    <s v="Uncovering the molecular biomarkers of radiation responsiveness in meningiomas"/>
    <n v="1051876"/>
    <n v="0"/>
    <n v="0"/>
    <m/>
    <s v="5 yrs 0 mth "/>
    <x v="1"/>
    <s v="Cancer-Cancer Progression and Metastasis"/>
    <x v="37"/>
    <d v="2027-09-30T00:00:00"/>
    <n v="0"/>
    <s v="molecular biomarkers, radiation, meningiomas"/>
  </r>
  <r>
    <x v="1081"/>
    <s v="University Health Network (Toronto)"/>
    <x v="0"/>
    <x v="44"/>
    <s v="202203PJT"/>
    <x v="11"/>
    <s v="Clinical Deployment of an End-to-End Artificial Intelligence (AI)-only Radiotherapy Treatment Planning and Decision Support Workflow"/>
    <n v="711450"/>
    <n v="0"/>
    <n v="0"/>
    <m/>
    <s v="5 yrs 0 mth "/>
    <x v="1"/>
    <s v="Artificial Intelligence-Machine Learning; Cancer-Clinical Oncology"/>
    <x v="37"/>
    <d v="2027-09-30T00:00:00"/>
    <n v="0"/>
    <s v="Artificial Intelligence, Radiotherapy, Planning"/>
  </r>
  <r>
    <x v="547"/>
    <s v="University Health Network (Toronto)"/>
    <x v="0"/>
    <x v="44"/>
    <s v="202210PJT"/>
    <x v="14"/>
    <s v="Targeting PRMT1 in Clear Cell Renal Cell Carcinoma"/>
    <n v="100000"/>
    <n v="0"/>
    <n v="0"/>
    <m/>
    <s v="1 yr 0 mth "/>
    <x v="1"/>
    <s v="Cancer-Cancer Drug Development and Therapeutics; Molecular, Cellular and Systems Biology-Molecular Biology"/>
    <x v="52"/>
    <d v="2024-03-31T00:00:00"/>
    <n v="0"/>
    <s v="PRMT1, Renal Cell Carcinoma, Targeting"/>
  </r>
  <r>
    <x v="1082"/>
    <s v="University Health Network (Toronto)"/>
    <x v="0"/>
    <x v="44"/>
    <s v="202209PJT"/>
    <x v="24"/>
    <s v="Advanced Artificial Intelligence for Human Ex Vivo Lung Perfusion using Digital Twins"/>
    <n v="726750"/>
    <n v="0"/>
    <n v="0"/>
    <m/>
    <s v="5 yrs 0 mth "/>
    <x v="11"/>
    <s v="Artificial Intelligence-Machine Learning; Biomedical Engineering-Biophysics, Medical Technologies and Instrumentation; Cardiovascular, Respiratory and Circulatory Systems-Respiratory Sciences"/>
    <x v="52"/>
    <d v="2028-03-31T00:00:00"/>
    <n v="1"/>
    <s v="Artificial Intelligence, Lung Perfusion, Digital Twins"/>
  </r>
  <r>
    <x v="533"/>
    <s v="University Health Network (Toronto)"/>
    <x v="0"/>
    <x v="44"/>
    <s v="202209PJT"/>
    <x v="6"/>
    <s v="The roles of cholinergic T cells in immunosurveillance and immunotherapy of liver cancer."/>
    <n v="1032750"/>
    <n v="0"/>
    <n v="0"/>
    <m/>
    <s v="5 yrs 0 mth "/>
    <x v="1"/>
    <s v="Cancer-Mechanisms of Carcinogenesis"/>
    <x v="52"/>
    <d v="2028-03-31T00:00:00"/>
    <n v="1"/>
    <s v="cholinergic, T cells, liver cancer"/>
  </r>
  <r>
    <x v="1080"/>
    <s v="University Health Network (Toronto)"/>
    <x v="0"/>
    <x v="44"/>
    <s v="202209PJT"/>
    <x v="14"/>
    <s v="Targeting transcription-replication conflicts as vulnerabilities in BRCA1 mutant and homologous recombination-deficient breast and ovarian cancers"/>
    <n v="956250"/>
    <n v="0"/>
    <n v="0"/>
    <m/>
    <s v="5 yrs 0 mth "/>
    <x v="1"/>
    <s v="Cancer-Mechanisms of Carcinogenesis"/>
    <x v="52"/>
    <d v="2028-03-31T00:00:00"/>
    <n v="0"/>
    <s v="transcription-replication conflicts, BRCA1, homologous recombination"/>
  </r>
  <r>
    <x v="1083"/>
    <s v="University Health Network (Toronto)"/>
    <x v="0"/>
    <x v="44"/>
    <s v="202209PJT"/>
    <x v="14"/>
    <s v="Characterizing the stress granule network as a determinant of leukemic stem cells and novel therapeutic target in acute myeloid leukemia"/>
    <n v="956250"/>
    <n v="0"/>
    <n v="0"/>
    <m/>
    <s v="5 yrs 0 mth "/>
    <x v="1"/>
    <s v="Cancer-Cancer Drug Development and Therapeutics; Cancer-Cancer Progression and Metastasis"/>
    <x v="52"/>
    <d v="2028-03-31T00:00:00"/>
    <n v="0"/>
    <s v="stress granule, leukemic stem cells, acute myeloid leukemia"/>
  </r>
  <r>
    <x v="1084"/>
    <s v="University Health Network (Toronto)"/>
    <x v="0"/>
    <x v="44"/>
    <s v="202209PJT"/>
    <x v="11"/>
    <s v="AI Assisted Organ and Target Segmentation for Cervix Brachytherapy Treatment Planning"/>
    <n v="837675"/>
    <n v="0"/>
    <n v="0"/>
    <m/>
    <s v="5 yrs 0 mth "/>
    <x v="1"/>
    <s v="Cancer-Clinical Oncology; Biomedical Engineering-Biomedical Imaging; Biomedical Engineering-Biophysics, Medical Technologies and Instrumentation"/>
    <x v="52"/>
    <d v="2028-03-31T00:00:00"/>
    <n v="0"/>
    <s v="AI, Organ Segmentation, Brachytherapy"/>
  </r>
  <r>
    <x v="547"/>
    <s v="University Health Network (Toronto)"/>
    <x v="0"/>
    <x v="44"/>
    <s v="202309PJT"/>
    <x v="13"/>
    <s v="Targeting PRMT1 in Clear Cell Renal Cell Carcinoma"/>
    <n v="776475"/>
    <n v="0"/>
    <n v="0"/>
    <m/>
    <s v="5 yrs 0 mth "/>
    <x v="1"/>
    <s v="Cancer-Cancer Drug Development and Therapeutics; Molecular, Cellular and Systems Biology-Molecular Biology"/>
    <x v="52"/>
    <d v="2024-03-31T00:00:00"/>
    <n v="0"/>
    <s v="PRMT1, Renal Cell Carcinoma, Targeting"/>
  </r>
  <r>
    <x v="1085"/>
    <s v="University Health Network (Toronto)"/>
    <x v="0"/>
    <x v="44"/>
    <s v="202209PJT"/>
    <x v="13"/>
    <s v="Predictive biomarkers for adjuvant immune checkpoint inhibitor therapy in non-small cell lung cancer"/>
    <n v="1224000"/>
    <n v="0"/>
    <n v="0"/>
    <m/>
    <s v="5 yrs 0 mth "/>
    <x v="1"/>
    <s v="Cancer-Cancer Progression and Metastasis"/>
    <x v="56"/>
    <d v="2028-06-30T00:00:00"/>
    <n v="0"/>
    <s v="biomarkers, immune checkpoint, lung cancer"/>
  </r>
  <r>
    <x v="1086"/>
    <s v="University Health Network (Toronto)"/>
    <x v="0"/>
    <x v="44"/>
    <s v="202303PJT"/>
    <x v="12"/>
    <s v="Developing a Biologically-realistic Model-based Approach for Generating Deep Brain Stimulation Patterns"/>
    <n v="841500"/>
    <n v="0"/>
    <n v="0"/>
    <m/>
    <s v="5 yrs 0 mth "/>
    <x v="3"/>
    <s v="Neurosciences-Neurological disorders"/>
    <x v="36"/>
    <d v="2028-09-30T00:00:00"/>
    <n v="1"/>
    <s v="Deep Brain Stimulation, Model-based, Patterns"/>
  </r>
  <r>
    <x v="540"/>
    <s v="University Health Network (Toronto)"/>
    <x v="0"/>
    <x v="44"/>
    <s v="202303PJT"/>
    <x v="24"/>
    <s v="New nanotechnology for non-invasive deep lung-activatable antimicrobial photodynamic therapy of hospital-associated pneumonia"/>
    <n v="837676"/>
    <n v="0"/>
    <n v="0"/>
    <m/>
    <s v="5 yrs 0 mth "/>
    <x v="7"/>
    <s v="Biomedical Engineering-Biomaterials, Nanotechnology and Biomechanics; Biomedical Engineering-Biophysics, Medical Technologies and Instrumentation; Immunology and Infection-Antimicrobial Drug Resistance, Drug Discovery and Therapeutics (including vaccines)"/>
    <x v="36"/>
    <d v="2028-09-30T00:00:00"/>
    <n v="0"/>
    <s v="nanotechnology, photodynamic, pneumonia"/>
  </r>
  <r>
    <x v="1087"/>
    <s v="University Health Network (Toronto)"/>
    <x v="0"/>
    <x v="44"/>
    <s v="202303PJT"/>
    <x v="6"/>
    <s v="Development of bi-specific T cell engagers (BiTEs) for the treatment of acute myeloid leukemia (AML)"/>
    <n v="1017450"/>
    <n v="0"/>
    <n v="0"/>
    <m/>
    <s v="5 yrs 0 mth "/>
    <x v="1"/>
    <s v="Cancer-Cancer Drug Development and Therapeutics"/>
    <x v="36"/>
    <d v="2028-09-30T00:00:00"/>
    <n v="0"/>
    <s v="bi-specific T cell engagers, AML, leukemia"/>
  </r>
  <r>
    <x v="1067"/>
    <s v="University Health Network (Toronto)"/>
    <x v="0"/>
    <x v="44"/>
    <s v="202303PJT"/>
    <x v="6"/>
    <s v="Epigenetic Drivers in Metastatic Melanoma and Chromatin Loop-Specific Targeting Strategies"/>
    <n v="784126"/>
    <n v="0"/>
    <n v="0"/>
    <m/>
    <s v="5 yrs 0 mth "/>
    <x v="1"/>
    <s v="Genetics-Molecular and Functional Genetics and Epigenetics; Genetics-Genomics, Transcriptomics and Proteomics; Cancer-Cancer Progression and Metastasis"/>
    <x v="36"/>
    <d v="2028-09-30T00:00:00"/>
    <n v="0"/>
    <s v="Epigenetic, Melanoma, Chromatin"/>
  </r>
  <r>
    <x v="1048"/>
    <s v="University Health Network (Toronto)"/>
    <x v="0"/>
    <x v="44"/>
    <s v="202309PJT"/>
    <x v="23"/>
    <s v="Inhibiting Thrombopoietin Receptor (TPO-R) Signaling as a Novel Approach to Target TET2 Mutation-Driven Clonal Hematopoiesis"/>
    <n v="409276"/>
    <n v="0"/>
    <n v="0"/>
    <m/>
    <s v="3 yrs 0 mth "/>
    <x v="1"/>
    <s v="Cancer-Cancer Progression and Metastasis; Cancer-Mechanisms of Carcinogenesis; Cancer-Cancer Drug Development and Therapeutics"/>
    <x v="46"/>
    <d v="2027-03-31T00:00:00"/>
    <n v="0"/>
    <s v="Thrombopoietin, TPO-R, TET2"/>
  </r>
  <r>
    <x v="1088"/>
    <s v="University Health Network (Toronto)"/>
    <x v="0"/>
    <x v="44"/>
    <s v="202309PJT"/>
    <x v="12"/>
    <s v="Improving Repositioning Adherence in Home Care: Supporting Pressure Injury Care and Prevention"/>
    <n v="623476"/>
    <n v="0"/>
    <n v="0"/>
    <m/>
    <s v="4 yrs 0 mth "/>
    <x v="6"/>
    <s v="Biomedical Engineering-Biophysics, Medical Technologies and Instrumentation"/>
    <x v="46"/>
    <d v="2028-03-31T00:00:00"/>
    <n v="0"/>
    <s v="Repositioning, Pressure Injury, Home Care"/>
  </r>
  <r>
    <x v="1065"/>
    <s v="University Health Network (Toronto)"/>
    <x v="0"/>
    <x v="44"/>
    <s v="202309PJT"/>
    <x v="13"/>
    <s v="Deciphering communication networks across glioblastoma cell states"/>
    <n v="761176"/>
    <n v="0"/>
    <n v="0"/>
    <m/>
    <s v="4 yrs 0 mth "/>
    <x v="1"/>
    <s v="Molecular, Cellular and Systems Biology-Molecular Biology"/>
    <x v="46"/>
    <d v="2028-03-31T00:00:00"/>
    <n v="0"/>
    <s v="communication, networks, glioblastoma"/>
  </r>
  <r>
    <x v="1089"/>
    <s v="University Health Network (Toronto)"/>
    <x v="0"/>
    <x v="44"/>
    <s v="202309PJT"/>
    <x v="11"/>
    <s v="Generative Adversarial Networks for MRI-driven Radiation Therapy"/>
    <n v="604352"/>
    <n v="0"/>
    <n v="0"/>
    <m/>
    <s v="4 yrs 0 mth "/>
    <x v="1"/>
    <s v="Cancer-Clinical Oncology; Artificial Intelligence-Machine Learning; Biomedical Engineering-Biomedical Imaging"/>
    <x v="46"/>
    <d v="2028-03-31T00:00:00"/>
    <n v="0"/>
    <s v="Generative Adversarial Networks, MRI, Radiation Therapy"/>
  </r>
  <r>
    <x v="1090"/>
    <s v="University Health Network (Toronto)"/>
    <x v="0"/>
    <x v="44"/>
    <s v="202309PJT"/>
    <x v="12"/>
    <s v="'Smart Ventilation' - Novel Real-Time Biosensors and Artificial Intelligence for Optimized Mechanical Ventilation in Human Lungs"/>
    <n v="692325"/>
    <n v="0"/>
    <n v="0"/>
    <m/>
    <s v="5 yrs 0 mth "/>
    <x v="11"/>
    <s v="Biomedical Engineering-Biophysics, Medical Technologies and Instrumentation; Cardiovascular, Respiratory and Circulatory Systems-Respiratory Sciences; Artificial Intelligence-Machine Learning"/>
    <x v="46"/>
    <d v="2029-03-31T00:00:00"/>
    <n v="0"/>
    <s v="Biosensors, Artificial Intelligence, Mechanical Ventilation"/>
  </r>
  <r>
    <x v="555"/>
    <s v="University Health Network (Toronto)"/>
    <x v="0"/>
    <x v="44"/>
    <s v="202309PJT"/>
    <x v="24"/>
    <s v="Manipulating the cellular microenvironment to bioengineer bile ducts"/>
    <n v="1067175"/>
    <n v="0"/>
    <n v="0"/>
    <m/>
    <s v="5 yrs 0 mth "/>
    <x v="7"/>
    <s v="Biomedical Engineering-Regenerative Medicine and Tissue Engineering; Digestive, Endocrine and Excretory Systems-Gastroenterology and Hepatology; Immunology and Infection-Transplantation, Immune Tolerance and Tumor Immunology"/>
    <x v="46"/>
    <d v="2029-03-31T00:00:00"/>
    <n v="0"/>
    <s v="cellular, microenvironment, bile ducts"/>
  </r>
  <r>
    <x v="1077"/>
    <s v="University Health Network (Toronto)"/>
    <x v="0"/>
    <x v="44"/>
    <s v="202309PJT"/>
    <x v="11"/>
    <s v="Rapid high sensitivity and specificity diagnosis of melanoma with Picosecond infrared laser mass spectrometry"/>
    <n v="619650"/>
    <n v="0"/>
    <n v="0"/>
    <m/>
    <s v="5 yrs 0 mth "/>
    <x v="1"/>
    <s v="Cancer-Clinical Oncology"/>
    <x v="46"/>
    <d v="2029-03-31T00:00:00"/>
    <n v="0"/>
    <s v="melanoma, infrared laser, mass spectrometry"/>
  </r>
  <r>
    <x v="1091"/>
    <s v="University Health Network (Toronto)"/>
    <x v="0"/>
    <x v="44"/>
    <s v="202209PJT"/>
    <x v="6"/>
    <s v="Dissecting the determinants and dynamics of cellular states promoting glioma evolution"/>
    <n v="1040400"/>
    <n v="0"/>
    <n v="0"/>
    <m/>
    <s v="5 yrs 0 mth "/>
    <x v="1"/>
    <s v="BRAIN TUMORS (INCL. RETINAL TUMORS); CANCER THERAPY GENERAL; CANCER; MOLECULAR BIOLOGY"/>
    <x v="57"/>
    <d v="2027-04-30T00:00:00"/>
    <n v="0"/>
    <s v="glioma, cellular states, evolution"/>
  </r>
  <r>
    <x v="1092"/>
    <s v="University Health Network (Toronto)"/>
    <x v="0"/>
    <x v="44"/>
    <s v="202303PJT"/>
    <x v="14"/>
    <s v="Synergistic Radiosensitization of Hypoxic Pancreatic Adenocarcinoma using Gd-Texaphyrin Oxygen-Loaded Nanodroplets"/>
    <n v="994500"/>
    <n v="0"/>
    <n v="0"/>
    <m/>
    <s v="5 yrs 0 mth "/>
    <x v="1"/>
    <s v="Cancer-Cancer Drug Development and Therapeutics; Biomedical Engineering-Biomaterials, Nanotechnology and Biomechanics; Pharmacological, Toxicological and Pharmaceutical Sciences-Drug Discovery, Design and Delivery"/>
    <x v="58"/>
    <d v="2029-06-30T00:00:00"/>
    <n v="0"/>
    <s v="Radiosensitization, Hypoxic, Nanodroplets"/>
  </r>
  <r>
    <x v="1093"/>
    <s v="University Health Network (Toronto)"/>
    <x v="0"/>
    <x v="44"/>
    <s v="202309PJT"/>
    <x v="13"/>
    <s v="Phenotypic and Functional Characterization of Relapse-Fated Cells Present at Diagnosis in AML leading to improved therapeutic targeting and monitoring"/>
    <n v="1051875"/>
    <n v="0"/>
    <n v="0"/>
    <m/>
    <s v="5 yrs 0 mth "/>
    <x v="1"/>
    <s v="Cancer-Cancer Progression and Metastasis; Molecular, Cellular and Systems Biology-Cell Biology and Physiology"/>
    <x v="58"/>
    <d v="2029-06-30T00:00:00"/>
    <n v="1"/>
    <s v="Phenotypic, Functional, AML"/>
  </r>
  <r>
    <x v="1058"/>
    <s v="University Health Network (Toronto)"/>
    <x v="0"/>
    <x v="44"/>
    <s v="202403PJT"/>
    <x v="6"/>
    <s v="Disruption of the SPT-ADA-GCN5-ACETYLTRANSFERASE (SAGA) complex in adoptive cell therapies to enhance killing capacity and long-term immune cells effector function"/>
    <n v="860626"/>
    <n v="0"/>
    <n v="0"/>
    <m/>
    <s v="5 yrs 0 mth "/>
    <x v="1"/>
    <s v="Genetics-Genomics, Transcriptomics and Proteomics; Cancer-Cancer Drug Development and Therapeutics"/>
    <x v="54"/>
    <d v="2029-09-30T00:00:00"/>
    <n v="0"/>
    <s v="SAGA, cell therapies, immune cells"/>
  </r>
  <r>
    <x v="742"/>
    <s v="University Health Network (Toronto)"/>
    <x v="0"/>
    <x v="44"/>
    <s v="202403PJT"/>
    <x v="6"/>
    <s v="Nonsense Mediated RNA Decay Shapes the Expressed Transcriptome Required for Ovarian Cancer Progression"/>
    <n v="956250"/>
    <n v="0"/>
    <n v="0"/>
    <m/>
    <s v="5 yrs 0 mth "/>
    <x v="1"/>
    <s v="Cancer-Cancer Progression and Metastasis"/>
    <x v="54"/>
    <d v="2029-09-30T00:00:00"/>
    <n v="0"/>
    <s v="RNA decay, transcriptome, ovarian cancer"/>
  </r>
  <r>
    <x v="1094"/>
    <s v="University Health Network (Toronto)"/>
    <x v="0"/>
    <x v="44"/>
    <s v="202403PJT"/>
    <x v="14"/>
    <s v="Discovery of epigenetic determinants regulating stemness to target the eradication of human pre-leukemic and leukemic stem cells"/>
    <n v="1419942"/>
    <n v="0"/>
    <n v="0"/>
    <m/>
    <s v="5 yrs 0 mth "/>
    <x v="1"/>
    <s v="Cancer-Cancer Progression and Metastasis; Molecular, Cellular and Systems Biology-Molecular Biology"/>
    <x v="54"/>
    <d v="2029-09-30T00:00:00"/>
    <n v="0"/>
    <s v="epigenetic, stem cells, leukemia"/>
  </r>
  <r>
    <x v="533"/>
    <s v="University Health Network (Toronto)"/>
    <x v="0"/>
    <x v="44"/>
    <s v="202403PJT"/>
    <x v="14"/>
    <s v="Identification of tumour-reactive gamma delta T cell receptors to treat hematological malignancies."/>
    <n v="1147500"/>
    <n v="0"/>
    <n v="0"/>
    <m/>
    <s v="5 yrs 0 mth "/>
    <x v="1"/>
    <s v="Cancer-Cancer Drug Development and Therapeutics; Immunology and Infection-Transplantation, Immune Tolerance and Tumor Immunology"/>
    <x v="54"/>
    <d v="2029-09-30T00:00:00"/>
    <n v="0"/>
    <s v="gamma delta T, tumor-reactive, receptors"/>
  </r>
  <r>
    <x v="1095"/>
    <s v="University Health Network (Toronto)"/>
    <x v="0"/>
    <x v="44"/>
    <s v="202403PJT"/>
    <x v="13"/>
    <s v="Discovering pathways to drug tolerance and therapeutic vulnerabilities of persister cells in lung cancer"/>
    <n v="1292850"/>
    <n v="0"/>
    <n v="0"/>
    <m/>
    <s v="5 yrs 0 mth "/>
    <x v="1"/>
    <s v="Cancer-Cancer Drug Development and Therapeutics; Molecular, Cellular and Systems Biology-Cell Biology and Physiology; Cardiovascular, Respiratory and Circulatory Systems-Respiratory System Pathologies and Clinical Interventions"/>
    <x v="54"/>
    <d v="2029-09-30T00:00:00"/>
    <n v="0"/>
    <s v="drug tolerance, persister cells, lung cancer"/>
  </r>
  <r>
    <x v="570"/>
    <s v="University of Alberta"/>
    <x v="1"/>
    <x v="44"/>
    <s v="201710PJT"/>
    <x v="25"/>
    <s v="Targeting PDGFRa using PET Imaging to Diagnose Metastatic Papillary Thyroid Cancer and Improve Treatment"/>
    <n v="100000"/>
    <n v="0"/>
    <n v="0"/>
    <m/>
    <s v="1 yr 0 mth "/>
    <x v="1"/>
    <s v="Cancer-Cancer Drug Development and Therapeutics; Biomedical Engineering-Biomedical Imaging"/>
    <x v="17"/>
    <d v="2019-03-31T00:00:00"/>
    <n v="0"/>
    <s v="PDGFRa, PET imaging, thyroid cancer"/>
  </r>
  <r>
    <x v="1096"/>
    <s v="University of Alberta"/>
    <x v="1"/>
    <x v="44"/>
    <s v="201709PJT"/>
    <x v="12"/>
    <s v="Delivery platforms for treating perinatal brain injury"/>
    <n v="218025"/>
    <n v="0"/>
    <n v="0"/>
    <m/>
    <s v="3 yrs 0 mth "/>
    <x v="10"/>
    <s v="Biomedical Engineering-Biomaterials, Nanotechnology and Biomechanics"/>
    <x v="17"/>
    <d v="2021-03-31T00:00:00"/>
    <n v="0"/>
    <s v="delivery, brain injury, perinatal"/>
  </r>
  <r>
    <x v="568"/>
    <s v="University of Alberta"/>
    <x v="1"/>
    <x v="44"/>
    <s v="201709PJT"/>
    <x v="12"/>
    <s v="Engineering Biomimetic Gene Activated Matrices for Bone Tissue Regeneration"/>
    <n v="504900"/>
    <n v="0"/>
    <n v="0"/>
    <m/>
    <s v="4 yrs 0 mth "/>
    <x v="0"/>
    <s v="Biomedical Engineering-Regenerative Medicine and Tissue Engineering; Musculoskeletal Health-Bone, Skin and Cartilage Sciences; Pharmacological, Toxicological and Pharmaceutical Sciences-Drug Discovery, Design and Delivery"/>
    <x v="17"/>
    <d v="2022-03-31T00:00:00"/>
    <n v="0"/>
    <s v="Biomimetic, Gene Activated, Bone Tissue"/>
  </r>
  <r>
    <x v="1097"/>
    <s v="University of Alberta"/>
    <x v="1"/>
    <x v="44"/>
    <s v="201709PJT"/>
    <x v="11"/>
    <s v="Quantitative Magnetic Resonance Imaging of Pulmonary Edema: Application in Acute Heart Failure"/>
    <n v="608175"/>
    <n v="0"/>
    <n v="0"/>
    <m/>
    <s v="5 yrs 0 mth "/>
    <x v="11"/>
    <s v="Cardiovascular, Respiratory and Circulatory Systems-Cardiovascular and Circulatory Sciences; Biomedical Engineering-Biomedical Imaging"/>
    <x v="17"/>
    <d v="2023-03-31T00:00:00"/>
    <n v="0"/>
    <s v="Magnetic Resonance Imaging, Pulmonary Edema, Heart Failure"/>
  </r>
  <r>
    <x v="1098"/>
    <s v="University of Alberta"/>
    <x v="1"/>
    <x v="44"/>
    <s v="201804PJT"/>
    <x v="12"/>
    <s v="Enabling liver cryopreservation by controlling ice recrystallization with small molecule inhibitors"/>
    <n v="100000"/>
    <n v="0"/>
    <n v="0"/>
    <m/>
    <s v="1 yr 0 mth "/>
    <x v="7"/>
    <s v="Digestive, Endocrine and Excretory Systems-Gastroenterology and Hepatology; Pharmacological, Toxicological and Pharmaceutical Sciences-Drug Action, Toxicology and Metabolism; Biomedical Engineering-Regenerative Medicine and Tissue Engineering"/>
    <x v="47"/>
    <d v="2019-09-30T00:00:00"/>
    <n v="0"/>
    <s v="liver, cryopreservation, ice recrystallization"/>
  </r>
  <r>
    <x v="1098"/>
    <s v="University of Alberta"/>
    <x v="1"/>
    <x v="44"/>
    <s v="202010PJT"/>
    <x v="12"/>
    <s v="Enabling liver cryopreservation by controlling ice recrystallization with small molecule inhibitors"/>
    <n v="600524"/>
    <n v="0"/>
    <n v="0"/>
    <m/>
    <s v="4 yrs 0 mth "/>
    <x v="7"/>
    <s v="Digestive, Endocrine and Excretory Systems-Gastroenterology and Hepatology; Pharmacological, Toxicological and Pharmaceutical Sciences-Drug Action, Toxicology and Metabolism; Biomedical Engineering-Regenerative Medicine and Tissue Engineering"/>
    <x v="47"/>
    <d v="2019-09-30T00:00:00"/>
    <n v="0"/>
    <s v="liver, cryopreservation, ice recrystallization"/>
  </r>
  <r>
    <x v="573"/>
    <s v="University of Alberta"/>
    <x v="1"/>
    <x v="44"/>
    <s v="201803PJT"/>
    <x v="12"/>
    <s v="Cryobiology of Cardiomyocytes and Engineered Living Cardiac Tissue"/>
    <n v="711450"/>
    <n v="0"/>
    <n v="0"/>
    <m/>
    <s v="5 yrs 0 mth "/>
    <x v="11"/>
    <s v="Biomedical Engineering-Regenerative Medicine and Tissue Engineering; Cardiovascular, Respiratory and Circulatory Systems-Cardiovascular and Circulatory Sciences"/>
    <x v="47"/>
    <d v="2023-09-30T00:00:00"/>
    <n v="1"/>
    <s v="Cryobiology, Cardiomyocytes, Cardiac tissue"/>
  </r>
  <r>
    <x v="1099"/>
    <s v="University of Alberta"/>
    <x v="1"/>
    <x v="44"/>
    <s v="201803PJT"/>
    <x v="6"/>
    <s v="Cancer Therapy exploiting Conditional Synthetic Lethality based on Genotoxic Stress levels"/>
    <n v="918000"/>
    <n v="0"/>
    <n v="0"/>
    <m/>
    <s v="5 yrs 0 mth "/>
    <x v="1"/>
    <s v="Cancer-Cancer Drug Development and Therapeutics; Cancer-Mechanisms of Carcinogenesis"/>
    <x v="47"/>
    <d v="2023-09-30T00:00:00"/>
    <n v="0"/>
    <s v="Cancer, Synthetic Lethality, Genotoxic Stress"/>
  </r>
  <r>
    <x v="1100"/>
    <s v="University of Alberta"/>
    <x v="1"/>
    <x v="44"/>
    <s v="201803PJT"/>
    <x v="11"/>
    <s v="New Quantitative MRI for Human Stroke"/>
    <n v="768826"/>
    <n v="0"/>
    <n v="0"/>
    <m/>
    <s v="5 yrs 0 mth "/>
    <x v="11"/>
    <s v="Biomedical Engineering-Biomedical Imaging; Neurosciences-Neurological disorders"/>
    <x v="47"/>
    <d v="2023-09-30T00:00:00"/>
    <n v="0"/>
    <s v="MRI, Stroke"/>
  </r>
  <r>
    <x v="1101"/>
    <s v="University of Alberta"/>
    <x v="1"/>
    <x v="44"/>
    <s v="201809PJT"/>
    <x v="6"/>
    <s v="Chemokine-mediated control of anti-tumor immunity in DNA-repair deficient colorectal cancer"/>
    <n v="765000"/>
    <n v="0"/>
    <n v="0"/>
    <m/>
    <s v="5 yrs 0 mth "/>
    <x v="1"/>
    <s v="Cancer-Cancer Progression and Metastasis; Immunology and Infection-Transplantation, Immune Tolerance and Tumor Immunology"/>
    <x v="18"/>
    <d v="2024-03-31T00:00:00"/>
    <n v="1"/>
    <s v="Chemokine, DNA-repair, colorectal cancer"/>
  </r>
  <r>
    <x v="1102"/>
    <s v="University of Alberta"/>
    <x v="1"/>
    <x v="44"/>
    <s v="201809PJT"/>
    <x v="6"/>
    <s v="Structure-function relationships at DNA double-strand break repair centers"/>
    <n v="837675"/>
    <n v="0"/>
    <n v="0"/>
    <m/>
    <s v="5 yrs 0 mth "/>
    <x v="1"/>
    <s v="Cancer-Cancer Drug Development and Therapeutics"/>
    <x v="18"/>
    <d v="2024-03-31T00:00:00"/>
    <n v="0"/>
    <s v="DNA, double-strand break, repair"/>
  </r>
  <r>
    <x v="573"/>
    <s v="University of Alberta"/>
    <x v="1"/>
    <x v="44"/>
    <s v="201903PJT"/>
    <x v="12"/>
    <s v="Cryobiology and Cryopreservation of Corneal Endothelial Monolayers"/>
    <n v="703800"/>
    <n v="0"/>
    <n v="0"/>
    <m/>
    <s v="5 yrs 0 mth "/>
    <x v="3"/>
    <s v="Biomedical Engineering-Regenerative Medicine and Tissue Engineering"/>
    <x v="48"/>
    <d v="2024-09-30T00:00:00"/>
    <n v="0"/>
    <s v="Cryobiology, Cryopreservation, Corneal Endothelial"/>
  </r>
  <r>
    <x v="1103"/>
    <s v="University of Alberta"/>
    <x v="1"/>
    <x v="44"/>
    <s v="201909PJT"/>
    <x v="11"/>
    <s v="Photoacoustic Remote Sensing Virtual Histology for Tumor Margin Assessment"/>
    <n v="551542"/>
    <n v="0"/>
    <n v="0"/>
    <m/>
    <s v="4 yrs 0 mth "/>
    <x v="1"/>
    <s v="Biomedical Engineering-Biomedical Imaging"/>
    <x v="13"/>
    <d v="2024-03-31T00:00:00"/>
    <n v="1"/>
    <s v="Photoacoustic, Virtual Histology, Tumor Margin"/>
  </r>
  <r>
    <x v="564"/>
    <s v="University of Alberta"/>
    <x v="1"/>
    <x v="44"/>
    <s v="201909PJT"/>
    <x v="6"/>
    <s v="Polynucleotide kinase/phosphatase: its role in DNA strand break repair and a potential therapeutic target to enhance radio- and chemotherapy"/>
    <n v="940950"/>
    <n v="0"/>
    <n v="0"/>
    <m/>
    <s v="5 yrs 0 mth "/>
    <x v="1"/>
    <s v="Cancer-Cancer Drug Development and Therapeutics"/>
    <x v="13"/>
    <d v="2025-03-31T00:00:00"/>
    <n v="0"/>
    <s v="Polynucleotide kinase, DNA repair, chemotherapy"/>
  </r>
  <r>
    <x v="1104"/>
    <s v="University of Alberta"/>
    <x v="1"/>
    <x v="44"/>
    <s v="201909PJT"/>
    <x v="14"/>
    <s v="Targeting lysophosphatidate (LPA) signaling to improve therapeutic outcomes  for breast cancer patients"/>
    <n v="937125"/>
    <n v="0"/>
    <n v="0"/>
    <m/>
    <s v="5 yrs 0 mth "/>
    <x v="1"/>
    <s v="Cancer-Cancer Drug Development and Therapeutics"/>
    <x v="13"/>
    <d v="2025-03-31T00:00:00"/>
    <n v="0"/>
    <s v="lysophosphatidate, signaling, breast cancer"/>
  </r>
  <r>
    <x v="1105"/>
    <s v="University of Alberta"/>
    <x v="1"/>
    <x v="44"/>
    <s v="202003PJT"/>
    <x v="11"/>
    <s v="Towards the non-invasive, most accurate radiotherapy of mobile tumours in a hybrid linac-MR system"/>
    <n v="550800"/>
    <n v="0"/>
    <n v="0"/>
    <m/>
    <s v="5 yrs 0 mth "/>
    <x v="1"/>
    <s v="Cancer-Cancer Drug Development and Therapeutics; Biomedical Engineering-Biophysics, Medical Technologies and Instrumentation"/>
    <x v="49"/>
    <d v="2025-09-30T00:00:00"/>
    <n v="0"/>
    <s v="radiotherapy, mobile tumours, linac-MR"/>
  </r>
  <r>
    <x v="568"/>
    <s v="University of Alberta"/>
    <x v="1"/>
    <x v="44"/>
    <s v="202010PJT"/>
    <x v="12"/>
    <s v="Synthetic Biomaterials to Package and Deliver siRNA Nanoparticles in order to Curb Uncontrolled Growth of Leukemic Cells"/>
    <n v="757350"/>
    <n v="0"/>
    <n v="0"/>
    <m/>
    <s v="5 yrs 0 mth "/>
    <x v="1"/>
    <s v="Biomedical Engineering-Biomaterials, Nanotechnology and Biomechanics; Cancer-Cancer Drug Development and Therapeutics; Genetics-Molecular and Functional Genetics and Epigenetics"/>
    <x v="50"/>
    <d v="2026-03-31T00:00:00"/>
    <n v="0"/>
    <s v="biomaterials, siRNA, nanoparticles"/>
  </r>
  <r>
    <x v="1106"/>
    <s v="University of Alberta"/>
    <x v="1"/>
    <x v="44"/>
    <s v="202104PJT"/>
    <x v="12"/>
    <s v="Peptide decorated magnetic nanoparticle strategies for minimally invasive targeting and removing exfoliation materials from the anterior lens capsule"/>
    <n v="589050"/>
    <n v="0"/>
    <n v="0"/>
    <m/>
    <s v="5 yrs 0 mth "/>
    <x v="6"/>
    <s v="Biomedical Engineering-Biomaterials, Nanotechnology and Biomechanics"/>
    <x v="45"/>
    <d v="2026-09-30T00:00:00"/>
    <n v="1"/>
    <s v="peptide, magnetic nanoparticle, lens capsule"/>
  </r>
  <r>
    <x v="1107"/>
    <s v="University of Alberta"/>
    <x v="1"/>
    <x v="44"/>
    <s v="202104PJT"/>
    <x v="6"/>
    <s v="Investigating the cell-based activity of a new class of cytotoxic T-lymphocyte antigen-4 (CTLA-4) small molecule inhibitors"/>
    <n v="508726"/>
    <n v="0"/>
    <n v="0"/>
    <m/>
    <s v="5 yrs 0 mth "/>
    <x v="1"/>
    <s v="Immunology and Infection-Immunology and Autoimmune Diseases (including rheumatology)"/>
    <x v="45"/>
    <d v="2026-09-30T00:00:00"/>
    <n v="0"/>
    <s v="cytotoxic T-lymphocyte, CTLA-4, small molecule"/>
  </r>
  <r>
    <x v="1108"/>
    <s v="University of Alberta"/>
    <x v="1"/>
    <x v="44"/>
    <s v="202104PJT"/>
    <x v="11"/>
    <s v="Quantitative Imaging of the Evolution of the Whole-Body Fat Profile in Breast Cancer Survivors"/>
    <n v="755440"/>
    <n v="0"/>
    <n v="0"/>
    <m/>
    <s v="5 yrs 0 mth "/>
    <x v="1"/>
    <s v="Biomedical Engineering-Biomedical Imaging"/>
    <x v="45"/>
    <d v="2026-09-30T00:00:00"/>
    <n v="1"/>
    <s v="Imaging, Fat Profile, Breast Cancer"/>
  </r>
  <r>
    <x v="1109"/>
    <s v="University of Alberta"/>
    <x v="1"/>
    <x v="44"/>
    <s v="202309PJT"/>
    <x v="14"/>
    <s v="Erythroid progenitors and precursors impair tumor immunogenicity and promote tumour progression in breast cancer"/>
    <n v="749700"/>
    <n v="0"/>
    <n v="0"/>
    <m/>
    <s v="5 yrs 0 mth "/>
    <x v="1"/>
    <s v="Cancer-Cancer Progression and Metastasis"/>
    <x v="59"/>
    <d v="2023-02-28T00:00:00"/>
    <n v="0"/>
    <s v="erythroid progenitors, tumor immunogenicity, breast cancer"/>
  </r>
  <r>
    <x v="565"/>
    <s v="University of Alberta"/>
    <x v="1"/>
    <x v="44"/>
    <s v="202109PJT"/>
    <x v="11"/>
    <s v="Relaxation Mapping for the Clinic: Application to Multiple Sclerosis"/>
    <n v="753525"/>
    <n v="0"/>
    <n v="0"/>
    <m/>
    <s v="5 yrs 0 mth "/>
    <x v="3"/>
    <s v="Biomedical Engineering-Biomedical Imaging; Methods Development and Modelling-Quantitative Methods Development for Health Research; Neurosciences-Neurological disorders"/>
    <x v="51"/>
    <d v="2027-03-31T00:00:00"/>
    <n v="0"/>
    <s v="Relaxation, Mapping, Multiple Sclerosis"/>
  </r>
  <r>
    <x v="1110"/>
    <s v="University of Alberta"/>
    <x v="1"/>
    <x v="44"/>
    <s v="202203PJT"/>
    <x v="6"/>
    <s v="The Role of CSF2RB1 Ligands in Cancer-Associated Cachexia"/>
    <n v="918000"/>
    <n v="0"/>
    <n v="0"/>
    <m/>
    <s v="5 yrs 0 mth "/>
    <x v="1"/>
    <s v="Cancer-Cancer Progression and Metastasis; Musculoskeletal Health-Skeletal Muscle Biology and Physiology; Immunology and Infection-Immunology and Autoimmune Diseases (including rheumatology)"/>
    <x v="37"/>
    <d v="2027-09-30T00:00:00"/>
    <n v="0"/>
    <s v="CSF2RB1, Ligands, Cancer-Associated Cachexia"/>
  </r>
  <r>
    <x v="1101"/>
    <s v="University of Alberta"/>
    <x v="1"/>
    <x v="44"/>
    <s v="202209PJT"/>
    <x v="6"/>
    <s v="Harnessing dendritic cells to regulate antitumor immunity in colorectal cancer"/>
    <n v="956250"/>
    <n v="0"/>
    <n v="0"/>
    <m/>
    <s v="5 yrs 0 mth "/>
    <x v="1"/>
    <s v="Cancer-Mechanisms of Carcinogenesis; Immunology and Infection-Transplantation, Immune Tolerance and Tumor Immunology; Cancer-Cancer Progression and Metastasis"/>
    <x v="52"/>
    <d v="2028-03-31T00:00:00"/>
    <n v="0"/>
    <s v="dendritic cells, antitumor immunity, colorectal cancer"/>
  </r>
  <r>
    <x v="1097"/>
    <s v="University of Alberta"/>
    <x v="1"/>
    <x v="44"/>
    <s v="202403PJT"/>
    <x v="11"/>
    <s v="Imaging of Long Term Tissue Damage from COVID-19 and Cardiometabolic Disease"/>
    <n v="887400"/>
    <n v="0"/>
    <n v="0"/>
    <m/>
    <s v="5 yrs 0 mth "/>
    <x v="11"/>
    <s v="Biomedical Engineering-Biomedical Imaging; Musculoskeletal Health-Skeletal Muscle Biology and Physiology"/>
    <x v="54"/>
    <d v="2029-09-30T00:00:00"/>
    <n v="0"/>
    <s v="Imaging, Tissue Damage, COVID-19"/>
  </r>
  <r>
    <x v="1111"/>
    <s v="University of Alberta"/>
    <x v="1"/>
    <x v="44"/>
    <s v="202109PJT"/>
    <x v="6"/>
    <s v="Probing the Role of Glycans in Immunooncology using Genetically Encoded &quot;Liquid Glycan Arrays&quot;"/>
    <n v="944775"/>
    <n v="0"/>
    <n v="0"/>
    <m/>
    <s v="5 yrs 0 mth "/>
    <x v="1"/>
    <s v="Cancer-Cancer Drug Development and Therapeutics"/>
    <x v="51"/>
    <d v="2027-03-31T00:00:00"/>
    <n v="0"/>
    <s v="Glycans, Immunooncology, Arrays"/>
  </r>
  <r>
    <x v="1112"/>
    <s v="University of British Columbia"/>
    <x v="3"/>
    <x v="44"/>
    <s v="201710PJT"/>
    <x v="12"/>
    <s v="Development, assessment and application of a new method for characterizing degenerative lumbar spondylolisthesis in the symptomatic upright posture."/>
    <n v="100000"/>
    <n v="0"/>
    <n v="0"/>
    <m/>
    <s v="1 yr 0 mth "/>
    <x v="0"/>
    <s v="Biomedical Engineering-Biomaterials, Nanotechnology and Biomechanics; Biomedical Engineering-Biomedical Imaging"/>
    <x v="17"/>
    <d v="2019-03-31T00:00:00"/>
    <n v="0"/>
    <s v="lumbar spondylolisthesis, degenerative, characterization"/>
  </r>
  <r>
    <x v="1113"/>
    <s v="University of British Columbia"/>
    <x v="3"/>
    <x v="44"/>
    <s v="201709PJT"/>
    <x v="23"/>
    <s v="Design and evaluation of small molecules that target the dimerization interface of full-length and splice-variant forms of the androgen receptor as a potential treatment for advanced prostate cancer"/>
    <n v="459000"/>
    <n v="0"/>
    <n v="0"/>
    <m/>
    <s v="3 yrs 0 mth "/>
    <x v="1"/>
    <s v="Cancer-Cancer Drug Development and Therapeutics"/>
    <x v="17"/>
    <d v="2021-03-31T00:00:00"/>
    <n v="2"/>
    <s v="small molecules, androgen receptor, prostate cancer"/>
  </r>
  <r>
    <x v="616"/>
    <s v="University of British Columbia"/>
    <x v="3"/>
    <x v="44"/>
    <s v="201709PJT"/>
    <x v="13"/>
    <s v="Interference with Gli to Control Castration Resistant Prostate Cancer"/>
    <n v="344250"/>
    <n v="0"/>
    <n v="0"/>
    <m/>
    <s v="3 yrs 0 mth "/>
    <x v="1"/>
    <s v="Cancer-Cancer Drug Development and Therapeutics; Sex-and-Gender Health-Sex Differences in Cells, Tissues and Animals"/>
    <x v="17"/>
    <d v="2021-03-31T00:00:00"/>
    <n v="0"/>
    <s v="Gli, prostate cancer, interference"/>
  </r>
  <r>
    <x v="1114"/>
    <s v="University of British Columbia"/>
    <x v="3"/>
    <x v="44"/>
    <s v="201709PJT"/>
    <x v="13"/>
    <s v="Engineering T cells to overcome an immunosuppressive solid tumour microenvironment"/>
    <n v="150000"/>
    <n v="0"/>
    <n v="0"/>
    <m/>
    <s v="3 yrs 0 mth "/>
    <x v="1"/>
    <s v="Immunology and Infection-Transplantation, Immune Tolerance and Tumor Immunology; Molecular, Cellular and Systems Biology-Molecular Biology"/>
    <x v="17"/>
    <d v="2021-03-31T00:00:00"/>
    <n v="0"/>
    <s v="T cells, immunosuppressive, tumour"/>
  </r>
  <r>
    <x v="1115"/>
    <s v="University of British Columbia"/>
    <x v="3"/>
    <x v="44"/>
    <s v="201709PJT"/>
    <x v="13"/>
    <s v="Predicting therapy resistance in castration-resistant prostate cancer with circulating tumor DNA"/>
    <n v="516375"/>
    <n v="0"/>
    <n v="0"/>
    <m/>
    <s v="3 yrs 0 mth "/>
    <x v="1"/>
    <s v="Cancer-Cancer Progression and Metastasis"/>
    <x v="17"/>
    <d v="2021-03-31T00:00:00"/>
    <n v="0"/>
    <s v="therapy resistance, circulating tumor DNA, prostate cancer"/>
  </r>
  <r>
    <x v="596"/>
    <s v="University of British Columbia"/>
    <x v="3"/>
    <x v="44"/>
    <s v="201709PJT"/>
    <x v="13"/>
    <s v="Alpha-amanitin: synthetic derivatives for applications in targeted therapy"/>
    <n v="405452"/>
    <n v="0"/>
    <n v="0"/>
    <m/>
    <s v="4 yrs 0 mth "/>
    <x v="1"/>
    <s v="Pharmacological, Toxicological and Pharmaceutical Sciences-Drug Action, Toxicology and Metabolism; Pharmacological, Toxicological and Pharmaceutical Sciences-Drug Discovery, Design and Delivery; Cancer-Cancer Drug Development and Therapeutics; Medicinal Chemistry"/>
    <x v="17"/>
    <d v="2022-03-31T00:00:00"/>
    <n v="6"/>
    <s v="alpha-amanitin, synthetic derivatives, targeted therapy"/>
  </r>
  <r>
    <x v="1116"/>
    <s v="University of British Columbia"/>
    <x v="3"/>
    <x v="44"/>
    <s v="201903PJT"/>
    <x v="12"/>
    <s v="Development, assessment and application of a new method for characterizing degenerative lumbar spondylolisthesis in the symptomatic upright posture."/>
    <n v="550800"/>
    <n v="0"/>
    <n v="0"/>
    <m/>
    <s v="4 yrs 0 mth "/>
    <x v="0"/>
    <s v="Biomedical Engineering-Biomaterials, Nanotechnology and Biomechanics; Biomedical Engineering-Biomedical Imaging"/>
    <x v="17"/>
    <d v="2019-03-31T00:00:00"/>
    <n v="0"/>
    <s v="lumbar spondylolisthesis, degenerative, characterization"/>
  </r>
  <r>
    <x v="624"/>
    <s v="University of British Columbia"/>
    <x v="3"/>
    <x v="44"/>
    <s v="201709PJT"/>
    <x v="23"/>
    <s v="Identifying infection-induced determinants of paediatric acute lymphoblastic leukaemia progression"/>
    <n v="688500"/>
    <n v="0"/>
    <n v="0"/>
    <m/>
    <s v="5 yrs 0 mth "/>
    <x v="1"/>
    <s v="Cancer-Cancer Progression and Metastasis; Immunology and Infection-Transplantation, Immune Tolerance and Tumor Immunology; Health Determinants-Etiology of Disease and Conditions"/>
    <x v="17"/>
    <d v="2023-03-31T00:00:00"/>
    <n v="0"/>
    <s v="infection, lymphoblastic leukaemia, paediatric"/>
  </r>
  <r>
    <x v="615"/>
    <s v="University of British Columbia"/>
    <x v="3"/>
    <x v="44"/>
    <s v="201709PJT"/>
    <x v="14"/>
    <s v="Targeting Key Autophagy Proteins/Pathways for Treatment of Human Leukemia"/>
    <n v="787950"/>
    <n v="0"/>
    <n v="0"/>
    <m/>
    <s v="5 yrs 0 mth "/>
    <x v="1"/>
    <s v="Cancer-Cancer Drug Development and Therapeutics"/>
    <x v="17"/>
    <d v="2023-03-31T00:00:00"/>
    <n v="0"/>
    <s v="Autophagy, Proteins, Leukemia"/>
  </r>
  <r>
    <x v="1117"/>
    <s v="University of British Columbia"/>
    <x v="3"/>
    <x v="44"/>
    <s v="201803PJT"/>
    <x v="12"/>
    <s v="Novel 3D personalized bladder cancer model on demand: A new era for personalized medicine."/>
    <n v="248625"/>
    <n v="0"/>
    <n v="0"/>
    <m/>
    <s v="2 yrs 0 mth "/>
    <x v="1"/>
    <s v="Biomedical Engineering-Regenerative Medicine and Tissue Engineering; Cancer-Cancer Drug Development and Therapeutics"/>
    <x v="47"/>
    <d v="2021-09-30T00:00:00"/>
    <n v="0"/>
    <s v="3D, bladder cancer, personalized"/>
  </r>
  <r>
    <x v="622"/>
    <s v="University of British Columbia"/>
    <x v="3"/>
    <x v="44"/>
    <s v="201803PJT"/>
    <x v="6"/>
    <s v="Hypoxia in tumour-draining lymph nodes as an indication of immune activation and immunotherapy response"/>
    <n v="956250"/>
    <n v="0"/>
    <n v="0"/>
    <m/>
    <s v="5 yrs 0 mth "/>
    <x v="1"/>
    <s v="Cancer-Cancer Progression and Metastasis; Cancer-Cancer Drug Development and Therapeutics"/>
    <x v="47"/>
    <d v="2023-09-30T00:00:00"/>
    <n v="0"/>
    <s v="hypoxia, lymph nodes, immunotherapy"/>
  </r>
  <r>
    <x v="1118"/>
    <s v="University of British Columbia"/>
    <x v="3"/>
    <x v="44"/>
    <s v="201803PJT"/>
    <x v="23"/>
    <s v="Hormone therapy induces reprogramming to drive aggressive prostate cancer"/>
    <n v="669376"/>
    <n v="0"/>
    <n v="0"/>
    <m/>
    <s v="5 yrs 0 mth "/>
    <x v="1"/>
    <s v="Cancer-Mechanisms of Carcinogenesis; Cancer-Cancer Drug Development and Therapeutics"/>
    <x v="47"/>
    <d v="2023-09-30T00:00:00"/>
    <n v="0"/>
    <s v="hormone therapy, reprogramming, prostate cancer"/>
  </r>
  <r>
    <x v="1119"/>
    <s v="University of British Columbia"/>
    <x v="3"/>
    <x v="44"/>
    <s v="201803PJT"/>
    <x v="11"/>
    <s v="Multi-centre Temporal Ultrasound Image Analysis for Prostate Cancer Diagnosis"/>
    <n v="1158976"/>
    <n v="0"/>
    <n v="0"/>
    <m/>
    <s v="5 yrs 0 mth "/>
    <x v="1"/>
    <s v="Biomedical Engineering-Biomedical Imaging"/>
    <x v="47"/>
    <d v="2023-09-30T00:00:00"/>
    <n v="2"/>
    <s v="Ultrasound, Image Analysis, Prostate Cancer"/>
  </r>
  <r>
    <x v="1120"/>
    <s v="University of British Columbia"/>
    <x v="3"/>
    <x v="44"/>
    <s v="201809PJT"/>
    <x v="11"/>
    <s v="Quantitative PSMA Targeted Imaging of Prostate Cancer Patients"/>
    <n v="631124"/>
    <n v="0"/>
    <n v="0"/>
    <m/>
    <s v="4 yrs 0 mth "/>
    <x v="1"/>
    <s v="Biomedical Engineering-Biomedical Imaging; Cancer-Cancer Progression and Metastasis"/>
    <x v="18"/>
    <d v="2023-03-31T00:00:00"/>
    <n v="0"/>
    <s v="PSMA, Imaging, Prostate Cancer"/>
  </r>
  <r>
    <x v="632"/>
    <s v="University of British Columbia"/>
    <x v="3"/>
    <x v="44"/>
    <s v="201809PJT"/>
    <x v="6"/>
    <s v="Role of inflammation during the genesis of intraductal papillary mucinous neoplasia associated pancreatic ductal adenocarcinoma"/>
    <n v="1090125"/>
    <n v="0"/>
    <n v="0"/>
    <m/>
    <s v="5 yrs 0 mth "/>
    <x v="1"/>
    <s v="Cancer-Cancer Progression and Metastasis"/>
    <x v="18"/>
    <d v="2024-03-31T00:00:00"/>
    <n v="0"/>
    <s v="inflammation, intraductal papillary mucinous neoplasia, pancreatic ductal adenocarcinoma"/>
  </r>
  <r>
    <x v="582"/>
    <s v="University of British Columbia"/>
    <x v="3"/>
    <x v="44"/>
    <s v="201809PJT"/>
    <x v="23"/>
    <s v="Function and therapeutic potential of SUV420H2 in neuroendocrine prostate cancer"/>
    <n v="956250"/>
    <n v="0"/>
    <n v="0"/>
    <m/>
    <s v="5 yrs 0 mth "/>
    <x v="1"/>
    <s v="Cancer-Cancer Progression and Metastasis"/>
    <x v="18"/>
    <d v="2024-03-31T00:00:00"/>
    <n v="0"/>
    <s v="SUV420H2, neuroendocrine, prostate cancer"/>
  </r>
  <r>
    <x v="1121"/>
    <s v="University of British Columbia"/>
    <x v="3"/>
    <x v="44"/>
    <s v="201903PJT"/>
    <x v="11"/>
    <s v="Omics, Histopathology and AI: An Integrative Approach for Biomarker Discovery in Ovarian Cancer"/>
    <n v="822376"/>
    <n v="0"/>
    <n v="0"/>
    <m/>
    <s v="3 yrs 0 mth "/>
    <x v="1"/>
    <s v="Biomedical Engineering-Biomedical Imaging; Genetics-Genomics, Transcriptomics and Proteomics; Methods Development and Modelling-Quantitative Methods Development for Health Research"/>
    <x v="48"/>
    <d v="2022-09-30T00:00:00"/>
    <n v="0"/>
    <s v="Omics, Histopathology, AI"/>
  </r>
  <r>
    <x v="1122"/>
    <s v="University of British Columbia"/>
    <x v="3"/>
    <x v="44"/>
    <s v="201903PJT"/>
    <x v="12"/>
    <s v="Treating advanced retinal degeneration - rebuilding multiple co-dependent retinal layers with stem cells"/>
    <n v="856800"/>
    <n v="0"/>
    <n v="0"/>
    <m/>
    <s v="4 yrs 0 mth "/>
    <x v="6"/>
    <s v="Biomedical Engineering-Regenerative Medicine and Tissue Engineering; Biomedical Engineering-Biophysics, Medical Technologies and Instrumentation; Biomedical Engineering-Biomaterials, Nanotechnology and Biomechanics; Biomedical Imaging"/>
    <x v="48"/>
    <d v="2023-09-30T00:00:00"/>
    <n v="0"/>
    <s v="retinal degeneration, stem cells, retinal layers"/>
  </r>
  <r>
    <x v="1123"/>
    <s v="University of British Columbia"/>
    <x v="3"/>
    <x v="44"/>
    <s v="201903PJT"/>
    <x v="11"/>
    <s v="Multiphoton Photothermolysis Based Laser Therapy for Precision Treatment of Neovascular Eye Diseases"/>
    <n v="711451"/>
    <n v="0"/>
    <n v="0"/>
    <m/>
    <s v="4 yrs 0 mth "/>
    <x v="3"/>
    <s v="Biomedical Engineering-Biophysics, Medical Technologies and Instrumentation; Biomedical Engineering-Biomedical Imaging; Neurosciences-Sensory Systems (including visual, auditory and pain)"/>
    <x v="48"/>
    <d v="2023-09-30T00:00:00"/>
    <n v="0"/>
    <s v="Multiphoton, Photothermolysis, Laser"/>
  </r>
  <r>
    <x v="1124"/>
    <s v="University of British Columbia"/>
    <x v="3"/>
    <x v="44"/>
    <s v="201903PJT"/>
    <x v="23"/>
    <s v="Targeting ovarian carcinoma using the cell surface glycoprotein podocalyxin."/>
    <n v="963900"/>
    <n v="0"/>
    <n v="0"/>
    <m/>
    <s v="5 yrs 0 mth "/>
    <x v="1"/>
    <s v="Cancer-Cancer Drug Development and Therapeutics"/>
    <x v="48"/>
    <d v="2024-09-30T00:00:00"/>
    <n v="1"/>
    <s v="ovarian carcinoma, glycoprotein, podocalyxin"/>
  </r>
  <r>
    <x v="1125"/>
    <s v="University of British Columbia"/>
    <x v="3"/>
    <x v="44"/>
    <s v="201903PJT"/>
    <x v="11"/>
    <s v="Imaging markers for tissue damage and disease progression in MS"/>
    <n v="707626"/>
    <n v="0"/>
    <n v="0"/>
    <m/>
    <s v="5 yrs 0 mth "/>
    <x v="3"/>
    <s v="Biomedical Engineering-Biomedical Imaging; Neurosciences-Neurological disorders; Immunology and Infection-Immunology and Autoimmune Diseases (including rheumatology)"/>
    <x v="48"/>
    <d v="2024-09-30T00:00:00"/>
    <n v="0"/>
    <s v="imaging, markers, tissue damage"/>
  </r>
  <r>
    <x v="1126"/>
    <s v="University of British Columbia"/>
    <x v="3"/>
    <x v="44"/>
    <s v="201909PJT"/>
    <x v="23"/>
    <s v="The effects of smoking marijuana on lung cancer development: implications for screening and early detection."/>
    <n v="688500"/>
    <n v="0"/>
    <n v="0"/>
    <m/>
    <s v="3 yrs 0 mth "/>
    <x v="1"/>
    <s v="Cancer-Cancer Progression and Metastasis; Cancer-Mechanisms of Carcinogenesis"/>
    <x v="13"/>
    <d v="2023-03-31T00:00:00"/>
    <n v="0"/>
    <s v="marijuana, lung cancer, screening"/>
  </r>
  <r>
    <x v="1127"/>
    <s v="University of British Columbia"/>
    <x v="3"/>
    <x v="44"/>
    <s v="201909PJT"/>
    <x v="23"/>
    <s v="Mechanisms by which hyperinsulinemia promotes pancreatic cancer"/>
    <n v="1090125"/>
    <n v="0"/>
    <n v="0"/>
    <m/>
    <s v="5 yrs 0 mth "/>
    <x v="1"/>
    <s v="Cancer-Mechanisms of Carcinogenesis"/>
    <x v="13"/>
    <d v="2025-03-31T00:00:00"/>
    <n v="2"/>
    <s v="hyperinsulinemia, pancreatic cancer"/>
  </r>
  <r>
    <x v="615"/>
    <s v="University of British Columbia"/>
    <x v="3"/>
    <x v="44"/>
    <s v="201909PJT"/>
    <x v="13"/>
    <s v="Targeting a novel miR-185/PAK6 axis to overcome drug-resistance in human leukemia"/>
    <n v="902700"/>
    <n v="0"/>
    <n v="0"/>
    <m/>
    <s v="5 yrs 0 mth "/>
    <x v="1"/>
    <s v="Cancer-Cancer Drug Development and Therapeutics"/>
    <x v="13"/>
    <d v="2025-03-31T00:00:00"/>
    <n v="0"/>
    <s v="miR-185, PAK6, leukemia"/>
  </r>
  <r>
    <x v="1128"/>
    <s v="University of British Columbia"/>
    <x v="3"/>
    <x v="44"/>
    <s v="201909PJT"/>
    <x v="13"/>
    <s v="Tumour microenvironment mediated cell surface shedding creates unique targets and markers"/>
    <n v="952425"/>
    <n v="0"/>
    <n v="0"/>
    <m/>
    <s v="5 yrs 0 mth "/>
    <x v="1"/>
    <s v="Cancer-Cancer Drug Development and Therapeutics; Cancer-Pediatric Cancer; Genetics-Genomics, Transcriptomics and Proteomics"/>
    <x v="13"/>
    <d v="2025-03-31T00:00:00"/>
    <n v="0"/>
    <s v="tumour, microenvironment, cell surface"/>
  </r>
  <r>
    <x v="598"/>
    <s v="University of British Columbia"/>
    <x v="3"/>
    <x v="44"/>
    <s v="201909PJT"/>
    <x v="13"/>
    <s v="Mechanisms of B cell-mediated immunity in human cancer"/>
    <n v="1193400"/>
    <n v="0"/>
    <n v="0"/>
    <m/>
    <s v="5 yrs 0 mth "/>
    <x v="1"/>
    <s v="Cancer-Cancer Progression and Metastasis; Immunology and Infection-Transplantation, Immune Tolerance and Tumor Immunology"/>
    <x v="13"/>
    <d v="2025-03-31T00:00:00"/>
    <n v="6"/>
    <s v="B cell, immunity, cancer"/>
  </r>
  <r>
    <x v="1118"/>
    <s v="University of British Columbia"/>
    <x v="3"/>
    <x v="44"/>
    <s v="201909PJT"/>
    <x v="13"/>
    <s v="The role of the lineage oncogene ASCL1 in treatment-induced neuroendocrine prostate cancer"/>
    <n v="841500"/>
    <n v="0"/>
    <n v="0"/>
    <m/>
    <s v="5 yrs 0 mth "/>
    <x v="1"/>
    <s v="Cancer-Cancer Progression and Metastasis"/>
    <x v="13"/>
    <d v="2025-03-31T00:00:00"/>
    <n v="0"/>
    <s v="ASCL1, neuroendocrine, prostate cancer"/>
  </r>
  <r>
    <x v="1129"/>
    <s v="University of British Columbia"/>
    <x v="3"/>
    <x v="44"/>
    <s v="202003PJT"/>
    <x v="23"/>
    <s v="Identification of HOXB13 inhibitors to treat castrate-resistant prostate cancer"/>
    <n v="413100"/>
    <n v="0"/>
    <n v="0"/>
    <m/>
    <s v="3 yrs 0 mth "/>
    <x v="1"/>
    <s v="Cancer-Cancer Drug Development and Therapeutics; Cancer-Mechanisms of Carcinogenesis"/>
    <x v="49"/>
    <d v="2023-09-30T00:00:00"/>
    <n v="0"/>
    <s v="HOXB13, inhibitors, prostate cancer"/>
  </r>
  <r>
    <x v="582"/>
    <s v="University of British Columbia"/>
    <x v="3"/>
    <x v="44"/>
    <s v="202003PJT"/>
    <x v="23"/>
    <s v="The role of PRDM16 in neuroendocrine prostate cancer development and aggressiveness"/>
    <n v="765000"/>
    <n v="0"/>
    <n v="0"/>
    <m/>
    <s v="4 yrs 0 mth "/>
    <x v="1"/>
    <s v="Cancer-Cancer Progression and Metastasis"/>
    <x v="49"/>
    <d v="2024-09-30T00:00:00"/>
    <n v="0"/>
    <s v="PRDM16, neuroendocrine, prostate cancer"/>
  </r>
  <r>
    <x v="1130"/>
    <s v="University of British Columbia"/>
    <x v="3"/>
    <x v="44"/>
    <s v="202003PJT"/>
    <x v="12"/>
    <s v="Novel endothelial engineering and localized immunosuppression approaches for the protection of organ transplants"/>
    <n v="918000"/>
    <n v="0"/>
    <n v="0"/>
    <m/>
    <s v="5 yrs 0 mth "/>
    <x v="7"/>
    <s v="Biomedical Engineering-Biomaterials, Nanotechnology and Biomechanics; Biomedical Engineering-Regenerative Medicine and Tissue Engineering"/>
    <x v="49"/>
    <d v="2025-09-30T00:00:00"/>
    <n v="1"/>
    <s v="endothelial, immunosuppression, transplants"/>
  </r>
  <r>
    <x v="1120"/>
    <s v="University of British Columbia"/>
    <x v="3"/>
    <x v="44"/>
    <s v="202003PJT"/>
    <x v="11"/>
    <s v="Improved Assessment of Disease in Lymphoma Patients using Quantitative PET Imaging"/>
    <n v="898876"/>
    <n v="0"/>
    <n v="0"/>
    <m/>
    <s v="5 yrs 0 mth "/>
    <x v="1"/>
    <s v="Biomedical Engineering-Biomedical Imaging; Cancer-Cancer Progression and Metastasis; Artificial Intelligence-Machine Learning"/>
    <x v="49"/>
    <d v="2025-09-30T00:00:00"/>
    <n v="0"/>
    <s v="Lymphoma, PET imaging, Quantitative"/>
  </r>
  <r>
    <x v="1131"/>
    <s v="University of British Columbia"/>
    <x v="3"/>
    <x v="44"/>
    <s v="202010PJT"/>
    <x v="12"/>
    <s v="Materials and Technologies for Highly Sensitive Biomarker Analysis of Extracellular Vesicles Toward Cancer Diagnostics"/>
    <n v="367200"/>
    <n v="0"/>
    <n v="0"/>
    <m/>
    <s v="3 yrs 0 mth "/>
    <x v="1"/>
    <s v="Biomedical Engineering-Biomaterials, Nanotechnology and Biomechanics; Methods Development and Modelling-Quantitative Methods Development for Health Research"/>
    <x v="50"/>
    <d v="2024-03-31T00:00:00"/>
    <n v="0"/>
    <s v="Biomarker, Extracellular Vesicles, Cancer"/>
  </r>
  <r>
    <x v="1114"/>
    <s v="University of British Columbia"/>
    <x v="3"/>
    <x v="44"/>
    <s v="202010PJT"/>
    <x v="6"/>
    <s v="Lentiviral infusion as a universal approach for genetically modified immune effector cell therapies."/>
    <n v="642600"/>
    <n v="0"/>
    <n v="0"/>
    <m/>
    <s v="4 yrs 0 mth "/>
    <x v="1"/>
    <s v="Cancer-Cancer Drug Development and Therapeutics; Immunology and Infection-Transplantation, Immune Tolerance and Tumor Immunology; Genetics-Bioinformatics"/>
    <x v="50"/>
    <d v="2025-03-31T00:00:00"/>
    <n v="0"/>
    <s v="Lentiviral, infusion, immune effector cells"/>
  </r>
  <r>
    <x v="1132"/>
    <s v="University of British Columbia"/>
    <x v="3"/>
    <x v="44"/>
    <s v="202010PJT"/>
    <x v="23"/>
    <s v="Uncovering early mediators of lineage plasticity and validation of a metabolic vulnerability in neuroendocrine prostate cancer"/>
    <n v="1147500"/>
    <n v="0"/>
    <n v="0"/>
    <m/>
    <s v="5 yrs 0 mth "/>
    <x v="1"/>
    <s v="Cancer-Cancer Progression and Metastasis; Molecular, Cellular and Systems Biology-Molecular Biology"/>
    <x v="50"/>
    <d v="2026-03-31T00:00:00"/>
    <n v="0"/>
    <s v="lineage plasticity, metabolic vulnerability, neuroendocrine prostate cancer"/>
  </r>
  <r>
    <x v="617"/>
    <s v="University of British Columbia"/>
    <x v="3"/>
    <x v="44"/>
    <s v="202010PJT"/>
    <x v="14"/>
    <s v="Somatic mutations in the JAK-STAT and IRF signaling pathways in Non-Hodgkin lymphoma"/>
    <n v="1120725"/>
    <n v="0"/>
    <n v="0"/>
    <m/>
    <s v="5 yrs 0 mth "/>
    <x v="1"/>
    <s v="Cancer-Cancer Progression and Metastasis; Molecular, Cellular and Systems Biology-Cell Signaling; Genetics-Genomics, Transcriptomics and Proteomics"/>
    <x v="50"/>
    <d v="2026-03-31T00:00:00"/>
    <n v="0"/>
    <s v="JAK-STAT, IRF, lymphoma"/>
  </r>
  <r>
    <x v="1133"/>
    <s v="University of British Columbia"/>
    <x v="3"/>
    <x v="44"/>
    <s v="202010PJT"/>
    <x v="11"/>
    <s v="Prostate cancer risk stratification for active surveillance using computer-aided analysis of histopathology and transcriptomics"/>
    <n v="906525"/>
    <n v="0"/>
    <n v="0"/>
    <m/>
    <s v="5 yrs 0 mth "/>
    <x v="1"/>
    <s v="Cancer-Clinical Oncology; Artificial Intelligence-Machine Learning; Genetics-Genomics, Transcriptomics and Proteomics"/>
    <x v="50"/>
    <d v="2026-03-31T00:00:00"/>
    <n v="0"/>
    <s v="prostate cancer, histopathology, transcriptomics"/>
  </r>
  <r>
    <x v="1134"/>
    <s v="University of British Columbia"/>
    <x v="3"/>
    <x v="44"/>
    <s v="202104PJT"/>
    <x v="13"/>
    <s v="Genomic dissection of de novo metastatic prostate cancer prior to treatment"/>
    <n v="734400"/>
    <n v="0"/>
    <n v="0"/>
    <m/>
    <s v="3 yrs 0 mth "/>
    <x v="1"/>
    <s v="Cancer-Cancer Progression and Metastasis"/>
    <x v="45"/>
    <d v="2024-09-30T00:00:00"/>
    <n v="0"/>
    <s v="genomic, metastatic, prostate cancer"/>
  </r>
  <r>
    <x v="711"/>
    <s v="University of British Columbia"/>
    <x v="3"/>
    <x v="44"/>
    <s v="202104PJT"/>
    <x v="11"/>
    <s v="Devices for Image-Guided Biopsy of Peripheral Lung Nodules"/>
    <n v="386326"/>
    <n v="0"/>
    <n v="0"/>
    <m/>
    <s v="3 yrs 0 mth "/>
    <x v="1"/>
    <s v="Cancer-Clinical Oncology; Biomedical Engineering-Biophysics, Medical Technologies and Instrumentation"/>
    <x v="45"/>
    <d v="2024-09-30T00:00:00"/>
    <n v="1"/>
    <s v="Image-Guided, Biopsy, Lung"/>
  </r>
  <r>
    <x v="581"/>
    <s v="University of British Columbia"/>
    <x v="3"/>
    <x v="44"/>
    <s v="202104PJT"/>
    <x v="23"/>
    <s v="FLASH radiotherapy - mechanisms and translational studies"/>
    <n v="918000"/>
    <n v="0"/>
    <n v="0"/>
    <m/>
    <s v="4 yrs 0 mth "/>
    <x v="1"/>
    <s v="Cancer-Cancer Drug Development and Therapeutics; Radiation biology"/>
    <x v="45"/>
    <d v="2025-09-30T00:00:00"/>
    <n v="0"/>
    <s v="FLASH, radiotherapy, mechanisms"/>
  </r>
  <r>
    <x v="1135"/>
    <s v="University of British Columbia"/>
    <x v="3"/>
    <x v="44"/>
    <s v="202104PJT"/>
    <x v="23"/>
    <s v="Exploit the metabolic vulnerabilities in SWI/SNF-deficient cancer"/>
    <n v="688501"/>
    <n v="0"/>
    <n v="0"/>
    <m/>
    <s v="4 yrs 0 mth "/>
    <x v="1"/>
    <s v="Cancer-Cancer Drug Development and Therapeutics"/>
    <x v="45"/>
    <d v="2025-09-30T00:00:00"/>
    <n v="0"/>
    <s v="metabolic, vulnerabilities, SWI/SNF-deficient"/>
  </r>
  <r>
    <x v="586"/>
    <s v="University of British Columbia"/>
    <x v="3"/>
    <x v="44"/>
    <s v="202104PJT"/>
    <x v="12"/>
    <s v="A comprehensive study on bone quality for the prediction of second hip fractures"/>
    <n v="833850"/>
    <n v="0"/>
    <n v="0"/>
    <m/>
    <s v="5 yrs 0 mth "/>
    <x v="0"/>
    <s v="Musculoskeletal Health-Bone, Skin and Cartilage Sciences"/>
    <x v="45"/>
    <d v="2026-09-30T00:00:00"/>
    <n v="0"/>
    <s v="bone, fracture, prediction"/>
  </r>
  <r>
    <x v="1136"/>
    <s v="University of British Columbia"/>
    <x v="3"/>
    <x v="44"/>
    <s v="202104PJT"/>
    <x v="6"/>
    <s v="Design a Double-Bolt Lock to Control Cancer Cell Growth"/>
    <n v="910350"/>
    <n v="0"/>
    <n v="0"/>
    <m/>
    <s v="5 yrs 0 mth "/>
    <x v="1"/>
    <s v="Cancer-Cancer Drug Development and Therapeutics"/>
    <x v="45"/>
    <d v="2026-09-30T00:00:00"/>
    <n v="0"/>
    <s v="Double-Bolt Lock, Cancer Cell, Control"/>
  </r>
  <r>
    <x v="622"/>
    <s v="University of British Columbia"/>
    <x v="3"/>
    <x v="44"/>
    <s v="202104PJT"/>
    <x v="23"/>
    <s v="Targeting cancer-associated fibroblasts and tumour hypoxia with angiotensin II receptor blockers"/>
    <n v="979200"/>
    <n v="0"/>
    <n v="0"/>
    <m/>
    <s v="5 yrs 0 mth "/>
    <x v="1"/>
    <s v="Cancer-Cancer Progression and Metastasis"/>
    <x v="45"/>
    <d v="2026-09-30T00:00:00"/>
    <n v="0"/>
    <s v="cancer-associated fibroblasts, tumour hypoxia, angiotensin II receptor blockers"/>
  </r>
  <r>
    <x v="1137"/>
    <s v="University of British Columbia"/>
    <x v="3"/>
    <x v="44"/>
    <s v="202104PJT"/>
    <x v="23"/>
    <s v="Understanding the effects of ERK hyperactivation in cancer: implications for therapy"/>
    <n v="956250"/>
    <n v="0"/>
    <n v="0"/>
    <m/>
    <s v="5 yrs 0 mth "/>
    <x v="1"/>
    <s v="Cancer-Cancer Drug Development and Therapeutics"/>
    <x v="45"/>
    <d v="2026-09-30T00:00:00"/>
    <n v="0"/>
    <s v="ERK, hyperactivation, cancer"/>
  </r>
  <r>
    <x v="1138"/>
    <s v="University of British Columbia"/>
    <x v="3"/>
    <x v="44"/>
    <s v="202109PJT"/>
    <x v="6"/>
    <s v="A Phase I first-in-human trial of CLIC-2201, a VHH-CD22 CAR-T cell product for the treatment of relapsed/refractory CD22 positive B-cell non-Hodgkin lymphoma"/>
    <n v="1667700"/>
    <n v="0"/>
    <n v="0"/>
    <m/>
    <s v="4 yrs 0 mth "/>
    <x v="1"/>
    <s v="Cancer-Cancer Drug Development and Therapeutics; Immunology and Infection-Immunology and Autoimmune Diseases (including rheumatology)"/>
    <x v="51"/>
    <d v="2026-03-31T00:00:00"/>
    <n v="0"/>
    <s v="CAR-T, CD22, B-cell"/>
  </r>
  <r>
    <x v="581"/>
    <s v="University of British Columbia"/>
    <x v="3"/>
    <x v="44"/>
    <s v="202109PJT"/>
    <x v="23"/>
    <s v="Metabolic manipulation of hypoxia for improved radiotherapy response"/>
    <n v="677024"/>
    <n v="0"/>
    <n v="0"/>
    <m/>
    <s v="4 yrs 0 mth "/>
    <x v="1"/>
    <s v="Cancer-Cancer Drug Development and Therapeutics"/>
    <x v="51"/>
    <d v="2026-03-31T00:00:00"/>
    <n v="1"/>
    <s v="metabolic manipulation, hypoxia, radiotherapy"/>
  </r>
  <r>
    <x v="1139"/>
    <s v="University of British Columbia"/>
    <x v="3"/>
    <x v="44"/>
    <s v="202109PJT"/>
    <x v="13"/>
    <s v="Refining the clinical utility of circulating tumour DNA in metastatic bladder cancer"/>
    <n v="841500"/>
    <n v="0"/>
    <n v="0"/>
    <m/>
    <s v="4 yrs 0 mth "/>
    <x v="1"/>
    <s v="Cancer-Cancer Progression and Metastasis"/>
    <x v="51"/>
    <d v="2026-03-31T00:00:00"/>
    <n v="1"/>
    <s v="circulating tumour DNA, metastatic bladder cancer"/>
  </r>
  <r>
    <x v="588"/>
    <s v="University of British Columbia"/>
    <x v="3"/>
    <x v="44"/>
    <s v="202109PJT"/>
    <x v="12"/>
    <s v="The Molecular Mechanism of the Secretion of the Bacterial Toxin Adenylate Cyclase"/>
    <n v="726750"/>
    <n v="0"/>
    <n v="0"/>
    <m/>
    <s v="5 yrs 0 mth "/>
    <x v="11"/>
    <s v="Cardiovascular, Respiratory and Circulatory Systems-Respiratory Sciences; Molecular, Cellular and Systems Biology-Structure and Function of Macromolecules"/>
    <x v="51"/>
    <d v="2027-03-31T00:00:00"/>
    <n v="0"/>
    <s v="bacterial toxin, adenylate cyclase, secretion"/>
  </r>
  <r>
    <x v="628"/>
    <s v="University of British Columbia"/>
    <x v="3"/>
    <x v="44"/>
    <s v="202109PJT"/>
    <x v="12"/>
    <s v="Subject-Specific Biomechanical Modelling in Adult Spinal Deformity Patients: A Surgical Planning and Failure Prediction Toolkit"/>
    <n v="795600"/>
    <n v="0"/>
    <n v="0"/>
    <m/>
    <s v="5 yrs 0 mth "/>
    <x v="0"/>
    <s v="Biomedical Engineering-Biomaterials, Nanotechnology and Biomechanics; Musculoskeletal Health-Skeletal Muscle Biology and Physiology; Aging-Geriatric Medicine and Health Sciences"/>
    <x v="51"/>
    <d v="2027-03-31T00:00:00"/>
    <n v="0"/>
    <s v="Biomechanical, Spinal Deformity, Surgical Planning"/>
  </r>
  <r>
    <x v="1140"/>
    <s v="University of British Columbia"/>
    <x v="3"/>
    <x v="44"/>
    <s v="202109PJT"/>
    <x v="6"/>
    <s v="Self reactivity as a driver of extranodal diffuse large B-cell lymphoma transformation and progression."/>
    <n v="1139850"/>
    <n v="0"/>
    <n v="0"/>
    <m/>
    <s v="5 yrs 0 mth "/>
    <x v="1"/>
    <s v="Cancer-Cancer Progression and Metastasis; Cancer-Mechanisms of Carcinogenesis; Immunology and Infection-Immunology and Autoimmune Diseases (including rheumatology)"/>
    <x v="51"/>
    <d v="2027-03-31T00:00:00"/>
    <n v="0"/>
    <s v="self reactivity, extranodal, B-cell lymphoma"/>
  </r>
  <r>
    <x v="1141"/>
    <s v="University of British Columbia"/>
    <x v="3"/>
    <x v="44"/>
    <s v="202109PJT"/>
    <x v="6"/>
    <s v="Molecular and Functional Genomic Characterization of G-quadruplex in Cancers with the Alternate Lengthening of Telomere (ALT) Mechanism"/>
    <n v="948600"/>
    <n v="0"/>
    <n v="0"/>
    <m/>
    <s v="5 yrs 0 mth "/>
    <x v="1"/>
    <s v="Cancer-Cancer Drug Development and Therapeutics; Genetics-Molecular and Functional Genetics and Epigenetics; Molecular, Cellular and Systems Biology-Biochemistry"/>
    <x v="51"/>
    <d v="2027-03-31T00:00:00"/>
    <n v="0"/>
    <s v="G-quadruplex, Genomic, Telomere"/>
  </r>
  <r>
    <x v="1142"/>
    <s v="University of British Columbia"/>
    <x v="3"/>
    <x v="44"/>
    <s v="202109PJT"/>
    <x v="23"/>
    <s v="PSMA/CAIX-targeting radioligands to improve the management of clear cell renal cell carcinoma"/>
    <n v="730575"/>
    <n v="0"/>
    <n v="0"/>
    <m/>
    <s v="5 yrs 0 mth "/>
    <x v="1"/>
    <s v="Pharmacological, Toxicological and Pharmaceutical Sciences-Drug Discovery, Design and Delivery"/>
    <x v="51"/>
    <d v="2027-03-31T00:00:00"/>
    <n v="0"/>
    <s v="PSMA, CAIX, radioligands"/>
  </r>
  <r>
    <x v="1142"/>
    <s v="University of British Columbia"/>
    <x v="3"/>
    <x v="44"/>
    <s v="202203PJT"/>
    <x v="23"/>
    <s v="Next-generation GRPR-targeting radiopharmaceuticals with improved in vivo stability and minimized pancreas uptake"/>
    <n v="523260"/>
    <n v="0"/>
    <n v="0"/>
    <m/>
    <s v="3 yrs 0 mth "/>
    <x v="1"/>
    <s v="Pharmacological, Toxicological and Pharmaceutical Sciences-Drug Discovery, Design and Delivery"/>
    <x v="37"/>
    <d v="2025-09-30T00:00:00"/>
    <n v="4"/>
    <s v="GRPR, radiopharmaceuticals, stability"/>
  </r>
  <r>
    <x v="1125"/>
    <s v="University of British Columbia"/>
    <x v="3"/>
    <x v="44"/>
    <s v="202203PJT"/>
    <x v="11"/>
    <s v="Quantitative Susceptibility Mapping from Clinical Phase Data"/>
    <n v="275400"/>
    <n v="0"/>
    <n v="0"/>
    <m/>
    <s v="3 yrs 0 mth "/>
    <x v="3"/>
    <s v="Artificial Intelligence-Machine Learning; Biomedical Engineering-Biomedical Imaging; Methods Development and Modelling-Quantitative Methods Development for Health Research"/>
    <x v="37"/>
    <d v="2025-09-30T00:00:00"/>
    <n v="0"/>
    <s v="Susceptibility, Mapping, Clinical"/>
  </r>
  <r>
    <x v="612"/>
    <s v="University of British Columbia"/>
    <x v="3"/>
    <x v="44"/>
    <s v="202203PJT"/>
    <x v="24"/>
    <s v="Behaviour-based cell separation to interrogate host cell heterogeneity in CAR-T cell therapies"/>
    <n v="864450"/>
    <n v="0"/>
    <n v="0"/>
    <m/>
    <s v="5 yrs 0 mth "/>
    <x v="1"/>
    <s v="Biomedical Engineering-Biophysics, Medical Technologies and Instrumentation; Biomedical Engineering-Biomaterials, Nanotechnology and Biomechanics; Biomedical Engineering-Biomedical Imaging"/>
    <x v="37"/>
    <d v="2027-09-30T00:00:00"/>
    <n v="0"/>
    <s v="cell separation, CAR-T, heterogeneity"/>
  </r>
  <r>
    <x v="713"/>
    <s v="University of British Columbia"/>
    <x v="3"/>
    <x v="44"/>
    <s v="202203PJT"/>
    <x v="24"/>
    <s v="A bioengineering platform to promote safe cell therapies"/>
    <n v="963900"/>
    <n v="0"/>
    <n v="0"/>
    <m/>
    <s v="5 yrs 0 mth "/>
    <x v="8"/>
    <s v="Biomedical Engineering-Regenerative Medicine and Tissue Engineering"/>
    <x v="37"/>
    <d v="2027-09-30T00:00:00"/>
    <n v="0"/>
    <s v="bioengineering, cell therapies, platform"/>
  </r>
  <r>
    <x v="1143"/>
    <s v="University of British Columbia"/>
    <x v="3"/>
    <x v="44"/>
    <s v="202203PJT"/>
    <x v="6"/>
    <s v="Leveraging TCR reactivity to improve CAR T therapy"/>
    <n v="745876"/>
    <n v="0"/>
    <n v="0"/>
    <m/>
    <s v="5 yrs 0 mth "/>
    <x v="1"/>
    <s v="Cancer-Cancer Drug Development and Therapeutics; Immunology and Infection-Transplantation, Immune Tolerance and Tumor Immunology; Genetics-Molecular and Functional Genetics and Epigenetics"/>
    <x v="37"/>
    <d v="2027-09-30T00:00:00"/>
    <n v="1"/>
    <s v="TCR, CAR T, reactivity"/>
  </r>
  <r>
    <x v="577"/>
    <s v="University of British Columbia"/>
    <x v="3"/>
    <x v="44"/>
    <s v="202203PJT"/>
    <x v="14"/>
    <s v="Targeting lung microbiome for developing early detection and intervention strategies for lung cancer"/>
    <n v="914176"/>
    <n v="0"/>
    <n v="0"/>
    <m/>
    <s v="5 yrs 0 mth "/>
    <x v="1"/>
    <s v="Cancer-Cancer Progression and Metastasis"/>
    <x v="37"/>
    <d v="2027-09-30T00:00:00"/>
    <n v="0"/>
    <s v="lung microbiome, early detection, lung cancer"/>
  </r>
  <r>
    <x v="1144"/>
    <s v="University of British Columbia"/>
    <x v="3"/>
    <x v="44"/>
    <s v="202203PJT"/>
    <x v="14"/>
    <s v="Fate and function of mesenchymal progenitors within the medulloblastoma tumour microenvironment"/>
    <n v="841500"/>
    <n v="0"/>
    <n v="0"/>
    <m/>
    <s v="5 yrs 0 mth "/>
    <x v="1"/>
    <s v="Cancer-Cancer Progression and Metastasis; Cancer-Cancer Drug Development and Therapeutics; Cancer-Pediatric Cancer"/>
    <x v="37"/>
    <d v="2027-09-30T00:00:00"/>
    <n v="0"/>
    <s v="mesenchymal progenitors, medulloblastoma, microenvironment"/>
  </r>
  <r>
    <x v="1145"/>
    <s v="University of British Columbia"/>
    <x v="3"/>
    <x v="44"/>
    <s v="202203PJT"/>
    <x v="13"/>
    <s v="Clonal interactions in myeloid malignancy"/>
    <n v="1025100"/>
    <n v="0"/>
    <n v="0"/>
    <m/>
    <s v="5 yrs 0 mth "/>
    <x v="1"/>
    <s v="Cancer-Cancer Progression and Metastasis; Molecular, Cellular and Systems Biology-Systems Biology"/>
    <x v="37"/>
    <d v="2027-09-30T00:00:00"/>
    <n v="0"/>
    <s v="clonal interactions, myeloid malignancy"/>
  </r>
  <r>
    <x v="1146"/>
    <s v="University of British Columbia"/>
    <x v="3"/>
    <x v="44"/>
    <s v="202203PJT"/>
    <x v="11"/>
    <s v="Automatic Assessment of Aortic Stenosis with Point of Care Ultrasound"/>
    <n v="1005976"/>
    <n v="0"/>
    <n v="0"/>
    <m/>
    <s v="5 yrs 0 mth "/>
    <x v="6"/>
    <s v="Artificial Intelligence-Machine Learning; Biomedical Engineering-Biomedical Imaging; Cardiovascular, Respiratory and Circulatory Systems-Clinical and Translational Cardiovascular Sciences"/>
    <x v="37"/>
    <d v="2027-09-30T00:00:00"/>
    <n v="0"/>
    <s v="Aortic Stenosis, Ultrasound, Point of Care"/>
  </r>
  <r>
    <x v="615"/>
    <s v="University of British Columbia"/>
    <x v="3"/>
    <x v="44"/>
    <s v="202210PJT"/>
    <x v="14"/>
    <s v="A novel oncolytic virotherapy to overcome drug-resistance in acute myeloid leukemia"/>
    <n v="100000"/>
    <n v="0"/>
    <n v="0"/>
    <m/>
    <s v="1 yr 0 mth "/>
    <x v="1"/>
    <s v="Cancer-Cancer Drug Development and Therapeutics"/>
    <x v="52"/>
    <d v="2024-03-31T00:00:00"/>
    <n v="3"/>
    <s v="oncolytic virotherapy, drug-resistance, leukemia"/>
  </r>
  <r>
    <x v="1147"/>
    <s v="University of British Columbia"/>
    <x v="3"/>
    <x v="44"/>
    <s v="202210PJT"/>
    <x v="11"/>
    <s v="Advanced Multi-parametric Retinal Imaging for AMD Classification Modeling"/>
    <n v="100000"/>
    <n v="0"/>
    <n v="0"/>
    <m/>
    <s v="1 yr 0 mth "/>
    <x v="6"/>
    <s v="Biomedical Engineering-Biomedical Imaging; Aging-Aging Process and Biological Determinants of Aging; Methods Development and Modelling-Quantitative Methods Development for Health Research"/>
    <x v="52"/>
    <d v="2024-03-31T00:00:00"/>
    <n v="0"/>
    <s v="Retinal imaging, AMD, classification"/>
  </r>
  <r>
    <x v="1148"/>
    <s v="University of British Columbia"/>
    <x v="3"/>
    <x v="44"/>
    <s v="202209PJT"/>
    <x v="14"/>
    <s v="Deconvoluting Prognostic and Targetable Features of Endometrioid Ovarian Carcinomas of No Specific Molecular Profile"/>
    <n v="646424"/>
    <n v="0"/>
    <n v="0"/>
    <m/>
    <s v="3 yrs 0 mth "/>
    <x v="1"/>
    <s v="Cancer-Cancer Progression and Metastasis; Cancer-Mechanisms of Carcinogenesis; Reproduction and Development-Reproductive Sciences"/>
    <x v="52"/>
    <d v="2026-03-31T00:00:00"/>
    <n v="0"/>
    <s v="Deconvoluting, Prognostic, Ovarian Carcinomas"/>
  </r>
  <r>
    <x v="631"/>
    <s v="University of British Columbia"/>
    <x v="3"/>
    <x v="44"/>
    <s v="202209PJT"/>
    <x v="12"/>
    <s v="Neck Muscle and Head-Neck Dynamics in Rollover Crashes"/>
    <n v="539324"/>
    <n v="0"/>
    <n v="0"/>
    <m/>
    <s v="4 yrs 0 mth "/>
    <x v="0"/>
    <s v="Biomedical Engineering-Biomaterials, Nanotechnology and Biomechanics; Musculoskeletal Health-Skeletal Muscle Biology and Physiology; Neurosciences-Sensory Systems (including visual, auditory and pain)"/>
    <x v="52"/>
    <d v="2027-03-31T00:00:00"/>
    <n v="0"/>
    <s v="neck, muscle, rollover"/>
  </r>
  <r>
    <x v="1149"/>
    <s v="University of British Columbia"/>
    <x v="3"/>
    <x v="44"/>
    <s v="202209PJT"/>
    <x v="12"/>
    <s v="Using translational biomarkers to define whether plane of motion and complexity of head kinematics modifies biomarker and neuropathological responses to concussion in mice and humans."/>
    <n v="1293201"/>
    <n v="0"/>
    <n v="0"/>
    <m/>
    <s v="4 yrs 0 mth "/>
    <x v="3"/>
    <s v="Biomedical Engineering-Biomaterials, Nanotechnology and Biomechanics; Biomedical Engineering-Biomedical Imaging"/>
    <x v="52"/>
    <d v="2027-03-31T00:00:00"/>
    <n v="0"/>
    <s v="biomarkers, head kinematics, concussion"/>
  </r>
  <r>
    <x v="1150"/>
    <s v="University of British Columbia"/>
    <x v="3"/>
    <x v="44"/>
    <s v="202209PJT"/>
    <x v="24"/>
    <s v="Newly Optimized LNP Systems for Genetic drugs and Gene therapy in Neurological diseases"/>
    <n v="1057421"/>
    <n v="0"/>
    <n v="0"/>
    <m/>
    <s v="5 yrs 0 mth "/>
    <x v="8"/>
    <s v="Biomedical Engineering-Biomaterials, Nanotechnology and Biomechanics"/>
    <x v="52"/>
    <d v="2028-03-31T00:00:00"/>
    <n v="1"/>
    <s v="LNP, gene therapy, neurological diseases"/>
  </r>
  <r>
    <x v="598"/>
    <s v="University of British Columbia"/>
    <x v="3"/>
    <x v="44"/>
    <s v="202209PJT"/>
    <x v="6"/>
    <s v="Deciphering the Hottest Immune Neighbourhoods in Ovarian Cancer to Advance Immunotherapy"/>
    <n v="983025"/>
    <n v="0"/>
    <n v="0"/>
    <m/>
    <s v="5 yrs 0 mth "/>
    <x v="1"/>
    <s v="Immunology and Infection-Transplantation, Immune Tolerance and Tumor Immunology"/>
    <x v="52"/>
    <d v="2028-03-31T00:00:00"/>
    <n v="0"/>
    <s v="immune, ovarian, immunotherapy"/>
  </r>
  <r>
    <x v="592"/>
    <s v="University of British Columbia"/>
    <x v="3"/>
    <x v="44"/>
    <s v="202209PJT"/>
    <x v="13"/>
    <s v="Investigation of Neutrophil Extracellular Trap DNA ( NET-DNA) induced signaling in the progression of Pancreatic Ductal Adenocarcinoma"/>
    <n v="956250"/>
    <n v="0"/>
    <n v="0"/>
    <m/>
    <s v="5 yrs 0 mth "/>
    <x v="1"/>
    <s v="Cancer-Cancer Progression and Metastasis"/>
    <x v="52"/>
    <d v="2028-03-31T00:00:00"/>
    <n v="0"/>
    <s v="Neutrophil, NET-DNA, Adenocarcinoma"/>
  </r>
  <r>
    <x v="576"/>
    <s v="University of British Columbia"/>
    <x v="3"/>
    <x v="44"/>
    <s v="202203PJT"/>
    <x v="23"/>
    <s v="Development of LNP/mRNA systems for direct transfection and generation of functional Chimeric Antigen Receptor (CAR) T-cells in-vivo for treatment of blood and other cancer cell types"/>
    <n v="856800"/>
    <n v="0"/>
    <n v="0"/>
    <m/>
    <s v="5 yrs 0 mth "/>
    <x v="1"/>
    <s v="Biomedical Engineering-Biomaterials, Nanotechnology and Biomechanics; Cancer-Cancer Drug Development and Therapeutics; Molecular, Cellular and Systems Biology-Biochemistry"/>
    <x v="56"/>
    <d v="2028-06-30T00:00:00"/>
    <n v="0"/>
    <s v="LNP, mRNA, CAR T-cells"/>
  </r>
  <r>
    <x v="1151"/>
    <s v="University of British Columbia"/>
    <x v="3"/>
    <x v="44"/>
    <s v="202303PJT"/>
    <x v="12"/>
    <s v="Advanced optical monitoring of free tissue transfer hemodynamics"/>
    <n v="669376"/>
    <n v="0"/>
    <n v="0"/>
    <m/>
    <s v="4 yrs 0 mth "/>
    <x v="11"/>
    <s v="Cardiovascular, Respiratory and Circulatory Systems-Cardiovascular and Circulatory Sciences; Biomedical Engineering-Biophysics, Medical Technologies and Instrumentation; Health Services and Systems-Emergency Care and Critical Care"/>
    <x v="36"/>
    <d v="2027-09-30T00:00:00"/>
    <n v="0"/>
    <s v="optical, monitoring, hemodynamics"/>
  </r>
  <r>
    <x v="1152"/>
    <s v="University of British Columbia"/>
    <x v="3"/>
    <x v="44"/>
    <s v="202303PJT"/>
    <x v="24"/>
    <s v="Engineering next-generation self-amplifying RNA therapeutics encoding bispecific T cell engager (BiTE) antibodies for treatment of ovarian cancer"/>
    <n v="795600"/>
    <n v="0"/>
    <n v="0"/>
    <m/>
    <s v="5 yrs 0 mth "/>
    <x v="7"/>
    <s v="Biomedical Engineering-Biomaterials, Nanotechnology and Biomechanics; Cancer-Cancer Drug Development and Therapeutics"/>
    <x v="36"/>
    <d v="2028-09-30T00:00:00"/>
    <n v="0"/>
    <s v="RNA, bispecific T cell engager, ovarian cancer"/>
  </r>
  <r>
    <x v="576"/>
    <s v="University of British Columbia"/>
    <x v="3"/>
    <x v="44"/>
    <s v="202303PJT"/>
    <x v="24"/>
    <s v="Rational Design of Lipid Nanoparticle Systems for mRNA Delivery"/>
    <n v="1082476"/>
    <n v="0"/>
    <n v="0"/>
    <m/>
    <s v="5 yrs 0 mth "/>
    <x v="7"/>
    <s v="Biomedical Engineering-Biomaterials, Nanotechnology and Biomechanics; Pharmacological, Toxicological and Pharmaceutical Sciences-Drug Discovery, Design and Delivery"/>
    <x v="36"/>
    <d v="2028-09-30T00:00:00"/>
    <n v="4"/>
    <s v="Lipid Nanoparticle, mRNA, Delivery"/>
  </r>
  <r>
    <x v="1153"/>
    <s v="University of British Columbia"/>
    <x v="3"/>
    <x v="44"/>
    <s v="202303PJT"/>
    <x v="6"/>
    <s v="Glucose restriction-mediated changes to mitochondria as a driver of anti-tumour CD8+ T cell function."/>
    <n v="983026"/>
    <n v="0"/>
    <n v="0"/>
    <m/>
    <s v="5 yrs 0 mth "/>
    <x v="1"/>
    <s v="Cancer-Cancer Drug Development and Therapeutics"/>
    <x v="36"/>
    <d v="2028-09-30T00:00:00"/>
    <n v="0"/>
    <s v="glucose restriction, mitochondria, CD8+ T cells"/>
  </r>
  <r>
    <x v="614"/>
    <s v="University of British Columbia"/>
    <x v="3"/>
    <x v="44"/>
    <s v="202303PJT"/>
    <x v="14"/>
    <s v="Mechanisms and targeting of repair deficient cancers with G-quadruplex small molecule ligands"/>
    <n v="1048050"/>
    <n v="0"/>
    <n v="0"/>
    <m/>
    <s v="5 yrs 0 mth "/>
    <x v="1"/>
    <s v="Cancer-Cancer Progression and Metastasis"/>
    <x v="36"/>
    <d v="2028-09-30T00:00:00"/>
    <n v="0"/>
    <s v="G-quadruplex, small molecule, cancers"/>
  </r>
  <r>
    <x v="595"/>
    <s v="University of British Columbia"/>
    <x v="3"/>
    <x v="44"/>
    <s v="202303PJT"/>
    <x v="14"/>
    <s v="Translating Epigenomics into Clinical Care for Synovial Sarcoma"/>
    <n v="948600"/>
    <n v="0"/>
    <n v="0"/>
    <m/>
    <s v="5 yrs 0 mth "/>
    <x v="1"/>
    <s v="Cancer-Pediatric Cancer; Genetics-Molecular and Functional Genetics and Epigenetics; Cancer-Cancer Progression and Metastasis"/>
    <x v="36"/>
    <d v="2028-09-30T00:00:00"/>
    <n v="0"/>
    <s v="Epigenomics, Synovial Sarcoma, Clinical Care"/>
  </r>
  <r>
    <x v="1154"/>
    <s v="University of British Columbia"/>
    <x v="3"/>
    <x v="44"/>
    <s v="202303PJT"/>
    <x v="11"/>
    <s v="Multi-modal, multi-parametric liver imaging for ultrasound-based stratification of patients with non-alcoholic fatty liver disease"/>
    <n v="625770"/>
    <n v="0"/>
    <n v="0"/>
    <m/>
    <s v="5 yrs 0 mth "/>
    <x v="4"/>
    <s v="Biomedical Engineering-Biomedical Imaging; Artificial Intelligence-Machine Learning; Digestive, Endocrine and Excretory Systems-Gastroenterology and Hepatology"/>
    <x v="36"/>
    <d v="2028-09-30T00:00:00"/>
    <n v="0"/>
    <s v="liver imaging, ultrasound, fatty liver"/>
  </r>
  <r>
    <x v="624"/>
    <s v="University of British Columbia"/>
    <x v="3"/>
    <x v="44"/>
    <s v="202403PJT"/>
    <x v="6"/>
    <s v="Harnessing infection-associated modifiers of paediatric acute lymphoblastic leukaemia progression for therapeutic benefit"/>
    <n v="918000"/>
    <n v="0"/>
    <n v="0"/>
    <m/>
    <s v="5 yrs 0 mth "/>
    <x v="1"/>
    <s v="Cancer-Pediatric Cancer; Immunology and Infection-Transplantation, Immune Tolerance and Tumor Immunology; Health Determinants-Etiology of Disease and Conditions"/>
    <x v="53"/>
    <d v="2025-02-28T00:00:00"/>
    <n v="0"/>
    <s v="infection, lymphoblastic leukaemia, paediatric"/>
  </r>
  <r>
    <x v="1155"/>
    <s v="University of British Columbia"/>
    <x v="3"/>
    <x v="44"/>
    <s v="202403PJT"/>
    <x v="13"/>
    <s v="Characterizing diacetylspermine as a biomarker of drug response and precision treatment in triple-negative breast cancer"/>
    <n v="979200"/>
    <n v="0"/>
    <n v="0"/>
    <m/>
    <s v="5 yrs 0 mth "/>
    <x v="1"/>
    <s v="Cancer-Cancer Drug Development and Therapeutics"/>
    <x v="53"/>
    <d v="2025-02-28T00:00:00"/>
    <n v="0"/>
    <s v="diacetylspermine, biomarker, breast cancer"/>
  </r>
  <r>
    <x v="1156"/>
    <s v="University of British Columbia"/>
    <x v="3"/>
    <x v="44"/>
    <s v="202309PJT"/>
    <x v="24"/>
    <s v="Optogenetic stimulation after spinal cord injury in rodents"/>
    <n v="956250"/>
    <n v="0"/>
    <n v="0"/>
    <m/>
    <s v="5 yrs 0 mth "/>
    <x v="3"/>
    <s v="Biomedical Engineering-Regenerative Medicine and Tissue Engineering; Biomedical Engineering-Biomaterials, Nanotechnology and Biomechanics"/>
    <x v="46"/>
    <d v="2029-03-31T00:00:00"/>
    <n v="1"/>
    <s v="Optogenetic, spinal cord injury, stimulation"/>
  </r>
  <r>
    <x v="613"/>
    <s v="University of British Columbia"/>
    <x v="3"/>
    <x v="44"/>
    <s v="202309PJT"/>
    <x v="23"/>
    <s v="Targeting metabolic vulnerabilities in childhood cancers using immunotherapy"/>
    <n v="956250"/>
    <n v="0"/>
    <n v="0"/>
    <m/>
    <s v="5 yrs 0 mth "/>
    <x v="1"/>
    <s v="Cancer-Pediatric Cancer"/>
    <x v="46"/>
    <d v="2029-03-31T00:00:00"/>
    <n v="0"/>
    <s v="metabolic vulnerabilities, childhood cancers, immunotherapy"/>
  </r>
  <r>
    <x v="617"/>
    <s v="University of British Columbia"/>
    <x v="3"/>
    <x v="44"/>
    <s v="202309PJT"/>
    <x v="14"/>
    <s v="Cytokine receptor common beta chain alterations in mediastinal lymphomas"/>
    <n v="1048050"/>
    <n v="0"/>
    <n v="0"/>
    <m/>
    <s v="5 yrs 0 mth "/>
    <x v="1"/>
    <s v="Cancer-Cancer Progression and Metastasis; Molecular, Cellular and Systems Biology-Cell Signaling; Genetics-Genomics, Transcriptomics and Proteomics"/>
    <x v="46"/>
    <d v="2029-03-31T00:00:00"/>
    <n v="0"/>
    <s v="cytokine receptor, beta chain, lymphomas"/>
  </r>
  <r>
    <x v="588"/>
    <s v="University of British Columbia"/>
    <x v="3"/>
    <x v="44"/>
    <s v="202403PJT"/>
    <x v="12"/>
    <s v="Molecular Mechanism for the Regulation of Titin Elasticity and Myocardial Stiffness by Oxidative Stress"/>
    <n v="722926"/>
    <n v="0"/>
    <n v="0"/>
    <m/>
    <s v="5 yrs 0 mth "/>
    <x v="11"/>
    <s v="Biomedical Engineering-Biomaterials, Nanotechnology and Biomechanics; Biomedical Engineering-Biophysics, Medical Technologies and Instrumentation"/>
    <x v="54"/>
    <d v="2029-09-30T00:00:00"/>
    <n v="0"/>
    <s v="Titin, Elasticity, Oxidative Stress"/>
  </r>
  <r>
    <x v="1157"/>
    <s v="University of British Columbia"/>
    <x v="3"/>
    <x v="44"/>
    <s v="202403PJT"/>
    <x v="24"/>
    <s v="Transfusion Without Blood Typing: Enzymatic Glycoengineering Towards 'True' Universal Blood"/>
    <n v="1013626"/>
    <n v="0"/>
    <n v="0"/>
    <m/>
    <s v="5 yrs 0 mth "/>
    <x v="11"/>
    <s v="Biomedical Engineering-Regenerative Medicine and Tissue Engineering; Biomedical Engineering-Biomaterials, Nanotechnology and Biomechanics"/>
    <x v="54"/>
    <d v="2029-09-30T00:00:00"/>
    <n v="0"/>
    <s v="transfusion, blood typing, glycoengineering"/>
  </r>
  <r>
    <x v="669"/>
    <s v="University of British Columbia"/>
    <x v="3"/>
    <x v="44"/>
    <s v="202403PJT"/>
    <x v="24"/>
    <s v="Gastruloid Engineering: Precision Organoid Design for Developmental and Disease Modeling"/>
    <n v="1208700"/>
    <n v="0"/>
    <n v="0"/>
    <m/>
    <s v="5 yrs 0 mth "/>
    <x v="8"/>
    <s v="Biomedical Engineering-Regenerative Medicine and Tissue Engineering; Molecular, Cellular and Systems Biology-Cell Biology and Physiology; Reproduction and Development-Developmental Biology and Organogenesis; Computational Biology"/>
    <x v="54"/>
    <d v="2029-09-30T00:00:00"/>
    <n v="0"/>
    <s v="Gastruloid, Organoid, Disease Modeling"/>
  </r>
  <r>
    <x v="1158"/>
    <s v="University of British Columbia"/>
    <x v="3"/>
    <x v="44"/>
    <s v="202403PJT"/>
    <x v="6"/>
    <s v="T-cell glyco-immune checkpoints as next-generation targets for cancer immunotherapy"/>
    <n v="918000"/>
    <n v="0"/>
    <n v="0"/>
    <m/>
    <s v="5 yrs 0 mth "/>
    <x v="7"/>
    <s v="Immunology and Infection-Transplantation, Immune Tolerance and Tumor Immunology; Cancer-Cancer Drug Development and Therapeutics"/>
    <x v="54"/>
    <d v="2029-09-30T00:00:00"/>
    <n v="0"/>
    <s v="T-cell, glyco-immune, checkpoints"/>
  </r>
  <r>
    <x v="1136"/>
    <s v="University of British Columbia"/>
    <x v="3"/>
    <x v="44"/>
    <s v="202403PJT"/>
    <x v="14"/>
    <s v="Lin28b as a therapeutic target for prostate cancer progression"/>
    <n v="967726"/>
    <n v="0"/>
    <n v="0"/>
    <m/>
    <s v="5 yrs 0 mth "/>
    <x v="1"/>
    <s v="Cancer-Cancer Progression and Metastasis"/>
    <x v="54"/>
    <d v="2029-09-30T00:00:00"/>
    <n v="0"/>
    <s v="Lin28b, prostate cancer, progression"/>
  </r>
  <r>
    <x v="1159"/>
    <s v="University of British Columbia"/>
    <x v="3"/>
    <x v="44"/>
    <s v="202403PJT"/>
    <x v="14"/>
    <s v="Development and application of novel FEN1 endonuclease inhibitors"/>
    <n v="1044226"/>
    <n v="0"/>
    <n v="0"/>
    <m/>
    <s v="5 yrs 0 mth "/>
    <x v="1"/>
    <s v="Molecular, Cellular and Systems Biology-Biochemistry; Pharmacological, Toxicological and Pharmaceutical Sciences-Drug Discovery, Design and Delivery; Genetics-Molecular and Functional Genetics and Epigenetics"/>
    <x v="54"/>
    <d v="2029-09-30T00:00:00"/>
    <n v="0"/>
    <s v="FEN1, endonuclease, inhibitors"/>
  </r>
  <r>
    <x v="1160"/>
    <s v="University of British Columbia"/>
    <x v="3"/>
    <x v="44"/>
    <s v="202403PJT"/>
    <x v="11"/>
    <s v="aRtificial intelligence-driven computational pathology platform for blAdder Cancer subTyping (REACT)"/>
    <n v="845326"/>
    <n v="0"/>
    <n v="0"/>
    <m/>
    <s v="5 yrs 0 mth "/>
    <x v="1"/>
    <s v="Artificial Intelligence-Machine Learning; Biomedical Engineering-Biomedical Imaging; Cancer-Cancer Drug Development and Therapeutics"/>
    <x v="54"/>
    <d v="2029-09-30T00:00:00"/>
    <n v="0"/>
    <s v="artificial intelligence, computational pathology, bladder cancer"/>
  </r>
  <r>
    <x v="1161"/>
    <s v="University of British Columbia"/>
    <x v="3"/>
    <x v="44"/>
    <s v="202403PJT"/>
    <x v="14"/>
    <s v="STRIVE Study: STRatIfication of Vulvar squamous cell carcinoma by HPV and p53 status to guide Excision"/>
    <n v="1166628"/>
    <n v="0"/>
    <n v="0"/>
    <m/>
    <s v="7 yrs 0 mth "/>
    <x v="1"/>
    <s v="Cancer-Clinical Oncology; Molecular, Cellular and Systems Biology-Molecular Biology"/>
    <x v="54"/>
    <d v="2031-09-30T00:00:00"/>
    <n v="0"/>
    <s v="Vulvar squamous cell carcinoma, HPV, p53"/>
  </r>
  <r>
    <x v="1162"/>
    <s v="University of Calgary"/>
    <x v="1"/>
    <x v="44"/>
    <s v="201709PJT"/>
    <x v="13"/>
    <s v="Mobilizing anti-tumor microglia/macrophages with niacin to improve the prognosis of glioblastoma: Bench to clinical trial and back."/>
    <n v="1243125"/>
    <n v="0"/>
    <n v="0"/>
    <m/>
    <s v="5 yrs 0 mth "/>
    <x v="1"/>
    <s v="Cancer-Cancer Drug Development and Therapeutics; Neurosciences-Neuroinflammation; Immunology and Infection-Transplantation, Immune Tolerance and Tumor Immunology"/>
    <x v="17"/>
    <d v="2019-06-30T00:00:00"/>
    <n v="0"/>
    <s v="microglia, glioblastoma, niacin"/>
  </r>
  <r>
    <x v="1163"/>
    <s v="University of Calgary"/>
    <x v="1"/>
    <x v="44"/>
    <s v="201709PJT"/>
    <x v="25"/>
    <s v="Functional near-infrared spectroscopic measures of coherence as a new bio-marker of injury in mTBI patients"/>
    <n v="669375"/>
    <n v="0"/>
    <n v="0"/>
    <m/>
    <s v="5 yrs 0 mth "/>
    <x v="3"/>
    <s v="Mental Health and Behavioural Conditions-Mental Health and Addiction; Biomedical Engineering-Biomedical Imaging"/>
    <x v="17"/>
    <d v="2023-03-31T00:00:00"/>
    <n v="0"/>
    <s v="near-infrared, spectroscopic, mTBI"/>
  </r>
  <r>
    <x v="1164"/>
    <s v="University of Calgary"/>
    <x v="1"/>
    <x v="44"/>
    <s v="201809PJT"/>
    <x v="11"/>
    <s v="Advanced multi-modal imaging to monitor progressive joint adaptation in the knee following an acute ligament injury"/>
    <n v="925650"/>
    <n v="0"/>
    <n v="0"/>
    <m/>
    <s v="5 yrs 0 mth "/>
    <x v="0"/>
    <s v="Biomedical Engineering-Biomedical Imaging; Musculoskeletal Health-Bone, Skin and Cartilage Sciences"/>
    <x v="18"/>
    <d v="2024-03-31T00:00:00"/>
    <n v="0"/>
    <s v="multi-modal imaging, joint adaptation, ligament injury"/>
  </r>
  <r>
    <x v="1165"/>
    <s v="University of Calgary"/>
    <x v="1"/>
    <x v="44"/>
    <s v="201903PJT"/>
    <x v="6"/>
    <s v="Mechanisms underlying oncolytic rhabdovirus-mediated anticancer immunity"/>
    <n v="822376"/>
    <n v="0"/>
    <n v="0"/>
    <m/>
    <s v="5 yrs 0 mth "/>
    <x v="1"/>
    <s v="Cancer-Cancer Drug Development and Therapeutics; Immunology and Infection-Transplantation, Immune Tolerance and Tumor Immunology; Immunology and Infection-Virology"/>
    <x v="48"/>
    <d v="2024-09-30T00:00:00"/>
    <n v="0"/>
    <s v="oncolytic, rhabdovirus, anticancer"/>
  </r>
  <r>
    <x v="1166"/>
    <s v="University of Calgary"/>
    <x v="1"/>
    <x v="44"/>
    <s v="202003PJT"/>
    <x v="11"/>
    <s v="Prediction of multiple sclerosis disability worsening scores using multi-stream deep learning"/>
    <n v="711450"/>
    <n v="0"/>
    <n v="0"/>
    <m/>
    <s v="5 yrs 0 mth "/>
    <x v="3"/>
    <s v="Neurosciences-Neurological disorders; Biomedical Engineering-Biomedical Imaging"/>
    <x v="60"/>
    <d v="2021-02-28T00:00:00"/>
    <n v="0"/>
    <s v="multiple sclerosis, deep learning, disability scoring"/>
  </r>
  <r>
    <x v="1167"/>
    <s v="University of Calgary"/>
    <x v="1"/>
    <x v="44"/>
    <s v="201909PJT"/>
    <x v="12"/>
    <s v="Enabling Cellular Therapy Biomanufacturing through Integrated Modeling of Fluid Dynamics and Cellular Metabolism in Bioreactors"/>
    <n v="841500"/>
    <n v="0"/>
    <n v="0"/>
    <m/>
    <s v="5 yrs 0 mth "/>
    <x v="0"/>
    <s v="Biomedical Engineering-Regenerative Medicine and Tissue Engineering"/>
    <x v="13"/>
    <d v="2025-03-31T00:00:00"/>
    <n v="0"/>
    <s v="Cellular therapy, Biomanufacturing, Bioreactors"/>
  </r>
  <r>
    <x v="640"/>
    <s v="University of Calgary"/>
    <x v="1"/>
    <x v="44"/>
    <s v="202003PJT"/>
    <x v="6"/>
    <s v="High-Throughput Analysis of Low Dose, Repetitive Alpha Particle Irradiation as a source of Radon-Induced Lung Cancer"/>
    <n v="940950"/>
    <n v="0"/>
    <n v="0"/>
    <m/>
    <s v="5 yrs 0 mth "/>
    <x v="1"/>
    <s v="Cancer-Mechanisms of Carcinogenesis"/>
    <x v="49"/>
    <d v="2025-09-30T00:00:00"/>
    <n v="0"/>
    <s v="Alpha particle, irradiation, lung cancer"/>
  </r>
  <r>
    <x v="1163"/>
    <s v="University of Calgary"/>
    <x v="1"/>
    <x v="44"/>
    <s v="202003PJT"/>
    <x v="11"/>
    <s v="Does inflammation in brain cause hypoxia, which then exacerbates inflammation: a multimodal study using the EAE inflammation model of multiple sclerosis."/>
    <n v="856800"/>
    <n v="0"/>
    <n v="0"/>
    <m/>
    <s v="5 yrs 0 mth "/>
    <x v="3"/>
    <s v="Biomedical Engineering-Biomedical Imaging; Neurosciences-Neuroinflammation"/>
    <x v="49"/>
    <d v="2025-09-30T00:00:00"/>
    <n v="0"/>
    <s v="inflammation, hypoxia, multiple sclerosis"/>
  </r>
  <r>
    <x v="1168"/>
    <s v="University of Calgary"/>
    <x v="1"/>
    <x v="44"/>
    <s v="202010PJT"/>
    <x v="6"/>
    <s v="Harnessing STING activation for the treatment of sarcoma"/>
    <n v="1071000"/>
    <n v="0"/>
    <n v="0"/>
    <m/>
    <s v="5 yrs 0 mth "/>
    <x v="1"/>
    <s v="Cancer-Cancer Drug Development and Therapeutics; Cancer-Pediatric Cancer"/>
    <x v="50"/>
    <d v="2026-03-31T00:00:00"/>
    <n v="0"/>
    <s v="STING, activation, sarcoma"/>
  </r>
  <r>
    <x v="1169"/>
    <s v="University of Calgary"/>
    <x v="1"/>
    <x v="44"/>
    <s v="202104PJT"/>
    <x v="12"/>
    <s v="Precision assessment of the abdominal aortic aneurysm: role of heterogeneity at the macro and micro scales"/>
    <n v="661725"/>
    <n v="0"/>
    <n v="0"/>
    <m/>
    <s v="4 yrs 0 mth "/>
    <x v="11"/>
    <s v="Biomedical Engineering-Biomedical Imaging; Biomedical Engineering-Biomaterials, Nanotechnology and Biomechanics; Artificial Intelligence-Machine Learning"/>
    <x v="45"/>
    <d v="2025-09-30T00:00:00"/>
    <n v="3"/>
    <s v="abdominal aortic aneurysm, heterogeneity, assessment"/>
  </r>
  <r>
    <x v="1170"/>
    <s v="University of Calgary"/>
    <x v="1"/>
    <x v="44"/>
    <s v="202104PJT"/>
    <x v="12"/>
    <s v="Distributed Machine Learning for Diagnosis and Treatment Decision Support of Pediatric Brain Tumors"/>
    <n v="634950"/>
    <n v="0"/>
    <n v="0"/>
    <m/>
    <s v="5 yrs 0 mth "/>
    <x v="1"/>
    <s v="Cancer-Pediatric Cancer; Artificial Intelligence-Machine Learning"/>
    <x v="45"/>
    <d v="2026-09-30T00:00:00"/>
    <n v="0"/>
    <s v="Distributed, Machine Learning, Diagnosis"/>
  </r>
  <r>
    <x v="1171"/>
    <s v="University of Calgary"/>
    <x v="1"/>
    <x v="44"/>
    <s v="202104PJT"/>
    <x v="6"/>
    <s v="Determining the impact of inosine-producing microbes in promoting the efficacy and modulating toxicity of immune checkpoint blockade therapy in cancer."/>
    <n v="975376"/>
    <n v="0"/>
    <n v="0"/>
    <m/>
    <s v="5 yrs 0 mth "/>
    <x v="1"/>
    <s v="Cancer-Cancer Drug Development and Therapeutics; Immunology and Infection-Transplantation, Immune Tolerance and Tumor Immunology"/>
    <x v="45"/>
    <d v="2026-09-30T00:00:00"/>
    <n v="0"/>
    <s v="inosine, microbes, immune checkpoint"/>
  </r>
  <r>
    <x v="1164"/>
    <s v="University of Calgary"/>
    <x v="1"/>
    <x v="44"/>
    <s v="202104PJT"/>
    <x v="11"/>
    <s v="Predicting fragility fractures by non-invasive high-resolution imaging and advanced morphometrics"/>
    <n v="963900"/>
    <n v="0"/>
    <n v="0"/>
    <m/>
    <s v="5 yrs 0 mth "/>
    <x v="0"/>
    <s v="Biomedical Engineering-Biomedical Imaging"/>
    <x v="45"/>
    <d v="2026-09-30T00:00:00"/>
    <n v="0"/>
    <s v="fragility fractures, high-resolution imaging, morphometrics"/>
  </r>
  <r>
    <x v="1172"/>
    <s v="University of Calgary"/>
    <x v="1"/>
    <x v="44"/>
    <s v="202109PJT"/>
    <x v="12"/>
    <s v="RACE Concussion Study: Rapid, accurate cost-effective assessment of fluid biomarkers using a hand-held biosensor in patients with concussion"/>
    <n v="608175"/>
    <n v="0"/>
    <n v="0"/>
    <m/>
    <s v="5 yrs 0 mth "/>
    <x v="3"/>
    <s v="Biomedical Engineering-Biophysics, Medical Technologies and Instrumentation; Artificial Intelligence-Machine Learning; Neurosciences-Neurological disorders"/>
    <x v="51"/>
    <d v="2027-03-31T00:00:00"/>
    <n v="1"/>
    <s v="biosensor, biomarkers, concussion"/>
  </r>
  <r>
    <x v="1173"/>
    <s v="University of Calgary"/>
    <x v="1"/>
    <x v="44"/>
    <s v="202203PJT"/>
    <x v="12"/>
    <s v="Computational modeling of anatomy guided 3D vasculature network for organ bioprinting and regeneration"/>
    <n v="114750"/>
    <n v="0"/>
    <n v="0"/>
    <m/>
    <s v="1 yr 0 mth "/>
    <x v="11"/>
    <s v="Biomedical Engineering-Regenerative Medicine and Tissue Engineering; Methods Development and Modelling-Computational Biology"/>
    <x v="37"/>
    <d v="2023-09-30T00:00:00"/>
    <n v="0"/>
    <s v="computational modeling, vasculature, bioprinting"/>
  </r>
  <r>
    <x v="1174"/>
    <s v="University of Calgary"/>
    <x v="1"/>
    <x v="44"/>
    <s v="202203PJT"/>
    <x v="11"/>
    <s v="Identification of seizure-generating brain areas in drug-resistant epilepsy using dynamic resting-state fMRI"/>
    <n v="631126"/>
    <n v="0"/>
    <n v="0"/>
    <m/>
    <s v="5 yrs 0 mth "/>
    <x v="3"/>
    <s v="Methods Development and Modelling-Quantitative Methods Development for Health Research; Neurosciences-Neurological disorders"/>
    <x v="37"/>
    <d v="2027-09-30T00:00:00"/>
    <n v="0"/>
    <s v="seizure, brain areas, fMRI"/>
  </r>
  <r>
    <x v="1175"/>
    <s v="University of Calgary"/>
    <x v="1"/>
    <x v="44"/>
    <s v="202303PJT"/>
    <x v="6"/>
    <s v="A Phase I Feasibility and Safety Study of GCAR1, a Chimeric Antigen Receptor (CAR) T-cell Therapy for Patients with Relapsed/Refractory GPNMB-Expressing Solid Tumors"/>
    <n v="2796075"/>
    <n v="0"/>
    <n v="0"/>
    <m/>
    <s v="4 yrs 0 mth "/>
    <x v="1"/>
    <s v="Cancer-Cancer Drug Development and Therapeutics"/>
    <x v="36"/>
    <d v="2027-09-30T00:00:00"/>
    <n v="0"/>
    <s v="Chimeric Antigen Receptor, T-cell Therapy, GPNMB"/>
  </r>
  <r>
    <x v="1176"/>
    <s v="University of Calgary"/>
    <x v="1"/>
    <x v="44"/>
    <s v="202303PJT"/>
    <x v="12"/>
    <s v="Quantifying the relationship between intracortical remodeling, microdamage, and bone quality in a novel in vivo loading model"/>
    <n v="650250"/>
    <n v="0"/>
    <n v="0"/>
    <m/>
    <s v="5 yrs 0 mth "/>
    <x v="0"/>
    <s v="Biomedical Engineering-Biomaterials, Nanotechnology and Biomechanics; Biomedical Engineering-Biomedical Imaging"/>
    <x v="36"/>
    <d v="2028-09-30T00:00:00"/>
    <n v="0"/>
    <s v="intracortical remodeling, microdamage, bone quality"/>
  </r>
  <r>
    <x v="1177"/>
    <s v="University of Calgary"/>
    <x v="1"/>
    <x v="44"/>
    <s v="202309PJT"/>
    <x v="23"/>
    <s v="Investigating how double-negative T cells affect anti-leukemic and GvHD-inducing activities of conventional T cells"/>
    <n v="1013625"/>
    <n v="0"/>
    <n v="0"/>
    <m/>
    <s v="5 yrs 0 mth "/>
    <x v="1"/>
    <s v="Cancer-Cancer Drug Development and Therapeutics; Immunology and Infection-Transplantation, Immune Tolerance and Tumor Immunology"/>
    <x v="46"/>
    <d v="2029-03-31T00:00:00"/>
    <n v="0"/>
    <s v="double-negative T cells, leukemia, GvHD"/>
  </r>
  <r>
    <x v="1163"/>
    <s v="University of Calgary"/>
    <x v="1"/>
    <x v="44"/>
    <s v="202403PJT"/>
    <x v="11"/>
    <s v="Non-invasive near-infrared spectroscopic measures of brain oxygenation and function--a potential biomarker of disease severity and progression in Multiple Sclerosis"/>
    <n v="979200"/>
    <n v="0"/>
    <n v="0"/>
    <m/>
    <s v="5 yrs 0 mth "/>
    <x v="3"/>
    <s v="Biomedical Engineering-Biomedical Imaging; Neurosciences-Neurological disorders"/>
    <x v="54"/>
    <d v="2029-09-30T00:00:00"/>
    <n v="0"/>
    <s v="near-infrared, spectroscopy, brain oxygenation"/>
  </r>
  <r>
    <x v="647"/>
    <s v="University of Guelph"/>
    <x v="0"/>
    <x v="44"/>
    <s v="201809PJT"/>
    <x v="23"/>
    <s v="Understanding how the miR-200 family prevents tumor initiation and impairs tumor growth"/>
    <n v="837675"/>
    <n v="0"/>
    <n v="0"/>
    <m/>
    <s v="5 yrs 0 mth "/>
    <x v="1"/>
    <s v="Cancer-Mechanisms of Carcinogenesis; Molecular, Cellular and Systems Biology-Molecular Biology"/>
    <x v="18"/>
    <d v="2024-03-31T00:00:00"/>
    <n v="0"/>
    <s v="miR-200, tumor, growth"/>
  </r>
  <r>
    <x v="1178"/>
    <s v="University of Guelph"/>
    <x v="0"/>
    <x v="44"/>
    <s v="201809PJT"/>
    <x v="14"/>
    <s v="Development of allosteric inhibitors for HECT E3 ligases"/>
    <n v="745875"/>
    <n v="0"/>
    <n v="0"/>
    <m/>
    <s v="5 yrs 0 mth "/>
    <x v="1"/>
    <s v="Cancer-Cancer Drug Development and Therapeutics; Molecular, Cellular and Systems Biology-Cell Signaling"/>
    <x v="18"/>
    <d v="2024-03-31T00:00:00"/>
    <n v="1"/>
    <s v="allosteric, inhibitors, E3 ligases"/>
  </r>
  <r>
    <x v="648"/>
    <s v="University of Guelph"/>
    <x v="0"/>
    <x v="44"/>
    <s v="201903PJT"/>
    <x v="6"/>
    <s v="Vascular normalization improves immunotherapy in advanced stage ovarian cancer."/>
    <n v="631126"/>
    <n v="0"/>
    <n v="0"/>
    <m/>
    <s v="5 yrs 0 mth "/>
    <x v="1"/>
    <s v="Cancer-Cancer Progression and Metastasis; Cancer-Cancer Drug Development and Therapeutics"/>
    <x v="48"/>
    <d v="2024-09-30T00:00:00"/>
    <n v="0"/>
    <s v="Vascular normalization, immunotherapy, ovarian cancer"/>
  </r>
  <r>
    <x v="772"/>
    <s v="University of Guelph"/>
    <x v="0"/>
    <x v="44"/>
    <s v="202003PJT"/>
    <x v="13"/>
    <s v="Targeting mitochondria metabolism to selectively kill leukemia cells"/>
    <n v="367200"/>
    <n v="0"/>
    <n v="0"/>
    <m/>
    <s v="3 yrs 0 mth "/>
    <x v="1"/>
    <s v="Cancer-Cancer Drug Development and Therapeutics"/>
    <x v="49"/>
    <d v="2023-09-30T00:00:00"/>
    <n v="1"/>
    <s v="mitochondria, metabolism, leukemia"/>
  </r>
  <r>
    <x v="1179"/>
    <s v="University of Guelph"/>
    <x v="0"/>
    <x v="44"/>
    <s v="202210PJT"/>
    <x v="6"/>
    <s v="Unraveling how programmed cell death shapes anticancer immunity"/>
    <n v="100000"/>
    <n v="0"/>
    <n v="0"/>
    <m/>
    <s v="1 yr 0 mth "/>
    <x v="1"/>
    <s v="Cancer-Cancer Drug Development and Therapeutics"/>
    <x v="36"/>
    <d v="2028-09-30T00:00:00"/>
    <n v="0"/>
    <s v="programmed cell death, anticancer immunity"/>
  </r>
  <r>
    <x v="1179"/>
    <s v="University of Guelph"/>
    <x v="0"/>
    <x v="44"/>
    <s v="202303PJT"/>
    <x v="6"/>
    <s v="Unraveling how programmed cell death shapes anticancer immunity"/>
    <n v="925650"/>
    <n v="0"/>
    <n v="0"/>
    <m/>
    <s v="5 yrs 0 mth "/>
    <x v="1"/>
    <s v="Cancer-Cancer Drug Development and Therapeutics"/>
    <x v="36"/>
    <d v="2028-09-30T00:00:00"/>
    <n v="0"/>
    <s v="programmed cell death, anticancer immunity"/>
  </r>
  <r>
    <x v="1180"/>
    <s v="University of Guelph"/>
    <x v="0"/>
    <x v="44"/>
    <s v="202309PJT"/>
    <x v="14"/>
    <s v="Developing allosteric inhibitors of mitochondrial ClpP protease for acute myeloid leukemia"/>
    <n v="1143675"/>
    <n v="0"/>
    <n v="0"/>
    <m/>
    <s v="5 yrs 0 mth "/>
    <x v="1"/>
    <s v="Cancer-Cancer Drug Development and Therapeutics; Molecular, Cellular and Systems Biology-Structure and Function of Macromolecules; Pharmacological, Toxicological and Pharmaceutical Sciences-Drug Discovery, Design and Delivery"/>
    <x v="46"/>
    <d v="2029-03-31T00:00:00"/>
    <n v="0"/>
    <s v="allosteric, inhibitors, ClpP"/>
  </r>
  <r>
    <x v="1181"/>
    <s v="University of Manitoba"/>
    <x v="4"/>
    <x v="44"/>
    <s v="201809PJT"/>
    <x v="14"/>
    <s v="Exploring and Exploiting Reduced USP22 Expression in Colorectal Cancer"/>
    <n v="807075"/>
    <n v="0"/>
    <n v="0"/>
    <m/>
    <s v="5 yrs 0 mth "/>
    <x v="1"/>
    <s v="Cancer-Cancer Progression and Metastasis; Cancer-Mechanisms of Carcinogenesis; Genetics-Molecular and Functional Genetics and Epigenetics"/>
    <x v="18"/>
    <d v="2024-03-31T00:00:00"/>
    <n v="0"/>
    <s v="USP22, colorectal cancer, gene expression"/>
  </r>
  <r>
    <x v="1182"/>
    <s v="University of Manitoba"/>
    <x v="4"/>
    <x v="44"/>
    <s v="201903PJT"/>
    <x v="23"/>
    <s v="EMT Transcription factor corruption of epigenetic regulators in Acute Myeloid Leukemia"/>
    <n v="990676"/>
    <n v="0"/>
    <n v="0"/>
    <m/>
    <s v="5 yrs 0 mth "/>
    <x v="1"/>
    <s v="Cancer-Cancer Drug Development and Therapeutics; Genetics-Molecular and Functional Genetics and Epigenetics; Cancer-Cancer Progression and Metastasis"/>
    <x v="48"/>
    <d v="2024-09-30T00:00:00"/>
    <n v="0"/>
    <s v="EMT, epigenetic, leukemia"/>
  </r>
  <r>
    <x v="652"/>
    <s v="University of Manitoba"/>
    <x v="4"/>
    <x v="44"/>
    <s v="202003PJT"/>
    <x v="14"/>
    <s v="Novel therapeutic targets for Group 3 medulloblastoma stem cells"/>
    <n v="1208700"/>
    <n v="0"/>
    <n v="0"/>
    <m/>
    <s v="5 yrs 0 mth "/>
    <x v="1"/>
    <s v="Cancer-Pediatric Cancer; Cancer-Cancer Progression and Metastasis; Cancer-Cancer Drug Development and Therapeutics"/>
    <x v="49"/>
    <d v="2025-09-30T00:00:00"/>
    <n v="0"/>
    <s v="medulloblastoma, stem cells, therapeutic targets"/>
  </r>
  <r>
    <x v="1183"/>
    <s v="University of Manitoba"/>
    <x v="4"/>
    <x v="44"/>
    <s v="202109PJT"/>
    <x v="23"/>
    <s v="Taking down the 'undruggable' oncogene: therapeutic implications for novel mechanism-based targeting of MYC"/>
    <n v="956250"/>
    <n v="0"/>
    <n v="0"/>
    <m/>
    <s v="5 yrs 0 mth "/>
    <x v="1"/>
    <s v="Cancer-Pediatric Cancer; Cancer-Cancer Drug Development and Therapeutics"/>
    <x v="51"/>
    <d v="2027-03-31T00:00:00"/>
    <n v="0"/>
    <s v="MYC, oncogene, targeting"/>
  </r>
  <r>
    <x v="1184"/>
    <s v="University of Manitoba"/>
    <x v="4"/>
    <x v="44"/>
    <s v="202309PJT"/>
    <x v="13"/>
    <s v="Identifying strategies to therapeutically target the unique epigenetic landscape of small cell lung cancer"/>
    <n v="983025"/>
    <n v="0"/>
    <n v="0"/>
    <m/>
    <s v="5 yrs 0 mth "/>
    <x v="1"/>
    <n v="0"/>
    <x v="53"/>
    <d v="2025-02-28T00:00:00"/>
    <n v="0"/>
    <s v="epigenetic, small cell lung cancer, targeting"/>
  </r>
  <r>
    <x v="1182"/>
    <s v="University of Manitoba"/>
    <x v="4"/>
    <x v="44"/>
    <s v="202403PJT"/>
    <x v="14"/>
    <s v="Deciphering the Role of ZEB2 transcription factor in B cell Ontogeny and Transformation."/>
    <n v="1071000"/>
    <n v="0"/>
    <n v="0"/>
    <m/>
    <s v="5 yrs 0 mth "/>
    <x v="1"/>
    <s v="Cancer-Pediatric Cancer; Genetics-Genomics, Transcriptomics and Proteomics; Cancer-Cancer Drug Development and Therapeutics"/>
    <x v="54"/>
    <d v="2029-09-30T00:00:00"/>
    <n v="0"/>
    <s v="ZEB2, transcription factor, B cell"/>
  </r>
  <r>
    <x v="655"/>
    <s v="University of Ottawa"/>
    <x v="0"/>
    <x v="44"/>
    <s v="201909PJT"/>
    <x v="12"/>
    <s v="Identification of molecular mechanisms involved in the biological response to implant wear and corrosion"/>
    <n v="826200"/>
    <n v="0"/>
    <n v="0"/>
    <m/>
    <s v="5 yrs 0 mth "/>
    <x v="0"/>
    <s v="Biomedical Engineering-Biomaterials, Nanotechnology and Biomechanics; Musculoskeletal Health-Bone, Skin and Cartilage Sciences"/>
    <x v="13"/>
    <d v="2025-03-31T00:00:00"/>
    <n v="0"/>
    <s v="molecular mechanisms, implant wear, corrosion"/>
  </r>
  <r>
    <x v="1185"/>
    <s v="University of Ottawa"/>
    <x v="0"/>
    <x v="44"/>
    <s v="202104PJT"/>
    <x v="6"/>
    <s v="Hypoxic-specific activation of natural killer cells: Being resilient in the tumor microenvironment"/>
    <n v="918000"/>
    <n v="0"/>
    <n v="0"/>
    <m/>
    <s v="5 yrs 0 mth "/>
    <x v="1"/>
    <s v="Cancer-Cancer Drug Development and Therapeutics"/>
    <x v="45"/>
    <d v="2026-09-30T00:00:00"/>
    <n v="0"/>
    <s v="hypoxic, natural killer cells, tumor microenvironment"/>
  </r>
  <r>
    <x v="1186"/>
    <s v="University of Ottawa"/>
    <x v="0"/>
    <x v="44"/>
    <s v="202309PJT"/>
    <x v="23"/>
    <s v="Defining the role of dopamine transporter in the hierarchical organization of colorectal tumors"/>
    <n v="1086300"/>
    <n v="0"/>
    <n v="0"/>
    <m/>
    <s v="5 yrs 0 mth "/>
    <x v="1"/>
    <s v="Cancer-Cancer Drug Development and Therapeutics; Cancer-Mechanisms of Carcinogenesis"/>
    <x v="46"/>
    <d v="2029-03-31T00:00:00"/>
    <n v="0"/>
    <s v="dopamine transporter, colorectal tumors"/>
  </r>
  <r>
    <x v="1185"/>
    <s v="University of Ottawa"/>
    <x v="0"/>
    <x v="44"/>
    <s v="202403PJT"/>
    <x v="6"/>
    <s v="Developing Natural Killer Cell-Mediated Combination Immunotherapies for the Treatment of Multiple Myeloma"/>
    <n v="1162800"/>
    <n v="0"/>
    <n v="0"/>
    <m/>
    <s v="5 yrs 0 mth "/>
    <x v="1"/>
    <s v="Methods Development and Modelling-Qualitative Methods Development for Health Research; Biomedical Engineering-Biomaterials, Nanotechnology and Biomechanics; Immunology and Infection-Transplantation, Immune Tolerance and Tumor Immunology"/>
    <x v="54"/>
    <d v="2029-09-30T00:00:00"/>
    <n v="0"/>
    <s v="Natural Killer, Immunotherapies, Multiple Myeloma"/>
  </r>
  <r>
    <x v="658"/>
    <s v="University of Saskatchewan"/>
    <x v="8"/>
    <x v="44"/>
    <s v="202309PJT"/>
    <x v="14"/>
    <s v="Targeting metastatic breast cancer"/>
    <n v="504900"/>
    <n v="0"/>
    <n v="0"/>
    <m/>
    <s v="2 yrs 0 mth "/>
    <x v="1"/>
    <s v="BREAST CANCER; BREAST CANCER THERAPY; CANCER"/>
    <x v="26"/>
    <d v="2015-09-30T00:00:00"/>
    <n v="1"/>
    <s v="Metastatic, Breast Cancer"/>
  </r>
  <r>
    <x v="1187"/>
    <s v="University of Saskatchewan"/>
    <x v="8"/>
    <x v="44"/>
    <s v="201709PJT"/>
    <x v="14"/>
    <s v="Targeting the EphA2 receptor in triple-negative breast cancer"/>
    <n v="558452"/>
    <n v="0"/>
    <n v="0"/>
    <m/>
    <s v="4 yrs 0 mth "/>
    <x v="1"/>
    <s v="Cancer-Cancer Drug Development and Therapeutics"/>
    <x v="17"/>
    <d v="2022-03-31T00:00:00"/>
    <n v="0"/>
    <s v="EphA2, receptor, breast cancer"/>
  </r>
  <r>
    <x v="1188"/>
    <s v="University of Saskatchewan"/>
    <x v="8"/>
    <x v="44"/>
    <s v="201809PJT"/>
    <x v="23"/>
    <s v="Conversion From Unresectable To Resectable Liver Metastases In Patients With Liver-Only Metastatic Colorectal Cancer Treated With FOLFOXIRI Plus Bevacizumab. The Conversion Trial."/>
    <n v="100000"/>
    <n v="0"/>
    <n v="0"/>
    <m/>
    <s v="3 yrs 0 mth "/>
    <x v="1"/>
    <s v="Cancer-Clinical Oncology"/>
    <x v="18"/>
    <d v="2022-03-31T00:00:00"/>
    <n v="0"/>
    <s v="liver metastases, colorectal cancer, FOLFOXIRI"/>
  </r>
  <r>
    <x v="1189"/>
    <s v="University of Saskatchewan"/>
    <x v="8"/>
    <x v="44"/>
    <s v="202104PJT"/>
    <x v="14"/>
    <s v="Identification of therapeutically relevant targets in telomerase overexpressing prostate cancers"/>
    <n v="983026"/>
    <n v="0"/>
    <n v="0"/>
    <m/>
    <s v="5 yrs 0 mth "/>
    <x v="1"/>
    <s v="Cancer-Cancer Drug Development and Therapeutics"/>
    <x v="45"/>
    <d v="2026-09-30T00:00:00"/>
    <n v="0"/>
    <s v="telomerase, prostate cancer, targets"/>
  </r>
  <r>
    <x v="1190"/>
    <s v="University of Saskatchewan"/>
    <x v="8"/>
    <x v="44"/>
    <s v="202303PJT"/>
    <x v="11"/>
    <s v="Tumor targeted, radiolabeled, mimetic nanovesicle theranostics for imaging and treating head and neck cancer"/>
    <n v="963900"/>
    <n v="0"/>
    <n v="0"/>
    <m/>
    <s v="5 yrs 0 mth "/>
    <x v="1"/>
    <s v="Pharmacological, Toxicological and Pharmaceutical Sciences-Drug Discovery, Design and Delivery; Cancer-Cancer Drug Development and Therapeutics; Biomedical Engineering-Biomaterials, Nanotechnology and Biomechanics"/>
    <x v="36"/>
    <d v="2028-09-30T00:00:00"/>
    <n v="0"/>
    <s v="tumor, radiolabeled, nanovesicle"/>
  </r>
  <r>
    <x v="1191"/>
    <s v="University of Toronto"/>
    <x v="0"/>
    <x v="44"/>
    <s v="201709PJT"/>
    <x v="25"/>
    <s v="Heat Activated Liposomal Delivery of Chemo and Molecular Therapy in Combination with Radiotherapy for Treatment of Breast Cancer Recurrence at the Chest Wall"/>
    <n v="459000"/>
    <n v="0"/>
    <n v="0"/>
    <m/>
    <s v="4 yrs 0 mth "/>
    <x v="1"/>
    <s v="Cancer-Cancer Drug Development and Therapeutics; Pharmacological, Toxicological and Pharmaceutical Sciences-Drug Discovery, Design and Delivery; Biomedical Engineering-Biomedical Imaging"/>
    <x v="17"/>
    <d v="2022-03-31T00:00:00"/>
    <n v="0"/>
    <s v="Liposomal, Chemotherapy, Radiotherapy"/>
  </r>
  <r>
    <x v="661"/>
    <s v="University of Toronto"/>
    <x v="0"/>
    <x v="44"/>
    <s v="201709PJT"/>
    <x v="14"/>
    <s v="Auger Electron Radioimmunotherapy for Treatment and Prevention of Metastases from Triple-Negative Breast Cancer"/>
    <n v="684675"/>
    <n v="0"/>
    <n v="0"/>
    <m/>
    <s v="5 yrs 0 mth "/>
    <x v="1"/>
    <s v="Cancer-Cancer Drug Development and Therapeutics; Pharmacological, Toxicological and Pharmaceutical Sciences-Drug Discovery, Design and Delivery"/>
    <x v="17"/>
    <d v="2023-03-31T00:00:00"/>
    <n v="0"/>
    <s v="Auger Electron, Radioimmunotherapy, Metastases"/>
  </r>
  <r>
    <x v="1192"/>
    <s v="University of Toronto"/>
    <x v="0"/>
    <x v="44"/>
    <s v="201803PJT"/>
    <x v="12"/>
    <s v="A Paper-based Microfluidic Platform for Automated Point-of-Care Diagnosis of Laryngopharyngeal Reflux"/>
    <n v="593640"/>
    <n v="0"/>
    <n v="0"/>
    <m/>
    <s v="4 yrs 0 mth "/>
    <x v="5"/>
    <s v="Biomedical Engineering-Biophysics, Medical Technologies and Instrumentation"/>
    <x v="47"/>
    <d v="2022-09-30T00:00:00"/>
    <n v="1"/>
    <s v="Microfluidic, Point-of-Care, Diagnosis"/>
  </r>
  <r>
    <x v="662"/>
    <s v="University of Toronto"/>
    <x v="0"/>
    <x v="44"/>
    <s v="201803PJT"/>
    <x v="14"/>
    <s v="Engineering therapeutics for the treatment of anemia in oncology patients"/>
    <n v="623476"/>
    <n v="0"/>
    <n v="0"/>
    <m/>
    <s v="5 yrs 0 mth "/>
    <x v="1"/>
    <s v="Cancer-Cancer Drug Development and Therapeutics; Cancer-Cancer Progression and Metastasis; Cardiovascular, Respiratory and Circulatory Systems-Hematology"/>
    <x v="47"/>
    <d v="2023-09-30T00:00:00"/>
    <n v="5"/>
    <s v="therapeutics, anemia, oncology"/>
  </r>
  <r>
    <x v="1193"/>
    <s v="University of Toronto"/>
    <x v="0"/>
    <x v="44"/>
    <s v="201803PJT"/>
    <x v="13"/>
    <s v="Investigating INPP4B signalling as a target for therapy in leukaemia"/>
    <n v="745876"/>
    <n v="0"/>
    <n v="0"/>
    <m/>
    <s v="5 yrs 0 mth "/>
    <x v="1"/>
    <s v="Cancer-Cancer Drug Development and Therapeutics"/>
    <x v="47"/>
    <d v="2023-09-30T00:00:00"/>
    <n v="0"/>
    <s v="INPP4B, signalling, leukaemia"/>
  </r>
  <r>
    <x v="44"/>
    <s v="University of Toronto"/>
    <x v="0"/>
    <x v="44"/>
    <s v="201903PJT"/>
    <x v="23"/>
    <s v="Identification and analysis of new small-molecules active against drug-resistant non-small cell lung cancer"/>
    <n v="749700"/>
    <n v="0"/>
    <n v="0"/>
    <m/>
    <s v="3 yrs 0 mth "/>
    <x v="1"/>
    <s v="Cancer-Cancer Drug Development and Therapeutics; Molecular, Cellular and Systems Biology-Cell Signaling"/>
    <x v="48"/>
    <d v="2022-09-30T00:00:00"/>
    <n v="2"/>
    <s v="small-molecules, drug-resistant, lung cancer"/>
  </r>
  <r>
    <x v="672"/>
    <s v="University of Toronto"/>
    <x v="0"/>
    <x v="44"/>
    <s v="201903PJT"/>
    <x v="12"/>
    <s v="Dissecting the role of hemodynamics in ascending aorta aneurysm development"/>
    <n v="860626"/>
    <n v="0"/>
    <n v="0"/>
    <m/>
    <s v="5 yrs 0 mth "/>
    <x v="11"/>
    <s v="Cardiovascular, Respiratory and Circulatory Systems-Vascular and Endothelial Biology"/>
    <x v="48"/>
    <d v="2024-09-30T00:00:00"/>
    <n v="0"/>
    <s v="hemodynamics, ascending aorta, aneurysm"/>
  </r>
  <r>
    <x v="1194"/>
    <s v="University of Toronto"/>
    <x v="0"/>
    <x v="44"/>
    <s v="201909PJT"/>
    <x v="12"/>
    <s v="Ultrasound activated bubbles to potentiate cancer therapy"/>
    <n v="455176"/>
    <n v="0"/>
    <n v="0"/>
    <m/>
    <s v="4 yrs 0 mth "/>
    <x v="1"/>
    <s v="Biomedical Engineering-Biomaterials, Nanotechnology and Biomechanics; Biomedical Engineering-Biomedical Imaging"/>
    <x v="13"/>
    <d v="2024-03-31T00:00:00"/>
    <n v="0"/>
    <s v="Ultrasound, Bubbles, Cancer"/>
  </r>
  <r>
    <x v="663"/>
    <s v="University of Toronto"/>
    <x v="0"/>
    <x v="44"/>
    <s v="201909PJT"/>
    <x v="12"/>
    <s v="Enabling the Engineering of Vascular Grafts with Human Cells-Appliations to Pulmonary Arterial Grafting"/>
    <n v="852975"/>
    <n v="0"/>
    <n v="0"/>
    <m/>
    <s v="5 yrs 0 mth "/>
    <x v="11"/>
    <s v="Biomedical Engineering-Regenerative Medicine and Tissue Engineering; Cardiovascular, Respiratory and Circulatory Systems-Vascular and Endothelial Biology; Molecular, Cellular and Systems Biology-Cell Signaling"/>
    <x v="13"/>
    <d v="2025-03-31T00:00:00"/>
    <n v="1"/>
    <s v="Vascular Grafts, Human Cells, Pulmonary Arterial"/>
  </r>
  <r>
    <x v="1195"/>
    <s v="University of Toronto"/>
    <x v="0"/>
    <x v="44"/>
    <s v="201909PJT"/>
    <x v="23"/>
    <s v="Targeting Glioblastoma Heterogeneity through identification of subtype-specific genetic vulnerabilities"/>
    <n v="818550"/>
    <n v="0"/>
    <n v="0"/>
    <m/>
    <s v="5 yrs 0 mth "/>
    <x v="1"/>
    <s v="Cancer-Mechanisms of Carcinogenesis"/>
    <x v="13"/>
    <d v="2025-03-31T00:00:00"/>
    <n v="0"/>
    <s v="Glioblastoma, genetic vulnerabilities, heterogeneity"/>
  </r>
  <r>
    <x v="1196"/>
    <s v="University of Toronto"/>
    <x v="0"/>
    <x v="44"/>
    <s v="202003PJT"/>
    <x v="6"/>
    <s v="Gut microbiota and the etiology of colon cancer"/>
    <n v="1005976"/>
    <n v="0"/>
    <n v="0"/>
    <m/>
    <s v="5 yrs 0 mth "/>
    <x v="1"/>
    <s v="Cancer-Mechanisms of Carcinogenesis; Immunology and Infection-Infectious Diseases"/>
    <x v="49"/>
    <d v="2025-09-30T00:00:00"/>
    <n v="1"/>
    <s v="gut microbiota, colon cancer, etiology"/>
  </r>
  <r>
    <x v="1197"/>
    <s v="University of Toronto"/>
    <x v="0"/>
    <x v="44"/>
    <s v="202003PJT"/>
    <x v="6"/>
    <s v="Identifying cancer intrinsic immune evasion mechanism for target discovery"/>
    <n v="956250"/>
    <n v="0"/>
    <n v="0"/>
    <m/>
    <s v="5 yrs 0 mth "/>
    <x v="1"/>
    <s v="Cancer-Cancer Progression and Metastasis; Cancer-Cancer Drug Development and Therapeutics; Cancer-Mechanisms of Carcinogenesis"/>
    <x v="49"/>
    <d v="2025-09-30T00:00:00"/>
    <n v="1"/>
    <s v="cancer, immune evasion, target discovery"/>
  </r>
  <r>
    <x v="672"/>
    <s v="University of Toronto"/>
    <x v="0"/>
    <x v="44"/>
    <s v="202010PJT"/>
    <x v="12"/>
    <s v="Optimization of cell culture media and substrates to mature pluripotent stem cell-derived cardiomyoctyes for improved cardiac cell therapy"/>
    <n v="929475"/>
    <n v="0"/>
    <n v="0"/>
    <m/>
    <s v="5 yrs 0 mth "/>
    <x v="11"/>
    <s v="Biomedical Engineering-Regenerative Medicine and Tissue Engineering; Cardiovascular, Respiratory and Circulatory Systems-Cardiovascular and Circulatory Sciences"/>
    <x v="50"/>
    <d v="2026-03-31T00:00:00"/>
    <n v="1"/>
    <s v="cell culture, pluripotent stem cells, cardiomyocytes"/>
  </r>
  <r>
    <x v="1198"/>
    <s v="University of Toronto"/>
    <x v="0"/>
    <x v="44"/>
    <s v="202010PJT"/>
    <x v="23"/>
    <s v="Deciphering the impact of genetic and microenvironmental variation on pancreatic ductal adenocarcinoma (PDAC) cell phenotype and response to therapy"/>
    <n v="669375"/>
    <n v="0"/>
    <n v="0"/>
    <m/>
    <s v="5 yrs 0 mth "/>
    <x v="1"/>
    <s v="Biomedical Engineering-Regenerative Medicine and Tissue Engineering; Cancer-Cancer Drug Development and Therapeutics; Genetics-Molecular and Functional Genetics and Epigenetics"/>
    <x v="50"/>
    <d v="2026-03-31T00:00:00"/>
    <n v="0"/>
    <s v="genetic, microenvironmental, pancreatic ductal adenocarcinoma"/>
  </r>
  <r>
    <x v="1193"/>
    <s v="University of Toronto"/>
    <x v="0"/>
    <x v="44"/>
    <s v="202010PJT"/>
    <x v="13"/>
    <s v="Identification and characterization of microRNAs essential for the development and fitness of chemoresistant AML"/>
    <n v="898875"/>
    <n v="0"/>
    <n v="0"/>
    <m/>
    <s v="5 yrs 0 mth "/>
    <x v="1"/>
    <s v="Cancer-Cancer Drug Development and Therapeutics"/>
    <x v="50"/>
    <d v="2026-03-31T00:00:00"/>
    <n v="0"/>
    <s v="microRNAs, chemoresistant AML, characterization"/>
  </r>
  <r>
    <x v="661"/>
    <s v="University of Toronto"/>
    <x v="0"/>
    <x v="44"/>
    <s v="202104PJT"/>
    <x v="14"/>
    <s v="Alpha-Particle Radioimmunotherapy of Brain Metastases from HER2-Positive Breast Cancer"/>
    <n v="581400"/>
    <n v="0"/>
    <n v="0"/>
    <m/>
    <s v="4 yrs 0 mth "/>
    <x v="1"/>
    <s v="Pharmacological, Toxicological and Pharmaceutical Sciences-Drug Discovery, Design and Delivery"/>
    <x v="45"/>
    <d v="2025-09-30T00:00:00"/>
    <n v="0"/>
    <s v="Alpha-particle, Radioimmunotherapy, Brain metastases"/>
  </r>
  <r>
    <x v="664"/>
    <s v="University of Toronto"/>
    <x v="0"/>
    <x v="44"/>
    <s v="202109PJT"/>
    <x v="12"/>
    <s v="Vision Rescue: Transforming Therapeutics with Hydrogel Delivery"/>
    <n v="573752"/>
    <n v="0"/>
    <n v="0"/>
    <m/>
    <s v="4 yrs 0 mth "/>
    <x v="3"/>
    <s v="Biomedical Engineering-Regenerative Medicine and Tissue Engineering"/>
    <x v="55"/>
    <d v="2026-06-30T00:00:00"/>
    <n v="0"/>
    <s v="Vision, Hydrogel, Delivery"/>
  </r>
  <r>
    <x v="1199"/>
    <s v="University of Toronto"/>
    <x v="0"/>
    <x v="44"/>
    <s v="202203PJT"/>
    <x v="12"/>
    <s v="Bidirectional, selective, and implantable peripheral nerve interface for restoring function after spinal cord injury"/>
    <n v="822376"/>
    <n v="0"/>
    <n v="0"/>
    <m/>
    <s v="5 yrs 0 mth "/>
    <x v="3"/>
    <s v="Biomedical Engineering-Biophysics, Medical Technologies and Instrumentation; Neurosciences-Motor Systems"/>
    <x v="37"/>
    <d v="2027-09-30T00:00:00"/>
    <n v="0"/>
    <s v="nerve interface, spinal cord, implantable"/>
  </r>
  <r>
    <x v="1200"/>
    <s v="University of Toronto"/>
    <x v="0"/>
    <x v="44"/>
    <s v="202210PJT"/>
    <x v="6"/>
    <s v="Targeting protein arginine methylation in tumor-associated macrophages"/>
    <n v="100000"/>
    <n v="0"/>
    <n v="0"/>
    <m/>
    <s v="1 yr 0 mth "/>
    <x v="1"/>
    <s v="Cancer-Cancer Drug Development and Therapeutics"/>
    <x v="52"/>
    <d v="2024-03-31T00:00:00"/>
    <n v="0"/>
    <s v="protein, arginine, methylation"/>
  </r>
  <r>
    <x v="1193"/>
    <s v="University of Toronto"/>
    <x v="0"/>
    <x v="44"/>
    <s v="202210PJT"/>
    <x v="13"/>
    <s v="Investigating a novel phosphoinositide-lysosomal signalling axis for pancreatic cancer therapy"/>
    <n v="100000"/>
    <n v="0"/>
    <n v="0"/>
    <m/>
    <s v="1 yr 0 mth "/>
    <x v="1"/>
    <s v="Cancer-Cancer Progression and Metastasis"/>
    <x v="52"/>
    <d v="2024-03-31T00:00:00"/>
    <n v="0"/>
    <s v="phosphoinositide, lysosomal, pancreatic cancer"/>
  </r>
  <r>
    <x v="664"/>
    <s v="University of Toronto"/>
    <x v="0"/>
    <x v="44"/>
    <s v="202209PJT"/>
    <x v="24"/>
    <s v="Overcoming ER+ Breast Cancer with Fulvestrant-siRNA co-delivery"/>
    <n v="665552"/>
    <n v="0"/>
    <n v="0"/>
    <m/>
    <s v="4 yrs 0 mth "/>
    <x v="1"/>
    <s v="Biomedical Engineering-Biomaterials, Nanotechnology and Biomechanics; Cancer-Cancer Drug Development and Therapeutics"/>
    <x v="52"/>
    <d v="2027-03-31T00:00:00"/>
    <n v="0"/>
    <s v="ER+, breast cancer, siRNA"/>
  </r>
  <r>
    <x v="1201"/>
    <s v="University of Toronto"/>
    <x v="0"/>
    <x v="44"/>
    <s v="202303PJT"/>
    <x v="6"/>
    <s v="Targeting the metabolomic mechanisms underlying poor prognosis in Glioblastoma multiforme cancer stem cells."/>
    <n v="990676"/>
    <n v="0"/>
    <n v="0"/>
    <m/>
    <s v="5 yrs 0 mth "/>
    <x v="1"/>
    <s v="Cancer-Mechanisms of Carcinogenesis; Molecular, Cellular and Systems Biology-Systems Biology"/>
    <x v="36"/>
    <d v="2028-09-30T00:00:00"/>
    <n v="0"/>
    <s v="metabolomic, Glioblastoma, cancer stem cells"/>
  </r>
  <r>
    <x v="1200"/>
    <s v="University of Toronto"/>
    <x v="0"/>
    <x v="44"/>
    <s v="202309PJT"/>
    <x v="13"/>
    <s v="Targeting protein arginine methylation in the 9p21.3 loss tumor microenvironment"/>
    <n v="902700"/>
    <n v="0"/>
    <n v="0"/>
    <m/>
    <s v="5 yrs 0 mth "/>
    <x v="1"/>
    <n v="0"/>
    <x v="53"/>
    <d v="2025-02-28T00:00:00"/>
    <n v="0"/>
    <s v="protein, arginine methylation, tumor microenvironment"/>
  </r>
  <r>
    <x v="1202"/>
    <s v="University of Toronto"/>
    <x v="0"/>
    <x v="44"/>
    <s v="202309PJT"/>
    <x v="12"/>
    <s v="Evaluating the nerve-muscle connection as a Duchenne muscular dystrophy therapeutic target"/>
    <n v="925650"/>
    <n v="0"/>
    <n v="0"/>
    <m/>
    <s v="5 yrs 0 mth "/>
    <x v="0"/>
    <s v="Biomedical Engineering-Regenerative Medicine and Tissue Engineering; Musculoskeletal Health-Skeletal Muscle Biology and Physiology"/>
    <x v="46"/>
    <d v="2029-03-31T00:00:00"/>
    <n v="0"/>
    <s v="nerve-muscle, Duchenne muscular dystrophy, therapeutic"/>
  </r>
  <r>
    <x v="1203"/>
    <s v="University of Toronto"/>
    <x v="0"/>
    <x v="44"/>
    <s v="202309PJT"/>
    <x v="24"/>
    <s v="Lymph node targeting of DNA nanostructured vaccines"/>
    <n v="650250"/>
    <n v="0"/>
    <n v="0"/>
    <m/>
    <s v="5 yrs 0 mth "/>
    <x v="1"/>
    <s v="Biomedical Engineering-Biomaterials, Nanotechnology and Biomechanics"/>
    <x v="46"/>
    <d v="2029-03-31T00:00:00"/>
    <n v="0"/>
    <s v="Lymph node, DNA nanostructures, vaccines"/>
  </r>
  <r>
    <x v="1204"/>
    <s v="University of Toronto"/>
    <x v="0"/>
    <x v="44"/>
    <s v="202403PJT"/>
    <x v="24"/>
    <s v="Improving Access to Diagnostics: The Development of Deployable, Low-Burden Hand-Held Testing for Infectious Disease and Health Biomarkers."/>
    <n v="952424"/>
    <n v="0"/>
    <n v="0"/>
    <m/>
    <s v="4 yrs 0 mth "/>
    <x v="7"/>
    <s v="Biomedical Engineering-Biophysics, Medical Technologies and Instrumentation; Molecular, Cellular and Systems Biology-Molecular Biology"/>
    <x v="54"/>
    <d v="2028-09-30T00:00:00"/>
    <n v="0"/>
    <s v="Diagnostics, Hand-Held Testing, Infectious Disease"/>
  </r>
  <r>
    <x v="1205"/>
    <s v="University of Toronto"/>
    <x v="0"/>
    <x v="44"/>
    <s v="202403PJT"/>
    <x v="12"/>
    <s v="A Novel Targeted MRI Probe for Safe and Early Detection of Fibrosis"/>
    <n v="875926"/>
    <n v="0"/>
    <n v="0"/>
    <m/>
    <s v="5 yrs 0 mth "/>
    <x v="11"/>
    <s v="Biomedical Engineering-Biomedical Imaging; Biomedical Engineering-Biophysics, Medical Technologies and Instrumentation"/>
    <x v="54"/>
    <d v="2029-09-30T00:00:00"/>
    <n v="0"/>
    <s v="MRI, Probe, Fibrosis"/>
  </r>
  <r>
    <x v="1206"/>
    <s v="University of Toronto"/>
    <x v="0"/>
    <x v="44"/>
    <s v="202403PJT"/>
    <x v="12"/>
    <s v="Advancing Pulse Oximetry Accuracy and Equity through Wearable Spectroscopy Devices"/>
    <n v="879750"/>
    <n v="0"/>
    <n v="0"/>
    <m/>
    <s v="5 yrs 0 mth "/>
    <x v="11"/>
    <s v="Biomedical Engineering-Biophysics, Medical Technologies and Instrumentation"/>
    <x v="54"/>
    <d v="2029-09-30T00:00:00"/>
    <n v="0"/>
    <s v="Pulse Oximetry, Spectroscopy, Wearable"/>
  </r>
  <r>
    <x v="1207"/>
    <s v="University of Toronto"/>
    <x v="0"/>
    <x v="44"/>
    <s v="202403PJT"/>
    <x v="24"/>
    <s v="Nonviral Delivery of tRNA Therapeutics for Treating Cystic Fibrosis"/>
    <n v="1136026"/>
    <n v="0"/>
    <n v="0"/>
    <m/>
    <s v="5 yrs 0 mth "/>
    <x v="8"/>
    <s v="Biomedical Engineering-Biomaterials, Nanotechnology and Biomechanics; Pharmacological, Toxicological and Pharmaceutical Sciences-Drug Discovery, Design and Delivery"/>
    <x v="54"/>
    <d v="2029-09-30T00:00:00"/>
    <n v="0"/>
    <s v="nonviral, tRNA, cystic fibrosis"/>
  </r>
  <r>
    <x v="1193"/>
    <s v="University of Toronto"/>
    <x v="0"/>
    <x v="44"/>
    <s v="202403PJT"/>
    <x v="14"/>
    <s v="Targeting a novel phosphoinositide-lysosomal signalling axis for pancreatic cancer therapy"/>
    <n v="1071000"/>
    <n v="0"/>
    <n v="0"/>
    <m/>
    <s v="5 yrs 0 mth "/>
    <x v="1"/>
    <s v="Cancer-Cancer Progression and Metastasis; Cancer-Cancer Drug Development and Therapeutics"/>
    <x v="54"/>
    <d v="2029-09-30T00:00:00"/>
    <n v="0"/>
    <s v="phosphoinositide, lysosomal, pancreatic cancer"/>
  </r>
  <r>
    <x v="1208"/>
    <s v="University of Toronto"/>
    <x v="0"/>
    <x v="44"/>
    <s v="202403PJT"/>
    <x v="13"/>
    <s v="Enhanced drug delivery to lung cancers using endobronchial ultrasound (EBUS)"/>
    <n v="753526"/>
    <n v="0"/>
    <n v="0"/>
    <m/>
    <s v="5 yrs 0 mth "/>
    <x v="1"/>
    <s v="Cancer-Cancer Drug Development and Therapeutics"/>
    <x v="54"/>
    <d v="2029-09-30T00:00:00"/>
    <n v="0"/>
    <s v="drug delivery, lung cancers, endobronchial ultrasound"/>
  </r>
  <r>
    <x v="1209"/>
    <s v="University of Victoria (British Columbia)"/>
    <x v="3"/>
    <x v="44"/>
    <s v="201809PJT"/>
    <x v="6"/>
    <s v="Rewiring the Metabolic Ecosystem to Improve Cellular Immunotherapy"/>
    <n v="1082475"/>
    <n v="0"/>
    <n v="0"/>
    <m/>
    <s v="5 yrs 0 mth "/>
    <x v="1"/>
    <s v="Immunology and Infection-Transplantation, Immune Tolerance and Tumor Immunology; Cancer-Cancer Drug Development and Therapeutics"/>
    <x v="18"/>
    <d v="2024-03-31T00:00:00"/>
    <n v="1"/>
    <s v="metabolic, ecosystem, immunotherapy"/>
  </r>
  <r>
    <x v="1210"/>
    <s v="University of Victoria (British Columbia)"/>
    <x v="3"/>
    <x v="44"/>
    <s v="202003PJT"/>
    <x v="12"/>
    <s v="Developing a Patient-Specific Surgical Decision-Assistance Tool to Improve Reverse Shoulder Replacement Outcomes"/>
    <n v="378676"/>
    <n v="0"/>
    <n v="0"/>
    <m/>
    <s v="5 yrs 0 mth "/>
    <x v="0"/>
    <s v="Biomedical Engineering-Biomaterials, Nanotechnology and Biomechanics; Artificial Intelligence-Machine Learning"/>
    <x v="49"/>
    <d v="2025-09-30T00:00:00"/>
    <n v="0"/>
    <s v="Patient-specific, Surgical, Reverse shoulder"/>
  </r>
  <r>
    <x v="1211"/>
    <s v="University of Victoria (British Columbia)"/>
    <x v="3"/>
    <x v="44"/>
    <s v="202309PJT"/>
    <x v="12"/>
    <s v="Exploiting the full potential of cancer radiotherapy using a novel combined treatment approach to treat locally advanced tumors"/>
    <n v="612000"/>
    <n v="0"/>
    <n v="0"/>
    <m/>
    <s v="5 yrs 0 mth "/>
    <x v="1"/>
    <s v="Biomedical Engineering-Biomaterials, Nanotechnology and Biomechanics"/>
    <x v="46"/>
    <d v="2029-03-31T00:00:00"/>
    <n v="0"/>
    <s v="cancer, radiotherapy, tumors"/>
  </r>
  <r>
    <x v="1209"/>
    <s v="University of Victoria (British Columbia)"/>
    <x v="3"/>
    <x v="44"/>
    <s v="202309PJT"/>
    <x v="6"/>
    <s v="Metabolic Insights into Immune Suppression in Ovarian Cancer"/>
    <n v="1101600"/>
    <n v="0"/>
    <n v="0"/>
    <m/>
    <s v="5 yrs 0 mth "/>
    <x v="1"/>
    <s v="Cancer-Cancer Drug Development and Therapeutics; Cancer-Cancer Progression and Metastasis; Immunology and Infection-Transplantation, Immune Tolerance and Tumor Immunology"/>
    <x v="46"/>
    <d v="2029-03-31T00:00:00"/>
    <n v="0"/>
    <s v="Metabolic, Immune Suppression, Ovarian Cancer"/>
  </r>
  <r>
    <x v="475"/>
    <s v="University of Waterloo (Ontario)"/>
    <x v="0"/>
    <x v="44"/>
    <s v="201709PJT"/>
    <x v="12"/>
    <s v="Bone-mimetic nanocomposite biomaterials for critically-sized skeletal defect reconstruction"/>
    <n v="665552"/>
    <n v="0"/>
    <n v="0"/>
    <m/>
    <s v="4 yrs 0 mth "/>
    <x v="0"/>
    <s v="Biomedical Engineering-Biomaterials, Nanotechnology and Biomechanics; Biomedical Engineering-Regenerative Medicine and Tissue Engineering; Cancer-Clinical Oncology; Cancer - Orthopaedic Oncology"/>
    <x v="17"/>
    <d v="2022-03-31T00:00:00"/>
    <n v="0"/>
    <s v="bone, nanocomposite, biomaterials"/>
  </r>
  <r>
    <x v="1212"/>
    <s v="University of Waterloo (Ontario)"/>
    <x v="0"/>
    <x v="44"/>
    <s v="201803PJT"/>
    <x v="14"/>
    <s v="Theoretical, experimental, and preclinical studies of heterogeneity-driven adaptive resistance to chemotherapy: Implications for multimodal targeted therapeutics"/>
    <n v="734400"/>
    <n v="0"/>
    <n v="0"/>
    <m/>
    <s v="3 yrs 0 mth "/>
    <x v="1"/>
    <s v="Cancer-Cancer Drug Development and Therapeutics"/>
    <x v="47"/>
    <d v="2021-09-30T00:00:00"/>
    <n v="0"/>
    <s v="adaptive resistance, heterogeneity, targeted therapeutics"/>
  </r>
  <r>
    <x v="475"/>
    <s v="University of Waterloo (Ontario)"/>
    <x v="0"/>
    <x v="44"/>
    <s v="201803PJT"/>
    <x v="12"/>
    <s v="Oxidative Damage of Bone Collagen As A Mechanism Of Bone Fragility"/>
    <n v="653157"/>
    <n v="0"/>
    <n v="0"/>
    <m/>
    <s v="4 yrs 0 mth "/>
    <x v="0"/>
    <s v="Biomedical Engineering-Biomaterials, Nanotechnology and Biomechanics; Musculoskeletal Health-Bone, Skin and Cartilage Sciences; Aging-Aging Process and Biological Determinants of Aging"/>
    <x v="47"/>
    <d v="2022-09-30T00:00:00"/>
    <n v="0"/>
    <s v="oxidative damage, bone collagen, bone fragility"/>
  </r>
  <r>
    <x v="676"/>
    <s v="University of Waterloo (Ontario)"/>
    <x v="0"/>
    <x v="44"/>
    <s v="201903PJT"/>
    <x v="11"/>
    <s v="Development of Novel Non-Platinum-Based Antitumor Agents for Natural Targeted Chemotherapy and Radiotherapy of Cervical, Lung and Ovarian Cancers"/>
    <n v="910350"/>
    <n v="0"/>
    <n v="0"/>
    <m/>
    <s v="5 yrs 0 mth "/>
    <x v="1"/>
    <s v="Biomedical Engineering-Biophysics, Medical Technologies and Instrumentation; Cancer-Cancer Drug Development and Therapeutics"/>
    <x v="48"/>
    <d v="2024-09-30T00:00:00"/>
    <n v="0"/>
    <s v="Non-Platinum, Antitumor, Chemotherapy"/>
  </r>
  <r>
    <x v="1213"/>
    <s v="University of Waterloo (Ontario)"/>
    <x v="0"/>
    <x v="44"/>
    <s v="202104PJT"/>
    <x v="11"/>
    <s v="Optical system for in-vivo imaging and label-free identification of stem cells in the human corneo-scleral limbus for treatment of corneal blindness"/>
    <n v="592876"/>
    <n v="0"/>
    <n v="0"/>
    <m/>
    <s v="5 yrs 0 mth "/>
    <x v="3"/>
    <s v="Biomedical Engineering-Biomedical Imaging; Neurosciences-Sensory Systems (including visual, auditory and pain)"/>
    <x v="45"/>
    <d v="2026-09-30T00:00:00"/>
    <n v="0"/>
    <s v="optical, imaging, stem cells"/>
  </r>
  <r>
    <x v="1214"/>
    <s v="University of Waterloo (Ontario)"/>
    <x v="0"/>
    <x v="44"/>
    <s v="202209PJT"/>
    <x v="11"/>
    <s v="Next Generation Surgical Microscopes for Rapid Virtual Histopathology"/>
    <n v="654076"/>
    <n v="0"/>
    <n v="0"/>
    <m/>
    <s v="4 yrs 0 mth "/>
    <x v="1"/>
    <s v="Biomedical Engineering-Biomedical Imaging; Cancer-Clinical Oncology; Artificial Intelligence-Artificial Intelligence"/>
    <x v="52"/>
    <d v="2027-03-31T00:00:00"/>
    <n v="3"/>
    <s v="Surgical Microscopes, Virtual Histopathology"/>
  </r>
  <r>
    <x v="1215"/>
    <s v="University of Waterloo (Ontario)"/>
    <x v="0"/>
    <x v="44"/>
    <s v="202303PJT"/>
    <x v="12"/>
    <s v="Bioengineered self-sealing synthetic arteriovenous graft for hemodialysis access"/>
    <n v="1086300"/>
    <n v="0"/>
    <n v="0"/>
    <m/>
    <s v="5 yrs 0 mth "/>
    <x v="11"/>
    <s v="Biomedical Engineering-Biomaterials, Nanotechnology and Biomechanics; Cardiovascular, Respiratory and Circulatory Systems-Vascular and Endothelial Biology; Biomedical Engineering-Regenerative Medicine and Tissue Engineering"/>
    <x v="36"/>
    <d v="2028-09-30T00:00:00"/>
    <n v="0"/>
    <s v="bioengineering, arteriovenous graft, hemodialysis"/>
  </r>
  <r>
    <x v="1216"/>
    <s v="University of Waterloo (Ontario)"/>
    <x v="0"/>
    <x v="44"/>
    <s v="202309PJT"/>
    <x v="11"/>
    <s v="Non-contact, high-resolution optical approach to assessing retinal neurovascular coupling in the healthy and glaucomatous retina"/>
    <n v="715275"/>
    <n v="0"/>
    <n v="0"/>
    <m/>
    <s v="5 yrs 0 mth "/>
    <x v="6"/>
    <s v="Biomedical Engineering-Biomedical Imaging; Neurosciences-Sensory Systems (including visual, auditory and pain); Neurosciences-Neurodegeneration; Aging - related to neurodegeneration of the visual system"/>
    <x v="46"/>
    <d v="2029-03-31T00:00:00"/>
    <n v="0"/>
    <s v="retinal, neurovascular, optical"/>
  </r>
  <r>
    <x v="1214"/>
    <s v="University of Waterloo (Ontario)"/>
    <x v="0"/>
    <x v="44"/>
    <s v="202403PJT"/>
    <x v="12"/>
    <s v="Accurate Retinal Oximetry for the Pre-Symptomatic Diagnosis of Major Blinding Diseases"/>
    <n v="757350"/>
    <n v="0"/>
    <n v="0"/>
    <m/>
    <s v="5 yrs 0 mth "/>
    <x v="4"/>
    <s v="Molecular, Cellular and Systems Biology-Molecular Biology; Biomedical Engineering-Biophysics, Medical Technologies and Instrumentation"/>
    <x v="54"/>
    <d v="2029-09-30T00:00:00"/>
    <n v="0"/>
    <s v="Retinal oximetry, diagnosis, blinding diseases"/>
  </r>
  <r>
    <x v="677"/>
    <s v="University of Windsor (Ontario)"/>
    <x v="0"/>
    <x v="44"/>
    <s v="201809PJT"/>
    <x v="6"/>
    <s v="Targeting Cell Cycle Checkpoints in Glioma"/>
    <n v="1044225"/>
    <n v="0"/>
    <n v="0"/>
    <m/>
    <s v="5 yrs 0 mth "/>
    <x v="1"/>
    <s v="Cancer-Mechanisms of Carcinogenesis; Genetics-Molecular and Functional Genetics and Epigenetics; Neurosciences-Neurogenesis, Neurodifferentiation and Plasticity"/>
    <x v="18"/>
    <d v="2024-03-31T00:00:00"/>
    <n v="1"/>
    <s v="Cell cycle, Checkpoints, Glioma"/>
  </r>
  <r>
    <x v="688"/>
    <s v="Western University (Ontario)"/>
    <x v="0"/>
    <x v="44"/>
    <s v="201803PJT"/>
    <x v="12"/>
    <s v="Novel Biomaterials-Based Strategies to Stimulate Periodontal Tissue Regeneration"/>
    <n v="703800"/>
    <n v="0"/>
    <n v="0"/>
    <m/>
    <s v="5 yrs 0 mth "/>
    <x v="0"/>
    <s v="Musculoskeletal Health-Oral Health; Biomedical Engineering-Regenerative Medicine and Tissue Engineering; Biomedical Engineering-Biomaterials, Nanotechnology and Biomechanics"/>
    <x v="47"/>
    <d v="2023-09-30T00:00:00"/>
    <n v="0"/>
    <s v="Biomaterials, Periodontal, Regeneration"/>
  </r>
  <r>
    <x v="692"/>
    <s v="Western University (Ontario)"/>
    <x v="0"/>
    <x v="44"/>
    <s v="201803PJT"/>
    <x v="11"/>
    <s v="Characterizing cerebral thrombus composition with Phase-based MRI"/>
    <n v="881664"/>
    <n v="0"/>
    <n v="0"/>
    <m/>
    <s v="5 yrs 0 mth "/>
    <x v="11"/>
    <s v="Biomedical Engineering-Biomedical Imaging"/>
    <x v="47"/>
    <d v="2023-09-30T00:00:00"/>
    <n v="0"/>
    <s v="cerebral thrombus, MRI, phase-based"/>
  </r>
  <r>
    <x v="1217"/>
    <s v="Western University (Ontario)"/>
    <x v="0"/>
    <x v="44"/>
    <s v="201809PJT"/>
    <x v="11"/>
    <s v="Hyperpolarised 13C MRI of Placental Metabolism in Intrauterine Growth Restriction"/>
    <n v="638776"/>
    <n v="0"/>
    <n v="0"/>
    <m/>
    <s v="4 yrs 0 mth "/>
    <x v="10"/>
    <s v="Biomedical Engineering-Biomedical Imaging; Reproduction and Development-Clinical Embryology, Neonatology and Pediatrics"/>
    <x v="18"/>
    <d v="2023-03-31T00:00:00"/>
    <n v="0"/>
    <s v="hyperpolarised, MRI, placental metabolism"/>
  </r>
  <r>
    <x v="1218"/>
    <s v="Western University (Ontario)"/>
    <x v="0"/>
    <x v="44"/>
    <s v="201809PJT"/>
    <x v="6"/>
    <s v="Novel anticancer immunotherapy targeting the molecular mechanisms of T cell suppression by immune checkpoints"/>
    <n v="956250"/>
    <n v="0"/>
    <n v="0"/>
    <m/>
    <s v="5 yrs 0 mth "/>
    <x v="1"/>
    <s v="Cancer-Cancer Drug Development and Therapeutics"/>
    <x v="18"/>
    <d v="2024-03-31T00:00:00"/>
    <n v="0"/>
    <s v="anticancer, immunotherapy, immune checkpoints"/>
  </r>
  <r>
    <x v="1219"/>
    <s v="Western University (Ontario)"/>
    <x v="0"/>
    <x v="44"/>
    <s v="201903PJT"/>
    <x v="23"/>
    <s v="Defining the role for ATF3 in recurrent pancreatic injury and PDAC"/>
    <n v="761176"/>
    <n v="0"/>
    <n v="0"/>
    <m/>
    <s v="5 yrs 0 mth "/>
    <x v="1"/>
    <s v="Cancer-Mechanisms of Carcinogenesis; Digestive, Endocrine and Excretory Systems-Gastroenterology and Hepatology"/>
    <x v="48"/>
    <d v="2024-09-30T00:00:00"/>
    <n v="0"/>
    <s v="ATF3, pancreatic injury, PDAC"/>
  </r>
  <r>
    <x v="1220"/>
    <s v="Western University (Ontario)"/>
    <x v="0"/>
    <x v="44"/>
    <s v="202010PJT"/>
    <x v="14"/>
    <s v="Development of a Novel Therapy to Prevent Breast Cancer Metastasis: Modulation of TAFI, a Master Regulator of Extracellular Proteolysis"/>
    <n v="722925"/>
    <n v="0"/>
    <n v="0"/>
    <m/>
    <s v="5 yrs 0 mth "/>
    <x v="1"/>
    <s v="Cancer-Cancer Progression and Metastasis; Molecular, Cellular and Systems Biology-Biochemistry; Cancer - Cancer Drug Development and Therapeutics"/>
    <x v="50"/>
    <d v="2026-03-31T00:00:00"/>
    <n v="0"/>
    <s v="Breast cancer, metastasis, TAFI"/>
  </r>
  <r>
    <x v="1221"/>
    <s v="Western University (Ontario)"/>
    <x v="0"/>
    <x v="44"/>
    <s v="202010PJT"/>
    <x v="13"/>
    <s v="Influence of breast cancer-derived extracellular vesicles (BCEVs) on lung metastasis of triple negative breast cancer"/>
    <n v="872100"/>
    <n v="0"/>
    <n v="0"/>
    <m/>
    <s v="5 yrs 0 mth "/>
    <x v="1"/>
    <s v="Cancer-Cancer Progression and Metastasis; Molecular, Cellular and Systems Biology-Cell Biology and Physiology; Molecular, Cellular and Systems Biology-Biochemistry"/>
    <x v="50"/>
    <d v="2026-03-31T00:00:00"/>
    <n v="0"/>
    <s v="extracellular vesicles, breast cancer, metastasis"/>
  </r>
  <r>
    <x v="697"/>
    <s v="Western University (Ontario)"/>
    <x v="0"/>
    <x v="44"/>
    <s v="202104PJT"/>
    <x v="11"/>
    <s v="Development of Magnetic Particle Imaging for In Vivo Cell Tracking"/>
    <n v="535500"/>
    <n v="0"/>
    <n v="0"/>
    <m/>
    <s v="5 yrs 0 mth "/>
    <x v="1"/>
    <s v="Biomedical Engineering-Biomedical Imaging; cell therapy"/>
    <x v="45"/>
    <d v="2026-09-30T00:00:00"/>
    <n v="0"/>
    <s v="Magnetic Particle Imaging, In Vivo, Cell Tracking"/>
  </r>
  <r>
    <x v="1222"/>
    <s v="Western University (Ontario)"/>
    <x v="0"/>
    <x v="44"/>
    <s v="202104PJT"/>
    <x v="11"/>
    <s v="Development of Molecular Imaging Tools to Monitor the Fate of an Off-The-Shelf Chimeric Antigen Receptor Natural Killer (CAR-NK) Cell Immunotherapy"/>
    <n v="799426"/>
    <n v="0"/>
    <n v="0"/>
    <m/>
    <s v="5 yrs 0 mth "/>
    <x v="1"/>
    <s v="Biomedical Engineering-Biomedical Imaging; Cancer-Cancer Drug Development and Therapeutics; Molecular, Cellular and Systems Biology-Molecular Biology"/>
    <x v="45"/>
    <d v="2026-09-30T00:00:00"/>
    <n v="0"/>
    <s v="Molecular Imaging, Chimeric Antigen Receptor, Natural Killer"/>
  </r>
  <r>
    <x v="1223"/>
    <s v="Western University (Ontario)"/>
    <x v="0"/>
    <x v="44"/>
    <s v="202109PJT"/>
    <x v="11"/>
    <s v="Microstructural MRI in Temporal Lobe Epilepsy"/>
    <n v="581400"/>
    <n v="0"/>
    <n v="0"/>
    <m/>
    <s v="5 yrs 0 mth "/>
    <x v="3"/>
    <s v="Biomedical Engineering-Biomedical Imaging; Neurosciences-Neurological disorders"/>
    <x v="51"/>
    <d v="2027-03-31T00:00:00"/>
    <n v="0"/>
    <s v="Microstructural MRI, Temporal Lobe Epilepsy"/>
  </r>
  <r>
    <x v="700"/>
    <s v="Western University (Ontario)"/>
    <x v="0"/>
    <x v="44"/>
    <s v="202209PJT"/>
    <x v="14"/>
    <s v="Targeted and immuno-therapy to overcome innate and acquired resistance in aggressive MAPK-addicted cancers."/>
    <n v="990675"/>
    <n v="0"/>
    <n v="0"/>
    <m/>
    <s v="5 yrs 0 mth "/>
    <x v="1"/>
    <s v="Cancer-Cancer Drug Development and Therapeutics; Cancer-Cancer Progression and Metastasis"/>
    <x v="52"/>
    <d v="2028-03-31T00:00:00"/>
    <n v="0"/>
    <s v="immuno-therapy, MAPK, resistance"/>
  </r>
  <r>
    <x v="686"/>
    <s v="Western University (Ontario)"/>
    <x v="0"/>
    <x v="44"/>
    <s v="202209PJT"/>
    <x v="11"/>
    <s v="Combined gamma probe and ultrasound imaging system for cancer surgery"/>
    <n v="807075"/>
    <n v="0"/>
    <n v="0"/>
    <m/>
    <s v="5 yrs 0 mth "/>
    <x v="1"/>
    <s v="Biomedical Engineering-Biomedical Imaging; Cancer-Cancer Drug Development and Therapeutics"/>
    <x v="56"/>
    <d v="2028-06-30T00:00:00"/>
    <n v="0"/>
    <s v="gamma probe, ultrasound, imaging"/>
  </r>
  <r>
    <x v="1224"/>
    <s v="Western University (Ontario)"/>
    <x v="0"/>
    <x v="44"/>
    <s v="202303PJT"/>
    <x v="11"/>
    <s v="Histopathology image analysis for prostate cancer prognosis after radical prostatectomy"/>
    <n v="592876"/>
    <n v="0"/>
    <n v="0"/>
    <m/>
    <s v="5 yrs 0 mth "/>
    <x v="1"/>
    <s v="Cancer-Clinical Oncology; Biomedical Engineering-Biophysics, Medical Technologies and Instrumentation; Artificial Intelligence-Machine Learning"/>
    <x v="36"/>
    <d v="2028-09-30T00:00:00"/>
    <n v="0"/>
    <s v="histopathology, image analysis, prostate cancer"/>
  </r>
  <r>
    <x v="690"/>
    <s v="Western University (Ontario)"/>
    <x v="0"/>
    <x v="44"/>
    <s v="201909PJT"/>
    <x v="23"/>
    <s v="Tumour-suppressive regulation of the Wnt/e-catenin signaling pathway by the CTLH complex"/>
    <n v="807075"/>
    <n v="0"/>
    <n v="0"/>
    <m/>
    <s v="5 yrs 0 mth "/>
    <x v="1"/>
    <s v="Cancer-Mechanisms of Carcinogenesis"/>
    <x v="13"/>
    <d v="2025-03-31T00:00:00"/>
    <n v="0"/>
    <s v="Wnt, e-catenin, CTLH"/>
  </r>
  <r>
    <x v="1225"/>
    <s v="Women's College Hospital (Toronto)"/>
    <x v="0"/>
    <x v="44"/>
    <s v="202309PJT"/>
    <x v="14"/>
    <s v="An observational study of treatment and outcomes among BRCA1 carriers with breast cancer"/>
    <n v="765000"/>
    <n v="0"/>
    <n v="0"/>
    <m/>
    <s v="5 yrs 0 mth "/>
    <x v="1"/>
    <s v="Cancer-Cancer Progression and Metastasis; Genetics-Clinical Genetics"/>
    <x v="58"/>
    <d v="2029-06-30T00:00:00"/>
    <n v="0"/>
    <s v="BRCA1, breast cancer, outcomes"/>
  </r>
  <r>
    <x v="1226"/>
    <s v="York University (Toronto, Ontario)"/>
    <x v="0"/>
    <x v="44"/>
    <s v="202209PJT"/>
    <x v="12"/>
    <s v="Tissue Engineering of 3D bone marrow niche for hematopoietic stem cells vs acute myeloid leukemia stem cell molecular target and therapeutics discovery"/>
    <n v="730575"/>
    <n v="0"/>
    <n v="0"/>
    <m/>
    <s v="5 yrs 0 mth "/>
    <x v="1"/>
    <s v="Biomedical Engineering-Regenerative Medicine and Tissue Engineering; Cancer-Cancer Drug Development and Therapeutics"/>
    <x v="52"/>
    <d v="2028-03-31T00:00:00"/>
    <n v="0"/>
    <s v="tissue engineering, bone marrow, hematopoietic stem cells"/>
  </r>
  <r>
    <x v="1227"/>
    <s v="McGill University"/>
    <x v="2"/>
    <x v="45"/>
    <s v="202209ARB"/>
    <x v="24"/>
    <s v="Phenotypic Profiling of Antibiotic Susceptibility via a Multiplexed Colorimetric Fluidic Assay"/>
    <n v="100000"/>
    <n v="0"/>
    <n v="0"/>
    <m/>
    <s v="1 yr 0 mth "/>
    <x v="7"/>
    <s v="Biomedical Engineering-Biophysics, Medical Technologies and Instrumentation; Immunology and Infection-Antimicrobial Drug Resistance, Drug Discovery and Therapeutics (including vaccines)"/>
    <x v="44"/>
    <d v="2024-02-29T00:00:00"/>
    <n v="1"/>
    <s v="Phenotypic profiling, Antibiotic susceptibility, Colorimetric assay"/>
  </r>
  <r>
    <x v="1228"/>
    <s v="Children's Hospital of Eastern Ontario Research Institute Inc"/>
    <x v="0"/>
    <x v="46"/>
    <s v="202209PLL"/>
    <x v="6"/>
    <s v="Viralyzing transgenes to improve oncolytic immunotherapy"/>
    <n v="100000"/>
    <n v="0"/>
    <n v="0"/>
    <m/>
    <s v="1 yr 0 mth "/>
    <x v="1"/>
    <s v="Biomedical Engineering-Biomaterials, Nanotechnology and Biomechanics; Genetics-Genomics, Transcriptomics and Proteomics; Immunology and Infection-Virology"/>
    <x v="44"/>
    <d v="2024-02-29T00:00:00"/>
    <n v="0"/>
    <s v="Viralyzing, transgenes, immunotherapy"/>
  </r>
  <r>
    <x v="356"/>
    <s v="CIUSSS de Centre-Ouest-de-l'Ile-de-Montréal-Jewish General"/>
    <x v="2"/>
    <x v="46"/>
    <s v="202109PLL"/>
    <x v="14"/>
    <s v="Inducing oxidative stress as a mechanism to increase the clinical impact of complex I inhibitors in treating aggressive breast cancers."/>
    <n v="100000"/>
    <n v="0"/>
    <n v="0"/>
    <m/>
    <s v="1 yr 0 mth "/>
    <x v="1"/>
    <s v="Cancer-Cancer Drug Development and Therapeutics; Cancer-Cancer Progression and Metastasis"/>
    <x v="59"/>
    <d v="2023-02-28T00:00:00"/>
    <n v="0"/>
    <s v="oxidative stress, complex I inhibitors, breast cancers"/>
  </r>
  <r>
    <x v="359"/>
    <s v="CIUSSS de Centre-Ouest-de-l'Ile-de-Montréal-Jewish General"/>
    <x v="2"/>
    <x v="46"/>
    <s v="202209PLL"/>
    <x v="14"/>
    <s v="Targeting changes to chromatin architecture that promote breast cancer metastasis."/>
    <n v="100000"/>
    <n v="0"/>
    <n v="0"/>
    <m/>
    <s v="1 yr 0 mth "/>
    <x v="1"/>
    <s v="Cancer-Cancer Progression and Metastasis"/>
    <x v="36"/>
    <d v="2024-09-30T00:00:00"/>
    <n v="0"/>
    <s v="chromatin, breast cancer, metastasis"/>
  </r>
  <r>
    <x v="359"/>
    <s v="CIUSSS de Centre-Ouest-de-l'Ile-de-Montréal-Jewish General"/>
    <x v="2"/>
    <x v="46"/>
    <s v="202303PLL"/>
    <x v="14"/>
    <s v="Targeting changes to chromatin architecture that promote breast cancer metastasis."/>
    <n v="100000"/>
    <n v="0"/>
    <n v="0"/>
    <m/>
    <s v="1 yr 0 mth "/>
    <x v="1"/>
    <s v="Cancer-Cancer Progression and Metastasis"/>
    <x v="36"/>
    <d v="2024-09-30T00:00:00"/>
    <n v="0"/>
    <s v="chromatin, breast cancer, metastasis"/>
  </r>
  <r>
    <x v="878"/>
    <s v="CIUSSS de Centre-Ouest-de-l'Ile-de-Montréal-Jewish General"/>
    <x v="2"/>
    <x v="46"/>
    <s v="202309PLL"/>
    <x v="23"/>
    <s v="Altering the gut microbiome in Triple- negative breast cancer: a pilot study"/>
    <n v="100000"/>
    <n v="0"/>
    <n v="0"/>
    <m/>
    <s v="1 yr 0 mth "/>
    <x v="1"/>
    <s v="Cancer-Cancer Drug Development and Therapeutics"/>
    <x v="53"/>
    <d v="2025-02-28T00:00:00"/>
    <n v="0"/>
    <s v="gut microbiome, breast cancer, triple-negative"/>
  </r>
  <r>
    <x v="1229"/>
    <s v="CIUSSS Est-de-l'Ile-de- Montréal-Maisonneuve Rosemont"/>
    <x v="2"/>
    <x v="46"/>
    <s v="202109PLL"/>
    <x v="14"/>
    <s v="Targeting BMP signaling in the tumor endothelium to improve cancer immunotherapy"/>
    <n v="100000"/>
    <n v="0"/>
    <n v="0"/>
    <m/>
    <s v="1 yr 0 mth "/>
    <x v="1"/>
    <s v="Cancer-Cancer Progression and Metastasis; Cardiovascular, Respiratory and Circulatory Systems-Vascular and Endothelial Biology; Immunology and Infection-Transplantation, Immune Tolerance and Tumor Immunology"/>
    <x v="59"/>
    <d v="2023-02-28T00:00:00"/>
    <n v="0"/>
    <s v="BMP, signaling, endothelium"/>
  </r>
  <r>
    <x v="886"/>
    <s v="CIUSSS Est-de-l'Ile-de- Montréal-Maisonneuve Rosemont"/>
    <x v="2"/>
    <x v="46"/>
    <s v="202309PLL"/>
    <x v="23"/>
    <s v="Exploiting translational reprogramming in neoplasia to devise unique strategies to eliminate cancer and cancer-promoting senescent cells"/>
    <n v="100000"/>
    <n v="0"/>
    <n v="0"/>
    <m/>
    <s v="1 yr 0 mth "/>
    <x v="1"/>
    <s v="Molecular, Cellular and Systems Biology-Biochemistry; Cancer-Cancer Progression and Metastasis; Cancer-Mechanisms of Carcinogenesis"/>
    <x v="54"/>
    <d v="2029-09-30T00:00:00"/>
    <n v="0"/>
    <s v="translational reprogramming, neoplasia, cancer"/>
  </r>
  <r>
    <x v="370"/>
    <s v="Dalhousie University (Nova Scotia)"/>
    <x v="6"/>
    <x v="46"/>
    <s v="202209PLL"/>
    <x v="13"/>
    <s v="Identification of lncRNAs that regulate biological processes required for breast cancer progression"/>
    <n v="100000"/>
    <n v="0"/>
    <n v="0"/>
    <m/>
    <s v="1 yr 0 mth "/>
    <x v="1"/>
    <s v="Cancer-Cancer Progression and Metastasis"/>
    <x v="44"/>
    <d v="2024-02-29T00:00:00"/>
    <n v="0"/>
    <s v="lncRNAs, breast cancer, biological processes"/>
  </r>
  <r>
    <x v="927"/>
    <s v="McGill University"/>
    <x v="2"/>
    <x v="46"/>
    <s v="202109PLL"/>
    <x v="12"/>
    <s v="Engineering injectable cold atmospheric plasma-preserved hydrogel to treat breast cancer"/>
    <n v="100000"/>
    <n v="0"/>
    <n v="0"/>
    <m/>
    <s v="1 yr 0 mth "/>
    <x v="1"/>
    <s v="Biomedical Engineering-Biomaterials, Nanotechnology and Biomechanics"/>
    <x v="37"/>
    <d v="2027-09-30T00:00:00"/>
    <n v="0"/>
    <s v="injectable, plasma, hydrogel"/>
  </r>
  <r>
    <x v="1230"/>
    <s v="McGill University"/>
    <x v="2"/>
    <x v="46"/>
    <s v="202209PLL"/>
    <x v="14"/>
    <s v="Characterization of human TFE3 isoforms as drivers in breast cancer"/>
    <n v="100000"/>
    <n v="0"/>
    <n v="0"/>
    <m/>
    <s v="1 yr 0 mth "/>
    <x v="1"/>
    <s v="Cancer-Cancer Progression and Metastasis; Cancer-Mechanisms of Carcinogenesis"/>
    <x v="44"/>
    <d v="2024-02-29T00:00:00"/>
    <n v="0"/>
    <s v="TFE3, isoforms, breast cancer"/>
  </r>
  <r>
    <x v="423"/>
    <s v="McGill University"/>
    <x v="2"/>
    <x v="46"/>
    <s v="202209PLL"/>
    <x v="6"/>
    <s v="Chi3L1 (YKL-40) plays a multifaceted role in modulating tumor immune microenvironment during breast cancer progression."/>
    <n v="100000"/>
    <n v="0"/>
    <n v="0"/>
    <m/>
    <s v="1 yr 0 mth "/>
    <x v="1"/>
    <s v="Cancer-Mechanisms of Carcinogenesis"/>
    <x v="36"/>
    <d v="2028-09-30T00:00:00"/>
    <n v="0"/>
    <s v="Chi3L1, immune microenvironment, breast cancer"/>
  </r>
  <r>
    <x v="423"/>
    <s v="McGill University"/>
    <x v="2"/>
    <x v="46"/>
    <s v="202303PLL"/>
    <x v="14"/>
    <s v="Identifying the molecular and environmental factors involved in promoting escape from breast cancer dormancy."/>
    <n v="100000"/>
    <n v="0"/>
    <n v="0"/>
    <m/>
    <s v="1 yr 0 mth "/>
    <x v="1"/>
    <s v="Cancer-Cancer Progression and Metastasis"/>
    <x v="46"/>
    <d v="2029-03-31T00:00:00"/>
    <n v="0"/>
    <s v="breast cancer, dormancy, molecular factors"/>
  </r>
  <r>
    <x v="1231"/>
    <s v="Université Laval"/>
    <x v="2"/>
    <x v="46"/>
    <s v="202209PLL"/>
    <x v="14"/>
    <s v="TBC1D9: therapeutic target of the aggressiveness of triple negative breast cancer"/>
    <n v="100000"/>
    <n v="0"/>
    <n v="0"/>
    <m/>
    <s v="1 yr 0 mth "/>
    <x v="1"/>
    <s v="Cancer-Cancer Progression and Metastasis"/>
    <x v="44"/>
    <d v="2024-02-29T00:00:00"/>
    <n v="0"/>
    <s v="TBC1D9, breast cancer, triple negative"/>
  </r>
  <r>
    <x v="1109"/>
    <s v="University of Alberta"/>
    <x v="1"/>
    <x v="46"/>
    <s v="202109PLL"/>
    <x v="23"/>
    <s v="Erythroid progenitors and precursors impair tumor immunogenicity and promote tumour progression in breast cancer"/>
    <n v="100000"/>
    <n v="0"/>
    <n v="0"/>
    <m/>
    <s v="1 yr 0 mth "/>
    <x v="1"/>
    <s v="Cancer-Cancer Progression and Metastasis"/>
    <x v="59"/>
    <d v="2023-02-28T00:00:00"/>
    <n v="0"/>
    <s v="erythroid progenitors, tumor immunogenicity, breast cancer"/>
  </r>
  <r>
    <x v="1109"/>
    <s v="University of Alberta"/>
    <x v="1"/>
    <x v="46"/>
    <s v="202303PLL"/>
    <x v="14"/>
    <s v="Erythroid progenitors and precursors impair tumor immunogenicity and promote tumour progression in breast cancer"/>
    <n v="100000"/>
    <n v="0"/>
    <n v="0"/>
    <m/>
    <s v="1 yr 0 mth "/>
    <x v="1"/>
    <s v="Cancer-Cancer Progression and Metastasis"/>
    <x v="59"/>
    <d v="2023-02-28T00:00:00"/>
    <n v="0"/>
    <s v="erythroid progenitors, tumor immunogenicity, breast cancer"/>
  </r>
  <r>
    <x v="1232"/>
    <s v="University of Alberta"/>
    <x v="1"/>
    <x v="46"/>
    <s v="202309PLL"/>
    <x v="13"/>
    <s v="Role of USP7 and Potential Therapy in Human Cancers."/>
    <n v="100000"/>
    <n v="0"/>
    <n v="0"/>
    <m/>
    <s v="1 yr 0 mth "/>
    <x v="1"/>
    <s v="Cancer-Cancer Progression and Metastasis; Molecular, Cellular and Systems Biology-Molecular Biology"/>
    <x v="53"/>
    <d v="2025-02-28T00:00:00"/>
    <n v="0"/>
    <s v="USP7, Cancer, Therapy"/>
  </r>
  <r>
    <x v="1233"/>
    <s v="University of British Columbia"/>
    <x v="3"/>
    <x v="46"/>
    <s v="202209PLL"/>
    <x v="6"/>
    <s v="Podocalyxin's role in tumor invasion, metastasis, and immune evasion"/>
    <n v="100000"/>
    <n v="0"/>
    <n v="0"/>
    <m/>
    <s v="1 yr 0 mth "/>
    <x v="1"/>
    <s v="Cancer-Cancer Drug Development and Therapeutics; Cancer-Cancer Progression and Metastasis; Immunology and Infection-Transplantation, Immune Tolerance and Tumor Immunology"/>
    <x v="44"/>
    <d v="2024-02-29T00:00:00"/>
    <n v="0"/>
    <s v="Podocalyxin, tumor invasion, metastasis"/>
  </r>
  <r>
    <x v="1155"/>
    <s v="University of British Columbia"/>
    <x v="3"/>
    <x v="46"/>
    <s v="202209PLL"/>
    <x v="13"/>
    <s v="Characterizing and validating diacetylspermine as a metabolic biomarker of drug response and precision treatment in triple-negative breast cancer"/>
    <n v="100000"/>
    <n v="0"/>
    <n v="0"/>
    <m/>
    <s v="1 yr 0 mth "/>
    <x v="1"/>
    <s v="Cancer-Cancer Drug Development and Therapeutics"/>
    <x v="44"/>
    <d v="2024-02-29T00:00:00"/>
    <n v="0"/>
    <s v="diacetylspermine, biomarker, breast cancer"/>
  </r>
  <r>
    <x v="1155"/>
    <s v="University of British Columbia"/>
    <x v="3"/>
    <x v="46"/>
    <s v="202309PLL"/>
    <x v="13"/>
    <s v="Characterizing diacetylspermine as a biomarker of drug response and precision treatment in triple-negative breast cancer"/>
    <n v="100000"/>
    <n v="0"/>
    <n v="0"/>
    <m/>
    <s v="1 yr 0 mth "/>
    <x v="1"/>
    <s v="Cancer-Cancer Drug Development and Therapeutics"/>
    <x v="53"/>
    <d v="2025-02-28T00:00:00"/>
    <n v="0"/>
    <s v="diacetylspermine, biomarker, breast cancer"/>
  </r>
  <r>
    <x v="647"/>
    <s v="University of Guelph"/>
    <x v="0"/>
    <x v="46"/>
    <s v="202309PLL"/>
    <x v="13"/>
    <s v="The role of MXRA8 in breast cancer growth and metastasis"/>
    <n v="100000"/>
    <n v="0"/>
    <n v="0"/>
    <m/>
    <s v="1 yr 0 mth "/>
    <x v="1"/>
    <s v="Cancer-Cancer Progression and Metastasis"/>
    <x v="53"/>
    <d v="2025-02-28T00:00:00"/>
    <n v="0"/>
    <s v="MXRA8, breast cancer, metastasis"/>
  </r>
  <r>
    <x v="658"/>
    <s v="University of Saskatchewan"/>
    <x v="8"/>
    <x v="46"/>
    <s v="202109PLL"/>
    <x v="14"/>
    <s v="Targeting metastatic breast cancer"/>
    <n v="100000"/>
    <n v="0"/>
    <n v="0"/>
    <m/>
    <s v="1 yr 0 mth "/>
    <x v="1"/>
    <s v="BREAST CANCER; BREAST CANCER THERAPY; CANCER"/>
    <x v="26"/>
    <d v="2015-09-30T00:00:00"/>
    <n v="1"/>
    <s v="Metastatic, Breast Cancer"/>
  </r>
  <r>
    <x v="1234"/>
    <s v="University of Saskatchewan"/>
    <x v="8"/>
    <x v="46"/>
    <s v="202309PLL"/>
    <x v="13"/>
    <s v="Targeting the EGFR/EphA2 crosstalk in triple negative breast cancer"/>
    <n v="100000"/>
    <n v="0"/>
    <n v="0"/>
    <m/>
    <s v="1 yr 0 mth "/>
    <x v="1"/>
    <s v="Cancer-Cancer Drug Development and Therapeutics; Molecular, Cellular and Systems Biology-Systems Biology"/>
    <x v="53"/>
    <d v="2025-02-28T00:00:00"/>
    <n v="0"/>
    <s v="EGFR, EphA2, breast cancer"/>
  </r>
  <r>
    <x v="1235"/>
    <s v="University of Windsor (Ontario)"/>
    <x v="0"/>
    <x v="46"/>
    <s v="202309PLL"/>
    <x v="6"/>
    <s v="Regulation of natural killer cell-mediated immune response in breast cancer"/>
    <n v="100000"/>
    <n v="0"/>
    <n v="0"/>
    <m/>
    <s v="1 yr 0 mth "/>
    <x v="1"/>
    <s v="Immunology and Infection-Transplantation, Immune Tolerance and Tumor Immunology; Cancer-Cancer Drug Development and Therapeutics"/>
    <x v="53"/>
    <d v="2025-02-28T00:00:00"/>
    <n v="0"/>
    <s v="natural killer, immune response, breast cancer"/>
  </r>
  <r>
    <x v="1236"/>
    <s v="Sunnybrook Research Institute (Toronto, Ontario)"/>
    <x v="0"/>
    <x v="47"/>
    <s v="202010PWW"/>
    <x v="23"/>
    <s v="A trial to evaluate the safety and feasibility of blood-brain brain opening using MRI-guided focused ultrasound in the treatment of Her2-positive breast cancer brain metastases"/>
    <n v="100000"/>
    <n v="0"/>
    <n v="0"/>
    <m/>
    <s v="1 yr 0 mth "/>
    <x v="1"/>
    <s v="Cancer-Cancer Progression and Metastasis"/>
    <x v="61"/>
    <d v="2022-02-28T00:00:00"/>
    <n v="1"/>
    <s v="MRI, focused ultrasound, brain metastases"/>
  </r>
  <r>
    <x v="1222"/>
    <s v="Western University (Ontario)"/>
    <x v="0"/>
    <x v="47"/>
    <s v="202010PWW"/>
    <x v="11"/>
    <s v="Development of Molecular Imaging Tools to Monitor the Fate of an Off-The-Shelf Chimeric Antigen Receptor Natural Killer (CAR-NK) Cell Immunotherapy for Breast Cancer"/>
    <n v="100000"/>
    <n v="0"/>
    <n v="0"/>
    <m/>
    <s v="1 yr 0 mth "/>
    <x v="1"/>
    <s v="Biomedical Engineering-Biomedical Imaging; Cancer-Cancer Drug Development and Therapeutics; Molecular, Cellular and Systems Biology-Molecular Biology"/>
    <x v="61"/>
    <d v="2022-02-28T00:00:00"/>
    <n v="0"/>
    <s v="Molecular Imaging, Chimeric Antigen Receptor, Natural Killer"/>
  </r>
  <r>
    <x v="1237"/>
    <s v="Centre hospitalier universitaire Sainte-Justine (Montréal, Québec)"/>
    <x v="2"/>
    <x v="48"/>
    <s v="202003PJG"/>
    <x v="23"/>
    <s v="4D spheroids identify type I protein arginine methyltransferases as a target in NSCLC"/>
    <n v="100000"/>
    <n v="0"/>
    <n v="0"/>
    <m/>
    <s v="1 yr 0 mth "/>
    <x v="1"/>
    <s v="Cancer-Cancer Drug Development and Therapeutics; Pharmacological, Toxicological and Pharmaceutical Sciences-Drug Action, Toxicology and Metabolism"/>
    <x v="49"/>
    <d v="2021-09-30T00:00:00"/>
    <n v="0"/>
    <s v="4D, spheroids, NSCLC"/>
  </r>
  <r>
    <x v="1018"/>
    <s v="Université de Montréal"/>
    <x v="2"/>
    <x v="48"/>
    <s v="202003PJG"/>
    <x v="23"/>
    <s v="Investigating the metabolic determinants of triple-negative breast cancer progression through chromatin dependencies"/>
    <n v="100000"/>
    <n v="0"/>
    <n v="0"/>
    <m/>
    <s v="1 yr 0 mth "/>
    <x v="1"/>
    <s v="Cancer-Cancer Progression and Metastasis; Cancer-Mechanisms of Carcinogenesis; Molecular, Cellular and Systems Biology-Systems Biology; Cancer - Treatment Genetics - Molecular and Functional Genetics and Epigenetics"/>
    <x v="51"/>
    <d v="2027-03-31T00:00:00"/>
    <n v="0"/>
    <s v="metabolic, breast cancer, chromatin"/>
  </r>
  <r>
    <x v="1018"/>
    <s v="Université de Montréal"/>
    <x v="2"/>
    <x v="48"/>
    <s v="202104PJG"/>
    <x v="14"/>
    <s v="Investigating the metabolic determinants of triple-negative breast cancer progression through chromatin dependencies"/>
    <n v="100000"/>
    <n v="0"/>
    <n v="0"/>
    <m/>
    <s v="1 yr 0 mth "/>
    <x v="1"/>
    <s v="Cancer-Cancer Progression and Metastasis; Cancer-Mechanisms of Carcinogenesis; Molecular, Cellular and Systems Biology-Systems Biology; Cancer - Treatment Genetics - Molecular and Functional Genetics and Epigenetics"/>
    <x v="51"/>
    <d v="2027-03-31T00:00:00"/>
    <n v="0"/>
    <s v="metabolic, breast cancer, chromatin"/>
  </r>
  <r>
    <x v="1238"/>
    <s v="University of Toronto"/>
    <x v="0"/>
    <x v="49"/>
    <s v="202203PTT"/>
    <x v="24"/>
    <s v="Making donated lungs infected with cytomegalovirus safer: nanoparticle-mediated deletion of essential viral genes prior to transplant using ex vivo lung perfusion"/>
    <n v="300000"/>
    <n v="0"/>
    <n v="0"/>
    <m/>
    <s v="3 yrs 0 mth "/>
    <x v="7"/>
    <s v="Biomedical Engineering-Biomaterials, Nanotechnology and Biomechanics"/>
    <x v="37"/>
    <d v="2025-09-30T00:00:00"/>
    <n v="0"/>
    <s v="cytomegalovirus, nanoparticle, lung perfusion"/>
  </r>
  <r>
    <x v="1239"/>
    <s v="University of British Columbia"/>
    <x v="3"/>
    <x v="50"/>
    <s v="201809PJ5"/>
    <x v="12"/>
    <s v="Bone hypermineralization in older men and women and its impact on hip fragility"/>
    <n v="100000"/>
    <n v="0"/>
    <n v="0"/>
    <m/>
    <s v="1 yr 0 mth "/>
    <x v="0"/>
    <s v="Musculoskeletal Health-Bone, Skin and Cartilage Sciences"/>
    <x v="62"/>
    <d v="2020-02-29T00:00:00"/>
    <n v="0"/>
    <s v="bone, hypermineralization, fragility"/>
  </r>
  <r>
    <x v="655"/>
    <s v="University of Ottawa"/>
    <x v="0"/>
    <x v="50"/>
    <s v="201803PJ5"/>
    <x v="12"/>
    <s v="Identification of molecular mechanisms involved in the biological response to implant wear and corrosion"/>
    <n v="100000"/>
    <n v="0"/>
    <n v="0"/>
    <m/>
    <s v="1 yr 0 mth "/>
    <x v="0"/>
    <s v="Biomedical Engineering-Biomaterials, Nanotechnology and Biomechanics; Musculoskeletal Health-Bone, Skin and Cartilage Sciences"/>
    <x v="13"/>
    <d v="2025-03-31T00:00:00"/>
    <n v="0"/>
    <s v="molecular mechanisms, implant wear, corrosion"/>
  </r>
  <r>
    <x v="1240"/>
    <s v="University of British Columbia"/>
    <x v="3"/>
    <x v="51"/>
    <s v="201903PJ7"/>
    <x v="13"/>
    <s v="Genomic, Epigenomic, and Phenotypic Characterization of Oral Premalignant Fields for the Development of Actionable Prevention Strategies"/>
    <n v="100000"/>
    <n v="0"/>
    <n v="0"/>
    <m/>
    <s v="1 yr 0 mth "/>
    <x v="1"/>
    <s v="Cancer-Mechanisms of Carcinogenesis"/>
    <x v="48"/>
    <d v="2020-09-30T00:00:00"/>
    <n v="0"/>
    <s v="Genomic, Epigenomic, Phenotypic"/>
  </r>
  <r>
    <x v="1241"/>
    <s v="University of British Columbia"/>
    <x v="3"/>
    <x v="52"/>
    <s v="201903PJ6"/>
    <x v="12"/>
    <s v="Development and application of a Multifunctional Nutrient-rich Composite Scaffold for Treatment of Complex Wounds"/>
    <n v="100000"/>
    <n v="0"/>
    <n v="0"/>
    <m/>
    <s v="1 yr 0 mth "/>
    <x v="0"/>
    <s v="Biomedical Engineering-Regenerative Medicine and Tissue Engineering"/>
    <x v="48"/>
    <d v="2021-09-30T00:00:00"/>
    <n v="0"/>
    <s v="Nutrient-rich, Composite Scaffold, Wounds"/>
  </r>
  <r>
    <x v="1242"/>
    <s v="University of Waterloo (Ontario)"/>
    <x v="0"/>
    <x v="53"/>
    <s v="202109PAY"/>
    <x v="12"/>
    <s v="A prospective investigation for characterization and predictive modeling of cage subsidence following anterior spinal column reconstruction"/>
    <n v="100000"/>
    <n v="0"/>
    <n v="0"/>
    <m/>
    <s v="1 yr 0 mth "/>
    <x v="0"/>
    <s v="Biomedical Engineering-Biomaterials, Nanotechnology and Biomechanics; Biomedical Engineering-Biomedical Imaging"/>
    <x v="59"/>
    <d v="2023-02-28T00:00:00"/>
    <n v="0"/>
    <s v="cage subsidence, anterior spinal, predictive modeling"/>
  </r>
  <r>
    <x v="335"/>
    <s v="Baycrest Centre for Geriatric Care (Toronto)"/>
    <x v="0"/>
    <x v="54"/>
    <s v="201909PJ8"/>
    <x v="11"/>
    <s v="Mapping cellular and extracellular white-matter changes in aging using MRI: Towards clinical translation"/>
    <n v="77500"/>
    <n v="0"/>
    <n v="0"/>
    <m/>
    <s v="1 yr 0 mth "/>
    <x v="6"/>
    <s v="Biomedical Engineering-Biomedical Imaging; Aging-Aging Process and Biological Determinants of Aging"/>
    <x v="60"/>
    <d v="2021-02-28T00:00:00"/>
    <n v="1"/>
    <s v="white-matter, MRI, aging"/>
  </r>
  <r>
    <x v="1166"/>
    <s v="University of Calgary"/>
    <x v="1"/>
    <x v="54"/>
    <s v="201909PJ8"/>
    <x v="11"/>
    <s v="Prediction of multiple sclerosis disability worsening scores using multi-stream deep learning"/>
    <n v="100000"/>
    <n v="0"/>
    <n v="0"/>
    <m/>
    <s v="1 yr 0 mth "/>
    <x v="3"/>
    <s v="Neurosciences-Neurological disorders; Biomedical Engineering-Biomedical Imaging"/>
    <x v="60"/>
    <d v="2021-02-28T00:00:00"/>
    <n v="0"/>
    <s v="multiple sclerosis, deep learning, disability scoring"/>
  </r>
  <r>
    <x v="645"/>
    <s v="University of Calgary"/>
    <x v="1"/>
    <x v="55"/>
    <s v="201809PJ9"/>
    <x v="12"/>
    <s v="Scalable production, delivery and assessment of human pseudoislets for research and clinical applications"/>
    <n v="100000"/>
    <n v="0"/>
    <n v="0"/>
    <m/>
    <s v="1 yr 0 mth "/>
    <x v="4"/>
    <s v="Biomedical Engineering-Regenerative Medicine and Tissue Engineering; Digestive, Endocrine and Excretory Systems-Metabolism and Disease (including Obesity, Diabetes and Metabolomics)"/>
    <x v="62"/>
    <d v="2020-02-29T00:00:00"/>
    <n v="0"/>
    <s v="pseudoislets, production, delivery"/>
  </r>
  <r>
    <x v="1243"/>
    <s v="University of British Columbia"/>
    <x v="3"/>
    <x v="56"/>
    <s v="202209PPE"/>
    <x v="11"/>
    <s v="Artificial intelligence assisted Method, Optimizing the Prediction of Patient Outcomes among Long COVID-19 Patients."/>
    <n v="100000"/>
    <n v="0"/>
    <n v="0"/>
    <m/>
    <s v="1 yr 0 mth "/>
    <x v="2"/>
    <s v="Artificial Intelligence-Machine Learning; Health Services and Systems-Personalized Medicine; Indigenous Health-Indigenous Peoples' Health"/>
    <x v="44"/>
    <d v="2024-02-29T00:00:00"/>
    <n v="0"/>
    <s v="artificial intelligence, prediction, COVID-19"/>
  </r>
  <r>
    <x v="1033"/>
    <s v="Université Laval"/>
    <x v="2"/>
    <x v="57"/>
    <s v="202010PJX"/>
    <x v="12"/>
    <s v="Tissue-engineered solutions for uro-genital reconstruction, and replacing banned synthetic meshes."/>
    <n v="100000"/>
    <n v="0"/>
    <n v="0"/>
    <m/>
    <s v="1 yr 0 mth "/>
    <x v="9"/>
    <s v="Biomedical Engineering-Regenerative Medicine and Tissue Engineering; Reproduction and Development-Developmental Biology and Organogenesis; Molecular, Cellular and Systems Biology-Cell Biology and Physiology"/>
    <x v="45"/>
    <d v="2026-09-30T00:00:00"/>
    <n v="0"/>
    <s v="tissue-engineered, uro-genital, synthetic meshes"/>
  </r>
  <r>
    <x v="1033"/>
    <s v="Université Laval"/>
    <x v="2"/>
    <x v="57"/>
    <s v="202403PJX"/>
    <x v="24"/>
    <s v="Urethral reconstruction using tissue engineering, final steps towards clinical translation"/>
    <n v="100000"/>
    <n v="0"/>
    <n v="0"/>
    <m/>
    <s v="1 yr 0 mth "/>
    <x v="9"/>
    <s v="Biomedical Engineering-Regenerative Medicine and Tissue Engineering; Digestive, Endocrine and Excretory Systems-Nephrology and Urology; Reproduction and Development-Developmental Biology and Organogenesis"/>
    <x v="54"/>
    <d v="2025-09-30T00:00:00"/>
    <n v="0"/>
    <s v="urethral, tissue engineering, clinical"/>
  </r>
  <r>
    <x v="1244"/>
    <s v="Sunnybrook Research Institute (Toronto, Ontario)"/>
    <x v="0"/>
    <x v="58"/>
    <s v="202403CSV"/>
    <x v="6"/>
    <s v="Stereotactic Radiotherapy for Spinal Metastases: Quantifying the Impact on Musculoskeletal Health"/>
    <n v="100000"/>
    <n v="0"/>
    <n v="0"/>
    <m/>
    <s v="1 yr 0 mth "/>
    <x v="1"/>
    <s v="Cancer-Cancer Progression and Metastasis; Musculoskeletal Health-Bone, Skin and Cartilage Sciences; Artificial Intelligence-Machine Learning"/>
    <x v="54"/>
    <d v="2025-09-30T00:00:00"/>
    <n v="0"/>
    <s v="Stereotactic Radiotherapy, Spinal Metastases, Musculoskeletal Health"/>
  </r>
  <r>
    <x v="1245"/>
    <s v="Hospital for Sick Children (Toronto)"/>
    <x v="0"/>
    <x v="59"/>
    <s v="202209PJS"/>
    <x v="13"/>
    <s v="An ACO2-Iron Axis in Aggressive Lung Cancer"/>
    <n v="100000"/>
    <n v="0"/>
    <n v="0"/>
    <m/>
    <s v="1 yr 0 mth "/>
    <x v="1"/>
    <s v="Cancer-Cancer Drug Development and Therapeutics; Cancer-Mechanisms of Carcinogenesis"/>
    <x v="44"/>
    <d v="2024-02-29T00:00:00"/>
    <n v="0"/>
    <s v="ACO2, Iron, Lung Cancer"/>
  </r>
  <r>
    <x v="725"/>
    <s v="Simon Fraser University (Burnaby, B.C.)"/>
    <x v="3"/>
    <x v="59"/>
    <s v="202309PJS"/>
    <x v="13"/>
    <s v="Targeting adaptive autophagy to enhance treatment response in pancreatic cancer"/>
    <n v="100000"/>
    <n v="0"/>
    <n v="0"/>
    <m/>
    <s v="1 yr 0 mth "/>
    <x v="1"/>
    <s v="Cancer-Cancer Drug Development and Therapeutics"/>
    <x v="53"/>
    <d v="2025-02-28T00:00:00"/>
    <n v="0"/>
    <s v="autophagy, pancreatic cancer, treatment response"/>
  </r>
  <r>
    <x v="497"/>
    <s v="Université de Moncton (New Brunswick)"/>
    <x v="7"/>
    <x v="59"/>
    <s v="202209PJS"/>
    <x v="13"/>
    <s v="Characterization of PIKfyve as novel therapeutic target in clear cell Renal Cell Carcinoma"/>
    <n v="100000"/>
    <n v="0"/>
    <n v="0"/>
    <m/>
    <s v="1 yr 0 mth "/>
    <x v="1"/>
    <s v="Cancer-Cancer Drug Development and Therapeutics"/>
    <x v="44"/>
    <d v="2024-02-29T00:00:00"/>
    <n v="0"/>
    <s v="PIKfyve, renal cell carcinoma, characterization"/>
  </r>
  <r>
    <x v="556"/>
    <s v="University Health Network (Toronto)"/>
    <x v="0"/>
    <x v="59"/>
    <s v="202209PJS"/>
    <x v="6"/>
    <s v="Inhibition of CBP/p300 bromodomain activity increases chemosensitivity of p53 mutant colorectal cancers through inhibiting p53 aggregation"/>
    <n v="100000"/>
    <n v="0"/>
    <n v="0"/>
    <m/>
    <s v="1 yr 0 mth "/>
    <x v="1"/>
    <s v="Cancer-Cancer Drug Development and Therapeutics"/>
    <x v="44"/>
    <d v="2024-02-29T00:00:00"/>
    <n v="0"/>
    <s v="CBP, p300, bromodomain"/>
  </r>
  <r>
    <x v="1137"/>
    <s v="University of British Columbia"/>
    <x v="3"/>
    <x v="59"/>
    <s v="202209PJS"/>
    <x v="6"/>
    <s v="SNF2 Histone Linker PHD RING Helicase as a novel tumor suppressor gene and risk factor in lung adenocarcinoma development"/>
    <n v="100000"/>
    <n v="0"/>
    <n v="0"/>
    <m/>
    <s v="1 yr 0 mth "/>
    <x v="1"/>
    <s v="Cancer-Cancer Drug Development and Therapeutics; Cancer-Cancer Progression and Metastasis; Cancer-Mechanisms of Carcinogenesis"/>
    <x v="44"/>
    <d v="2024-02-29T00:00:00"/>
    <n v="0"/>
    <s v="SNF2, histone, adenocarcinoma"/>
  </r>
  <r>
    <x v="582"/>
    <s v="University of British Columbia"/>
    <x v="3"/>
    <x v="59"/>
    <s v="202209PJS"/>
    <x v="14"/>
    <s v="A master transcription factor driving cell lineage reprogramming in neuroendocrine prostate cancer development and progression"/>
    <n v="100000"/>
    <n v="0"/>
    <n v="0"/>
    <m/>
    <s v="1 yr 0 mth "/>
    <x v="1"/>
    <s v="Cancer-Cancer Progression and Metastasis"/>
    <x v="44"/>
    <d v="2024-02-29T00:00:00"/>
    <n v="0"/>
    <s v="transcription factor, cell reprogramming, neuroendocrine prostate cancer"/>
  </r>
  <r>
    <x v="1246"/>
    <s v="University of Guelph"/>
    <x v="0"/>
    <x v="59"/>
    <s v="202209PJS"/>
    <x v="14"/>
    <s v="Development of boron-based inhibitors of the mitochondrial ClpXP protease to combat AML"/>
    <n v="100000"/>
    <n v="0"/>
    <n v="0"/>
    <m/>
    <s v="1 yr 0 mth "/>
    <x v="1"/>
    <s v="Cancer-Cancer Drug Development and Therapeutics; Molecular, Cellular and Systems Biology-Structure and Function of Macromolecules"/>
    <x v="44"/>
    <d v="2024-02-29T00:00:00"/>
    <n v="0"/>
    <s v="boron, ClpXP, AML"/>
  </r>
  <r>
    <x v="1247"/>
    <s v="Western University (Ontario)"/>
    <x v="0"/>
    <x v="59"/>
    <s v="202209PJS"/>
    <x v="6"/>
    <s v="Tumour cell reprogramming in pancreatic ductal adenocarcinoma as a means for therapeutic resistance"/>
    <n v="100000"/>
    <n v="0"/>
    <n v="0"/>
    <m/>
    <s v="1 yr 0 mth "/>
    <x v="1"/>
    <s v="Cancer-Cancer Drug Development and Therapeutics; Molecular, Cellular and Systems Biology-Molecular Biology; Methods Development and Modelling-Computational Biology"/>
    <x v="44"/>
    <d v="2024-02-29T00:00:00"/>
    <n v="0"/>
    <s v="tumour cell reprogramming, pancreatic ductal adenocarcinoma, therapeutic resistance"/>
  </r>
  <r>
    <x v="700"/>
    <s v="Western University (Ontario)"/>
    <x v="0"/>
    <x v="60"/>
    <s v="202003PJP"/>
    <x v="13"/>
    <s v="Mechanisms of resistance to cisplatin and radiation in human papillomavirus (HPV) related head and neck cancer"/>
    <n v="100000"/>
    <n v="0"/>
    <n v="0"/>
    <m/>
    <s v="1 yr 0 mth "/>
    <x v="1"/>
    <s v="Cancer-Cancer Progression and Metastasis; Cancer-Mechanisms of Carcinogenesis"/>
    <x v="49"/>
    <d v="2021-09-30T00:00:00"/>
    <n v="1"/>
    <s v="cisplatin, radiation, HPV"/>
  </r>
  <r>
    <x v="435"/>
    <s v="McMaster University"/>
    <x v="0"/>
    <x v="61"/>
    <s v="202309DCP"/>
    <x v="14"/>
    <s v="Targeting BACE1 for the prevention and treatment of Brain metastases"/>
    <n v="100000"/>
    <n v="0"/>
    <n v="0"/>
    <m/>
    <s v="1 yr 0 mth "/>
    <x v="1"/>
    <s v="Cancer-Cancer Drug Development and Therapeutics; Cancer-Cancer Progression and Metastasis"/>
    <x v="53"/>
    <d v="2025-02-28T00:00:00"/>
    <n v="0"/>
    <s v="BACE1, brain metastases"/>
  </r>
  <r>
    <x v="1248"/>
    <s v="Sunnybrook Research Institute (Toronto, Ontario)"/>
    <x v="0"/>
    <x v="61"/>
    <s v="202309DCP"/>
    <x v="11"/>
    <s v="Rapid Diagnostic Imaging of Brain Metastases using Computational MRI"/>
    <n v="100000"/>
    <n v="0"/>
    <n v="0"/>
    <m/>
    <s v="1 yr 0 mth "/>
    <x v="1"/>
    <s v="Biomedical Engineering-Biomedical Imaging; Artificial Intelligence-Machine Learning; Cancer-Cancer Progression and Metastasis"/>
    <x v="53"/>
    <d v="2025-02-28T00:00:00"/>
    <n v="0"/>
    <s v="Diagnostic, Imaging, MRI"/>
  </r>
  <r>
    <x v="1249"/>
    <s v="Université Laval"/>
    <x v="2"/>
    <x v="61"/>
    <s v="202209DCP"/>
    <x v="14"/>
    <s v="Hepatic stellate cells as a driver of the pre-metastatic niche in uveal melanoma"/>
    <n v="100000"/>
    <n v="0"/>
    <n v="0"/>
    <m/>
    <s v="1 yr 0 mth "/>
    <x v="1"/>
    <s v="Biomedical Engineering-Regenerative Medicine and Tissue Engineering; Cancer-Cancer Progression and Metastasis; Molecular, Cellular and Systems Biology-Cell Biology and Physiology"/>
    <x v="44"/>
    <d v="2024-02-29T00:00:00"/>
    <n v="0"/>
    <s v="hepatic stellate cells, pre-metastatic niche, uveal melanoma"/>
  </r>
  <r>
    <x v="1048"/>
    <s v="University Health Network (Toronto)"/>
    <x v="0"/>
    <x v="61"/>
    <s v="202209DCP"/>
    <x v="14"/>
    <s v="Role of Thrombopoietin Receptor (TPO-R) Signaling in TET2 Mutation-Driven Clonal Hematopoiesis"/>
    <n v="100000"/>
    <n v="0"/>
    <n v="0"/>
    <m/>
    <s v="1 yr 0 mth "/>
    <x v="1"/>
    <s v="Cancer-Cancer Progression and Metastasis; Cancer-Mechanisms of Carcinogenesis; Cancer-Cancer Drug Development and Therapeutics"/>
    <x v="44"/>
    <d v="2024-02-29T00:00:00"/>
    <n v="0"/>
    <s v="Thrombopoietin, Receptor, TET2"/>
  </r>
  <r>
    <x v="1048"/>
    <s v="University Health Network (Toronto)"/>
    <x v="0"/>
    <x v="61"/>
    <s v="202303DCP"/>
    <x v="14"/>
    <s v="Inhibiting Thrombopoietin Receptor (TPO-R) Signaling as a Novel Approach to Target TET2 Mutation-Driven Clonal Hematopoiesis"/>
    <n v="100000"/>
    <n v="0"/>
    <n v="0"/>
    <m/>
    <s v="1 yr 0 mth "/>
    <x v="1"/>
    <s v="Cancer-Cancer Progression and Metastasis; Cancer-Mechanisms of Carcinogenesis; Cancer-Cancer Drug Development and Therapeutics"/>
    <x v="46"/>
    <d v="2027-03-31T00:00:00"/>
    <n v="0"/>
    <s v="Thrombopoietin, TPO-R, TET2"/>
  </r>
  <r>
    <x v="624"/>
    <s v="University of British Columbia"/>
    <x v="3"/>
    <x v="61"/>
    <s v="202309DCP"/>
    <x v="23"/>
    <s v="Harnessing infection-associated modifiers of paediatric acute lymphoblastic leukaemia progression for therapeutic benefit"/>
    <n v="100000"/>
    <n v="0"/>
    <n v="0"/>
    <m/>
    <s v="1 yr 0 mth "/>
    <x v="1"/>
    <s v="Cancer-Pediatric Cancer; Immunology and Infection-Transplantation, Immune Tolerance and Tumor Immunology; Health Determinants-Etiology of Disease and Conditions"/>
    <x v="53"/>
    <d v="2025-02-28T00:00:00"/>
    <n v="0"/>
    <s v="infection, lymphoblastic leukaemia, paediatric"/>
  </r>
  <r>
    <x v="1250"/>
    <s v="University of British Columbia"/>
    <x v="3"/>
    <x v="61"/>
    <s v="202309DCP"/>
    <x v="11"/>
    <s v="Advanced Raman Spectroscopy for Exhaled Breath Analysis for Lung Cancer Detection"/>
    <n v="100000"/>
    <n v="0"/>
    <n v="0"/>
    <m/>
    <s v="1 yr 0 mth "/>
    <x v="1"/>
    <s v="Biomedical Engineering-Biophysics, Medical Technologies and Instrumentation; Cancer-Clinical Oncology; Cardiovascular, Respiratory and Circulatory Systems-Respiratory Sciences"/>
    <x v="53"/>
    <d v="2025-02-28T00:00:00"/>
    <n v="0"/>
    <s v="Raman spectroscopy, exhaled breath, lung cancer"/>
  </r>
  <r>
    <x v="700"/>
    <s v="Western University (Ontario)"/>
    <x v="0"/>
    <x v="62"/>
    <s v="202203PJK"/>
    <x v="14"/>
    <s v="Defining the tumour immune microenvironment underlying chemoradiation resistance in human papillomavirus related head and neck cancer"/>
    <n v="100000"/>
    <n v="0"/>
    <n v="0"/>
    <m/>
    <s v="1 yr 0 mth "/>
    <x v="1"/>
    <s v="Cancer-Cancer Progression and Metastasis; Cancer-Cancer Drug Development and Therapeutics; Cancer-Clinical Oncology"/>
    <x v="37"/>
    <d v="2023-09-30T00:00:00"/>
    <n v="1"/>
    <s v="tumour, immune, chemoradiation"/>
  </r>
  <r>
    <x v="859"/>
    <s v="Centre hospitalier universitaire Sainte-Justine (Montréal, Québec)"/>
    <x v="2"/>
    <x v="63"/>
    <s v="202109PAE"/>
    <x v="6"/>
    <s v="New Modalities of Chimeric Antigen Receptor (CAR) Therapies in Pediatric Rhabdomyosarcoma"/>
    <n v="460000"/>
    <n v="0"/>
    <n v="0"/>
    <m/>
    <s v="2 yrs 0 mth "/>
    <x v="1"/>
    <s v="Cancer-Cancer Drug Development and Therapeutics; Immunology and Infection-Transplantation, Immune Tolerance and Tumor Immunology; Cancer-Pediatric Cancer"/>
    <x v="51"/>
    <d v="2024-03-31T00:00:00"/>
    <n v="0"/>
    <s v="Chimeric Antigen Receptor, CAR, Rhabdomyosarcoma"/>
  </r>
  <r>
    <x v="861"/>
    <s v="Centre hospitalier universitaire Sainte-Justine (Montréal, Québec)"/>
    <x v="2"/>
    <x v="64"/>
    <s v="202203PDI"/>
    <x v="23"/>
    <s v="A phase 2 study of mirdametinib and vinblastine for newly diagnosed or previously untreated patients with pediatric low-grade glioma and activation of the MAPK pathway"/>
    <n v="463500"/>
    <n v="0"/>
    <n v="0"/>
    <m/>
    <s v="1 yr 5 mths "/>
    <x v="1"/>
    <s v="Cancer-Clinical Oncology; Cancer-Pediatric Cancer; Cancer-Cancer Drug Development and Therapeutics"/>
    <x v="37"/>
    <d v="2024-03-31T00:00:00"/>
    <n v="0"/>
    <s v="mirdametinib, vinblastine, glioma"/>
  </r>
  <r>
    <x v="860"/>
    <s v="Centre hospitalier universitaire Sainte-Justine (Montréal, Québec)"/>
    <x v="2"/>
    <x v="64"/>
    <s v="202209PDI"/>
    <x v="6"/>
    <s v="Phase I first-in-human trial of ThINKK adoptive immunotherapy in children with high-risk cancers"/>
    <n v="100000"/>
    <n v="0"/>
    <n v="0"/>
    <m/>
    <s v="1 yr 0 mth "/>
    <x v="1"/>
    <s v="Cancer-Pediatric Cancer; Cancer-Cancer Drug Development and Therapeutics; Youth Health-Prevention, Treatment and Support"/>
    <x v="44"/>
    <d v="2024-02-29T00:00:00"/>
    <n v="0"/>
    <s v="immunotherapy, adoptive, cancers"/>
  </r>
  <r>
    <x v="865"/>
    <s v="Centre hospitalier universitaire Sainte-Justine (Montréal, Québec)"/>
    <x v="2"/>
    <x v="64"/>
    <s v="202209PDI"/>
    <x v="6"/>
    <s v="Epigenetic priming of neuroblastoma to NK cell-based immunotherapy"/>
    <n v="100000"/>
    <n v="0"/>
    <n v="0"/>
    <m/>
    <s v="1 yr 0 mth "/>
    <x v="1"/>
    <s v="Youth Health-Prevention, Treatment and Support; Cancer-Cancer Progression and Metastasis; Immunology and Infection-Transplantation, Immune Tolerance and Tumor Immunology"/>
    <x v="44"/>
    <d v="2024-02-29T00:00:00"/>
    <n v="0"/>
    <s v="Epigenetic, neuroblastoma, immunotherapy"/>
  </r>
  <r>
    <x v="860"/>
    <s v="Centre hospitalier universitaire Sainte-Justine (Montréal, Québec)"/>
    <x v="2"/>
    <x v="64"/>
    <s v="202303PDI"/>
    <x v="6"/>
    <s v="Phase I first-in-human trial for ThINKK adoptive immunotherapy in children with high-risk cancers"/>
    <n v="100000"/>
    <n v="0"/>
    <n v="0"/>
    <m/>
    <s v="1 yr 0 mth "/>
    <x v="1"/>
    <s v="Cancer-Pediatric Cancer; Cancer-Cancer Drug Development and Therapeutics; Youth Health-Prevention, Treatment and Support"/>
    <x v="36"/>
    <d v="2024-09-30T00:00:00"/>
    <n v="0"/>
    <s v="immunotherapy, adoptive, cancers"/>
  </r>
  <r>
    <x v="886"/>
    <s v="CIUSSS Est-de-l'Ile-de- Montréal-Maisonneuve Rosemont"/>
    <x v="2"/>
    <x v="64"/>
    <s v="202309PDI"/>
    <x v="13"/>
    <s v="Identifying novel therapeutic vulnerabilities in pediatric acute megakaryoblastic leukemia"/>
    <n v="100000"/>
    <n v="0"/>
    <n v="0"/>
    <m/>
    <s v="1 yr 0 mth "/>
    <x v="1"/>
    <s v="Cancer-Mechanisms of Carcinogenesis; Cancer-Pediatric Cancer; Cancer-Cancer Drug Development and Therapeutics"/>
    <x v="53"/>
    <d v="2025-02-28T00:00:00"/>
    <n v="0"/>
    <s v="therapeutic vulnerabilities, pediatric leukemia, megakaryoblastic"/>
  </r>
  <r>
    <x v="1251"/>
    <s v="Hospital for Sick Children (Toronto)"/>
    <x v="0"/>
    <x v="64"/>
    <s v="202203PDI"/>
    <x v="23"/>
    <s v="OPTIMISE: Optimal precision therapies to customise care in childhood and adolescent cancer"/>
    <n v="545625"/>
    <n v="0"/>
    <n v="0"/>
    <m/>
    <s v="1 yr 5 mths "/>
    <x v="1"/>
    <s v="Cancer-Cancer Drug Development and Therapeutics"/>
    <x v="37"/>
    <d v="2024-03-31T00:00:00"/>
    <n v="0"/>
    <s v="precision, therapies, cancer"/>
  </r>
  <r>
    <x v="902"/>
    <s v="Hospital for Sick Children (Toronto)"/>
    <x v="0"/>
    <x v="64"/>
    <s v="202303PDI"/>
    <x v="6"/>
    <s v="Injury Reprogramming at the Root of Glioblastoma Initiation and Progression"/>
    <n v="100000"/>
    <n v="0"/>
    <n v="0"/>
    <m/>
    <s v="1 yr 0 mth "/>
    <x v="1"/>
    <s v="Cancer-Mechanisms of Carcinogenesis; Cancer-Pediatric Cancer"/>
    <x v="36"/>
    <d v="2028-09-30T00:00:00"/>
    <n v="0"/>
    <s v="injury, reprogramming, glioblastoma"/>
  </r>
  <r>
    <x v="391"/>
    <s v="Institut de recherches cliniques de Montréal"/>
    <x v="2"/>
    <x v="64"/>
    <s v="202303PDI"/>
    <x v="6"/>
    <s v="The MYC/MIZ-1 complex in germinal center B cells and B cell lymphomagenesis"/>
    <n v="100000"/>
    <n v="0"/>
    <n v="0"/>
    <m/>
    <s v="1 yr 0 mth "/>
    <x v="1"/>
    <s v="Cancer-Mechanisms of Carcinogenesis; Immunology and Infection-Immunology and Autoimmune Diseases (including rheumatology); Molecular, Cellular and Systems Biology-Molecular Biology"/>
    <x v="36"/>
    <d v="2024-09-30T00:00:00"/>
    <n v="0"/>
    <s v="MYC, MIZ-1, B cells"/>
  </r>
  <r>
    <x v="1252"/>
    <s v="Ontario Institute for Cancer Research (Toronto, Ontario)"/>
    <x v="0"/>
    <x v="64"/>
    <s v="202209PDI"/>
    <x v="13"/>
    <s v="Developmental epigenetic origins of Group 3 and 4 medulloblastoma"/>
    <n v="100000"/>
    <n v="0"/>
    <n v="0"/>
    <m/>
    <s v="1 yr 0 mth "/>
    <x v="1"/>
    <s v="Cancer-Pediatric Cancer; Cancer-Mechanisms of Carcinogenesis; Genetics-Molecular and Functional Genetics and Epigenetics"/>
    <x v="44"/>
    <d v="2024-02-29T00:00:00"/>
    <n v="0"/>
    <s v="epigenetic, medulloblastoma, developmental"/>
  </r>
  <r>
    <x v="973"/>
    <s v="Research Institute of the McGill University Health Centre"/>
    <x v="2"/>
    <x v="64"/>
    <s v="202209PDI"/>
    <x v="14"/>
    <s v="Epigenetic mechanisms of osteosarcoma pathogenesis and progression."/>
    <n v="100000"/>
    <n v="0"/>
    <n v="0"/>
    <m/>
    <s v="1 yr 0 mth "/>
    <x v="1"/>
    <s v="Cancer-Cancer Progression and Metastasis; Cancer-Pediatric Cancer"/>
    <x v="44"/>
    <d v="2024-02-29T00:00:00"/>
    <n v="0"/>
    <s v="epigenetic, osteosarcoma, mechanisms"/>
  </r>
  <r>
    <x v="520"/>
    <s v="Université Laval"/>
    <x v="2"/>
    <x v="64"/>
    <s v="202209PDI"/>
    <x v="6"/>
    <s v="Understanding the role of beta1 integrins in chemoresistance of acute lymphoblastic leukemia and therapeutic implications"/>
    <n v="100000"/>
    <n v="0"/>
    <n v="0"/>
    <m/>
    <s v="1 yr 0 mth "/>
    <x v="1"/>
    <s v="Cancer-Mechanisms of Carcinogenesis; Cancer-Pediatric Cancer"/>
    <x v="44"/>
    <d v="2024-02-29T00:00:00"/>
    <n v="0"/>
    <s v="beta1 integrins, chemoresistance, leukemia"/>
  </r>
  <r>
    <x v="595"/>
    <s v="University of British Columbia"/>
    <x v="3"/>
    <x v="64"/>
    <s v="202209PDI"/>
    <x v="13"/>
    <s v="Translating Epigenomics into Clinical Care for Synovial Sarcoma"/>
    <n v="100000"/>
    <n v="0"/>
    <n v="0"/>
    <m/>
    <s v="1 yr 0 mth "/>
    <x v="1"/>
    <s v="Cancer-Pediatric Cancer; Genetics-Molecular and Functional Genetics and Epigenetics; Cancer-Cancer Progression and Metastasis"/>
    <x v="36"/>
    <d v="2028-09-30T00:00:00"/>
    <n v="0"/>
    <s v="Epigenomics, Synovial Sarcoma, Clinical Care"/>
  </r>
  <r>
    <x v="1253"/>
    <s v="University of Calgary"/>
    <x v="1"/>
    <x v="64"/>
    <s v="202203PDI"/>
    <x v="13"/>
    <s v="Recurrent 3D genome features in PFA ependymoma"/>
    <n v="390000"/>
    <n v="0"/>
    <n v="0"/>
    <m/>
    <s v="1 yr 5 mths "/>
    <x v="1"/>
    <s v="Cancer-Pediatric Cancer; Cancer-Cancer Progression and Metastasis; Cancer-Mechanisms of Carcinogenesis"/>
    <x v="37"/>
    <d v="2024-03-31T00:00:00"/>
    <n v="0"/>
    <s v="3D genome, PFA ependymoma, recurrent"/>
  </r>
  <r>
    <x v="1254"/>
    <s v="Centre hospitalier de l'Université de Montréal (CHUM)"/>
    <x v="2"/>
    <x v="65"/>
    <s v="200903CVC"/>
    <x v="26"/>
    <s v="Defining innovating cancer vaccine based on virus-like particles by targeting multiple antigens"/>
    <n v="100000"/>
    <n v="0"/>
    <n v="0"/>
    <m/>
    <s v="1 yr 0 mth "/>
    <x v="7"/>
    <s v="CANCER THERAPY GENERAL; SKIN AND SUBCUTANEOUS TISSUS; IMMUNOLOGY-TRANSPLANTATION; CANCER"/>
    <x v="4"/>
    <d v="2010-09-30T00:00:00"/>
    <n v="2"/>
    <s v="cancer vaccine, virus-like particles, antigens"/>
  </r>
  <r>
    <x v="50"/>
    <s v="IWK Health Centre (Halifax)"/>
    <x v="6"/>
    <x v="65"/>
    <s v="200903CVC"/>
    <x v="26"/>
    <s v="Development of Novel Molecular Adjuvants for Genetic Vaccination"/>
    <n v="99252"/>
    <n v="0"/>
    <n v="0"/>
    <m/>
    <s v="1 yr 0 mth "/>
    <x v="7"/>
    <s v="INFECTIOUS AND PARASITIC; VIRAL; VIROLOGY; IMMUNOLOGY-TRANSPLANTATION"/>
    <x v="4"/>
    <d v="2010-09-30T00:00:00"/>
    <n v="0"/>
    <s v="Molecular adjuvants, genetic vaccination"/>
  </r>
  <r>
    <x v="26"/>
    <s v="Simon Fraser University (Burnaby, B.C.)"/>
    <x v="3"/>
    <x v="65"/>
    <s v="200903CVC"/>
    <x v="26"/>
    <s v="Immunogen design to elicit broadly neutralizing antibodies to influenza"/>
    <n v="99242"/>
    <n v="0"/>
    <n v="0"/>
    <m/>
    <s v="1 yr 0 mth "/>
    <x v="7"/>
    <s v="INFECTIOUS AND PARASITIC; VIRAL; VIROLOGY; MOLECULAR BIOLOGY"/>
    <x v="4"/>
    <d v="2010-09-30T00:00:00"/>
    <n v="0"/>
    <s v="Immunogen, neutralizing antibodies, influenza"/>
  </r>
  <r>
    <x v="1255"/>
    <s v="Université de Montréal"/>
    <x v="2"/>
    <x v="65"/>
    <s v="200903CVC"/>
    <x v="26"/>
    <s v="Effect of sialic acid of Gram-positive bacteria capsular polysaccharides on the immunogenic capacity of conjugate vaccines"/>
    <n v="98222"/>
    <n v="0"/>
    <n v="0"/>
    <m/>
    <s v="1 yr 0 mth "/>
    <x v="7"/>
    <s v="INFECTIOUS AND PARASITIC; IMMUNOLOGY-TRANSPLANTATION; BACTERIOLOGY"/>
    <x v="4"/>
    <d v="2010-09-30T00:00:00"/>
    <n v="1"/>
    <s v="sialic acid, Gram-positive bacteria, capsular polysaccharides"/>
  </r>
  <r>
    <x v="1256"/>
    <s v="University Health Network (Toronto)"/>
    <x v="0"/>
    <x v="65"/>
    <s v="200903CVC"/>
    <x v="26"/>
    <s v="Identification and Characterization of Adjuvant Controlled Correlates of Immune Protection"/>
    <n v="99250"/>
    <n v="0"/>
    <n v="0"/>
    <m/>
    <s v="1 yr 0 mth "/>
    <x v="7"/>
    <s v="PNEUMONIA; AGING; IMMUNOLOGY-TRANSPLANTATION"/>
    <x v="4"/>
    <d v="2010-09-30T00:00:00"/>
    <n v="0"/>
    <s v="Adjuvant, Immune, Correlates"/>
  </r>
  <r>
    <x v="1114"/>
    <s v="University of British Columbia"/>
    <x v="3"/>
    <x v="65"/>
    <s v="200903CVC"/>
    <x v="26"/>
    <s v="Immunogenicity and HLA restriction of kinase mutations in colorectal adenoma and carcinoma patients"/>
    <n v="100000"/>
    <n v="0"/>
    <n v="0"/>
    <m/>
    <s v="1 yr 0 mth "/>
    <x v="7"/>
    <s v="GASTRO-INTESTINAL CANCER; CANCER"/>
    <x v="4"/>
    <d v="2010-09-30T00:00:00"/>
    <n v="0"/>
    <s v="Immunogenicity, HLA, kinase mutations"/>
  </r>
  <r>
    <x v="1257"/>
    <s v="University of British Columbia"/>
    <x v="3"/>
    <x v="65"/>
    <s v="200903CVC"/>
    <x v="26"/>
    <s v="Vaccines for Asthma and Allergies - an Immune-Prophylactic and -Therapeutic Approach"/>
    <n v="100000"/>
    <n v="0"/>
    <n v="0"/>
    <m/>
    <s v="1 yr 0 mth "/>
    <x v="7"/>
    <s v="ASTHMA; IMMUNOLOGY-TRANSPLANTATION; HEALTH RESEARCH"/>
    <x v="4"/>
    <d v="2010-09-30T00:00:00"/>
    <n v="0"/>
    <s v="Vaccines, Asthma, Allergies"/>
  </r>
  <r>
    <x v="1258"/>
    <s v="University of British Columbia"/>
    <x v="3"/>
    <x v="65"/>
    <s v="200903CVC"/>
    <x v="26"/>
    <s v="TITRE II: TIV Infant/Toddler Response Evaluation (TITRE) - follow-up &amp; focus on influenza B"/>
    <n v="100000"/>
    <n v="0"/>
    <n v="0"/>
    <m/>
    <s v="1 yr 0 mth "/>
    <x v="7"/>
    <s v="EPIDEMIOLOGY; VIRAL; POPULATION HEALTH; VIROLOGY"/>
    <x v="4"/>
    <d v="2010-09-30T00:00:00"/>
    <n v="0"/>
    <s v="Infant, Response, Influenza B"/>
  </r>
  <r>
    <x v="1259"/>
    <s v="University of Manitoba"/>
    <x v="4"/>
    <x v="65"/>
    <s v="200903CVC"/>
    <x v="26"/>
    <s v="ATTACKING HIV PROTEASE CLEAVAGE SITES WITH IMMUNIZATION - Explore the rapid mutation rate of HIV-1"/>
    <n v="100000"/>
    <n v="0"/>
    <n v="0"/>
    <m/>
    <s v="1 yr 0 mth "/>
    <x v="7"/>
    <s v="AIDS; VIRAL; VIROLOGY; GENETICS"/>
    <x v="4"/>
    <d v="2010-09-30T00:00:00"/>
    <n v="1"/>
    <s v="HIV, Protease, Immunization"/>
  </r>
  <r>
    <x v="1260"/>
    <s v="University of Saskatchewan"/>
    <x v="8"/>
    <x v="65"/>
    <s v="200903CVC"/>
    <x v="26"/>
    <s v="Acombined early and late HIV-1 protein-specific exosome-targeted T cell vaccine capable of stimulating HIV-1 specific CD8+ CTL responses in absence of CD4+ T cells and counteracting immune suppression."/>
    <n v="89482"/>
    <n v="0"/>
    <n v="0"/>
    <m/>
    <s v="1 yr 0 mth "/>
    <x v="7"/>
    <s v="VIRAL; INFECTIOUS AND PARASITIC; VIROLOGY; HEALTH RESEARCH"/>
    <x v="4"/>
    <d v="2010-09-30T00:00:00"/>
    <n v="0"/>
    <s v="HIV-1, exosome, T cell"/>
  </r>
  <r>
    <x v="28"/>
    <s v="University of Toronto"/>
    <x v="0"/>
    <x v="65"/>
    <s v="200903CVC"/>
    <x v="26"/>
    <s v="Discovery of new B cell immunogens for HIV vaccines"/>
    <n v="99252"/>
    <n v="0"/>
    <n v="0"/>
    <m/>
    <s v="1 yr 0 mth "/>
    <x v="7"/>
    <s v="AIDS; VIRAL; IMMUNOLOGY-TRANSPLANTATION; VIROLOGY"/>
    <x v="4"/>
    <d v="2010-09-30T00:00:00"/>
    <n v="3"/>
    <s v="B cell, immunogens, HI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0CE7E-B71F-804C-BE97-D73BCA9564B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B1315" firstHeaderRow="1" firstDataRow="1" firstDataCol="1"/>
  <pivotFields count="21">
    <pivotField axis="axisRow" showAll="0">
      <items count="1264">
        <item x="142"/>
        <item x="106"/>
        <item x="610"/>
        <item x="1119"/>
        <item x="1146"/>
        <item x="219"/>
        <item x="963"/>
        <item x="1098"/>
        <item x="430"/>
        <item x="176"/>
        <item x="891"/>
        <item x="87"/>
        <item x="829"/>
        <item x="1188"/>
        <item x="328"/>
        <item x="547"/>
        <item x="1063"/>
        <item x="1228"/>
        <item x="715"/>
        <item x="1131"/>
        <item x="755"/>
        <item x="1221"/>
        <item x="1191"/>
        <item x="673"/>
        <item x="137"/>
        <item x="132"/>
        <item x="385"/>
        <item x="78"/>
        <item x="280"/>
        <item x="456"/>
        <item x="134"/>
        <item x="20"/>
        <item x="658"/>
        <item x="471"/>
        <item x="289"/>
        <item x="896"/>
        <item x="1195"/>
        <item x="1148"/>
        <item x="223"/>
        <item x="589"/>
        <item x="831"/>
        <item x="355"/>
        <item x="872"/>
        <item x="520"/>
        <item x="614"/>
        <item x="69"/>
        <item x="166"/>
        <item x="828"/>
        <item x="832"/>
        <item x="756"/>
        <item x="419"/>
        <item x="813"/>
        <item x="937"/>
        <item x="953"/>
        <item x="950"/>
        <item x="1029"/>
        <item x="748"/>
        <item x="642"/>
        <item x="975"/>
        <item x="235"/>
        <item x="1101"/>
        <item x="601"/>
        <item x="1037"/>
        <item x="567"/>
        <item x="1107"/>
        <item x="660"/>
        <item x="62"/>
        <item x="1223"/>
        <item x="971"/>
        <item x="1200"/>
        <item x="682"/>
        <item x="103"/>
        <item x="247"/>
        <item x="1133"/>
        <item x="1160"/>
        <item x="874"/>
        <item x="878"/>
        <item x="226"/>
        <item x="360"/>
        <item x="30"/>
        <item x="413"/>
        <item x="562"/>
        <item x="1028"/>
        <item x="516"/>
        <item x="1039"/>
        <item x="1042"/>
        <item x="149"/>
        <item x="27"/>
        <item x="796"/>
        <item x="779"/>
        <item x="481"/>
        <item x="622"/>
        <item x="1186"/>
        <item x="394"/>
        <item x="51"/>
        <item x="24"/>
        <item x="409"/>
        <item x="509"/>
        <item x="337"/>
        <item x="866"/>
        <item x="918"/>
        <item x="728"/>
        <item x="255"/>
        <item x="290"/>
        <item x="156"/>
        <item x="1216"/>
        <item x="1213"/>
        <item x="301"/>
        <item x="188"/>
        <item x="41"/>
        <item x="1152"/>
        <item x="358"/>
        <item x="458"/>
        <item x="1220"/>
        <item x="507"/>
        <item x="836"/>
        <item x="181"/>
        <item x="510"/>
        <item x="1033"/>
        <item x="1249"/>
        <item x="245"/>
        <item x="788"/>
        <item x="417"/>
        <item x="707"/>
        <item x="903"/>
        <item x="910"/>
        <item x="178"/>
        <item x="833"/>
        <item x="857"/>
        <item x="884"/>
        <item x="946"/>
        <item x="803"/>
        <item x="190"/>
        <item x="1164"/>
        <item x="636"/>
        <item x="1021"/>
        <item x="429"/>
        <item x="1053"/>
        <item x="1057"/>
        <item x="986"/>
        <item x="63"/>
        <item x="834"/>
        <item x="1104"/>
        <item x="845"/>
        <item x="710"/>
        <item x="406"/>
        <item x="212"/>
        <item x="99"/>
        <item x="111"/>
        <item x="892"/>
        <item x="591"/>
        <item x="161"/>
        <item x="705"/>
        <item x="320"/>
        <item x="979"/>
        <item x="825"/>
        <item x="483"/>
        <item x="732"/>
        <item x="446"/>
        <item x="121"/>
        <item x="366"/>
        <item x="616"/>
        <item x="5"/>
        <item x="82"/>
        <item x="491"/>
        <item x="826"/>
        <item x="168"/>
        <item x="304"/>
        <item x="39"/>
        <item x="109"/>
        <item x="1034"/>
        <item x="441"/>
        <item x="396"/>
        <item x="310"/>
        <item x="809"/>
        <item x="800"/>
        <item x="655"/>
        <item x="553"/>
        <item x="864"/>
        <item x="1071"/>
        <item x="880"/>
        <item x="1031"/>
        <item x="644"/>
        <item x="1048"/>
        <item x="659"/>
        <item x="284"/>
        <item x="295"/>
        <item x="261"/>
        <item x="392"/>
        <item x="322"/>
        <item x="927"/>
        <item x="335"/>
        <item x="36"/>
        <item x="805"/>
        <item x="1205"/>
        <item x="47"/>
        <item x="954"/>
        <item x="1113"/>
        <item x="769"/>
        <item x="459"/>
        <item x="897"/>
        <item x="204"/>
        <item x="1248"/>
        <item x="1211"/>
        <item x="1203"/>
        <item x="286"/>
        <item x="65"/>
        <item x="806"/>
        <item x="177"/>
        <item x="729"/>
        <item x="1110"/>
        <item x="343"/>
        <item x="160"/>
        <item x="159"/>
        <item x="853"/>
        <item x="646"/>
        <item x="812"/>
        <item x="730"/>
        <item m="1" x="1262"/>
        <item x="1132"/>
        <item x="410"/>
        <item x="104"/>
        <item x="401"/>
        <item x="118"/>
        <item x="774"/>
        <item x="848"/>
        <item x="365"/>
        <item x="169"/>
        <item x="173"/>
        <item x="53"/>
        <item x="962"/>
        <item x="455"/>
        <item x="964"/>
        <item x="619"/>
        <item x="631"/>
        <item x="1062"/>
        <item x="576"/>
        <item x="1150"/>
        <item x="814"/>
        <item x="490"/>
        <item x="691"/>
        <item x="698"/>
        <item x="1068"/>
        <item x="990"/>
        <item x="489"/>
        <item x="522"/>
        <item x="1066"/>
        <item x="685"/>
        <item x="943"/>
        <item x="496"/>
        <item x="817"/>
        <item x="895"/>
        <item x="81"/>
        <item x="838"/>
        <item x="1058"/>
        <item x="440"/>
        <item x="171"/>
        <item x="699"/>
        <item x="1018"/>
        <item x="592"/>
        <item x="869"/>
        <item x="369"/>
        <item x="1000"/>
        <item x="1025"/>
        <item x="476"/>
        <item x="1111"/>
        <item x="428"/>
        <item x="307"/>
        <item x="1169"/>
        <item x="393"/>
        <item x="331"/>
        <item x="951"/>
        <item x="470"/>
        <item x="1065"/>
        <item x="689"/>
        <item x="1093"/>
        <item x="1094"/>
        <item x="283"/>
        <item x="443"/>
        <item x="902"/>
        <item x="816"/>
        <item x="537"/>
        <item x="1136"/>
        <item x="155"/>
        <item x="745"/>
        <item x="901"/>
        <item x="238"/>
        <item x="906"/>
        <item x="909"/>
        <item x="692"/>
        <item x="744"/>
        <item x="364"/>
        <item x="197"/>
        <item x="752"/>
        <item x="843"/>
        <item x="978"/>
        <item x="185"/>
        <item x="49"/>
        <item x="1163"/>
        <item x="224"/>
        <item x="579"/>
        <item x="473"/>
        <item x="1231"/>
        <item x="600"/>
        <item x="1088"/>
        <item x="189"/>
        <item x="860"/>
        <item x="348"/>
        <item x="347"/>
        <item x="761"/>
        <item x="1176"/>
        <item x="904"/>
        <item x="757"/>
        <item x="850"/>
        <item x="464"/>
        <item x="1109"/>
        <item x="451"/>
        <item x="573"/>
        <item x="681"/>
        <item x="308"/>
        <item x="194"/>
        <item x="222"/>
        <item x="969"/>
        <item x="842"/>
        <item x="572"/>
        <item x="1143"/>
        <item x="811"/>
        <item x="83"/>
        <item x="781"/>
        <item x="807"/>
        <item x="209"/>
        <item x="804"/>
        <item x="679"/>
        <item x="498"/>
        <item x="398"/>
        <item x="131"/>
        <item x="138"/>
        <item x="141"/>
        <item x="136"/>
        <item x="86"/>
        <item x="21"/>
        <item x="60"/>
        <item x="291"/>
        <item x="960"/>
        <item x="760"/>
        <item x="545"/>
        <item x="454"/>
        <item x="1170"/>
        <item x="1038"/>
        <item x="1032"/>
        <item x="486"/>
        <item x="697"/>
        <item x="113"/>
        <item x="1041"/>
        <item x="513"/>
        <item x="511"/>
        <item x="893"/>
        <item x="88"/>
        <item x="1206"/>
        <item x="637"/>
        <item x="179"/>
        <item x="1234"/>
        <item x="1187"/>
        <item x="931"/>
        <item x="107"/>
        <item x="167"/>
        <item x="1091"/>
        <item x="354"/>
        <item x="949"/>
        <item x="1253"/>
        <item x="1099"/>
        <item x="1035"/>
        <item x="339"/>
        <item x="708"/>
        <item x="597"/>
        <item x="973"/>
        <item x="602"/>
        <item x="143"/>
        <item x="753"/>
        <item x="73"/>
        <item x="508"/>
        <item x="269"/>
        <item x="296"/>
        <item x="512"/>
        <item x="1023"/>
        <item x="657"/>
        <item x="1241"/>
        <item x="217"/>
        <item x="437"/>
        <item x="466"/>
        <item x="714"/>
        <item x="1202"/>
        <item x="1210"/>
        <item x="1121"/>
        <item x="982"/>
        <item x="1129"/>
        <item x="518"/>
        <item x="571"/>
        <item x="232"/>
        <item x="236"/>
        <item x="988"/>
        <item x="640"/>
        <item x="534"/>
        <item x="725"/>
        <item x="420"/>
        <item x="449"/>
        <item x="961"/>
        <item x="993"/>
        <item x="1007"/>
        <item x="338"/>
        <item x="17"/>
        <item x="808"/>
        <item x="452"/>
        <item x="968"/>
        <item x="1016"/>
        <item x="164"/>
        <item x="851"/>
        <item x="422"/>
        <item x="3"/>
        <item x="244"/>
        <item x="499"/>
        <item x="1043"/>
        <item x="1044"/>
        <item x="377"/>
        <item x="852"/>
        <item x="890"/>
        <item x="249"/>
        <item x="275"/>
        <item x="768"/>
        <item x="859"/>
        <item x="977"/>
        <item x="262"/>
        <item x="1061"/>
        <item x="1182"/>
        <item x="1214"/>
        <item x="1080"/>
        <item x="688"/>
        <item x="315"/>
        <item x="403"/>
        <item x="841"/>
        <item x="1074"/>
        <item x="747"/>
        <item x="195"/>
        <item x="1059"/>
        <item x="1002"/>
        <item x="863"/>
        <item x="840"/>
        <item x="839"/>
        <item x="970"/>
        <item x="95"/>
        <item x="438"/>
        <item x="10"/>
        <item x="383"/>
        <item x="898"/>
        <item x="966"/>
        <item x="1138"/>
        <item x="559"/>
        <item x="791"/>
        <item x="546"/>
        <item x="887"/>
        <item x="1102"/>
        <item x="375"/>
        <item x="638"/>
        <item x="531"/>
        <item x="1087"/>
        <item x="1055"/>
        <item x="389"/>
        <item x="1022"/>
        <item x="115"/>
        <item x="119"/>
        <item x="196"/>
        <item x="447"/>
        <item x="424"/>
        <item x="928"/>
        <item x="362"/>
        <item x="686"/>
        <item x="1114"/>
        <item x="1083"/>
        <item x="376"/>
        <item x="418"/>
        <item x="900"/>
        <item x="883"/>
        <item x="587"/>
        <item x="485"/>
        <item x="503"/>
        <item x="388"/>
        <item x="463"/>
        <item x="984"/>
        <item x="532"/>
        <item x="551"/>
        <item x="868"/>
        <item x="820"/>
        <item x="1161"/>
        <item x="1030"/>
        <item x="42"/>
        <item x="615"/>
        <item x="675"/>
        <item x="635"/>
        <item x="678"/>
        <item x="306"/>
        <item x="1127"/>
        <item x="361"/>
        <item x="867"/>
        <item x="135"/>
        <item x="794"/>
        <item x="15"/>
        <item x="789"/>
        <item x="561"/>
        <item x="1072"/>
        <item x="822"/>
        <item x="399"/>
        <item x="469"/>
        <item x="1147"/>
        <item x="415"/>
        <item x="92"/>
        <item x="32"/>
        <item x="448"/>
        <item x="127"/>
        <item x="956"/>
        <item x="762"/>
        <item x="72"/>
        <item x="1167"/>
        <item x="102"/>
        <item x="474"/>
        <item x="285"/>
        <item x="981"/>
        <item x="720"/>
        <item x="1145"/>
        <item x="198"/>
        <item x="465"/>
        <item x="653"/>
        <item x="734"/>
        <item x="23"/>
        <item x="101"/>
        <item x="37"/>
        <item x="667"/>
        <item x="263"/>
        <item x="242"/>
        <item x="279"/>
        <item x="1256"/>
        <item x="100"/>
        <item x="484"/>
        <item x="1238"/>
        <item x="548"/>
        <item x="1173"/>
        <item x="737"/>
        <item x="905"/>
        <item x="683"/>
        <item x="933"/>
        <item x="1012"/>
        <item x="542"/>
        <item x="1045"/>
        <item x="535"/>
        <item x="523"/>
        <item x="584"/>
        <item x="1130"/>
        <item x="202"/>
        <item x="220"/>
        <item x="1157"/>
        <item x="1153"/>
        <item x="13"/>
        <item x="844"/>
        <item x="527"/>
        <item x="1212"/>
        <item x="150"/>
        <item x="152"/>
        <item x="154"/>
        <item x="1010"/>
        <item x="1257"/>
        <item x="632"/>
        <item x="1075"/>
        <item x="349"/>
        <item x="915"/>
        <item x="959"/>
        <item x="727"/>
        <item x="611"/>
        <item x="346"/>
        <item x="849"/>
        <item x="4"/>
        <item x="405"/>
        <item x="317"/>
        <item x="45"/>
        <item x="771"/>
        <item x="972"/>
        <item x="976"/>
        <item x="345"/>
        <item x="314"/>
        <item x="400"/>
        <item x="40"/>
        <item x="577"/>
        <item x="604"/>
        <item x="147"/>
        <item x="1128"/>
        <item x="786"/>
        <item x="18"/>
        <item x="85"/>
        <item x="1086"/>
        <item x="1254"/>
        <item x="793"/>
        <item x="1229"/>
        <item x="999"/>
        <item x="294"/>
        <item x="575"/>
        <item x="775"/>
        <item x="1024"/>
        <item x="302"/>
        <item x="574"/>
        <item x="313"/>
        <item x="412"/>
        <item x="123"/>
        <item x="125"/>
        <item x="371"/>
        <item x="12"/>
        <item x="1177"/>
        <item x="368"/>
        <item x="665"/>
        <item x="1185"/>
        <item x="717"/>
        <item x="397"/>
        <item x="281"/>
        <item x="641"/>
        <item x="74"/>
        <item x="763"/>
        <item x="1232"/>
        <item x="323"/>
        <item x="1009"/>
        <item x="502"/>
        <item x="380"/>
        <item x="386"/>
        <item x="89"/>
        <item x="90"/>
        <item x="34"/>
        <item x="129"/>
        <item x="122"/>
        <item x="126"/>
        <item x="955"/>
        <item x="894"/>
        <item x="55"/>
        <item x="1174"/>
        <item x="733"/>
        <item x="780"/>
        <item x="919"/>
        <item x="1207"/>
        <item x="606"/>
        <item x="588"/>
        <item x="923"/>
        <item x="7"/>
        <item x="77"/>
        <item x="282"/>
        <item x="1218"/>
        <item x="33"/>
        <item x="738"/>
        <item x="114"/>
        <item x="736"/>
        <item x="427"/>
        <item x="524"/>
        <item x="797"/>
        <item x="1001"/>
        <item x="230"/>
        <item x="1142"/>
        <item x="514"/>
        <item x="1236"/>
        <item x="741"/>
        <item x="974"/>
        <item x="528"/>
        <item x="543"/>
        <item x="782"/>
        <item x="795"/>
        <item x="991"/>
        <item x="1192"/>
        <item x="1137"/>
        <item x="633"/>
        <item x="1126"/>
        <item x="71"/>
        <item x="1064"/>
        <item x="442"/>
        <item x="676"/>
        <item x="158"/>
        <item x="162"/>
        <item x="916"/>
        <item x="724"/>
        <item x="1209"/>
        <item x="1259"/>
        <item x="612"/>
        <item x="214"/>
        <item x="205"/>
        <item x="711"/>
        <item x="630"/>
        <item x="191"/>
        <item x="372"/>
        <item x="995"/>
        <item x="46"/>
        <item x="706"/>
        <item x="1165"/>
        <item x="1227"/>
        <item x="936"/>
        <item x="649"/>
        <item x="533"/>
        <item x="373"/>
        <item x="886"/>
        <item x="882"/>
        <item x="333"/>
        <item x="241"/>
        <item x="276"/>
        <item x="370"/>
        <item x="258"/>
        <item x="482"/>
        <item x="996"/>
        <item x="1005"/>
        <item x="992"/>
        <item x="124"/>
        <item x="1196"/>
        <item x="494"/>
        <item x="515"/>
        <item x="1122"/>
        <item x="1194"/>
        <item x="1208"/>
        <item x="726"/>
        <item x="287"/>
        <item x="266"/>
        <item x="824"/>
        <item x="519"/>
        <item x="907"/>
        <item x="731"/>
        <item x="920"/>
        <item x="1171"/>
        <item x="251"/>
        <item x="784"/>
        <item x="170"/>
        <item x="1056"/>
        <item x="846"/>
        <item x="332"/>
        <item x="555"/>
        <item x="379"/>
        <item x="1198"/>
        <item x="264"/>
        <item x="1217"/>
        <item x="218"/>
        <item x="1242"/>
        <item x="57"/>
        <item x="330"/>
        <item x="1181"/>
        <item x="749"/>
        <item x="570"/>
        <item x="1233"/>
        <item x="787"/>
        <item x="145"/>
        <item x="144"/>
        <item x="148"/>
        <item x="687"/>
        <item x="311"/>
        <item x="877"/>
        <item x="48"/>
        <item x="172"/>
        <item x="120"/>
        <item x="130"/>
        <item x="128"/>
        <item x="8"/>
        <item x="237"/>
        <item x="552"/>
        <item x="231"/>
        <item x="229"/>
        <item x="43"/>
        <item x="352"/>
        <item x="885"/>
        <item x="696"/>
        <item x="581"/>
        <item x="208"/>
        <item x="525"/>
        <item x="1197"/>
        <item x="1069"/>
        <item x="61"/>
        <item x="1168"/>
        <item x="647"/>
        <item x="712"/>
        <item x="1245"/>
        <item x="1251"/>
        <item x="243"/>
        <item x="58"/>
        <item x="468"/>
        <item x="391"/>
        <item x="815"/>
        <item x="297"/>
        <item x="967"/>
        <item x="133"/>
        <item x="140"/>
        <item x="871"/>
        <item x="257"/>
        <item x="594"/>
        <item x="423"/>
        <item x="457"/>
        <item x="650"/>
        <item x="569"/>
        <item x="298"/>
        <item x="357"/>
        <item x="876"/>
        <item x="603"/>
        <item x="215"/>
        <item x="623"/>
        <item x="421"/>
        <item x="108"/>
        <item x="1225"/>
        <item x="701"/>
        <item x="583"/>
        <item x="739"/>
        <item x="879"/>
        <item x="1004"/>
        <item x="521"/>
        <item x="598"/>
        <item x="404"/>
        <item x="580"/>
        <item x="193"/>
        <item x="163"/>
        <item x="639"/>
        <item x="700"/>
        <item x="1243"/>
        <item x="595"/>
        <item x="384"/>
        <item x="932"/>
        <item x="182"/>
        <item x="785"/>
        <item x="1073"/>
        <item x="556"/>
        <item x="821"/>
        <item x="994"/>
        <item x="1006"/>
        <item x="668"/>
        <item x="709"/>
        <item x="1011"/>
        <item x="1067"/>
        <item x="199"/>
        <item x="28"/>
        <item x="607"/>
        <item x="183"/>
        <item x="628"/>
        <item x="29"/>
        <item x="1252"/>
        <item x="26"/>
        <item x="327"/>
        <item x="1204"/>
        <item x="792"/>
        <item x="1027"/>
        <item x="862"/>
        <item x="35"/>
        <item x="680"/>
        <item x="958"/>
        <item x="96"/>
        <item x="305"/>
        <item x="743"/>
        <item x="259"/>
        <item x="1230"/>
        <item x="303"/>
        <item x="1184"/>
        <item x="408"/>
        <item x="157"/>
        <item x="560"/>
        <item x="766"/>
        <item x="801"/>
        <item x="861"/>
        <item x="596"/>
        <item x="84"/>
        <item x="694"/>
        <item x="648"/>
        <item x="186"/>
        <item x="823"/>
        <item x="299"/>
        <item x="506"/>
        <item x="480"/>
        <item x="407"/>
        <item x="318"/>
        <item x="326"/>
        <item x="1219"/>
        <item x="1247"/>
        <item x="402"/>
        <item x="704"/>
        <item x="207"/>
        <item x="216"/>
        <item x="908"/>
        <item x="722"/>
        <item x="1240"/>
        <item x="1036"/>
        <item x="278"/>
        <item x="677"/>
        <item x="912"/>
        <item x="693"/>
        <item x="1190"/>
        <item x="80"/>
        <item x="14"/>
        <item x="213"/>
        <item x="67"/>
        <item x="957"/>
        <item x="1049"/>
        <item x="1070"/>
        <item x="1050"/>
        <item x="325"/>
        <item x="1081"/>
        <item x="270"/>
        <item x="239"/>
        <item x="64"/>
        <item x="735"/>
        <item x="921"/>
        <item x="945"/>
        <item x="671"/>
        <item x="267"/>
        <item x="1020"/>
        <item x="116"/>
        <item x="1235"/>
        <item x="1120"/>
        <item x="461"/>
        <item x="998"/>
        <item x="987"/>
        <item x="899"/>
        <item x="911"/>
        <item x="363"/>
        <item x="227"/>
        <item x="334"/>
        <item x="1125"/>
        <item x="865"/>
        <item x="1237"/>
        <item x="288"/>
        <item x="798"/>
        <item x="529"/>
        <item x="624"/>
        <item x="70"/>
        <item x="661"/>
        <item x="56"/>
        <item x="94"/>
        <item x="98"/>
        <item x="750"/>
        <item x="605"/>
        <item x="914"/>
        <item x="351"/>
        <item x="436"/>
        <item x="777"/>
        <item x="1084"/>
        <item x="1054"/>
        <item x="837"/>
        <item x="38"/>
        <item x="342"/>
        <item x="22"/>
        <item x="621"/>
        <item x="201"/>
        <item x="1222"/>
        <item x="873"/>
        <item x="888"/>
        <item x="625"/>
        <item x="1124"/>
        <item x="1201"/>
        <item x="742"/>
        <item x="854"/>
        <item x="25"/>
        <item x="1017"/>
        <item x="759"/>
        <item x="367"/>
        <item x="858"/>
        <item x="930"/>
        <item x="444"/>
        <item x="439"/>
        <item x="767"/>
        <item x="31"/>
        <item x="378"/>
        <item x="1060"/>
        <item x="1226"/>
        <item x="585"/>
        <item x="626"/>
        <item x="79"/>
        <item x="426"/>
        <item x="1090"/>
        <item x="1082"/>
        <item x="1079"/>
        <item x="634"/>
        <item x="1154"/>
        <item x="1193"/>
        <item x="1172"/>
        <item x="500"/>
        <item x="505"/>
        <item x="390"/>
        <item x="663"/>
        <item x="271"/>
        <item x="277"/>
        <item x="684"/>
        <item x="695"/>
        <item x="875"/>
        <item x="501"/>
        <item x="146"/>
        <item x="504"/>
        <item x="1019"/>
        <item x="719"/>
        <item x="690"/>
        <item x="549"/>
        <item x="353"/>
        <item x="983"/>
        <item x="453"/>
        <item x="139"/>
        <item x="578"/>
        <item x="312"/>
        <item x="336"/>
        <item x="467"/>
        <item x="819"/>
        <item x="666"/>
        <item x="268"/>
        <item x="1255"/>
        <item x="941"/>
        <item x="11"/>
        <item x="6"/>
        <item x="462"/>
        <item x="1078"/>
        <item x="835"/>
        <item x="1151"/>
        <item x="1175"/>
        <item x="716"/>
        <item x="609"/>
        <item x="1156"/>
        <item x="713"/>
        <item x="1183"/>
        <item x="651"/>
        <item x="942"/>
        <item x="321"/>
        <item x="248"/>
        <item x="664"/>
        <item x="240"/>
        <item x="252"/>
        <item x="643"/>
        <item x="66"/>
        <item x="985"/>
        <item x="662"/>
        <item x="414"/>
        <item x="926"/>
        <item x="672"/>
        <item x="272"/>
        <item x="273"/>
        <item x="256"/>
        <item x="435"/>
        <item x="344"/>
        <item x="274"/>
        <item x="702"/>
        <item x="1258"/>
        <item x="382"/>
        <item x="387"/>
        <item x="93"/>
        <item x="52"/>
        <item x="16"/>
        <item x="917"/>
        <item x="1117"/>
        <item x="250"/>
        <item x="754"/>
        <item x="613"/>
        <item m="1" x="1261"/>
        <item x="340"/>
        <item x="818"/>
        <item x="856"/>
        <item x="165"/>
        <item x="772"/>
        <item x="477"/>
        <item x="980"/>
        <item x="703"/>
        <item x="395"/>
        <item x="309"/>
        <item x="341"/>
        <item x="44"/>
        <item x="723"/>
        <item x="1089"/>
        <item x="233"/>
        <item x="445"/>
        <item x="487"/>
        <item x="1003"/>
        <item x="478"/>
        <item x="989"/>
        <item x="1008"/>
        <item x="997"/>
        <item x="617"/>
        <item x="947"/>
        <item x="948"/>
        <item x="758"/>
        <item x="1"/>
        <item x="0"/>
        <item x="1159"/>
        <item x="210"/>
        <item x="350"/>
        <item x="770"/>
        <item x="254"/>
        <item x="68"/>
        <item x="1014"/>
        <item x="225"/>
        <item x="234"/>
        <item x="9"/>
        <item x="381"/>
        <item x="924"/>
        <item x="97"/>
        <item x="922"/>
        <item x="105"/>
        <item x="934"/>
        <item x="593"/>
        <item x="1026"/>
        <item x="211"/>
        <item x="192"/>
        <item x="76"/>
        <item x="938"/>
        <item x="206"/>
        <item x="184"/>
        <item x="530"/>
        <item x="180"/>
        <item x="174"/>
        <item x="54"/>
        <item x="374"/>
        <item x="790"/>
        <item x="411"/>
        <item x="870"/>
        <item x="830"/>
        <item x="117"/>
        <item x="566"/>
        <item x="1108"/>
        <item x="1097"/>
        <item x="718"/>
        <item x="1015"/>
        <item x="538"/>
        <item x="1076"/>
        <item x="2"/>
        <item x="460"/>
        <item x="721"/>
        <item x="1040"/>
        <item x="151"/>
        <item x="316"/>
        <item x="19"/>
        <item x="425"/>
        <item x="450"/>
        <item x="751"/>
        <item x="855"/>
        <item x="654"/>
        <item x="1013"/>
        <item x="434"/>
        <item x="200"/>
        <item x="746"/>
        <item x="536"/>
        <item x="1085"/>
        <item x="1095"/>
        <item x="497"/>
        <item x="827"/>
        <item x="187"/>
        <item x="764"/>
        <item x="765"/>
        <item x="568"/>
        <item x="1144"/>
        <item x="645"/>
        <item x="740"/>
        <item x="1106"/>
        <item x="1096"/>
        <item x="356"/>
        <item x="1180"/>
        <item x="1246"/>
        <item x="940"/>
        <item x="112"/>
        <item x="329"/>
        <item x="59"/>
        <item x="952"/>
        <item x="913"/>
        <item x="1155"/>
        <item x="1140"/>
        <item x="550"/>
        <item x="1047"/>
        <item x="1189"/>
        <item x="889"/>
        <item x="802"/>
        <item x="493"/>
        <item x="246"/>
        <item x="935"/>
        <item x="432"/>
        <item x="50"/>
        <item x="324"/>
        <item x="1239"/>
        <item x="586"/>
        <item x="203"/>
        <item x="1135"/>
        <item x="582"/>
        <item x="810"/>
        <item x="620"/>
        <item x="1224"/>
        <item x="799"/>
        <item x="292"/>
        <item x="925"/>
        <item x="929"/>
        <item x="783"/>
        <item x="558"/>
        <item x="564"/>
        <item x="1149"/>
        <item x="618"/>
        <item x="652"/>
        <item x="431"/>
        <item x="416"/>
        <item x="1244"/>
        <item x="293"/>
        <item x="488"/>
        <item x="847"/>
        <item x="475"/>
        <item x="565"/>
        <item x="1100"/>
        <item x="1051"/>
        <item x="1112"/>
        <item x="599"/>
        <item x="1116"/>
        <item x="776"/>
        <item x="1158"/>
        <item x="359"/>
        <item x="221"/>
        <item x="1141"/>
        <item x="228"/>
        <item x="1179"/>
        <item x="526"/>
        <item x="557"/>
        <item x="479"/>
        <item x="75"/>
        <item x="674"/>
        <item x="563"/>
        <item x="881"/>
        <item x="1115"/>
        <item x="1134"/>
        <item x="1139"/>
        <item x="944"/>
        <item x="1260"/>
        <item x="656"/>
        <item x="778"/>
        <item x="110"/>
        <item x="492"/>
        <item x="153"/>
        <item x="965"/>
        <item x="1046"/>
        <item x="319"/>
        <item x="265"/>
        <item x="1215"/>
        <item x="670"/>
        <item x="1162"/>
        <item x="495"/>
        <item x="253"/>
        <item x="300"/>
        <item x="260"/>
        <item x="1105"/>
        <item x="554"/>
        <item x="1052"/>
        <item x="544"/>
        <item x="539"/>
        <item x="669"/>
        <item x="629"/>
        <item x="1199"/>
        <item x="1077"/>
        <item x="773"/>
        <item x="91"/>
        <item x="1103"/>
        <item x="175"/>
        <item x="590"/>
        <item x="1250"/>
        <item x="627"/>
        <item x="1123"/>
        <item x="939"/>
        <item x="472"/>
        <item x="541"/>
        <item x="1178"/>
        <item x="1166"/>
        <item x="517"/>
        <item x="540"/>
        <item x="1092"/>
        <item x="608"/>
        <item x="433"/>
        <item x="1118"/>
        <item t="default"/>
      </items>
    </pivotField>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dataField="1"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0"/>
  </rowFields>
  <rowItems count="12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t="grand">
      <x/>
    </i>
  </rowItems>
  <colItems count="1">
    <i/>
  </colItems>
  <dataFields count="1">
    <dataField name="Sum of Patent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9BF00-0B5E-0148-A220-F746D29EC64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B48" firstHeaderRow="1" firstDataRow="1" firstDataCol="1"/>
  <pivotFields count="21">
    <pivotField dataField="1" showAll="0"/>
    <pivotField showAll="0"/>
    <pivotField showAll="0"/>
    <pivotField showAll="0"/>
    <pivotField showAll="0"/>
    <pivotField showAll="0"/>
    <pivotField showAll="0"/>
    <pivotField numFmtId="6" showAll="0"/>
    <pivotField numFmtId="6" showAll="0"/>
    <pivotField showAll="0"/>
    <pivotField showAll="0"/>
    <pivotField showAll="0"/>
    <pivotField showAll="0"/>
    <pivotField showAll="0"/>
    <pivotField numFmtId="14" showAll="0">
      <items count="65">
        <item x="33"/>
        <item x="6"/>
        <item x="3"/>
        <item x="10"/>
        <item x="4"/>
        <item x="39"/>
        <item x="22"/>
        <item x="35"/>
        <item x="5"/>
        <item x="34"/>
        <item x="27"/>
        <item x="30"/>
        <item x="23"/>
        <item x="32"/>
        <item x="28"/>
        <item x="21"/>
        <item x="0"/>
        <item x="15"/>
        <item x="24"/>
        <item x="1"/>
        <item x="11"/>
        <item x="29"/>
        <item x="31"/>
        <item x="26"/>
        <item x="14"/>
        <item x="25"/>
        <item x="12"/>
        <item x="9"/>
        <item x="17"/>
        <item x="47"/>
        <item x="62"/>
        <item x="18"/>
        <item x="48"/>
        <item x="60"/>
        <item x="13"/>
        <item x="43"/>
        <item x="42"/>
        <item x="49"/>
        <item x="61"/>
        <item x="50"/>
        <item x="45"/>
        <item x="59"/>
        <item x="51"/>
        <item x="55"/>
        <item x="37"/>
        <item x="44"/>
        <item x="52"/>
        <item x="56"/>
        <item x="36"/>
        <item x="53"/>
        <item x="46"/>
        <item x="57"/>
        <item x="58"/>
        <item x="54"/>
        <item x="2"/>
        <item x="20"/>
        <item x="16"/>
        <item x="7"/>
        <item x="19"/>
        <item m="1" x="63"/>
        <item x="40"/>
        <item x="41"/>
        <item x="38"/>
        <item x="8"/>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axis="axisRow" showAll="0">
      <items count="19">
        <item sd="0" x="1"/>
        <item sd="0" x="2"/>
        <item sd="0" x="3"/>
        <item sd="0" x="4"/>
        <item sd="0" x="5"/>
        <item sd="0" x="6"/>
        <item sd="0" x="7"/>
        <item sd="0" x="8"/>
        <item sd="0" x="9"/>
        <item sd="0" x="10"/>
        <item sd="0" x="11"/>
        <item sd="0" x="12"/>
        <item sd="0" x="13"/>
        <item sd="0" x="14"/>
        <item sd="0" x="15"/>
        <item sd="0" x="16"/>
        <item sd="0" x="17"/>
        <item x="0"/>
        <item t="default"/>
      </items>
    </pivotField>
  </pivotFields>
  <rowFields count="1">
    <field x="20"/>
  </rowFields>
  <rowItems count="17">
    <i>
      <x/>
    </i>
    <i>
      <x v="1"/>
    </i>
    <i>
      <x v="2"/>
    </i>
    <i>
      <x v="3"/>
    </i>
    <i>
      <x v="4"/>
    </i>
    <i>
      <x v="5"/>
    </i>
    <i>
      <x v="6"/>
    </i>
    <i>
      <x v="7"/>
    </i>
    <i>
      <x v="8"/>
    </i>
    <i>
      <x v="9"/>
    </i>
    <i>
      <x v="10"/>
    </i>
    <i>
      <x v="11"/>
    </i>
    <i>
      <x v="12"/>
    </i>
    <i>
      <x v="13"/>
    </i>
    <i>
      <x v="14"/>
    </i>
    <i>
      <x v="15"/>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50B221-1F42-2B44-B8E3-767C39F4F29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1:L148" firstHeaderRow="1" firstDataRow="1" firstDataCol="1"/>
  <pivotFields count="21">
    <pivotField dataField="1" showAll="0"/>
    <pivotField showAll="0"/>
    <pivotField showAll="0"/>
    <pivotField axis="axisRow"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m="1" x="66"/>
        <item x="65"/>
        <item t="default"/>
      </items>
    </pivotField>
    <pivotField showAll="0"/>
    <pivotField showAll="0"/>
    <pivotField showAll="0"/>
    <pivotField numFmtId="167" showAll="0"/>
    <pivotField numFmtId="167" showAll="0"/>
    <pivotField numFmtId="167" showAll="0"/>
    <pivotField showAll="0"/>
    <pivotField showAll="0"/>
    <pivotField showAll="0"/>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6"/>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75DFD-7264-104D-9752-9F5A9B7BCCF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H28" firstHeaderRow="0" firstDataRow="1" firstDataCol="1"/>
  <pivotFields count="21">
    <pivotField showAll="0"/>
    <pivotField showAll="0"/>
    <pivotField showAll="0"/>
    <pivotField showAll="0"/>
    <pivotField showAll="0"/>
    <pivotField showAll="0"/>
    <pivotField showAll="0"/>
    <pivotField dataField="1" numFmtId="167" showAll="0"/>
    <pivotField dataField="1" numFmtId="167" showAll="0"/>
    <pivotField dataField="1" numFmtId="167" showAll="0"/>
    <pivotField showAll="0"/>
    <pivotField showAll="0"/>
    <pivotField axis="axisRow" showAll="0">
      <items count="14">
        <item x="6"/>
        <item x="1"/>
        <item x="11"/>
        <item x="9"/>
        <item x="8"/>
        <item x="2"/>
        <item x="10"/>
        <item x="12"/>
        <item x="7"/>
        <item x="0"/>
        <item x="3"/>
        <item x="4"/>
        <item x="5"/>
        <item t="default"/>
      </items>
    </pivotField>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12"/>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External_Funding" fld="9" baseField="0" baseItem="0" numFmtId="167"/>
    <dataField name="Sum of CIHR_Equipment" fld="8" baseField="0" baseItem="0" numFmtId="167"/>
    <dataField name="Sum of CIHR_Contribution" fld="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5A423-2833-C642-A3F0-8B454C8941B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H12" firstHeaderRow="0" firstDataRow="1" firstDataCol="1"/>
  <pivotFields count="21">
    <pivotField showAll="0"/>
    <pivotField showAll="0"/>
    <pivotField axis="axisRow" showAll="0">
      <items count="13">
        <item x="1"/>
        <item x="3"/>
        <item x="4"/>
        <item x="7"/>
        <item x="5"/>
        <item x="6"/>
        <item x="0"/>
        <item x="9"/>
        <item x="2"/>
        <item x="8"/>
        <item m="1" x="11"/>
        <item m="1" x="10"/>
        <item t="default"/>
      </items>
    </pivotField>
    <pivotField showAll="0"/>
    <pivotField showAll="0"/>
    <pivotField showAll="0"/>
    <pivotField showAll="0"/>
    <pivotField dataField="1" numFmtId="167" showAll="0"/>
    <pivotField dataField="1" numFmtId="167" showAll="0"/>
    <pivotField dataField="1" numFmtId="167" showAll="0"/>
    <pivotField showAll="0"/>
    <pivotField showAll="0"/>
    <pivotField showAll="0"/>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External_Funding" fld="9" baseField="0" baseItem="0" numFmtId="167"/>
    <dataField name="Sum of CIHR_Equipment" fld="8" baseField="0" baseItem="0" numFmtId="167"/>
    <dataField name="Sum of CIHR_Contribution" fld="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8329F9-4EB7-8440-92BB-B69E9CC14A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45" firstHeaderRow="1" firstDataRow="1" firstDataCol="1"/>
  <pivotFields count="21">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axis="axisRow" showAll="0">
      <items count="14">
        <item x="6"/>
        <item x="1"/>
        <item x="11"/>
        <item x="9"/>
        <item x="8"/>
        <item x="2"/>
        <item x="10"/>
        <item x="12"/>
        <item x="7"/>
        <item x="0"/>
        <item x="3"/>
        <item x="4"/>
        <item x="5"/>
        <item t="default"/>
      </items>
    </pivotField>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dataField="1"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Patent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EC7145-605E-9349-A955-2F0714EF1E2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1:I109" firstHeaderRow="1" firstDataRow="1" firstDataCol="1"/>
  <pivotFields count="21">
    <pivotField dataField="1" showAll="0"/>
    <pivotField showAll="0"/>
    <pivotField showAll="0"/>
    <pivotField showAll="0"/>
    <pivotField showAll="0"/>
    <pivotField axis="axisRow" showAll="0">
      <items count="29">
        <item x="16"/>
        <item x="12"/>
        <item x="24"/>
        <item x="6"/>
        <item x="23"/>
        <item x="14"/>
        <item x="13"/>
        <item x="26"/>
        <item x="8"/>
        <item x="17"/>
        <item x="18"/>
        <item x="19"/>
        <item x="0"/>
        <item x="10"/>
        <item x="22"/>
        <item m="1" x="27"/>
        <item x="2"/>
        <item x="1"/>
        <item x="7"/>
        <item x="3"/>
        <item x="11"/>
        <item x="25"/>
        <item x="20"/>
        <item x="9"/>
        <item x="4"/>
        <item x="15"/>
        <item x="21"/>
        <item x="5"/>
        <item t="default"/>
      </items>
    </pivotField>
    <pivotField showAll="0"/>
    <pivotField numFmtId="167" showAll="0"/>
    <pivotField numFmtId="167" showAll="0"/>
    <pivotField numFmtId="167" showAll="0"/>
    <pivotField showAll="0"/>
    <pivotField showAll="0"/>
    <pivotField showAll="0"/>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5"/>
  </rowFields>
  <rowItems count="28">
    <i>
      <x/>
    </i>
    <i>
      <x v="1"/>
    </i>
    <i>
      <x v="2"/>
    </i>
    <i>
      <x v="3"/>
    </i>
    <i>
      <x v="4"/>
    </i>
    <i>
      <x v="5"/>
    </i>
    <i>
      <x v="6"/>
    </i>
    <i>
      <x v="7"/>
    </i>
    <i>
      <x v="8"/>
    </i>
    <i>
      <x v="9"/>
    </i>
    <i>
      <x v="10"/>
    </i>
    <i>
      <x v="11"/>
    </i>
    <i>
      <x v="12"/>
    </i>
    <i>
      <x v="13"/>
    </i>
    <i>
      <x v="14"/>
    </i>
    <i>
      <x v="16"/>
    </i>
    <i>
      <x v="17"/>
    </i>
    <i>
      <x v="18"/>
    </i>
    <i>
      <x v="19"/>
    </i>
    <i>
      <x v="20"/>
    </i>
    <i>
      <x v="21"/>
    </i>
    <i>
      <x v="22"/>
    </i>
    <i>
      <x v="23"/>
    </i>
    <i>
      <x v="24"/>
    </i>
    <i>
      <x v="25"/>
    </i>
    <i>
      <x v="26"/>
    </i>
    <i>
      <x v="27"/>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3DE89F-C700-E548-AFC1-C47EB78B78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2" firstHeaderRow="1" firstDataRow="1" firstDataCol="1"/>
  <pivotFields count="21">
    <pivotField dataField="1" showAll="0"/>
    <pivotField showAll="0"/>
    <pivotField axis="axisRow" showAll="0">
      <items count="13">
        <item x="1"/>
        <item x="3"/>
        <item x="4"/>
        <item x="7"/>
        <item x="5"/>
        <item x="6"/>
        <item x="0"/>
        <item x="9"/>
        <item x="2"/>
        <item x="8"/>
        <item m="1" x="11"/>
        <item m="1" x="10"/>
        <item t="default"/>
      </items>
    </pivotField>
    <pivotField showAll="0"/>
    <pivotField showAll="0"/>
    <pivotField showAll="0"/>
    <pivotField showAll="0"/>
    <pivotField numFmtId="167" showAll="0"/>
    <pivotField numFmtId="167" showAll="0"/>
    <pivotField numFmtId="167" showAll="0"/>
    <pivotField showAll="0"/>
    <pivotField showAll="0"/>
    <pivotField showAll="0"/>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2"/>
  </rowFields>
  <rowItems count="11">
    <i>
      <x/>
    </i>
    <i>
      <x v="1"/>
    </i>
    <i>
      <x v="2"/>
    </i>
    <i>
      <x v="3"/>
    </i>
    <i>
      <x v="4"/>
    </i>
    <i>
      <x v="5"/>
    </i>
    <i>
      <x v="6"/>
    </i>
    <i>
      <x v="7"/>
    </i>
    <i>
      <x v="8"/>
    </i>
    <i>
      <x v="9"/>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BD0F57-9067-AE43-BA10-772BA41CB1F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8" firstHeaderRow="1" firstDataRow="1" firstDataCol="1"/>
  <pivotFields count="21">
    <pivotField dataField="1" showAll="0"/>
    <pivotField showAll="0"/>
    <pivotField showAll="0"/>
    <pivotField showAll="0"/>
    <pivotField showAll="0"/>
    <pivotField showAll="0"/>
    <pivotField showAll="0"/>
    <pivotField numFmtId="167" showAll="0"/>
    <pivotField numFmtId="167" showAll="0"/>
    <pivotField numFmtId="167" showAll="0"/>
    <pivotField showAll="0"/>
    <pivotField showAll="0"/>
    <pivotField axis="axisRow" showAll="0">
      <items count="14">
        <item x="6"/>
        <item x="1"/>
        <item x="11"/>
        <item x="9"/>
        <item x="8"/>
        <item x="2"/>
        <item x="10"/>
        <item x="12"/>
        <item x="7"/>
        <item x="0"/>
        <item x="3"/>
        <item x="4"/>
        <item x="5"/>
        <item t="default"/>
      </items>
    </pivotField>
    <pivotField showAll="0"/>
    <pivotField numFmtId="14" showAll="0">
      <items count="65">
        <item x="33"/>
        <item x="6"/>
        <item x="3"/>
        <item x="10"/>
        <item x="4"/>
        <item x="39"/>
        <item x="22"/>
        <item x="35"/>
        <item x="5"/>
        <item x="34"/>
        <item x="27"/>
        <item x="30"/>
        <item x="23"/>
        <item x="40"/>
        <item x="32"/>
        <item x="28"/>
        <item x="21"/>
        <item x="0"/>
        <item x="15"/>
        <item x="2"/>
        <item x="24"/>
        <item m="1" x="63"/>
        <item x="1"/>
        <item x="11"/>
        <item x="29"/>
        <item x="31"/>
        <item x="26"/>
        <item x="14"/>
        <item x="25"/>
        <item x="20"/>
        <item x="16"/>
        <item x="38"/>
        <item x="12"/>
        <item x="9"/>
        <item x="17"/>
        <item x="47"/>
        <item x="41"/>
        <item x="62"/>
        <item x="18"/>
        <item x="48"/>
        <item x="60"/>
        <item x="13"/>
        <item x="43"/>
        <item x="42"/>
        <item x="49"/>
        <item x="61"/>
        <item x="50"/>
        <item x="45"/>
        <item x="59"/>
        <item x="51"/>
        <item x="55"/>
        <item x="37"/>
        <item x="44"/>
        <item x="52"/>
        <item x="8"/>
        <item x="56"/>
        <item x="36"/>
        <item x="7"/>
        <item x="53"/>
        <item x="46"/>
        <item x="57"/>
        <item x="19"/>
        <item x="58"/>
        <item x="54"/>
        <item t="default"/>
      </items>
    </pivotField>
    <pivotField numFmtId="14"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CCF3E-E330-1849-9395-2B7C61E11928}">
  <dimension ref="A1:R1770"/>
  <sheetViews>
    <sheetView tabSelected="1" zoomScale="90" zoomScaleNormal="90" workbookViewId="0">
      <selection activeCell="N1" sqref="N1"/>
    </sheetView>
  </sheetViews>
  <sheetFormatPr defaultColWidth="10.625" defaultRowHeight="15.75" x14ac:dyDescent="0.25"/>
  <cols>
    <col min="1" max="1" width="36.375" customWidth="1"/>
    <col min="8" max="8" width="12.625" customWidth="1"/>
    <col min="10" max="10" width="11.5" style="12" customWidth="1"/>
    <col min="14" max="14" width="36.75" customWidth="1"/>
    <col min="15" max="15" width="12.125" customWidth="1"/>
    <col min="16" max="16" width="12.5" customWidth="1"/>
    <col min="18" max="18" width="12.375" customWidth="1"/>
  </cols>
  <sheetData>
    <row r="1" spans="1:18" x14ac:dyDescent="0.25">
      <c r="A1" t="s">
        <v>0</v>
      </c>
      <c r="B1" t="s">
        <v>1</v>
      </c>
      <c r="C1" t="s">
        <v>2</v>
      </c>
      <c r="D1" t="s">
        <v>3</v>
      </c>
      <c r="E1" t="s">
        <v>4</v>
      </c>
      <c r="F1" t="s">
        <v>5</v>
      </c>
      <c r="G1" t="s">
        <v>6</v>
      </c>
      <c r="H1" s="10" t="s">
        <v>7</v>
      </c>
      <c r="I1" s="10" t="s">
        <v>8</v>
      </c>
      <c r="J1" s="10" t="s">
        <v>9</v>
      </c>
      <c r="K1" t="s">
        <v>10</v>
      </c>
      <c r="L1" t="s">
        <v>11</v>
      </c>
      <c r="M1" t="s">
        <v>12</v>
      </c>
      <c r="N1" t="s">
        <v>13</v>
      </c>
      <c r="O1" s="2" t="s">
        <v>14</v>
      </c>
      <c r="P1" s="2" t="s">
        <v>15</v>
      </c>
      <c r="Q1" t="s">
        <v>16</v>
      </c>
      <c r="R1" t="s">
        <v>17</v>
      </c>
    </row>
    <row r="2" spans="1:18" x14ac:dyDescent="0.25">
      <c r="A2" t="s">
        <v>6257</v>
      </c>
      <c r="B2" t="s">
        <v>157</v>
      </c>
      <c r="C2" t="s">
        <v>38</v>
      </c>
      <c r="D2" t="s">
        <v>4557</v>
      </c>
      <c r="E2" t="s">
        <v>4558</v>
      </c>
      <c r="F2" t="s">
        <v>4559</v>
      </c>
      <c r="G2" t="s">
        <v>4560</v>
      </c>
      <c r="H2" s="10">
        <v>245475</v>
      </c>
      <c r="I2" s="10">
        <v>65000</v>
      </c>
      <c r="J2" s="10">
        <v>0</v>
      </c>
      <c r="L2" t="s">
        <v>55</v>
      </c>
      <c r="M2" t="s">
        <v>26</v>
      </c>
      <c r="N2" t="s">
        <v>3441</v>
      </c>
      <c r="O2" s="2">
        <v>43191</v>
      </c>
      <c r="P2" s="2">
        <v>44286</v>
      </c>
      <c r="Q2">
        <v>0</v>
      </c>
      <c r="R2" t="s">
        <v>5659</v>
      </c>
    </row>
    <row r="3" spans="1:18" x14ac:dyDescent="0.25">
      <c r="A3" t="s">
        <v>6257</v>
      </c>
      <c r="B3" t="s">
        <v>107</v>
      </c>
      <c r="C3" t="s">
        <v>38</v>
      </c>
      <c r="D3" t="s">
        <v>4557</v>
      </c>
      <c r="E3" t="s">
        <v>4562</v>
      </c>
      <c r="F3" t="s">
        <v>4559</v>
      </c>
      <c r="G3" t="s">
        <v>4563</v>
      </c>
      <c r="H3" s="10">
        <v>1214556</v>
      </c>
      <c r="I3" s="10">
        <v>89250</v>
      </c>
      <c r="J3" s="10">
        <v>0</v>
      </c>
      <c r="L3" t="s">
        <v>55</v>
      </c>
      <c r="M3" t="s">
        <v>26</v>
      </c>
      <c r="N3" t="s">
        <v>6062</v>
      </c>
      <c r="O3" s="2">
        <v>43922</v>
      </c>
      <c r="P3" s="2">
        <v>45016</v>
      </c>
      <c r="Q3">
        <v>0</v>
      </c>
      <c r="R3" t="s">
        <v>6061</v>
      </c>
    </row>
    <row r="4" spans="1:18" x14ac:dyDescent="0.25">
      <c r="A4" t="s">
        <v>4345</v>
      </c>
      <c r="B4" t="s">
        <v>49</v>
      </c>
      <c r="C4" t="s">
        <v>50</v>
      </c>
      <c r="D4" t="s">
        <v>21</v>
      </c>
      <c r="E4" t="s">
        <v>534</v>
      </c>
      <c r="F4" t="s">
        <v>109</v>
      </c>
      <c r="G4" t="s">
        <v>4349</v>
      </c>
      <c r="H4" s="10">
        <v>449365</v>
      </c>
      <c r="I4" s="10">
        <v>0</v>
      </c>
      <c r="J4" s="10">
        <v>0</v>
      </c>
      <c r="L4" t="s">
        <v>25</v>
      </c>
      <c r="M4" t="s">
        <v>204</v>
      </c>
      <c r="N4" t="s">
        <v>4350</v>
      </c>
      <c r="O4" s="2">
        <v>40817</v>
      </c>
      <c r="P4" s="2">
        <v>42277</v>
      </c>
      <c r="Q4">
        <v>1</v>
      </c>
      <c r="R4" t="s">
        <v>4351</v>
      </c>
    </row>
    <row r="5" spans="1:18" x14ac:dyDescent="0.25">
      <c r="A5" t="s">
        <v>4345</v>
      </c>
      <c r="B5" t="s">
        <v>49</v>
      </c>
      <c r="C5" t="s">
        <v>50</v>
      </c>
      <c r="D5" t="s">
        <v>51</v>
      </c>
      <c r="E5" t="s">
        <v>116</v>
      </c>
      <c r="F5" t="s">
        <v>109</v>
      </c>
      <c r="G5" t="s">
        <v>4355</v>
      </c>
      <c r="H5" s="10">
        <v>1158976</v>
      </c>
      <c r="I5" s="10">
        <v>0</v>
      </c>
      <c r="J5" s="10">
        <v>0</v>
      </c>
      <c r="L5" t="s">
        <v>42</v>
      </c>
      <c r="M5" t="s">
        <v>26</v>
      </c>
      <c r="N5" t="s">
        <v>458</v>
      </c>
      <c r="O5" s="2">
        <v>43374</v>
      </c>
      <c r="P5" s="2">
        <v>45199</v>
      </c>
      <c r="Q5">
        <v>2</v>
      </c>
      <c r="R5" t="s">
        <v>4356</v>
      </c>
    </row>
    <row r="6" spans="1:18" x14ac:dyDescent="0.25">
      <c r="A6" t="s">
        <v>4345</v>
      </c>
      <c r="B6" t="s">
        <v>49</v>
      </c>
      <c r="C6" t="s">
        <v>50</v>
      </c>
      <c r="D6" t="s">
        <v>51</v>
      </c>
      <c r="E6" t="s">
        <v>127</v>
      </c>
      <c r="F6" t="s">
        <v>109</v>
      </c>
      <c r="G6" t="s">
        <v>4346</v>
      </c>
      <c r="H6" s="10">
        <v>1005976</v>
      </c>
      <c r="I6" s="10">
        <v>0</v>
      </c>
      <c r="J6" s="10">
        <v>0</v>
      </c>
      <c r="L6" t="s">
        <v>42</v>
      </c>
      <c r="M6" t="s">
        <v>217</v>
      </c>
      <c r="N6" t="s">
        <v>4347</v>
      </c>
      <c r="O6" s="2">
        <v>44835</v>
      </c>
      <c r="P6" s="2">
        <v>46660</v>
      </c>
      <c r="Q6">
        <v>0</v>
      </c>
      <c r="R6" t="s">
        <v>4348</v>
      </c>
    </row>
    <row r="7" spans="1:18" x14ac:dyDescent="0.25">
      <c r="A7" t="s">
        <v>4345</v>
      </c>
      <c r="B7" t="s">
        <v>49</v>
      </c>
      <c r="C7" t="s">
        <v>50</v>
      </c>
      <c r="D7" t="s">
        <v>4557</v>
      </c>
      <c r="E7" t="s">
        <v>4562</v>
      </c>
      <c r="F7" t="s">
        <v>4559</v>
      </c>
      <c r="G7" t="s">
        <v>4565</v>
      </c>
      <c r="H7" s="10">
        <v>279550</v>
      </c>
      <c r="I7" s="10">
        <v>0</v>
      </c>
      <c r="J7" s="10">
        <v>0</v>
      </c>
      <c r="L7" t="s">
        <v>55</v>
      </c>
      <c r="M7" t="s">
        <v>26</v>
      </c>
      <c r="N7" t="s">
        <v>6078</v>
      </c>
      <c r="O7" s="2">
        <v>43922</v>
      </c>
      <c r="P7" s="2">
        <v>45016</v>
      </c>
      <c r="Q7">
        <v>1</v>
      </c>
      <c r="R7" t="s">
        <v>6077</v>
      </c>
    </row>
    <row r="8" spans="1:18" x14ac:dyDescent="0.25">
      <c r="A8" t="s">
        <v>4352</v>
      </c>
      <c r="B8" t="s">
        <v>721</v>
      </c>
      <c r="C8" t="s">
        <v>20</v>
      </c>
      <c r="D8" t="s">
        <v>51</v>
      </c>
      <c r="E8" t="s">
        <v>52</v>
      </c>
      <c r="F8" t="s">
        <v>128</v>
      </c>
      <c r="G8" t="s">
        <v>4353</v>
      </c>
      <c r="H8" s="10">
        <v>1071000</v>
      </c>
      <c r="I8" s="10">
        <v>0</v>
      </c>
      <c r="J8" s="10">
        <v>0</v>
      </c>
      <c r="L8" t="s">
        <v>42</v>
      </c>
      <c r="M8" t="s">
        <v>26</v>
      </c>
      <c r="N8" t="s">
        <v>729</v>
      </c>
      <c r="O8" s="2">
        <v>44287</v>
      </c>
      <c r="P8" s="2">
        <v>46112</v>
      </c>
      <c r="Q8">
        <v>0</v>
      </c>
      <c r="R8" t="s">
        <v>4354</v>
      </c>
    </row>
    <row r="9" spans="1:18" x14ac:dyDescent="0.25">
      <c r="A9" t="s">
        <v>4341</v>
      </c>
      <c r="B9" t="s">
        <v>162</v>
      </c>
      <c r="C9" t="s">
        <v>149</v>
      </c>
      <c r="D9" t="s">
        <v>51</v>
      </c>
      <c r="E9" t="s">
        <v>1383</v>
      </c>
      <c r="F9" t="s">
        <v>53</v>
      </c>
      <c r="G9" t="s">
        <v>4342</v>
      </c>
      <c r="H9" s="10">
        <v>100000</v>
      </c>
      <c r="I9" s="10">
        <v>0</v>
      </c>
      <c r="J9" s="10">
        <v>0</v>
      </c>
      <c r="L9" t="s">
        <v>34</v>
      </c>
      <c r="M9" t="s">
        <v>94</v>
      </c>
      <c r="N9" t="s">
        <v>4343</v>
      </c>
      <c r="O9" s="2">
        <v>43374</v>
      </c>
      <c r="P9" s="2">
        <v>43738</v>
      </c>
      <c r="Q9">
        <v>0</v>
      </c>
      <c r="R9" t="s">
        <v>4344</v>
      </c>
    </row>
    <row r="10" spans="1:18" x14ac:dyDescent="0.25">
      <c r="A10" t="s">
        <v>4341</v>
      </c>
      <c r="B10" t="s">
        <v>162</v>
      </c>
      <c r="C10" t="s">
        <v>149</v>
      </c>
      <c r="D10" t="s">
        <v>51</v>
      </c>
      <c r="E10" t="s">
        <v>52</v>
      </c>
      <c r="F10" t="s">
        <v>53</v>
      </c>
      <c r="G10" t="s">
        <v>4342</v>
      </c>
      <c r="H10" s="10">
        <v>600524</v>
      </c>
      <c r="I10" s="10">
        <v>0</v>
      </c>
      <c r="J10" s="10">
        <v>0</v>
      </c>
      <c r="L10" t="s">
        <v>25</v>
      </c>
      <c r="M10" t="s">
        <v>94</v>
      </c>
      <c r="N10" t="s">
        <v>4343</v>
      </c>
      <c r="O10" s="2">
        <v>43374</v>
      </c>
      <c r="P10" s="2">
        <v>43738</v>
      </c>
      <c r="Q10">
        <v>0</v>
      </c>
      <c r="R10" t="s">
        <v>4344</v>
      </c>
    </row>
    <row r="11" spans="1:18" x14ac:dyDescent="0.25">
      <c r="A11" t="s">
        <v>4337</v>
      </c>
      <c r="B11" t="s">
        <v>98</v>
      </c>
      <c r="C11" t="s">
        <v>20</v>
      </c>
      <c r="D11" t="s">
        <v>21</v>
      </c>
      <c r="E11" t="s">
        <v>534</v>
      </c>
      <c r="F11" t="s">
        <v>109</v>
      </c>
      <c r="G11" t="s">
        <v>4338</v>
      </c>
      <c r="H11" s="10">
        <v>657828</v>
      </c>
      <c r="I11" s="10">
        <v>0</v>
      </c>
      <c r="J11" s="10">
        <v>0</v>
      </c>
      <c r="L11" t="s">
        <v>42</v>
      </c>
      <c r="M11" t="s">
        <v>204</v>
      </c>
      <c r="N11" t="s">
        <v>4339</v>
      </c>
      <c r="O11" s="2">
        <v>40817</v>
      </c>
      <c r="P11" s="2">
        <v>42643</v>
      </c>
      <c r="Q11">
        <v>0</v>
      </c>
      <c r="R11" t="s">
        <v>4340</v>
      </c>
    </row>
    <row r="12" spans="1:18" x14ac:dyDescent="0.25">
      <c r="A12" t="s">
        <v>6258</v>
      </c>
      <c r="B12" t="s">
        <v>162</v>
      </c>
      <c r="C12" t="s">
        <v>149</v>
      </c>
      <c r="D12" t="s">
        <v>4557</v>
      </c>
      <c r="E12" t="s">
        <v>4567</v>
      </c>
      <c r="F12" t="s">
        <v>4559</v>
      </c>
      <c r="G12" t="s">
        <v>4568</v>
      </c>
      <c r="H12" s="10">
        <v>166500</v>
      </c>
      <c r="I12" s="10">
        <v>0</v>
      </c>
      <c r="J12" s="10">
        <v>0</v>
      </c>
      <c r="L12" t="s">
        <v>55</v>
      </c>
      <c r="M12" t="s">
        <v>831</v>
      </c>
      <c r="N12" t="s">
        <v>5516</v>
      </c>
      <c r="O12" s="2">
        <v>41730</v>
      </c>
      <c r="P12" s="2">
        <v>42825</v>
      </c>
      <c r="Q12">
        <v>0</v>
      </c>
      <c r="R12" t="s">
        <v>5842</v>
      </c>
    </row>
    <row r="13" spans="1:18" x14ac:dyDescent="0.25">
      <c r="A13" t="s">
        <v>4357</v>
      </c>
      <c r="B13" t="s">
        <v>499</v>
      </c>
      <c r="C13" t="s">
        <v>311</v>
      </c>
      <c r="D13" t="s">
        <v>51</v>
      </c>
      <c r="E13" t="s">
        <v>197</v>
      </c>
      <c r="F13" t="s">
        <v>109</v>
      </c>
      <c r="G13" t="s">
        <v>4358</v>
      </c>
      <c r="H13" s="10">
        <v>313652</v>
      </c>
      <c r="I13" s="10">
        <v>0</v>
      </c>
      <c r="J13" s="10">
        <v>0</v>
      </c>
      <c r="L13" t="s">
        <v>25</v>
      </c>
      <c r="M13" t="s">
        <v>831</v>
      </c>
      <c r="N13" t="s">
        <v>458</v>
      </c>
      <c r="O13" s="2">
        <v>44652</v>
      </c>
      <c r="P13" s="2">
        <v>46112</v>
      </c>
      <c r="Q13">
        <v>2</v>
      </c>
      <c r="R13" t="s">
        <v>4359</v>
      </c>
    </row>
    <row r="14" spans="1:18" x14ac:dyDescent="0.25">
      <c r="A14" t="s">
        <v>4357</v>
      </c>
      <c r="B14" t="s">
        <v>499</v>
      </c>
      <c r="C14" t="s">
        <v>311</v>
      </c>
      <c r="D14" t="s">
        <v>4557</v>
      </c>
      <c r="E14" t="s">
        <v>4570</v>
      </c>
      <c r="F14" t="s">
        <v>4559</v>
      </c>
      <c r="G14" t="s">
        <v>4571</v>
      </c>
      <c r="H14" s="10">
        <v>337717</v>
      </c>
      <c r="I14" s="10">
        <v>0</v>
      </c>
      <c r="J14" s="10">
        <v>0</v>
      </c>
      <c r="L14" t="s">
        <v>55</v>
      </c>
      <c r="M14" t="s">
        <v>217</v>
      </c>
      <c r="N14" t="s">
        <v>6016</v>
      </c>
      <c r="O14" s="2">
        <v>42826</v>
      </c>
      <c r="P14" s="2">
        <v>43921</v>
      </c>
      <c r="Q14">
        <v>4</v>
      </c>
      <c r="R14" t="s">
        <v>6015</v>
      </c>
    </row>
    <row r="15" spans="1:18" x14ac:dyDescent="0.25">
      <c r="A15" t="s">
        <v>5279</v>
      </c>
      <c r="B15" t="s">
        <v>240</v>
      </c>
      <c r="C15" t="s">
        <v>20</v>
      </c>
      <c r="D15" t="s">
        <v>5280</v>
      </c>
      <c r="E15" t="s">
        <v>5283</v>
      </c>
      <c r="F15" t="s">
        <v>4554</v>
      </c>
      <c r="G15" t="s">
        <v>5284</v>
      </c>
      <c r="H15" s="10">
        <v>66196</v>
      </c>
      <c r="I15" s="10">
        <v>0</v>
      </c>
      <c r="J15" s="10">
        <v>0</v>
      </c>
      <c r="L15" t="s">
        <v>34</v>
      </c>
      <c r="M15" t="s">
        <v>831</v>
      </c>
      <c r="N15" t="s">
        <v>5605</v>
      </c>
      <c r="O15" s="2">
        <v>40452</v>
      </c>
      <c r="P15" s="2">
        <v>40816</v>
      </c>
      <c r="Q15">
        <v>0</v>
      </c>
      <c r="R15" t="s">
        <v>5604</v>
      </c>
    </row>
    <row r="16" spans="1:18" x14ac:dyDescent="0.25">
      <c r="A16" t="s">
        <v>5279</v>
      </c>
      <c r="B16" t="s">
        <v>240</v>
      </c>
      <c r="C16" t="s">
        <v>20</v>
      </c>
      <c r="D16" t="s">
        <v>5280</v>
      </c>
      <c r="E16" t="s">
        <v>5281</v>
      </c>
      <c r="F16" t="s">
        <v>4554</v>
      </c>
      <c r="G16" t="s">
        <v>5282</v>
      </c>
      <c r="H16" s="10">
        <v>66667</v>
      </c>
      <c r="I16" s="10">
        <v>0</v>
      </c>
      <c r="J16" s="10">
        <v>0</v>
      </c>
      <c r="L16" t="s">
        <v>34</v>
      </c>
      <c r="M16" t="s">
        <v>831</v>
      </c>
      <c r="N16" t="s">
        <v>5967</v>
      </c>
      <c r="O16" s="2">
        <v>40817</v>
      </c>
      <c r="P16" s="2">
        <v>41182</v>
      </c>
      <c r="Q16">
        <v>0</v>
      </c>
      <c r="R16" t="s">
        <v>5966</v>
      </c>
    </row>
    <row r="17" spans="1:18" x14ac:dyDescent="0.25">
      <c r="A17" t="s">
        <v>4360</v>
      </c>
      <c r="B17" t="s">
        <v>1105</v>
      </c>
      <c r="C17" t="s">
        <v>138</v>
      </c>
      <c r="D17" t="s">
        <v>51</v>
      </c>
      <c r="E17" t="s">
        <v>163</v>
      </c>
      <c r="F17" t="s">
        <v>128</v>
      </c>
      <c r="G17" t="s">
        <v>4361</v>
      </c>
      <c r="H17" s="10">
        <v>100000</v>
      </c>
      <c r="I17" s="10">
        <v>0</v>
      </c>
      <c r="J17" s="10">
        <v>0</v>
      </c>
      <c r="L17" t="s">
        <v>55</v>
      </c>
      <c r="M17" t="s">
        <v>26</v>
      </c>
      <c r="N17" t="s">
        <v>261</v>
      </c>
      <c r="O17" s="2">
        <v>43556</v>
      </c>
      <c r="P17" s="2">
        <v>44651</v>
      </c>
      <c r="Q17">
        <v>0</v>
      </c>
      <c r="R17" t="s">
        <v>4362</v>
      </c>
    </row>
    <row r="18" spans="1:18" x14ac:dyDescent="0.25">
      <c r="A18" t="s">
        <v>6100</v>
      </c>
      <c r="B18" t="s">
        <v>162</v>
      </c>
      <c r="C18" t="s">
        <v>149</v>
      </c>
      <c r="D18" t="s">
        <v>5042</v>
      </c>
      <c r="E18" t="s">
        <v>5043</v>
      </c>
      <c r="F18" t="s">
        <v>5038</v>
      </c>
      <c r="G18" t="s">
        <v>5044</v>
      </c>
      <c r="H18" s="12">
        <v>420000</v>
      </c>
      <c r="I18" s="12">
        <v>0</v>
      </c>
      <c r="J18" s="10">
        <v>0</v>
      </c>
      <c r="L18" t="s">
        <v>5039</v>
      </c>
      <c r="M18" t="s">
        <v>413</v>
      </c>
      <c r="N18" t="s">
        <v>6101</v>
      </c>
      <c r="O18" s="2">
        <v>45444</v>
      </c>
      <c r="P18" s="2">
        <v>46477</v>
      </c>
      <c r="Q18">
        <v>0</v>
      </c>
      <c r="R18" t="s">
        <v>6102</v>
      </c>
    </row>
    <row r="19" spans="1:18" x14ac:dyDescent="0.25">
      <c r="A19" t="s">
        <v>18</v>
      </c>
      <c r="B19" t="s">
        <v>19</v>
      </c>
      <c r="C19" t="s">
        <v>20</v>
      </c>
      <c r="D19" t="s">
        <v>21</v>
      </c>
      <c r="E19" t="s">
        <v>22</v>
      </c>
      <c r="F19" t="s">
        <v>23</v>
      </c>
      <c r="G19" t="s">
        <v>24</v>
      </c>
      <c r="H19" s="10">
        <v>523091</v>
      </c>
      <c r="I19" s="10">
        <v>0</v>
      </c>
      <c r="J19" s="10">
        <v>0</v>
      </c>
      <c r="L19" t="s">
        <v>25</v>
      </c>
      <c r="M19" t="s">
        <v>26</v>
      </c>
      <c r="N19" t="s">
        <v>27</v>
      </c>
      <c r="O19" s="2">
        <v>41365</v>
      </c>
      <c r="P19" s="2">
        <v>42825</v>
      </c>
      <c r="Q19">
        <v>0</v>
      </c>
      <c r="R19" t="s">
        <v>28</v>
      </c>
    </row>
    <row r="20" spans="1:18" x14ac:dyDescent="0.25">
      <c r="A20" t="s">
        <v>18</v>
      </c>
      <c r="B20" t="s">
        <v>19</v>
      </c>
      <c r="C20" t="s">
        <v>20</v>
      </c>
      <c r="D20" t="s">
        <v>51</v>
      </c>
      <c r="E20" t="s">
        <v>211</v>
      </c>
      <c r="F20" t="s">
        <v>47</v>
      </c>
      <c r="G20" t="s">
        <v>4366</v>
      </c>
      <c r="H20" s="10">
        <v>100000</v>
      </c>
      <c r="I20" s="10">
        <v>0</v>
      </c>
      <c r="J20" s="10">
        <v>0</v>
      </c>
      <c r="L20" t="s">
        <v>34</v>
      </c>
      <c r="M20" t="s">
        <v>26</v>
      </c>
      <c r="N20" t="s">
        <v>4367</v>
      </c>
      <c r="O20" s="2">
        <v>45017</v>
      </c>
      <c r="P20" s="2">
        <v>45382</v>
      </c>
      <c r="Q20">
        <v>0</v>
      </c>
      <c r="R20" t="s">
        <v>4368</v>
      </c>
    </row>
    <row r="21" spans="1:18" x14ac:dyDescent="0.25">
      <c r="A21" t="s">
        <v>18</v>
      </c>
      <c r="B21" t="s">
        <v>19</v>
      </c>
      <c r="C21" t="s">
        <v>20</v>
      </c>
      <c r="D21" t="s">
        <v>51</v>
      </c>
      <c r="E21" t="s">
        <v>208</v>
      </c>
      <c r="F21" t="s">
        <v>23</v>
      </c>
      <c r="G21" t="s">
        <v>4366</v>
      </c>
      <c r="H21" s="10">
        <v>776475</v>
      </c>
      <c r="I21" s="10">
        <v>0</v>
      </c>
      <c r="J21" s="10">
        <v>0</v>
      </c>
      <c r="L21" t="s">
        <v>42</v>
      </c>
      <c r="M21" t="s">
        <v>26</v>
      </c>
      <c r="N21" t="s">
        <v>4367</v>
      </c>
      <c r="O21" s="2">
        <v>45017</v>
      </c>
      <c r="P21" s="2">
        <v>45382</v>
      </c>
      <c r="Q21">
        <v>0</v>
      </c>
      <c r="R21" t="s">
        <v>4368</v>
      </c>
    </row>
    <row r="22" spans="1:18" x14ac:dyDescent="0.25">
      <c r="A22" t="s">
        <v>18</v>
      </c>
      <c r="B22" t="s">
        <v>19</v>
      </c>
      <c r="C22" t="s">
        <v>20</v>
      </c>
      <c r="D22" t="s">
        <v>51</v>
      </c>
      <c r="E22" t="s">
        <v>158</v>
      </c>
      <c r="F22" t="s">
        <v>47</v>
      </c>
      <c r="G22" t="s">
        <v>4363</v>
      </c>
      <c r="H22" s="10">
        <v>1051875</v>
      </c>
      <c r="I22" s="10">
        <v>0</v>
      </c>
      <c r="J22" s="10">
        <v>0</v>
      </c>
      <c r="L22" t="s">
        <v>42</v>
      </c>
      <c r="M22" t="s">
        <v>26</v>
      </c>
      <c r="N22" t="s">
        <v>4364</v>
      </c>
      <c r="O22" s="2">
        <v>43922</v>
      </c>
      <c r="P22" s="2">
        <v>45747</v>
      </c>
      <c r="Q22">
        <v>0</v>
      </c>
      <c r="R22" t="s">
        <v>4365</v>
      </c>
    </row>
    <row r="23" spans="1:18" x14ac:dyDescent="0.25">
      <c r="A23" t="s">
        <v>6259</v>
      </c>
      <c r="B23" t="s">
        <v>29</v>
      </c>
      <c r="C23" t="s">
        <v>20</v>
      </c>
      <c r="D23" t="s">
        <v>30</v>
      </c>
      <c r="E23" t="s">
        <v>31</v>
      </c>
      <c r="F23" t="s">
        <v>32</v>
      </c>
      <c r="G23" t="s">
        <v>33</v>
      </c>
      <c r="H23" s="10">
        <v>100000</v>
      </c>
      <c r="I23" s="10">
        <v>0</v>
      </c>
      <c r="J23" s="10">
        <v>0</v>
      </c>
      <c r="L23" t="s">
        <v>34</v>
      </c>
      <c r="M23" t="s">
        <v>26</v>
      </c>
      <c r="N23" t="s">
        <v>35</v>
      </c>
      <c r="O23" s="2">
        <v>44986</v>
      </c>
      <c r="P23" s="2">
        <v>45351</v>
      </c>
      <c r="Q23">
        <v>0</v>
      </c>
      <c r="R23" t="s">
        <v>36</v>
      </c>
    </row>
    <row r="24" spans="1:18" x14ac:dyDescent="0.25">
      <c r="A24" t="s">
        <v>37</v>
      </c>
      <c r="B24" t="s">
        <v>5063</v>
      </c>
      <c r="C24" t="s">
        <v>38</v>
      </c>
      <c r="D24" t="s">
        <v>45</v>
      </c>
      <c r="E24" t="s">
        <v>46</v>
      </c>
      <c r="F24" t="s">
        <v>47</v>
      </c>
      <c r="G24" t="s">
        <v>48</v>
      </c>
      <c r="H24" s="10">
        <v>100000</v>
      </c>
      <c r="I24" s="10">
        <v>0</v>
      </c>
      <c r="J24" s="10">
        <v>0</v>
      </c>
      <c r="L24" t="s">
        <v>34</v>
      </c>
      <c r="M24" t="s">
        <v>26</v>
      </c>
      <c r="N24" t="s">
        <v>43</v>
      </c>
      <c r="O24" s="2">
        <v>40238</v>
      </c>
      <c r="P24" s="2">
        <v>40602</v>
      </c>
      <c r="Q24">
        <v>0</v>
      </c>
      <c r="R24" t="s">
        <v>44</v>
      </c>
    </row>
    <row r="25" spans="1:18" x14ac:dyDescent="0.25">
      <c r="A25" t="s">
        <v>37</v>
      </c>
      <c r="B25" t="s">
        <v>5063</v>
      </c>
      <c r="C25" t="s">
        <v>38</v>
      </c>
      <c r="D25" t="s">
        <v>39</v>
      </c>
      <c r="E25" t="s">
        <v>40</v>
      </c>
      <c r="F25" t="s">
        <v>23</v>
      </c>
      <c r="G25" t="s">
        <v>41</v>
      </c>
      <c r="H25" s="10">
        <v>740235</v>
      </c>
      <c r="I25" s="10">
        <v>0</v>
      </c>
      <c r="J25" s="10">
        <v>0</v>
      </c>
      <c r="L25" t="s">
        <v>42</v>
      </c>
      <c r="M25" t="s">
        <v>26</v>
      </c>
      <c r="N25" t="s">
        <v>43</v>
      </c>
      <c r="O25" s="2">
        <v>40452</v>
      </c>
      <c r="P25" s="2">
        <v>42277</v>
      </c>
      <c r="Q25">
        <v>0</v>
      </c>
      <c r="R25" t="s">
        <v>44</v>
      </c>
    </row>
    <row r="26" spans="1:18" x14ac:dyDescent="0.25">
      <c r="A26" t="s">
        <v>6265</v>
      </c>
      <c r="B26" t="s">
        <v>49</v>
      </c>
      <c r="C26" t="s">
        <v>50</v>
      </c>
      <c r="D26" t="s">
        <v>51</v>
      </c>
      <c r="E26" t="s">
        <v>52</v>
      </c>
      <c r="F26" t="s">
        <v>53</v>
      </c>
      <c r="G26" t="s">
        <v>54</v>
      </c>
      <c r="H26" s="10">
        <v>367200</v>
      </c>
      <c r="I26" s="10">
        <v>0</v>
      </c>
      <c r="J26" s="10">
        <v>0</v>
      </c>
      <c r="L26" t="s">
        <v>55</v>
      </c>
      <c r="M26" t="s">
        <v>26</v>
      </c>
      <c r="N26" t="s">
        <v>56</v>
      </c>
      <c r="O26" s="2">
        <v>44287</v>
      </c>
      <c r="P26" s="2">
        <v>45382</v>
      </c>
      <c r="Q26">
        <v>0</v>
      </c>
      <c r="R26" t="s">
        <v>57</v>
      </c>
    </row>
    <row r="27" spans="1:18" x14ac:dyDescent="0.25">
      <c r="A27" t="s">
        <v>6260</v>
      </c>
      <c r="B27" t="s">
        <v>98</v>
      </c>
      <c r="C27" t="s">
        <v>20</v>
      </c>
      <c r="D27" t="s">
        <v>99</v>
      </c>
      <c r="E27" t="s">
        <v>100</v>
      </c>
      <c r="F27" t="s">
        <v>101</v>
      </c>
      <c r="G27" t="s">
        <v>4369</v>
      </c>
      <c r="H27" s="10">
        <v>1089205</v>
      </c>
      <c r="I27" s="10">
        <v>0</v>
      </c>
      <c r="J27" s="10">
        <v>0</v>
      </c>
      <c r="L27" t="s">
        <v>4370</v>
      </c>
      <c r="M27" t="s">
        <v>103</v>
      </c>
      <c r="N27" t="s">
        <v>4371</v>
      </c>
      <c r="O27" s="2">
        <v>43983</v>
      </c>
      <c r="P27" s="2">
        <v>44347</v>
      </c>
      <c r="Q27">
        <v>0</v>
      </c>
      <c r="R27" t="s">
        <v>4372</v>
      </c>
    </row>
    <row r="28" spans="1:18" x14ac:dyDescent="0.25">
      <c r="A28" t="s">
        <v>4373</v>
      </c>
      <c r="B28" t="s">
        <v>196</v>
      </c>
      <c r="C28" t="s">
        <v>20</v>
      </c>
      <c r="D28" t="s">
        <v>51</v>
      </c>
      <c r="E28" t="s">
        <v>52</v>
      </c>
      <c r="F28" t="s">
        <v>23</v>
      </c>
      <c r="G28" t="s">
        <v>4374</v>
      </c>
      <c r="H28" s="10">
        <v>872100</v>
      </c>
      <c r="I28" s="10">
        <v>0</v>
      </c>
      <c r="J28" s="10">
        <v>0</v>
      </c>
      <c r="L28" t="s">
        <v>42</v>
      </c>
      <c r="M28" t="s">
        <v>26</v>
      </c>
      <c r="N28" t="s">
        <v>4375</v>
      </c>
      <c r="O28" s="2">
        <v>44287</v>
      </c>
      <c r="P28" s="2">
        <v>46112</v>
      </c>
      <c r="Q28">
        <v>0</v>
      </c>
      <c r="R28" t="s">
        <v>4376</v>
      </c>
    </row>
    <row r="29" spans="1:18" x14ac:dyDescent="0.25">
      <c r="A29" t="s">
        <v>6261</v>
      </c>
      <c r="B29" t="s">
        <v>114</v>
      </c>
      <c r="C29" t="s">
        <v>20</v>
      </c>
      <c r="D29" t="s">
        <v>51</v>
      </c>
      <c r="E29" t="s">
        <v>406</v>
      </c>
      <c r="F29" t="s">
        <v>662</v>
      </c>
      <c r="G29" t="s">
        <v>4377</v>
      </c>
      <c r="H29" s="10">
        <v>459000</v>
      </c>
      <c r="I29" s="10">
        <v>0</v>
      </c>
      <c r="J29" s="10">
        <v>0</v>
      </c>
      <c r="L29" t="s">
        <v>25</v>
      </c>
      <c r="M29" t="s">
        <v>26</v>
      </c>
      <c r="N29" t="s">
        <v>4378</v>
      </c>
      <c r="O29" s="2">
        <v>43191</v>
      </c>
      <c r="P29" s="2">
        <v>44651</v>
      </c>
      <c r="Q29">
        <v>0</v>
      </c>
      <c r="R29" t="s">
        <v>4379</v>
      </c>
    </row>
    <row r="30" spans="1:18" x14ac:dyDescent="0.25">
      <c r="A30" t="s">
        <v>6261</v>
      </c>
      <c r="B30" t="s">
        <v>114</v>
      </c>
      <c r="C30" t="s">
        <v>20</v>
      </c>
      <c r="D30" t="s">
        <v>21</v>
      </c>
      <c r="E30" t="s">
        <v>60</v>
      </c>
      <c r="F30" t="s">
        <v>47</v>
      </c>
      <c r="G30" t="s">
        <v>4381</v>
      </c>
      <c r="H30" s="10">
        <v>492845</v>
      </c>
      <c r="I30" s="10">
        <v>0</v>
      </c>
      <c r="J30" s="10">
        <v>100000</v>
      </c>
      <c r="K30" t="s">
        <v>1340</v>
      </c>
      <c r="L30" t="s">
        <v>25</v>
      </c>
      <c r="M30" t="s">
        <v>26</v>
      </c>
      <c r="N30" t="s">
        <v>4382</v>
      </c>
      <c r="O30" s="2">
        <v>41821</v>
      </c>
      <c r="P30" s="2">
        <v>43281</v>
      </c>
      <c r="Q30">
        <v>0</v>
      </c>
      <c r="R30" t="s">
        <v>4383</v>
      </c>
    </row>
    <row r="31" spans="1:18" x14ac:dyDescent="0.25">
      <c r="A31" t="s">
        <v>6261</v>
      </c>
      <c r="B31" t="s">
        <v>114</v>
      </c>
      <c r="C31" t="s">
        <v>20</v>
      </c>
      <c r="D31" t="s">
        <v>39</v>
      </c>
      <c r="E31" t="s">
        <v>4380</v>
      </c>
      <c r="F31" t="s">
        <v>47</v>
      </c>
      <c r="G31" t="s">
        <v>4381</v>
      </c>
      <c r="H31" s="10">
        <v>0</v>
      </c>
      <c r="I31" s="10">
        <v>0</v>
      </c>
      <c r="J31" s="10">
        <v>100000</v>
      </c>
      <c r="K31" t="s">
        <v>1340</v>
      </c>
      <c r="L31" t="s">
        <v>34</v>
      </c>
      <c r="M31" t="s">
        <v>26</v>
      </c>
      <c r="N31" t="s">
        <v>4382</v>
      </c>
      <c r="O31" s="2">
        <v>41821</v>
      </c>
      <c r="P31" s="2">
        <v>43281</v>
      </c>
      <c r="Q31">
        <v>0</v>
      </c>
      <c r="R31" t="s">
        <v>4383</v>
      </c>
    </row>
    <row r="32" spans="1:18" x14ac:dyDescent="0.25">
      <c r="A32" t="s">
        <v>6262</v>
      </c>
      <c r="B32" t="s">
        <v>721</v>
      </c>
      <c r="C32" t="s">
        <v>20</v>
      </c>
      <c r="D32" t="s">
        <v>4557</v>
      </c>
      <c r="E32" t="s">
        <v>4570</v>
      </c>
      <c r="F32" t="s">
        <v>4559</v>
      </c>
      <c r="G32" t="s">
        <v>4573</v>
      </c>
      <c r="H32" s="10">
        <v>248750</v>
      </c>
      <c r="I32" s="10">
        <v>0</v>
      </c>
      <c r="J32" s="10">
        <v>0</v>
      </c>
      <c r="L32" t="s">
        <v>55</v>
      </c>
      <c r="M32" t="s">
        <v>26</v>
      </c>
      <c r="N32" t="s">
        <v>5609</v>
      </c>
      <c r="O32" s="2">
        <v>42826</v>
      </c>
      <c r="P32" s="2">
        <v>43921</v>
      </c>
      <c r="Q32">
        <v>1</v>
      </c>
      <c r="R32" t="s">
        <v>5992</v>
      </c>
    </row>
    <row r="33" spans="1:18" x14ac:dyDescent="0.25">
      <c r="A33" t="s">
        <v>6262</v>
      </c>
      <c r="B33" t="s">
        <v>721</v>
      </c>
      <c r="C33" t="s">
        <v>20</v>
      </c>
      <c r="D33" t="s">
        <v>4557</v>
      </c>
      <c r="E33" t="s">
        <v>4567</v>
      </c>
      <c r="F33" t="s">
        <v>4559</v>
      </c>
      <c r="G33" t="s">
        <v>4575</v>
      </c>
      <c r="H33" s="10">
        <v>206646</v>
      </c>
      <c r="I33" s="10">
        <v>0</v>
      </c>
      <c r="J33" s="10">
        <v>0</v>
      </c>
      <c r="L33" t="s">
        <v>55</v>
      </c>
      <c r="M33" t="s">
        <v>26</v>
      </c>
      <c r="N33" t="s">
        <v>5609</v>
      </c>
      <c r="O33" s="2">
        <v>41730</v>
      </c>
      <c r="P33" s="2">
        <v>42825</v>
      </c>
      <c r="Q33">
        <v>1</v>
      </c>
      <c r="R33" t="s">
        <v>5608</v>
      </c>
    </row>
    <row r="34" spans="1:18" x14ac:dyDescent="0.25">
      <c r="A34" t="s">
        <v>4384</v>
      </c>
      <c r="B34" t="s">
        <v>240</v>
      </c>
      <c r="C34" t="s">
        <v>20</v>
      </c>
      <c r="D34" t="s">
        <v>21</v>
      </c>
      <c r="E34" t="s">
        <v>377</v>
      </c>
      <c r="F34" t="s">
        <v>47</v>
      </c>
      <c r="G34" t="s">
        <v>4385</v>
      </c>
      <c r="H34" s="10">
        <v>732722</v>
      </c>
      <c r="I34" s="10">
        <v>0</v>
      </c>
      <c r="J34" s="10">
        <v>0</v>
      </c>
      <c r="L34" t="s">
        <v>42</v>
      </c>
      <c r="M34" t="s">
        <v>204</v>
      </c>
      <c r="N34" t="s">
        <v>4386</v>
      </c>
      <c r="O34" s="2">
        <v>41183</v>
      </c>
      <c r="P34" s="2">
        <v>43008</v>
      </c>
      <c r="Q34">
        <v>0</v>
      </c>
      <c r="R34" t="s">
        <v>4387</v>
      </c>
    </row>
    <row r="35" spans="1:18" x14ac:dyDescent="0.25">
      <c r="A35" t="s">
        <v>4388</v>
      </c>
      <c r="B35" t="s">
        <v>49</v>
      </c>
      <c r="C35" t="s">
        <v>50</v>
      </c>
      <c r="D35" t="s">
        <v>80</v>
      </c>
      <c r="E35" t="s">
        <v>81</v>
      </c>
      <c r="F35" t="s">
        <v>82</v>
      </c>
      <c r="G35" t="s">
        <v>4389</v>
      </c>
      <c r="H35" s="10">
        <v>199870</v>
      </c>
      <c r="I35" s="10">
        <v>0</v>
      </c>
      <c r="J35" s="10">
        <v>0</v>
      </c>
      <c r="L35" t="s">
        <v>84</v>
      </c>
      <c r="M35" t="s">
        <v>85</v>
      </c>
      <c r="N35" t="s">
        <v>4390</v>
      </c>
      <c r="O35" s="2">
        <v>42979</v>
      </c>
      <c r="P35" s="2">
        <v>43708</v>
      </c>
      <c r="Q35">
        <v>0</v>
      </c>
      <c r="R35" t="s">
        <v>4391</v>
      </c>
    </row>
    <row r="36" spans="1:18" x14ac:dyDescent="0.25">
      <c r="A36" t="s">
        <v>6263</v>
      </c>
      <c r="B36" t="s">
        <v>114</v>
      </c>
      <c r="C36" t="s">
        <v>20</v>
      </c>
      <c r="D36" t="s">
        <v>4557</v>
      </c>
      <c r="E36" t="s">
        <v>4558</v>
      </c>
      <c r="F36" t="s">
        <v>4559</v>
      </c>
      <c r="G36" t="s">
        <v>4577</v>
      </c>
      <c r="H36" s="10">
        <v>291825</v>
      </c>
      <c r="I36" s="10">
        <v>52100</v>
      </c>
      <c r="J36" s="10">
        <v>0</v>
      </c>
      <c r="L36" t="s">
        <v>55</v>
      </c>
      <c r="M36" t="s">
        <v>103</v>
      </c>
      <c r="N36" t="s">
        <v>5781</v>
      </c>
      <c r="O36" s="2">
        <v>43191</v>
      </c>
      <c r="P36" s="2">
        <v>44286</v>
      </c>
      <c r="Q36">
        <v>0</v>
      </c>
      <c r="R36" t="s">
        <v>5780</v>
      </c>
    </row>
    <row r="37" spans="1:18" x14ac:dyDescent="0.25">
      <c r="A37" t="s">
        <v>4392</v>
      </c>
      <c r="B37" t="s">
        <v>721</v>
      </c>
      <c r="C37" t="s">
        <v>20</v>
      </c>
      <c r="D37" t="s">
        <v>21</v>
      </c>
      <c r="E37" t="s">
        <v>60</v>
      </c>
      <c r="F37" t="s">
        <v>53</v>
      </c>
      <c r="G37" t="s">
        <v>4393</v>
      </c>
      <c r="H37" s="10">
        <v>409478</v>
      </c>
      <c r="I37" s="10">
        <v>0</v>
      </c>
      <c r="J37" s="10">
        <v>0</v>
      </c>
      <c r="L37" t="s">
        <v>25</v>
      </c>
      <c r="M37" t="s">
        <v>204</v>
      </c>
      <c r="N37" t="s">
        <v>4394</v>
      </c>
      <c r="O37" s="2">
        <v>41821</v>
      </c>
      <c r="P37" s="2">
        <v>43281</v>
      </c>
      <c r="Q37">
        <v>0</v>
      </c>
      <c r="R37" t="s">
        <v>4395</v>
      </c>
    </row>
    <row r="38" spans="1:18" x14ac:dyDescent="0.25">
      <c r="A38" t="s">
        <v>4392</v>
      </c>
      <c r="B38" t="s">
        <v>721</v>
      </c>
      <c r="C38" t="s">
        <v>20</v>
      </c>
      <c r="D38" t="s">
        <v>529</v>
      </c>
      <c r="E38" t="s">
        <v>3487</v>
      </c>
      <c r="F38" t="s">
        <v>53</v>
      </c>
      <c r="G38" t="s">
        <v>4393</v>
      </c>
      <c r="H38" s="10">
        <v>100000</v>
      </c>
      <c r="I38" s="10">
        <v>0</v>
      </c>
      <c r="J38" s="10">
        <v>0</v>
      </c>
      <c r="L38" t="s">
        <v>34</v>
      </c>
      <c r="M38" t="s">
        <v>204</v>
      </c>
      <c r="N38" t="s">
        <v>4394</v>
      </c>
      <c r="O38" s="2">
        <v>40969</v>
      </c>
      <c r="P38" s="2">
        <v>41333</v>
      </c>
      <c r="Q38">
        <v>0</v>
      </c>
      <c r="R38" t="s">
        <v>4395</v>
      </c>
    </row>
    <row r="39" spans="1:18" x14ac:dyDescent="0.25">
      <c r="A39" t="s">
        <v>4392</v>
      </c>
      <c r="B39" t="s">
        <v>721</v>
      </c>
      <c r="C39" t="s">
        <v>20</v>
      </c>
      <c r="D39" t="s">
        <v>4557</v>
      </c>
      <c r="E39" t="s">
        <v>4567</v>
      </c>
      <c r="F39" t="s">
        <v>4559</v>
      </c>
      <c r="G39" t="s">
        <v>4579</v>
      </c>
      <c r="H39" s="10">
        <v>168002</v>
      </c>
      <c r="I39" s="10">
        <v>0</v>
      </c>
      <c r="J39" s="10">
        <v>0</v>
      </c>
      <c r="L39" t="s">
        <v>55</v>
      </c>
      <c r="M39" t="s">
        <v>204</v>
      </c>
      <c r="N39" t="s">
        <v>4320</v>
      </c>
      <c r="O39" s="2">
        <v>41730</v>
      </c>
      <c r="P39" s="2">
        <v>42825</v>
      </c>
      <c r="Q39">
        <v>0</v>
      </c>
      <c r="R39" t="s">
        <v>5862</v>
      </c>
    </row>
    <row r="40" spans="1:18" x14ac:dyDescent="0.25">
      <c r="A40" t="s">
        <v>4396</v>
      </c>
      <c r="B40" t="s">
        <v>4493</v>
      </c>
      <c r="C40" t="s">
        <v>38</v>
      </c>
      <c r="D40" t="s">
        <v>273</v>
      </c>
      <c r="E40" t="s">
        <v>274</v>
      </c>
      <c r="F40" t="s">
        <v>275</v>
      </c>
      <c r="G40" t="s">
        <v>4397</v>
      </c>
      <c r="H40" s="10">
        <v>100000</v>
      </c>
      <c r="I40" s="10">
        <v>0</v>
      </c>
      <c r="J40" s="10">
        <v>0</v>
      </c>
      <c r="L40" t="s">
        <v>34</v>
      </c>
      <c r="M40" t="s">
        <v>94</v>
      </c>
      <c r="N40" t="s">
        <v>4398</v>
      </c>
      <c r="O40" s="2">
        <v>41334</v>
      </c>
      <c r="P40" s="2">
        <v>41698</v>
      </c>
      <c r="Q40">
        <v>0</v>
      </c>
      <c r="R40" t="s">
        <v>4399</v>
      </c>
    </row>
    <row r="41" spans="1:18" x14ac:dyDescent="0.25">
      <c r="A41" t="s">
        <v>4400</v>
      </c>
      <c r="B41" t="s">
        <v>1105</v>
      </c>
      <c r="C41" t="s">
        <v>138</v>
      </c>
      <c r="D41" t="s">
        <v>21</v>
      </c>
      <c r="E41" t="s">
        <v>1116</v>
      </c>
      <c r="F41" t="s">
        <v>47</v>
      </c>
      <c r="G41" t="s">
        <v>4401</v>
      </c>
      <c r="H41" s="10">
        <v>100000</v>
      </c>
      <c r="I41" s="10">
        <v>0</v>
      </c>
      <c r="J41" s="10">
        <v>0</v>
      </c>
      <c r="L41" t="s">
        <v>34</v>
      </c>
      <c r="M41" t="s">
        <v>26</v>
      </c>
      <c r="N41" t="s">
        <v>4402</v>
      </c>
      <c r="O41" s="2">
        <v>41913</v>
      </c>
      <c r="P41" s="2">
        <v>42277</v>
      </c>
      <c r="Q41">
        <v>1</v>
      </c>
      <c r="R41" t="s">
        <v>4403</v>
      </c>
    </row>
    <row r="42" spans="1:18" x14ac:dyDescent="0.25">
      <c r="A42" t="s">
        <v>4400</v>
      </c>
      <c r="B42" t="s">
        <v>1105</v>
      </c>
      <c r="C42" t="s">
        <v>138</v>
      </c>
      <c r="D42" t="s">
        <v>51</v>
      </c>
      <c r="E42" t="s">
        <v>208</v>
      </c>
      <c r="F42" t="s">
        <v>47</v>
      </c>
      <c r="G42" t="s">
        <v>4404</v>
      </c>
      <c r="H42" s="10">
        <v>504900</v>
      </c>
      <c r="I42" s="10">
        <v>0</v>
      </c>
      <c r="J42" s="10">
        <v>0</v>
      </c>
      <c r="L42" t="s">
        <v>84</v>
      </c>
      <c r="M42" t="s">
        <v>26</v>
      </c>
      <c r="N42" t="s">
        <v>4402</v>
      </c>
      <c r="O42" s="2">
        <v>41913</v>
      </c>
      <c r="P42" s="2">
        <v>42277</v>
      </c>
      <c r="Q42">
        <v>1</v>
      </c>
      <c r="R42" t="s">
        <v>4403</v>
      </c>
    </row>
    <row r="43" spans="1:18" x14ac:dyDescent="0.25">
      <c r="A43" t="s">
        <v>4400</v>
      </c>
      <c r="B43" t="s">
        <v>1105</v>
      </c>
      <c r="C43" t="s">
        <v>138</v>
      </c>
      <c r="D43" t="s">
        <v>30</v>
      </c>
      <c r="E43" t="s">
        <v>626</v>
      </c>
      <c r="F43" t="s">
        <v>47</v>
      </c>
      <c r="G43" t="s">
        <v>4404</v>
      </c>
      <c r="H43" s="10">
        <v>100000</v>
      </c>
      <c r="I43" s="10">
        <v>0</v>
      </c>
      <c r="J43" s="10">
        <v>0</v>
      </c>
      <c r="L43" t="s">
        <v>34</v>
      </c>
      <c r="M43" t="s">
        <v>26</v>
      </c>
      <c r="N43" t="s">
        <v>4402</v>
      </c>
      <c r="O43" s="2">
        <v>41913</v>
      </c>
      <c r="P43" s="2">
        <v>42277</v>
      </c>
      <c r="Q43">
        <v>1</v>
      </c>
      <c r="R43" t="s">
        <v>4403</v>
      </c>
    </row>
    <row r="44" spans="1:18" x14ac:dyDescent="0.25">
      <c r="A44" t="s">
        <v>4405</v>
      </c>
      <c r="B44" t="s">
        <v>474</v>
      </c>
      <c r="C44" t="s">
        <v>20</v>
      </c>
      <c r="D44" t="s">
        <v>21</v>
      </c>
      <c r="E44" t="s">
        <v>255</v>
      </c>
      <c r="F44" t="s">
        <v>47</v>
      </c>
      <c r="G44" t="s">
        <v>4406</v>
      </c>
      <c r="H44" s="11">
        <v>866726</v>
      </c>
      <c r="I44" s="11">
        <v>0</v>
      </c>
      <c r="J44" s="11">
        <v>0</v>
      </c>
      <c r="L44" t="s">
        <v>42</v>
      </c>
      <c r="M44" t="s">
        <v>26</v>
      </c>
      <c r="N44" t="s">
        <v>4407</v>
      </c>
      <c r="O44" s="2">
        <v>39904</v>
      </c>
      <c r="P44" s="2">
        <v>41729</v>
      </c>
      <c r="Q44">
        <v>0</v>
      </c>
      <c r="R44" t="s">
        <v>4408</v>
      </c>
    </row>
    <row r="45" spans="1:18" x14ac:dyDescent="0.25">
      <c r="A45" t="s">
        <v>6264</v>
      </c>
      <c r="B45" t="s">
        <v>114</v>
      </c>
      <c r="C45" t="s">
        <v>20</v>
      </c>
      <c r="D45" t="s">
        <v>4557</v>
      </c>
      <c r="E45" t="s">
        <v>4581</v>
      </c>
      <c r="F45" t="s">
        <v>4559</v>
      </c>
      <c r="G45" t="s">
        <v>4582</v>
      </c>
      <c r="H45" s="10">
        <v>374050</v>
      </c>
      <c r="I45" s="10">
        <v>0</v>
      </c>
      <c r="J45" s="10">
        <v>0</v>
      </c>
      <c r="L45" t="s">
        <v>55</v>
      </c>
      <c r="M45" t="s">
        <v>831</v>
      </c>
      <c r="N45" t="s">
        <v>1562</v>
      </c>
      <c r="O45" s="2">
        <v>43556</v>
      </c>
      <c r="P45" s="2">
        <v>44651</v>
      </c>
      <c r="Q45">
        <v>0</v>
      </c>
      <c r="R45" t="s">
        <v>5769</v>
      </c>
    </row>
    <row r="46" spans="1:18" x14ac:dyDescent="0.25">
      <c r="A46" t="s">
        <v>6264</v>
      </c>
      <c r="B46" t="s">
        <v>4409</v>
      </c>
      <c r="C46" t="s">
        <v>20</v>
      </c>
      <c r="D46" t="s">
        <v>51</v>
      </c>
      <c r="E46" t="s">
        <v>208</v>
      </c>
      <c r="F46" t="s">
        <v>53</v>
      </c>
      <c r="G46" t="s">
        <v>4410</v>
      </c>
      <c r="H46" s="10">
        <v>470475</v>
      </c>
      <c r="I46" s="10">
        <v>0</v>
      </c>
      <c r="J46" s="10">
        <v>0</v>
      </c>
      <c r="L46" t="s">
        <v>55</v>
      </c>
      <c r="M46" t="s">
        <v>204</v>
      </c>
      <c r="N46" t="s">
        <v>4411</v>
      </c>
      <c r="O46" s="2">
        <v>45383</v>
      </c>
      <c r="P46" s="2">
        <v>46477</v>
      </c>
      <c r="Q46">
        <v>0</v>
      </c>
      <c r="R46" t="s">
        <v>4412</v>
      </c>
    </row>
    <row r="47" spans="1:18" x14ac:dyDescent="0.25">
      <c r="A47" t="s">
        <v>4413</v>
      </c>
      <c r="B47" t="s">
        <v>114</v>
      </c>
      <c r="C47" t="s">
        <v>20</v>
      </c>
      <c r="D47" t="s">
        <v>51</v>
      </c>
      <c r="E47" t="s">
        <v>158</v>
      </c>
      <c r="F47" t="s">
        <v>128</v>
      </c>
      <c r="G47" t="s">
        <v>4414</v>
      </c>
      <c r="H47" s="10">
        <v>818550</v>
      </c>
      <c r="I47" s="10">
        <v>0</v>
      </c>
      <c r="J47" s="10">
        <v>0</v>
      </c>
      <c r="L47" t="s">
        <v>42</v>
      </c>
      <c r="M47" t="s">
        <v>26</v>
      </c>
      <c r="N47" t="s">
        <v>1329</v>
      </c>
      <c r="O47" s="2">
        <v>43922</v>
      </c>
      <c r="P47" s="2">
        <v>45747</v>
      </c>
      <c r="Q47">
        <v>0</v>
      </c>
      <c r="R47" t="s">
        <v>4415</v>
      </c>
    </row>
    <row r="48" spans="1:18" x14ac:dyDescent="0.25">
      <c r="A48" t="s">
        <v>6266</v>
      </c>
      <c r="B48" t="s">
        <v>49</v>
      </c>
      <c r="C48" t="s">
        <v>50</v>
      </c>
      <c r="D48" t="s">
        <v>51</v>
      </c>
      <c r="E48" t="s">
        <v>167</v>
      </c>
      <c r="F48" t="s">
        <v>47</v>
      </c>
      <c r="G48" t="s">
        <v>4416</v>
      </c>
      <c r="H48" s="10">
        <v>646424</v>
      </c>
      <c r="I48" s="10">
        <v>0</v>
      </c>
      <c r="J48" s="10">
        <v>0</v>
      </c>
      <c r="L48" t="s">
        <v>55</v>
      </c>
      <c r="M48" t="s">
        <v>26</v>
      </c>
      <c r="N48" t="s">
        <v>4417</v>
      </c>
      <c r="O48" s="2">
        <v>45017</v>
      </c>
      <c r="P48" s="2">
        <v>46112</v>
      </c>
      <c r="Q48">
        <v>0</v>
      </c>
      <c r="R48" t="s">
        <v>4418</v>
      </c>
    </row>
    <row r="49" spans="1:18" x14ac:dyDescent="0.25">
      <c r="A49" t="s">
        <v>6267</v>
      </c>
      <c r="B49" t="s">
        <v>148</v>
      </c>
      <c r="C49" t="s">
        <v>149</v>
      </c>
      <c r="D49" t="s">
        <v>4557</v>
      </c>
      <c r="E49" t="s">
        <v>4567</v>
      </c>
      <c r="F49" t="s">
        <v>4559</v>
      </c>
      <c r="G49" t="s">
        <v>4584</v>
      </c>
      <c r="H49" s="10">
        <v>234775</v>
      </c>
      <c r="I49" s="10">
        <v>0</v>
      </c>
      <c r="J49" s="10">
        <v>0</v>
      </c>
      <c r="L49" t="s">
        <v>55</v>
      </c>
      <c r="M49" t="s">
        <v>204</v>
      </c>
      <c r="N49" t="s">
        <v>6024</v>
      </c>
      <c r="O49" s="2">
        <v>41730</v>
      </c>
      <c r="P49" s="2">
        <v>42825</v>
      </c>
      <c r="Q49">
        <v>0</v>
      </c>
      <c r="R49" t="s">
        <v>6023</v>
      </c>
    </row>
    <row r="50" spans="1:18" x14ac:dyDescent="0.25">
      <c r="A50" t="s">
        <v>5061</v>
      </c>
      <c r="B50" t="s">
        <v>49</v>
      </c>
      <c r="C50" t="s">
        <v>50</v>
      </c>
      <c r="D50" t="s">
        <v>21</v>
      </c>
      <c r="E50" t="s">
        <v>323</v>
      </c>
      <c r="F50" t="s">
        <v>53</v>
      </c>
      <c r="G50" t="s">
        <v>5062</v>
      </c>
      <c r="H50" s="10">
        <v>299186</v>
      </c>
      <c r="I50" s="10">
        <v>0</v>
      </c>
      <c r="J50" s="10">
        <v>0</v>
      </c>
      <c r="L50" t="s">
        <v>55</v>
      </c>
      <c r="M50" t="s">
        <v>103</v>
      </c>
      <c r="N50" t="s">
        <v>5496</v>
      </c>
      <c r="O50" s="2">
        <v>40269</v>
      </c>
      <c r="P50" s="2">
        <v>41364</v>
      </c>
      <c r="Q50">
        <v>1</v>
      </c>
      <c r="R50" t="s">
        <v>5497</v>
      </c>
    </row>
    <row r="51" spans="1:18" x14ac:dyDescent="0.25">
      <c r="A51" t="s">
        <v>5285</v>
      </c>
      <c r="B51" t="s">
        <v>107</v>
      </c>
      <c r="C51" t="s">
        <v>38</v>
      </c>
      <c r="D51" t="s">
        <v>5280</v>
      </c>
      <c r="E51" t="s">
        <v>5286</v>
      </c>
      <c r="F51" t="s">
        <v>4554</v>
      </c>
      <c r="G51" t="s">
        <v>5287</v>
      </c>
      <c r="H51" s="10">
        <v>178125</v>
      </c>
      <c r="I51" s="10">
        <v>0</v>
      </c>
      <c r="J51" s="10">
        <v>0</v>
      </c>
      <c r="L51" t="s">
        <v>55</v>
      </c>
      <c r="M51" t="s">
        <v>111</v>
      </c>
      <c r="N51" t="s">
        <v>5900</v>
      </c>
      <c r="O51" s="2">
        <v>40634</v>
      </c>
      <c r="P51" s="2">
        <v>41729</v>
      </c>
      <c r="Q51">
        <v>0</v>
      </c>
      <c r="R51" t="s">
        <v>5899</v>
      </c>
    </row>
    <row r="52" spans="1:18" x14ac:dyDescent="0.25">
      <c r="A52" t="s">
        <v>4419</v>
      </c>
      <c r="B52" t="s">
        <v>5063</v>
      </c>
      <c r="C52" t="s">
        <v>38</v>
      </c>
      <c r="D52" t="s">
        <v>21</v>
      </c>
      <c r="E52" t="s">
        <v>287</v>
      </c>
      <c r="F52" t="s">
        <v>53</v>
      </c>
      <c r="G52" t="s">
        <v>5064</v>
      </c>
      <c r="H52" s="10">
        <v>328001</v>
      </c>
      <c r="I52" s="10">
        <v>0</v>
      </c>
      <c r="J52" s="10">
        <v>0</v>
      </c>
      <c r="L52" t="s">
        <v>55</v>
      </c>
      <c r="M52" t="s">
        <v>204</v>
      </c>
      <c r="N52" t="s">
        <v>5498</v>
      </c>
      <c r="O52" s="2">
        <v>40634</v>
      </c>
      <c r="P52" s="2">
        <v>41729</v>
      </c>
      <c r="Q52">
        <v>1</v>
      </c>
      <c r="R52" t="s">
        <v>5499</v>
      </c>
    </row>
    <row r="53" spans="1:18" x14ac:dyDescent="0.25">
      <c r="A53" t="s">
        <v>4419</v>
      </c>
      <c r="B53" t="s">
        <v>5063</v>
      </c>
      <c r="C53" t="s">
        <v>38</v>
      </c>
      <c r="D53" t="s">
        <v>51</v>
      </c>
      <c r="E53" t="s">
        <v>197</v>
      </c>
      <c r="F53" t="s">
        <v>53</v>
      </c>
      <c r="G53" t="s">
        <v>4420</v>
      </c>
      <c r="H53" s="10">
        <v>699975</v>
      </c>
      <c r="I53" s="10">
        <v>0</v>
      </c>
      <c r="J53" s="10">
        <v>0</v>
      </c>
      <c r="L53" t="s">
        <v>42</v>
      </c>
      <c r="M53" t="s">
        <v>204</v>
      </c>
      <c r="N53" t="s">
        <v>339</v>
      </c>
      <c r="O53" s="2">
        <v>44652</v>
      </c>
      <c r="P53" s="2">
        <v>46477</v>
      </c>
      <c r="Q53">
        <v>0</v>
      </c>
      <c r="R53" t="s">
        <v>4421</v>
      </c>
    </row>
    <row r="54" spans="1:18" x14ac:dyDescent="0.25">
      <c r="A54" t="s">
        <v>58</v>
      </c>
      <c r="B54" t="s">
        <v>4492</v>
      </c>
      <c r="C54" t="s">
        <v>38</v>
      </c>
      <c r="D54" t="s">
        <v>21</v>
      </c>
      <c r="E54" t="s">
        <v>60</v>
      </c>
      <c r="F54" t="s">
        <v>32</v>
      </c>
      <c r="G54" t="s">
        <v>61</v>
      </c>
      <c r="H54" s="10">
        <v>567520</v>
      </c>
      <c r="I54" s="10">
        <v>0</v>
      </c>
      <c r="J54" s="10">
        <v>0</v>
      </c>
      <c r="L54" t="s">
        <v>42</v>
      </c>
      <c r="M54" t="s">
        <v>26</v>
      </c>
      <c r="N54" t="s">
        <v>62</v>
      </c>
      <c r="O54" s="2">
        <v>41821</v>
      </c>
      <c r="P54" s="2">
        <v>43646</v>
      </c>
      <c r="Q54">
        <v>0</v>
      </c>
      <c r="R54" t="s">
        <v>63</v>
      </c>
    </row>
    <row r="55" spans="1:18" x14ac:dyDescent="0.25">
      <c r="A55" t="s">
        <v>58</v>
      </c>
      <c r="B55" t="s">
        <v>4492</v>
      </c>
      <c r="C55" t="s">
        <v>38</v>
      </c>
      <c r="D55" t="s">
        <v>64</v>
      </c>
      <c r="E55" t="s">
        <v>65</v>
      </c>
      <c r="F55" t="s">
        <v>32</v>
      </c>
      <c r="G55" t="s">
        <v>66</v>
      </c>
      <c r="H55" s="10">
        <v>100000</v>
      </c>
      <c r="I55" s="10">
        <v>0</v>
      </c>
      <c r="J55" s="10">
        <v>0</v>
      </c>
      <c r="L55" t="s">
        <v>34</v>
      </c>
      <c r="M55" t="s">
        <v>26</v>
      </c>
      <c r="N55" t="s">
        <v>67</v>
      </c>
      <c r="O55" s="2">
        <v>44986</v>
      </c>
      <c r="P55" s="2">
        <v>45351</v>
      </c>
      <c r="Q55">
        <v>0</v>
      </c>
      <c r="R55" t="s">
        <v>68</v>
      </c>
    </row>
    <row r="56" spans="1:18" x14ac:dyDescent="0.25">
      <c r="A56" t="s">
        <v>69</v>
      </c>
      <c r="B56" t="s">
        <v>49</v>
      </c>
      <c r="C56" t="s">
        <v>50</v>
      </c>
      <c r="D56" t="s">
        <v>21</v>
      </c>
      <c r="E56" t="s">
        <v>74</v>
      </c>
      <c r="F56" t="s">
        <v>47</v>
      </c>
      <c r="G56" t="s">
        <v>75</v>
      </c>
      <c r="H56" s="10">
        <v>588895</v>
      </c>
      <c r="I56" s="10">
        <v>0</v>
      </c>
      <c r="J56" s="10">
        <v>0</v>
      </c>
      <c r="L56" t="s">
        <v>25</v>
      </c>
      <c r="M56" t="s">
        <v>26</v>
      </c>
      <c r="N56" t="s">
        <v>76</v>
      </c>
      <c r="O56" s="2">
        <v>41000</v>
      </c>
      <c r="P56" s="2">
        <v>42460</v>
      </c>
      <c r="Q56">
        <v>0</v>
      </c>
      <c r="R56" t="s">
        <v>77</v>
      </c>
    </row>
    <row r="57" spans="1:18" x14ac:dyDescent="0.25">
      <c r="A57" t="s">
        <v>69</v>
      </c>
      <c r="B57" t="s">
        <v>49</v>
      </c>
      <c r="C57" t="s">
        <v>50</v>
      </c>
      <c r="D57" t="s">
        <v>51</v>
      </c>
      <c r="E57" t="s">
        <v>70</v>
      </c>
      <c r="F57" t="s">
        <v>47</v>
      </c>
      <c r="G57" t="s">
        <v>71</v>
      </c>
      <c r="H57" s="10">
        <v>1048050</v>
      </c>
      <c r="I57" s="10">
        <v>0</v>
      </c>
      <c r="J57" s="10">
        <v>0</v>
      </c>
      <c r="L57" t="s">
        <v>42</v>
      </c>
      <c r="M57" t="s">
        <v>26</v>
      </c>
      <c r="N57" t="s">
        <v>72</v>
      </c>
      <c r="O57" s="2">
        <v>45200</v>
      </c>
      <c r="P57" s="2">
        <v>47026</v>
      </c>
      <c r="Q57">
        <v>0</v>
      </c>
      <c r="R57" t="s">
        <v>73</v>
      </c>
    </row>
    <row r="58" spans="1:18" x14ac:dyDescent="0.25">
      <c r="A58" t="s">
        <v>78</v>
      </c>
      <c r="B58" t="s">
        <v>79</v>
      </c>
      <c r="C58" t="s">
        <v>20</v>
      </c>
      <c r="D58" t="s">
        <v>80</v>
      </c>
      <c r="E58" t="s">
        <v>81</v>
      </c>
      <c r="F58" t="s">
        <v>82</v>
      </c>
      <c r="G58" t="s">
        <v>83</v>
      </c>
      <c r="H58" s="10">
        <v>146368</v>
      </c>
      <c r="I58" s="10">
        <v>0</v>
      </c>
      <c r="J58" s="10">
        <v>0</v>
      </c>
      <c r="L58" t="s">
        <v>84</v>
      </c>
      <c r="M58" t="s">
        <v>85</v>
      </c>
      <c r="N58" t="s">
        <v>86</v>
      </c>
      <c r="O58" s="2">
        <v>42979</v>
      </c>
      <c r="P58" s="2">
        <v>43708</v>
      </c>
      <c r="Q58">
        <v>0</v>
      </c>
      <c r="R58" t="s">
        <v>87</v>
      </c>
    </row>
    <row r="59" spans="1:18" x14ac:dyDescent="0.25">
      <c r="A59" t="s">
        <v>88</v>
      </c>
      <c r="B59" t="s">
        <v>89</v>
      </c>
      <c r="C59" t="s">
        <v>38</v>
      </c>
      <c r="D59" t="s">
        <v>4557</v>
      </c>
      <c r="E59" t="s">
        <v>4567</v>
      </c>
      <c r="F59" t="s">
        <v>4559</v>
      </c>
      <c r="G59" t="s">
        <v>6103</v>
      </c>
      <c r="H59" s="12">
        <v>364959</v>
      </c>
      <c r="I59" s="12">
        <v>0</v>
      </c>
      <c r="J59" s="10">
        <v>0</v>
      </c>
      <c r="L59" t="s">
        <v>55</v>
      </c>
      <c r="M59" t="s">
        <v>94</v>
      </c>
      <c r="N59" t="s">
        <v>6104</v>
      </c>
      <c r="O59" s="2">
        <v>41730</v>
      </c>
      <c r="P59" s="2">
        <v>42825</v>
      </c>
      <c r="Q59">
        <v>0</v>
      </c>
      <c r="R59" t="s">
        <v>6105</v>
      </c>
    </row>
    <row r="60" spans="1:18" x14ac:dyDescent="0.25">
      <c r="A60" t="s">
        <v>88</v>
      </c>
      <c r="B60" t="s">
        <v>4585</v>
      </c>
      <c r="C60" t="s">
        <v>38</v>
      </c>
      <c r="D60" t="s">
        <v>90</v>
      </c>
      <c r="E60" t="s">
        <v>91</v>
      </c>
      <c r="F60" t="s">
        <v>92</v>
      </c>
      <c r="G60" t="s">
        <v>93</v>
      </c>
      <c r="H60" s="10">
        <v>622782</v>
      </c>
      <c r="I60" s="10">
        <v>0</v>
      </c>
      <c r="J60" s="10">
        <v>0</v>
      </c>
      <c r="L60" t="s">
        <v>34</v>
      </c>
      <c r="M60" t="s">
        <v>94</v>
      </c>
      <c r="N60" t="s">
        <v>95</v>
      </c>
      <c r="O60" s="2">
        <v>43983</v>
      </c>
      <c r="P60" s="2">
        <v>44347</v>
      </c>
      <c r="Q60">
        <v>2</v>
      </c>
      <c r="R60" t="s">
        <v>96</v>
      </c>
    </row>
    <row r="61" spans="1:18" x14ac:dyDescent="0.25">
      <c r="A61" t="s">
        <v>5247</v>
      </c>
      <c r="B61" t="s">
        <v>148</v>
      </c>
      <c r="C61" t="s">
        <v>149</v>
      </c>
      <c r="D61" t="s">
        <v>5248</v>
      </c>
      <c r="E61" t="s">
        <v>5249</v>
      </c>
      <c r="F61" t="s">
        <v>4554</v>
      </c>
      <c r="G61" t="s">
        <v>5250</v>
      </c>
      <c r="H61" s="10">
        <v>162672</v>
      </c>
      <c r="I61" s="10">
        <v>0</v>
      </c>
      <c r="J61" s="10">
        <v>0</v>
      </c>
      <c r="L61" t="s">
        <v>55</v>
      </c>
      <c r="M61" t="s">
        <v>94</v>
      </c>
      <c r="N61" t="s">
        <v>5664</v>
      </c>
      <c r="O61" s="2">
        <v>40452</v>
      </c>
      <c r="P61" s="2">
        <v>41547</v>
      </c>
      <c r="Q61">
        <v>0</v>
      </c>
      <c r="R61" t="s">
        <v>5663</v>
      </c>
    </row>
    <row r="62" spans="1:18" x14ac:dyDescent="0.25">
      <c r="A62" t="s">
        <v>97</v>
      </c>
      <c r="B62" t="s">
        <v>98</v>
      </c>
      <c r="C62" t="s">
        <v>20</v>
      </c>
      <c r="D62" t="s">
        <v>5280</v>
      </c>
      <c r="E62" t="s">
        <v>5288</v>
      </c>
      <c r="F62" t="s">
        <v>4554</v>
      </c>
      <c r="G62" t="s">
        <v>5289</v>
      </c>
      <c r="H62" s="10">
        <v>152932</v>
      </c>
      <c r="I62" s="10">
        <v>0</v>
      </c>
      <c r="J62" s="10">
        <v>0</v>
      </c>
      <c r="L62" t="s">
        <v>55</v>
      </c>
      <c r="M62" t="s">
        <v>103</v>
      </c>
      <c r="N62" t="s">
        <v>1912</v>
      </c>
      <c r="O62" s="2">
        <v>40269</v>
      </c>
      <c r="P62" s="2">
        <v>41364</v>
      </c>
      <c r="Q62">
        <v>0</v>
      </c>
      <c r="R62" t="s">
        <v>5798</v>
      </c>
    </row>
    <row r="63" spans="1:18" x14ac:dyDescent="0.25">
      <c r="A63" t="s">
        <v>97</v>
      </c>
      <c r="B63" t="s">
        <v>98</v>
      </c>
      <c r="C63" t="s">
        <v>20</v>
      </c>
      <c r="D63" t="s">
        <v>99</v>
      </c>
      <c r="E63" t="s">
        <v>100</v>
      </c>
      <c r="F63" t="s">
        <v>101</v>
      </c>
      <c r="G63" t="s">
        <v>102</v>
      </c>
      <c r="H63" s="10">
        <v>2972273</v>
      </c>
      <c r="I63" s="10">
        <v>0</v>
      </c>
      <c r="J63" s="10">
        <v>0</v>
      </c>
      <c r="L63" t="s">
        <v>34</v>
      </c>
      <c r="M63" t="s">
        <v>103</v>
      </c>
      <c r="N63" t="s">
        <v>104</v>
      </c>
      <c r="O63" s="2">
        <v>43983</v>
      </c>
      <c r="P63" s="2">
        <v>44347</v>
      </c>
      <c r="Q63">
        <v>0</v>
      </c>
      <c r="R63" t="s">
        <v>105</v>
      </c>
    </row>
    <row r="64" spans="1:18" x14ac:dyDescent="0.25">
      <c r="A64" t="s">
        <v>106</v>
      </c>
      <c r="B64" t="s">
        <v>107</v>
      </c>
      <c r="C64" t="s">
        <v>38</v>
      </c>
      <c r="D64" t="s">
        <v>21</v>
      </c>
      <c r="E64" t="s">
        <v>108</v>
      </c>
      <c r="F64" t="s">
        <v>109</v>
      </c>
      <c r="G64" t="s">
        <v>110</v>
      </c>
      <c r="H64" s="10">
        <v>698337</v>
      </c>
      <c r="I64" s="10">
        <v>0</v>
      </c>
      <c r="J64" s="10">
        <v>0</v>
      </c>
      <c r="L64" t="s">
        <v>42</v>
      </c>
      <c r="M64" t="s">
        <v>111</v>
      </c>
      <c r="N64" t="s">
        <v>112</v>
      </c>
      <c r="O64" s="2">
        <v>41548</v>
      </c>
      <c r="P64" s="2">
        <v>43373</v>
      </c>
      <c r="Q64">
        <v>0</v>
      </c>
      <c r="R64" t="s">
        <v>113</v>
      </c>
    </row>
    <row r="65" spans="1:18" x14ac:dyDescent="0.25">
      <c r="A65" t="s">
        <v>5164</v>
      </c>
      <c r="B65" t="s">
        <v>114</v>
      </c>
      <c r="C65" t="s">
        <v>20</v>
      </c>
      <c r="D65" t="s">
        <v>5165</v>
      </c>
      <c r="E65" t="s">
        <v>5166</v>
      </c>
      <c r="F65" t="s">
        <v>4554</v>
      </c>
      <c r="G65" t="s">
        <v>5167</v>
      </c>
      <c r="H65" s="10">
        <v>1016046</v>
      </c>
      <c r="I65" s="10">
        <v>0</v>
      </c>
      <c r="J65" s="10">
        <v>0</v>
      </c>
      <c r="L65" t="s">
        <v>42</v>
      </c>
      <c r="M65" t="s">
        <v>26</v>
      </c>
      <c r="N65" t="s">
        <v>5707</v>
      </c>
      <c r="O65" s="2">
        <v>41365</v>
      </c>
      <c r="P65" s="2">
        <v>43190</v>
      </c>
      <c r="Q65">
        <v>0</v>
      </c>
      <c r="R65" t="s">
        <v>5706</v>
      </c>
    </row>
    <row r="66" spans="1:18" x14ac:dyDescent="0.25">
      <c r="A66" t="s">
        <v>115</v>
      </c>
      <c r="B66" t="s">
        <v>98</v>
      </c>
      <c r="C66" t="s">
        <v>20</v>
      </c>
      <c r="D66" t="s">
        <v>51</v>
      </c>
      <c r="E66" t="s">
        <v>116</v>
      </c>
      <c r="F66" t="s">
        <v>32</v>
      </c>
      <c r="G66" t="s">
        <v>117</v>
      </c>
      <c r="H66" s="10">
        <v>937740</v>
      </c>
      <c r="I66" s="10">
        <v>0</v>
      </c>
      <c r="J66" s="10">
        <v>0</v>
      </c>
      <c r="L66" t="s">
        <v>42</v>
      </c>
      <c r="M66" t="s">
        <v>26</v>
      </c>
      <c r="N66" t="s">
        <v>118</v>
      </c>
      <c r="O66" s="2">
        <v>43374</v>
      </c>
      <c r="P66" s="2">
        <v>45199</v>
      </c>
      <c r="Q66">
        <v>0</v>
      </c>
      <c r="R66" t="s">
        <v>119</v>
      </c>
    </row>
    <row r="67" spans="1:18" x14ac:dyDescent="0.25">
      <c r="A67" t="s">
        <v>120</v>
      </c>
      <c r="B67" t="s">
        <v>121</v>
      </c>
      <c r="C67" t="s">
        <v>20</v>
      </c>
      <c r="D67" t="s">
        <v>51</v>
      </c>
      <c r="E67" t="s">
        <v>122</v>
      </c>
      <c r="F67" t="s">
        <v>32</v>
      </c>
      <c r="G67" t="s">
        <v>123</v>
      </c>
      <c r="H67" s="10">
        <v>860626</v>
      </c>
      <c r="I67" s="10">
        <v>0</v>
      </c>
      <c r="J67" s="10">
        <v>0</v>
      </c>
      <c r="L67" t="s">
        <v>42</v>
      </c>
      <c r="M67" t="s">
        <v>26</v>
      </c>
      <c r="N67" t="s">
        <v>124</v>
      </c>
      <c r="O67" s="2">
        <v>43739</v>
      </c>
      <c r="P67" s="2">
        <v>45565</v>
      </c>
      <c r="Q67">
        <v>1</v>
      </c>
      <c r="R67" t="s">
        <v>125</v>
      </c>
    </row>
    <row r="68" spans="1:18" x14ac:dyDescent="0.25">
      <c r="A68" t="s">
        <v>6268</v>
      </c>
      <c r="B68" t="s">
        <v>126</v>
      </c>
      <c r="C68" t="s">
        <v>20</v>
      </c>
      <c r="D68" t="s">
        <v>51</v>
      </c>
      <c r="E68" t="s">
        <v>127</v>
      </c>
      <c r="F68" t="s">
        <v>128</v>
      </c>
      <c r="G68" t="s">
        <v>129</v>
      </c>
      <c r="H68" s="10">
        <v>1147500</v>
      </c>
      <c r="I68" s="10">
        <v>0</v>
      </c>
      <c r="J68" s="10">
        <v>0</v>
      </c>
      <c r="L68" t="s">
        <v>42</v>
      </c>
      <c r="M68" t="s">
        <v>26</v>
      </c>
      <c r="N68" t="s">
        <v>130</v>
      </c>
      <c r="O68" s="2">
        <v>44835</v>
      </c>
      <c r="P68" s="2">
        <v>46660</v>
      </c>
      <c r="Q68">
        <v>0</v>
      </c>
      <c r="R68" t="s">
        <v>131</v>
      </c>
    </row>
    <row r="69" spans="1:18" x14ac:dyDescent="0.25">
      <c r="A69" t="s">
        <v>132</v>
      </c>
      <c r="B69" t="s">
        <v>4494</v>
      </c>
      <c r="C69" t="s">
        <v>38</v>
      </c>
      <c r="D69" t="s">
        <v>51</v>
      </c>
      <c r="E69" t="s">
        <v>70</v>
      </c>
      <c r="F69" t="s">
        <v>32</v>
      </c>
      <c r="G69" t="s">
        <v>134</v>
      </c>
      <c r="H69" s="10">
        <v>986850</v>
      </c>
      <c r="I69" s="10">
        <v>0</v>
      </c>
      <c r="J69" s="10">
        <v>0</v>
      </c>
      <c r="L69" t="s">
        <v>42</v>
      </c>
      <c r="M69" t="s">
        <v>26</v>
      </c>
      <c r="N69" t="s">
        <v>135</v>
      </c>
      <c r="O69" s="2">
        <v>45200</v>
      </c>
      <c r="P69" s="2">
        <v>47026</v>
      </c>
      <c r="Q69">
        <v>0</v>
      </c>
      <c r="R69" t="s">
        <v>136</v>
      </c>
    </row>
    <row r="70" spans="1:18" x14ac:dyDescent="0.25">
      <c r="A70" t="s">
        <v>6269</v>
      </c>
      <c r="B70" t="s">
        <v>137</v>
      </c>
      <c r="C70" t="s">
        <v>138</v>
      </c>
      <c r="D70" t="s">
        <v>139</v>
      </c>
      <c r="E70" t="s">
        <v>140</v>
      </c>
      <c r="F70" t="s">
        <v>141</v>
      </c>
      <c r="G70" t="s">
        <v>142</v>
      </c>
      <c r="H70" s="10">
        <v>937950</v>
      </c>
      <c r="I70" s="10">
        <v>0</v>
      </c>
      <c r="J70" s="10">
        <v>0</v>
      </c>
      <c r="L70" t="s">
        <v>34</v>
      </c>
      <c r="M70" t="s">
        <v>143</v>
      </c>
      <c r="N70" t="s">
        <v>144</v>
      </c>
      <c r="O70" s="2">
        <v>43983</v>
      </c>
      <c r="P70" s="2">
        <v>44347</v>
      </c>
      <c r="Q70">
        <v>0</v>
      </c>
      <c r="R70" t="s">
        <v>145</v>
      </c>
    </row>
    <row r="71" spans="1:18" x14ac:dyDescent="0.25">
      <c r="A71" t="s">
        <v>147</v>
      </c>
      <c r="B71" t="s">
        <v>148</v>
      </c>
      <c r="C71" t="s">
        <v>149</v>
      </c>
      <c r="D71" t="s">
        <v>21</v>
      </c>
      <c r="E71" t="s">
        <v>22</v>
      </c>
      <c r="F71" t="s">
        <v>47</v>
      </c>
      <c r="G71" t="s">
        <v>152</v>
      </c>
      <c r="H71" s="10">
        <v>522880</v>
      </c>
      <c r="I71" s="10">
        <v>0</v>
      </c>
      <c r="J71" s="10">
        <v>100000</v>
      </c>
      <c r="K71" t="s">
        <v>153</v>
      </c>
      <c r="L71" t="s">
        <v>25</v>
      </c>
      <c r="M71" t="s">
        <v>26</v>
      </c>
      <c r="N71" t="s">
        <v>154</v>
      </c>
      <c r="O71" s="2">
        <v>41365</v>
      </c>
      <c r="P71" s="2">
        <v>42825</v>
      </c>
      <c r="Q71">
        <v>0</v>
      </c>
      <c r="R71" t="s">
        <v>155</v>
      </c>
    </row>
    <row r="72" spans="1:18" x14ac:dyDescent="0.25">
      <c r="A72" t="s">
        <v>147</v>
      </c>
      <c r="B72" t="s">
        <v>148</v>
      </c>
      <c r="C72" t="s">
        <v>149</v>
      </c>
      <c r="D72" t="s">
        <v>150</v>
      </c>
      <c r="E72" t="s">
        <v>151</v>
      </c>
      <c r="F72" t="s">
        <v>47</v>
      </c>
      <c r="G72" t="s">
        <v>152</v>
      </c>
      <c r="H72" s="10">
        <v>0</v>
      </c>
      <c r="I72" s="10">
        <v>0</v>
      </c>
      <c r="J72" s="10">
        <v>100000</v>
      </c>
      <c r="K72" t="s">
        <v>153</v>
      </c>
      <c r="L72" t="s">
        <v>34</v>
      </c>
      <c r="M72" t="s">
        <v>26</v>
      </c>
      <c r="N72" t="s">
        <v>154</v>
      </c>
      <c r="O72" s="2">
        <v>41365</v>
      </c>
      <c r="P72" s="2">
        <v>41729</v>
      </c>
      <c r="Q72">
        <v>0</v>
      </c>
      <c r="R72" t="s">
        <v>155</v>
      </c>
    </row>
    <row r="73" spans="1:18" x14ac:dyDescent="0.25">
      <c r="A73" t="s">
        <v>156</v>
      </c>
      <c r="B73" t="s">
        <v>157</v>
      </c>
      <c r="C73" t="s">
        <v>38</v>
      </c>
      <c r="D73" t="s">
        <v>51</v>
      </c>
      <c r="E73" t="s">
        <v>158</v>
      </c>
      <c r="F73" t="s">
        <v>47</v>
      </c>
      <c r="G73" t="s">
        <v>159</v>
      </c>
      <c r="H73" s="10">
        <v>753525</v>
      </c>
      <c r="I73" s="10">
        <v>0</v>
      </c>
      <c r="J73" s="10">
        <v>0</v>
      </c>
      <c r="L73" t="s">
        <v>42</v>
      </c>
      <c r="M73" t="s">
        <v>26</v>
      </c>
      <c r="N73" t="s">
        <v>72</v>
      </c>
      <c r="O73" s="2">
        <v>43922</v>
      </c>
      <c r="P73" s="2">
        <v>45747</v>
      </c>
      <c r="Q73">
        <v>0</v>
      </c>
      <c r="R73" t="s">
        <v>160</v>
      </c>
    </row>
    <row r="74" spans="1:18" x14ac:dyDescent="0.25">
      <c r="A74" t="s">
        <v>6270</v>
      </c>
      <c r="B74" t="s">
        <v>302</v>
      </c>
      <c r="C74" t="s">
        <v>20</v>
      </c>
      <c r="D74" t="s">
        <v>4557</v>
      </c>
      <c r="E74" t="s">
        <v>4562</v>
      </c>
      <c r="F74" t="s">
        <v>4559</v>
      </c>
      <c r="G74" t="s">
        <v>4587</v>
      </c>
      <c r="H74" s="10">
        <v>238045</v>
      </c>
      <c r="I74" s="10">
        <v>6000</v>
      </c>
      <c r="J74" s="10">
        <v>0</v>
      </c>
      <c r="L74" t="s">
        <v>55</v>
      </c>
      <c r="M74" t="s">
        <v>103</v>
      </c>
      <c r="N74" t="s">
        <v>5868</v>
      </c>
      <c r="O74" s="2">
        <v>43922</v>
      </c>
      <c r="P74" s="2">
        <v>45016</v>
      </c>
      <c r="Q74">
        <v>0</v>
      </c>
      <c r="R74" t="s">
        <v>5867</v>
      </c>
    </row>
    <row r="75" spans="1:18" x14ac:dyDescent="0.25">
      <c r="A75" t="s">
        <v>161</v>
      </c>
      <c r="B75" t="s">
        <v>162</v>
      </c>
      <c r="C75" t="s">
        <v>149</v>
      </c>
      <c r="D75" t="s">
        <v>51</v>
      </c>
      <c r="E75" t="s">
        <v>163</v>
      </c>
      <c r="F75" t="s">
        <v>32</v>
      </c>
      <c r="G75" t="s">
        <v>164</v>
      </c>
      <c r="H75" s="10">
        <v>765000</v>
      </c>
      <c r="I75" s="10">
        <v>0</v>
      </c>
      <c r="J75" s="10">
        <v>0</v>
      </c>
      <c r="L75" t="s">
        <v>42</v>
      </c>
      <c r="M75" t="s">
        <v>26</v>
      </c>
      <c r="N75" t="s">
        <v>165</v>
      </c>
      <c r="O75" s="2">
        <v>43556</v>
      </c>
      <c r="P75" s="2">
        <v>45382</v>
      </c>
      <c r="Q75">
        <v>1</v>
      </c>
      <c r="R75" t="s">
        <v>166</v>
      </c>
    </row>
    <row r="76" spans="1:18" x14ac:dyDescent="0.25">
      <c r="A76" t="s">
        <v>161</v>
      </c>
      <c r="B76" t="s">
        <v>162</v>
      </c>
      <c r="C76" t="s">
        <v>149</v>
      </c>
      <c r="D76" t="s">
        <v>51</v>
      </c>
      <c r="E76" t="s">
        <v>167</v>
      </c>
      <c r="F76" t="s">
        <v>32</v>
      </c>
      <c r="G76" t="s">
        <v>168</v>
      </c>
      <c r="H76" s="10">
        <v>956250</v>
      </c>
      <c r="I76" s="10">
        <v>0</v>
      </c>
      <c r="J76" s="10">
        <v>0</v>
      </c>
      <c r="L76" t="s">
        <v>42</v>
      </c>
      <c r="M76" t="s">
        <v>26</v>
      </c>
      <c r="N76" t="s">
        <v>169</v>
      </c>
      <c r="O76" s="2">
        <v>45017</v>
      </c>
      <c r="P76" s="2">
        <v>46843</v>
      </c>
      <c r="Q76">
        <v>0</v>
      </c>
      <c r="R76" t="s">
        <v>170</v>
      </c>
    </row>
    <row r="77" spans="1:18" x14ac:dyDescent="0.25">
      <c r="A77" t="s">
        <v>171</v>
      </c>
      <c r="B77" t="s">
        <v>49</v>
      </c>
      <c r="C77" t="s">
        <v>50</v>
      </c>
      <c r="D77" t="s">
        <v>21</v>
      </c>
      <c r="E77" t="s">
        <v>172</v>
      </c>
      <c r="F77" t="s">
        <v>23</v>
      </c>
      <c r="G77" t="s">
        <v>173</v>
      </c>
      <c r="H77" s="10">
        <v>774156</v>
      </c>
      <c r="I77" s="10">
        <v>0</v>
      </c>
      <c r="J77" s="10">
        <v>0</v>
      </c>
      <c r="L77" t="s">
        <v>42</v>
      </c>
      <c r="M77" t="s">
        <v>26</v>
      </c>
      <c r="N77" t="s">
        <v>174</v>
      </c>
      <c r="O77" s="2">
        <v>40452</v>
      </c>
      <c r="P77" s="2">
        <v>42277</v>
      </c>
      <c r="Q77">
        <v>0</v>
      </c>
      <c r="R77" t="s">
        <v>175</v>
      </c>
    </row>
    <row r="78" spans="1:18" x14ac:dyDescent="0.25">
      <c r="A78" t="s">
        <v>5336</v>
      </c>
      <c r="B78" t="s">
        <v>4492</v>
      </c>
      <c r="C78" t="s">
        <v>38</v>
      </c>
      <c r="D78" t="s">
        <v>51</v>
      </c>
      <c r="E78" t="s">
        <v>122</v>
      </c>
      <c r="F78" t="s">
        <v>128</v>
      </c>
      <c r="G78" t="s">
        <v>176</v>
      </c>
      <c r="H78" s="10">
        <v>761176</v>
      </c>
      <c r="I78" s="10">
        <v>0</v>
      </c>
      <c r="J78" s="10">
        <v>0</v>
      </c>
      <c r="L78" t="s">
        <v>42</v>
      </c>
      <c r="M78" t="s">
        <v>26</v>
      </c>
      <c r="N78" t="s">
        <v>135</v>
      </c>
      <c r="O78" s="2">
        <v>43739</v>
      </c>
      <c r="P78" s="2">
        <v>45565</v>
      </c>
      <c r="Q78">
        <v>0</v>
      </c>
      <c r="R78" t="s">
        <v>177</v>
      </c>
    </row>
    <row r="79" spans="1:18" x14ac:dyDescent="0.25">
      <c r="A79" t="s">
        <v>5336</v>
      </c>
      <c r="B79" t="s">
        <v>4492</v>
      </c>
      <c r="C79" t="s">
        <v>38</v>
      </c>
      <c r="D79" t="s">
        <v>51</v>
      </c>
      <c r="E79" t="s">
        <v>167</v>
      </c>
      <c r="F79" t="s">
        <v>23</v>
      </c>
      <c r="G79" t="s">
        <v>178</v>
      </c>
      <c r="H79" s="10">
        <v>891225</v>
      </c>
      <c r="I79" s="10">
        <v>0</v>
      </c>
      <c r="J79" s="10">
        <v>0</v>
      </c>
      <c r="L79" t="s">
        <v>42</v>
      </c>
      <c r="M79" t="s">
        <v>26</v>
      </c>
      <c r="N79" t="s">
        <v>179</v>
      </c>
      <c r="O79" s="2">
        <v>45017</v>
      </c>
      <c r="P79" s="2">
        <v>46843</v>
      </c>
      <c r="Q79">
        <v>0</v>
      </c>
      <c r="R79" t="s">
        <v>180</v>
      </c>
    </row>
    <row r="80" spans="1:18" x14ac:dyDescent="0.25">
      <c r="A80" t="s">
        <v>181</v>
      </c>
      <c r="B80" t="s">
        <v>162</v>
      </c>
      <c r="C80" t="s">
        <v>149</v>
      </c>
      <c r="D80" t="s">
        <v>21</v>
      </c>
      <c r="E80" t="s">
        <v>74</v>
      </c>
      <c r="F80" t="s">
        <v>32</v>
      </c>
      <c r="G80" t="s">
        <v>182</v>
      </c>
      <c r="H80" s="10">
        <v>135206</v>
      </c>
      <c r="I80" s="10">
        <v>0</v>
      </c>
      <c r="J80" s="10">
        <v>0</v>
      </c>
      <c r="L80" t="s">
        <v>84</v>
      </c>
      <c r="M80" t="s">
        <v>26</v>
      </c>
      <c r="N80" t="s">
        <v>183</v>
      </c>
      <c r="O80" s="2">
        <v>41000</v>
      </c>
      <c r="P80" s="2">
        <v>41729</v>
      </c>
      <c r="Q80">
        <v>0</v>
      </c>
      <c r="R80" t="s">
        <v>184</v>
      </c>
    </row>
    <row r="81" spans="1:18" x14ac:dyDescent="0.25">
      <c r="A81" t="s">
        <v>185</v>
      </c>
      <c r="B81" t="s">
        <v>162</v>
      </c>
      <c r="C81" t="s">
        <v>149</v>
      </c>
      <c r="D81" t="s">
        <v>51</v>
      </c>
      <c r="E81" t="s">
        <v>186</v>
      </c>
      <c r="F81" t="s">
        <v>32</v>
      </c>
      <c r="G81" t="s">
        <v>187</v>
      </c>
      <c r="H81" s="10">
        <v>508726</v>
      </c>
      <c r="I81" s="10">
        <v>0</v>
      </c>
      <c r="J81" s="10">
        <v>0</v>
      </c>
      <c r="L81" t="s">
        <v>42</v>
      </c>
      <c r="M81" t="s">
        <v>26</v>
      </c>
      <c r="N81" t="s">
        <v>188</v>
      </c>
      <c r="O81" s="2">
        <v>44470</v>
      </c>
      <c r="P81" s="2">
        <v>46295</v>
      </c>
      <c r="Q81">
        <v>0</v>
      </c>
      <c r="R81" t="s">
        <v>189</v>
      </c>
    </row>
    <row r="82" spans="1:18" x14ac:dyDescent="0.25">
      <c r="A82" t="s">
        <v>190</v>
      </c>
      <c r="B82" t="s">
        <v>114</v>
      </c>
      <c r="C82" t="s">
        <v>20</v>
      </c>
      <c r="D82" t="s">
        <v>21</v>
      </c>
      <c r="E82" t="s">
        <v>194</v>
      </c>
      <c r="F82" t="s">
        <v>53</v>
      </c>
      <c r="G82" t="s">
        <v>5065</v>
      </c>
      <c r="H82" s="11">
        <v>293444</v>
      </c>
      <c r="I82" s="11">
        <v>0</v>
      </c>
      <c r="J82" s="11">
        <v>0</v>
      </c>
      <c r="L82" t="s">
        <v>55</v>
      </c>
      <c r="M82" t="s">
        <v>111</v>
      </c>
      <c r="N82" t="s">
        <v>192</v>
      </c>
      <c r="O82" s="2">
        <v>40087</v>
      </c>
      <c r="P82" s="2">
        <v>41182</v>
      </c>
      <c r="Q82">
        <v>2</v>
      </c>
      <c r="R82" t="s">
        <v>5500</v>
      </c>
    </row>
    <row r="83" spans="1:18" x14ac:dyDescent="0.25">
      <c r="A83" t="s">
        <v>190</v>
      </c>
      <c r="B83" t="s">
        <v>114</v>
      </c>
      <c r="C83" t="s">
        <v>20</v>
      </c>
      <c r="D83" t="s">
        <v>21</v>
      </c>
      <c r="E83" t="s">
        <v>22</v>
      </c>
      <c r="F83" t="s">
        <v>53</v>
      </c>
      <c r="G83" t="s">
        <v>191</v>
      </c>
      <c r="H83" s="10">
        <v>418000</v>
      </c>
      <c r="I83" s="10">
        <v>0</v>
      </c>
      <c r="J83" s="10">
        <v>0</v>
      </c>
      <c r="L83" t="s">
        <v>42</v>
      </c>
      <c r="M83" t="s">
        <v>111</v>
      </c>
      <c r="N83" t="s">
        <v>192</v>
      </c>
      <c r="O83" s="2">
        <v>41365</v>
      </c>
      <c r="P83" s="2">
        <v>43190</v>
      </c>
      <c r="Q83">
        <v>4</v>
      </c>
      <c r="R83" t="s">
        <v>193</v>
      </c>
    </row>
    <row r="84" spans="1:18" x14ac:dyDescent="0.25">
      <c r="A84" t="s">
        <v>6106</v>
      </c>
      <c r="B84" t="s">
        <v>148</v>
      </c>
      <c r="C84" t="s">
        <v>149</v>
      </c>
      <c r="D84" t="s">
        <v>4499</v>
      </c>
      <c r="E84" t="s">
        <v>4500</v>
      </c>
      <c r="F84" t="s">
        <v>4501</v>
      </c>
      <c r="G84" t="s">
        <v>4502</v>
      </c>
      <c r="H84" s="12">
        <v>150000</v>
      </c>
      <c r="I84" s="12">
        <v>0</v>
      </c>
      <c r="J84" s="10">
        <v>0</v>
      </c>
      <c r="L84" t="s">
        <v>34</v>
      </c>
      <c r="M84" t="s">
        <v>217</v>
      </c>
      <c r="N84" t="s">
        <v>6107</v>
      </c>
      <c r="O84" s="2">
        <v>45323</v>
      </c>
      <c r="P84" s="2">
        <v>45688</v>
      </c>
      <c r="Q84">
        <v>0</v>
      </c>
      <c r="R84" t="s">
        <v>6108</v>
      </c>
    </row>
    <row r="85" spans="1:18" x14ac:dyDescent="0.25">
      <c r="A85" t="s">
        <v>195</v>
      </c>
      <c r="B85" t="s">
        <v>196</v>
      </c>
      <c r="C85" t="s">
        <v>20</v>
      </c>
      <c r="D85" t="s">
        <v>51</v>
      </c>
      <c r="E85" t="s">
        <v>197</v>
      </c>
      <c r="F85" t="s">
        <v>109</v>
      </c>
      <c r="G85" t="s">
        <v>198</v>
      </c>
      <c r="H85" s="10">
        <v>581400</v>
      </c>
      <c r="I85" s="10">
        <v>0</v>
      </c>
      <c r="J85" s="10">
        <v>0</v>
      </c>
      <c r="L85" t="s">
        <v>42</v>
      </c>
      <c r="M85" t="s">
        <v>111</v>
      </c>
      <c r="N85" t="s">
        <v>199</v>
      </c>
      <c r="O85" s="2">
        <v>44652</v>
      </c>
      <c r="P85" s="2">
        <v>46477</v>
      </c>
      <c r="Q85">
        <v>0</v>
      </c>
      <c r="R85" t="s">
        <v>200</v>
      </c>
    </row>
    <row r="86" spans="1:18" x14ac:dyDescent="0.25">
      <c r="A86" t="s">
        <v>202</v>
      </c>
      <c r="B86" t="s">
        <v>157</v>
      </c>
      <c r="C86" t="s">
        <v>38</v>
      </c>
      <c r="D86" t="s">
        <v>51</v>
      </c>
      <c r="E86" t="s">
        <v>163</v>
      </c>
      <c r="F86" t="s">
        <v>53</v>
      </c>
      <c r="G86" t="s">
        <v>203</v>
      </c>
      <c r="H86" s="10">
        <v>631124</v>
      </c>
      <c r="I86" s="10">
        <v>0</v>
      </c>
      <c r="J86" s="10">
        <v>0</v>
      </c>
      <c r="L86" t="s">
        <v>25</v>
      </c>
      <c r="M86" t="s">
        <v>204</v>
      </c>
      <c r="N86" t="s">
        <v>205</v>
      </c>
      <c r="O86" s="2">
        <v>43556</v>
      </c>
      <c r="P86" s="2">
        <v>45016</v>
      </c>
      <c r="Q86">
        <v>0</v>
      </c>
      <c r="R86" t="s">
        <v>206</v>
      </c>
    </row>
    <row r="87" spans="1:18" x14ac:dyDescent="0.25">
      <c r="A87" t="s">
        <v>207</v>
      </c>
      <c r="B87" t="s">
        <v>114</v>
      </c>
      <c r="C87" t="s">
        <v>20</v>
      </c>
      <c r="D87" t="s">
        <v>51</v>
      </c>
      <c r="E87" t="s">
        <v>211</v>
      </c>
      <c r="F87" t="s">
        <v>32</v>
      </c>
      <c r="G87" t="s">
        <v>212</v>
      </c>
      <c r="H87" s="10">
        <v>100000</v>
      </c>
      <c r="I87" s="10">
        <v>0</v>
      </c>
      <c r="J87" s="10">
        <v>0</v>
      </c>
      <c r="L87" t="s">
        <v>34</v>
      </c>
      <c r="M87" t="s">
        <v>26</v>
      </c>
      <c r="N87" t="s">
        <v>135</v>
      </c>
      <c r="O87" s="2">
        <v>45017</v>
      </c>
      <c r="P87" s="2">
        <v>45382</v>
      </c>
      <c r="Q87">
        <v>0</v>
      </c>
      <c r="R87" t="s">
        <v>213</v>
      </c>
    </row>
    <row r="88" spans="1:18" x14ac:dyDescent="0.25">
      <c r="A88" t="s">
        <v>207</v>
      </c>
      <c r="B88" t="s">
        <v>114</v>
      </c>
      <c r="C88" t="s">
        <v>20</v>
      </c>
      <c r="D88" t="s">
        <v>51</v>
      </c>
      <c r="E88" t="s">
        <v>208</v>
      </c>
      <c r="F88" t="s">
        <v>23</v>
      </c>
      <c r="G88" t="s">
        <v>209</v>
      </c>
      <c r="H88" s="10">
        <v>902700</v>
      </c>
      <c r="I88" s="10">
        <v>0</v>
      </c>
      <c r="J88" s="10">
        <v>0</v>
      </c>
      <c r="L88" t="s">
        <v>42</v>
      </c>
      <c r="M88" t="s">
        <v>26</v>
      </c>
      <c r="N88">
        <v>0</v>
      </c>
      <c r="O88" s="2">
        <v>45352</v>
      </c>
      <c r="P88" s="2">
        <v>45716</v>
      </c>
      <c r="Q88">
        <v>0</v>
      </c>
      <c r="R88" t="s">
        <v>210</v>
      </c>
    </row>
    <row r="89" spans="1:18" x14ac:dyDescent="0.25">
      <c r="A89" t="s">
        <v>214</v>
      </c>
      <c r="B89" t="s">
        <v>196</v>
      </c>
      <c r="C89" t="s">
        <v>20</v>
      </c>
      <c r="D89" t="s">
        <v>21</v>
      </c>
      <c r="E89" t="s">
        <v>215</v>
      </c>
      <c r="F89" t="s">
        <v>109</v>
      </c>
      <c r="G89" t="s">
        <v>216</v>
      </c>
      <c r="H89" s="10">
        <v>96414</v>
      </c>
      <c r="I89" s="10">
        <v>0</v>
      </c>
      <c r="J89" s="10">
        <v>0</v>
      </c>
      <c r="L89" t="s">
        <v>34</v>
      </c>
      <c r="M89" t="s">
        <v>217</v>
      </c>
      <c r="N89" t="s">
        <v>218</v>
      </c>
      <c r="O89" s="2">
        <v>40452</v>
      </c>
      <c r="P89" s="2">
        <v>40816</v>
      </c>
      <c r="Q89">
        <v>0</v>
      </c>
      <c r="R89" t="s">
        <v>219</v>
      </c>
    </row>
    <row r="90" spans="1:18" x14ac:dyDescent="0.25">
      <c r="A90" t="s">
        <v>214</v>
      </c>
      <c r="B90" t="s">
        <v>196</v>
      </c>
      <c r="C90" t="s">
        <v>20</v>
      </c>
      <c r="D90" t="s">
        <v>21</v>
      </c>
      <c r="E90" t="s">
        <v>172</v>
      </c>
      <c r="F90" t="s">
        <v>109</v>
      </c>
      <c r="G90" t="s">
        <v>216</v>
      </c>
      <c r="H90" s="10">
        <v>449243</v>
      </c>
      <c r="I90" s="10">
        <v>0</v>
      </c>
      <c r="J90" s="10">
        <v>0</v>
      </c>
      <c r="L90" t="s">
        <v>25</v>
      </c>
      <c r="M90" t="s">
        <v>217</v>
      </c>
      <c r="N90" t="s">
        <v>218</v>
      </c>
      <c r="O90" s="2">
        <v>40452</v>
      </c>
      <c r="P90" s="2">
        <v>41912</v>
      </c>
      <c r="Q90">
        <v>0</v>
      </c>
      <c r="R90" t="s">
        <v>219</v>
      </c>
    </row>
    <row r="91" spans="1:18" x14ac:dyDescent="0.25">
      <c r="A91" t="s">
        <v>6271</v>
      </c>
      <c r="B91" t="s">
        <v>107</v>
      </c>
      <c r="C91" t="s">
        <v>38</v>
      </c>
      <c r="D91" t="s">
        <v>4557</v>
      </c>
      <c r="E91" t="s">
        <v>4570</v>
      </c>
      <c r="F91" t="s">
        <v>4559</v>
      </c>
      <c r="G91" t="s">
        <v>4589</v>
      </c>
      <c r="H91" s="10">
        <v>163222</v>
      </c>
      <c r="I91" s="10">
        <v>0</v>
      </c>
      <c r="J91" s="10">
        <v>0</v>
      </c>
      <c r="L91" t="s">
        <v>55</v>
      </c>
      <c r="M91" t="s">
        <v>204</v>
      </c>
      <c r="N91" t="s">
        <v>5508</v>
      </c>
      <c r="O91" s="2">
        <v>42826</v>
      </c>
      <c r="P91" s="2">
        <v>43921</v>
      </c>
      <c r="Q91">
        <v>0</v>
      </c>
      <c r="R91" t="s">
        <v>5507</v>
      </c>
    </row>
    <row r="92" spans="1:18" x14ac:dyDescent="0.25">
      <c r="A92" t="s">
        <v>6272</v>
      </c>
      <c r="B92" t="s">
        <v>114</v>
      </c>
      <c r="C92" t="s">
        <v>20</v>
      </c>
      <c r="D92" t="s">
        <v>4557</v>
      </c>
      <c r="E92" t="s">
        <v>4567</v>
      </c>
      <c r="F92" t="s">
        <v>4559</v>
      </c>
      <c r="G92" t="s">
        <v>4591</v>
      </c>
      <c r="H92" s="10">
        <v>508406</v>
      </c>
      <c r="I92" s="10">
        <v>0</v>
      </c>
      <c r="J92" s="10">
        <v>0</v>
      </c>
      <c r="L92" t="s">
        <v>55</v>
      </c>
      <c r="M92" t="s">
        <v>26</v>
      </c>
      <c r="N92" t="s">
        <v>6008</v>
      </c>
      <c r="O92" s="2">
        <v>41730</v>
      </c>
      <c r="P92" s="2">
        <v>42825</v>
      </c>
      <c r="Q92">
        <v>1</v>
      </c>
      <c r="R92" t="s">
        <v>6007</v>
      </c>
    </row>
    <row r="93" spans="1:18" x14ac:dyDescent="0.25">
      <c r="A93" t="s">
        <v>6273</v>
      </c>
      <c r="B93" t="s">
        <v>49</v>
      </c>
      <c r="C93" t="s">
        <v>50</v>
      </c>
      <c r="D93" t="s">
        <v>51</v>
      </c>
      <c r="E93" t="s">
        <v>52</v>
      </c>
      <c r="F93" t="s">
        <v>109</v>
      </c>
      <c r="G93" t="s">
        <v>220</v>
      </c>
      <c r="H93" s="10">
        <v>906525</v>
      </c>
      <c r="I93" s="10">
        <v>0</v>
      </c>
      <c r="J93" s="10">
        <v>0</v>
      </c>
      <c r="L93" t="s">
        <v>42</v>
      </c>
      <c r="M93" t="s">
        <v>26</v>
      </c>
      <c r="N93" t="s">
        <v>221</v>
      </c>
      <c r="O93" s="2">
        <v>44287</v>
      </c>
      <c r="P93" s="2">
        <v>46112</v>
      </c>
      <c r="Q93">
        <v>0</v>
      </c>
      <c r="R93" t="s">
        <v>222</v>
      </c>
    </row>
    <row r="94" spans="1:18" x14ac:dyDescent="0.25">
      <c r="A94" t="s">
        <v>6273</v>
      </c>
      <c r="B94" t="s">
        <v>49</v>
      </c>
      <c r="C94" t="s">
        <v>50</v>
      </c>
      <c r="D94" t="s">
        <v>51</v>
      </c>
      <c r="E94" t="s">
        <v>223</v>
      </c>
      <c r="F94" t="s">
        <v>109</v>
      </c>
      <c r="G94" t="s">
        <v>224</v>
      </c>
      <c r="H94" s="10">
        <v>845326</v>
      </c>
      <c r="I94" s="10">
        <v>0</v>
      </c>
      <c r="J94" s="10">
        <v>0</v>
      </c>
      <c r="L94" t="s">
        <v>42</v>
      </c>
      <c r="M94" t="s">
        <v>26</v>
      </c>
      <c r="N94" t="s">
        <v>225</v>
      </c>
      <c r="O94" s="2">
        <v>45566</v>
      </c>
      <c r="P94" s="2">
        <v>47391</v>
      </c>
      <c r="Q94">
        <v>0</v>
      </c>
      <c r="R94" t="s">
        <v>226</v>
      </c>
    </row>
    <row r="95" spans="1:18" x14ac:dyDescent="0.25">
      <c r="A95" t="s">
        <v>227</v>
      </c>
      <c r="B95" t="s">
        <v>5063</v>
      </c>
      <c r="C95" t="s">
        <v>38</v>
      </c>
      <c r="D95" t="s">
        <v>51</v>
      </c>
      <c r="E95" t="s">
        <v>197</v>
      </c>
      <c r="F95" t="s">
        <v>23</v>
      </c>
      <c r="G95" t="s">
        <v>231</v>
      </c>
      <c r="H95" s="10">
        <v>1009800</v>
      </c>
      <c r="I95" s="10">
        <v>0</v>
      </c>
      <c r="J95" s="10">
        <v>0</v>
      </c>
      <c r="L95" t="s">
        <v>42</v>
      </c>
      <c r="M95" t="s">
        <v>26</v>
      </c>
      <c r="N95" t="s">
        <v>135</v>
      </c>
      <c r="O95" s="2">
        <v>44652</v>
      </c>
      <c r="P95" s="2">
        <v>46477</v>
      </c>
      <c r="Q95">
        <v>0</v>
      </c>
      <c r="R95" t="s">
        <v>232</v>
      </c>
    </row>
    <row r="96" spans="1:18" x14ac:dyDescent="0.25">
      <c r="A96" t="s">
        <v>227</v>
      </c>
      <c r="B96" t="s">
        <v>5063</v>
      </c>
      <c r="C96" t="s">
        <v>38</v>
      </c>
      <c r="D96" t="s">
        <v>51</v>
      </c>
      <c r="E96" t="s">
        <v>223</v>
      </c>
      <c r="F96" t="s">
        <v>23</v>
      </c>
      <c r="G96" t="s">
        <v>229</v>
      </c>
      <c r="H96" s="10">
        <v>1510875</v>
      </c>
      <c r="I96" s="10">
        <v>0</v>
      </c>
      <c r="J96" s="10">
        <v>0</v>
      </c>
      <c r="L96" t="s">
        <v>25</v>
      </c>
      <c r="M96" t="s">
        <v>26</v>
      </c>
      <c r="N96" t="s">
        <v>135</v>
      </c>
      <c r="O96" s="2">
        <v>45352</v>
      </c>
      <c r="P96" s="2">
        <v>45716</v>
      </c>
      <c r="Q96">
        <v>0</v>
      </c>
      <c r="R96" t="s">
        <v>230</v>
      </c>
    </row>
    <row r="97" spans="1:18" x14ac:dyDescent="0.25">
      <c r="A97" t="s">
        <v>227</v>
      </c>
      <c r="B97" t="s">
        <v>5063</v>
      </c>
      <c r="C97" t="s">
        <v>38</v>
      </c>
      <c r="D97" t="s">
        <v>30</v>
      </c>
      <c r="E97" t="s">
        <v>228</v>
      </c>
      <c r="F97" t="s">
        <v>128</v>
      </c>
      <c r="G97" t="s">
        <v>229</v>
      </c>
      <c r="H97" s="10">
        <v>100000</v>
      </c>
      <c r="I97" s="10">
        <v>0</v>
      </c>
      <c r="J97" s="10">
        <v>0</v>
      </c>
      <c r="L97" t="s">
        <v>34</v>
      </c>
      <c r="M97" t="s">
        <v>26</v>
      </c>
      <c r="N97" t="s">
        <v>135</v>
      </c>
      <c r="O97" s="2">
        <v>45352</v>
      </c>
      <c r="P97" s="2">
        <v>45716</v>
      </c>
      <c r="Q97">
        <v>0</v>
      </c>
      <c r="R97" t="s">
        <v>230</v>
      </c>
    </row>
    <row r="98" spans="1:18" x14ac:dyDescent="0.25">
      <c r="A98" t="s">
        <v>6274</v>
      </c>
      <c r="B98" t="s">
        <v>148</v>
      </c>
      <c r="C98" t="s">
        <v>149</v>
      </c>
      <c r="D98" t="s">
        <v>4557</v>
      </c>
      <c r="E98" t="s">
        <v>4558</v>
      </c>
      <c r="F98" t="s">
        <v>4559</v>
      </c>
      <c r="G98" t="s">
        <v>4593</v>
      </c>
      <c r="H98" s="10">
        <v>389215</v>
      </c>
      <c r="I98" s="10">
        <v>0</v>
      </c>
      <c r="J98" s="10">
        <v>0</v>
      </c>
      <c r="L98" t="s">
        <v>55</v>
      </c>
      <c r="M98" t="s">
        <v>26</v>
      </c>
      <c r="N98" t="s">
        <v>5804</v>
      </c>
      <c r="O98" s="2">
        <v>43191</v>
      </c>
      <c r="P98" s="2">
        <v>44286</v>
      </c>
      <c r="Q98">
        <v>1</v>
      </c>
      <c r="R98" t="s">
        <v>5803</v>
      </c>
    </row>
    <row r="99" spans="1:18" x14ac:dyDescent="0.25">
      <c r="A99" t="s">
        <v>233</v>
      </c>
      <c r="B99" t="s">
        <v>5063</v>
      </c>
      <c r="C99" t="s">
        <v>38</v>
      </c>
      <c r="D99" t="s">
        <v>21</v>
      </c>
      <c r="E99" t="s">
        <v>22</v>
      </c>
      <c r="F99" t="s">
        <v>47</v>
      </c>
      <c r="G99" t="s">
        <v>234</v>
      </c>
      <c r="H99" s="10">
        <v>767780</v>
      </c>
      <c r="I99" s="10">
        <v>0</v>
      </c>
      <c r="J99" s="10">
        <v>0</v>
      </c>
      <c r="L99" t="s">
        <v>42</v>
      </c>
      <c r="M99" t="s">
        <v>26</v>
      </c>
      <c r="N99" t="s">
        <v>235</v>
      </c>
      <c r="O99" s="2">
        <v>41365</v>
      </c>
      <c r="P99" s="2">
        <v>43190</v>
      </c>
      <c r="Q99">
        <v>0</v>
      </c>
      <c r="R99" t="s">
        <v>236</v>
      </c>
    </row>
    <row r="100" spans="1:18" x14ac:dyDescent="0.25">
      <c r="A100" t="s">
        <v>239</v>
      </c>
      <c r="B100" t="s">
        <v>240</v>
      </c>
      <c r="C100" t="s">
        <v>20</v>
      </c>
      <c r="D100" t="s">
        <v>241</v>
      </c>
      <c r="E100" t="s">
        <v>242</v>
      </c>
      <c r="F100" t="s">
        <v>243</v>
      </c>
      <c r="G100" t="s">
        <v>244</v>
      </c>
      <c r="H100" s="10">
        <v>300000</v>
      </c>
      <c r="I100" s="10">
        <v>0</v>
      </c>
      <c r="J100" s="10">
        <v>0</v>
      </c>
      <c r="L100" t="s">
        <v>55</v>
      </c>
      <c r="M100" t="s">
        <v>143</v>
      </c>
      <c r="N100" t="s">
        <v>245</v>
      </c>
      <c r="O100" s="2">
        <v>40087</v>
      </c>
      <c r="P100" s="2">
        <v>41182</v>
      </c>
      <c r="Q100">
        <v>0</v>
      </c>
      <c r="R100" t="s">
        <v>246</v>
      </c>
    </row>
    <row r="101" spans="1:18" x14ac:dyDescent="0.25">
      <c r="A101" t="s">
        <v>247</v>
      </c>
      <c r="B101" t="s">
        <v>107</v>
      </c>
      <c r="C101" t="s">
        <v>38</v>
      </c>
      <c r="D101" t="s">
        <v>21</v>
      </c>
      <c r="E101" t="s">
        <v>74</v>
      </c>
      <c r="F101" t="s">
        <v>23</v>
      </c>
      <c r="G101" t="s">
        <v>248</v>
      </c>
      <c r="H101" s="10">
        <v>834100</v>
      </c>
      <c r="I101" s="10">
        <v>0</v>
      </c>
      <c r="J101" s="10">
        <v>0</v>
      </c>
      <c r="L101" t="s">
        <v>42</v>
      </c>
      <c r="M101" t="s">
        <v>26</v>
      </c>
      <c r="N101" t="s">
        <v>249</v>
      </c>
      <c r="O101" s="2">
        <v>41000</v>
      </c>
      <c r="P101" s="2">
        <v>42825</v>
      </c>
      <c r="Q101">
        <v>0</v>
      </c>
      <c r="R101" t="s">
        <v>250</v>
      </c>
    </row>
    <row r="102" spans="1:18" x14ac:dyDescent="0.25">
      <c r="A102" t="s">
        <v>251</v>
      </c>
      <c r="B102" t="s">
        <v>162</v>
      </c>
      <c r="C102" t="s">
        <v>149</v>
      </c>
      <c r="D102" t="s">
        <v>21</v>
      </c>
      <c r="E102" t="s">
        <v>255</v>
      </c>
      <c r="F102" t="s">
        <v>109</v>
      </c>
      <c r="G102" t="s">
        <v>256</v>
      </c>
      <c r="H102" s="11">
        <v>733595</v>
      </c>
      <c r="I102" s="11">
        <v>0</v>
      </c>
      <c r="J102" s="11">
        <v>0</v>
      </c>
      <c r="L102" t="s">
        <v>42</v>
      </c>
      <c r="M102" t="s">
        <v>111</v>
      </c>
      <c r="N102" t="s">
        <v>257</v>
      </c>
      <c r="O102" s="2">
        <v>39904</v>
      </c>
      <c r="P102" s="2">
        <v>41729</v>
      </c>
      <c r="Q102">
        <v>0</v>
      </c>
      <c r="R102" t="s">
        <v>258</v>
      </c>
    </row>
    <row r="103" spans="1:18" x14ac:dyDescent="0.25">
      <c r="A103" t="s">
        <v>251</v>
      </c>
      <c r="B103" t="s">
        <v>162</v>
      </c>
      <c r="C103" t="s">
        <v>149</v>
      </c>
      <c r="D103" t="s">
        <v>21</v>
      </c>
      <c r="E103" t="s">
        <v>60</v>
      </c>
      <c r="F103" t="s">
        <v>109</v>
      </c>
      <c r="G103" t="s">
        <v>252</v>
      </c>
      <c r="H103" s="10">
        <v>777172</v>
      </c>
      <c r="I103" s="10">
        <v>0</v>
      </c>
      <c r="J103" s="10">
        <v>0</v>
      </c>
      <c r="L103" t="s">
        <v>42</v>
      </c>
      <c r="M103" t="s">
        <v>103</v>
      </c>
      <c r="N103" t="s">
        <v>253</v>
      </c>
      <c r="O103" s="2">
        <v>41821</v>
      </c>
      <c r="P103" s="2">
        <v>42551</v>
      </c>
      <c r="Q103">
        <v>0</v>
      </c>
      <c r="R103" t="s">
        <v>254</v>
      </c>
    </row>
    <row r="104" spans="1:18" x14ac:dyDescent="0.25">
      <c r="A104" t="s">
        <v>251</v>
      </c>
      <c r="B104" t="s">
        <v>162</v>
      </c>
      <c r="C104" t="s">
        <v>149</v>
      </c>
      <c r="D104" t="s">
        <v>5311</v>
      </c>
      <c r="E104" t="s">
        <v>5312</v>
      </c>
      <c r="F104" t="s">
        <v>5313</v>
      </c>
      <c r="G104" t="s">
        <v>5314</v>
      </c>
      <c r="H104" s="12">
        <v>215821</v>
      </c>
      <c r="I104" s="12">
        <v>3000</v>
      </c>
      <c r="J104" s="10">
        <v>0</v>
      </c>
      <c r="L104" t="s">
        <v>55</v>
      </c>
      <c r="M104" t="s">
        <v>217</v>
      </c>
      <c r="N104" t="s">
        <v>1661</v>
      </c>
      <c r="O104" s="2">
        <v>41548</v>
      </c>
      <c r="P104" s="2">
        <v>42643</v>
      </c>
      <c r="Q104">
        <v>0</v>
      </c>
      <c r="R104" t="s">
        <v>6109</v>
      </c>
    </row>
    <row r="105" spans="1:18" x14ac:dyDescent="0.25">
      <c r="A105" t="s">
        <v>5340</v>
      </c>
      <c r="B105" t="s">
        <v>4494</v>
      </c>
      <c r="C105" t="s">
        <v>38</v>
      </c>
      <c r="D105" t="s">
        <v>51</v>
      </c>
      <c r="E105" t="s">
        <v>259</v>
      </c>
      <c r="F105" t="s">
        <v>23</v>
      </c>
      <c r="G105" t="s">
        <v>260</v>
      </c>
      <c r="H105" s="10">
        <v>719101</v>
      </c>
      <c r="I105" s="10">
        <v>0</v>
      </c>
      <c r="J105" s="10">
        <v>0</v>
      </c>
      <c r="L105" t="s">
        <v>25</v>
      </c>
      <c r="M105" t="s">
        <v>26</v>
      </c>
      <c r="N105" t="s">
        <v>261</v>
      </c>
      <c r="O105" s="2">
        <v>44105</v>
      </c>
      <c r="P105" s="2">
        <v>45565</v>
      </c>
      <c r="Q105">
        <v>0</v>
      </c>
      <c r="R105" t="s">
        <v>262</v>
      </c>
    </row>
    <row r="106" spans="1:18" x14ac:dyDescent="0.25">
      <c r="A106" t="s">
        <v>263</v>
      </c>
      <c r="B106" t="s">
        <v>4492</v>
      </c>
      <c r="C106" t="s">
        <v>38</v>
      </c>
      <c r="D106" t="s">
        <v>21</v>
      </c>
      <c r="E106" t="s">
        <v>172</v>
      </c>
      <c r="F106" t="s">
        <v>109</v>
      </c>
      <c r="G106" t="s">
        <v>264</v>
      </c>
      <c r="H106" s="10">
        <v>275233</v>
      </c>
      <c r="I106" s="10">
        <v>0</v>
      </c>
      <c r="J106" s="10">
        <v>0</v>
      </c>
      <c r="L106" t="s">
        <v>55</v>
      </c>
      <c r="M106" t="s">
        <v>26</v>
      </c>
      <c r="N106" t="s">
        <v>265</v>
      </c>
      <c r="O106" s="2">
        <v>40452</v>
      </c>
      <c r="P106" s="2">
        <v>41547</v>
      </c>
      <c r="Q106">
        <v>0</v>
      </c>
      <c r="R106" t="s">
        <v>266</v>
      </c>
    </row>
    <row r="107" spans="1:18" x14ac:dyDescent="0.25">
      <c r="A107" t="s">
        <v>263</v>
      </c>
      <c r="B107" t="s">
        <v>4492</v>
      </c>
      <c r="C107" t="s">
        <v>38</v>
      </c>
      <c r="D107" t="s">
        <v>51</v>
      </c>
      <c r="E107" t="s">
        <v>259</v>
      </c>
      <c r="F107" t="s">
        <v>109</v>
      </c>
      <c r="G107" t="s">
        <v>267</v>
      </c>
      <c r="H107" s="10">
        <v>715276</v>
      </c>
      <c r="I107" s="10">
        <v>0</v>
      </c>
      <c r="J107" s="10">
        <v>0</v>
      </c>
      <c r="L107" t="s">
        <v>42</v>
      </c>
      <c r="M107" t="s">
        <v>26</v>
      </c>
      <c r="N107" t="s">
        <v>261</v>
      </c>
      <c r="O107" s="2">
        <v>44105</v>
      </c>
      <c r="P107" s="2">
        <v>45930</v>
      </c>
      <c r="Q107">
        <v>0</v>
      </c>
      <c r="R107" t="s">
        <v>268</v>
      </c>
    </row>
    <row r="108" spans="1:18" x14ac:dyDescent="0.25">
      <c r="A108" t="s">
        <v>6275</v>
      </c>
      <c r="B108" t="s">
        <v>4492</v>
      </c>
      <c r="C108" t="s">
        <v>38</v>
      </c>
      <c r="D108" t="s">
        <v>51</v>
      </c>
      <c r="E108" t="s">
        <v>197</v>
      </c>
      <c r="F108" t="s">
        <v>109</v>
      </c>
      <c r="G108" t="s">
        <v>269</v>
      </c>
      <c r="H108" s="10">
        <v>960075</v>
      </c>
      <c r="I108" s="10">
        <v>0</v>
      </c>
      <c r="J108" s="10">
        <v>0</v>
      </c>
      <c r="L108" t="s">
        <v>42</v>
      </c>
      <c r="M108" t="s">
        <v>26</v>
      </c>
      <c r="N108" t="s">
        <v>270</v>
      </c>
      <c r="O108" s="2">
        <v>44652</v>
      </c>
      <c r="P108" s="2">
        <v>46477</v>
      </c>
      <c r="Q108">
        <v>0</v>
      </c>
      <c r="R108" t="s">
        <v>271</v>
      </c>
    </row>
    <row r="109" spans="1:18" x14ac:dyDescent="0.25">
      <c r="A109" t="s">
        <v>6276</v>
      </c>
      <c r="B109" t="s">
        <v>1336</v>
      </c>
      <c r="C109" t="s">
        <v>50</v>
      </c>
      <c r="D109" t="s">
        <v>4557</v>
      </c>
      <c r="E109" t="s">
        <v>4558</v>
      </c>
      <c r="F109" t="s">
        <v>4559</v>
      </c>
      <c r="G109" t="s">
        <v>4595</v>
      </c>
      <c r="H109" s="10">
        <v>341410</v>
      </c>
      <c r="I109" s="10">
        <v>87200</v>
      </c>
      <c r="J109" s="10">
        <v>0</v>
      </c>
      <c r="L109" t="s">
        <v>55</v>
      </c>
      <c r="M109" t="s">
        <v>746</v>
      </c>
      <c r="N109" t="s">
        <v>5550</v>
      </c>
      <c r="O109" s="2">
        <v>43191</v>
      </c>
      <c r="P109" s="2">
        <v>44286</v>
      </c>
      <c r="Q109">
        <v>0</v>
      </c>
      <c r="R109" t="s">
        <v>5549</v>
      </c>
    </row>
    <row r="110" spans="1:18" x14ac:dyDescent="0.25">
      <c r="A110" t="s">
        <v>272</v>
      </c>
      <c r="B110" t="s">
        <v>4494</v>
      </c>
      <c r="C110" t="s">
        <v>38</v>
      </c>
      <c r="D110" t="s">
        <v>273</v>
      </c>
      <c r="E110" t="s">
        <v>274</v>
      </c>
      <c r="F110" t="s">
        <v>275</v>
      </c>
      <c r="G110" t="s">
        <v>276</v>
      </c>
      <c r="H110" s="10">
        <v>100000</v>
      </c>
      <c r="I110" s="10">
        <v>0</v>
      </c>
      <c r="J110" s="10">
        <v>0</v>
      </c>
      <c r="L110" t="s">
        <v>34</v>
      </c>
      <c r="M110" t="s">
        <v>94</v>
      </c>
      <c r="N110" t="s">
        <v>277</v>
      </c>
      <c r="O110" s="2">
        <v>41334</v>
      </c>
      <c r="P110" s="2">
        <v>41698</v>
      </c>
      <c r="Q110">
        <v>0</v>
      </c>
      <c r="R110" t="s">
        <v>278</v>
      </c>
    </row>
    <row r="111" spans="1:18" x14ac:dyDescent="0.25">
      <c r="A111" t="s">
        <v>279</v>
      </c>
      <c r="B111" t="s">
        <v>121</v>
      </c>
      <c r="C111" t="s">
        <v>20</v>
      </c>
      <c r="D111" t="s">
        <v>5165</v>
      </c>
      <c r="E111" t="s">
        <v>5168</v>
      </c>
      <c r="F111" t="s">
        <v>4554</v>
      </c>
      <c r="G111" t="s">
        <v>5169</v>
      </c>
      <c r="H111" s="10">
        <v>968389</v>
      </c>
      <c r="I111" s="10">
        <v>0</v>
      </c>
      <c r="J111" s="10">
        <v>0</v>
      </c>
      <c r="L111" t="s">
        <v>25</v>
      </c>
      <c r="M111" t="s">
        <v>26</v>
      </c>
      <c r="N111" t="s">
        <v>5768</v>
      </c>
      <c r="O111" s="2">
        <v>41000</v>
      </c>
      <c r="P111" s="2">
        <v>42460</v>
      </c>
      <c r="Q111">
        <v>17</v>
      </c>
      <c r="R111" t="s">
        <v>5767</v>
      </c>
    </row>
    <row r="112" spans="1:18" x14ac:dyDescent="0.25">
      <c r="A112" t="s">
        <v>279</v>
      </c>
      <c r="B112" t="s">
        <v>121</v>
      </c>
      <c r="C112" t="s">
        <v>20</v>
      </c>
      <c r="D112" t="s">
        <v>51</v>
      </c>
      <c r="E112" t="s">
        <v>283</v>
      </c>
      <c r="F112" t="s">
        <v>32</v>
      </c>
      <c r="G112" t="s">
        <v>284</v>
      </c>
      <c r="H112" s="10">
        <v>100000</v>
      </c>
      <c r="I112" s="10">
        <v>0</v>
      </c>
      <c r="J112" s="10">
        <v>0</v>
      </c>
      <c r="L112" t="s">
        <v>34</v>
      </c>
      <c r="M112" t="s">
        <v>26</v>
      </c>
      <c r="N112" t="s">
        <v>135</v>
      </c>
      <c r="O112" s="2">
        <v>45200</v>
      </c>
      <c r="P112" s="2">
        <v>45565</v>
      </c>
      <c r="Q112">
        <v>2</v>
      </c>
      <c r="R112" t="s">
        <v>285</v>
      </c>
    </row>
    <row r="113" spans="1:18" x14ac:dyDescent="0.25">
      <c r="A113" t="s">
        <v>279</v>
      </c>
      <c r="B113" t="s">
        <v>121</v>
      </c>
      <c r="C113" t="s">
        <v>20</v>
      </c>
      <c r="D113" t="s">
        <v>90</v>
      </c>
      <c r="E113" t="s">
        <v>91</v>
      </c>
      <c r="F113" t="s">
        <v>92</v>
      </c>
      <c r="G113" t="s">
        <v>280</v>
      </c>
      <c r="H113" s="10">
        <v>1936150</v>
      </c>
      <c r="I113" s="10">
        <v>0</v>
      </c>
      <c r="J113" s="10">
        <v>0</v>
      </c>
      <c r="L113" t="s">
        <v>34</v>
      </c>
      <c r="M113" t="s">
        <v>94</v>
      </c>
      <c r="N113" t="s">
        <v>281</v>
      </c>
      <c r="O113" s="2">
        <v>43983</v>
      </c>
      <c r="P113" s="2">
        <v>44347</v>
      </c>
      <c r="Q113">
        <v>1</v>
      </c>
      <c r="R113" t="s">
        <v>282</v>
      </c>
    </row>
    <row r="114" spans="1:18" x14ac:dyDescent="0.25">
      <c r="A114" t="s">
        <v>286</v>
      </c>
      <c r="B114" t="s">
        <v>4464</v>
      </c>
      <c r="C114" t="s">
        <v>20</v>
      </c>
      <c r="D114" t="s">
        <v>21</v>
      </c>
      <c r="E114" t="s">
        <v>287</v>
      </c>
      <c r="F114" t="s">
        <v>23</v>
      </c>
      <c r="G114" t="s">
        <v>288</v>
      </c>
      <c r="H114" s="10">
        <v>696385</v>
      </c>
      <c r="I114" s="10">
        <v>0</v>
      </c>
      <c r="J114" s="10">
        <v>0</v>
      </c>
      <c r="L114" t="s">
        <v>42</v>
      </c>
      <c r="M114" t="s">
        <v>26</v>
      </c>
      <c r="N114" t="s">
        <v>289</v>
      </c>
      <c r="O114" s="2">
        <v>40634</v>
      </c>
      <c r="P114" s="2">
        <v>42460</v>
      </c>
      <c r="Q114">
        <v>0</v>
      </c>
      <c r="R114" t="s">
        <v>290</v>
      </c>
    </row>
    <row r="115" spans="1:18" x14ac:dyDescent="0.25">
      <c r="A115" t="s">
        <v>291</v>
      </c>
      <c r="B115" t="s">
        <v>49</v>
      </c>
      <c r="C115" t="s">
        <v>50</v>
      </c>
      <c r="D115" t="s">
        <v>21</v>
      </c>
      <c r="E115" t="s">
        <v>22</v>
      </c>
      <c r="F115" t="s">
        <v>32</v>
      </c>
      <c r="G115" t="s">
        <v>296</v>
      </c>
      <c r="H115" s="10">
        <v>699413</v>
      </c>
      <c r="I115" s="10">
        <v>0</v>
      </c>
      <c r="J115" s="10">
        <v>0</v>
      </c>
      <c r="L115" t="s">
        <v>42</v>
      </c>
      <c r="M115" t="s">
        <v>26</v>
      </c>
      <c r="N115" t="s">
        <v>297</v>
      </c>
      <c r="O115" s="2">
        <v>41365</v>
      </c>
      <c r="P115" s="2">
        <v>43190</v>
      </c>
      <c r="Q115">
        <v>0</v>
      </c>
      <c r="R115" t="s">
        <v>298</v>
      </c>
    </row>
    <row r="116" spans="1:18" x14ac:dyDescent="0.25">
      <c r="A116" t="s">
        <v>291</v>
      </c>
      <c r="B116" t="s">
        <v>49</v>
      </c>
      <c r="C116" t="s">
        <v>50</v>
      </c>
      <c r="D116" t="s">
        <v>39</v>
      </c>
      <c r="E116" t="s">
        <v>295</v>
      </c>
      <c r="F116" t="s">
        <v>32</v>
      </c>
      <c r="G116" t="s">
        <v>296</v>
      </c>
      <c r="H116" s="10">
        <v>100000</v>
      </c>
      <c r="I116" s="10">
        <v>0</v>
      </c>
      <c r="J116" s="10">
        <v>0</v>
      </c>
      <c r="L116" t="s">
        <v>34</v>
      </c>
      <c r="M116" t="s">
        <v>26</v>
      </c>
      <c r="N116" t="s">
        <v>297</v>
      </c>
      <c r="O116" s="2">
        <v>40969</v>
      </c>
      <c r="P116" s="2">
        <v>41333</v>
      </c>
      <c r="Q116">
        <v>0</v>
      </c>
      <c r="R116" t="s">
        <v>298</v>
      </c>
    </row>
    <row r="117" spans="1:18" x14ac:dyDescent="0.25">
      <c r="A117" t="s">
        <v>291</v>
      </c>
      <c r="B117" t="s">
        <v>49</v>
      </c>
      <c r="C117" t="s">
        <v>50</v>
      </c>
      <c r="D117" t="s">
        <v>51</v>
      </c>
      <c r="E117" t="s">
        <v>116</v>
      </c>
      <c r="F117" t="s">
        <v>32</v>
      </c>
      <c r="G117" t="s">
        <v>292</v>
      </c>
      <c r="H117" s="10">
        <v>956250</v>
      </c>
      <c r="I117" s="10">
        <v>0</v>
      </c>
      <c r="J117" s="10">
        <v>0</v>
      </c>
      <c r="L117" t="s">
        <v>42</v>
      </c>
      <c r="M117" t="s">
        <v>26</v>
      </c>
      <c r="N117" t="s">
        <v>293</v>
      </c>
      <c r="O117" s="2">
        <v>43374</v>
      </c>
      <c r="P117" s="2">
        <v>45199</v>
      </c>
      <c r="Q117">
        <v>0</v>
      </c>
      <c r="R117" t="s">
        <v>294</v>
      </c>
    </row>
    <row r="118" spans="1:18" x14ac:dyDescent="0.25">
      <c r="A118" t="s">
        <v>291</v>
      </c>
      <c r="B118" t="s">
        <v>49</v>
      </c>
      <c r="C118" t="s">
        <v>50</v>
      </c>
      <c r="D118" t="s">
        <v>51</v>
      </c>
      <c r="E118" t="s">
        <v>186</v>
      </c>
      <c r="F118" t="s">
        <v>128</v>
      </c>
      <c r="G118" t="s">
        <v>299</v>
      </c>
      <c r="H118" s="10">
        <v>979200</v>
      </c>
      <c r="I118" s="10">
        <v>0</v>
      </c>
      <c r="J118" s="10">
        <v>0</v>
      </c>
      <c r="L118" t="s">
        <v>42</v>
      </c>
      <c r="M118" t="s">
        <v>26</v>
      </c>
      <c r="N118" t="s">
        <v>72</v>
      </c>
      <c r="O118" s="2">
        <v>44470</v>
      </c>
      <c r="P118" s="2">
        <v>46295</v>
      </c>
      <c r="Q118">
        <v>0</v>
      </c>
      <c r="R118" t="s">
        <v>300</v>
      </c>
    </row>
    <row r="119" spans="1:18" x14ac:dyDescent="0.25">
      <c r="A119" t="s">
        <v>301</v>
      </c>
      <c r="B119" t="s">
        <v>302</v>
      </c>
      <c r="C119" t="s">
        <v>20</v>
      </c>
      <c r="D119" t="s">
        <v>51</v>
      </c>
      <c r="E119" t="s">
        <v>208</v>
      </c>
      <c r="F119" t="s">
        <v>128</v>
      </c>
      <c r="G119" t="s">
        <v>303</v>
      </c>
      <c r="H119" s="10">
        <v>1086300</v>
      </c>
      <c r="I119" s="10">
        <v>0</v>
      </c>
      <c r="J119" s="10">
        <v>0</v>
      </c>
      <c r="L119" t="s">
        <v>42</v>
      </c>
      <c r="M119" t="s">
        <v>26</v>
      </c>
      <c r="N119" t="s">
        <v>304</v>
      </c>
      <c r="O119" s="2">
        <v>45383</v>
      </c>
      <c r="P119" s="2">
        <v>47208</v>
      </c>
      <c r="Q119">
        <v>0</v>
      </c>
      <c r="R119" t="s">
        <v>305</v>
      </c>
    </row>
    <row r="120" spans="1:18" x14ac:dyDescent="0.25">
      <c r="A120" t="s">
        <v>306</v>
      </c>
      <c r="B120" t="s">
        <v>310</v>
      </c>
      <c r="C120" t="s">
        <v>311</v>
      </c>
      <c r="D120" t="s">
        <v>21</v>
      </c>
      <c r="E120" t="s">
        <v>323</v>
      </c>
      <c r="F120" t="s">
        <v>32</v>
      </c>
      <c r="G120" t="s">
        <v>324</v>
      </c>
      <c r="H120" s="10">
        <v>295157</v>
      </c>
      <c r="I120" s="10">
        <v>0</v>
      </c>
      <c r="J120" s="10">
        <v>0</v>
      </c>
      <c r="L120" t="s">
        <v>55</v>
      </c>
      <c r="M120" t="s">
        <v>26</v>
      </c>
      <c r="N120" t="s">
        <v>325</v>
      </c>
      <c r="O120" s="2">
        <v>40269</v>
      </c>
      <c r="P120" s="2">
        <v>41364</v>
      </c>
      <c r="Q120">
        <v>0</v>
      </c>
      <c r="R120" t="s">
        <v>326</v>
      </c>
    </row>
    <row r="121" spans="1:18" x14ac:dyDescent="0.25">
      <c r="A121" t="s">
        <v>306</v>
      </c>
      <c r="B121" t="s">
        <v>310</v>
      </c>
      <c r="C121" t="s">
        <v>311</v>
      </c>
      <c r="D121" t="s">
        <v>21</v>
      </c>
      <c r="E121" t="s">
        <v>22</v>
      </c>
      <c r="F121" t="s">
        <v>47</v>
      </c>
      <c r="G121" t="s">
        <v>317</v>
      </c>
      <c r="H121" s="10">
        <v>565415</v>
      </c>
      <c r="I121" s="10">
        <v>0</v>
      </c>
      <c r="J121" s="10">
        <v>0</v>
      </c>
      <c r="L121" t="s">
        <v>25</v>
      </c>
      <c r="M121" t="s">
        <v>26</v>
      </c>
      <c r="N121" t="s">
        <v>318</v>
      </c>
      <c r="O121" s="2">
        <v>41365</v>
      </c>
      <c r="P121" s="2">
        <v>42825</v>
      </c>
      <c r="Q121">
        <v>0</v>
      </c>
      <c r="R121" t="s">
        <v>319</v>
      </c>
    </row>
    <row r="122" spans="1:18" x14ac:dyDescent="0.25">
      <c r="A122" t="s">
        <v>306</v>
      </c>
      <c r="B122" t="s">
        <v>310</v>
      </c>
      <c r="C122" t="s">
        <v>311</v>
      </c>
      <c r="D122" t="s">
        <v>312</v>
      </c>
      <c r="E122" t="s">
        <v>313</v>
      </c>
      <c r="F122" t="s">
        <v>47</v>
      </c>
      <c r="G122" t="s">
        <v>314</v>
      </c>
      <c r="H122" s="10">
        <v>168452</v>
      </c>
      <c r="I122" s="10">
        <v>0</v>
      </c>
      <c r="J122" s="10">
        <v>0</v>
      </c>
      <c r="L122" t="s">
        <v>55</v>
      </c>
      <c r="M122" t="s">
        <v>26</v>
      </c>
      <c r="N122" t="s">
        <v>315</v>
      </c>
      <c r="O122" s="2">
        <v>40817</v>
      </c>
      <c r="P122" s="2">
        <v>41912</v>
      </c>
      <c r="Q122">
        <v>0</v>
      </c>
      <c r="R122" t="s">
        <v>316</v>
      </c>
    </row>
    <row r="123" spans="1:18" x14ac:dyDescent="0.25">
      <c r="A123" t="s">
        <v>306</v>
      </c>
      <c r="B123" t="s">
        <v>29</v>
      </c>
      <c r="C123" t="s">
        <v>20</v>
      </c>
      <c r="D123" t="s">
        <v>51</v>
      </c>
      <c r="E123" t="s">
        <v>167</v>
      </c>
      <c r="F123" t="s">
        <v>47</v>
      </c>
      <c r="G123" t="s">
        <v>307</v>
      </c>
      <c r="H123" s="10">
        <v>910350</v>
      </c>
      <c r="I123" s="10">
        <v>0</v>
      </c>
      <c r="J123" s="10">
        <v>0</v>
      </c>
      <c r="L123" t="s">
        <v>42</v>
      </c>
      <c r="M123" t="s">
        <v>26</v>
      </c>
      <c r="N123" t="s">
        <v>308</v>
      </c>
      <c r="O123" s="2">
        <v>45017</v>
      </c>
      <c r="P123" s="2">
        <v>46843</v>
      </c>
      <c r="Q123">
        <v>0</v>
      </c>
      <c r="R123" t="s">
        <v>309</v>
      </c>
    </row>
    <row r="124" spans="1:18" x14ac:dyDescent="0.25">
      <c r="A124" t="s">
        <v>306</v>
      </c>
      <c r="B124" t="s">
        <v>310</v>
      </c>
      <c r="C124" t="s">
        <v>311</v>
      </c>
      <c r="D124" t="s">
        <v>51</v>
      </c>
      <c r="E124" t="s">
        <v>122</v>
      </c>
      <c r="F124" t="s">
        <v>47</v>
      </c>
      <c r="G124" t="s">
        <v>320</v>
      </c>
      <c r="H124" s="10">
        <v>845326</v>
      </c>
      <c r="I124" s="10">
        <v>0</v>
      </c>
      <c r="J124" s="10">
        <v>0</v>
      </c>
      <c r="L124" t="s">
        <v>42</v>
      </c>
      <c r="M124" t="s">
        <v>26</v>
      </c>
      <c r="N124" t="s">
        <v>321</v>
      </c>
      <c r="O124" s="2">
        <v>43739</v>
      </c>
      <c r="P124" s="2">
        <v>45565</v>
      </c>
      <c r="Q124">
        <v>0</v>
      </c>
      <c r="R124" t="s">
        <v>322</v>
      </c>
    </row>
    <row r="125" spans="1:18" x14ac:dyDescent="0.25">
      <c r="A125" t="s">
        <v>4503</v>
      </c>
      <c r="B125" t="s">
        <v>107</v>
      </c>
      <c r="C125" t="s">
        <v>38</v>
      </c>
      <c r="D125" t="s">
        <v>4499</v>
      </c>
      <c r="E125" t="s">
        <v>4500</v>
      </c>
      <c r="F125" t="s">
        <v>4501</v>
      </c>
      <c r="G125" t="s">
        <v>4504</v>
      </c>
      <c r="H125" s="12">
        <v>117400</v>
      </c>
      <c r="I125" s="12">
        <v>0</v>
      </c>
      <c r="J125" s="10">
        <v>0</v>
      </c>
      <c r="L125" t="s">
        <v>34</v>
      </c>
      <c r="M125" t="s">
        <v>831</v>
      </c>
      <c r="N125" t="s">
        <v>6110</v>
      </c>
      <c r="O125" s="2">
        <v>45323</v>
      </c>
      <c r="P125" s="2">
        <v>45688</v>
      </c>
      <c r="Q125">
        <v>0</v>
      </c>
      <c r="R125" t="s">
        <v>6111</v>
      </c>
    </row>
    <row r="126" spans="1:18" x14ac:dyDescent="0.25">
      <c r="A126" t="s">
        <v>327</v>
      </c>
      <c r="B126" t="s">
        <v>157</v>
      </c>
      <c r="C126" t="s">
        <v>38</v>
      </c>
      <c r="D126" t="s">
        <v>273</v>
      </c>
      <c r="E126" t="s">
        <v>274</v>
      </c>
      <c r="F126" t="s">
        <v>275</v>
      </c>
      <c r="G126" t="s">
        <v>328</v>
      </c>
      <c r="H126" s="10">
        <v>100000</v>
      </c>
      <c r="I126" s="10">
        <v>0</v>
      </c>
      <c r="J126" s="10">
        <v>0</v>
      </c>
      <c r="L126" t="s">
        <v>34</v>
      </c>
      <c r="M126" t="s">
        <v>94</v>
      </c>
      <c r="N126" t="s">
        <v>329</v>
      </c>
      <c r="O126" s="2">
        <v>41334</v>
      </c>
      <c r="P126" s="2">
        <v>41698</v>
      </c>
      <c r="Q126">
        <v>0</v>
      </c>
      <c r="R126" t="s">
        <v>330</v>
      </c>
    </row>
    <row r="127" spans="1:18" x14ac:dyDescent="0.25">
      <c r="A127" t="s">
        <v>331</v>
      </c>
      <c r="B127" t="s">
        <v>107</v>
      </c>
      <c r="C127" t="s">
        <v>38</v>
      </c>
      <c r="D127" t="s">
        <v>21</v>
      </c>
      <c r="E127" t="s">
        <v>172</v>
      </c>
      <c r="F127" t="s">
        <v>109</v>
      </c>
      <c r="G127" t="s">
        <v>332</v>
      </c>
      <c r="H127" s="10">
        <v>704014</v>
      </c>
      <c r="I127" s="10">
        <v>0</v>
      </c>
      <c r="J127" s="10">
        <v>0</v>
      </c>
      <c r="L127" t="s">
        <v>42</v>
      </c>
      <c r="M127" t="s">
        <v>111</v>
      </c>
      <c r="N127" t="s">
        <v>333</v>
      </c>
      <c r="O127" s="2">
        <v>40452</v>
      </c>
      <c r="P127" s="2">
        <v>42277</v>
      </c>
      <c r="Q127">
        <v>0</v>
      </c>
      <c r="R127" t="s">
        <v>334</v>
      </c>
    </row>
    <row r="128" spans="1:18" x14ac:dyDescent="0.25">
      <c r="A128" t="s">
        <v>335</v>
      </c>
      <c r="B128" t="s">
        <v>59</v>
      </c>
      <c r="C128" t="s">
        <v>38</v>
      </c>
      <c r="D128" t="s">
        <v>21</v>
      </c>
      <c r="E128" t="s">
        <v>172</v>
      </c>
      <c r="F128" t="s">
        <v>53</v>
      </c>
      <c r="G128" t="s">
        <v>336</v>
      </c>
      <c r="H128" s="12">
        <v>447139</v>
      </c>
      <c r="I128" s="12">
        <v>0</v>
      </c>
      <c r="J128" s="10">
        <v>0</v>
      </c>
      <c r="L128" t="s">
        <v>55</v>
      </c>
      <c r="M128" t="s">
        <v>204</v>
      </c>
      <c r="N128" t="s">
        <v>337</v>
      </c>
      <c r="O128" s="2">
        <v>40452</v>
      </c>
      <c r="P128" s="2">
        <v>41547</v>
      </c>
      <c r="Q128">
        <v>0</v>
      </c>
      <c r="R128" t="s">
        <v>6112</v>
      </c>
    </row>
    <row r="129" spans="1:18" x14ac:dyDescent="0.25">
      <c r="A129" t="s">
        <v>335</v>
      </c>
      <c r="B129" t="s">
        <v>59</v>
      </c>
      <c r="C129" t="s">
        <v>38</v>
      </c>
      <c r="D129" t="s">
        <v>341</v>
      </c>
      <c r="E129" t="s">
        <v>342</v>
      </c>
      <c r="F129" t="s">
        <v>53</v>
      </c>
      <c r="G129" t="s">
        <v>343</v>
      </c>
      <c r="H129" s="12">
        <v>100000</v>
      </c>
      <c r="I129" s="12">
        <v>0</v>
      </c>
      <c r="J129" s="10">
        <v>0</v>
      </c>
      <c r="L129" t="s">
        <v>34</v>
      </c>
      <c r="M129" t="s">
        <v>111</v>
      </c>
      <c r="N129" t="s">
        <v>344</v>
      </c>
      <c r="O129" s="2">
        <v>42552</v>
      </c>
      <c r="P129" s="2">
        <v>44377</v>
      </c>
      <c r="Q129">
        <v>0</v>
      </c>
      <c r="R129" t="s">
        <v>345</v>
      </c>
    </row>
    <row r="130" spans="1:18" x14ac:dyDescent="0.25">
      <c r="A130" t="s">
        <v>335</v>
      </c>
      <c r="B130" t="s">
        <v>59</v>
      </c>
      <c r="C130" t="s">
        <v>38</v>
      </c>
      <c r="D130" t="s">
        <v>51</v>
      </c>
      <c r="E130" t="s">
        <v>52</v>
      </c>
      <c r="F130" t="s">
        <v>53</v>
      </c>
      <c r="G130" t="s">
        <v>338</v>
      </c>
      <c r="H130" s="12">
        <v>1143675</v>
      </c>
      <c r="I130" s="12">
        <v>0</v>
      </c>
      <c r="J130" s="10">
        <v>0</v>
      </c>
      <c r="L130" t="s">
        <v>42</v>
      </c>
      <c r="M130" t="s">
        <v>111</v>
      </c>
      <c r="N130" t="s">
        <v>339</v>
      </c>
      <c r="O130" s="2">
        <v>44287</v>
      </c>
      <c r="P130" s="2">
        <v>46112</v>
      </c>
      <c r="Q130">
        <v>0</v>
      </c>
      <c r="R130" t="s">
        <v>340</v>
      </c>
    </row>
    <row r="131" spans="1:18" x14ac:dyDescent="0.25">
      <c r="A131" t="s">
        <v>346</v>
      </c>
      <c r="B131" t="s">
        <v>4493</v>
      </c>
      <c r="C131" t="s">
        <v>38</v>
      </c>
      <c r="D131" t="s">
        <v>21</v>
      </c>
      <c r="E131" t="s">
        <v>194</v>
      </c>
      <c r="F131" t="s">
        <v>32</v>
      </c>
      <c r="G131" t="s">
        <v>348</v>
      </c>
      <c r="H131" s="11">
        <v>612420</v>
      </c>
      <c r="I131" s="11">
        <v>0</v>
      </c>
      <c r="J131" s="11">
        <v>0</v>
      </c>
      <c r="L131" t="s">
        <v>42</v>
      </c>
      <c r="M131" t="s">
        <v>26</v>
      </c>
      <c r="N131" t="s">
        <v>349</v>
      </c>
      <c r="O131" s="2">
        <v>40087</v>
      </c>
      <c r="P131" s="2">
        <v>41912</v>
      </c>
      <c r="Q131">
        <v>0</v>
      </c>
      <c r="R131" t="s">
        <v>350</v>
      </c>
    </row>
    <row r="132" spans="1:18" x14ac:dyDescent="0.25">
      <c r="A132" t="s">
        <v>351</v>
      </c>
      <c r="B132" t="s">
        <v>29</v>
      </c>
      <c r="C132" t="s">
        <v>20</v>
      </c>
      <c r="D132" t="s">
        <v>51</v>
      </c>
      <c r="E132" t="s">
        <v>158</v>
      </c>
      <c r="F132" t="s">
        <v>23</v>
      </c>
      <c r="G132" t="s">
        <v>352</v>
      </c>
      <c r="H132" s="10">
        <v>772650</v>
      </c>
      <c r="I132" s="10">
        <v>0</v>
      </c>
      <c r="J132" s="10">
        <v>0</v>
      </c>
      <c r="L132" t="s">
        <v>42</v>
      </c>
      <c r="M132" t="s">
        <v>26</v>
      </c>
      <c r="N132" t="s">
        <v>135</v>
      </c>
      <c r="O132" s="2">
        <v>43922</v>
      </c>
      <c r="P132" s="2">
        <v>45747</v>
      </c>
      <c r="Q132">
        <v>1</v>
      </c>
      <c r="R132" t="s">
        <v>353</v>
      </c>
    </row>
    <row r="133" spans="1:18" x14ac:dyDescent="0.25">
      <c r="A133" t="s">
        <v>354</v>
      </c>
      <c r="B133" t="s">
        <v>355</v>
      </c>
      <c r="C133" t="s">
        <v>20</v>
      </c>
      <c r="D133" t="s">
        <v>51</v>
      </c>
      <c r="E133" t="s">
        <v>167</v>
      </c>
      <c r="F133" t="s">
        <v>356</v>
      </c>
      <c r="G133" t="s">
        <v>357</v>
      </c>
      <c r="H133" s="10">
        <v>344250</v>
      </c>
      <c r="I133" s="10">
        <v>0</v>
      </c>
      <c r="J133" s="10">
        <v>0</v>
      </c>
      <c r="L133" t="s">
        <v>55</v>
      </c>
      <c r="M133" t="s">
        <v>103</v>
      </c>
      <c r="N133" t="s">
        <v>358</v>
      </c>
      <c r="O133" s="2">
        <v>45017</v>
      </c>
      <c r="P133" s="2">
        <v>46112</v>
      </c>
      <c r="Q133">
        <v>0</v>
      </c>
      <c r="R133" t="s">
        <v>359</v>
      </c>
    </row>
    <row r="134" spans="1:18" x14ac:dyDescent="0.25">
      <c r="A134" t="s">
        <v>6113</v>
      </c>
      <c r="B134" t="s">
        <v>1593</v>
      </c>
      <c r="C134" t="s">
        <v>38</v>
      </c>
      <c r="D134" t="s">
        <v>5128</v>
      </c>
      <c r="E134" t="s">
        <v>5129</v>
      </c>
      <c r="F134" t="s">
        <v>5130</v>
      </c>
      <c r="G134" t="s">
        <v>5131</v>
      </c>
      <c r="H134" s="12">
        <v>140000</v>
      </c>
      <c r="I134" s="12">
        <v>60000</v>
      </c>
      <c r="J134" s="10">
        <v>0</v>
      </c>
      <c r="L134" t="s">
        <v>84</v>
      </c>
      <c r="M134" t="s">
        <v>217</v>
      </c>
      <c r="N134" t="s">
        <v>5709</v>
      </c>
      <c r="O134" s="2">
        <v>40940</v>
      </c>
      <c r="P134" s="2">
        <v>41670</v>
      </c>
      <c r="Q134">
        <v>0</v>
      </c>
      <c r="R134" t="s">
        <v>6114</v>
      </c>
    </row>
    <row r="135" spans="1:18" x14ac:dyDescent="0.25">
      <c r="A135" t="s">
        <v>6277</v>
      </c>
      <c r="B135" t="s">
        <v>114</v>
      </c>
      <c r="C135" t="s">
        <v>20</v>
      </c>
      <c r="D135" t="s">
        <v>4557</v>
      </c>
      <c r="E135" t="s">
        <v>4597</v>
      </c>
      <c r="F135" t="s">
        <v>4559</v>
      </c>
      <c r="G135" t="s">
        <v>4598</v>
      </c>
      <c r="H135" s="10">
        <v>248885</v>
      </c>
      <c r="I135" s="10">
        <v>0</v>
      </c>
      <c r="J135" s="10">
        <v>0</v>
      </c>
      <c r="L135" t="s">
        <v>55</v>
      </c>
      <c r="M135" t="s">
        <v>831</v>
      </c>
      <c r="N135" t="s">
        <v>6033</v>
      </c>
      <c r="O135" s="2">
        <v>42095</v>
      </c>
      <c r="P135" s="2">
        <v>43190</v>
      </c>
      <c r="Q135">
        <v>0</v>
      </c>
      <c r="R135" t="s">
        <v>6032</v>
      </c>
    </row>
    <row r="136" spans="1:18" x14ac:dyDescent="0.25">
      <c r="A136" t="s">
        <v>6277</v>
      </c>
      <c r="B136" t="s">
        <v>114</v>
      </c>
      <c r="C136" t="s">
        <v>20</v>
      </c>
      <c r="D136" t="s">
        <v>4557</v>
      </c>
      <c r="E136" t="s">
        <v>4581</v>
      </c>
      <c r="F136" t="s">
        <v>4559</v>
      </c>
      <c r="G136" t="s">
        <v>4600</v>
      </c>
      <c r="H136" s="10">
        <v>511851</v>
      </c>
      <c r="I136" s="10">
        <v>0</v>
      </c>
      <c r="J136" s="10">
        <v>0</v>
      </c>
      <c r="L136" t="s">
        <v>55</v>
      </c>
      <c r="M136" t="s">
        <v>831</v>
      </c>
      <c r="N136" t="s">
        <v>5846</v>
      </c>
      <c r="O136" s="2">
        <v>43556</v>
      </c>
      <c r="P136" s="2">
        <v>44651</v>
      </c>
      <c r="Q136">
        <v>0</v>
      </c>
      <c r="R136" t="s">
        <v>5845</v>
      </c>
    </row>
    <row r="137" spans="1:18" x14ac:dyDescent="0.25">
      <c r="A137" t="s">
        <v>6115</v>
      </c>
      <c r="B137" t="s">
        <v>460</v>
      </c>
      <c r="C137" t="s">
        <v>38</v>
      </c>
      <c r="D137" t="s">
        <v>4557</v>
      </c>
      <c r="E137" t="s">
        <v>4570</v>
      </c>
      <c r="F137" t="s">
        <v>4559</v>
      </c>
      <c r="G137" t="s">
        <v>6116</v>
      </c>
      <c r="H137" s="12">
        <v>489287</v>
      </c>
      <c r="I137" s="12">
        <v>0</v>
      </c>
      <c r="J137" s="10">
        <v>0</v>
      </c>
      <c r="L137" t="s">
        <v>55</v>
      </c>
      <c r="M137" t="s">
        <v>217</v>
      </c>
      <c r="N137" t="s">
        <v>5709</v>
      </c>
      <c r="O137" s="2">
        <v>42826</v>
      </c>
      <c r="P137" s="2">
        <v>43921</v>
      </c>
      <c r="Q137">
        <v>0</v>
      </c>
      <c r="R137" t="s">
        <v>6117</v>
      </c>
    </row>
    <row r="138" spans="1:18" x14ac:dyDescent="0.25">
      <c r="A138" t="s">
        <v>6278</v>
      </c>
      <c r="B138" t="s">
        <v>360</v>
      </c>
      <c r="C138" t="s">
        <v>20</v>
      </c>
      <c r="D138" t="s">
        <v>51</v>
      </c>
      <c r="E138" t="s">
        <v>208</v>
      </c>
      <c r="F138" t="s">
        <v>109</v>
      </c>
      <c r="G138" t="s">
        <v>361</v>
      </c>
      <c r="H138" s="10">
        <v>715275</v>
      </c>
      <c r="I138" s="10">
        <v>0</v>
      </c>
      <c r="J138" s="10">
        <v>0</v>
      </c>
      <c r="L138" t="s">
        <v>42</v>
      </c>
      <c r="M138" t="s">
        <v>217</v>
      </c>
      <c r="N138" t="s">
        <v>362</v>
      </c>
      <c r="O138" s="2">
        <v>45383</v>
      </c>
      <c r="P138" s="2">
        <v>47208</v>
      </c>
      <c r="Q138">
        <v>0</v>
      </c>
      <c r="R138" t="s">
        <v>363</v>
      </c>
    </row>
    <row r="139" spans="1:18" x14ac:dyDescent="0.25">
      <c r="A139" t="s">
        <v>6278</v>
      </c>
      <c r="B139" t="s">
        <v>360</v>
      </c>
      <c r="C139" t="s">
        <v>20</v>
      </c>
      <c r="D139" t="s">
        <v>51</v>
      </c>
      <c r="E139" t="s">
        <v>186</v>
      </c>
      <c r="F139" t="s">
        <v>109</v>
      </c>
      <c r="G139" t="s">
        <v>364</v>
      </c>
      <c r="H139" s="10">
        <v>592876</v>
      </c>
      <c r="I139" s="10">
        <v>0</v>
      </c>
      <c r="J139" s="10">
        <v>0</v>
      </c>
      <c r="L139" t="s">
        <v>42</v>
      </c>
      <c r="M139" t="s">
        <v>111</v>
      </c>
      <c r="N139" t="s">
        <v>365</v>
      </c>
      <c r="O139" s="2">
        <v>44470</v>
      </c>
      <c r="P139" s="2">
        <v>46295</v>
      </c>
      <c r="Q139">
        <v>0</v>
      </c>
      <c r="R139" t="s">
        <v>366</v>
      </c>
    </row>
    <row r="140" spans="1:18" x14ac:dyDescent="0.25">
      <c r="A140" t="s">
        <v>6278</v>
      </c>
      <c r="B140" t="s">
        <v>360</v>
      </c>
      <c r="C140" t="s">
        <v>20</v>
      </c>
      <c r="D140" t="s">
        <v>4557</v>
      </c>
      <c r="E140" t="s">
        <v>4602</v>
      </c>
      <c r="F140" t="s">
        <v>4559</v>
      </c>
      <c r="G140" t="s">
        <v>4603</v>
      </c>
      <c r="H140" s="10">
        <v>314970</v>
      </c>
      <c r="I140" s="10">
        <v>0</v>
      </c>
      <c r="J140" s="10">
        <v>0</v>
      </c>
      <c r="L140" t="s">
        <v>55</v>
      </c>
      <c r="M140" t="s">
        <v>111</v>
      </c>
      <c r="N140" t="s">
        <v>5541</v>
      </c>
      <c r="O140" s="2">
        <v>41365</v>
      </c>
      <c r="P140" s="2">
        <v>42460</v>
      </c>
      <c r="Q140">
        <v>0</v>
      </c>
      <c r="R140" t="s">
        <v>5540</v>
      </c>
    </row>
    <row r="141" spans="1:18" x14ac:dyDescent="0.25">
      <c r="A141" t="s">
        <v>6279</v>
      </c>
      <c r="B141" t="s">
        <v>49</v>
      </c>
      <c r="C141" t="s">
        <v>50</v>
      </c>
      <c r="D141" t="s">
        <v>4557</v>
      </c>
      <c r="E141" t="s">
        <v>4602</v>
      </c>
      <c r="F141" t="s">
        <v>4559</v>
      </c>
      <c r="G141" t="s">
        <v>4605</v>
      </c>
      <c r="H141" s="10">
        <v>211250</v>
      </c>
      <c r="I141" s="10">
        <v>0</v>
      </c>
      <c r="J141" s="10">
        <v>0</v>
      </c>
      <c r="L141" t="s">
        <v>55</v>
      </c>
      <c r="M141" t="s">
        <v>94</v>
      </c>
      <c r="N141" t="s">
        <v>5800</v>
      </c>
      <c r="O141" s="2">
        <v>41365</v>
      </c>
      <c r="P141" s="2">
        <v>42460</v>
      </c>
      <c r="Q141">
        <v>0</v>
      </c>
      <c r="R141" t="s">
        <v>5799</v>
      </c>
    </row>
    <row r="142" spans="1:18" x14ac:dyDescent="0.25">
      <c r="A142" t="s">
        <v>367</v>
      </c>
      <c r="B142" t="s">
        <v>49</v>
      </c>
      <c r="C142" t="s">
        <v>50</v>
      </c>
      <c r="D142" t="s">
        <v>241</v>
      </c>
      <c r="E142" t="s">
        <v>368</v>
      </c>
      <c r="F142" t="s">
        <v>243</v>
      </c>
      <c r="G142" t="s">
        <v>369</v>
      </c>
      <c r="H142" s="10">
        <v>300000</v>
      </c>
      <c r="I142" s="10">
        <v>0</v>
      </c>
      <c r="J142" s="10">
        <v>0</v>
      </c>
      <c r="L142" t="s">
        <v>55</v>
      </c>
      <c r="M142" t="s">
        <v>143</v>
      </c>
      <c r="N142" t="s">
        <v>370</v>
      </c>
      <c r="O142" s="2">
        <v>40452</v>
      </c>
      <c r="P142" s="2">
        <v>41547</v>
      </c>
      <c r="Q142">
        <v>0</v>
      </c>
      <c r="R142" t="s">
        <v>371</v>
      </c>
    </row>
    <row r="143" spans="1:18" x14ac:dyDescent="0.25">
      <c r="A143" t="s">
        <v>372</v>
      </c>
      <c r="B143" t="s">
        <v>49</v>
      </c>
      <c r="C143" t="s">
        <v>50</v>
      </c>
      <c r="D143" t="s">
        <v>51</v>
      </c>
      <c r="E143" t="s">
        <v>70</v>
      </c>
      <c r="F143" t="s">
        <v>356</v>
      </c>
      <c r="G143" t="s">
        <v>373</v>
      </c>
      <c r="H143" s="10">
        <v>795600</v>
      </c>
      <c r="I143" s="10">
        <v>0</v>
      </c>
      <c r="J143" s="10">
        <v>0</v>
      </c>
      <c r="L143" t="s">
        <v>42</v>
      </c>
      <c r="M143" t="s">
        <v>94</v>
      </c>
      <c r="N143" t="s">
        <v>374</v>
      </c>
      <c r="O143" s="2">
        <v>45200</v>
      </c>
      <c r="P143" s="2">
        <v>47026</v>
      </c>
      <c r="Q143">
        <v>0</v>
      </c>
      <c r="R143" t="s">
        <v>375</v>
      </c>
    </row>
    <row r="144" spans="1:18" x14ac:dyDescent="0.25">
      <c r="A144" t="s">
        <v>376</v>
      </c>
      <c r="B144" t="s">
        <v>5063</v>
      </c>
      <c r="C144" t="s">
        <v>38</v>
      </c>
      <c r="D144" t="s">
        <v>21</v>
      </c>
      <c r="E144" t="s">
        <v>377</v>
      </c>
      <c r="F144" t="s">
        <v>32</v>
      </c>
      <c r="G144" t="s">
        <v>378</v>
      </c>
      <c r="H144" s="10">
        <v>683860</v>
      </c>
      <c r="I144" s="10">
        <v>0</v>
      </c>
      <c r="J144" s="10">
        <v>0</v>
      </c>
      <c r="L144" t="s">
        <v>42</v>
      </c>
      <c r="M144" t="s">
        <v>26</v>
      </c>
      <c r="N144" t="s">
        <v>379</v>
      </c>
      <c r="O144" s="2">
        <v>41183</v>
      </c>
      <c r="P144" s="2">
        <v>43008</v>
      </c>
      <c r="Q144">
        <v>0</v>
      </c>
      <c r="R144" t="s">
        <v>380</v>
      </c>
    </row>
    <row r="145" spans="1:18" x14ac:dyDescent="0.25">
      <c r="A145" t="s">
        <v>376</v>
      </c>
      <c r="B145" t="s">
        <v>5063</v>
      </c>
      <c r="C145" t="s">
        <v>38</v>
      </c>
      <c r="D145" t="s">
        <v>51</v>
      </c>
      <c r="E145" t="s">
        <v>127</v>
      </c>
      <c r="F145" t="s">
        <v>128</v>
      </c>
      <c r="G145" t="s">
        <v>381</v>
      </c>
      <c r="H145" s="10">
        <v>906526</v>
      </c>
      <c r="I145" s="10">
        <v>0</v>
      </c>
      <c r="J145" s="10">
        <v>0</v>
      </c>
      <c r="L145" t="s">
        <v>42</v>
      </c>
      <c r="M145" t="s">
        <v>26</v>
      </c>
      <c r="N145" t="s">
        <v>382</v>
      </c>
      <c r="O145" s="2">
        <v>44835</v>
      </c>
      <c r="P145" s="2">
        <v>46660</v>
      </c>
      <c r="Q145">
        <v>0</v>
      </c>
      <c r="R145" t="s">
        <v>383</v>
      </c>
    </row>
    <row r="146" spans="1:18" x14ac:dyDescent="0.25">
      <c r="A146" t="s">
        <v>6281</v>
      </c>
      <c r="B146" t="s">
        <v>157</v>
      </c>
      <c r="C146" t="s">
        <v>38</v>
      </c>
      <c r="D146" t="s">
        <v>21</v>
      </c>
      <c r="E146" t="s">
        <v>255</v>
      </c>
      <c r="F146" t="s">
        <v>53</v>
      </c>
      <c r="G146" t="s">
        <v>384</v>
      </c>
      <c r="H146" s="11">
        <v>321624</v>
      </c>
      <c r="I146" s="11">
        <v>0</v>
      </c>
      <c r="J146" s="11">
        <v>0</v>
      </c>
      <c r="L146" t="s">
        <v>55</v>
      </c>
      <c r="M146" t="s">
        <v>204</v>
      </c>
      <c r="N146" t="s">
        <v>385</v>
      </c>
      <c r="O146" s="2">
        <v>39904</v>
      </c>
      <c r="P146" s="2">
        <v>40999</v>
      </c>
      <c r="Q146">
        <v>1</v>
      </c>
      <c r="R146" t="s">
        <v>386</v>
      </c>
    </row>
    <row r="147" spans="1:18" x14ac:dyDescent="0.25">
      <c r="A147" t="s">
        <v>387</v>
      </c>
      <c r="B147" t="s">
        <v>196</v>
      </c>
      <c r="C147" t="s">
        <v>20</v>
      </c>
      <c r="D147" t="s">
        <v>51</v>
      </c>
      <c r="E147" t="s">
        <v>52</v>
      </c>
      <c r="F147" t="s">
        <v>47</v>
      </c>
      <c r="G147" t="s">
        <v>388</v>
      </c>
      <c r="H147" s="10">
        <v>722925</v>
      </c>
      <c r="I147" s="10">
        <v>0</v>
      </c>
      <c r="J147" s="10">
        <v>0</v>
      </c>
      <c r="L147" t="s">
        <v>42</v>
      </c>
      <c r="M147" t="s">
        <v>26</v>
      </c>
      <c r="N147" t="s">
        <v>389</v>
      </c>
      <c r="O147" s="2">
        <v>44287</v>
      </c>
      <c r="P147" s="2">
        <v>46112</v>
      </c>
      <c r="Q147">
        <v>0</v>
      </c>
      <c r="R147" t="s">
        <v>390</v>
      </c>
    </row>
    <row r="148" spans="1:18" x14ac:dyDescent="0.25">
      <c r="A148" t="s">
        <v>391</v>
      </c>
      <c r="B148" t="s">
        <v>4494</v>
      </c>
      <c r="C148" t="s">
        <v>38</v>
      </c>
      <c r="D148" t="s">
        <v>21</v>
      </c>
      <c r="E148" t="s">
        <v>377</v>
      </c>
      <c r="F148" t="s">
        <v>32</v>
      </c>
      <c r="G148" t="s">
        <v>392</v>
      </c>
      <c r="H148" s="10">
        <v>394992</v>
      </c>
      <c r="I148" s="10">
        <v>0</v>
      </c>
      <c r="J148" s="10">
        <v>0</v>
      </c>
      <c r="L148" t="s">
        <v>55</v>
      </c>
      <c r="M148" t="s">
        <v>26</v>
      </c>
      <c r="N148" t="s">
        <v>393</v>
      </c>
      <c r="O148" s="2">
        <v>41183</v>
      </c>
      <c r="P148" s="2">
        <v>42277</v>
      </c>
      <c r="Q148">
        <v>0</v>
      </c>
      <c r="R148" t="s">
        <v>394</v>
      </c>
    </row>
    <row r="149" spans="1:18" x14ac:dyDescent="0.25">
      <c r="A149" t="s">
        <v>391</v>
      </c>
      <c r="B149" t="s">
        <v>4494</v>
      </c>
      <c r="C149" t="s">
        <v>38</v>
      </c>
      <c r="D149" t="s">
        <v>395</v>
      </c>
      <c r="E149" t="s">
        <v>396</v>
      </c>
      <c r="F149" t="s">
        <v>32</v>
      </c>
      <c r="G149" t="s">
        <v>397</v>
      </c>
      <c r="H149" s="10">
        <v>100000</v>
      </c>
      <c r="I149" s="10">
        <v>0</v>
      </c>
      <c r="J149" s="10">
        <v>0</v>
      </c>
      <c r="L149" t="s">
        <v>34</v>
      </c>
      <c r="M149" t="s">
        <v>26</v>
      </c>
      <c r="N149" t="s">
        <v>393</v>
      </c>
      <c r="O149" s="2">
        <v>40969</v>
      </c>
      <c r="P149" s="2">
        <v>41333</v>
      </c>
      <c r="Q149">
        <v>0</v>
      </c>
      <c r="R149" t="s">
        <v>398</v>
      </c>
    </row>
    <row r="150" spans="1:18" x14ac:dyDescent="0.25">
      <c r="A150" t="s">
        <v>399</v>
      </c>
      <c r="B150" t="s">
        <v>4492</v>
      </c>
      <c r="C150" t="s">
        <v>38</v>
      </c>
      <c r="D150" t="s">
        <v>5280</v>
      </c>
      <c r="E150" t="s">
        <v>5286</v>
      </c>
      <c r="F150" t="s">
        <v>4554</v>
      </c>
      <c r="G150" t="s">
        <v>5290</v>
      </c>
      <c r="H150" s="10">
        <v>228975</v>
      </c>
      <c r="I150" s="10">
        <v>0</v>
      </c>
      <c r="J150" s="10">
        <v>0</v>
      </c>
      <c r="L150" t="s">
        <v>55</v>
      </c>
      <c r="M150" t="s">
        <v>94</v>
      </c>
      <c r="N150" t="s">
        <v>5742</v>
      </c>
      <c r="O150" s="2">
        <v>40634</v>
      </c>
      <c r="P150" s="2">
        <v>41729</v>
      </c>
      <c r="Q150">
        <v>10</v>
      </c>
      <c r="R150" t="s">
        <v>5741</v>
      </c>
    </row>
    <row r="151" spans="1:18" x14ac:dyDescent="0.25">
      <c r="A151" t="s">
        <v>6280</v>
      </c>
      <c r="B151" t="s">
        <v>162</v>
      </c>
      <c r="C151" t="s">
        <v>149</v>
      </c>
      <c r="D151" t="s">
        <v>4557</v>
      </c>
      <c r="E151" t="s">
        <v>4581</v>
      </c>
      <c r="F151" t="s">
        <v>4559</v>
      </c>
      <c r="G151" t="s">
        <v>4607</v>
      </c>
      <c r="H151" s="10">
        <v>967734</v>
      </c>
      <c r="I151" s="10">
        <v>0</v>
      </c>
      <c r="J151" s="10">
        <v>0</v>
      </c>
      <c r="L151" t="s">
        <v>55</v>
      </c>
      <c r="M151" t="s">
        <v>831</v>
      </c>
      <c r="N151" t="s">
        <v>6022</v>
      </c>
      <c r="O151" s="2">
        <v>43556</v>
      </c>
      <c r="P151" s="2">
        <v>44651</v>
      </c>
      <c r="Q151">
        <v>0</v>
      </c>
      <c r="R151" t="s">
        <v>6021</v>
      </c>
    </row>
    <row r="152" spans="1:18" x14ac:dyDescent="0.25">
      <c r="A152" t="s">
        <v>400</v>
      </c>
      <c r="B152" t="s">
        <v>59</v>
      </c>
      <c r="C152" t="s">
        <v>38</v>
      </c>
      <c r="D152" t="s">
        <v>21</v>
      </c>
      <c r="E152" t="s">
        <v>255</v>
      </c>
      <c r="F152" t="s">
        <v>53</v>
      </c>
      <c r="G152" t="s">
        <v>401</v>
      </c>
      <c r="H152" s="12">
        <v>388428</v>
      </c>
      <c r="I152" s="12">
        <v>0</v>
      </c>
      <c r="J152" s="10">
        <v>0</v>
      </c>
      <c r="L152" t="s">
        <v>55</v>
      </c>
      <c r="M152" t="s">
        <v>204</v>
      </c>
      <c r="N152" t="s">
        <v>402</v>
      </c>
      <c r="O152" s="2">
        <v>39904</v>
      </c>
      <c r="P152" s="2">
        <v>40999</v>
      </c>
      <c r="Q152">
        <v>0</v>
      </c>
      <c r="R152" t="s">
        <v>403</v>
      </c>
    </row>
    <row r="153" spans="1:18" x14ac:dyDescent="0.25">
      <c r="A153" t="s">
        <v>400</v>
      </c>
      <c r="B153" t="s">
        <v>59</v>
      </c>
      <c r="C153" t="s">
        <v>38</v>
      </c>
      <c r="D153" t="s">
        <v>21</v>
      </c>
      <c r="E153" t="s">
        <v>74</v>
      </c>
      <c r="F153" t="s">
        <v>53</v>
      </c>
      <c r="G153" t="s">
        <v>404</v>
      </c>
      <c r="H153" s="12">
        <v>727135</v>
      </c>
      <c r="I153" s="12">
        <v>0</v>
      </c>
      <c r="J153" s="10">
        <v>0</v>
      </c>
      <c r="L153" t="s">
        <v>42</v>
      </c>
      <c r="M153" t="s">
        <v>204</v>
      </c>
      <c r="N153" t="s">
        <v>405</v>
      </c>
      <c r="O153" s="2">
        <v>41000</v>
      </c>
      <c r="P153" s="2">
        <v>42825</v>
      </c>
      <c r="Q153">
        <v>0</v>
      </c>
      <c r="R153" t="s">
        <v>6118</v>
      </c>
    </row>
    <row r="154" spans="1:18" x14ac:dyDescent="0.25">
      <c r="A154" t="s">
        <v>5067</v>
      </c>
      <c r="B154" t="s">
        <v>4492</v>
      </c>
      <c r="C154" t="s">
        <v>38</v>
      </c>
      <c r="D154" t="s">
        <v>51</v>
      </c>
      <c r="E154" t="s">
        <v>406</v>
      </c>
      <c r="F154" t="s">
        <v>53</v>
      </c>
      <c r="G154" t="s">
        <v>407</v>
      </c>
      <c r="H154" s="10">
        <v>562276</v>
      </c>
      <c r="I154" s="10">
        <v>0</v>
      </c>
      <c r="J154" s="10">
        <v>0</v>
      </c>
      <c r="L154" t="s">
        <v>25</v>
      </c>
      <c r="M154" t="s">
        <v>204</v>
      </c>
      <c r="N154" t="s">
        <v>408</v>
      </c>
      <c r="O154" s="2">
        <v>43191</v>
      </c>
      <c r="P154" s="2">
        <v>44651</v>
      </c>
      <c r="Q154">
        <v>0</v>
      </c>
      <c r="R154" t="s">
        <v>409</v>
      </c>
    </row>
    <row r="155" spans="1:18" x14ac:dyDescent="0.25">
      <c r="A155" t="s">
        <v>5067</v>
      </c>
      <c r="B155" t="s">
        <v>4492</v>
      </c>
      <c r="C155" t="s">
        <v>38</v>
      </c>
      <c r="D155" t="s">
        <v>51</v>
      </c>
      <c r="E155" t="s">
        <v>186</v>
      </c>
      <c r="F155" t="s">
        <v>53</v>
      </c>
      <c r="G155" t="s">
        <v>412</v>
      </c>
      <c r="H155" s="10">
        <v>868276</v>
      </c>
      <c r="I155" s="10">
        <v>0</v>
      </c>
      <c r="J155" s="10">
        <v>0</v>
      </c>
      <c r="L155" t="s">
        <v>42</v>
      </c>
      <c r="M155" t="s">
        <v>413</v>
      </c>
      <c r="N155" t="s">
        <v>414</v>
      </c>
      <c r="O155" s="2">
        <v>44470</v>
      </c>
      <c r="P155" s="2">
        <v>46295</v>
      </c>
      <c r="Q155">
        <v>0</v>
      </c>
      <c r="R155" t="s">
        <v>415</v>
      </c>
    </row>
    <row r="156" spans="1:18" x14ac:dyDescent="0.25">
      <c r="A156" t="s">
        <v>5067</v>
      </c>
      <c r="B156" t="s">
        <v>4492</v>
      </c>
      <c r="C156" t="s">
        <v>38</v>
      </c>
      <c r="D156" t="s">
        <v>410</v>
      </c>
      <c r="E156" t="s">
        <v>411</v>
      </c>
      <c r="F156" t="s">
        <v>53</v>
      </c>
      <c r="G156" t="s">
        <v>412</v>
      </c>
      <c r="H156" s="10">
        <v>100000</v>
      </c>
      <c r="I156" s="10">
        <v>0</v>
      </c>
      <c r="J156" s="10">
        <v>0</v>
      </c>
      <c r="L156" t="s">
        <v>34</v>
      </c>
      <c r="M156" t="s">
        <v>413</v>
      </c>
      <c r="N156" t="s">
        <v>414</v>
      </c>
      <c r="O156" s="2">
        <v>44470</v>
      </c>
      <c r="P156" s="2">
        <v>46295</v>
      </c>
      <c r="Q156">
        <v>0</v>
      </c>
      <c r="R156" t="s">
        <v>415</v>
      </c>
    </row>
    <row r="157" spans="1:18" x14ac:dyDescent="0.25">
      <c r="A157" t="s">
        <v>5067</v>
      </c>
      <c r="B157" t="s">
        <v>4492</v>
      </c>
      <c r="C157" t="s">
        <v>38</v>
      </c>
      <c r="D157" t="s">
        <v>410</v>
      </c>
      <c r="E157" t="s">
        <v>416</v>
      </c>
      <c r="F157" t="s">
        <v>356</v>
      </c>
      <c r="G157" t="s">
        <v>417</v>
      </c>
      <c r="H157" s="10">
        <v>100000</v>
      </c>
      <c r="I157" s="10">
        <v>0</v>
      </c>
      <c r="J157" s="10">
        <v>0</v>
      </c>
      <c r="L157" t="s">
        <v>34</v>
      </c>
      <c r="M157" t="s">
        <v>413</v>
      </c>
      <c r="N157" t="s">
        <v>418</v>
      </c>
      <c r="O157" s="2">
        <v>45566</v>
      </c>
      <c r="P157" s="2">
        <v>45930</v>
      </c>
      <c r="Q157">
        <v>0</v>
      </c>
      <c r="R157" t="s">
        <v>419</v>
      </c>
    </row>
    <row r="158" spans="1:18" x14ac:dyDescent="0.25">
      <c r="A158" t="s">
        <v>6282</v>
      </c>
      <c r="B158" t="s">
        <v>4492</v>
      </c>
      <c r="C158" t="s">
        <v>38</v>
      </c>
      <c r="D158" t="s">
        <v>420</v>
      </c>
      <c r="E158" t="s">
        <v>421</v>
      </c>
      <c r="F158" t="s">
        <v>47</v>
      </c>
      <c r="G158" t="s">
        <v>422</v>
      </c>
      <c r="H158" s="10">
        <v>100000</v>
      </c>
      <c r="I158" s="10">
        <v>0</v>
      </c>
      <c r="J158" s="10">
        <v>0</v>
      </c>
      <c r="L158" t="s">
        <v>34</v>
      </c>
      <c r="M158" t="s">
        <v>26</v>
      </c>
      <c r="N158" t="s">
        <v>423</v>
      </c>
      <c r="O158" s="2">
        <v>44986</v>
      </c>
      <c r="P158" s="2">
        <v>45351</v>
      </c>
      <c r="Q158">
        <v>0</v>
      </c>
      <c r="R158" t="s">
        <v>424</v>
      </c>
    </row>
    <row r="159" spans="1:18" x14ac:dyDescent="0.25">
      <c r="A159" t="s">
        <v>6283</v>
      </c>
      <c r="B159" t="s">
        <v>114</v>
      </c>
      <c r="C159" t="s">
        <v>20</v>
      </c>
      <c r="D159" t="s">
        <v>4557</v>
      </c>
      <c r="E159" t="s">
        <v>4602</v>
      </c>
      <c r="F159" t="s">
        <v>4559</v>
      </c>
      <c r="G159" t="s">
        <v>4609</v>
      </c>
      <c r="H159" s="10">
        <v>220356</v>
      </c>
      <c r="I159" s="10">
        <v>0</v>
      </c>
      <c r="J159" s="10">
        <v>0</v>
      </c>
      <c r="L159" t="s">
        <v>55</v>
      </c>
      <c r="M159" t="s">
        <v>111</v>
      </c>
      <c r="N159" t="s">
        <v>5715</v>
      </c>
      <c r="O159" s="2">
        <v>41365</v>
      </c>
      <c r="P159" s="2">
        <v>42460</v>
      </c>
      <c r="Q159">
        <v>5</v>
      </c>
      <c r="R159" t="s">
        <v>5714</v>
      </c>
    </row>
    <row r="160" spans="1:18" x14ac:dyDescent="0.25">
      <c r="A160" t="s">
        <v>5170</v>
      </c>
      <c r="B160" t="s">
        <v>355</v>
      </c>
      <c r="C160" t="s">
        <v>20</v>
      </c>
      <c r="D160" t="s">
        <v>5165</v>
      </c>
      <c r="E160" t="s">
        <v>5171</v>
      </c>
      <c r="F160" t="s">
        <v>4554</v>
      </c>
      <c r="G160" t="s">
        <v>5172</v>
      </c>
      <c r="H160" s="10">
        <v>140952</v>
      </c>
      <c r="I160" s="10">
        <v>0</v>
      </c>
      <c r="J160" s="10">
        <v>0</v>
      </c>
      <c r="L160" t="s">
        <v>55</v>
      </c>
      <c r="M160" t="s">
        <v>103</v>
      </c>
      <c r="N160" t="s">
        <v>5755</v>
      </c>
      <c r="O160" s="2">
        <v>41913</v>
      </c>
      <c r="P160" s="2">
        <v>43008</v>
      </c>
      <c r="Q160">
        <v>0</v>
      </c>
      <c r="R160" t="s">
        <v>5754</v>
      </c>
    </row>
    <row r="161" spans="1:18" x14ac:dyDescent="0.25">
      <c r="A161" t="s">
        <v>425</v>
      </c>
      <c r="B161" t="s">
        <v>107</v>
      </c>
      <c r="C161" t="s">
        <v>38</v>
      </c>
      <c r="D161" t="s">
        <v>21</v>
      </c>
      <c r="E161" t="s">
        <v>108</v>
      </c>
      <c r="F161" t="s">
        <v>32</v>
      </c>
      <c r="G161" t="s">
        <v>426</v>
      </c>
      <c r="H161" s="10">
        <v>767453</v>
      </c>
      <c r="I161" s="10">
        <v>0</v>
      </c>
      <c r="J161" s="10">
        <v>0</v>
      </c>
      <c r="L161" t="s">
        <v>42</v>
      </c>
      <c r="M161" t="s">
        <v>26</v>
      </c>
      <c r="N161" t="s">
        <v>427</v>
      </c>
      <c r="O161" s="2">
        <v>41548</v>
      </c>
      <c r="P161" s="2">
        <v>43373</v>
      </c>
      <c r="Q161">
        <v>0</v>
      </c>
      <c r="R161" t="s">
        <v>428</v>
      </c>
    </row>
    <row r="162" spans="1:18" x14ac:dyDescent="0.25">
      <c r="A162" t="s">
        <v>5123</v>
      </c>
      <c r="B162" t="s">
        <v>4494</v>
      </c>
      <c r="C162" t="s">
        <v>38</v>
      </c>
      <c r="D162" t="s">
        <v>395</v>
      </c>
      <c r="E162" t="s">
        <v>429</v>
      </c>
      <c r="F162" t="s">
        <v>47</v>
      </c>
      <c r="G162" t="s">
        <v>430</v>
      </c>
      <c r="H162" s="10">
        <v>100000</v>
      </c>
      <c r="I162" s="10">
        <v>0</v>
      </c>
      <c r="J162" s="10">
        <v>0</v>
      </c>
      <c r="L162" t="s">
        <v>34</v>
      </c>
      <c r="M162" t="s">
        <v>26</v>
      </c>
      <c r="N162" t="s">
        <v>431</v>
      </c>
      <c r="O162" s="2">
        <v>40269</v>
      </c>
      <c r="P162" s="2">
        <v>40633</v>
      </c>
      <c r="Q162">
        <v>0</v>
      </c>
      <c r="R162" t="s">
        <v>432</v>
      </c>
    </row>
    <row r="163" spans="1:18" x14ac:dyDescent="0.25">
      <c r="A163" t="s">
        <v>433</v>
      </c>
      <c r="B163" t="s">
        <v>240</v>
      </c>
      <c r="C163" t="s">
        <v>20</v>
      </c>
      <c r="D163" t="s">
        <v>51</v>
      </c>
      <c r="E163" t="s">
        <v>158</v>
      </c>
      <c r="F163" t="s">
        <v>47</v>
      </c>
      <c r="G163" t="s">
        <v>434</v>
      </c>
      <c r="H163" s="10">
        <v>1526175</v>
      </c>
      <c r="I163" s="10">
        <v>0</v>
      </c>
      <c r="J163" s="10">
        <v>0</v>
      </c>
      <c r="L163" t="s">
        <v>42</v>
      </c>
      <c r="M163" t="s">
        <v>26</v>
      </c>
      <c r="N163" t="s">
        <v>308</v>
      </c>
      <c r="O163" s="2">
        <v>43922</v>
      </c>
      <c r="P163" s="2">
        <v>45747</v>
      </c>
      <c r="Q163">
        <v>0</v>
      </c>
      <c r="R163" t="s">
        <v>435</v>
      </c>
    </row>
    <row r="164" spans="1:18" x14ac:dyDescent="0.25">
      <c r="A164" t="s">
        <v>433</v>
      </c>
      <c r="B164" t="s">
        <v>240</v>
      </c>
      <c r="C164" t="s">
        <v>20</v>
      </c>
      <c r="D164" t="s">
        <v>51</v>
      </c>
      <c r="E164" t="s">
        <v>167</v>
      </c>
      <c r="F164" t="s">
        <v>47</v>
      </c>
      <c r="G164" t="s">
        <v>436</v>
      </c>
      <c r="H164" s="10">
        <v>1377000</v>
      </c>
      <c r="I164" s="10">
        <v>0</v>
      </c>
      <c r="J164" s="10">
        <v>0</v>
      </c>
      <c r="L164" t="s">
        <v>42</v>
      </c>
      <c r="M164" t="s">
        <v>26</v>
      </c>
      <c r="N164" t="s">
        <v>437</v>
      </c>
      <c r="O164" s="2">
        <v>45017</v>
      </c>
      <c r="P164" s="2">
        <v>46843</v>
      </c>
      <c r="Q164">
        <v>0</v>
      </c>
      <c r="R164" t="s">
        <v>438</v>
      </c>
    </row>
    <row r="165" spans="1:18" x14ac:dyDescent="0.25">
      <c r="A165" t="s">
        <v>6284</v>
      </c>
      <c r="B165" t="s">
        <v>162</v>
      </c>
      <c r="C165" t="s">
        <v>149</v>
      </c>
      <c r="D165" t="s">
        <v>4557</v>
      </c>
      <c r="E165" t="s">
        <v>4611</v>
      </c>
      <c r="F165" t="s">
        <v>4559</v>
      </c>
      <c r="G165" t="s">
        <v>4612</v>
      </c>
      <c r="H165" s="10">
        <v>244296</v>
      </c>
      <c r="I165" s="10">
        <v>0</v>
      </c>
      <c r="J165" s="10">
        <v>0</v>
      </c>
      <c r="L165" t="s">
        <v>55</v>
      </c>
      <c r="M165" t="s">
        <v>103</v>
      </c>
      <c r="N165" t="s">
        <v>5989</v>
      </c>
      <c r="O165" s="2">
        <v>42461</v>
      </c>
      <c r="P165" s="2">
        <v>43555</v>
      </c>
      <c r="Q165">
        <v>1</v>
      </c>
      <c r="R165" t="s">
        <v>5988</v>
      </c>
    </row>
    <row r="166" spans="1:18" x14ac:dyDescent="0.25">
      <c r="A166" t="s">
        <v>6285</v>
      </c>
      <c r="B166" t="s">
        <v>157</v>
      </c>
      <c r="C166" t="s">
        <v>38</v>
      </c>
      <c r="D166" t="s">
        <v>5280</v>
      </c>
      <c r="E166" t="s">
        <v>5293</v>
      </c>
      <c r="F166" t="s">
        <v>4554</v>
      </c>
      <c r="G166" t="s">
        <v>5292</v>
      </c>
      <c r="H166" s="10">
        <v>427933</v>
      </c>
      <c r="I166" s="10">
        <v>7000</v>
      </c>
      <c r="J166" s="10">
        <v>0</v>
      </c>
      <c r="L166" t="s">
        <v>84</v>
      </c>
      <c r="M166" t="s">
        <v>103</v>
      </c>
      <c r="N166" t="s">
        <v>5518</v>
      </c>
      <c r="O166" s="2">
        <v>39904</v>
      </c>
      <c r="P166" s="2">
        <v>40633</v>
      </c>
      <c r="Q166">
        <v>0</v>
      </c>
      <c r="R166" t="s">
        <v>5517</v>
      </c>
    </row>
    <row r="167" spans="1:18" x14ac:dyDescent="0.25">
      <c r="A167" t="s">
        <v>6285</v>
      </c>
      <c r="B167" t="s">
        <v>157</v>
      </c>
      <c r="C167" t="s">
        <v>38</v>
      </c>
      <c r="D167" t="s">
        <v>5280</v>
      </c>
      <c r="E167" t="s">
        <v>5286</v>
      </c>
      <c r="F167" t="s">
        <v>4554</v>
      </c>
      <c r="G167" t="s">
        <v>5292</v>
      </c>
      <c r="H167" s="10">
        <v>1051344</v>
      </c>
      <c r="I167" s="10">
        <v>57500</v>
      </c>
      <c r="J167" s="10">
        <v>0</v>
      </c>
      <c r="L167" t="s">
        <v>444</v>
      </c>
      <c r="M167" t="s">
        <v>103</v>
      </c>
      <c r="N167" t="s">
        <v>5518</v>
      </c>
      <c r="O167" s="2">
        <v>40634</v>
      </c>
      <c r="P167" s="2">
        <v>41364</v>
      </c>
      <c r="Q167">
        <v>0</v>
      </c>
      <c r="R167" t="s">
        <v>5517</v>
      </c>
    </row>
    <row r="168" spans="1:18" x14ac:dyDescent="0.25">
      <c r="A168" t="s">
        <v>439</v>
      </c>
      <c r="B168" t="s">
        <v>4493</v>
      </c>
      <c r="C168" t="s">
        <v>38</v>
      </c>
      <c r="D168" t="s">
        <v>51</v>
      </c>
      <c r="E168" t="s">
        <v>52</v>
      </c>
      <c r="F168" t="s">
        <v>32</v>
      </c>
      <c r="G168" t="s">
        <v>440</v>
      </c>
      <c r="H168" s="10">
        <v>768825</v>
      </c>
      <c r="I168" s="10">
        <v>0</v>
      </c>
      <c r="J168" s="10">
        <v>0</v>
      </c>
      <c r="L168" t="s">
        <v>42</v>
      </c>
      <c r="M168" t="s">
        <v>26</v>
      </c>
      <c r="N168" t="s">
        <v>135</v>
      </c>
      <c r="O168" s="2">
        <v>44287</v>
      </c>
      <c r="P168" s="2">
        <v>46112</v>
      </c>
      <c r="Q168">
        <v>0</v>
      </c>
      <c r="R168" t="s">
        <v>441</v>
      </c>
    </row>
    <row r="169" spans="1:18" x14ac:dyDescent="0.25">
      <c r="A169" t="s">
        <v>442</v>
      </c>
      <c r="B169" t="s">
        <v>5069</v>
      </c>
      <c r="C169" t="s">
        <v>38</v>
      </c>
      <c r="D169" t="s">
        <v>51</v>
      </c>
      <c r="E169" t="s">
        <v>197</v>
      </c>
      <c r="F169" t="s">
        <v>109</v>
      </c>
      <c r="G169" t="s">
        <v>443</v>
      </c>
      <c r="H169" s="10">
        <v>179775</v>
      </c>
      <c r="I169" s="10">
        <v>0</v>
      </c>
      <c r="J169" s="10">
        <v>0</v>
      </c>
      <c r="L169" t="s">
        <v>444</v>
      </c>
      <c r="M169" t="s">
        <v>143</v>
      </c>
      <c r="N169" t="s">
        <v>445</v>
      </c>
      <c r="O169" s="2">
        <v>44652</v>
      </c>
      <c r="P169" s="2">
        <v>45565</v>
      </c>
      <c r="Q169">
        <v>0</v>
      </c>
      <c r="R169" t="s">
        <v>446</v>
      </c>
    </row>
    <row r="170" spans="1:18" x14ac:dyDescent="0.25">
      <c r="A170" t="s">
        <v>447</v>
      </c>
      <c r="B170" t="s">
        <v>126</v>
      </c>
      <c r="C170" t="s">
        <v>20</v>
      </c>
      <c r="D170" t="s">
        <v>51</v>
      </c>
      <c r="E170" t="s">
        <v>406</v>
      </c>
      <c r="F170" t="s">
        <v>47</v>
      </c>
      <c r="G170" t="s">
        <v>448</v>
      </c>
      <c r="H170" s="10">
        <v>1147500</v>
      </c>
      <c r="I170" s="10">
        <v>0</v>
      </c>
      <c r="J170" s="10">
        <v>0</v>
      </c>
      <c r="L170" t="s">
        <v>42</v>
      </c>
      <c r="M170" t="s">
        <v>26</v>
      </c>
      <c r="N170" t="s">
        <v>72</v>
      </c>
      <c r="O170" s="2">
        <v>43191</v>
      </c>
      <c r="P170" s="2">
        <v>45016</v>
      </c>
      <c r="Q170">
        <v>6</v>
      </c>
      <c r="R170" t="s">
        <v>449</v>
      </c>
    </row>
    <row r="171" spans="1:18" x14ac:dyDescent="0.25">
      <c r="A171" t="s">
        <v>5173</v>
      </c>
      <c r="B171" t="s">
        <v>4496</v>
      </c>
      <c r="C171" t="s">
        <v>38</v>
      </c>
      <c r="D171" t="s">
        <v>5165</v>
      </c>
      <c r="E171" t="s">
        <v>5171</v>
      </c>
      <c r="F171" t="s">
        <v>4554</v>
      </c>
      <c r="G171" t="s">
        <v>5174</v>
      </c>
      <c r="H171" s="10">
        <v>116000</v>
      </c>
      <c r="I171" s="10">
        <v>0</v>
      </c>
      <c r="J171" s="10">
        <v>0</v>
      </c>
      <c r="L171" t="s">
        <v>84</v>
      </c>
      <c r="M171" t="s">
        <v>143</v>
      </c>
      <c r="N171" t="s">
        <v>5911</v>
      </c>
      <c r="O171" s="2">
        <v>41913</v>
      </c>
      <c r="P171" s="2">
        <v>42643</v>
      </c>
      <c r="Q171">
        <v>1</v>
      </c>
      <c r="R171" t="s">
        <v>5910</v>
      </c>
    </row>
    <row r="172" spans="1:18" x14ac:dyDescent="0.25">
      <c r="A172" t="s">
        <v>6286</v>
      </c>
      <c r="B172" t="s">
        <v>49</v>
      </c>
      <c r="C172" t="s">
        <v>50</v>
      </c>
      <c r="D172" t="s">
        <v>4557</v>
      </c>
      <c r="E172" t="s">
        <v>4602</v>
      </c>
      <c r="F172" t="s">
        <v>4559</v>
      </c>
      <c r="G172" t="s">
        <v>4614</v>
      </c>
      <c r="H172" s="10">
        <v>194625</v>
      </c>
      <c r="I172" s="10">
        <v>0</v>
      </c>
      <c r="J172" s="10">
        <v>0</v>
      </c>
      <c r="L172" t="s">
        <v>55</v>
      </c>
      <c r="M172" t="s">
        <v>111</v>
      </c>
      <c r="N172" t="s">
        <v>5728</v>
      </c>
      <c r="O172" s="2">
        <v>41365</v>
      </c>
      <c r="P172" s="2">
        <v>42460</v>
      </c>
      <c r="Q172">
        <v>0</v>
      </c>
      <c r="R172" t="s">
        <v>5795</v>
      </c>
    </row>
    <row r="173" spans="1:18" x14ac:dyDescent="0.25">
      <c r="A173" t="s">
        <v>450</v>
      </c>
      <c r="B173" t="s">
        <v>148</v>
      </c>
      <c r="C173" t="s">
        <v>149</v>
      </c>
      <c r="D173" t="s">
        <v>51</v>
      </c>
      <c r="E173" t="s">
        <v>163</v>
      </c>
      <c r="F173" t="s">
        <v>109</v>
      </c>
      <c r="G173" t="s">
        <v>454</v>
      </c>
      <c r="H173" s="10">
        <v>925650</v>
      </c>
      <c r="I173" s="10">
        <v>0</v>
      </c>
      <c r="J173" s="10">
        <v>0</v>
      </c>
      <c r="L173" t="s">
        <v>42</v>
      </c>
      <c r="M173" t="s">
        <v>204</v>
      </c>
      <c r="N173" t="s">
        <v>455</v>
      </c>
      <c r="O173" s="2">
        <v>43556</v>
      </c>
      <c r="P173" s="2">
        <v>45382</v>
      </c>
      <c r="Q173">
        <v>0</v>
      </c>
      <c r="R173" t="s">
        <v>456</v>
      </c>
    </row>
    <row r="174" spans="1:18" x14ac:dyDescent="0.25">
      <c r="A174" t="s">
        <v>450</v>
      </c>
      <c r="B174" t="s">
        <v>148</v>
      </c>
      <c r="C174" t="s">
        <v>149</v>
      </c>
      <c r="D174" t="s">
        <v>51</v>
      </c>
      <c r="E174" t="s">
        <v>186</v>
      </c>
      <c r="F174" t="s">
        <v>109</v>
      </c>
      <c r="G174" t="s">
        <v>457</v>
      </c>
      <c r="H174" s="10">
        <v>963900</v>
      </c>
      <c r="I174" s="10">
        <v>0</v>
      </c>
      <c r="J174" s="10">
        <v>0</v>
      </c>
      <c r="L174" t="s">
        <v>42</v>
      </c>
      <c r="M174" t="s">
        <v>204</v>
      </c>
      <c r="N174" t="s">
        <v>458</v>
      </c>
      <c r="O174" s="2">
        <v>44470</v>
      </c>
      <c r="P174" s="2">
        <v>46295</v>
      </c>
      <c r="Q174">
        <v>0</v>
      </c>
      <c r="R174" t="s">
        <v>459</v>
      </c>
    </row>
    <row r="175" spans="1:18" x14ac:dyDescent="0.25">
      <c r="A175" t="s">
        <v>450</v>
      </c>
      <c r="B175" t="s">
        <v>148</v>
      </c>
      <c r="C175" t="s">
        <v>149</v>
      </c>
      <c r="D175" t="s">
        <v>21</v>
      </c>
      <c r="E175" t="s">
        <v>172</v>
      </c>
      <c r="F175" t="s">
        <v>53</v>
      </c>
      <c r="G175" t="s">
        <v>451</v>
      </c>
      <c r="H175" s="10">
        <v>629550</v>
      </c>
      <c r="I175" s="10">
        <v>0</v>
      </c>
      <c r="J175" s="10">
        <v>0</v>
      </c>
      <c r="L175" t="s">
        <v>42</v>
      </c>
      <c r="M175" t="s">
        <v>204</v>
      </c>
      <c r="N175" t="s">
        <v>452</v>
      </c>
      <c r="O175" s="2">
        <v>40452</v>
      </c>
      <c r="P175" s="2">
        <v>42277</v>
      </c>
      <c r="Q175">
        <v>0</v>
      </c>
      <c r="R175" t="s">
        <v>453</v>
      </c>
    </row>
    <row r="176" spans="1:18" x14ac:dyDescent="0.25">
      <c r="A176" t="s">
        <v>6287</v>
      </c>
      <c r="B176" t="s">
        <v>4496</v>
      </c>
      <c r="C176" t="s">
        <v>38</v>
      </c>
      <c r="D176" t="s">
        <v>51</v>
      </c>
      <c r="E176" t="s">
        <v>70</v>
      </c>
      <c r="F176" t="s">
        <v>356</v>
      </c>
      <c r="G176" t="s">
        <v>461</v>
      </c>
      <c r="H176" s="10">
        <v>661725</v>
      </c>
      <c r="I176" s="10">
        <v>0</v>
      </c>
      <c r="J176" s="10">
        <v>0</v>
      </c>
      <c r="L176" t="s">
        <v>25</v>
      </c>
      <c r="M176" t="s">
        <v>85</v>
      </c>
      <c r="N176" t="s">
        <v>462</v>
      </c>
      <c r="O176" s="2">
        <v>45200</v>
      </c>
      <c r="P176" s="2">
        <v>46660</v>
      </c>
      <c r="Q176">
        <v>0</v>
      </c>
      <c r="R176" t="s">
        <v>463</v>
      </c>
    </row>
    <row r="177" spans="1:18" x14ac:dyDescent="0.25">
      <c r="A177" t="s">
        <v>464</v>
      </c>
      <c r="B177" t="s">
        <v>98</v>
      </c>
      <c r="C177" t="s">
        <v>20</v>
      </c>
      <c r="D177" t="s">
        <v>21</v>
      </c>
      <c r="E177" t="s">
        <v>287</v>
      </c>
      <c r="F177" t="s">
        <v>32</v>
      </c>
      <c r="G177" t="s">
        <v>465</v>
      </c>
      <c r="H177" s="10">
        <v>406695</v>
      </c>
      <c r="I177" s="10">
        <v>0</v>
      </c>
      <c r="J177" s="10">
        <v>0</v>
      </c>
      <c r="L177" t="s">
        <v>55</v>
      </c>
      <c r="M177" t="s">
        <v>26</v>
      </c>
      <c r="N177" t="s">
        <v>466</v>
      </c>
      <c r="O177" s="2">
        <v>40634</v>
      </c>
      <c r="P177" s="2">
        <v>41729</v>
      </c>
      <c r="Q177">
        <v>9</v>
      </c>
      <c r="R177" t="s">
        <v>467</v>
      </c>
    </row>
    <row r="178" spans="1:18" x14ac:dyDescent="0.25">
      <c r="A178" t="s">
        <v>6288</v>
      </c>
      <c r="B178" t="s">
        <v>19</v>
      </c>
      <c r="C178" t="s">
        <v>20</v>
      </c>
      <c r="D178" t="s">
        <v>51</v>
      </c>
      <c r="E178" t="s">
        <v>163</v>
      </c>
      <c r="F178" t="s">
        <v>23</v>
      </c>
      <c r="G178" t="s">
        <v>468</v>
      </c>
      <c r="H178" s="10">
        <v>757352</v>
      </c>
      <c r="I178" s="10">
        <v>0</v>
      </c>
      <c r="J178" s="10">
        <v>0</v>
      </c>
      <c r="L178" t="s">
        <v>25</v>
      </c>
      <c r="M178" t="s">
        <v>26</v>
      </c>
      <c r="N178" t="s">
        <v>469</v>
      </c>
      <c r="O178" s="2">
        <v>43556</v>
      </c>
      <c r="P178" s="2">
        <v>45016</v>
      </c>
      <c r="Q178">
        <v>0</v>
      </c>
      <c r="R178" t="s">
        <v>470</v>
      </c>
    </row>
    <row r="179" spans="1:18" x14ac:dyDescent="0.25">
      <c r="A179" t="s">
        <v>6288</v>
      </c>
      <c r="B179" t="s">
        <v>19</v>
      </c>
      <c r="C179" t="s">
        <v>20</v>
      </c>
      <c r="D179" t="s">
        <v>51</v>
      </c>
      <c r="E179" t="s">
        <v>122</v>
      </c>
      <c r="F179" t="s">
        <v>23</v>
      </c>
      <c r="G179" t="s">
        <v>471</v>
      </c>
      <c r="H179" s="10">
        <v>995264</v>
      </c>
      <c r="I179" s="10">
        <v>0</v>
      </c>
      <c r="J179" s="10">
        <v>0</v>
      </c>
      <c r="L179" t="s">
        <v>25</v>
      </c>
      <c r="M179" t="s">
        <v>26</v>
      </c>
      <c r="N179" t="s">
        <v>261</v>
      </c>
      <c r="O179" s="2">
        <v>43739</v>
      </c>
      <c r="P179" s="2">
        <v>45199</v>
      </c>
      <c r="Q179">
        <v>6</v>
      </c>
      <c r="R179" t="s">
        <v>472</v>
      </c>
    </row>
    <row r="180" spans="1:18" x14ac:dyDescent="0.25">
      <c r="A180" t="s">
        <v>473</v>
      </c>
      <c r="B180" t="s">
        <v>474</v>
      </c>
      <c r="C180" t="s">
        <v>20</v>
      </c>
      <c r="D180" t="s">
        <v>51</v>
      </c>
      <c r="E180" t="s">
        <v>127</v>
      </c>
      <c r="F180" t="s">
        <v>128</v>
      </c>
      <c r="G180" t="s">
        <v>475</v>
      </c>
      <c r="H180" s="10">
        <v>902700</v>
      </c>
      <c r="I180" s="10">
        <v>0</v>
      </c>
      <c r="J180" s="10">
        <v>0</v>
      </c>
      <c r="L180" t="s">
        <v>42</v>
      </c>
      <c r="M180" t="s">
        <v>143</v>
      </c>
      <c r="N180" t="s">
        <v>476</v>
      </c>
      <c r="O180" s="2">
        <v>44835</v>
      </c>
      <c r="P180" s="2">
        <v>46660</v>
      </c>
      <c r="Q180">
        <v>0</v>
      </c>
      <c r="R180" t="s">
        <v>477</v>
      </c>
    </row>
    <row r="181" spans="1:18" x14ac:dyDescent="0.25">
      <c r="A181" t="s">
        <v>6119</v>
      </c>
      <c r="B181" t="s">
        <v>148</v>
      </c>
      <c r="C181" t="s">
        <v>149</v>
      </c>
      <c r="D181" t="s">
        <v>4499</v>
      </c>
      <c r="E181" t="s">
        <v>4500</v>
      </c>
      <c r="F181" t="s">
        <v>4501</v>
      </c>
      <c r="G181" t="s">
        <v>4505</v>
      </c>
      <c r="H181" s="12">
        <v>150000</v>
      </c>
      <c r="I181" s="12">
        <v>0</v>
      </c>
      <c r="J181" s="10">
        <v>0</v>
      </c>
      <c r="L181" t="s">
        <v>34</v>
      </c>
      <c r="M181" t="s">
        <v>413</v>
      </c>
      <c r="N181" t="s">
        <v>6120</v>
      </c>
      <c r="O181" s="2">
        <v>45323</v>
      </c>
      <c r="P181" s="2">
        <v>45688</v>
      </c>
      <c r="Q181">
        <v>0</v>
      </c>
      <c r="R181" t="s">
        <v>6121</v>
      </c>
    </row>
    <row r="182" spans="1:18" x14ac:dyDescent="0.25">
      <c r="A182" t="s">
        <v>6289</v>
      </c>
      <c r="B182" t="s">
        <v>237</v>
      </c>
      <c r="C182" t="s">
        <v>20</v>
      </c>
      <c r="D182" t="s">
        <v>5280</v>
      </c>
      <c r="E182" t="s">
        <v>5295</v>
      </c>
      <c r="F182" t="s">
        <v>4554</v>
      </c>
      <c r="G182" t="s">
        <v>5296</v>
      </c>
      <c r="H182" s="10">
        <v>37500</v>
      </c>
      <c r="I182" s="10">
        <v>0</v>
      </c>
      <c r="J182" s="10">
        <v>0</v>
      </c>
      <c r="L182" t="s">
        <v>55</v>
      </c>
      <c r="M182" t="s">
        <v>26</v>
      </c>
      <c r="N182" t="s">
        <v>5894</v>
      </c>
      <c r="O182" s="2">
        <v>40087</v>
      </c>
      <c r="P182" s="2">
        <v>41182</v>
      </c>
      <c r="Q182">
        <v>0</v>
      </c>
      <c r="R182" t="s">
        <v>5893</v>
      </c>
    </row>
    <row r="183" spans="1:18" x14ac:dyDescent="0.25">
      <c r="A183" t="s">
        <v>478</v>
      </c>
      <c r="B183" t="s">
        <v>162</v>
      </c>
      <c r="C183" t="s">
        <v>149</v>
      </c>
      <c r="D183" t="s">
        <v>51</v>
      </c>
      <c r="E183" t="s">
        <v>158</v>
      </c>
      <c r="F183" t="s">
        <v>47</v>
      </c>
      <c r="G183" t="s">
        <v>479</v>
      </c>
      <c r="H183" s="10">
        <v>937125</v>
      </c>
      <c r="I183" s="10">
        <v>0</v>
      </c>
      <c r="J183" s="10">
        <v>0</v>
      </c>
      <c r="L183" t="s">
        <v>42</v>
      </c>
      <c r="M183" t="s">
        <v>26</v>
      </c>
      <c r="N183" t="s">
        <v>135</v>
      </c>
      <c r="O183" s="2">
        <v>43922</v>
      </c>
      <c r="P183" s="2">
        <v>45747</v>
      </c>
      <c r="Q183">
        <v>0</v>
      </c>
      <c r="R183" t="s">
        <v>480</v>
      </c>
    </row>
    <row r="184" spans="1:18" x14ac:dyDescent="0.25">
      <c r="A184" t="s">
        <v>481</v>
      </c>
      <c r="B184" t="s">
        <v>49</v>
      </c>
      <c r="C184" t="s">
        <v>50</v>
      </c>
      <c r="D184" t="s">
        <v>482</v>
      </c>
      <c r="E184" t="s">
        <v>483</v>
      </c>
      <c r="F184" t="s">
        <v>47</v>
      </c>
      <c r="G184" t="s">
        <v>484</v>
      </c>
      <c r="H184" s="10">
        <v>68228</v>
      </c>
      <c r="I184" s="10">
        <v>0</v>
      </c>
      <c r="J184" s="10">
        <v>0</v>
      </c>
      <c r="L184" t="s">
        <v>34</v>
      </c>
      <c r="M184" t="s">
        <v>26</v>
      </c>
      <c r="N184" t="s">
        <v>485</v>
      </c>
      <c r="O184" s="2">
        <v>39814</v>
      </c>
      <c r="P184" s="2">
        <v>40178</v>
      </c>
      <c r="Q184">
        <v>0</v>
      </c>
      <c r="R184" t="s">
        <v>486</v>
      </c>
    </row>
    <row r="185" spans="1:18" x14ac:dyDescent="0.25">
      <c r="A185" t="s">
        <v>487</v>
      </c>
      <c r="B185" t="s">
        <v>19</v>
      </c>
      <c r="C185" t="s">
        <v>20</v>
      </c>
      <c r="D185" t="s">
        <v>395</v>
      </c>
      <c r="E185" t="s">
        <v>396</v>
      </c>
      <c r="F185" t="s">
        <v>109</v>
      </c>
      <c r="G185" t="s">
        <v>488</v>
      </c>
      <c r="H185" s="10">
        <v>100000</v>
      </c>
      <c r="I185" s="10">
        <v>0</v>
      </c>
      <c r="J185" s="10">
        <v>0</v>
      </c>
      <c r="L185" t="s">
        <v>34</v>
      </c>
      <c r="M185" t="s">
        <v>26</v>
      </c>
      <c r="N185" t="s">
        <v>489</v>
      </c>
      <c r="O185" s="2">
        <v>40969</v>
      </c>
      <c r="P185" s="2">
        <v>41333</v>
      </c>
      <c r="Q185">
        <v>0</v>
      </c>
      <c r="R185" t="s">
        <v>490</v>
      </c>
    </row>
    <row r="186" spans="1:18" x14ac:dyDescent="0.25">
      <c r="A186" t="s">
        <v>491</v>
      </c>
      <c r="B186" t="s">
        <v>107</v>
      </c>
      <c r="C186" t="s">
        <v>38</v>
      </c>
      <c r="D186" t="s">
        <v>21</v>
      </c>
      <c r="E186" t="s">
        <v>323</v>
      </c>
      <c r="F186" t="s">
        <v>47</v>
      </c>
      <c r="G186" t="s">
        <v>495</v>
      </c>
      <c r="H186" s="10">
        <v>622074</v>
      </c>
      <c r="I186" s="10">
        <v>0</v>
      </c>
      <c r="J186" s="10">
        <v>0</v>
      </c>
      <c r="L186" t="s">
        <v>42</v>
      </c>
      <c r="M186" t="s">
        <v>26</v>
      </c>
      <c r="N186" t="s">
        <v>496</v>
      </c>
      <c r="O186" s="2">
        <v>40269</v>
      </c>
      <c r="P186" s="2">
        <v>42094</v>
      </c>
      <c r="Q186">
        <v>1</v>
      </c>
      <c r="R186" t="s">
        <v>497</v>
      </c>
    </row>
    <row r="187" spans="1:18" x14ac:dyDescent="0.25">
      <c r="A187" t="s">
        <v>491</v>
      </c>
      <c r="B187" t="s">
        <v>157</v>
      </c>
      <c r="C187" t="s">
        <v>38</v>
      </c>
      <c r="D187" t="s">
        <v>51</v>
      </c>
      <c r="E187" t="s">
        <v>158</v>
      </c>
      <c r="F187" t="s">
        <v>47</v>
      </c>
      <c r="G187" t="s">
        <v>492</v>
      </c>
      <c r="H187" s="10">
        <v>807075</v>
      </c>
      <c r="I187" s="10">
        <v>0</v>
      </c>
      <c r="J187" s="10">
        <v>0</v>
      </c>
      <c r="L187" t="s">
        <v>42</v>
      </c>
      <c r="M187" t="s">
        <v>26</v>
      </c>
      <c r="N187" t="s">
        <v>493</v>
      </c>
      <c r="O187" s="2">
        <v>43922</v>
      </c>
      <c r="P187" s="2">
        <v>45747</v>
      </c>
      <c r="Q187">
        <v>0</v>
      </c>
      <c r="R187" t="s">
        <v>494</v>
      </c>
    </row>
    <row r="188" spans="1:18" x14ac:dyDescent="0.25">
      <c r="A188" t="s">
        <v>6290</v>
      </c>
      <c r="B188" t="s">
        <v>49</v>
      </c>
      <c r="C188" t="s">
        <v>50</v>
      </c>
      <c r="D188" t="s">
        <v>4557</v>
      </c>
      <c r="E188" t="s">
        <v>4558</v>
      </c>
      <c r="F188" t="s">
        <v>4559</v>
      </c>
      <c r="G188" t="s">
        <v>4616</v>
      </c>
      <c r="H188" s="10">
        <v>359850</v>
      </c>
      <c r="I188" s="10">
        <v>0</v>
      </c>
      <c r="J188" s="10">
        <v>0</v>
      </c>
      <c r="L188" t="s">
        <v>55</v>
      </c>
      <c r="M188" t="s">
        <v>204</v>
      </c>
      <c r="N188" t="s">
        <v>5578</v>
      </c>
      <c r="O188" s="2">
        <v>43191</v>
      </c>
      <c r="P188" s="2">
        <v>44286</v>
      </c>
      <c r="Q188">
        <v>0</v>
      </c>
      <c r="R188" t="s">
        <v>5577</v>
      </c>
    </row>
    <row r="189" spans="1:18" x14ac:dyDescent="0.25">
      <c r="A189" t="s">
        <v>6291</v>
      </c>
      <c r="B189" t="s">
        <v>107</v>
      </c>
      <c r="C189" t="s">
        <v>38</v>
      </c>
      <c r="D189" t="s">
        <v>4557</v>
      </c>
      <c r="E189" t="s">
        <v>4611</v>
      </c>
      <c r="F189" t="s">
        <v>4559</v>
      </c>
      <c r="G189" t="s">
        <v>4618</v>
      </c>
      <c r="H189" s="10">
        <v>272500</v>
      </c>
      <c r="I189" s="10">
        <v>0</v>
      </c>
      <c r="J189" s="10">
        <v>0</v>
      </c>
      <c r="L189" t="s">
        <v>55</v>
      </c>
      <c r="M189" t="s">
        <v>26</v>
      </c>
      <c r="N189" t="s">
        <v>1369</v>
      </c>
      <c r="O189" s="2">
        <v>42461</v>
      </c>
      <c r="P189" s="2">
        <v>43555</v>
      </c>
      <c r="Q189">
        <v>0</v>
      </c>
      <c r="R189" t="s">
        <v>5869</v>
      </c>
    </row>
    <row r="190" spans="1:18" x14ac:dyDescent="0.25">
      <c r="A190" t="s">
        <v>6292</v>
      </c>
      <c r="B190" t="s">
        <v>98</v>
      </c>
      <c r="C190" t="s">
        <v>20</v>
      </c>
      <c r="D190" t="s">
        <v>4557</v>
      </c>
      <c r="E190" t="s">
        <v>4567</v>
      </c>
      <c r="F190" t="s">
        <v>4559</v>
      </c>
      <c r="G190" t="s">
        <v>4620</v>
      </c>
      <c r="H190" s="10">
        <v>322238</v>
      </c>
      <c r="I190" s="10">
        <v>0</v>
      </c>
      <c r="J190" s="10">
        <v>0</v>
      </c>
      <c r="L190" t="s">
        <v>55</v>
      </c>
      <c r="M190" t="s">
        <v>94</v>
      </c>
      <c r="N190" t="s">
        <v>5661</v>
      </c>
      <c r="O190" s="2">
        <v>41730</v>
      </c>
      <c r="P190" s="2">
        <v>42825</v>
      </c>
      <c r="Q190">
        <v>22</v>
      </c>
      <c r="R190" t="s">
        <v>5660</v>
      </c>
    </row>
    <row r="191" spans="1:18" x14ac:dyDescent="0.25">
      <c r="A191" t="s">
        <v>498</v>
      </c>
      <c r="B191" t="s">
        <v>499</v>
      </c>
      <c r="C191" t="s">
        <v>311</v>
      </c>
      <c r="D191" t="s">
        <v>51</v>
      </c>
      <c r="E191" t="s">
        <v>127</v>
      </c>
      <c r="F191" t="s">
        <v>356</v>
      </c>
      <c r="G191" t="s">
        <v>500</v>
      </c>
      <c r="H191" s="10">
        <v>596700</v>
      </c>
      <c r="I191" s="10">
        <v>0</v>
      </c>
      <c r="J191" s="10">
        <v>0</v>
      </c>
      <c r="L191" t="s">
        <v>42</v>
      </c>
      <c r="M191" t="s">
        <v>26</v>
      </c>
      <c r="N191" t="s">
        <v>501</v>
      </c>
      <c r="O191" s="2">
        <v>44835</v>
      </c>
      <c r="P191" s="2">
        <v>46660</v>
      </c>
      <c r="Q191">
        <v>2</v>
      </c>
      <c r="R191" t="s">
        <v>502</v>
      </c>
    </row>
    <row r="192" spans="1:18" x14ac:dyDescent="0.25">
      <c r="A192" t="s">
        <v>503</v>
      </c>
      <c r="B192" t="s">
        <v>49</v>
      </c>
      <c r="C192" t="s">
        <v>50</v>
      </c>
      <c r="D192" t="s">
        <v>21</v>
      </c>
      <c r="E192" t="s">
        <v>323</v>
      </c>
      <c r="F192" t="s">
        <v>53</v>
      </c>
      <c r="G192" t="s">
        <v>504</v>
      </c>
      <c r="H192" s="10">
        <v>685810</v>
      </c>
      <c r="I192" s="10">
        <v>0</v>
      </c>
      <c r="J192" s="10">
        <v>0</v>
      </c>
      <c r="L192" t="s">
        <v>42</v>
      </c>
      <c r="M192" t="s">
        <v>204</v>
      </c>
      <c r="N192" t="s">
        <v>505</v>
      </c>
      <c r="O192" s="2">
        <v>40269</v>
      </c>
      <c r="P192" s="2">
        <v>42094</v>
      </c>
      <c r="Q192">
        <v>0</v>
      </c>
      <c r="R192" t="s">
        <v>506</v>
      </c>
    </row>
    <row r="193" spans="1:18" x14ac:dyDescent="0.25">
      <c r="A193" t="s">
        <v>4621</v>
      </c>
      <c r="B193" t="s">
        <v>4496</v>
      </c>
      <c r="C193" t="s">
        <v>38</v>
      </c>
      <c r="D193" t="s">
        <v>4557</v>
      </c>
      <c r="E193" t="s">
        <v>4570</v>
      </c>
      <c r="F193" t="s">
        <v>4559</v>
      </c>
      <c r="G193" t="s">
        <v>4622</v>
      </c>
      <c r="H193" s="10">
        <v>321657</v>
      </c>
      <c r="I193" s="10">
        <v>0</v>
      </c>
      <c r="J193" s="10">
        <v>0</v>
      </c>
      <c r="L193" t="s">
        <v>55</v>
      </c>
      <c r="M193" t="s">
        <v>111</v>
      </c>
      <c r="N193" t="s">
        <v>6012</v>
      </c>
      <c r="O193" s="2">
        <v>42826</v>
      </c>
      <c r="P193" s="2">
        <v>43921</v>
      </c>
      <c r="Q193">
        <v>1</v>
      </c>
      <c r="R193" t="s">
        <v>6011</v>
      </c>
    </row>
    <row r="194" spans="1:18" x14ac:dyDescent="0.25">
      <c r="A194" t="s">
        <v>507</v>
      </c>
      <c r="B194" t="s">
        <v>4464</v>
      </c>
      <c r="C194" t="s">
        <v>20</v>
      </c>
      <c r="D194" t="s">
        <v>395</v>
      </c>
      <c r="E194" t="s">
        <v>508</v>
      </c>
      <c r="F194" t="s">
        <v>32</v>
      </c>
      <c r="G194" t="s">
        <v>509</v>
      </c>
      <c r="H194" s="10">
        <v>100000</v>
      </c>
      <c r="I194" s="10">
        <v>0</v>
      </c>
      <c r="J194" s="10">
        <v>0</v>
      </c>
      <c r="L194" t="s">
        <v>34</v>
      </c>
      <c r="M194" t="s">
        <v>26</v>
      </c>
      <c r="N194" t="s">
        <v>510</v>
      </c>
      <c r="O194" s="2">
        <v>40817</v>
      </c>
      <c r="P194" s="2">
        <v>41182</v>
      </c>
      <c r="Q194">
        <v>0</v>
      </c>
      <c r="R194" t="s">
        <v>511</v>
      </c>
    </row>
    <row r="195" spans="1:18" x14ac:dyDescent="0.25">
      <c r="A195" t="s">
        <v>6122</v>
      </c>
      <c r="B195" t="s">
        <v>59</v>
      </c>
      <c r="C195" t="s">
        <v>38</v>
      </c>
      <c r="D195" t="s">
        <v>5036</v>
      </c>
      <c r="E195" t="s">
        <v>5037</v>
      </c>
      <c r="F195" t="s">
        <v>5038</v>
      </c>
      <c r="G195" t="s">
        <v>6123</v>
      </c>
      <c r="H195" s="12">
        <v>599003</v>
      </c>
      <c r="I195" s="12">
        <v>0</v>
      </c>
      <c r="J195" s="10">
        <v>0</v>
      </c>
      <c r="L195" t="s">
        <v>5039</v>
      </c>
      <c r="M195" t="s">
        <v>831</v>
      </c>
      <c r="N195" t="s">
        <v>6124</v>
      </c>
      <c r="O195" s="2">
        <v>45444</v>
      </c>
      <c r="P195" s="2">
        <v>46477</v>
      </c>
      <c r="Q195">
        <v>0</v>
      </c>
      <c r="R195" t="s">
        <v>6125</v>
      </c>
    </row>
    <row r="196" spans="1:18" x14ac:dyDescent="0.25">
      <c r="A196" t="s">
        <v>512</v>
      </c>
      <c r="B196" t="s">
        <v>157</v>
      </c>
      <c r="C196" t="s">
        <v>38</v>
      </c>
      <c r="D196" t="s">
        <v>51</v>
      </c>
      <c r="E196" t="s">
        <v>70</v>
      </c>
      <c r="F196" t="s">
        <v>47</v>
      </c>
      <c r="G196" t="s">
        <v>513</v>
      </c>
      <c r="H196" s="10">
        <v>960076</v>
      </c>
      <c r="I196" s="10">
        <v>0</v>
      </c>
      <c r="J196" s="10">
        <v>0</v>
      </c>
      <c r="L196" t="s">
        <v>42</v>
      </c>
      <c r="M196" t="s">
        <v>26</v>
      </c>
      <c r="N196" t="s">
        <v>514</v>
      </c>
      <c r="O196" s="2">
        <v>45200</v>
      </c>
      <c r="P196" s="2">
        <v>47026</v>
      </c>
      <c r="Q196">
        <v>0</v>
      </c>
      <c r="R196" t="s">
        <v>515</v>
      </c>
    </row>
    <row r="197" spans="1:18" x14ac:dyDescent="0.25">
      <c r="A197" t="s">
        <v>5251</v>
      </c>
      <c r="B197" t="s">
        <v>237</v>
      </c>
      <c r="C197" t="s">
        <v>20</v>
      </c>
      <c r="D197" t="s">
        <v>5248</v>
      </c>
      <c r="E197" t="s">
        <v>5252</v>
      </c>
      <c r="F197" t="s">
        <v>4554</v>
      </c>
      <c r="G197" t="s">
        <v>5253</v>
      </c>
      <c r="H197" s="10">
        <v>85000</v>
      </c>
      <c r="I197" s="10">
        <v>0</v>
      </c>
      <c r="J197" s="10">
        <v>0</v>
      </c>
      <c r="L197" t="s">
        <v>55</v>
      </c>
      <c r="M197" t="s">
        <v>746</v>
      </c>
      <c r="N197" t="s">
        <v>5635</v>
      </c>
      <c r="O197" s="2">
        <v>40817</v>
      </c>
      <c r="P197" s="2">
        <v>41912</v>
      </c>
      <c r="Q197">
        <v>0</v>
      </c>
      <c r="R197" t="s">
        <v>5634</v>
      </c>
    </row>
    <row r="198" spans="1:18" x14ac:dyDescent="0.25">
      <c r="A198" t="s">
        <v>516</v>
      </c>
      <c r="B198" t="s">
        <v>4464</v>
      </c>
      <c r="C198" t="s">
        <v>20</v>
      </c>
      <c r="D198" t="s">
        <v>21</v>
      </c>
      <c r="E198" t="s">
        <v>74</v>
      </c>
      <c r="F198" t="s">
        <v>109</v>
      </c>
      <c r="G198" t="s">
        <v>517</v>
      </c>
      <c r="H198" s="10">
        <v>360706</v>
      </c>
      <c r="I198" s="10">
        <v>0</v>
      </c>
      <c r="J198" s="10">
        <v>0</v>
      </c>
      <c r="L198" t="s">
        <v>25</v>
      </c>
      <c r="M198" t="s">
        <v>26</v>
      </c>
      <c r="N198" t="s">
        <v>518</v>
      </c>
      <c r="O198" s="2">
        <v>41000</v>
      </c>
      <c r="P198" s="2">
        <v>42460</v>
      </c>
      <c r="Q198">
        <v>0</v>
      </c>
      <c r="R198" t="s">
        <v>519</v>
      </c>
    </row>
    <row r="199" spans="1:18" x14ac:dyDescent="0.25">
      <c r="A199" t="s">
        <v>516</v>
      </c>
      <c r="B199" t="s">
        <v>4464</v>
      </c>
      <c r="C199" t="s">
        <v>20</v>
      </c>
      <c r="D199" t="s">
        <v>21</v>
      </c>
      <c r="E199" t="s">
        <v>22</v>
      </c>
      <c r="F199" t="s">
        <v>109</v>
      </c>
      <c r="G199" t="s">
        <v>520</v>
      </c>
      <c r="H199" s="10">
        <v>579409</v>
      </c>
      <c r="I199" s="10">
        <v>0</v>
      </c>
      <c r="J199" s="10">
        <v>0</v>
      </c>
      <c r="L199" t="s">
        <v>42</v>
      </c>
      <c r="M199" t="s">
        <v>26</v>
      </c>
      <c r="N199" t="s">
        <v>521</v>
      </c>
      <c r="O199" s="2">
        <v>41365</v>
      </c>
      <c r="P199" s="2">
        <v>43190</v>
      </c>
      <c r="Q199">
        <v>1</v>
      </c>
      <c r="R199" t="s">
        <v>522</v>
      </c>
    </row>
    <row r="200" spans="1:18" x14ac:dyDescent="0.25">
      <c r="A200" t="s">
        <v>6126</v>
      </c>
      <c r="B200" t="s">
        <v>162</v>
      </c>
      <c r="C200" t="s">
        <v>149</v>
      </c>
      <c r="D200" t="s">
        <v>5136</v>
      </c>
      <c r="E200" t="s">
        <v>5137</v>
      </c>
      <c r="F200" t="s">
        <v>5138</v>
      </c>
      <c r="G200" t="s">
        <v>5139</v>
      </c>
      <c r="H200" s="12">
        <v>620000</v>
      </c>
      <c r="I200" s="12">
        <v>0</v>
      </c>
      <c r="J200" s="10">
        <v>0</v>
      </c>
      <c r="L200" t="s">
        <v>55</v>
      </c>
      <c r="M200" t="s">
        <v>94</v>
      </c>
      <c r="N200" t="s">
        <v>6127</v>
      </c>
      <c r="O200" s="2">
        <v>43466</v>
      </c>
      <c r="P200" s="2">
        <v>44561</v>
      </c>
      <c r="Q200">
        <v>0</v>
      </c>
      <c r="R200" t="s">
        <v>6128</v>
      </c>
    </row>
    <row r="201" spans="1:18" x14ac:dyDescent="0.25">
      <c r="A201" t="s">
        <v>523</v>
      </c>
      <c r="B201" t="s">
        <v>4624</v>
      </c>
      <c r="C201" t="s">
        <v>38</v>
      </c>
      <c r="D201" t="s">
        <v>21</v>
      </c>
      <c r="E201" t="s">
        <v>534</v>
      </c>
      <c r="F201" t="s">
        <v>53</v>
      </c>
      <c r="G201" t="s">
        <v>531</v>
      </c>
      <c r="H201" s="10">
        <v>558505</v>
      </c>
      <c r="I201" s="10">
        <v>0</v>
      </c>
      <c r="J201" s="10">
        <v>0</v>
      </c>
      <c r="L201" t="s">
        <v>42</v>
      </c>
      <c r="M201" t="s">
        <v>204</v>
      </c>
      <c r="N201" t="s">
        <v>532</v>
      </c>
      <c r="O201" s="2">
        <v>40817</v>
      </c>
      <c r="P201" s="2">
        <v>42643</v>
      </c>
      <c r="Q201">
        <v>0</v>
      </c>
      <c r="R201" t="s">
        <v>533</v>
      </c>
    </row>
    <row r="202" spans="1:18" x14ac:dyDescent="0.25">
      <c r="A202" t="s">
        <v>523</v>
      </c>
      <c r="B202" t="s">
        <v>4624</v>
      </c>
      <c r="C202" t="s">
        <v>38</v>
      </c>
      <c r="D202" t="s">
        <v>21</v>
      </c>
      <c r="E202" t="s">
        <v>74</v>
      </c>
      <c r="F202" t="s">
        <v>53</v>
      </c>
      <c r="G202" t="s">
        <v>535</v>
      </c>
      <c r="H202" s="10">
        <v>361539</v>
      </c>
      <c r="I202" s="10">
        <v>0</v>
      </c>
      <c r="J202" s="10">
        <v>0</v>
      </c>
      <c r="L202" t="s">
        <v>55</v>
      </c>
      <c r="M202" t="s">
        <v>204</v>
      </c>
      <c r="N202" t="s">
        <v>536</v>
      </c>
      <c r="O202" s="2">
        <v>41000</v>
      </c>
      <c r="P202" s="2">
        <v>42094</v>
      </c>
      <c r="Q202">
        <v>3</v>
      </c>
      <c r="R202" t="s">
        <v>537</v>
      </c>
    </row>
    <row r="203" spans="1:18" x14ac:dyDescent="0.25">
      <c r="A203" t="s">
        <v>523</v>
      </c>
      <c r="B203" t="s">
        <v>4624</v>
      </c>
      <c r="C203" t="s">
        <v>38</v>
      </c>
      <c r="D203" t="s">
        <v>524</v>
      </c>
      <c r="E203" t="s">
        <v>525</v>
      </c>
      <c r="F203" t="s">
        <v>53</v>
      </c>
      <c r="G203" t="s">
        <v>526</v>
      </c>
      <c r="H203" s="10">
        <v>100000</v>
      </c>
      <c r="I203" s="10">
        <v>0</v>
      </c>
      <c r="J203" s="10">
        <v>0</v>
      </c>
      <c r="L203" t="s">
        <v>34</v>
      </c>
      <c r="M203" t="s">
        <v>85</v>
      </c>
      <c r="N203" t="s">
        <v>527</v>
      </c>
      <c r="O203" s="2">
        <v>40087</v>
      </c>
      <c r="P203" s="2">
        <v>40451</v>
      </c>
      <c r="Q203">
        <v>1</v>
      </c>
      <c r="R203" t="s">
        <v>528</v>
      </c>
    </row>
    <row r="204" spans="1:18" x14ac:dyDescent="0.25">
      <c r="A204" t="s">
        <v>523</v>
      </c>
      <c r="B204" t="s">
        <v>4624</v>
      </c>
      <c r="C204" t="s">
        <v>38</v>
      </c>
      <c r="D204" t="s">
        <v>529</v>
      </c>
      <c r="E204" t="s">
        <v>530</v>
      </c>
      <c r="F204" t="s">
        <v>53</v>
      </c>
      <c r="G204" t="s">
        <v>531</v>
      </c>
      <c r="H204" s="10">
        <v>100000</v>
      </c>
      <c r="I204" s="10">
        <v>0</v>
      </c>
      <c r="J204" s="10">
        <v>0</v>
      </c>
      <c r="L204" t="s">
        <v>34</v>
      </c>
      <c r="M204" t="s">
        <v>204</v>
      </c>
      <c r="N204" t="s">
        <v>532</v>
      </c>
      <c r="O204" s="2">
        <v>40603</v>
      </c>
      <c r="P204" s="2">
        <v>40968</v>
      </c>
      <c r="Q204">
        <v>0</v>
      </c>
      <c r="R204" t="s">
        <v>533</v>
      </c>
    </row>
    <row r="205" spans="1:18" x14ac:dyDescent="0.25">
      <c r="A205" t="s">
        <v>523</v>
      </c>
      <c r="B205" t="s">
        <v>4624</v>
      </c>
      <c r="C205" t="s">
        <v>38</v>
      </c>
      <c r="D205" t="s">
        <v>5248</v>
      </c>
      <c r="E205" t="s">
        <v>5252</v>
      </c>
      <c r="F205" t="s">
        <v>4554</v>
      </c>
      <c r="G205" t="s">
        <v>5254</v>
      </c>
      <c r="H205" s="10">
        <v>521739</v>
      </c>
      <c r="I205" s="10">
        <v>0</v>
      </c>
      <c r="J205" s="10">
        <v>0</v>
      </c>
      <c r="L205" t="s">
        <v>55</v>
      </c>
      <c r="M205" t="s">
        <v>85</v>
      </c>
      <c r="N205" t="s">
        <v>5790</v>
      </c>
      <c r="O205" s="2">
        <v>40817</v>
      </c>
      <c r="P205" s="2">
        <v>41912</v>
      </c>
      <c r="Q205">
        <v>2</v>
      </c>
      <c r="R205" t="s">
        <v>5789</v>
      </c>
    </row>
    <row r="206" spans="1:18" x14ac:dyDescent="0.25">
      <c r="A206" t="s">
        <v>4623</v>
      </c>
      <c r="B206" t="s">
        <v>4624</v>
      </c>
      <c r="C206" t="s">
        <v>38</v>
      </c>
      <c r="D206" t="s">
        <v>4557</v>
      </c>
      <c r="E206" t="s">
        <v>4602</v>
      </c>
      <c r="F206" t="s">
        <v>4559</v>
      </c>
      <c r="G206" t="s">
        <v>4625</v>
      </c>
      <c r="H206" s="10">
        <v>339912</v>
      </c>
      <c r="I206" s="10">
        <v>0</v>
      </c>
      <c r="J206" s="10">
        <v>0</v>
      </c>
      <c r="L206" t="s">
        <v>55</v>
      </c>
      <c r="M206" t="s">
        <v>26</v>
      </c>
      <c r="N206" t="s">
        <v>6018</v>
      </c>
      <c r="O206" s="2">
        <v>41365</v>
      </c>
      <c r="P206" s="2">
        <v>42460</v>
      </c>
      <c r="Q206">
        <v>4</v>
      </c>
      <c r="R206" t="s">
        <v>6017</v>
      </c>
    </row>
    <row r="207" spans="1:18" x14ac:dyDescent="0.25">
      <c r="A207" t="s">
        <v>538</v>
      </c>
      <c r="B207" t="s">
        <v>5069</v>
      </c>
      <c r="C207" t="s">
        <v>38</v>
      </c>
      <c r="D207" t="s">
        <v>21</v>
      </c>
      <c r="E207" t="s">
        <v>60</v>
      </c>
      <c r="F207" t="s">
        <v>23</v>
      </c>
      <c r="G207" t="s">
        <v>539</v>
      </c>
      <c r="H207" s="10">
        <v>845460</v>
      </c>
      <c r="I207" s="10">
        <v>0</v>
      </c>
      <c r="J207" s="10">
        <v>0</v>
      </c>
      <c r="L207" t="s">
        <v>42</v>
      </c>
      <c r="M207" t="s">
        <v>26</v>
      </c>
      <c r="N207" t="s">
        <v>540</v>
      </c>
      <c r="O207" s="2">
        <v>41821</v>
      </c>
      <c r="P207" s="2">
        <v>43646</v>
      </c>
      <c r="Q207">
        <v>0</v>
      </c>
      <c r="R207" t="s">
        <v>541</v>
      </c>
    </row>
    <row r="208" spans="1:18" x14ac:dyDescent="0.25">
      <c r="A208" t="s">
        <v>542</v>
      </c>
      <c r="B208" t="s">
        <v>49</v>
      </c>
      <c r="C208" t="s">
        <v>50</v>
      </c>
      <c r="D208" t="s">
        <v>21</v>
      </c>
      <c r="E208" t="s">
        <v>74</v>
      </c>
      <c r="F208" t="s">
        <v>47</v>
      </c>
      <c r="G208" t="s">
        <v>546</v>
      </c>
      <c r="H208" s="10">
        <v>567625</v>
      </c>
      <c r="I208" s="10">
        <v>0</v>
      </c>
      <c r="J208" s="10">
        <v>0</v>
      </c>
      <c r="L208" t="s">
        <v>42</v>
      </c>
      <c r="M208" t="s">
        <v>26</v>
      </c>
      <c r="N208" t="s">
        <v>547</v>
      </c>
      <c r="O208" s="2">
        <v>41000</v>
      </c>
      <c r="P208" s="2">
        <v>42825</v>
      </c>
      <c r="Q208">
        <v>0</v>
      </c>
      <c r="R208" t="s">
        <v>548</v>
      </c>
    </row>
    <row r="209" spans="1:18" x14ac:dyDescent="0.25">
      <c r="A209" t="s">
        <v>542</v>
      </c>
      <c r="B209" t="s">
        <v>49</v>
      </c>
      <c r="C209" t="s">
        <v>50</v>
      </c>
      <c r="D209" t="s">
        <v>51</v>
      </c>
      <c r="E209" t="s">
        <v>406</v>
      </c>
      <c r="F209" t="s">
        <v>23</v>
      </c>
      <c r="G209" t="s">
        <v>543</v>
      </c>
      <c r="H209" s="10">
        <v>344250</v>
      </c>
      <c r="I209" s="10">
        <v>0</v>
      </c>
      <c r="J209" s="10">
        <v>0</v>
      </c>
      <c r="L209" t="s">
        <v>55</v>
      </c>
      <c r="M209" t="s">
        <v>26</v>
      </c>
      <c r="N209" t="s">
        <v>544</v>
      </c>
      <c r="O209" s="2">
        <v>43191</v>
      </c>
      <c r="P209" s="2">
        <v>44286</v>
      </c>
      <c r="Q209">
        <v>0</v>
      </c>
      <c r="R209" t="s">
        <v>545</v>
      </c>
    </row>
    <row r="210" spans="1:18" x14ac:dyDescent="0.25">
      <c r="A210" t="s">
        <v>4453</v>
      </c>
      <c r="B210" t="s">
        <v>19</v>
      </c>
      <c r="C210" t="s">
        <v>20</v>
      </c>
      <c r="D210" t="s">
        <v>4454</v>
      </c>
      <c r="E210" t="s">
        <v>4455</v>
      </c>
      <c r="F210" t="s">
        <v>4456</v>
      </c>
      <c r="G210" t="s">
        <v>4457</v>
      </c>
      <c r="H210" s="10">
        <v>99350</v>
      </c>
      <c r="I210" s="10">
        <v>0</v>
      </c>
      <c r="J210" s="10">
        <v>0</v>
      </c>
      <c r="L210" t="s">
        <v>34</v>
      </c>
      <c r="M210" t="s">
        <v>85</v>
      </c>
      <c r="N210" t="s">
        <v>5639</v>
      </c>
      <c r="O210" s="2">
        <v>41334</v>
      </c>
      <c r="P210" s="2">
        <v>41698</v>
      </c>
      <c r="Q210">
        <v>0</v>
      </c>
      <c r="R210" t="s">
        <v>5638</v>
      </c>
    </row>
    <row r="211" spans="1:18" x14ac:dyDescent="0.25">
      <c r="A211" t="s">
        <v>4551</v>
      </c>
      <c r="B211" t="s">
        <v>721</v>
      </c>
      <c r="C211" t="s">
        <v>20</v>
      </c>
      <c r="D211" t="s">
        <v>4552</v>
      </c>
      <c r="E211" t="s">
        <v>4553</v>
      </c>
      <c r="F211" t="s">
        <v>4554</v>
      </c>
      <c r="G211" t="s">
        <v>4555</v>
      </c>
      <c r="H211" s="10">
        <v>54351</v>
      </c>
      <c r="I211" s="10">
        <v>0</v>
      </c>
      <c r="J211" s="10">
        <v>0</v>
      </c>
      <c r="L211" t="s">
        <v>84</v>
      </c>
      <c r="M211" t="s">
        <v>217</v>
      </c>
      <c r="N211" t="s">
        <v>5615</v>
      </c>
      <c r="O211" s="2">
        <v>39904</v>
      </c>
      <c r="P211" s="2">
        <v>40633</v>
      </c>
      <c r="Q211">
        <v>0</v>
      </c>
      <c r="R211" t="s">
        <v>5614</v>
      </c>
    </row>
    <row r="212" spans="1:18" x14ac:dyDescent="0.25">
      <c r="A212" t="s">
        <v>5070</v>
      </c>
      <c r="B212" t="s">
        <v>4464</v>
      </c>
      <c r="C212" t="s">
        <v>20</v>
      </c>
      <c r="D212" t="s">
        <v>21</v>
      </c>
      <c r="E212" t="s">
        <v>549</v>
      </c>
      <c r="F212" t="s">
        <v>109</v>
      </c>
      <c r="G212" t="s">
        <v>550</v>
      </c>
      <c r="H212" s="10">
        <v>433320</v>
      </c>
      <c r="I212" s="10">
        <v>0</v>
      </c>
      <c r="J212" s="10">
        <v>0</v>
      </c>
      <c r="L212" t="s">
        <v>25</v>
      </c>
      <c r="M212" t="s">
        <v>26</v>
      </c>
      <c r="N212" t="s">
        <v>551</v>
      </c>
      <c r="O212" s="2">
        <v>42186</v>
      </c>
      <c r="P212" s="2">
        <v>43646</v>
      </c>
      <c r="Q212">
        <v>0</v>
      </c>
      <c r="R212" t="s">
        <v>552</v>
      </c>
    </row>
    <row r="213" spans="1:18" x14ac:dyDescent="0.25">
      <c r="A213" t="s">
        <v>5255</v>
      </c>
      <c r="B213" t="s">
        <v>4492</v>
      </c>
      <c r="C213" t="s">
        <v>38</v>
      </c>
      <c r="D213" t="s">
        <v>5248</v>
      </c>
      <c r="E213" t="s">
        <v>5256</v>
      </c>
      <c r="F213" t="s">
        <v>4554</v>
      </c>
      <c r="G213" t="s">
        <v>5257</v>
      </c>
      <c r="H213" s="10">
        <v>70000</v>
      </c>
      <c r="I213" s="10">
        <v>0</v>
      </c>
      <c r="J213" s="10">
        <v>0</v>
      </c>
      <c r="L213" t="s">
        <v>25</v>
      </c>
      <c r="M213" t="s">
        <v>111</v>
      </c>
      <c r="N213" t="s">
        <v>5701</v>
      </c>
      <c r="O213" s="2">
        <v>40269</v>
      </c>
      <c r="P213" s="2">
        <v>41729</v>
      </c>
      <c r="Q213">
        <v>0</v>
      </c>
      <c r="R213" t="s">
        <v>5700</v>
      </c>
    </row>
    <row r="214" spans="1:18" x14ac:dyDescent="0.25">
      <c r="A214" t="s">
        <v>4626</v>
      </c>
      <c r="B214" t="s">
        <v>4492</v>
      </c>
      <c r="C214" t="s">
        <v>38</v>
      </c>
      <c r="D214" t="s">
        <v>4557</v>
      </c>
      <c r="E214" t="s">
        <v>4602</v>
      </c>
      <c r="F214" t="s">
        <v>4559</v>
      </c>
      <c r="G214" t="s">
        <v>4627</v>
      </c>
      <c r="H214" s="10">
        <v>383134</v>
      </c>
      <c r="I214" s="10">
        <v>0</v>
      </c>
      <c r="J214" s="10">
        <v>0</v>
      </c>
      <c r="L214" t="s">
        <v>55</v>
      </c>
      <c r="M214" t="s">
        <v>111</v>
      </c>
      <c r="N214" t="s">
        <v>5645</v>
      </c>
      <c r="O214" s="2">
        <v>41365</v>
      </c>
      <c r="P214" s="2">
        <v>42460</v>
      </c>
      <c r="Q214">
        <v>0</v>
      </c>
      <c r="R214" t="s">
        <v>5644</v>
      </c>
    </row>
    <row r="215" spans="1:18" x14ac:dyDescent="0.25">
      <c r="A215" t="s">
        <v>4628</v>
      </c>
      <c r="B215" t="s">
        <v>360</v>
      </c>
      <c r="C215" t="s">
        <v>20</v>
      </c>
      <c r="D215" t="s">
        <v>4557</v>
      </c>
      <c r="E215" t="s">
        <v>4611</v>
      </c>
      <c r="F215" t="s">
        <v>4559</v>
      </c>
      <c r="G215" t="s">
        <v>4629</v>
      </c>
      <c r="H215" s="10">
        <v>406292</v>
      </c>
      <c r="I215" s="10">
        <v>0</v>
      </c>
      <c r="J215" s="10">
        <v>0</v>
      </c>
      <c r="L215" t="s">
        <v>55</v>
      </c>
      <c r="M215" t="s">
        <v>111</v>
      </c>
      <c r="N215" t="s">
        <v>6043</v>
      </c>
      <c r="O215" s="2">
        <v>42461</v>
      </c>
      <c r="P215" s="2">
        <v>43555</v>
      </c>
      <c r="Q215">
        <v>1</v>
      </c>
      <c r="R215" t="s">
        <v>6042</v>
      </c>
    </row>
    <row r="216" spans="1:18" x14ac:dyDescent="0.25">
      <c r="A216" t="s">
        <v>553</v>
      </c>
      <c r="B216" t="s">
        <v>162</v>
      </c>
      <c r="C216" t="s">
        <v>149</v>
      </c>
      <c r="D216" t="s">
        <v>241</v>
      </c>
      <c r="E216" t="s">
        <v>554</v>
      </c>
      <c r="F216" t="s">
        <v>243</v>
      </c>
      <c r="G216" t="s">
        <v>555</v>
      </c>
      <c r="H216" s="10">
        <v>90600</v>
      </c>
      <c r="I216" s="10">
        <v>0</v>
      </c>
      <c r="J216" s="10">
        <v>0</v>
      </c>
      <c r="L216" t="s">
        <v>34</v>
      </c>
      <c r="M216" t="s">
        <v>143</v>
      </c>
      <c r="N216" t="s">
        <v>556</v>
      </c>
      <c r="O216" s="2">
        <v>39845</v>
      </c>
      <c r="P216" s="2">
        <v>40209</v>
      </c>
      <c r="Q216">
        <v>0</v>
      </c>
      <c r="R216" t="s">
        <v>557</v>
      </c>
    </row>
    <row r="217" spans="1:18" x14ac:dyDescent="0.25">
      <c r="A217" t="s">
        <v>553</v>
      </c>
      <c r="B217" t="s">
        <v>162</v>
      </c>
      <c r="C217" t="s">
        <v>149</v>
      </c>
      <c r="D217" t="s">
        <v>241</v>
      </c>
      <c r="E217" t="s">
        <v>242</v>
      </c>
      <c r="F217" t="s">
        <v>243</v>
      </c>
      <c r="G217" t="s">
        <v>558</v>
      </c>
      <c r="H217" s="10">
        <v>259225</v>
      </c>
      <c r="I217" s="10">
        <v>0</v>
      </c>
      <c r="J217" s="10">
        <v>0</v>
      </c>
      <c r="L217" t="s">
        <v>55</v>
      </c>
      <c r="M217" t="s">
        <v>143</v>
      </c>
      <c r="N217" t="s">
        <v>559</v>
      </c>
      <c r="O217" s="2">
        <v>40087</v>
      </c>
      <c r="P217" s="2">
        <v>41182</v>
      </c>
      <c r="Q217">
        <v>5</v>
      </c>
      <c r="R217" t="s">
        <v>560</v>
      </c>
    </row>
    <row r="218" spans="1:18" x14ac:dyDescent="0.25">
      <c r="A218" t="s">
        <v>4630</v>
      </c>
      <c r="B218" t="s">
        <v>98</v>
      </c>
      <c r="C218" t="s">
        <v>20</v>
      </c>
      <c r="D218" t="s">
        <v>4557</v>
      </c>
      <c r="E218" t="s">
        <v>4602</v>
      </c>
      <c r="F218" t="s">
        <v>4559</v>
      </c>
      <c r="G218" t="s">
        <v>4631</v>
      </c>
      <c r="H218" s="10">
        <v>338199</v>
      </c>
      <c r="I218" s="10">
        <v>0</v>
      </c>
      <c r="J218" s="10">
        <v>0</v>
      </c>
      <c r="L218" t="s">
        <v>55</v>
      </c>
      <c r="M218" t="s">
        <v>94</v>
      </c>
      <c r="N218" t="s">
        <v>6071</v>
      </c>
      <c r="O218" s="2">
        <v>41365</v>
      </c>
      <c r="P218" s="2">
        <v>42460</v>
      </c>
      <c r="Q218">
        <v>0</v>
      </c>
      <c r="R218" t="s">
        <v>6070</v>
      </c>
    </row>
    <row r="219" spans="1:18" x14ac:dyDescent="0.25">
      <c r="A219" t="s">
        <v>561</v>
      </c>
      <c r="B219" t="s">
        <v>4492</v>
      </c>
      <c r="C219" t="s">
        <v>38</v>
      </c>
      <c r="D219" t="s">
        <v>51</v>
      </c>
      <c r="E219" t="s">
        <v>116</v>
      </c>
      <c r="F219" t="s">
        <v>47</v>
      </c>
      <c r="G219" t="s">
        <v>562</v>
      </c>
      <c r="H219" s="10">
        <v>680850</v>
      </c>
      <c r="I219" s="10">
        <v>0</v>
      </c>
      <c r="J219" s="10">
        <v>0</v>
      </c>
      <c r="L219" t="s">
        <v>42</v>
      </c>
      <c r="M219" t="s">
        <v>26</v>
      </c>
      <c r="N219" t="s">
        <v>382</v>
      </c>
      <c r="O219" s="2">
        <v>43374</v>
      </c>
      <c r="P219" s="2">
        <v>45199</v>
      </c>
      <c r="Q219">
        <v>0</v>
      </c>
      <c r="R219" t="s">
        <v>563</v>
      </c>
    </row>
    <row r="220" spans="1:18" x14ac:dyDescent="0.25">
      <c r="A220" t="s">
        <v>5071</v>
      </c>
      <c r="B220" t="s">
        <v>121</v>
      </c>
      <c r="C220" t="s">
        <v>20</v>
      </c>
      <c r="D220" t="s">
        <v>21</v>
      </c>
      <c r="E220" t="s">
        <v>172</v>
      </c>
      <c r="F220" t="s">
        <v>47</v>
      </c>
      <c r="G220" t="s">
        <v>564</v>
      </c>
      <c r="H220" s="10">
        <v>816176</v>
      </c>
      <c r="I220" s="10">
        <v>0</v>
      </c>
      <c r="J220" s="10">
        <v>0</v>
      </c>
      <c r="L220" t="s">
        <v>25</v>
      </c>
      <c r="M220" t="s">
        <v>26</v>
      </c>
      <c r="N220" t="s">
        <v>565</v>
      </c>
      <c r="O220" s="2">
        <v>40452</v>
      </c>
      <c r="P220" s="2">
        <v>41912</v>
      </c>
      <c r="Q220">
        <v>0</v>
      </c>
      <c r="R220" t="s">
        <v>566</v>
      </c>
    </row>
    <row r="221" spans="1:18" x14ac:dyDescent="0.25">
      <c r="A221" t="s">
        <v>567</v>
      </c>
      <c r="B221" t="s">
        <v>355</v>
      </c>
      <c r="C221" t="s">
        <v>20</v>
      </c>
      <c r="D221" t="s">
        <v>21</v>
      </c>
      <c r="E221" t="s">
        <v>172</v>
      </c>
      <c r="F221" t="s">
        <v>109</v>
      </c>
      <c r="G221" t="s">
        <v>568</v>
      </c>
      <c r="H221" s="10">
        <v>557990</v>
      </c>
      <c r="I221" s="10">
        <v>0</v>
      </c>
      <c r="J221" s="10">
        <v>0</v>
      </c>
      <c r="L221" t="s">
        <v>42</v>
      </c>
      <c r="M221" t="s">
        <v>26</v>
      </c>
      <c r="N221" t="s">
        <v>569</v>
      </c>
      <c r="O221" s="2">
        <v>40452</v>
      </c>
      <c r="P221" s="2">
        <v>42277</v>
      </c>
      <c r="Q221">
        <v>0</v>
      </c>
      <c r="R221" t="s">
        <v>570</v>
      </c>
    </row>
    <row r="222" spans="1:18" x14ac:dyDescent="0.25">
      <c r="A222" t="s">
        <v>4632</v>
      </c>
      <c r="B222" t="s">
        <v>196</v>
      </c>
      <c r="C222" t="s">
        <v>20</v>
      </c>
      <c r="D222" t="s">
        <v>4557</v>
      </c>
      <c r="E222" t="s">
        <v>4611</v>
      </c>
      <c r="F222" t="s">
        <v>4559</v>
      </c>
      <c r="G222" t="s">
        <v>4633</v>
      </c>
      <c r="H222" s="10">
        <v>325780</v>
      </c>
      <c r="I222" s="10">
        <v>0</v>
      </c>
      <c r="J222" s="10">
        <v>0</v>
      </c>
      <c r="L222" t="s">
        <v>55</v>
      </c>
      <c r="M222" t="s">
        <v>26</v>
      </c>
      <c r="N222" t="s">
        <v>794</v>
      </c>
      <c r="O222" s="2">
        <v>42461</v>
      </c>
      <c r="P222" s="2">
        <v>43555</v>
      </c>
      <c r="Q222">
        <v>0</v>
      </c>
      <c r="R222" t="s">
        <v>5574</v>
      </c>
    </row>
    <row r="223" spans="1:18" x14ac:dyDescent="0.25">
      <c r="A223" t="s">
        <v>5175</v>
      </c>
      <c r="B223" t="s">
        <v>49</v>
      </c>
      <c r="C223" t="s">
        <v>50</v>
      </c>
      <c r="D223" t="s">
        <v>5165</v>
      </c>
      <c r="E223" t="s">
        <v>5176</v>
      </c>
      <c r="F223" t="s">
        <v>4554</v>
      </c>
      <c r="G223" t="s">
        <v>5177</v>
      </c>
      <c r="H223" s="10">
        <v>419232</v>
      </c>
      <c r="I223" s="10">
        <v>0</v>
      </c>
      <c r="J223" s="10">
        <v>0</v>
      </c>
      <c r="L223" t="s">
        <v>55</v>
      </c>
      <c r="M223" t="s">
        <v>217</v>
      </c>
      <c r="N223" t="s">
        <v>6051</v>
      </c>
      <c r="O223" s="2">
        <v>42278</v>
      </c>
      <c r="P223" s="2">
        <v>43373</v>
      </c>
      <c r="Q223">
        <v>15</v>
      </c>
      <c r="R223" t="s">
        <v>6050</v>
      </c>
    </row>
    <row r="224" spans="1:18" x14ac:dyDescent="0.25">
      <c r="A224" t="s">
        <v>5178</v>
      </c>
      <c r="B224" t="s">
        <v>474</v>
      </c>
      <c r="C224" t="s">
        <v>20</v>
      </c>
      <c r="D224" t="s">
        <v>5165</v>
      </c>
      <c r="E224" t="s">
        <v>5179</v>
      </c>
      <c r="F224" t="s">
        <v>4554</v>
      </c>
      <c r="G224" t="s">
        <v>5180</v>
      </c>
      <c r="H224" s="10">
        <v>911700</v>
      </c>
      <c r="I224" s="10">
        <v>0</v>
      </c>
      <c r="J224" s="10">
        <v>0</v>
      </c>
      <c r="L224" t="s">
        <v>42</v>
      </c>
      <c r="M224" t="s">
        <v>831</v>
      </c>
      <c r="N224" t="s">
        <v>5738</v>
      </c>
      <c r="O224" s="2">
        <v>42095</v>
      </c>
      <c r="P224" s="2">
        <v>43921</v>
      </c>
      <c r="Q224">
        <v>0</v>
      </c>
      <c r="R224" t="s">
        <v>5737</v>
      </c>
    </row>
    <row r="225" spans="1:18" x14ac:dyDescent="0.25">
      <c r="A225" t="s">
        <v>571</v>
      </c>
      <c r="B225" t="s">
        <v>302</v>
      </c>
      <c r="C225" t="s">
        <v>20</v>
      </c>
      <c r="D225" t="s">
        <v>21</v>
      </c>
      <c r="E225" t="s">
        <v>572</v>
      </c>
      <c r="F225" t="s">
        <v>53</v>
      </c>
      <c r="G225" t="s">
        <v>573</v>
      </c>
      <c r="H225" s="10">
        <v>524631</v>
      </c>
      <c r="I225" s="10">
        <v>0</v>
      </c>
      <c r="J225" s="10">
        <v>0</v>
      </c>
      <c r="L225" t="s">
        <v>25</v>
      </c>
      <c r="M225" t="s">
        <v>204</v>
      </c>
      <c r="N225" t="s">
        <v>574</v>
      </c>
      <c r="O225" s="2">
        <v>41730</v>
      </c>
      <c r="P225" s="2">
        <v>43190</v>
      </c>
      <c r="Q225">
        <v>1</v>
      </c>
      <c r="R225" t="s">
        <v>575</v>
      </c>
    </row>
    <row r="226" spans="1:18" x14ac:dyDescent="0.25">
      <c r="A226" t="s">
        <v>571</v>
      </c>
      <c r="B226" t="s">
        <v>302</v>
      </c>
      <c r="C226" t="s">
        <v>20</v>
      </c>
      <c r="D226" t="s">
        <v>51</v>
      </c>
      <c r="E226" t="s">
        <v>158</v>
      </c>
      <c r="F226" t="s">
        <v>53</v>
      </c>
      <c r="G226" t="s">
        <v>578</v>
      </c>
      <c r="H226" s="10">
        <v>826200</v>
      </c>
      <c r="I226" s="10">
        <v>0</v>
      </c>
      <c r="J226" s="10">
        <v>0</v>
      </c>
      <c r="L226" t="s">
        <v>42</v>
      </c>
      <c r="M226" t="s">
        <v>204</v>
      </c>
      <c r="N226" t="s">
        <v>579</v>
      </c>
      <c r="O226" s="2">
        <v>43922</v>
      </c>
      <c r="P226" s="2">
        <v>45747</v>
      </c>
      <c r="Q226">
        <v>0</v>
      </c>
      <c r="R226" t="s">
        <v>580</v>
      </c>
    </row>
    <row r="227" spans="1:18" x14ac:dyDescent="0.25">
      <c r="A227" t="s">
        <v>571</v>
      </c>
      <c r="B227" t="s">
        <v>302</v>
      </c>
      <c r="C227" t="s">
        <v>20</v>
      </c>
      <c r="D227" t="s">
        <v>576</v>
      </c>
      <c r="E227" t="s">
        <v>577</v>
      </c>
      <c r="F227" t="s">
        <v>53</v>
      </c>
      <c r="G227" t="s">
        <v>578</v>
      </c>
      <c r="H227" s="10">
        <v>100000</v>
      </c>
      <c r="I227" s="10">
        <v>0</v>
      </c>
      <c r="J227" s="10">
        <v>0</v>
      </c>
      <c r="L227" t="s">
        <v>34</v>
      </c>
      <c r="M227" t="s">
        <v>204</v>
      </c>
      <c r="N227" t="s">
        <v>579</v>
      </c>
      <c r="O227" s="2">
        <v>43922</v>
      </c>
      <c r="P227" s="2">
        <v>45747</v>
      </c>
      <c r="Q227">
        <v>0</v>
      </c>
      <c r="R227" t="s">
        <v>580</v>
      </c>
    </row>
    <row r="228" spans="1:18" x14ac:dyDescent="0.25">
      <c r="A228" t="s">
        <v>581</v>
      </c>
      <c r="B228" t="s">
        <v>19</v>
      </c>
      <c r="C228" t="s">
        <v>20</v>
      </c>
      <c r="D228" t="s">
        <v>21</v>
      </c>
      <c r="E228" t="s">
        <v>108</v>
      </c>
      <c r="F228" t="s">
        <v>32</v>
      </c>
      <c r="G228" t="s">
        <v>582</v>
      </c>
      <c r="H228" s="10">
        <v>673346</v>
      </c>
      <c r="I228" s="10">
        <v>0</v>
      </c>
      <c r="J228" s="10">
        <v>0</v>
      </c>
      <c r="L228" t="s">
        <v>42</v>
      </c>
      <c r="M228" t="s">
        <v>26</v>
      </c>
      <c r="N228" t="s">
        <v>583</v>
      </c>
      <c r="O228" s="2">
        <v>41548</v>
      </c>
      <c r="P228" s="2">
        <v>43373</v>
      </c>
      <c r="Q228">
        <v>0</v>
      </c>
      <c r="R228" t="s">
        <v>584</v>
      </c>
    </row>
    <row r="229" spans="1:18" x14ac:dyDescent="0.25">
      <c r="A229" t="s">
        <v>581</v>
      </c>
      <c r="B229" t="s">
        <v>19</v>
      </c>
      <c r="C229" t="s">
        <v>20</v>
      </c>
      <c r="D229" t="s">
        <v>51</v>
      </c>
      <c r="E229" t="s">
        <v>122</v>
      </c>
      <c r="F229" t="s">
        <v>32</v>
      </c>
      <c r="G229" t="s">
        <v>585</v>
      </c>
      <c r="H229" s="10">
        <v>921826</v>
      </c>
      <c r="I229" s="10">
        <v>0</v>
      </c>
      <c r="J229" s="10">
        <v>0</v>
      </c>
      <c r="L229" t="s">
        <v>42</v>
      </c>
      <c r="M229" t="s">
        <v>26</v>
      </c>
      <c r="N229" t="s">
        <v>135</v>
      </c>
      <c r="O229" s="2">
        <v>43739</v>
      </c>
      <c r="P229" s="2">
        <v>45565</v>
      </c>
      <c r="Q229">
        <v>0</v>
      </c>
      <c r="R229" t="s">
        <v>586</v>
      </c>
    </row>
    <row r="230" spans="1:18" x14ac:dyDescent="0.25">
      <c r="A230" t="s">
        <v>587</v>
      </c>
      <c r="B230" t="s">
        <v>5045</v>
      </c>
      <c r="C230" t="s">
        <v>38</v>
      </c>
      <c r="D230" t="s">
        <v>51</v>
      </c>
      <c r="E230" t="s">
        <v>186</v>
      </c>
      <c r="F230" t="s">
        <v>128</v>
      </c>
      <c r="G230" t="s">
        <v>589</v>
      </c>
      <c r="H230" s="10">
        <v>944776</v>
      </c>
      <c r="I230" s="10">
        <v>0</v>
      </c>
      <c r="J230" s="10">
        <v>0</v>
      </c>
      <c r="L230" t="s">
        <v>42</v>
      </c>
      <c r="M230" t="s">
        <v>26</v>
      </c>
      <c r="N230" t="s">
        <v>308</v>
      </c>
      <c r="O230" s="2">
        <v>44470</v>
      </c>
      <c r="P230" s="2">
        <v>46295</v>
      </c>
      <c r="Q230">
        <v>0</v>
      </c>
      <c r="R230" t="s">
        <v>590</v>
      </c>
    </row>
    <row r="231" spans="1:18" x14ac:dyDescent="0.25">
      <c r="A231" t="s">
        <v>591</v>
      </c>
      <c r="B231" t="s">
        <v>19</v>
      </c>
      <c r="C231" t="s">
        <v>20</v>
      </c>
      <c r="D231" t="s">
        <v>51</v>
      </c>
      <c r="E231" t="s">
        <v>52</v>
      </c>
      <c r="F231" t="s">
        <v>128</v>
      </c>
      <c r="G231" t="s">
        <v>592</v>
      </c>
      <c r="H231" s="10">
        <v>895050</v>
      </c>
      <c r="I231" s="10">
        <v>0</v>
      </c>
      <c r="J231" s="10">
        <v>0</v>
      </c>
      <c r="L231" t="s">
        <v>42</v>
      </c>
      <c r="M231" t="s">
        <v>26</v>
      </c>
      <c r="N231" t="s">
        <v>135</v>
      </c>
      <c r="O231" s="2">
        <v>44287</v>
      </c>
      <c r="P231" s="2">
        <v>46112</v>
      </c>
      <c r="Q231">
        <v>0</v>
      </c>
      <c r="R231" t="s">
        <v>593</v>
      </c>
    </row>
    <row r="232" spans="1:18" x14ac:dyDescent="0.25">
      <c r="A232" t="s">
        <v>594</v>
      </c>
      <c r="B232" t="s">
        <v>5216</v>
      </c>
      <c r="C232" t="s">
        <v>38</v>
      </c>
      <c r="D232" t="s">
        <v>51</v>
      </c>
      <c r="E232" t="s">
        <v>122</v>
      </c>
      <c r="F232" t="s">
        <v>109</v>
      </c>
      <c r="G232" t="s">
        <v>595</v>
      </c>
      <c r="H232" s="10">
        <v>803250</v>
      </c>
      <c r="I232" s="10">
        <v>0</v>
      </c>
      <c r="J232" s="10">
        <v>0</v>
      </c>
      <c r="L232" t="s">
        <v>42</v>
      </c>
      <c r="M232" t="s">
        <v>111</v>
      </c>
      <c r="N232" t="s">
        <v>596</v>
      </c>
      <c r="O232" s="2">
        <v>43739</v>
      </c>
      <c r="P232" s="2">
        <v>45565</v>
      </c>
      <c r="Q232">
        <v>0</v>
      </c>
      <c r="R232" t="s">
        <v>597</v>
      </c>
    </row>
    <row r="233" spans="1:18" x14ac:dyDescent="0.25">
      <c r="A233" t="s">
        <v>598</v>
      </c>
      <c r="B233" t="s">
        <v>59</v>
      </c>
      <c r="C233" t="s">
        <v>38</v>
      </c>
      <c r="D233" t="s">
        <v>51</v>
      </c>
      <c r="E233" t="s">
        <v>70</v>
      </c>
      <c r="F233" t="s">
        <v>356</v>
      </c>
      <c r="G233" t="s">
        <v>599</v>
      </c>
      <c r="H233" s="12">
        <v>669376</v>
      </c>
      <c r="I233" s="12">
        <v>0</v>
      </c>
      <c r="J233" s="10">
        <v>0</v>
      </c>
      <c r="L233" t="s">
        <v>42</v>
      </c>
      <c r="M233" t="s">
        <v>26</v>
      </c>
      <c r="N233" t="s">
        <v>600</v>
      </c>
      <c r="O233" s="2">
        <v>45200</v>
      </c>
      <c r="P233" s="2">
        <v>47026</v>
      </c>
      <c r="Q233">
        <v>0</v>
      </c>
      <c r="R233" t="s">
        <v>601</v>
      </c>
    </row>
    <row r="234" spans="1:18" x14ac:dyDescent="0.25">
      <c r="A234" t="s">
        <v>602</v>
      </c>
      <c r="B234" t="s">
        <v>148</v>
      </c>
      <c r="C234" t="s">
        <v>149</v>
      </c>
      <c r="D234" t="s">
        <v>21</v>
      </c>
      <c r="E234" t="s">
        <v>572</v>
      </c>
      <c r="F234" t="s">
        <v>23</v>
      </c>
      <c r="G234" t="s">
        <v>603</v>
      </c>
      <c r="H234" s="10">
        <v>656900</v>
      </c>
      <c r="I234" s="10">
        <v>0</v>
      </c>
      <c r="J234" s="10">
        <v>0</v>
      </c>
      <c r="L234" t="s">
        <v>42</v>
      </c>
      <c r="M234" t="s">
        <v>26</v>
      </c>
      <c r="N234" t="s">
        <v>604</v>
      </c>
      <c r="O234" s="2">
        <v>41730</v>
      </c>
      <c r="P234" s="2">
        <v>43555</v>
      </c>
      <c r="Q234">
        <v>0</v>
      </c>
      <c r="R234" t="s">
        <v>605</v>
      </c>
    </row>
    <row r="235" spans="1:18" x14ac:dyDescent="0.25">
      <c r="A235" t="s">
        <v>606</v>
      </c>
      <c r="B235" t="s">
        <v>19</v>
      </c>
      <c r="C235" t="s">
        <v>20</v>
      </c>
      <c r="D235" t="s">
        <v>51</v>
      </c>
      <c r="E235" t="s">
        <v>116</v>
      </c>
      <c r="F235" t="s">
        <v>128</v>
      </c>
      <c r="G235" t="s">
        <v>607</v>
      </c>
      <c r="H235" s="10">
        <v>348074</v>
      </c>
      <c r="I235" s="10">
        <v>0</v>
      </c>
      <c r="J235" s="10">
        <v>0</v>
      </c>
      <c r="L235" t="s">
        <v>55</v>
      </c>
      <c r="M235" t="s">
        <v>26</v>
      </c>
      <c r="N235" t="s">
        <v>135</v>
      </c>
      <c r="O235" s="2">
        <v>43374</v>
      </c>
      <c r="P235" s="2">
        <v>44469</v>
      </c>
      <c r="Q235">
        <v>0</v>
      </c>
      <c r="R235" t="s">
        <v>608</v>
      </c>
    </row>
    <row r="236" spans="1:18" x14ac:dyDescent="0.25">
      <c r="A236" t="s">
        <v>606</v>
      </c>
      <c r="B236" t="s">
        <v>19</v>
      </c>
      <c r="C236" t="s">
        <v>20</v>
      </c>
      <c r="D236" t="s">
        <v>51</v>
      </c>
      <c r="E236" t="s">
        <v>52</v>
      </c>
      <c r="F236" t="s">
        <v>47</v>
      </c>
      <c r="G236" t="s">
        <v>609</v>
      </c>
      <c r="H236" s="10">
        <v>573752</v>
      </c>
      <c r="I236" s="10">
        <v>0</v>
      </c>
      <c r="J236" s="10">
        <v>0</v>
      </c>
      <c r="L236" t="s">
        <v>25</v>
      </c>
      <c r="M236" t="s">
        <v>26</v>
      </c>
      <c r="N236" t="s">
        <v>135</v>
      </c>
      <c r="O236" s="2">
        <v>44287</v>
      </c>
      <c r="P236" s="2">
        <v>45747</v>
      </c>
      <c r="Q236">
        <v>0</v>
      </c>
      <c r="R236" t="s">
        <v>610</v>
      </c>
    </row>
    <row r="237" spans="1:18" x14ac:dyDescent="0.25">
      <c r="A237" t="s">
        <v>606</v>
      </c>
      <c r="B237" t="s">
        <v>19</v>
      </c>
      <c r="C237" t="s">
        <v>20</v>
      </c>
      <c r="D237" t="s">
        <v>51</v>
      </c>
      <c r="E237" t="s">
        <v>208</v>
      </c>
      <c r="F237" t="s">
        <v>128</v>
      </c>
      <c r="G237" t="s">
        <v>4311</v>
      </c>
      <c r="H237" s="10">
        <v>409276</v>
      </c>
      <c r="I237" s="10">
        <v>0</v>
      </c>
      <c r="J237" s="10">
        <v>0</v>
      </c>
      <c r="L237" t="s">
        <v>55</v>
      </c>
      <c r="M237" t="s">
        <v>26</v>
      </c>
      <c r="N237" t="s">
        <v>612</v>
      </c>
      <c r="O237" s="2">
        <v>45383</v>
      </c>
      <c r="P237" s="2">
        <v>46477</v>
      </c>
      <c r="Q237">
        <v>0</v>
      </c>
      <c r="R237" t="s">
        <v>4312</v>
      </c>
    </row>
    <row r="238" spans="1:18" x14ac:dyDescent="0.25">
      <c r="A238" t="s">
        <v>606</v>
      </c>
      <c r="B238" t="s">
        <v>19</v>
      </c>
      <c r="C238" t="s">
        <v>20</v>
      </c>
      <c r="D238" t="s">
        <v>420</v>
      </c>
      <c r="E238" t="s">
        <v>421</v>
      </c>
      <c r="F238" t="s">
        <v>47</v>
      </c>
      <c r="G238" t="s">
        <v>611</v>
      </c>
      <c r="H238" s="10">
        <v>100000</v>
      </c>
      <c r="I238" s="10">
        <v>0</v>
      </c>
      <c r="J238" s="10">
        <v>0</v>
      </c>
      <c r="L238" t="s">
        <v>34</v>
      </c>
      <c r="M238" t="s">
        <v>26</v>
      </c>
      <c r="N238" t="s">
        <v>612</v>
      </c>
      <c r="O238" s="2">
        <v>44986</v>
      </c>
      <c r="P238" s="2">
        <v>45351</v>
      </c>
      <c r="Q238">
        <v>0</v>
      </c>
      <c r="R238" t="s">
        <v>613</v>
      </c>
    </row>
    <row r="239" spans="1:18" x14ac:dyDescent="0.25">
      <c r="A239" t="s">
        <v>606</v>
      </c>
      <c r="B239" t="s">
        <v>19</v>
      </c>
      <c r="C239" t="s">
        <v>20</v>
      </c>
      <c r="D239" t="s">
        <v>420</v>
      </c>
      <c r="E239" t="s">
        <v>4310</v>
      </c>
      <c r="F239" t="s">
        <v>47</v>
      </c>
      <c r="G239" t="s">
        <v>4311</v>
      </c>
      <c r="H239" s="10">
        <v>100000</v>
      </c>
      <c r="I239" s="10">
        <v>0</v>
      </c>
      <c r="J239" s="10">
        <v>0</v>
      </c>
      <c r="L239" t="s">
        <v>34</v>
      </c>
      <c r="M239" t="s">
        <v>26</v>
      </c>
      <c r="N239" t="s">
        <v>612</v>
      </c>
      <c r="O239" s="2">
        <v>45383</v>
      </c>
      <c r="P239" s="2">
        <v>46477</v>
      </c>
      <c r="Q239">
        <v>0</v>
      </c>
      <c r="R239" t="s">
        <v>4312</v>
      </c>
    </row>
    <row r="240" spans="1:18" x14ac:dyDescent="0.25">
      <c r="A240" t="s">
        <v>614</v>
      </c>
      <c r="B240" t="s">
        <v>114</v>
      </c>
      <c r="C240" t="s">
        <v>20</v>
      </c>
      <c r="D240" t="s">
        <v>21</v>
      </c>
      <c r="E240" t="s">
        <v>255</v>
      </c>
      <c r="F240" t="s">
        <v>53</v>
      </c>
      <c r="G240" t="s">
        <v>615</v>
      </c>
      <c r="H240" s="11">
        <v>419013</v>
      </c>
      <c r="I240" s="11">
        <v>0</v>
      </c>
      <c r="J240" s="11">
        <v>0</v>
      </c>
      <c r="L240" t="s">
        <v>25</v>
      </c>
      <c r="M240" t="s">
        <v>26</v>
      </c>
      <c r="N240" t="s">
        <v>616</v>
      </c>
      <c r="O240" s="2">
        <v>39904</v>
      </c>
      <c r="P240" s="2">
        <v>41364</v>
      </c>
      <c r="Q240">
        <v>0</v>
      </c>
      <c r="R240" t="s">
        <v>617</v>
      </c>
    </row>
    <row r="241" spans="1:18" x14ac:dyDescent="0.25">
      <c r="A241" t="s">
        <v>614</v>
      </c>
      <c r="B241" t="s">
        <v>114</v>
      </c>
      <c r="C241" t="s">
        <v>20</v>
      </c>
      <c r="D241" t="s">
        <v>21</v>
      </c>
      <c r="E241" t="s">
        <v>108</v>
      </c>
      <c r="F241" t="s">
        <v>53</v>
      </c>
      <c r="G241" t="s">
        <v>4313</v>
      </c>
      <c r="H241" s="10">
        <v>632126</v>
      </c>
      <c r="I241" s="10">
        <v>0</v>
      </c>
      <c r="J241" s="10">
        <v>0</v>
      </c>
      <c r="L241" t="s">
        <v>42</v>
      </c>
      <c r="M241" t="s">
        <v>26</v>
      </c>
      <c r="N241" t="s">
        <v>4314</v>
      </c>
      <c r="O241" s="2">
        <v>41548</v>
      </c>
      <c r="P241" s="2">
        <v>43281</v>
      </c>
      <c r="Q241">
        <v>0</v>
      </c>
      <c r="R241" t="s">
        <v>4315</v>
      </c>
    </row>
    <row r="242" spans="1:18" x14ac:dyDescent="0.25">
      <c r="A242" t="s">
        <v>614</v>
      </c>
      <c r="B242" t="s">
        <v>114</v>
      </c>
      <c r="C242" t="s">
        <v>20</v>
      </c>
      <c r="D242" t="s">
        <v>39</v>
      </c>
      <c r="E242" t="s">
        <v>2996</v>
      </c>
      <c r="F242" t="s">
        <v>53</v>
      </c>
      <c r="G242" t="s">
        <v>4313</v>
      </c>
      <c r="H242" s="10">
        <v>100000</v>
      </c>
      <c r="I242" s="10">
        <v>0</v>
      </c>
      <c r="J242" s="10">
        <v>0</v>
      </c>
      <c r="L242" t="s">
        <v>34</v>
      </c>
      <c r="M242" t="s">
        <v>26</v>
      </c>
      <c r="N242" t="s">
        <v>4314</v>
      </c>
      <c r="O242" s="2">
        <v>41334</v>
      </c>
      <c r="P242" s="2">
        <v>41698</v>
      </c>
      <c r="Q242">
        <v>0</v>
      </c>
      <c r="R242" t="s">
        <v>4315</v>
      </c>
    </row>
    <row r="243" spans="1:18" x14ac:dyDescent="0.25">
      <c r="A243" t="s">
        <v>4636</v>
      </c>
      <c r="B243" t="s">
        <v>114</v>
      </c>
      <c r="C243" t="s">
        <v>20</v>
      </c>
      <c r="D243" t="s">
        <v>4557</v>
      </c>
      <c r="E243" t="s">
        <v>4558</v>
      </c>
      <c r="F243" t="s">
        <v>4559</v>
      </c>
      <c r="G243" t="s">
        <v>4637</v>
      </c>
      <c r="H243" s="10">
        <v>353172</v>
      </c>
      <c r="I243" s="10">
        <v>15000</v>
      </c>
      <c r="J243" s="10">
        <v>0</v>
      </c>
      <c r="L243" t="s">
        <v>55</v>
      </c>
      <c r="M243" t="s">
        <v>94</v>
      </c>
      <c r="N243" t="s">
        <v>2161</v>
      </c>
      <c r="O243" s="2">
        <v>43191</v>
      </c>
      <c r="P243" s="2">
        <v>44286</v>
      </c>
      <c r="Q243">
        <v>0</v>
      </c>
      <c r="R243" t="s">
        <v>5930</v>
      </c>
    </row>
    <row r="244" spans="1:18" x14ac:dyDescent="0.25">
      <c r="A244" t="s">
        <v>4638</v>
      </c>
      <c r="B244" t="s">
        <v>114</v>
      </c>
      <c r="C244" t="s">
        <v>20</v>
      </c>
      <c r="D244" t="s">
        <v>4557</v>
      </c>
      <c r="E244" t="s">
        <v>4562</v>
      </c>
      <c r="F244" t="s">
        <v>4559</v>
      </c>
      <c r="G244" t="s">
        <v>4639</v>
      </c>
      <c r="H244" s="10">
        <v>484151</v>
      </c>
      <c r="I244" s="10">
        <v>0</v>
      </c>
      <c r="J244" s="10">
        <v>0</v>
      </c>
      <c r="L244" t="s">
        <v>55</v>
      </c>
      <c r="M244" t="s">
        <v>26</v>
      </c>
      <c r="N244" t="s">
        <v>5558</v>
      </c>
      <c r="O244" s="2">
        <v>43922</v>
      </c>
      <c r="P244" s="2">
        <v>45016</v>
      </c>
      <c r="Q244">
        <v>2</v>
      </c>
      <c r="R244" t="s">
        <v>5557</v>
      </c>
    </row>
    <row r="245" spans="1:18" x14ac:dyDescent="0.25">
      <c r="A245" t="s">
        <v>4634</v>
      </c>
      <c r="B245" t="s">
        <v>114</v>
      </c>
      <c r="C245" t="s">
        <v>20</v>
      </c>
      <c r="D245" t="s">
        <v>4557</v>
      </c>
      <c r="E245" t="s">
        <v>4611</v>
      </c>
      <c r="F245" t="s">
        <v>4559</v>
      </c>
      <c r="G245" t="s">
        <v>4635</v>
      </c>
      <c r="H245" s="10">
        <v>464934</v>
      </c>
      <c r="I245" s="10">
        <v>0</v>
      </c>
      <c r="J245" s="10">
        <v>0</v>
      </c>
      <c r="L245" t="s">
        <v>55</v>
      </c>
      <c r="M245" t="s">
        <v>26</v>
      </c>
      <c r="N245" t="s">
        <v>5711</v>
      </c>
      <c r="O245" s="2">
        <v>42461</v>
      </c>
      <c r="P245" s="2">
        <v>43555</v>
      </c>
      <c r="Q245">
        <v>5</v>
      </c>
      <c r="R245" t="s">
        <v>5710</v>
      </c>
    </row>
    <row r="246" spans="1:18" x14ac:dyDescent="0.25">
      <c r="A246" t="s">
        <v>618</v>
      </c>
      <c r="B246" t="s">
        <v>4491</v>
      </c>
      <c r="C246" t="s">
        <v>38</v>
      </c>
      <c r="D246" t="s">
        <v>21</v>
      </c>
      <c r="E246" t="s">
        <v>377</v>
      </c>
      <c r="F246" t="s">
        <v>47</v>
      </c>
      <c r="G246" t="s">
        <v>619</v>
      </c>
      <c r="H246" s="10">
        <v>713954</v>
      </c>
      <c r="I246" s="10">
        <v>0</v>
      </c>
      <c r="J246" s="10">
        <v>0</v>
      </c>
      <c r="L246" t="s">
        <v>42</v>
      </c>
      <c r="M246" t="s">
        <v>26</v>
      </c>
      <c r="N246" t="s">
        <v>620</v>
      </c>
      <c r="O246" s="2">
        <v>41183</v>
      </c>
      <c r="P246" s="2">
        <v>43008</v>
      </c>
      <c r="Q246">
        <v>0</v>
      </c>
      <c r="R246" t="s">
        <v>621</v>
      </c>
    </row>
    <row r="247" spans="1:18" x14ac:dyDescent="0.25">
      <c r="A247" t="s">
        <v>618</v>
      </c>
      <c r="B247" t="s">
        <v>4491</v>
      </c>
      <c r="C247" t="s">
        <v>38</v>
      </c>
      <c r="D247" t="s">
        <v>51</v>
      </c>
      <c r="E247" t="s">
        <v>197</v>
      </c>
      <c r="F247" t="s">
        <v>23</v>
      </c>
      <c r="G247" t="s">
        <v>622</v>
      </c>
      <c r="H247" s="10">
        <v>990675</v>
      </c>
      <c r="I247" s="10">
        <v>0</v>
      </c>
      <c r="J247" s="10">
        <v>0</v>
      </c>
      <c r="L247" t="s">
        <v>42</v>
      </c>
      <c r="M247" t="s">
        <v>143</v>
      </c>
      <c r="N247" t="s">
        <v>308</v>
      </c>
      <c r="O247" s="2">
        <v>44652</v>
      </c>
      <c r="P247" s="2">
        <v>46477</v>
      </c>
      <c r="Q247">
        <v>0</v>
      </c>
      <c r="R247" t="s">
        <v>623</v>
      </c>
    </row>
    <row r="248" spans="1:18" x14ac:dyDescent="0.25">
      <c r="A248" t="s">
        <v>6129</v>
      </c>
      <c r="B248" t="s">
        <v>588</v>
      </c>
      <c r="C248" t="s">
        <v>38</v>
      </c>
      <c r="D248" t="s">
        <v>5042</v>
      </c>
      <c r="E248" t="s">
        <v>5043</v>
      </c>
      <c r="F248" t="s">
        <v>5038</v>
      </c>
      <c r="G248" t="s">
        <v>5046</v>
      </c>
      <c r="H248" s="12">
        <v>599500</v>
      </c>
      <c r="I248" s="12">
        <v>0</v>
      </c>
      <c r="J248" s="10">
        <v>0</v>
      </c>
      <c r="L248" t="s">
        <v>5039</v>
      </c>
      <c r="M248" t="s">
        <v>831</v>
      </c>
      <c r="N248" t="s">
        <v>6130</v>
      </c>
      <c r="O248" s="2">
        <v>45444</v>
      </c>
      <c r="P248" s="2">
        <v>46477</v>
      </c>
      <c r="Q248">
        <v>0</v>
      </c>
      <c r="R248" t="s">
        <v>6131</v>
      </c>
    </row>
    <row r="249" spans="1:18" x14ac:dyDescent="0.25">
      <c r="A249" t="s">
        <v>625</v>
      </c>
      <c r="B249" t="s">
        <v>107</v>
      </c>
      <c r="C249" t="s">
        <v>38</v>
      </c>
      <c r="D249" t="s">
        <v>51</v>
      </c>
      <c r="E249" t="s">
        <v>127</v>
      </c>
      <c r="F249" t="s">
        <v>356</v>
      </c>
      <c r="G249" t="s">
        <v>627</v>
      </c>
      <c r="H249" s="10">
        <v>787950</v>
      </c>
      <c r="I249" s="10">
        <v>0</v>
      </c>
      <c r="J249" s="10">
        <v>0</v>
      </c>
      <c r="L249" t="s">
        <v>42</v>
      </c>
      <c r="M249" t="s">
        <v>26</v>
      </c>
      <c r="N249" t="s">
        <v>600</v>
      </c>
      <c r="O249" s="2">
        <v>44835</v>
      </c>
      <c r="P249" s="2">
        <v>46660</v>
      </c>
      <c r="Q249">
        <v>0</v>
      </c>
      <c r="R249" t="s">
        <v>628</v>
      </c>
    </row>
    <row r="250" spans="1:18" x14ac:dyDescent="0.25">
      <c r="A250" t="s">
        <v>625</v>
      </c>
      <c r="B250" t="s">
        <v>107</v>
      </c>
      <c r="C250" t="s">
        <v>38</v>
      </c>
      <c r="D250" t="s">
        <v>30</v>
      </c>
      <c r="E250" t="s">
        <v>626</v>
      </c>
      <c r="F250" t="s">
        <v>53</v>
      </c>
      <c r="G250" t="s">
        <v>627</v>
      </c>
      <c r="H250" s="10">
        <v>100000</v>
      </c>
      <c r="I250" s="10">
        <v>0</v>
      </c>
      <c r="J250" s="10">
        <v>0</v>
      </c>
      <c r="L250" t="s">
        <v>34</v>
      </c>
      <c r="M250" t="s">
        <v>26</v>
      </c>
      <c r="N250" t="s">
        <v>600</v>
      </c>
      <c r="O250" s="2">
        <v>44835</v>
      </c>
      <c r="P250" s="2">
        <v>46660</v>
      </c>
      <c r="Q250">
        <v>0</v>
      </c>
      <c r="R250" t="s">
        <v>628</v>
      </c>
    </row>
    <row r="251" spans="1:18" x14ac:dyDescent="0.25">
      <c r="A251" t="s">
        <v>629</v>
      </c>
      <c r="B251" t="s">
        <v>630</v>
      </c>
      <c r="C251" t="s">
        <v>20</v>
      </c>
      <c r="D251" t="s">
        <v>21</v>
      </c>
      <c r="E251" t="s">
        <v>22</v>
      </c>
      <c r="F251" t="s">
        <v>109</v>
      </c>
      <c r="G251" t="s">
        <v>636</v>
      </c>
      <c r="H251" s="10">
        <v>398027</v>
      </c>
      <c r="I251" s="10">
        <v>0</v>
      </c>
      <c r="J251" s="10">
        <v>0</v>
      </c>
      <c r="L251" t="s">
        <v>25</v>
      </c>
      <c r="M251" t="s">
        <v>217</v>
      </c>
      <c r="N251" t="s">
        <v>637</v>
      </c>
      <c r="O251" s="2">
        <v>41365</v>
      </c>
      <c r="P251" s="2">
        <v>42825</v>
      </c>
      <c r="Q251">
        <v>0</v>
      </c>
      <c r="R251" t="s">
        <v>638</v>
      </c>
    </row>
    <row r="252" spans="1:18" x14ac:dyDescent="0.25">
      <c r="A252" t="s">
        <v>629</v>
      </c>
      <c r="B252" t="s">
        <v>630</v>
      </c>
      <c r="C252" t="s">
        <v>20</v>
      </c>
      <c r="D252" t="s">
        <v>631</v>
      </c>
      <c r="E252" t="s">
        <v>632</v>
      </c>
      <c r="F252" t="s">
        <v>109</v>
      </c>
      <c r="G252" t="s">
        <v>633</v>
      </c>
      <c r="H252" s="10">
        <v>77500</v>
      </c>
      <c r="I252" s="10">
        <v>0</v>
      </c>
      <c r="J252" s="10">
        <v>0</v>
      </c>
      <c r="L252" t="s">
        <v>34</v>
      </c>
      <c r="M252" t="s">
        <v>217</v>
      </c>
      <c r="N252" t="s">
        <v>634</v>
      </c>
      <c r="O252" s="2">
        <v>43891</v>
      </c>
      <c r="P252" s="2">
        <v>44255</v>
      </c>
      <c r="Q252">
        <v>1</v>
      </c>
      <c r="R252" t="s">
        <v>635</v>
      </c>
    </row>
    <row r="253" spans="1:18" x14ac:dyDescent="0.25">
      <c r="A253" t="s">
        <v>639</v>
      </c>
      <c r="B253" t="s">
        <v>157</v>
      </c>
      <c r="C253" t="s">
        <v>38</v>
      </c>
      <c r="D253" t="s">
        <v>241</v>
      </c>
      <c r="E253" t="s">
        <v>242</v>
      </c>
      <c r="F253" t="s">
        <v>243</v>
      </c>
      <c r="G253" t="s">
        <v>640</v>
      </c>
      <c r="H253" s="10">
        <v>297750</v>
      </c>
      <c r="I253" s="10">
        <v>0</v>
      </c>
      <c r="J253" s="10">
        <v>0</v>
      </c>
      <c r="L253" t="s">
        <v>55</v>
      </c>
      <c r="M253" t="s">
        <v>143</v>
      </c>
      <c r="N253" t="s">
        <v>641</v>
      </c>
      <c r="O253" s="2">
        <v>40087</v>
      </c>
      <c r="P253" s="2">
        <v>41182</v>
      </c>
      <c r="Q253">
        <v>0</v>
      </c>
      <c r="R253" t="s">
        <v>642</v>
      </c>
    </row>
    <row r="254" spans="1:18" x14ac:dyDescent="0.25">
      <c r="A254" t="s">
        <v>5181</v>
      </c>
      <c r="B254" t="s">
        <v>19</v>
      </c>
      <c r="C254" t="s">
        <v>20</v>
      </c>
      <c r="D254" t="s">
        <v>5165</v>
      </c>
      <c r="E254" t="s">
        <v>5171</v>
      </c>
      <c r="F254" t="s">
        <v>4554</v>
      </c>
      <c r="G254" t="s">
        <v>5182</v>
      </c>
      <c r="H254" s="10">
        <v>270228</v>
      </c>
      <c r="I254" s="10">
        <v>0</v>
      </c>
      <c r="J254" s="10">
        <v>0</v>
      </c>
      <c r="L254" t="s">
        <v>55</v>
      </c>
      <c r="M254" t="s">
        <v>111</v>
      </c>
      <c r="N254" t="s">
        <v>5696</v>
      </c>
      <c r="O254" s="2">
        <v>41913</v>
      </c>
      <c r="P254" s="2">
        <v>43008</v>
      </c>
      <c r="Q254">
        <v>0</v>
      </c>
      <c r="R254" t="s">
        <v>5695</v>
      </c>
    </row>
    <row r="255" spans="1:18" x14ac:dyDescent="0.25">
      <c r="A255" t="s">
        <v>643</v>
      </c>
      <c r="B255" t="s">
        <v>114</v>
      </c>
      <c r="C255" t="s">
        <v>20</v>
      </c>
      <c r="D255" t="s">
        <v>51</v>
      </c>
      <c r="E255" t="s">
        <v>223</v>
      </c>
      <c r="F255" t="s">
        <v>53</v>
      </c>
      <c r="G255" t="s">
        <v>644</v>
      </c>
      <c r="H255" s="10">
        <v>875926</v>
      </c>
      <c r="I255" s="10">
        <v>0</v>
      </c>
      <c r="J255" s="10">
        <v>0</v>
      </c>
      <c r="L255" t="s">
        <v>42</v>
      </c>
      <c r="M255" t="s">
        <v>103</v>
      </c>
      <c r="N255" t="s">
        <v>645</v>
      </c>
      <c r="O255" s="2">
        <v>45566</v>
      </c>
      <c r="P255" s="2">
        <v>47391</v>
      </c>
      <c r="Q255">
        <v>0</v>
      </c>
      <c r="R255" t="s">
        <v>646</v>
      </c>
    </row>
    <row r="256" spans="1:18" x14ac:dyDescent="0.25">
      <c r="A256" t="s">
        <v>4506</v>
      </c>
      <c r="B256" t="s">
        <v>4507</v>
      </c>
      <c r="C256" t="s">
        <v>20</v>
      </c>
      <c r="D256" t="s">
        <v>4499</v>
      </c>
      <c r="E256" t="s">
        <v>4500</v>
      </c>
      <c r="F256" t="s">
        <v>4501</v>
      </c>
      <c r="G256" t="s">
        <v>4508</v>
      </c>
      <c r="H256" s="12">
        <v>149500</v>
      </c>
      <c r="I256" s="12">
        <v>0</v>
      </c>
      <c r="J256" s="10">
        <v>0</v>
      </c>
      <c r="L256" t="s">
        <v>34</v>
      </c>
      <c r="M256" t="s">
        <v>143</v>
      </c>
      <c r="N256" t="s">
        <v>6132</v>
      </c>
      <c r="O256" s="2">
        <v>45323</v>
      </c>
      <c r="P256" s="2">
        <v>45688</v>
      </c>
      <c r="Q256">
        <v>0</v>
      </c>
      <c r="R256" t="s">
        <v>6133</v>
      </c>
    </row>
    <row r="257" spans="1:18" x14ac:dyDescent="0.25">
      <c r="A257" t="s">
        <v>5349</v>
      </c>
      <c r="B257" t="s">
        <v>4624</v>
      </c>
      <c r="C257" t="s">
        <v>38</v>
      </c>
      <c r="D257" t="s">
        <v>51</v>
      </c>
      <c r="E257" t="s">
        <v>406</v>
      </c>
      <c r="F257" t="s">
        <v>53</v>
      </c>
      <c r="G257" t="s">
        <v>647</v>
      </c>
      <c r="H257" s="10">
        <v>420750</v>
      </c>
      <c r="I257" s="10">
        <v>0</v>
      </c>
      <c r="J257" s="10">
        <v>0</v>
      </c>
      <c r="L257" t="s">
        <v>55</v>
      </c>
      <c r="M257" t="s">
        <v>204</v>
      </c>
      <c r="N257" t="s">
        <v>458</v>
      </c>
      <c r="O257" s="2">
        <v>43191</v>
      </c>
      <c r="P257" s="2">
        <v>44286</v>
      </c>
      <c r="Q257">
        <v>0</v>
      </c>
      <c r="R257" t="s">
        <v>648</v>
      </c>
    </row>
    <row r="258" spans="1:18" x14ac:dyDescent="0.25">
      <c r="A258" t="s">
        <v>5349</v>
      </c>
      <c r="B258" t="s">
        <v>4624</v>
      </c>
      <c r="C258" t="s">
        <v>38</v>
      </c>
      <c r="D258" t="s">
        <v>51</v>
      </c>
      <c r="E258" t="s">
        <v>167</v>
      </c>
      <c r="F258" t="s">
        <v>53</v>
      </c>
      <c r="G258" t="s">
        <v>649</v>
      </c>
      <c r="H258" s="10">
        <v>470476</v>
      </c>
      <c r="I258" s="10">
        <v>0</v>
      </c>
      <c r="J258" s="10">
        <v>0</v>
      </c>
      <c r="L258" t="s">
        <v>25</v>
      </c>
      <c r="M258" t="s">
        <v>204</v>
      </c>
      <c r="N258" t="s">
        <v>458</v>
      </c>
      <c r="O258" s="2">
        <v>45017</v>
      </c>
      <c r="P258" s="2">
        <v>46477</v>
      </c>
      <c r="Q258">
        <v>0</v>
      </c>
      <c r="R258" t="s">
        <v>650</v>
      </c>
    </row>
    <row r="259" spans="1:18" x14ac:dyDescent="0.25">
      <c r="A259" t="s">
        <v>651</v>
      </c>
      <c r="B259" t="s">
        <v>49</v>
      </c>
      <c r="C259" t="s">
        <v>50</v>
      </c>
      <c r="D259" t="s">
        <v>51</v>
      </c>
      <c r="E259" t="s">
        <v>406</v>
      </c>
      <c r="F259" t="s">
        <v>128</v>
      </c>
      <c r="G259" t="s">
        <v>655</v>
      </c>
      <c r="H259" s="10">
        <v>459000</v>
      </c>
      <c r="I259" s="10">
        <v>0</v>
      </c>
      <c r="J259" s="10">
        <v>0</v>
      </c>
      <c r="L259" t="s">
        <v>55</v>
      </c>
      <c r="M259" t="s">
        <v>26</v>
      </c>
      <c r="N259" t="s">
        <v>135</v>
      </c>
      <c r="O259" s="2">
        <v>43191</v>
      </c>
      <c r="P259" s="2">
        <v>44286</v>
      </c>
      <c r="Q259">
        <v>2</v>
      </c>
      <c r="R259" t="s">
        <v>656</v>
      </c>
    </row>
    <row r="260" spans="1:18" x14ac:dyDescent="0.25">
      <c r="A260" t="s">
        <v>5150</v>
      </c>
      <c r="B260" t="s">
        <v>49</v>
      </c>
      <c r="C260" t="s">
        <v>50</v>
      </c>
      <c r="D260" t="s">
        <v>99</v>
      </c>
      <c r="E260" t="s">
        <v>100</v>
      </c>
      <c r="F260" t="s">
        <v>101</v>
      </c>
      <c r="G260" t="s">
        <v>653</v>
      </c>
      <c r="H260" s="10">
        <v>2109120</v>
      </c>
      <c r="I260" s="10">
        <v>0</v>
      </c>
      <c r="J260" s="10">
        <v>0</v>
      </c>
      <c r="L260" t="s">
        <v>34</v>
      </c>
      <c r="M260" t="s">
        <v>94</v>
      </c>
      <c r="N260" t="s">
        <v>652</v>
      </c>
      <c r="O260" s="2">
        <v>43983</v>
      </c>
      <c r="P260" s="2">
        <v>44347</v>
      </c>
      <c r="Q260">
        <v>0</v>
      </c>
      <c r="R260" t="s">
        <v>654</v>
      </c>
    </row>
    <row r="261" spans="1:18" x14ac:dyDescent="0.25">
      <c r="A261" t="s">
        <v>657</v>
      </c>
      <c r="B261" t="s">
        <v>157</v>
      </c>
      <c r="C261" t="s">
        <v>38</v>
      </c>
      <c r="D261" t="s">
        <v>21</v>
      </c>
      <c r="E261" t="s">
        <v>255</v>
      </c>
      <c r="F261" t="s">
        <v>47</v>
      </c>
      <c r="G261" t="s">
        <v>658</v>
      </c>
      <c r="H261" s="11">
        <v>313083</v>
      </c>
      <c r="I261" s="11">
        <v>0</v>
      </c>
      <c r="J261" s="11">
        <v>0</v>
      </c>
      <c r="L261" t="s">
        <v>55</v>
      </c>
      <c r="M261" t="s">
        <v>26</v>
      </c>
      <c r="N261" t="s">
        <v>659</v>
      </c>
      <c r="O261" s="2">
        <v>39904</v>
      </c>
      <c r="P261" s="2">
        <v>40999</v>
      </c>
      <c r="Q261">
        <v>0</v>
      </c>
      <c r="R261" t="s">
        <v>660</v>
      </c>
    </row>
    <row r="262" spans="1:18" x14ac:dyDescent="0.25">
      <c r="A262" t="s">
        <v>661</v>
      </c>
      <c r="B262" t="s">
        <v>240</v>
      </c>
      <c r="C262" t="s">
        <v>20</v>
      </c>
      <c r="D262" t="s">
        <v>51</v>
      </c>
      <c r="E262" t="s">
        <v>406</v>
      </c>
      <c r="F262" t="s">
        <v>662</v>
      </c>
      <c r="G262" t="s">
        <v>663</v>
      </c>
      <c r="H262" s="10">
        <v>673200</v>
      </c>
      <c r="I262" s="10">
        <v>0</v>
      </c>
      <c r="J262" s="10">
        <v>0</v>
      </c>
      <c r="L262" t="s">
        <v>42</v>
      </c>
      <c r="M262" t="s">
        <v>111</v>
      </c>
      <c r="N262" t="s">
        <v>664</v>
      </c>
      <c r="O262" s="2">
        <v>43191</v>
      </c>
      <c r="P262" s="2">
        <v>45016</v>
      </c>
      <c r="Q262">
        <v>0</v>
      </c>
      <c r="R262" t="s">
        <v>665</v>
      </c>
    </row>
    <row r="263" spans="1:18" x14ac:dyDescent="0.25">
      <c r="A263" t="s">
        <v>4640</v>
      </c>
      <c r="B263" t="s">
        <v>49</v>
      </c>
      <c r="C263" t="s">
        <v>50</v>
      </c>
      <c r="D263" t="s">
        <v>4557</v>
      </c>
      <c r="E263" t="s">
        <v>4570</v>
      </c>
      <c r="F263" t="s">
        <v>4559</v>
      </c>
      <c r="G263" t="s">
        <v>4641</v>
      </c>
      <c r="H263" s="10">
        <v>311545</v>
      </c>
      <c r="I263" s="10">
        <v>0</v>
      </c>
      <c r="J263" s="10">
        <v>0</v>
      </c>
      <c r="L263" t="s">
        <v>55</v>
      </c>
      <c r="M263" t="s">
        <v>26</v>
      </c>
      <c r="N263" t="s">
        <v>5539</v>
      </c>
      <c r="O263" s="2">
        <v>42826</v>
      </c>
      <c r="P263" s="2">
        <v>43921</v>
      </c>
      <c r="Q263">
        <v>0</v>
      </c>
      <c r="R263" t="s">
        <v>5538</v>
      </c>
    </row>
    <row r="264" spans="1:18" x14ac:dyDescent="0.25">
      <c r="A264" t="s">
        <v>666</v>
      </c>
      <c r="B264" t="s">
        <v>4464</v>
      </c>
      <c r="C264" t="s">
        <v>20</v>
      </c>
      <c r="D264" t="s">
        <v>420</v>
      </c>
      <c r="E264" t="s">
        <v>667</v>
      </c>
      <c r="F264" t="s">
        <v>109</v>
      </c>
      <c r="G264" t="s">
        <v>668</v>
      </c>
      <c r="H264" s="10">
        <v>100000</v>
      </c>
      <c r="I264" s="10">
        <v>0</v>
      </c>
      <c r="J264" s="10">
        <v>0</v>
      </c>
      <c r="L264" t="s">
        <v>34</v>
      </c>
      <c r="M264" t="s">
        <v>26</v>
      </c>
      <c r="N264" t="s">
        <v>669</v>
      </c>
      <c r="O264" s="2">
        <v>45352</v>
      </c>
      <c r="P264" s="2">
        <v>45716</v>
      </c>
      <c r="Q264">
        <v>0</v>
      </c>
      <c r="R264" t="s">
        <v>670</v>
      </c>
    </row>
    <row r="265" spans="1:18" x14ac:dyDescent="0.25">
      <c r="A265" t="s">
        <v>671</v>
      </c>
      <c r="B265" t="s">
        <v>672</v>
      </c>
      <c r="C265" t="s">
        <v>50</v>
      </c>
      <c r="D265" t="s">
        <v>51</v>
      </c>
      <c r="E265" t="s">
        <v>208</v>
      </c>
      <c r="F265" t="s">
        <v>53</v>
      </c>
      <c r="G265" t="s">
        <v>673</v>
      </c>
      <c r="H265" s="10">
        <v>612000</v>
      </c>
      <c r="I265" s="10">
        <v>0</v>
      </c>
      <c r="J265" s="10">
        <v>0</v>
      </c>
      <c r="L265" t="s">
        <v>42</v>
      </c>
      <c r="M265" t="s">
        <v>26</v>
      </c>
      <c r="N265" t="s">
        <v>600</v>
      </c>
      <c r="O265" s="2">
        <v>45383</v>
      </c>
      <c r="P265" s="2">
        <v>47208</v>
      </c>
      <c r="Q265">
        <v>0</v>
      </c>
      <c r="R265" t="s">
        <v>674</v>
      </c>
    </row>
    <row r="266" spans="1:18" x14ac:dyDescent="0.25">
      <c r="A266" t="s">
        <v>675</v>
      </c>
      <c r="B266" t="s">
        <v>114</v>
      </c>
      <c r="C266" t="s">
        <v>20</v>
      </c>
      <c r="D266" t="s">
        <v>51</v>
      </c>
      <c r="E266" t="s">
        <v>208</v>
      </c>
      <c r="F266" t="s">
        <v>356</v>
      </c>
      <c r="G266" t="s">
        <v>676</v>
      </c>
      <c r="H266" s="10">
        <v>650250</v>
      </c>
      <c r="I266" s="10">
        <v>0</v>
      </c>
      <c r="J266" s="10">
        <v>0</v>
      </c>
      <c r="L266" t="s">
        <v>42</v>
      </c>
      <c r="M266" t="s">
        <v>26</v>
      </c>
      <c r="N266" t="s">
        <v>600</v>
      </c>
      <c r="O266" s="2">
        <v>45383</v>
      </c>
      <c r="P266" s="2">
        <v>47208</v>
      </c>
      <c r="Q266">
        <v>0</v>
      </c>
      <c r="R266" t="s">
        <v>677</v>
      </c>
    </row>
    <row r="267" spans="1:18" x14ac:dyDescent="0.25">
      <c r="A267" t="s">
        <v>4642</v>
      </c>
      <c r="B267" t="s">
        <v>114</v>
      </c>
      <c r="C267" t="s">
        <v>20</v>
      </c>
      <c r="D267" t="s">
        <v>4557</v>
      </c>
      <c r="E267" t="s">
        <v>4581</v>
      </c>
      <c r="F267" t="s">
        <v>4559</v>
      </c>
      <c r="G267" t="s">
        <v>4643</v>
      </c>
      <c r="H267" s="10">
        <v>347441</v>
      </c>
      <c r="I267" s="10">
        <v>66200</v>
      </c>
      <c r="J267" s="10">
        <v>0</v>
      </c>
      <c r="L267" t="s">
        <v>55</v>
      </c>
      <c r="M267" t="s">
        <v>103</v>
      </c>
      <c r="N267" t="s">
        <v>5651</v>
      </c>
      <c r="O267" s="2">
        <v>43556</v>
      </c>
      <c r="P267" s="2">
        <v>44651</v>
      </c>
      <c r="Q267">
        <v>1</v>
      </c>
      <c r="R267" t="s">
        <v>5650</v>
      </c>
    </row>
    <row r="268" spans="1:18" x14ac:dyDescent="0.25">
      <c r="A268" t="s">
        <v>4509</v>
      </c>
      <c r="B268" t="s">
        <v>672</v>
      </c>
      <c r="C268" t="s">
        <v>50</v>
      </c>
      <c r="D268" t="s">
        <v>4499</v>
      </c>
      <c r="E268" t="s">
        <v>4500</v>
      </c>
      <c r="F268" t="s">
        <v>4501</v>
      </c>
      <c r="G268" t="s">
        <v>4510</v>
      </c>
      <c r="H268" s="12">
        <v>150000</v>
      </c>
      <c r="I268" s="12">
        <v>0</v>
      </c>
      <c r="J268" s="10">
        <v>0</v>
      </c>
      <c r="L268" t="s">
        <v>34</v>
      </c>
      <c r="M268" t="s">
        <v>413</v>
      </c>
      <c r="N268" t="s">
        <v>6134</v>
      </c>
      <c r="O268" s="2">
        <v>45323</v>
      </c>
      <c r="P268" s="2">
        <v>45688</v>
      </c>
      <c r="Q268">
        <v>0</v>
      </c>
      <c r="R268" t="s">
        <v>6135</v>
      </c>
    </row>
    <row r="269" spans="1:18" x14ac:dyDescent="0.25">
      <c r="A269" t="s">
        <v>5183</v>
      </c>
      <c r="B269" t="s">
        <v>19</v>
      </c>
      <c r="C269" t="s">
        <v>20</v>
      </c>
      <c r="D269" t="s">
        <v>5165</v>
      </c>
      <c r="E269" t="s">
        <v>5184</v>
      </c>
      <c r="F269" t="s">
        <v>4554</v>
      </c>
      <c r="G269" t="s">
        <v>5185</v>
      </c>
      <c r="H269" s="10">
        <v>264656</v>
      </c>
      <c r="I269" s="10">
        <v>2000</v>
      </c>
      <c r="J269" s="10">
        <v>0</v>
      </c>
      <c r="L269" t="s">
        <v>55</v>
      </c>
      <c r="M269" t="s">
        <v>26</v>
      </c>
      <c r="N269" t="s">
        <v>5788</v>
      </c>
      <c r="O269" s="2">
        <v>42461</v>
      </c>
      <c r="P269" s="2">
        <v>43555</v>
      </c>
      <c r="Q269">
        <v>0</v>
      </c>
      <c r="R269" t="s">
        <v>5787</v>
      </c>
    </row>
    <row r="270" spans="1:18" x14ac:dyDescent="0.25">
      <c r="A270" t="s">
        <v>4644</v>
      </c>
      <c r="B270" t="s">
        <v>162</v>
      </c>
      <c r="C270" t="s">
        <v>149</v>
      </c>
      <c r="D270" t="s">
        <v>4557</v>
      </c>
      <c r="E270" t="s">
        <v>4597</v>
      </c>
      <c r="F270" t="s">
        <v>4559</v>
      </c>
      <c r="G270" t="s">
        <v>4645</v>
      </c>
      <c r="H270" s="10">
        <v>298552</v>
      </c>
      <c r="I270" s="10">
        <v>0</v>
      </c>
      <c r="J270" s="10">
        <v>0</v>
      </c>
      <c r="L270" t="s">
        <v>55</v>
      </c>
      <c r="M270" t="s">
        <v>26</v>
      </c>
      <c r="N270" t="s">
        <v>5872</v>
      </c>
      <c r="O270" s="2">
        <v>42095</v>
      </c>
      <c r="P270" s="2">
        <v>43190</v>
      </c>
      <c r="Q270">
        <v>1</v>
      </c>
      <c r="R270" t="s">
        <v>5871</v>
      </c>
    </row>
    <row r="271" spans="1:18" x14ac:dyDescent="0.25">
      <c r="A271" t="s">
        <v>5132</v>
      </c>
      <c r="B271" t="s">
        <v>107</v>
      </c>
      <c r="C271" t="s">
        <v>38</v>
      </c>
      <c r="D271" t="s">
        <v>5128</v>
      </c>
      <c r="E271" t="s">
        <v>5129</v>
      </c>
      <c r="F271" t="s">
        <v>5130</v>
      </c>
      <c r="G271" t="s">
        <v>5133</v>
      </c>
      <c r="H271" s="12">
        <v>190662</v>
      </c>
      <c r="I271" s="12">
        <v>3000</v>
      </c>
      <c r="J271" s="10">
        <v>0</v>
      </c>
      <c r="L271" t="s">
        <v>84</v>
      </c>
      <c r="M271" t="s">
        <v>746</v>
      </c>
      <c r="N271" t="s">
        <v>6136</v>
      </c>
      <c r="O271" s="2">
        <v>40940</v>
      </c>
      <c r="P271" s="2">
        <v>41670</v>
      </c>
      <c r="Q271">
        <v>0</v>
      </c>
      <c r="R271" t="s">
        <v>6137</v>
      </c>
    </row>
    <row r="272" spans="1:18" x14ac:dyDescent="0.25">
      <c r="A272" t="s">
        <v>678</v>
      </c>
      <c r="B272" t="s">
        <v>162</v>
      </c>
      <c r="C272" t="s">
        <v>149</v>
      </c>
      <c r="D272" t="s">
        <v>51</v>
      </c>
      <c r="E272" t="s">
        <v>127</v>
      </c>
      <c r="F272" t="s">
        <v>32</v>
      </c>
      <c r="G272" t="s">
        <v>679</v>
      </c>
      <c r="H272" s="10">
        <v>918000</v>
      </c>
      <c r="I272" s="10">
        <v>0</v>
      </c>
      <c r="J272" s="10">
        <v>0</v>
      </c>
      <c r="L272" t="s">
        <v>42</v>
      </c>
      <c r="M272" t="s">
        <v>26</v>
      </c>
      <c r="N272" t="s">
        <v>680</v>
      </c>
      <c r="O272" s="2">
        <v>44835</v>
      </c>
      <c r="P272" s="2">
        <v>46660</v>
      </c>
      <c r="Q272">
        <v>0</v>
      </c>
      <c r="R272" t="s">
        <v>681</v>
      </c>
    </row>
    <row r="273" spans="1:18" x14ac:dyDescent="0.25">
      <c r="A273" t="s">
        <v>682</v>
      </c>
      <c r="B273" t="s">
        <v>4493</v>
      </c>
      <c r="C273" t="s">
        <v>38</v>
      </c>
      <c r="D273" t="s">
        <v>21</v>
      </c>
      <c r="E273" t="s">
        <v>377</v>
      </c>
      <c r="F273" t="s">
        <v>109</v>
      </c>
      <c r="G273" t="s">
        <v>685</v>
      </c>
      <c r="H273" s="10">
        <v>760348</v>
      </c>
      <c r="I273" s="10">
        <v>0</v>
      </c>
      <c r="J273" s="10">
        <v>0</v>
      </c>
      <c r="L273" t="s">
        <v>42</v>
      </c>
      <c r="M273" t="s">
        <v>103</v>
      </c>
      <c r="N273" t="s">
        <v>686</v>
      </c>
      <c r="O273" s="2">
        <v>41183</v>
      </c>
      <c r="P273" s="2">
        <v>43008</v>
      </c>
      <c r="Q273">
        <v>2</v>
      </c>
      <c r="R273" t="s">
        <v>687</v>
      </c>
    </row>
    <row r="274" spans="1:18" x14ac:dyDescent="0.25">
      <c r="A274" t="s">
        <v>682</v>
      </c>
      <c r="B274" t="s">
        <v>4493</v>
      </c>
      <c r="C274" t="s">
        <v>38</v>
      </c>
      <c r="D274" t="s">
        <v>51</v>
      </c>
      <c r="E274" t="s">
        <v>70</v>
      </c>
      <c r="F274" t="s">
        <v>109</v>
      </c>
      <c r="G274" t="s">
        <v>683</v>
      </c>
      <c r="H274" s="10">
        <v>726750</v>
      </c>
      <c r="I274" s="10">
        <v>0</v>
      </c>
      <c r="J274" s="10">
        <v>0</v>
      </c>
      <c r="L274" t="s">
        <v>42</v>
      </c>
      <c r="M274" t="s">
        <v>217</v>
      </c>
      <c r="N274" t="s">
        <v>645</v>
      </c>
      <c r="O274" s="2">
        <v>45200</v>
      </c>
      <c r="P274" s="2">
        <v>47026</v>
      </c>
      <c r="Q274">
        <v>0</v>
      </c>
      <c r="R274" t="s">
        <v>684</v>
      </c>
    </row>
    <row r="275" spans="1:18" x14ac:dyDescent="0.25">
      <c r="A275" t="s">
        <v>4646</v>
      </c>
      <c r="B275" t="s">
        <v>4496</v>
      </c>
      <c r="C275" t="s">
        <v>38</v>
      </c>
      <c r="D275" t="s">
        <v>4557</v>
      </c>
      <c r="E275" t="s">
        <v>4570</v>
      </c>
      <c r="F275" t="s">
        <v>4559</v>
      </c>
      <c r="G275" t="s">
        <v>4647</v>
      </c>
      <c r="H275" s="10">
        <v>301262</v>
      </c>
      <c r="I275" s="10">
        <v>0</v>
      </c>
      <c r="J275" s="10">
        <v>0</v>
      </c>
      <c r="L275" t="s">
        <v>55</v>
      </c>
      <c r="M275" t="s">
        <v>103</v>
      </c>
      <c r="N275" t="s">
        <v>5531</v>
      </c>
      <c r="O275" s="2">
        <v>42826</v>
      </c>
      <c r="P275" s="2">
        <v>43921</v>
      </c>
      <c r="Q275">
        <v>0</v>
      </c>
      <c r="R275" t="s">
        <v>5530</v>
      </c>
    </row>
    <row r="276" spans="1:18" x14ac:dyDescent="0.25">
      <c r="A276" t="s">
        <v>4648</v>
      </c>
      <c r="B276" t="s">
        <v>4496</v>
      </c>
      <c r="C276" t="s">
        <v>38</v>
      </c>
      <c r="D276" t="s">
        <v>4557</v>
      </c>
      <c r="E276" t="s">
        <v>4567</v>
      </c>
      <c r="F276" t="s">
        <v>4559</v>
      </c>
      <c r="G276" t="s">
        <v>4649</v>
      </c>
      <c r="H276" s="10">
        <v>302077</v>
      </c>
      <c r="I276" s="10">
        <v>0</v>
      </c>
      <c r="J276" s="10">
        <v>0</v>
      </c>
      <c r="L276" t="s">
        <v>55</v>
      </c>
      <c r="M276" t="s">
        <v>103</v>
      </c>
      <c r="N276" t="s">
        <v>5947</v>
      </c>
      <c r="O276" s="2">
        <v>41730</v>
      </c>
      <c r="P276" s="2">
        <v>42825</v>
      </c>
      <c r="Q276">
        <v>1</v>
      </c>
      <c r="R276" t="s">
        <v>5946</v>
      </c>
    </row>
    <row r="277" spans="1:18" x14ac:dyDescent="0.25">
      <c r="A277" t="s">
        <v>5350</v>
      </c>
      <c r="B277" t="s">
        <v>4493</v>
      </c>
      <c r="C277" t="s">
        <v>38</v>
      </c>
      <c r="D277" t="s">
        <v>51</v>
      </c>
      <c r="E277" t="s">
        <v>116</v>
      </c>
      <c r="F277" t="s">
        <v>109</v>
      </c>
      <c r="G277" t="s">
        <v>688</v>
      </c>
      <c r="H277" s="10">
        <v>569926</v>
      </c>
      <c r="I277" s="10">
        <v>0</v>
      </c>
      <c r="J277" s="10">
        <v>0</v>
      </c>
      <c r="L277" t="s">
        <v>42</v>
      </c>
      <c r="M277" t="s">
        <v>103</v>
      </c>
      <c r="N277" t="s">
        <v>458</v>
      </c>
      <c r="O277" s="2">
        <v>43374</v>
      </c>
      <c r="P277" s="2">
        <v>45199</v>
      </c>
      <c r="Q277">
        <v>0</v>
      </c>
      <c r="R277" t="s">
        <v>689</v>
      </c>
    </row>
    <row r="278" spans="1:18" x14ac:dyDescent="0.25">
      <c r="A278" t="s">
        <v>690</v>
      </c>
      <c r="B278" t="s">
        <v>148</v>
      </c>
      <c r="C278" t="s">
        <v>149</v>
      </c>
      <c r="D278" t="s">
        <v>21</v>
      </c>
      <c r="E278" t="s">
        <v>60</v>
      </c>
      <c r="F278" t="s">
        <v>32</v>
      </c>
      <c r="G278" t="s">
        <v>691</v>
      </c>
      <c r="H278" s="10">
        <v>628466</v>
      </c>
      <c r="I278" s="10">
        <v>0</v>
      </c>
      <c r="J278" s="10">
        <v>0</v>
      </c>
      <c r="L278" t="s">
        <v>42</v>
      </c>
      <c r="M278" t="s">
        <v>143</v>
      </c>
      <c r="N278" t="s">
        <v>692</v>
      </c>
      <c r="O278" s="2">
        <v>41821</v>
      </c>
      <c r="P278" s="2">
        <v>43646</v>
      </c>
      <c r="Q278">
        <v>0</v>
      </c>
      <c r="R278" t="s">
        <v>693</v>
      </c>
    </row>
    <row r="279" spans="1:18" x14ac:dyDescent="0.25">
      <c r="A279" t="s">
        <v>5186</v>
      </c>
      <c r="B279" t="s">
        <v>148</v>
      </c>
      <c r="C279" t="s">
        <v>149</v>
      </c>
      <c r="D279" t="s">
        <v>5165</v>
      </c>
      <c r="E279" t="s">
        <v>5184</v>
      </c>
      <c r="F279" t="s">
        <v>4554</v>
      </c>
      <c r="G279" t="s">
        <v>5187</v>
      </c>
      <c r="H279" s="10">
        <v>228746</v>
      </c>
      <c r="I279" s="10">
        <v>0</v>
      </c>
      <c r="J279" s="10">
        <v>0</v>
      </c>
      <c r="L279" t="s">
        <v>55</v>
      </c>
      <c r="M279" t="s">
        <v>94</v>
      </c>
      <c r="N279" t="s">
        <v>5985</v>
      </c>
      <c r="O279" s="2">
        <v>42461</v>
      </c>
      <c r="P279" s="2">
        <v>43555</v>
      </c>
      <c r="Q279">
        <v>0</v>
      </c>
      <c r="R279" t="s">
        <v>5984</v>
      </c>
    </row>
    <row r="280" spans="1:18" x14ac:dyDescent="0.25">
      <c r="A280" t="s">
        <v>5134</v>
      </c>
      <c r="B280" t="s">
        <v>133</v>
      </c>
      <c r="C280" t="s">
        <v>38</v>
      </c>
      <c r="D280" t="s">
        <v>5128</v>
      </c>
      <c r="E280" t="s">
        <v>5129</v>
      </c>
      <c r="F280" t="s">
        <v>5130</v>
      </c>
      <c r="G280" t="s">
        <v>5135</v>
      </c>
      <c r="H280" s="12">
        <v>193482</v>
      </c>
      <c r="I280" s="12">
        <v>0</v>
      </c>
      <c r="J280" s="10">
        <v>0</v>
      </c>
      <c r="L280" t="s">
        <v>55</v>
      </c>
      <c r="M280" t="s">
        <v>217</v>
      </c>
      <c r="N280" t="s">
        <v>6138</v>
      </c>
      <c r="O280" s="2">
        <v>40940</v>
      </c>
      <c r="P280" s="2">
        <v>42035</v>
      </c>
      <c r="Q280">
        <v>0</v>
      </c>
      <c r="R280" t="s">
        <v>6139</v>
      </c>
    </row>
    <row r="281" spans="1:18" x14ac:dyDescent="0.25">
      <c r="A281" t="s">
        <v>694</v>
      </c>
      <c r="B281" t="s">
        <v>49</v>
      </c>
      <c r="C281" t="s">
        <v>50</v>
      </c>
      <c r="D281" t="s">
        <v>51</v>
      </c>
      <c r="E281" t="s">
        <v>52</v>
      </c>
      <c r="F281" t="s">
        <v>128</v>
      </c>
      <c r="G281" t="s">
        <v>695</v>
      </c>
      <c r="H281" s="10">
        <v>1147500</v>
      </c>
      <c r="I281" s="10">
        <v>0</v>
      </c>
      <c r="J281" s="10">
        <v>0</v>
      </c>
      <c r="L281" t="s">
        <v>42</v>
      </c>
      <c r="M281" t="s">
        <v>26</v>
      </c>
      <c r="N281" t="s">
        <v>696</v>
      </c>
      <c r="O281" s="2">
        <v>44287</v>
      </c>
      <c r="P281" s="2">
        <v>46112</v>
      </c>
      <c r="Q281">
        <v>0</v>
      </c>
      <c r="R281" t="s">
        <v>697</v>
      </c>
    </row>
    <row r="282" spans="1:18" x14ac:dyDescent="0.25">
      <c r="A282" t="s">
        <v>698</v>
      </c>
      <c r="B282" t="s">
        <v>107</v>
      </c>
      <c r="C282" t="s">
        <v>38</v>
      </c>
      <c r="D282" t="s">
        <v>21</v>
      </c>
      <c r="E282" t="s">
        <v>287</v>
      </c>
      <c r="F282" t="s">
        <v>109</v>
      </c>
      <c r="G282" t="s">
        <v>699</v>
      </c>
      <c r="H282" s="10">
        <v>383741</v>
      </c>
      <c r="I282" s="10">
        <v>0</v>
      </c>
      <c r="J282" s="10">
        <v>0</v>
      </c>
      <c r="L282" t="s">
        <v>55</v>
      </c>
      <c r="M282" t="s">
        <v>111</v>
      </c>
      <c r="N282" t="s">
        <v>700</v>
      </c>
      <c r="O282" s="2">
        <v>40634</v>
      </c>
      <c r="P282" s="2">
        <v>41729</v>
      </c>
      <c r="Q282">
        <v>1</v>
      </c>
      <c r="R282" t="s">
        <v>701</v>
      </c>
    </row>
    <row r="283" spans="1:18" x14ac:dyDescent="0.25">
      <c r="A283" t="s">
        <v>698</v>
      </c>
      <c r="B283" t="s">
        <v>107</v>
      </c>
      <c r="C283" t="s">
        <v>38</v>
      </c>
      <c r="D283" t="s">
        <v>51</v>
      </c>
      <c r="E283" t="s">
        <v>70</v>
      </c>
      <c r="F283" t="s">
        <v>109</v>
      </c>
      <c r="G283" t="s">
        <v>707</v>
      </c>
      <c r="H283" s="10">
        <v>1200286</v>
      </c>
      <c r="I283" s="10">
        <v>0</v>
      </c>
      <c r="J283" s="10">
        <v>0</v>
      </c>
      <c r="L283" t="s">
        <v>42</v>
      </c>
      <c r="M283" t="s">
        <v>26</v>
      </c>
      <c r="N283" t="s">
        <v>458</v>
      </c>
      <c r="O283" s="2">
        <v>45200</v>
      </c>
      <c r="P283" s="2">
        <v>47026</v>
      </c>
      <c r="Q283">
        <v>0</v>
      </c>
      <c r="R283" t="s">
        <v>708</v>
      </c>
    </row>
    <row r="284" spans="1:18" x14ac:dyDescent="0.25">
      <c r="A284" t="s">
        <v>4650</v>
      </c>
      <c r="B284" t="s">
        <v>107</v>
      </c>
      <c r="C284" t="s">
        <v>38</v>
      </c>
      <c r="D284" t="s">
        <v>4557</v>
      </c>
      <c r="E284" t="s">
        <v>4558</v>
      </c>
      <c r="F284" t="s">
        <v>4559</v>
      </c>
      <c r="G284" t="s">
        <v>4651</v>
      </c>
      <c r="H284" s="10">
        <v>650227</v>
      </c>
      <c r="I284" s="10">
        <v>0</v>
      </c>
      <c r="J284" s="10">
        <v>0</v>
      </c>
      <c r="L284" t="s">
        <v>55</v>
      </c>
      <c r="M284" t="s">
        <v>111</v>
      </c>
      <c r="N284" t="s">
        <v>5917</v>
      </c>
      <c r="O284" s="2">
        <v>43191</v>
      </c>
      <c r="P284" s="2">
        <v>44286</v>
      </c>
      <c r="Q284">
        <v>0</v>
      </c>
      <c r="R284" t="s">
        <v>5916</v>
      </c>
    </row>
    <row r="285" spans="1:18" x14ac:dyDescent="0.25">
      <c r="A285" t="s">
        <v>5072</v>
      </c>
      <c r="B285" t="s">
        <v>107</v>
      </c>
      <c r="C285" t="s">
        <v>38</v>
      </c>
      <c r="D285" t="s">
        <v>21</v>
      </c>
      <c r="E285" t="s">
        <v>194</v>
      </c>
      <c r="F285" t="s">
        <v>53</v>
      </c>
      <c r="G285" t="s">
        <v>705</v>
      </c>
      <c r="H285" s="11">
        <v>503702</v>
      </c>
      <c r="I285" s="11">
        <v>0</v>
      </c>
      <c r="J285" s="11">
        <v>0</v>
      </c>
      <c r="L285" t="s">
        <v>55</v>
      </c>
      <c r="M285" t="s">
        <v>204</v>
      </c>
      <c r="N285" t="s">
        <v>704</v>
      </c>
      <c r="O285" s="2">
        <v>40087</v>
      </c>
      <c r="P285" s="2">
        <v>41182</v>
      </c>
      <c r="Q285">
        <v>0</v>
      </c>
      <c r="R285" t="s">
        <v>706</v>
      </c>
    </row>
    <row r="286" spans="1:18" x14ac:dyDescent="0.25">
      <c r="A286" t="s">
        <v>5072</v>
      </c>
      <c r="B286" t="s">
        <v>107</v>
      </c>
      <c r="C286" t="s">
        <v>38</v>
      </c>
      <c r="D286" t="s">
        <v>702</v>
      </c>
      <c r="E286" t="s">
        <v>703</v>
      </c>
      <c r="F286" t="s">
        <v>53</v>
      </c>
      <c r="G286" t="s">
        <v>5163</v>
      </c>
      <c r="H286" s="10">
        <v>100000</v>
      </c>
      <c r="I286" s="10">
        <v>0</v>
      </c>
      <c r="J286" s="10">
        <v>0</v>
      </c>
      <c r="L286" t="s">
        <v>34</v>
      </c>
      <c r="M286" t="s">
        <v>111</v>
      </c>
      <c r="N286" t="s">
        <v>704</v>
      </c>
      <c r="O286" s="2">
        <v>39814</v>
      </c>
      <c r="P286" s="2">
        <v>40178</v>
      </c>
      <c r="Q286">
        <v>0</v>
      </c>
      <c r="R286" t="s">
        <v>5501</v>
      </c>
    </row>
    <row r="287" spans="1:18" x14ac:dyDescent="0.25">
      <c r="A287" t="s">
        <v>4652</v>
      </c>
      <c r="B287" t="s">
        <v>98</v>
      </c>
      <c r="C287" t="s">
        <v>20</v>
      </c>
      <c r="D287" t="s">
        <v>4557</v>
      </c>
      <c r="E287" t="s">
        <v>4558</v>
      </c>
      <c r="F287" t="s">
        <v>4559</v>
      </c>
      <c r="G287" t="s">
        <v>4653</v>
      </c>
      <c r="H287" s="10">
        <v>273862</v>
      </c>
      <c r="I287" s="10">
        <v>0</v>
      </c>
      <c r="J287" s="10">
        <v>0</v>
      </c>
      <c r="L287" t="s">
        <v>55</v>
      </c>
      <c r="M287" t="s">
        <v>111</v>
      </c>
      <c r="N287" t="s">
        <v>5740</v>
      </c>
      <c r="O287" s="2">
        <v>43191</v>
      </c>
      <c r="P287" s="2">
        <v>44286</v>
      </c>
      <c r="Q287">
        <v>2</v>
      </c>
      <c r="R287" t="s">
        <v>5739</v>
      </c>
    </row>
    <row r="288" spans="1:18" x14ac:dyDescent="0.25">
      <c r="A288" t="s">
        <v>709</v>
      </c>
      <c r="B288" t="s">
        <v>710</v>
      </c>
      <c r="C288" t="s">
        <v>711</v>
      </c>
      <c r="D288" t="s">
        <v>99</v>
      </c>
      <c r="E288" t="s">
        <v>100</v>
      </c>
      <c r="F288" t="s">
        <v>101</v>
      </c>
      <c r="G288" t="s">
        <v>712</v>
      </c>
      <c r="H288" s="10">
        <v>790162</v>
      </c>
      <c r="I288" s="10">
        <v>0</v>
      </c>
      <c r="J288" s="10">
        <v>0</v>
      </c>
      <c r="L288" t="s">
        <v>34</v>
      </c>
      <c r="M288" t="s">
        <v>94</v>
      </c>
      <c r="N288" t="s">
        <v>713</v>
      </c>
      <c r="O288" s="2">
        <v>43983</v>
      </c>
      <c r="P288" s="2">
        <v>44347</v>
      </c>
      <c r="Q288">
        <v>0</v>
      </c>
      <c r="R288" t="s">
        <v>714</v>
      </c>
    </row>
    <row r="289" spans="1:18" x14ac:dyDescent="0.25">
      <c r="A289" t="s">
        <v>5319</v>
      </c>
      <c r="B289" t="s">
        <v>499</v>
      </c>
      <c r="C289" t="s">
        <v>311</v>
      </c>
      <c r="D289" t="s">
        <v>5320</v>
      </c>
      <c r="E289" t="s">
        <v>5321</v>
      </c>
      <c r="F289" t="s">
        <v>5322</v>
      </c>
      <c r="G289" t="s">
        <v>5323</v>
      </c>
      <c r="H289" s="12">
        <v>297200</v>
      </c>
      <c r="I289" s="12">
        <v>0</v>
      </c>
      <c r="J289" s="10">
        <v>0</v>
      </c>
      <c r="L289" t="s">
        <v>55</v>
      </c>
      <c r="M289" t="s">
        <v>831</v>
      </c>
      <c r="N289" t="s">
        <v>6140</v>
      </c>
      <c r="O289" s="2">
        <v>42278</v>
      </c>
      <c r="P289" s="2">
        <v>43373</v>
      </c>
      <c r="Q289">
        <v>0</v>
      </c>
      <c r="R289" t="s">
        <v>6141</v>
      </c>
    </row>
    <row r="290" spans="1:18" x14ac:dyDescent="0.25">
      <c r="A290" t="s">
        <v>5073</v>
      </c>
      <c r="B290" t="s">
        <v>5069</v>
      </c>
      <c r="C290" t="s">
        <v>38</v>
      </c>
      <c r="D290" t="s">
        <v>21</v>
      </c>
      <c r="E290" t="s">
        <v>572</v>
      </c>
      <c r="F290" t="s">
        <v>109</v>
      </c>
      <c r="G290" t="s">
        <v>715</v>
      </c>
      <c r="H290" s="10">
        <v>511724</v>
      </c>
      <c r="I290" s="10">
        <v>0</v>
      </c>
      <c r="J290" s="10">
        <v>0</v>
      </c>
      <c r="L290" t="s">
        <v>42</v>
      </c>
      <c r="M290" t="s">
        <v>217</v>
      </c>
      <c r="N290" t="s">
        <v>716</v>
      </c>
      <c r="O290" s="2">
        <v>41730</v>
      </c>
      <c r="P290" s="2">
        <v>43555</v>
      </c>
      <c r="Q290">
        <v>1</v>
      </c>
      <c r="R290" t="s">
        <v>717</v>
      </c>
    </row>
    <row r="291" spans="1:18" x14ac:dyDescent="0.25">
      <c r="A291" t="s">
        <v>5073</v>
      </c>
      <c r="B291" t="s">
        <v>5069</v>
      </c>
      <c r="C291" t="s">
        <v>38</v>
      </c>
      <c r="D291" t="s">
        <v>51</v>
      </c>
      <c r="E291" t="s">
        <v>186</v>
      </c>
      <c r="F291" t="s">
        <v>109</v>
      </c>
      <c r="G291" t="s">
        <v>718</v>
      </c>
      <c r="H291" s="10">
        <v>692326</v>
      </c>
      <c r="I291" s="10">
        <v>0</v>
      </c>
      <c r="J291" s="10">
        <v>0</v>
      </c>
      <c r="L291" t="s">
        <v>42</v>
      </c>
      <c r="M291" t="s">
        <v>111</v>
      </c>
      <c r="N291" t="s">
        <v>458</v>
      </c>
      <c r="O291" s="2">
        <v>44470</v>
      </c>
      <c r="P291" s="2">
        <v>46295</v>
      </c>
      <c r="Q291">
        <v>0</v>
      </c>
      <c r="R291" t="s">
        <v>719</v>
      </c>
    </row>
    <row r="292" spans="1:18" x14ac:dyDescent="0.25">
      <c r="A292" t="s">
        <v>4654</v>
      </c>
      <c r="B292" t="s">
        <v>4492</v>
      </c>
      <c r="C292" t="s">
        <v>38</v>
      </c>
      <c r="D292" t="s">
        <v>4557</v>
      </c>
      <c r="E292" t="s">
        <v>4567</v>
      </c>
      <c r="F292" t="s">
        <v>4559</v>
      </c>
      <c r="G292" t="s">
        <v>4655</v>
      </c>
      <c r="H292" s="10">
        <v>357982</v>
      </c>
      <c r="I292" s="10">
        <v>0</v>
      </c>
      <c r="J292" s="10">
        <v>0</v>
      </c>
      <c r="L292" t="s">
        <v>55</v>
      </c>
      <c r="M292" t="s">
        <v>111</v>
      </c>
      <c r="N292" t="s">
        <v>6057</v>
      </c>
      <c r="O292" s="2">
        <v>41730</v>
      </c>
      <c r="P292" s="2">
        <v>42825</v>
      </c>
      <c r="Q292">
        <v>0</v>
      </c>
      <c r="R292" t="s">
        <v>6056</v>
      </c>
    </row>
    <row r="293" spans="1:18" x14ac:dyDescent="0.25">
      <c r="A293" t="s">
        <v>4656</v>
      </c>
      <c r="B293" t="s">
        <v>4492</v>
      </c>
      <c r="C293" t="s">
        <v>38</v>
      </c>
      <c r="D293" t="s">
        <v>4557</v>
      </c>
      <c r="E293" t="s">
        <v>4581</v>
      </c>
      <c r="F293" t="s">
        <v>4559</v>
      </c>
      <c r="G293" t="s">
        <v>4657</v>
      </c>
      <c r="H293" s="10">
        <v>318630</v>
      </c>
      <c r="I293" s="10">
        <v>0</v>
      </c>
      <c r="J293" s="10">
        <v>0</v>
      </c>
      <c r="L293" t="s">
        <v>55</v>
      </c>
      <c r="M293" t="s">
        <v>111</v>
      </c>
      <c r="N293" t="s">
        <v>5688</v>
      </c>
      <c r="O293" s="2">
        <v>43556</v>
      </c>
      <c r="P293" s="2">
        <v>44651</v>
      </c>
      <c r="Q293">
        <v>0</v>
      </c>
      <c r="R293" t="s">
        <v>5687</v>
      </c>
    </row>
    <row r="294" spans="1:18" x14ac:dyDescent="0.25">
      <c r="A294" t="s">
        <v>6142</v>
      </c>
      <c r="B294" t="s">
        <v>721</v>
      </c>
      <c r="C294" t="s">
        <v>20</v>
      </c>
      <c r="D294" t="s">
        <v>4499</v>
      </c>
      <c r="E294" t="s">
        <v>4500</v>
      </c>
      <c r="F294" t="s">
        <v>4501</v>
      </c>
      <c r="G294" t="s">
        <v>4511</v>
      </c>
      <c r="H294" s="12">
        <v>150000</v>
      </c>
      <c r="I294" s="12">
        <v>0</v>
      </c>
      <c r="J294" s="10">
        <v>0</v>
      </c>
      <c r="L294" t="s">
        <v>34</v>
      </c>
      <c r="M294" t="s">
        <v>94</v>
      </c>
      <c r="N294" t="s">
        <v>6143</v>
      </c>
      <c r="O294" s="2">
        <v>45323</v>
      </c>
      <c r="P294" s="2">
        <v>45688</v>
      </c>
      <c r="Q294">
        <v>0</v>
      </c>
      <c r="R294" t="s">
        <v>6144</v>
      </c>
    </row>
    <row r="295" spans="1:18" x14ac:dyDescent="0.25">
      <c r="A295" t="s">
        <v>720</v>
      </c>
      <c r="B295" t="s">
        <v>721</v>
      </c>
      <c r="C295" t="s">
        <v>20</v>
      </c>
      <c r="D295" t="s">
        <v>51</v>
      </c>
      <c r="E295" t="s">
        <v>52</v>
      </c>
      <c r="F295" t="s">
        <v>32</v>
      </c>
      <c r="G295" t="s">
        <v>722</v>
      </c>
      <c r="H295" s="10">
        <v>872865</v>
      </c>
      <c r="I295" s="10">
        <v>0</v>
      </c>
      <c r="J295" s="10">
        <v>0</v>
      </c>
      <c r="L295" t="s">
        <v>42</v>
      </c>
      <c r="M295" t="s">
        <v>26</v>
      </c>
      <c r="N295" t="s">
        <v>261</v>
      </c>
      <c r="O295" s="2">
        <v>44287</v>
      </c>
      <c r="P295" s="2">
        <v>46112</v>
      </c>
      <c r="Q295">
        <v>0</v>
      </c>
      <c r="R295" t="s">
        <v>723</v>
      </c>
    </row>
    <row r="296" spans="1:18" x14ac:dyDescent="0.25">
      <c r="A296" t="s">
        <v>724</v>
      </c>
      <c r="B296" t="s">
        <v>721</v>
      </c>
      <c r="C296" t="s">
        <v>20</v>
      </c>
      <c r="D296" t="s">
        <v>21</v>
      </c>
      <c r="E296" t="s">
        <v>74</v>
      </c>
      <c r="F296" t="s">
        <v>47</v>
      </c>
      <c r="G296" t="s">
        <v>725</v>
      </c>
      <c r="H296" s="10">
        <v>706058</v>
      </c>
      <c r="I296" s="10">
        <v>0</v>
      </c>
      <c r="J296" s="10">
        <v>0</v>
      </c>
      <c r="L296" t="s">
        <v>42</v>
      </c>
      <c r="M296" t="s">
        <v>26</v>
      </c>
      <c r="N296" t="s">
        <v>726</v>
      </c>
      <c r="O296" s="2">
        <v>41000</v>
      </c>
      <c r="P296" s="2">
        <v>42825</v>
      </c>
      <c r="Q296">
        <v>2</v>
      </c>
      <c r="R296" t="s">
        <v>727</v>
      </c>
    </row>
    <row r="297" spans="1:18" x14ac:dyDescent="0.25">
      <c r="A297" t="s">
        <v>724</v>
      </c>
      <c r="B297" t="s">
        <v>721</v>
      </c>
      <c r="C297" t="s">
        <v>20</v>
      </c>
      <c r="D297" t="s">
        <v>51</v>
      </c>
      <c r="E297" t="s">
        <v>259</v>
      </c>
      <c r="F297" t="s">
        <v>128</v>
      </c>
      <c r="G297" t="s">
        <v>728</v>
      </c>
      <c r="H297" s="10">
        <v>765000</v>
      </c>
      <c r="I297" s="10">
        <v>0</v>
      </c>
      <c r="J297" s="10">
        <v>0</v>
      </c>
      <c r="L297" t="s">
        <v>42</v>
      </c>
      <c r="M297" t="s">
        <v>26</v>
      </c>
      <c r="N297" t="s">
        <v>729</v>
      </c>
      <c r="O297" s="2">
        <v>44105</v>
      </c>
      <c r="P297" s="2">
        <v>45930</v>
      </c>
      <c r="Q297">
        <v>1</v>
      </c>
      <c r="R297" t="s">
        <v>730</v>
      </c>
    </row>
    <row r="298" spans="1:18" x14ac:dyDescent="0.25">
      <c r="A298" t="s">
        <v>5351</v>
      </c>
      <c r="B298" t="s">
        <v>721</v>
      </c>
      <c r="C298" t="s">
        <v>20</v>
      </c>
      <c r="D298" t="s">
        <v>51</v>
      </c>
      <c r="E298" t="s">
        <v>186</v>
      </c>
      <c r="F298" t="s">
        <v>23</v>
      </c>
      <c r="G298" t="s">
        <v>731</v>
      </c>
      <c r="H298" s="10">
        <v>911116</v>
      </c>
      <c r="I298" s="10">
        <v>0</v>
      </c>
      <c r="J298" s="10">
        <v>0</v>
      </c>
      <c r="L298" t="s">
        <v>42</v>
      </c>
      <c r="M298" t="s">
        <v>26</v>
      </c>
      <c r="N298" t="s">
        <v>135</v>
      </c>
      <c r="O298" s="2">
        <v>44470</v>
      </c>
      <c r="P298" s="2">
        <v>46295</v>
      </c>
      <c r="Q298">
        <v>1</v>
      </c>
      <c r="R298" t="s">
        <v>732</v>
      </c>
    </row>
    <row r="299" spans="1:18" x14ac:dyDescent="0.25">
      <c r="A299" t="s">
        <v>733</v>
      </c>
      <c r="B299" t="s">
        <v>49</v>
      </c>
      <c r="C299" t="s">
        <v>50</v>
      </c>
      <c r="D299" t="s">
        <v>21</v>
      </c>
      <c r="E299" t="s">
        <v>377</v>
      </c>
      <c r="F299" t="s">
        <v>53</v>
      </c>
      <c r="G299" t="s">
        <v>740</v>
      </c>
      <c r="H299" s="10">
        <v>420848</v>
      </c>
      <c r="I299" s="10">
        <v>0</v>
      </c>
      <c r="J299" s="10">
        <v>0</v>
      </c>
      <c r="L299" t="s">
        <v>25</v>
      </c>
      <c r="M299" t="s">
        <v>204</v>
      </c>
      <c r="N299" t="s">
        <v>741</v>
      </c>
      <c r="O299" s="2">
        <v>41183</v>
      </c>
      <c r="P299" s="2">
        <v>42643</v>
      </c>
      <c r="Q299">
        <v>0</v>
      </c>
      <c r="R299" t="s">
        <v>742</v>
      </c>
    </row>
    <row r="300" spans="1:18" x14ac:dyDescent="0.25">
      <c r="A300" t="s">
        <v>5074</v>
      </c>
      <c r="B300" t="s">
        <v>49</v>
      </c>
      <c r="C300" t="s">
        <v>50</v>
      </c>
      <c r="D300" t="s">
        <v>21</v>
      </c>
      <c r="E300" t="s">
        <v>549</v>
      </c>
      <c r="F300" t="s">
        <v>53</v>
      </c>
      <c r="G300" t="s">
        <v>734</v>
      </c>
      <c r="H300" s="10">
        <v>355773</v>
      </c>
      <c r="I300" s="10">
        <v>0</v>
      </c>
      <c r="J300" s="10">
        <v>0</v>
      </c>
      <c r="L300" t="s">
        <v>42</v>
      </c>
      <c r="M300" t="s">
        <v>204</v>
      </c>
      <c r="N300" t="s">
        <v>735</v>
      </c>
      <c r="O300" s="2">
        <v>42186</v>
      </c>
      <c r="P300" s="2">
        <v>44012</v>
      </c>
      <c r="Q300">
        <v>0</v>
      </c>
      <c r="R300" t="s">
        <v>736</v>
      </c>
    </row>
    <row r="301" spans="1:18" x14ac:dyDescent="0.25">
      <c r="A301" t="s">
        <v>5074</v>
      </c>
      <c r="B301" t="s">
        <v>49</v>
      </c>
      <c r="C301" t="s">
        <v>50</v>
      </c>
      <c r="D301" t="s">
        <v>51</v>
      </c>
      <c r="E301" t="s">
        <v>167</v>
      </c>
      <c r="F301" t="s">
        <v>53</v>
      </c>
      <c r="G301" t="s">
        <v>737</v>
      </c>
      <c r="H301" s="10">
        <v>539324</v>
      </c>
      <c r="I301" s="10">
        <v>0</v>
      </c>
      <c r="J301" s="10">
        <v>0</v>
      </c>
      <c r="L301" t="s">
        <v>25</v>
      </c>
      <c r="M301" t="s">
        <v>204</v>
      </c>
      <c r="N301" t="s">
        <v>738</v>
      </c>
      <c r="O301" s="2">
        <v>45017</v>
      </c>
      <c r="P301" s="2">
        <v>46477</v>
      </c>
      <c r="Q301">
        <v>0</v>
      </c>
      <c r="R301" t="s">
        <v>739</v>
      </c>
    </row>
    <row r="302" spans="1:18" x14ac:dyDescent="0.25">
      <c r="A302" t="s">
        <v>5352</v>
      </c>
      <c r="B302" t="s">
        <v>19</v>
      </c>
      <c r="C302" t="s">
        <v>20</v>
      </c>
      <c r="D302" t="s">
        <v>51</v>
      </c>
      <c r="E302" t="s">
        <v>158</v>
      </c>
      <c r="F302" t="s">
        <v>32</v>
      </c>
      <c r="G302" t="s">
        <v>743</v>
      </c>
      <c r="H302" s="10">
        <v>944775</v>
      </c>
      <c r="I302" s="10">
        <v>0</v>
      </c>
      <c r="J302" s="10">
        <v>0</v>
      </c>
      <c r="L302" t="s">
        <v>42</v>
      </c>
      <c r="M302" t="s">
        <v>94</v>
      </c>
      <c r="N302" t="s">
        <v>744</v>
      </c>
      <c r="O302" s="2">
        <v>43922</v>
      </c>
      <c r="P302" s="2">
        <v>45747</v>
      </c>
      <c r="Q302">
        <v>2</v>
      </c>
      <c r="R302" t="s">
        <v>745</v>
      </c>
    </row>
    <row r="303" spans="1:18" x14ac:dyDescent="0.25">
      <c r="A303" t="s">
        <v>747</v>
      </c>
      <c r="B303" t="s">
        <v>49</v>
      </c>
      <c r="C303" t="s">
        <v>50</v>
      </c>
      <c r="D303" t="s">
        <v>21</v>
      </c>
      <c r="E303" t="s">
        <v>751</v>
      </c>
      <c r="F303" t="s">
        <v>32</v>
      </c>
      <c r="G303" t="s">
        <v>752</v>
      </c>
      <c r="H303" s="11">
        <v>100000</v>
      </c>
      <c r="I303" s="11">
        <v>0</v>
      </c>
      <c r="J303" s="11">
        <v>0</v>
      </c>
      <c r="L303" t="s">
        <v>34</v>
      </c>
      <c r="M303" t="s">
        <v>26</v>
      </c>
      <c r="N303" t="s">
        <v>753</v>
      </c>
      <c r="O303" s="2">
        <v>39873</v>
      </c>
      <c r="P303" s="2">
        <v>40237</v>
      </c>
      <c r="Q303">
        <v>6</v>
      </c>
      <c r="R303" t="s">
        <v>754</v>
      </c>
    </row>
    <row r="304" spans="1:18" x14ac:dyDescent="0.25">
      <c r="A304" t="s">
        <v>747</v>
      </c>
      <c r="B304" t="s">
        <v>49</v>
      </c>
      <c r="C304" t="s">
        <v>50</v>
      </c>
      <c r="D304" t="s">
        <v>99</v>
      </c>
      <c r="E304" t="s">
        <v>100</v>
      </c>
      <c r="F304" t="s">
        <v>101</v>
      </c>
      <c r="G304" t="s">
        <v>755</v>
      </c>
      <c r="H304" s="10">
        <v>237445</v>
      </c>
      <c r="I304" s="10">
        <v>0</v>
      </c>
      <c r="J304" s="10">
        <v>0</v>
      </c>
      <c r="L304" t="s">
        <v>34</v>
      </c>
      <c r="M304" t="s">
        <v>94</v>
      </c>
      <c r="N304" t="s">
        <v>756</v>
      </c>
      <c r="O304" s="2">
        <v>43983</v>
      </c>
      <c r="P304" s="2">
        <v>44347</v>
      </c>
      <c r="Q304">
        <v>0</v>
      </c>
      <c r="R304" t="s">
        <v>757</v>
      </c>
    </row>
    <row r="305" spans="1:18" x14ac:dyDescent="0.25">
      <c r="A305" t="s">
        <v>747</v>
      </c>
      <c r="B305" t="s">
        <v>49</v>
      </c>
      <c r="C305" t="s">
        <v>50</v>
      </c>
      <c r="D305" t="s">
        <v>5165</v>
      </c>
      <c r="E305" t="s">
        <v>5188</v>
      </c>
      <c r="F305" t="s">
        <v>4554</v>
      </c>
      <c r="G305" t="s">
        <v>5189</v>
      </c>
      <c r="H305" s="10">
        <v>700000</v>
      </c>
      <c r="I305" s="10">
        <v>0</v>
      </c>
      <c r="J305" s="10">
        <v>0</v>
      </c>
      <c r="L305" t="s">
        <v>42</v>
      </c>
      <c r="M305" t="s">
        <v>26</v>
      </c>
      <c r="N305" t="s">
        <v>6076</v>
      </c>
      <c r="O305" s="2">
        <v>41183</v>
      </c>
      <c r="P305" s="2">
        <v>43008</v>
      </c>
      <c r="Q305">
        <v>17</v>
      </c>
      <c r="R305" t="s">
        <v>6075</v>
      </c>
    </row>
    <row r="306" spans="1:18" x14ac:dyDescent="0.25">
      <c r="A306" t="s">
        <v>747</v>
      </c>
      <c r="B306" t="s">
        <v>49</v>
      </c>
      <c r="C306" t="s">
        <v>50</v>
      </c>
      <c r="D306" t="s">
        <v>51</v>
      </c>
      <c r="E306" t="s">
        <v>127</v>
      </c>
      <c r="F306" t="s">
        <v>128</v>
      </c>
      <c r="G306" t="s">
        <v>748</v>
      </c>
      <c r="H306" s="10">
        <v>856800</v>
      </c>
      <c r="I306" s="10">
        <v>0</v>
      </c>
      <c r="J306" s="10">
        <v>0</v>
      </c>
      <c r="L306" t="s">
        <v>42</v>
      </c>
      <c r="M306" t="s">
        <v>26</v>
      </c>
      <c r="N306" t="s">
        <v>749</v>
      </c>
      <c r="O306" s="2">
        <v>45108</v>
      </c>
      <c r="P306" s="2">
        <v>46934</v>
      </c>
      <c r="Q306">
        <v>0</v>
      </c>
      <c r="R306" t="s">
        <v>750</v>
      </c>
    </row>
    <row r="307" spans="1:18" x14ac:dyDescent="0.25">
      <c r="A307" t="s">
        <v>747</v>
      </c>
      <c r="B307" t="s">
        <v>49</v>
      </c>
      <c r="C307" t="s">
        <v>50</v>
      </c>
      <c r="D307" t="s">
        <v>51</v>
      </c>
      <c r="E307" t="s">
        <v>70</v>
      </c>
      <c r="F307" t="s">
        <v>356</v>
      </c>
      <c r="G307" t="s">
        <v>760</v>
      </c>
      <c r="H307" s="10">
        <v>1082476</v>
      </c>
      <c r="I307" s="10">
        <v>0</v>
      </c>
      <c r="J307" s="10">
        <v>0</v>
      </c>
      <c r="L307" t="s">
        <v>42</v>
      </c>
      <c r="M307" t="s">
        <v>94</v>
      </c>
      <c r="N307" t="s">
        <v>462</v>
      </c>
      <c r="O307" s="2">
        <v>45200</v>
      </c>
      <c r="P307" s="2">
        <v>47026</v>
      </c>
      <c r="Q307">
        <v>4</v>
      </c>
      <c r="R307" t="s">
        <v>761</v>
      </c>
    </row>
    <row r="308" spans="1:18" x14ac:dyDescent="0.25">
      <c r="A308" t="s">
        <v>5353</v>
      </c>
      <c r="B308" t="s">
        <v>49</v>
      </c>
      <c r="C308" t="s">
        <v>50</v>
      </c>
      <c r="D308" t="s">
        <v>51</v>
      </c>
      <c r="E308" t="s">
        <v>167</v>
      </c>
      <c r="F308" t="s">
        <v>356</v>
      </c>
      <c r="G308" t="s">
        <v>758</v>
      </c>
      <c r="H308" s="10">
        <v>1057421</v>
      </c>
      <c r="I308" s="10">
        <v>0</v>
      </c>
      <c r="J308" s="10">
        <v>0</v>
      </c>
      <c r="L308" t="s">
        <v>42</v>
      </c>
      <c r="M308" t="s">
        <v>143</v>
      </c>
      <c r="N308" t="s">
        <v>600</v>
      </c>
      <c r="O308" s="2">
        <v>45017</v>
      </c>
      <c r="P308" s="2">
        <v>46843</v>
      </c>
      <c r="Q308">
        <v>1</v>
      </c>
      <c r="R308" t="s">
        <v>759</v>
      </c>
    </row>
    <row r="309" spans="1:18" x14ac:dyDescent="0.25">
      <c r="A309" t="s">
        <v>5190</v>
      </c>
      <c r="B309" t="s">
        <v>114</v>
      </c>
      <c r="C309" t="s">
        <v>20</v>
      </c>
      <c r="D309" t="s">
        <v>5165</v>
      </c>
      <c r="E309" t="s">
        <v>5191</v>
      </c>
      <c r="F309" t="s">
        <v>4554</v>
      </c>
      <c r="G309" t="s">
        <v>5192</v>
      </c>
      <c r="H309" s="10">
        <v>126664</v>
      </c>
      <c r="I309" s="10">
        <v>0</v>
      </c>
      <c r="J309" s="10">
        <v>0</v>
      </c>
      <c r="L309" t="s">
        <v>84</v>
      </c>
      <c r="M309" t="s">
        <v>85</v>
      </c>
      <c r="N309" t="s">
        <v>6010</v>
      </c>
      <c r="O309" s="2">
        <v>41730</v>
      </c>
      <c r="P309" s="2">
        <v>42460</v>
      </c>
      <c r="Q309">
        <v>0</v>
      </c>
      <c r="R309" t="s">
        <v>6009</v>
      </c>
    </row>
    <row r="310" spans="1:18" x14ac:dyDescent="0.25">
      <c r="A310" t="s">
        <v>762</v>
      </c>
      <c r="B310" t="s">
        <v>4464</v>
      </c>
      <c r="C310" t="s">
        <v>20</v>
      </c>
      <c r="D310" t="s">
        <v>21</v>
      </c>
      <c r="E310" t="s">
        <v>572</v>
      </c>
      <c r="F310" t="s">
        <v>109</v>
      </c>
      <c r="G310" t="s">
        <v>763</v>
      </c>
      <c r="H310" s="10">
        <v>344523</v>
      </c>
      <c r="I310" s="10">
        <v>0</v>
      </c>
      <c r="J310" s="10">
        <v>0</v>
      </c>
      <c r="L310" t="s">
        <v>55</v>
      </c>
      <c r="M310" t="s">
        <v>103</v>
      </c>
      <c r="N310" t="s">
        <v>764</v>
      </c>
      <c r="O310" s="2">
        <v>41730</v>
      </c>
      <c r="P310" s="2">
        <v>42825</v>
      </c>
      <c r="Q310">
        <v>2</v>
      </c>
      <c r="R310" t="s">
        <v>765</v>
      </c>
    </row>
    <row r="311" spans="1:18" x14ac:dyDescent="0.25">
      <c r="A311" t="s">
        <v>762</v>
      </c>
      <c r="B311" t="s">
        <v>4464</v>
      </c>
      <c r="C311" t="s">
        <v>20</v>
      </c>
      <c r="D311" t="s">
        <v>51</v>
      </c>
      <c r="E311" t="s">
        <v>70</v>
      </c>
      <c r="F311" t="s">
        <v>109</v>
      </c>
      <c r="G311" t="s">
        <v>766</v>
      </c>
      <c r="H311" s="10">
        <v>875925</v>
      </c>
      <c r="I311" s="10">
        <v>0</v>
      </c>
      <c r="J311" s="10">
        <v>0</v>
      </c>
      <c r="L311" t="s">
        <v>25</v>
      </c>
      <c r="M311" t="s">
        <v>26</v>
      </c>
      <c r="N311" t="s">
        <v>767</v>
      </c>
      <c r="O311" s="2">
        <v>45200</v>
      </c>
      <c r="P311" s="2">
        <v>46660</v>
      </c>
      <c r="Q311">
        <v>0</v>
      </c>
      <c r="R311" t="s">
        <v>768</v>
      </c>
    </row>
    <row r="312" spans="1:18" x14ac:dyDescent="0.25">
      <c r="A312" t="s">
        <v>769</v>
      </c>
      <c r="B312" t="s">
        <v>196</v>
      </c>
      <c r="C312" t="s">
        <v>20</v>
      </c>
      <c r="D312" t="s">
        <v>21</v>
      </c>
      <c r="E312" t="s">
        <v>534</v>
      </c>
      <c r="F312" t="s">
        <v>109</v>
      </c>
      <c r="G312" t="s">
        <v>770</v>
      </c>
      <c r="H312" s="10">
        <v>329049</v>
      </c>
      <c r="I312" s="10">
        <v>0</v>
      </c>
      <c r="J312" s="10">
        <v>0</v>
      </c>
      <c r="L312" t="s">
        <v>55</v>
      </c>
      <c r="M312" t="s">
        <v>103</v>
      </c>
      <c r="N312" t="s">
        <v>771</v>
      </c>
      <c r="O312" s="2">
        <v>40817</v>
      </c>
      <c r="P312" s="2">
        <v>41912</v>
      </c>
      <c r="Q312">
        <v>0</v>
      </c>
      <c r="R312" t="s">
        <v>772</v>
      </c>
    </row>
    <row r="313" spans="1:18" x14ac:dyDescent="0.25">
      <c r="A313" t="s">
        <v>5075</v>
      </c>
      <c r="B313" t="s">
        <v>196</v>
      </c>
      <c r="C313" t="s">
        <v>20</v>
      </c>
      <c r="D313" t="s">
        <v>21</v>
      </c>
      <c r="E313" t="s">
        <v>572</v>
      </c>
      <c r="F313" t="s">
        <v>109</v>
      </c>
      <c r="G313" t="s">
        <v>773</v>
      </c>
      <c r="H313" s="10">
        <v>419099</v>
      </c>
      <c r="I313" s="10">
        <v>0</v>
      </c>
      <c r="J313" s="10">
        <v>0</v>
      </c>
      <c r="L313" t="s">
        <v>55</v>
      </c>
      <c r="M313" t="s">
        <v>26</v>
      </c>
      <c r="N313" t="s">
        <v>569</v>
      </c>
      <c r="O313" s="2">
        <v>41730</v>
      </c>
      <c r="P313" s="2">
        <v>42825</v>
      </c>
      <c r="Q313">
        <v>2</v>
      </c>
      <c r="R313" t="s">
        <v>774</v>
      </c>
    </row>
    <row r="314" spans="1:18" x14ac:dyDescent="0.25">
      <c r="A314" t="s">
        <v>5354</v>
      </c>
      <c r="B314" t="s">
        <v>19</v>
      </c>
      <c r="C314" t="s">
        <v>20</v>
      </c>
      <c r="D314" t="s">
        <v>51</v>
      </c>
      <c r="E314" t="s">
        <v>52</v>
      </c>
      <c r="F314" t="s">
        <v>53</v>
      </c>
      <c r="G314" t="s">
        <v>775</v>
      </c>
      <c r="H314" s="10">
        <v>803252</v>
      </c>
      <c r="I314" s="10">
        <v>0</v>
      </c>
      <c r="J314" s="10">
        <v>0</v>
      </c>
      <c r="L314" t="s">
        <v>25</v>
      </c>
      <c r="M314" t="s">
        <v>103</v>
      </c>
      <c r="N314" t="s">
        <v>776</v>
      </c>
      <c r="O314" s="2">
        <v>44287</v>
      </c>
      <c r="P314" s="2">
        <v>45747</v>
      </c>
      <c r="Q314">
        <v>1</v>
      </c>
      <c r="R314" t="s">
        <v>777</v>
      </c>
    </row>
    <row r="315" spans="1:18" x14ac:dyDescent="0.25">
      <c r="A315" t="s">
        <v>778</v>
      </c>
      <c r="B315" t="s">
        <v>4464</v>
      </c>
      <c r="C315" t="s">
        <v>20</v>
      </c>
      <c r="D315" t="s">
        <v>51</v>
      </c>
      <c r="E315" t="s">
        <v>116</v>
      </c>
      <c r="F315" t="s">
        <v>109</v>
      </c>
      <c r="G315" t="s">
        <v>787</v>
      </c>
      <c r="H315" s="10">
        <v>795600</v>
      </c>
      <c r="I315" s="10">
        <v>0</v>
      </c>
      <c r="J315" s="10">
        <v>0</v>
      </c>
      <c r="L315" t="s">
        <v>55</v>
      </c>
      <c r="M315" t="s">
        <v>26</v>
      </c>
      <c r="N315" t="s">
        <v>788</v>
      </c>
      <c r="O315" s="2">
        <v>43374</v>
      </c>
      <c r="P315" s="2">
        <v>44469</v>
      </c>
      <c r="Q315">
        <v>0</v>
      </c>
      <c r="R315" t="s">
        <v>781</v>
      </c>
    </row>
    <row r="316" spans="1:18" x14ac:dyDescent="0.25">
      <c r="A316" t="s">
        <v>5076</v>
      </c>
      <c r="B316" t="s">
        <v>4464</v>
      </c>
      <c r="C316" t="s">
        <v>20</v>
      </c>
      <c r="D316" t="s">
        <v>21</v>
      </c>
      <c r="E316" t="s">
        <v>108</v>
      </c>
      <c r="F316" t="s">
        <v>109</v>
      </c>
      <c r="G316" t="s">
        <v>779</v>
      </c>
      <c r="H316" s="10">
        <v>706608</v>
      </c>
      <c r="I316" s="10">
        <v>0</v>
      </c>
      <c r="J316" s="10">
        <v>0</v>
      </c>
      <c r="L316" t="s">
        <v>42</v>
      </c>
      <c r="M316" t="s">
        <v>26</v>
      </c>
      <c r="N316" t="s">
        <v>780</v>
      </c>
      <c r="O316" s="2">
        <v>41548</v>
      </c>
      <c r="P316" s="2">
        <v>43373</v>
      </c>
      <c r="Q316">
        <v>0</v>
      </c>
      <c r="R316" t="s">
        <v>781</v>
      </c>
    </row>
    <row r="317" spans="1:18" x14ac:dyDescent="0.25">
      <c r="A317" t="s">
        <v>5076</v>
      </c>
      <c r="B317" t="s">
        <v>4464</v>
      </c>
      <c r="C317" t="s">
        <v>20</v>
      </c>
      <c r="D317" t="s">
        <v>51</v>
      </c>
      <c r="E317" t="s">
        <v>784</v>
      </c>
      <c r="F317" t="s">
        <v>109</v>
      </c>
      <c r="G317" t="s">
        <v>785</v>
      </c>
      <c r="H317" s="10">
        <v>100000</v>
      </c>
      <c r="I317" s="10">
        <v>0</v>
      </c>
      <c r="J317" s="10">
        <v>0</v>
      </c>
      <c r="L317" t="s">
        <v>34</v>
      </c>
      <c r="M317" t="s">
        <v>26</v>
      </c>
      <c r="N317" t="s">
        <v>786</v>
      </c>
      <c r="O317" s="2">
        <v>43191</v>
      </c>
      <c r="P317" s="2">
        <v>43555</v>
      </c>
      <c r="Q317">
        <v>0</v>
      </c>
      <c r="R317" t="s">
        <v>783</v>
      </c>
    </row>
    <row r="318" spans="1:18" x14ac:dyDescent="0.25">
      <c r="A318" t="s">
        <v>5076</v>
      </c>
      <c r="B318" t="s">
        <v>4464</v>
      </c>
      <c r="C318" t="s">
        <v>20</v>
      </c>
      <c r="D318" t="s">
        <v>51</v>
      </c>
      <c r="E318" t="s">
        <v>163</v>
      </c>
      <c r="F318" t="s">
        <v>109</v>
      </c>
      <c r="G318" t="s">
        <v>782</v>
      </c>
      <c r="H318" s="10">
        <v>598995</v>
      </c>
      <c r="I318" s="10">
        <v>0</v>
      </c>
      <c r="J318" s="10">
        <v>0</v>
      </c>
      <c r="L318" t="s">
        <v>55</v>
      </c>
      <c r="M318" t="s">
        <v>26</v>
      </c>
      <c r="N318" t="s">
        <v>458</v>
      </c>
      <c r="O318" s="2">
        <v>43556</v>
      </c>
      <c r="P318" s="2">
        <v>44651</v>
      </c>
      <c r="Q318">
        <v>3</v>
      </c>
      <c r="R318" t="s">
        <v>783</v>
      </c>
    </row>
    <row r="319" spans="1:18" x14ac:dyDescent="0.25">
      <c r="A319" t="s">
        <v>789</v>
      </c>
      <c r="B319" t="s">
        <v>19</v>
      </c>
      <c r="C319" t="s">
        <v>20</v>
      </c>
      <c r="D319" t="s">
        <v>21</v>
      </c>
      <c r="E319" t="s">
        <v>255</v>
      </c>
      <c r="F319" t="s">
        <v>32</v>
      </c>
      <c r="G319" t="s">
        <v>796</v>
      </c>
      <c r="H319" s="11">
        <v>347478</v>
      </c>
      <c r="I319" s="11">
        <v>0</v>
      </c>
      <c r="J319" s="11">
        <v>0</v>
      </c>
      <c r="L319" t="s">
        <v>55</v>
      </c>
      <c r="M319" t="s">
        <v>26</v>
      </c>
      <c r="N319" t="s">
        <v>489</v>
      </c>
      <c r="O319" s="2">
        <v>39904</v>
      </c>
      <c r="P319" s="2">
        <v>40999</v>
      </c>
      <c r="Q319">
        <v>1</v>
      </c>
      <c r="R319" t="s">
        <v>797</v>
      </c>
    </row>
    <row r="320" spans="1:18" x14ac:dyDescent="0.25">
      <c r="A320" t="s">
        <v>789</v>
      </c>
      <c r="B320" t="s">
        <v>19</v>
      </c>
      <c r="C320" t="s">
        <v>20</v>
      </c>
      <c r="D320" t="s">
        <v>21</v>
      </c>
      <c r="E320" t="s">
        <v>377</v>
      </c>
      <c r="F320" t="s">
        <v>32</v>
      </c>
      <c r="G320" t="s">
        <v>790</v>
      </c>
      <c r="H320" s="10">
        <v>447823</v>
      </c>
      <c r="I320" s="10">
        <v>0</v>
      </c>
      <c r="J320" s="10">
        <v>0</v>
      </c>
      <c r="L320" t="s">
        <v>25</v>
      </c>
      <c r="M320" t="s">
        <v>26</v>
      </c>
      <c r="N320" t="s">
        <v>791</v>
      </c>
      <c r="O320" s="2">
        <v>41183</v>
      </c>
      <c r="P320" s="2">
        <v>42643</v>
      </c>
      <c r="Q320">
        <v>7</v>
      </c>
      <c r="R320" t="s">
        <v>792</v>
      </c>
    </row>
    <row r="321" spans="1:18" x14ac:dyDescent="0.25">
      <c r="A321" t="s">
        <v>789</v>
      </c>
      <c r="B321" t="s">
        <v>19</v>
      </c>
      <c r="C321" t="s">
        <v>20</v>
      </c>
      <c r="D321" t="s">
        <v>21</v>
      </c>
      <c r="E321" t="s">
        <v>60</v>
      </c>
      <c r="F321" t="s">
        <v>109</v>
      </c>
      <c r="G321" t="s">
        <v>793</v>
      </c>
      <c r="H321" s="10">
        <v>333390</v>
      </c>
      <c r="I321" s="10">
        <v>0</v>
      </c>
      <c r="J321" s="10">
        <v>0</v>
      </c>
      <c r="L321" t="s">
        <v>55</v>
      </c>
      <c r="M321" t="s">
        <v>26</v>
      </c>
      <c r="N321" t="s">
        <v>794</v>
      </c>
      <c r="O321" s="2">
        <v>41821</v>
      </c>
      <c r="P321" s="2">
        <v>42916</v>
      </c>
      <c r="Q321">
        <v>10</v>
      </c>
      <c r="R321" t="s">
        <v>795</v>
      </c>
    </row>
    <row r="322" spans="1:18" x14ac:dyDescent="0.25">
      <c r="A322" t="s">
        <v>5355</v>
      </c>
      <c r="B322" t="s">
        <v>19</v>
      </c>
      <c r="C322" t="s">
        <v>20</v>
      </c>
      <c r="D322" t="s">
        <v>51</v>
      </c>
      <c r="E322" t="s">
        <v>259</v>
      </c>
      <c r="F322" t="s">
        <v>23</v>
      </c>
      <c r="G322" t="s">
        <v>798</v>
      </c>
      <c r="H322" s="10">
        <v>612000</v>
      </c>
      <c r="I322" s="10">
        <v>0</v>
      </c>
      <c r="J322" s="10">
        <v>0</v>
      </c>
      <c r="L322" t="s">
        <v>25</v>
      </c>
      <c r="M322" t="s">
        <v>26</v>
      </c>
      <c r="N322" t="s">
        <v>799</v>
      </c>
      <c r="O322" s="2">
        <v>44105</v>
      </c>
      <c r="P322" s="2">
        <v>45565</v>
      </c>
      <c r="Q322">
        <v>1</v>
      </c>
      <c r="R322" t="s">
        <v>800</v>
      </c>
    </row>
    <row r="323" spans="1:18" x14ac:dyDescent="0.25">
      <c r="A323" t="s">
        <v>801</v>
      </c>
      <c r="B323" t="s">
        <v>196</v>
      </c>
      <c r="C323" t="s">
        <v>20</v>
      </c>
      <c r="D323" t="s">
        <v>21</v>
      </c>
      <c r="E323" t="s">
        <v>287</v>
      </c>
      <c r="F323" t="s">
        <v>32</v>
      </c>
      <c r="G323" t="s">
        <v>802</v>
      </c>
      <c r="H323" s="10">
        <v>703280</v>
      </c>
      <c r="I323" s="10">
        <v>0</v>
      </c>
      <c r="J323" s="10">
        <v>0</v>
      </c>
      <c r="L323" t="s">
        <v>42</v>
      </c>
      <c r="M323" t="s">
        <v>204</v>
      </c>
      <c r="N323" t="s">
        <v>803</v>
      </c>
      <c r="O323" s="2">
        <v>40634</v>
      </c>
      <c r="P323" s="2">
        <v>42460</v>
      </c>
      <c r="Q323">
        <v>0</v>
      </c>
      <c r="R323" t="s">
        <v>804</v>
      </c>
    </row>
    <row r="324" spans="1:18" x14ac:dyDescent="0.25">
      <c r="A324" t="s">
        <v>805</v>
      </c>
      <c r="B324" t="s">
        <v>98</v>
      </c>
      <c r="C324" t="s">
        <v>20</v>
      </c>
      <c r="D324" t="s">
        <v>51</v>
      </c>
      <c r="E324" t="s">
        <v>259</v>
      </c>
      <c r="F324" t="s">
        <v>47</v>
      </c>
      <c r="G324" t="s">
        <v>806</v>
      </c>
      <c r="H324" s="10">
        <v>807076</v>
      </c>
      <c r="I324" s="10">
        <v>0</v>
      </c>
      <c r="J324" s="10">
        <v>0</v>
      </c>
      <c r="L324" t="s">
        <v>42</v>
      </c>
      <c r="M324" t="s">
        <v>26</v>
      </c>
      <c r="N324" t="s">
        <v>807</v>
      </c>
      <c r="O324" s="2">
        <v>44105</v>
      </c>
      <c r="P324" s="2">
        <v>45930</v>
      </c>
      <c r="Q324">
        <v>0</v>
      </c>
      <c r="R324" t="s">
        <v>808</v>
      </c>
    </row>
    <row r="325" spans="1:18" x14ac:dyDescent="0.25">
      <c r="A325" t="s">
        <v>809</v>
      </c>
      <c r="B325" t="s">
        <v>237</v>
      </c>
      <c r="C325" t="s">
        <v>20</v>
      </c>
      <c r="D325" t="s">
        <v>21</v>
      </c>
      <c r="E325" t="s">
        <v>549</v>
      </c>
      <c r="F325" t="s">
        <v>23</v>
      </c>
      <c r="G325" t="s">
        <v>810</v>
      </c>
      <c r="H325" s="10">
        <v>545268</v>
      </c>
      <c r="I325" s="10">
        <v>0</v>
      </c>
      <c r="J325" s="10">
        <v>0</v>
      </c>
      <c r="L325" t="s">
        <v>25</v>
      </c>
      <c r="M325" t="s">
        <v>26</v>
      </c>
      <c r="N325" t="s">
        <v>811</v>
      </c>
      <c r="O325" s="2">
        <v>42186</v>
      </c>
      <c r="P325" s="2">
        <v>43646</v>
      </c>
      <c r="Q325">
        <v>0</v>
      </c>
      <c r="R325" t="s">
        <v>812</v>
      </c>
    </row>
    <row r="326" spans="1:18" x14ac:dyDescent="0.25">
      <c r="A326" t="s">
        <v>5258</v>
      </c>
      <c r="B326" t="s">
        <v>4507</v>
      </c>
      <c r="C326" t="s">
        <v>20</v>
      </c>
      <c r="D326" t="s">
        <v>5248</v>
      </c>
      <c r="E326" t="s">
        <v>5252</v>
      </c>
      <c r="F326" t="s">
        <v>4554</v>
      </c>
      <c r="G326" t="s">
        <v>5259</v>
      </c>
      <c r="H326" s="10">
        <v>107757</v>
      </c>
      <c r="I326" s="10">
        <v>0</v>
      </c>
      <c r="J326" s="10">
        <v>0</v>
      </c>
      <c r="L326" t="s">
        <v>25</v>
      </c>
      <c r="M326" t="s">
        <v>217</v>
      </c>
      <c r="N326" t="s">
        <v>5874</v>
      </c>
      <c r="O326" s="2">
        <v>40817</v>
      </c>
      <c r="P326" s="2">
        <v>42277</v>
      </c>
      <c r="Q326">
        <v>0</v>
      </c>
      <c r="R326" t="s">
        <v>5873</v>
      </c>
    </row>
    <row r="327" spans="1:18" x14ac:dyDescent="0.25">
      <c r="A327" t="s">
        <v>813</v>
      </c>
      <c r="B327" t="s">
        <v>499</v>
      </c>
      <c r="C327" t="s">
        <v>311</v>
      </c>
      <c r="D327" t="s">
        <v>51</v>
      </c>
      <c r="E327" t="s">
        <v>208</v>
      </c>
      <c r="F327" t="s">
        <v>53</v>
      </c>
      <c r="G327" t="s">
        <v>814</v>
      </c>
      <c r="H327" s="10">
        <v>918000</v>
      </c>
      <c r="I327" s="10">
        <v>0</v>
      </c>
      <c r="J327" s="10">
        <v>0</v>
      </c>
      <c r="L327" t="s">
        <v>42</v>
      </c>
      <c r="M327" t="s">
        <v>94</v>
      </c>
      <c r="N327" t="s">
        <v>600</v>
      </c>
      <c r="O327" s="2">
        <v>45383</v>
      </c>
      <c r="P327" s="2">
        <v>47208</v>
      </c>
      <c r="Q327">
        <v>1</v>
      </c>
      <c r="R327" t="s">
        <v>815</v>
      </c>
    </row>
    <row r="328" spans="1:18" x14ac:dyDescent="0.25">
      <c r="A328" t="s">
        <v>816</v>
      </c>
      <c r="B328" t="s">
        <v>710</v>
      </c>
      <c r="C328" t="s">
        <v>711</v>
      </c>
      <c r="D328" t="s">
        <v>817</v>
      </c>
      <c r="E328" t="s">
        <v>818</v>
      </c>
      <c r="F328" t="s">
        <v>32</v>
      </c>
      <c r="G328" t="s">
        <v>819</v>
      </c>
      <c r="H328" s="10">
        <v>100000</v>
      </c>
      <c r="I328" s="10">
        <v>0</v>
      </c>
      <c r="J328" s="10">
        <v>0</v>
      </c>
      <c r="L328" t="s">
        <v>84</v>
      </c>
      <c r="M328" t="s">
        <v>26</v>
      </c>
      <c r="N328" t="s">
        <v>820</v>
      </c>
      <c r="O328" s="2">
        <v>40087</v>
      </c>
      <c r="P328" s="2">
        <v>40816</v>
      </c>
      <c r="Q328">
        <v>0</v>
      </c>
      <c r="R328" t="s">
        <v>821</v>
      </c>
    </row>
    <row r="329" spans="1:18" x14ac:dyDescent="0.25">
      <c r="A329" t="s">
        <v>5297</v>
      </c>
      <c r="B329" t="s">
        <v>19</v>
      </c>
      <c r="C329" t="s">
        <v>20</v>
      </c>
      <c r="D329" t="s">
        <v>5280</v>
      </c>
      <c r="E329" t="s">
        <v>5295</v>
      </c>
      <c r="F329" t="s">
        <v>4554</v>
      </c>
      <c r="G329" t="s">
        <v>5298</v>
      </c>
      <c r="H329" s="10">
        <v>357495</v>
      </c>
      <c r="I329" s="10">
        <v>0</v>
      </c>
      <c r="J329" s="10">
        <v>0</v>
      </c>
      <c r="L329" t="s">
        <v>55</v>
      </c>
      <c r="M329" t="s">
        <v>26</v>
      </c>
      <c r="N329" t="s">
        <v>5734</v>
      </c>
      <c r="O329" s="2">
        <v>40087</v>
      </c>
      <c r="P329" s="2">
        <v>41182</v>
      </c>
      <c r="Q329">
        <v>0</v>
      </c>
      <c r="R329" t="s">
        <v>5733</v>
      </c>
    </row>
    <row r="330" spans="1:18" x14ac:dyDescent="0.25">
      <c r="A330" t="s">
        <v>822</v>
      </c>
      <c r="B330" t="s">
        <v>19</v>
      </c>
      <c r="C330" t="s">
        <v>20</v>
      </c>
      <c r="D330" t="s">
        <v>51</v>
      </c>
      <c r="E330" t="s">
        <v>122</v>
      </c>
      <c r="F330" t="s">
        <v>32</v>
      </c>
      <c r="G330" t="s">
        <v>826</v>
      </c>
      <c r="H330" s="10">
        <v>868276</v>
      </c>
      <c r="I330" s="10">
        <v>0</v>
      </c>
      <c r="J330" s="10">
        <v>0</v>
      </c>
      <c r="L330" t="s">
        <v>42</v>
      </c>
      <c r="M330" t="s">
        <v>26</v>
      </c>
      <c r="N330" t="s">
        <v>827</v>
      </c>
      <c r="O330" s="2">
        <v>43739</v>
      </c>
      <c r="P330" s="2">
        <v>45565</v>
      </c>
      <c r="Q330">
        <v>7</v>
      </c>
      <c r="R330" t="s">
        <v>828</v>
      </c>
    </row>
    <row r="331" spans="1:18" x14ac:dyDescent="0.25">
      <c r="A331" t="s">
        <v>822</v>
      </c>
      <c r="B331" t="s">
        <v>19</v>
      </c>
      <c r="C331" t="s">
        <v>20</v>
      </c>
      <c r="D331" t="s">
        <v>51</v>
      </c>
      <c r="E331" t="s">
        <v>223</v>
      </c>
      <c r="F331" t="s">
        <v>32</v>
      </c>
      <c r="G331" t="s">
        <v>823</v>
      </c>
      <c r="H331" s="10">
        <v>860626</v>
      </c>
      <c r="I331" s="10">
        <v>0</v>
      </c>
      <c r="J331" s="10">
        <v>0</v>
      </c>
      <c r="L331" t="s">
        <v>42</v>
      </c>
      <c r="M331" t="s">
        <v>26</v>
      </c>
      <c r="N331" t="s">
        <v>824</v>
      </c>
      <c r="O331" s="2">
        <v>45566</v>
      </c>
      <c r="P331" s="2">
        <v>47391</v>
      </c>
      <c r="Q331">
        <v>0</v>
      </c>
      <c r="R331" t="s">
        <v>825</v>
      </c>
    </row>
    <row r="332" spans="1:18" x14ac:dyDescent="0.25">
      <c r="A332" t="s">
        <v>4306</v>
      </c>
      <c r="B332" t="s">
        <v>3140</v>
      </c>
      <c r="C332" t="s">
        <v>20</v>
      </c>
      <c r="D332" t="s">
        <v>21</v>
      </c>
      <c r="E332" t="s">
        <v>572</v>
      </c>
      <c r="F332" t="s">
        <v>109</v>
      </c>
      <c r="G332" t="s">
        <v>4307</v>
      </c>
      <c r="H332" s="10">
        <v>391460</v>
      </c>
      <c r="I332" s="10">
        <v>0</v>
      </c>
      <c r="J332" s="10">
        <v>0</v>
      </c>
      <c r="L332" t="s">
        <v>25</v>
      </c>
      <c r="M332" t="s">
        <v>103</v>
      </c>
      <c r="N332" t="s">
        <v>4308</v>
      </c>
      <c r="O332" s="2">
        <v>41730</v>
      </c>
      <c r="P332" s="2">
        <v>43190</v>
      </c>
      <c r="Q332">
        <v>0</v>
      </c>
      <c r="R332" t="s">
        <v>4309</v>
      </c>
    </row>
    <row r="333" spans="1:18" x14ac:dyDescent="0.25">
      <c r="A333" t="s">
        <v>4658</v>
      </c>
      <c r="B333" t="s">
        <v>4492</v>
      </c>
      <c r="C333" t="s">
        <v>38</v>
      </c>
      <c r="D333" t="s">
        <v>4557</v>
      </c>
      <c r="E333" t="s">
        <v>4597</v>
      </c>
      <c r="F333" t="s">
        <v>4559</v>
      </c>
      <c r="G333" t="s">
        <v>4659</v>
      </c>
      <c r="H333" s="10">
        <v>326994</v>
      </c>
      <c r="I333" s="10">
        <v>0</v>
      </c>
      <c r="J333" s="10">
        <v>0</v>
      </c>
      <c r="L333" t="s">
        <v>55</v>
      </c>
      <c r="M333" t="s">
        <v>111</v>
      </c>
      <c r="N333" t="s">
        <v>6039</v>
      </c>
      <c r="O333" s="2">
        <v>42095</v>
      </c>
      <c r="P333" s="2">
        <v>43190</v>
      </c>
      <c r="Q333">
        <v>0</v>
      </c>
      <c r="R333" t="s">
        <v>6038</v>
      </c>
    </row>
    <row r="334" spans="1:18" x14ac:dyDescent="0.25">
      <c r="A334" t="s">
        <v>829</v>
      </c>
      <c r="B334" t="s">
        <v>196</v>
      </c>
      <c r="C334" t="s">
        <v>20</v>
      </c>
      <c r="D334" t="s">
        <v>21</v>
      </c>
      <c r="E334" t="s">
        <v>60</v>
      </c>
      <c r="F334" t="s">
        <v>109</v>
      </c>
      <c r="G334" t="s">
        <v>830</v>
      </c>
      <c r="H334" s="10">
        <v>367156</v>
      </c>
      <c r="I334" s="10">
        <v>0</v>
      </c>
      <c r="J334" s="10">
        <v>0</v>
      </c>
      <c r="L334" t="s">
        <v>25</v>
      </c>
      <c r="M334" t="s">
        <v>831</v>
      </c>
      <c r="N334" t="s">
        <v>832</v>
      </c>
      <c r="O334" s="2">
        <v>41821</v>
      </c>
      <c r="P334" s="2">
        <v>43281</v>
      </c>
      <c r="Q334">
        <v>0</v>
      </c>
      <c r="R334" t="s">
        <v>833</v>
      </c>
    </row>
    <row r="335" spans="1:18" x14ac:dyDescent="0.25">
      <c r="A335" t="s">
        <v>834</v>
      </c>
      <c r="B335" t="s">
        <v>4496</v>
      </c>
      <c r="C335" t="s">
        <v>38</v>
      </c>
      <c r="D335" t="s">
        <v>51</v>
      </c>
      <c r="E335" t="s">
        <v>197</v>
      </c>
      <c r="F335" t="s">
        <v>47</v>
      </c>
      <c r="G335" t="s">
        <v>837</v>
      </c>
      <c r="H335" s="10">
        <v>619650</v>
      </c>
      <c r="I335" s="10">
        <v>0</v>
      </c>
      <c r="J335" s="10">
        <v>0</v>
      </c>
      <c r="L335" t="s">
        <v>42</v>
      </c>
      <c r="M335" t="s">
        <v>26</v>
      </c>
      <c r="N335" t="s">
        <v>838</v>
      </c>
      <c r="O335" s="2">
        <v>44652</v>
      </c>
      <c r="P335" s="2">
        <v>46477</v>
      </c>
      <c r="Q335">
        <v>0</v>
      </c>
      <c r="R335" t="s">
        <v>839</v>
      </c>
    </row>
    <row r="336" spans="1:18" x14ac:dyDescent="0.25">
      <c r="A336" t="s">
        <v>834</v>
      </c>
      <c r="B336" t="s">
        <v>4496</v>
      </c>
      <c r="C336" t="s">
        <v>38</v>
      </c>
      <c r="D336" t="s">
        <v>835</v>
      </c>
      <c r="E336" t="s">
        <v>836</v>
      </c>
      <c r="F336" t="s">
        <v>128</v>
      </c>
      <c r="G336" t="s">
        <v>837</v>
      </c>
      <c r="H336" s="10">
        <v>100000</v>
      </c>
      <c r="I336" s="10">
        <v>0</v>
      </c>
      <c r="J336" s="10">
        <v>0</v>
      </c>
      <c r="L336" t="s">
        <v>34</v>
      </c>
      <c r="M336" t="s">
        <v>26</v>
      </c>
      <c r="N336" t="s">
        <v>838</v>
      </c>
      <c r="O336" s="2">
        <v>44652</v>
      </c>
      <c r="P336" s="2">
        <v>46477</v>
      </c>
      <c r="Q336">
        <v>0</v>
      </c>
      <c r="R336" t="s">
        <v>839</v>
      </c>
    </row>
    <row r="337" spans="1:18" x14ac:dyDescent="0.25">
      <c r="A337" t="s">
        <v>834</v>
      </c>
      <c r="B337" t="s">
        <v>4496</v>
      </c>
      <c r="C337" t="s">
        <v>38</v>
      </c>
      <c r="D337" t="s">
        <v>835</v>
      </c>
      <c r="E337" t="s">
        <v>840</v>
      </c>
      <c r="F337" t="s">
        <v>47</v>
      </c>
      <c r="G337" t="s">
        <v>837</v>
      </c>
      <c r="H337" s="10">
        <v>100000</v>
      </c>
      <c r="I337" s="10">
        <v>0</v>
      </c>
      <c r="J337" s="10">
        <v>0</v>
      </c>
      <c r="L337" t="s">
        <v>34</v>
      </c>
      <c r="M337" t="s">
        <v>26</v>
      </c>
      <c r="N337" t="s">
        <v>838</v>
      </c>
      <c r="O337" s="2">
        <v>44652</v>
      </c>
      <c r="P337" s="2">
        <v>46477</v>
      </c>
      <c r="Q337">
        <v>0</v>
      </c>
      <c r="R337" t="s">
        <v>839</v>
      </c>
    </row>
    <row r="338" spans="1:18" x14ac:dyDescent="0.25">
      <c r="A338" t="s">
        <v>841</v>
      </c>
      <c r="B338" t="s">
        <v>49</v>
      </c>
      <c r="C338" t="s">
        <v>50</v>
      </c>
      <c r="D338" t="s">
        <v>21</v>
      </c>
      <c r="E338" t="s">
        <v>323</v>
      </c>
      <c r="F338" t="s">
        <v>32</v>
      </c>
      <c r="G338" t="s">
        <v>851</v>
      </c>
      <c r="H338" s="10">
        <v>926186</v>
      </c>
      <c r="I338" s="10">
        <v>0</v>
      </c>
      <c r="J338" s="10">
        <v>0</v>
      </c>
      <c r="L338" t="s">
        <v>42</v>
      </c>
      <c r="M338" t="s">
        <v>26</v>
      </c>
      <c r="N338" t="s">
        <v>852</v>
      </c>
      <c r="O338" s="2">
        <v>40269</v>
      </c>
      <c r="P338" s="2">
        <v>42094</v>
      </c>
      <c r="Q338">
        <v>3</v>
      </c>
      <c r="R338" t="s">
        <v>853</v>
      </c>
    </row>
    <row r="339" spans="1:18" x14ac:dyDescent="0.25">
      <c r="A339" t="s">
        <v>841</v>
      </c>
      <c r="B339" t="s">
        <v>49</v>
      </c>
      <c r="C339" t="s">
        <v>50</v>
      </c>
      <c r="D339" t="s">
        <v>21</v>
      </c>
      <c r="E339" t="s">
        <v>572</v>
      </c>
      <c r="F339" t="s">
        <v>47</v>
      </c>
      <c r="G339" t="s">
        <v>842</v>
      </c>
      <c r="H339" s="10">
        <v>609976</v>
      </c>
      <c r="I339" s="10">
        <v>0</v>
      </c>
      <c r="J339" s="10">
        <v>0</v>
      </c>
      <c r="L339" t="s">
        <v>25</v>
      </c>
      <c r="M339" t="s">
        <v>26</v>
      </c>
      <c r="N339" t="s">
        <v>843</v>
      </c>
      <c r="O339" s="2">
        <v>41730</v>
      </c>
      <c r="P339" s="2">
        <v>42185</v>
      </c>
      <c r="Q339">
        <v>1</v>
      </c>
      <c r="R339" t="s">
        <v>844</v>
      </c>
    </row>
    <row r="340" spans="1:18" x14ac:dyDescent="0.25">
      <c r="A340" t="s">
        <v>841</v>
      </c>
      <c r="B340" t="s">
        <v>49</v>
      </c>
      <c r="C340" t="s">
        <v>50</v>
      </c>
      <c r="D340" t="s">
        <v>39</v>
      </c>
      <c r="E340" t="s">
        <v>847</v>
      </c>
      <c r="F340" t="s">
        <v>32</v>
      </c>
      <c r="G340" t="s">
        <v>848</v>
      </c>
      <c r="H340" s="10">
        <v>100000</v>
      </c>
      <c r="I340" s="10">
        <v>0</v>
      </c>
      <c r="J340" s="10">
        <v>0</v>
      </c>
      <c r="L340" t="s">
        <v>34</v>
      </c>
      <c r="M340" t="s">
        <v>26</v>
      </c>
      <c r="N340" t="s">
        <v>849</v>
      </c>
      <c r="O340" s="2">
        <v>41548</v>
      </c>
      <c r="P340" s="2">
        <v>41912</v>
      </c>
      <c r="Q340">
        <v>0</v>
      </c>
      <c r="R340" t="s">
        <v>850</v>
      </c>
    </row>
    <row r="341" spans="1:18" x14ac:dyDescent="0.25">
      <c r="A341" t="s">
        <v>841</v>
      </c>
      <c r="B341" t="s">
        <v>49</v>
      </c>
      <c r="C341" t="s">
        <v>50</v>
      </c>
      <c r="D341" t="s">
        <v>51</v>
      </c>
      <c r="E341" t="s">
        <v>167</v>
      </c>
      <c r="F341" t="s">
        <v>23</v>
      </c>
      <c r="G341" t="s">
        <v>845</v>
      </c>
      <c r="H341" s="10">
        <v>956250</v>
      </c>
      <c r="I341" s="10">
        <v>0</v>
      </c>
      <c r="J341" s="10">
        <v>0</v>
      </c>
      <c r="L341" t="s">
        <v>42</v>
      </c>
      <c r="M341" t="s">
        <v>26</v>
      </c>
      <c r="N341" t="s">
        <v>72</v>
      </c>
      <c r="O341" s="2">
        <v>45017</v>
      </c>
      <c r="P341" s="2">
        <v>46843</v>
      </c>
      <c r="Q341">
        <v>0</v>
      </c>
      <c r="R341" t="s">
        <v>846</v>
      </c>
    </row>
    <row r="342" spans="1:18" x14ac:dyDescent="0.25">
      <c r="A342" t="s">
        <v>854</v>
      </c>
      <c r="B342" t="s">
        <v>5063</v>
      </c>
      <c r="C342" t="s">
        <v>38</v>
      </c>
      <c r="D342" t="s">
        <v>51</v>
      </c>
      <c r="E342" t="s">
        <v>163</v>
      </c>
      <c r="F342" t="s">
        <v>47</v>
      </c>
      <c r="G342" t="s">
        <v>855</v>
      </c>
      <c r="H342" s="10">
        <v>761175</v>
      </c>
      <c r="I342" s="10">
        <v>0</v>
      </c>
      <c r="J342" s="10">
        <v>0</v>
      </c>
      <c r="L342" t="s">
        <v>42</v>
      </c>
      <c r="M342" t="s">
        <v>26</v>
      </c>
      <c r="N342" t="s">
        <v>165</v>
      </c>
      <c r="O342" s="2">
        <v>43556</v>
      </c>
      <c r="P342" s="2">
        <v>45382</v>
      </c>
      <c r="Q342">
        <v>0</v>
      </c>
      <c r="R342" t="s">
        <v>856</v>
      </c>
    </row>
    <row r="343" spans="1:18" x14ac:dyDescent="0.25">
      <c r="A343" t="s">
        <v>854</v>
      </c>
      <c r="B343" t="s">
        <v>5063</v>
      </c>
      <c r="C343" t="s">
        <v>38</v>
      </c>
      <c r="D343" t="s">
        <v>51</v>
      </c>
      <c r="E343" t="s">
        <v>186</v>
      </c>
      <c r="F343" t="s">
        <v>47</v>
      </c>
      <c r="G343" t="s">
        <v>857</v>
      </c>
      <c r="H343" s="10">
        <v>715276</v>
      </c>
      <c r="I343" s="10">
        <v>0</v>
      </c>
      <c r="J343" s="10">
        <v>0</v>
      </c>
      <c r="L343" t="s">
        <v>42</v>
      </c>
      <c r="M343" t="s">
        <v>26</v>
      </c>
      <c r="N343" t="s">
        <v>72</v>
      </c>
      <c r="O343" s="2">
        <v>44470</v>
      </c>
      <c r="P343" s="2">
        <v>46295</v>
      </c>
      <c r="Q343">
        <v>0</v>
      </c>
      <c r="R343" t="s">
        <v>858</v>
      </c>
    </row>
    <row r="344" spans="1:18" x14ac:dyDescent="0.25">
      <c r="A344" t="s">
        <v>859</v>
      </c>
      <c r="B344" t="s">
        <v>499</v>
      </c>
      <c r="C344" t="s">
        <v>311</v>
      </c>
      <c r="D344" t="s">
        <v>21</v>
      </c>
      <c r="E344" t="s">
        <v>534</v>
      </c>
      <c r="F344" t="s">
        <v>32</v>
      </c>
      <c r="G344" t="s">
        <v>863</v>
      </c>
      <c r="H344" s="10">
        <v>756990</v>
      </c>
      <c r="I344" s="10">
        <v>0</v>
      </c>
      <c r="J344" s="10">
        <v>0</v>
      </c>
      <c r="L344" t="s">
        <v>42</v>
      </c>
      <c r="M344" t="s">
        <v>26</v>
      </c>
      <c r="N344" t="s">
        <v>864</v>
      </c>
      <c r="O344" s="2">
        <v>40817</v>
      </c>
      <c r="P344" s="2">
        <v>42643</v>
      </c>
      <c r="Q344">
        <v>0</v>
      </c>
      <c r="R344" t="s">
        <v>865</v>
      </c>
    </row>
    <row r="345" spans="1:18" x14ac:dyDescent="0.25">
      <c r="A345" t="s">
        <v>859</v>
      </c>
      <c r="B345" t="s">
        <v>499</v>
      </c>
      <c r="C345" t="s">
        <v>311</v>
      </c>
      <c r="D345" t="s">
        <v>51</v>
      </c>
      <c r="E345" t="s">
        <v>406</v>
      </c>
      <c r="F345" t="s">
        <v>32</v>
      </c>
      <c r="G345" t="s">
        <v>860</v>
      </c>
      <c r="H345" s="10">
        <v>1063350</v>
      </c>
      <c r="I345" s="10">
        <v>0</v>
      </c>
      <c r="J345" s="10">
        <v>0</v>
      </c>
      <c r="L345" t="s">
        <v>42</v>
      </c>
      <c r="M345" t="s">
        <v>26</v>
      </c>
      <c r="N345" t="s">
        <v>861</v>
      </c>
      <c r="O345" s="2">
        <v>43191</v>
      </c>
      <c r="P345" s="2">
        <v>45016</v>
      </c>
      <c r="Q345">
        <v>0</v>
      </c>
      <c r="R345" t="s">
        <v>862</v>
      </c>
    </row>
    <row r="346" spans="1:18" x14ac:dyDescent="0.25">
      <c r="A346" t="s">
        <v>5356</v>
      </c>
      <c r="B346" t="s">
        <v>4464</v>
      </c>
      <c r="C346" t="s">
        <v>20</v>
      </c>
      <c r="D346" t="s">
        <v>51</v>
      </c>
      <c r="E346" t="s">
        <v>52</v>
      </c>
      <c r="F346" t="s">
        <v>109</v>
      </c>
      <c r="G346" t="s">
        <v>866</v>
      </c>
      <c r="H346" s="10">
        <v>757350</v>
      </c>
      <c r="I346" s="10">
        <v>0</v>
      </c>
      <c r="J346" s="10">
        <v>0</v>
      </c>
      <c r="L346" t="s">
        <v>42</v>
      </c>
      <c r="M346" t="s">
        <v>111</v>
      </c>
      <c r="N346" t="s">
        <v>199</v>
      </c>
      <c r="O346" s="2">
        <v>44287</v>
      </c>
      <c r="P346" s="2">
        <v>46112</v>
      </c>
      <c r="Q346">
        <v>0</v>
      </c>
      <c r="R346" t="s">
        <v>867</v>
      </c>
    </row>
    <row r="347" spans="1:18" x14ac:dyDescent="0.25">
      <c r="A347" t="s">
        <v>5357</v>
      </c>
      <c r="B347" t="s">
        <v>4494</v>
      </c>
      <c r="C347" t="s">
        <v>38</v>
      </c>
      <c r="D347" t="s">
        <v>51</v>
      </c>
      <c r="E347" t="s">
        <v>163</v>
      </c>
      <c r="F347" t="s">
        <v>128</v>
      </c>
      <c r="G347" t="s">
        <v>868</v>
      </c>
      <c r="H347" s="10">
        <v>669375</v>
      </c>
      <c r="I347" s="10">
        <v>0</v>
      </c>
      <c r="J347" s="10">
        <v>0</v>
      </c>
      <c r="L347" t="s">
        <v>42</v>
      </c>
      <c r="M347" t="s">
        <v>26</v>
      </c>
      <c r="N347" t="s">
        <v>869</v>
      </c>
      <c r="O347" s="2">
        <v>43556</v>
      </c>
      <c r="P347" s="2">
        <v>45382</v>
      </c>
      <c r="Q347">
        <v>0</v>
      </c>
      <c r="R347" t="s">
        <v>870</v>
      </c>
    </row>
    <row r="348" spans="1:18" x14ac:dyDescent="0.25">
      <c r="A348" t="s">
        <v>871</v>
      </c>
      <c r="B348" t="s">
        <v>474</v>
      </c>
      <c r="C348" t="s">
        <v>20</v>
      </c>
      <c r="D348" t="s">
        <v>21</v>
      </c>
      <c r="E348" t="s">
        <v>60</v>
      </c>
      <c r="F348" t="s">
        <v>23</v>
      </c>
      <c r="G348" t="s">
        <v>872</v>
      </c>
      <c r="H348" s="10">
        <v>664934</v>
      </c>
      <c r="I348" s="10">
        <v>0</v>
      </c>
      <c r="J348" s="10">
        <v>0</v>
      </c>
      <c r="L348" t="s">
        <v>42</v>
      </c>
      <c r="M348" t="s">
        <v>26</v>
      </c>
      <c r="N348" t="s">
        <v>873</v>
      </c>
      <c r="O348" s="2">
        <v>41821</v>
      </c>
      <c r="P348" s="2">
        <v>43646</v>
      </c>
      <c r="Q348">
        <v>0</v>
      </c>
      <c r="R348" t="s">
        <v>874</v>
      </c>
    </row>
    <row r="349" spans="1:18" x14ac:dyDescent="0.25">
      <c r="A349" t="s">
        <v>875</v>
      </c>
      <c r="B349" t="s">
        <v>162</v>
      </c>
      <c r="C349" t="s">
        <v>149</v>
      </c>
      <c r="D349" t="s">
        <v>51</v>
      </c>
      <c r="E349" t="s">
        <v>197</v>
      </c>
      <c r="F349" t="s">
        <v>32</v>
      </c>
      <c r="G349" t="s">
        <v>5358</v>
      </c>
      <c r="H349" s="12">
        <v>944775</v>
      </c>
      <c r="I349" s="12">
        <v>0</v>
      </c>
      <c r="J349" s="10">
        <v>0</v>
      </c>
      <c r="L349" t="s">
        <v>42</v>
      </c>
      <c r="M349" t="s">
        <v>26</v>
      </c>
      <c r="N349" t="s">
        <v>135</v>
      </c>
      <c r="O349" s="2">
        <v>44652</v>
      </c>
      <c r="P349" s="2">
        <v>46477</v>
      </c>
      <c r="Q349">
        <v>0</v>
      </c>
      <c r="R349" t="s">
        <v>876</v>
      </c>
    </row>
    <row r="350" spans="1:18" x14ac:dyDescent="0.25">
      <c r="A350" t="s">
        <v>5077</v>
      </c>
      <c r="B350" t="s">
        <v>98</v>
      </c>
      <c r="C350" t="s">
        <v>20</v>
      </c>
      <c r="D350" t="s">
        <v>21</v>
      </c>
      <c r="E350" t="s">
        <v>194</v>
      </c>
      <c r="F350" t="s">
        <v>109</v>
      </c>
      <c r="G350" t="s">
        <v>877</v>
      </c>
      <c r="H350" s="11">
        <v>467247</v>
      </c>
      <c r="I350" s="11">
        <v>0</v>
      </c>
      <c r="J350" s="11">
        <v>0</v>
      </c>
      <c r="L350" t="s">
        <v>55</v>
      </c>
      <c r="M350" t="s">
        <v>103</v>
      </c>
      <c r="N350" t="s">
        <v>878</v>
      </c>
      <c r="O350" s="2">
        <v>40087</v>
      </c>
      <c r="P350" s="2">
        <v>41182</v>
      </c>
      <c r="Q350">
        <v>0</v>
      </c>
      <c r="R350" t="s">
        <v>879</v>
      </c>
    </row>
    <row r="351" spans="1:18" x14ac:dyDescent="0.25">
      <c r="A351" t="s">
        <v>4660</v>
      </c>
      <c r="B351" t="s">
        <v>196</v>
      </c>
      <c r="C351" t="s">
        <v>20</v>
      </c>
      <c r="D351" t="s">
        <v>4557</v>
      </c>
      <c r="E351" t="s">
        <v>4597</v>
      </c>
      <c r="F351" t="s">
        <v>4559</v>
      </c>
      <c r="G351" t="s">
        <v>4661</v>
      </c>
      <c r="H351" s="10">
        <v>223308</v>
      </c>
      <c r="I351" s="10">
        <v>0</v>
      </c>
      <c r="J351" s="10">
        <v>0</v>
      </c>
      <c r="L351" t="s">
        <v>55</v>
      </c>
      <c r="M351" t="s">
        <v>103</v>
      </c>
      <c r="N351" t="s">
        <v>5682</v>
      </c>
      <c r="O351" s="2">
        <v>42095</v>
      </c>
      <c r="P351" s="2">
        <v>43190</v>
      </c>
      <c r="Q351">
        <v>0</v>
      </c>
      <c r="R351" t="s">
        <v>5681</v>
      </c>
    </row>
    <row r="352" spans="1:18" x14ac:dyDescent="0.25">
      <c r="A352" t="s">
        <v>880</v>
      </c>
      <c r="B352" t="s">
        <v>148</v>
      </c>
      <c r="C352" t="s">
        <v>149</v>
      </c>
      <c r="D352" t="s">
        <v>51</v>
      </c>
      <c r="E352" t="s">
        <v>186</v>
      </c>
      <c r="F352" t="s">
        <v>53</v>
      </c>
      <c r="G352" t="s">
        <v>881</v>
      </c>
      <c r="H352" s="10">
        <v>661725</v>
      </c>
      <c r="I352" s="10">
        <v>0</v>
      </c>
      <c r="J352" s="10">
        <v>0</v>
      </c>
      <c r="L352" t="s">
        <v>25</v>
      </c>
      <c r="M352" t="s">
        <v>103</v>
      </c>
      <c r="N352" t="s">
        <v>882</v>
      </c>
      <c r="O352" s="2">
        <v>44470</v>
      </c>
      <c r="P352" s="2">
        <v>45930</v>
      </c>
      <c r="Q352">
        <v>3</v>
      </c>
      <c r="R352" t="s">
        <v>883</v>
      </c>
    </row>
    <row r="353" spans="1:18" x14ac:dyDescent="0.25">
      <c r="A353" t="s">
        <v>884</v>
      </c>
      <c r="B353" t="s">
        <v>4491</v>
      </c>
      <c r="C353" t="s">
        <v>38</v>
      </c>
      <c r="D353" t="s">
        <v>21</v>
      </c>
      <c r="E353" t="s">
        <v>108</v>
      </c>
      <c r="F353" t="s">
        <v>32</v>
      </c>
      <c r="G353" t="s">
        <v>885</v>
      </c>
      <c r="H353" s="10">
        <v>528516</v>
      </c>
      <c r="I353" s="10">
        <v>0</v>
      </c>
      <c r="J353" s="10">
        <v>0</v>
      </c>
      <c r="L353" t="s">
        <v>25</v>
      </c>
      <c r="M353" t="s">
        <v>26</v>
      </c>
      <c r="N353" t="s">
        <v>886</v>
      </c>
      <c r="O353" s="2">
        <v>41548</v>
      </c>
      <c r="P353" s="2">
        <v>43190</v>
      </c>
      <c r="Q353">
        <v>1</v>
      </c>
      <c r="R353" t="s">
        <v>887</v>
      </c>
    </row>
    <row r="354" spans="1:18" x14ac:dyDescent="0.25">
      <c r="A354" t="s">
        <v>6145</v>
      </c>
      <c r="B354" t="s">
        <v>1676</v>
      </c>
      <c r="C354" t="s">
        <v>20</v>
      </c>
      <c r="D354" t="s">
        <v>5042</v>
      </c>
      <c r="E354" t="s">
        <v>5043</v>
      </c>
      <c r="F354" t="s">
        <v>5038</v>
      </c>
      <c r="G354" t="s">
        <v>5047</v>
      </c>
      <c r="H354" s="12">
        <v>594250</v>
      </c>
      <c r="I354" s="12">
        <v>0</v>
      </c>
      <c r="J354" s="10">
        <v>0</v>
      </c>
      <c r="L354" t="s">
        <v>5039</v>
      </c>
      <c r="M354" t="s">
        <v>413</v>
      </c>
      <c r="N354" t="s">
        <v>6146</v>
      </c>
      <c r="O354" s="2">
        <v>45444</v>
      </c>
      <c r="P354" s="2">
        <v>46477</v>
      </c>
      <c r="Q354">
        <v>0</v>
      </c>
      <c r="R354" t="s">
        <v>6147</v>
      </c>
    </row>
    <row r="355" spans="1:18" x14ac:dyDescent="0.25">
      <c r="A355" t="s">
        <v>888</v>
      </c>
      <c r="B355" t="s">
        <v>121</v>
      </c>
      <c r="C355" t="s">
        <v>20</v>
      </c>
      <c r="D355" t="s">
        <v>51</v>
      </c>
      <c r="E355" t="s">
        <v>406</v>
      </c>
      <c r="F355" t="s">
        <v>32</v>
      </c>
      <c r="G355" t="s">
        <v>889</v>
      </c>
      <c r="H355" s="10">
        <v>776475</v>
      </c>
      <c r="I355" s="10">
        <v>0</v>
      </c>
      <c r="J355" s="10">
        <v>0</v>
      </c>
      <c r="L355" t="s">
        <v>42</v>
      </c>
      <c r="M355" t="s">
        <v>26</v>
      </c>
      <c r="N355" t="s">
        <v>135</v>
      </c>
      <c r="O355" s="2">
        <v>43191</v>
      </c>
      <c r="P355" s="2">
        <v>45016</v>
      </c>
      <c r="Q355">
        <v>2</v>
      </c>
      <c r="R355" t="s">
        <v>890</v>
      </c>
    </row>
    <row r="356" spans="1:18" x14ac:dyDescent="0.25">
      <c r="A356" t="s">
        <v>891</v>
      </c>
      <c r="B356" t="s">
        <v>474</v>
      </c>
      <c r="C356" t="s">
        <v>20</v>
      </c>
      <c r="D356" t="s">
        <v>21</v>
      </c>
      <c r="E356" t="s">
        <v>751</v>
      </c>
      <c r="F356" t="s">
        <v>47</v>
      </c>
      <c r="G356" t="s">
        <v>892</v>
      </c>
      <c r="H356" s="11">
        <v>100000</v>
      </c>
      <c r="I356" s="11">
        <v>0</v>
      </c>
      <c r="J356" s="11">
        <v>0</v>
      </c>
      <c r="L356" t="s">
        <v>34</v>
      </c>
      <c r="M356" t="s">
        <v>26</v>
      </c>
      <c r="N356" t="s">
        <v>893</v>
      </c>
      <c r="O356" s="2">
        <v>39873</v>
      </c>
      <c r="P356" s="2">
        <v>40237</v>
      </c>
      <c r="Q356">
        <v>0</v>
      </c>
      <c r="R356" t="s">
        <v>894</v>
      </c>
    </row>
    <row r="357" spans="1:18" x14ac:dyDescent="0.25">
      <c r="A357" t="s">
        <v>891</v>
      </c>
      <c r="B357" t="s">
        <v>474</v>
      </c>
      <c r="C357" t="s">
        <v>20</v>
      </c>
      <c r="D357" t="s">
        <v>21</v>
      </c>
      <c r="E357" t="s">
        <v>194</v>
      </c>
      <c r="F357" t="s">
        <v>47</v>
      </c>
      <c r="G357" t="s">
        <v>892</v>
      </c>
      <c r="H357" s="11">
        <v>599728</v>
      </c>
      <c r="I357" s="11">
        <v>0</v>
      </c>
      <c r="J357" s="11">
        <v>0</v>
      </c>
      <c r="L357" t="s">
        <v>55</v>
      </c>
      <c r="M357" t="s">
        <v>26</v>
      </c>
      <c r="N357" t="s">
        <v>893</v>
      </c>
      <c r="O357" s="2">
        <v>40087</v>
      </c>
      <c r="P357" s="2">
        <v>41182</v>
      </c>
      <c r="Q357">
        <v>0</v>
      </c>
      <c r="R357" t="s">
        <v>894</v>
      </c>
    </row>
    <row r="358" spans="1:18" x14ac:dyDescent="0.25">
      <c r="A358" t="s">
        <v>891</v>
      </c>
      <c r="B358" t="s">
        <v>474</v>
      </c>
      <c r="C358" t="s">
        <v>20</v>
      </c>
      <c r="D358" t="s">
        <v>21</v>
      </c>
      <c r="E358" t="s">
        <v>22</v>
      </c>
      <c r="F358" t="s">
        <v>47</v>
      </c>
      <c r="G358" t="s">
        <v>895</v>
      </c>
      <c r="H358" s="10">
        <v>417240</v>
      </c>
      <c r="I358" s="10">
        <v>0</v>
      </c>
      <c r="J358" s="10">
        <v>0</v>
      </c>
      <c r="L358" t="s">
        <v>55</v>
      </c>
      <c r="M358" t="s">
        <v>26</v>
      </c>
      <c r="N358" t="s">
        <v>896</v>
      </c>
      <c r="O358" s="2">
        <v>41365</v>
      </c>
      <c r="P358" s="2">
        <v>42460</v>
      </c>
      <c r="Q358">
        <v>1</v>
      </c>
      <c r="R358" t="s">
        <v>897</v>
      </c>
    </row>
    <row r="359" spans="1:18" x14ac:dyDescent="0.25">
      <c r="A359" t="s">
        <v>891</v>
      </c>
      <c r="B359" t="s">
        <v>474</v>
      </c>
      <c r="C359" t="s">
        <v>20</v>
      </c>
      <c r="D359" t="s">
        <v>5165</v>
      </c>
      <c r="E359" t="s">
        <v>5193</v>
      </c>
      <c r="F359" t="s">
        <v>4554</v>
      </c>
      <c r="G359" t="s">
        <v>5194</v>
      </c>
      <c r="H359" s="10">
        <v>519630</v>
      </c>
      <c r="I359" s="10">
        <v>0</v>
      </c>
      <c r="J359" s="10">
        <v>0</v>
      </c>
      <c r="L359" t="s">
        <v>25</v>
      </c>
      <c r="M359" t="s">
        <v>26</v>
      </c>
      <c r="N359" t="s">
        <v>5806</v>
      </c>
      <c r="O359" s="2">
        <v>41548</v>
      </c>
      <c r="P359" s="2">
        <v>43221</v>
      </c>
      <c r="Q359">
        <v>0</v>
      </c>
      <c r="R359" t="s">
        <v>5805</v>
      </c>
    </row>
    <row r="360" spans="1:18" x14ac:dyDescent="0.25">
      <c r="A360" t="s">
        <v>898</v>
      </c>
      <c r="B360" t="s">
        <v>19</v>
      </c>
      <c r="C360" t="s">
        <v>20</v>
      </c>
      <c r="D360" t="s">
        <v>51</v>
      </c>
      <c r="E360" t="s">
        <v>259</v>
      </c>
      <c r="F360" t="s">
        <v>47</v>
      </c>
      <c r="G360" t="s">
        <v>905</v>
      </c>
      <c r="H360" s="10">
        <v>830024</v>
      </c>
      <c r="I360" s="10">
        <v>0</v>
      </c>
      <c r="J360" s="10">
        <v>0</v>
      </c>
      <c r="L360" t="s">
        <v>25</v>
      </c>
      <c r="M360" t="s">
        <v>26</v>
      </c>
      <c r="N360" t="s">
        <v>72</v>
      </c>
      <c r="O360" s="2">
        <v>44105</v>
      </c>
      <c r="P360" s="2">
        <v>45565</v>
      </c>
      <c r="Q360">
        <v>0</v>
      </c>
      <c r="R360" t="s">
        <v>906</v>
      </c>
    </row>
    <row r="361" spans="1:18" x14ac:dyDescent="0.25">
      <c r="A361" t="s">
        <v>898</v>
      </c>
      <c r="B361" t="s">
        <v>19</v>
      </c>
      <c r="C361" t="s">
        <v>20</v>
      </c>
      <c r="D361" t="s">
        <v>51</v>
      </c>
      <c r="E361" t="s">
        <v>186</v>
      </c>
      <c r="F361" t="s">
        <v>109</v>
      </c>
      <c r="G361" t="s">
        <v>899</v>
      </c>
      <c r="H361" s="10">
        <v>680851</v>
      </c>
      <c r="I361" s="10">
        <v>0</v>
      </c>
      <c r="J361" s="10">
        <v>0</v>
      </c>
      <c r="L361" t="s">
        <v>25</v>
      </c>
      <c r="M361" t="s">
        <v>26</v>
      </c>
      <c r="N361" t="s">
        <v>900</v>
      </c>
      <c r="O361" s="2">
        <v>44470</v>
      </c>
      <c r="P361" s="2">
        <v>45930</v>
      </c>
      <c r="Q361">
        <v>0</v>
      </c>
      <c r="R361" t="s">
        <v>901</v>
      </c>
    </row>
    <row r="362" spans="1:18" x14ac:dyDescent="0.25">
      <c r="A362" t="s">
        <v>898</v>
      </c>
      <c r="B362" t="s">
        <v>19</v>
      </c>
      <c r="C362" t="s">
        <v>20</v>
      </c>
      <c r="D362" t="s">
        <v>51</v>
      </c>
      <c r="E362" t="s">
        <v>208</v>
      </c>
      <c r="F362" t="s">
        <v>23</v>
      </c>
      <c r="G362" t="s">
        <v>902</v>
      </c>
      <c r="H362" s="10">
        <v>761176</v>
      </c>
      <c r="I362" s="10">
        <v>0</v>
      </c>
      <c r="J362" s="10">
        <v>0</v>
      </c>
      <c r="L362" t="s">
        <v>25</v>
      </c>
      <c r="M362" t="s">
        <v>26</v>
      </c>
      <c r="N362" t="s">
        <v>903</v>
      </c>
      <c r="O362" s="2">
        <v>45383</v>
      </c>
      <c r="P362" s="2">
        <v>46843</v>
      </c>
      <c r="Q362">
        <v>0</v>
      </c>
      <c r="R362" t="s">
        <v>904</v>
      </c>
    </row>
    <row r="363" spans="1:18" x14ac:dyDescent="0.25">
      <c r="A363" t="s">
        <v>907</v>
      </c>
      <c r="B363" t="s">
        <v>196</v>
      </c>
      <c r="C363" t="s">
        <v>20</v>
      </c>
      <c r="D363" t="s">
        <v>21</v>
      </c>
      <c r="E363" t="s">
        <v>534</v>
      </c>
      <c r="F363" t="s">
        <v>32</v>
      </c>
      <c r="G363" t="s">
        <v>908</v>
      </c>
      <c r="H363" s="10">
        <v>434192</v>
      </c>
      <c r="I363" s="10">
        <v>0</v>
      </c>
      <c r="J363" s="10">
        <v>0</v>
      </c>
      <c r="L363" t="s">
        <v>55</v>
      </c>
      <c r="M363" t="s">
        <v>26</v>
      </c>
      <c r="N363" t="s">
        <v>909</v>
      </c>
      <c r="O363" s="2">
        <v>40817</v>
      </c>
      <c r="P363" s="2">
        <v>41912</v>
      </c>
      <c r="Q363">
        <v>0</v>
      </c>
      <c r="R363" t="s">
        <v>910</v>
      </c>
    </row>
    <row r="364" spans="1:18" x14ac:dyDescent="0.25">
      <c r="A364" t="s">
        <v>911</v>
      </c>
      <c r="B364" t="s">
        <v>19</v>
      </c>
      <c r="C364" t="s">
        <v>20</v>
      </c>
      <c r="D364" t="s">
        <v>51</v>
      </c>
      <c r="E364" t="s">
        <v>208</v>
      </c>
      <c r="F364" t="s">
        <v>23</v>
      </c>
      <c r="G364" t="s">
        <v>914</v>
      </c>
      <c r="H364" s="10">
        <v>1051875</v>
      </c>
      <c r="I364" s="10">
        <v>0</v>
      </c>
      <c r="J364" s="10">
        <v>0</v>
      </c>
      <c r="L364" t="s">
        <v>42</v>
      </c>
      <c r="M364" t="s">
        <v>26</v>
      </c>
      <c r="N364" t="s">
        <v>915</v>
      </c>
      <c r="O364" s="2">
        <v>45474</v>
      </c>
      <c r="P364" s="2">
        <v>47299</v>
      </c>
      <c r="Q364">
        <v>1</v>
      </c>
      <c r="R364" t="s">
        <v>916</v>
      </c>
    </row>
    <row r="365" spans="1:18" x14ac:dyDescent="0.25">
      <c r="A365" t="s">
        <v>5359</v>
      </c>
      <c r="B365" t="s">
        <v>19</v>
      </c>
      <c r="C365" t="s">
        <v>20</v>
      </c>
      <c r="D365" t="s">
        <v>51</v>
      </c>
      <c r="E365" t="s">
        <v>223</v>
      </c>
      <c r="F365" t="s">
        <v>47</v>
      </c>
      <c r="G365" t="s">
        <v>912</v>
      </c>
      <c r="H365" s="10">
        <v>1419942</v>
      </c>
      <c r="I365" s="10">
        <v>0</v>
      </c>
      <c r="J365" s="10">
        <v>0</v>
      </c>
      <c r="L365" t="s">
        <v>42</v>
      </c>
      <c r="M365" t="s">
        <v>26</v>
      </c>
      <c r="N365" t="s">
        <v>696</v>
      </c>
      <c r="O365" s="2">
        <v>45566</v>
      </c>
      <c r="P365" s="2">
        <v>47391</v>
      </c>
      <c r="Q365">
        <v>0</v>
      </c>
      <c r="R365" t="s">
        <v>913</v>
      </c>
    </row>
    <row r="366" spans="1:18" x14ac:dyDescent="0.25">
      <c r="A366" t="s">
        <v>4662</v>
      </c>
      <c r="B366" t="s">
        <v>114</v>
      </c>
      <c r="C366" t="s">
        <v>20</v>
      </c>
      <c r="D366" t="s">
        <v>4557</v>
      </c>
      <c r="E366" t="s">
        <v>4558</v>
      </c>
      <c r="F366" t="s">
        <v>4559</v>
      </c>
      <c r="G366" t="s">
        <v>4663</v>
      </c>
      <c r="H366" s="10">
        <v>251940</v>
      </c>
      <c r="I366" s="10">
        <v>10500</v>
      </c>
      <c r="J366" s="10">
        <v>0</v>
      </c>
      <c r="L366" t="s">
        <v>55</v>
      </c>
      <c r="M366" t="s">
        <v>831</v>
      </c>
      <c r="N366" t="s">
        <v>5777</v>
      </c>
      <c r="O366" s="2">
        <v>43191</v>
      </c>
      <c r="P366" s="2">
        <v>44286</v>
      </c>
      <c r="Q366">
        <v>0</v>
      </c>
      <c r="R366" t="s">
        <v>5776</v>
      </c>
    </row>
    <row r="367" spans="1:18" x14ac:dyDescent="0.25">
      <c r="A367" t="s">
        <v>917</v>
      </c>
      <c r="B367" t="s">
        <v>121</v>
      </c>
      <c r="C367" t="s">
        <v>20</v>
      </c>
      <c r="D367" t="s">
        <v>21</v>
      </c>
      <c r="E367" t="s">
        <v>572</v>
      </c>
      <c r="F367" t="s">
        <v>32</v>
      </c>
      <c r="G367" t="s">
        <v>918</v>
      </c>
      <c r="H367" s="10">
        <v>349842</v>
      </c>
      <c r="I367" s="10">
        <v>0</v>
      </c>
      <c r="J367" s="10">
        <v>0</v>
      </c>
      <c r="L367" t="s">
        <v>55</v>
      </c>
      <c r="M367" t="s">
        <v>26</v>
      </c>
      <c r="N367" t="s">
        <v>919</v>
      </c>
      <c r="O367" s="2">
        <v>41730</v>
      </c>
      <c r="P367" s="2">
        <v>42825</v>
      </c>
      <c r="Q367">
        <v>0</v>
      </c>
      <c r="R367" t="s">
        <v>920</v>
      </c>
    </row>
    <row r="368" spans="1:18" x14ac:dyDescent="0.25">
      <c r="A368" t="s">
        <v>917</v>
      </c>
      <c r="B368" t="s">
        <v>121</v>
      </c>
      <c r="C368" t="s">
        <v>20</v>
      </c>
      <c r="D368" t="s">
        <v>395</v>
      </c>
      <c r="E368" t="s">
        <v>921</v>
      </c>
      <c r="F368" t="s">
        <v>23</v>
      </c>
      <c r="G368" t="s">
        <v>922</v>
      </c>
      <c r="H368" s="10">
        <v>100000</v>
      </c>
      <c r="I368" s="10">
        <v>0</v>
      </c>
      <c r="J368" s="10">
        <v>0</v>
      </c>
      <c r="L368" t="s">
        <v>34</v>
      </c>
      <c r="M368" t="s">
        <v>26</v>
      </c>
      <c r="N368" t="s">
        <v>923</v>
      </c>
      <c r="O368" s="2">
        <v>41183</v>
      </c>
      <c r="P368" s="2">
        <v>41547</v>
      </c>
      <c r="Q368">
        <v>0</v>
      </c>
      <c r="R368" t="s">
        <v>924</v>
      </c>
    </row>
    <row r="369" spans="1:18" x14ac:dyDescent="0.25">
      <c r="A369" t="s">
        <v>925</v>
      </c>
      <c r="B369" t="s">
        <v>240</v>
      </c>
      <c r="C369" t="s">
        <v>20</v>
      </c>
      <c r="D369" t="s">
        <v>51</v>
      </c>
      <c r="E369" t="s">
        <v>158</v>
      </c>
      <c r="F369" t="s">
        <v>128</v>
      </c>
      <c r="G369" t="s">
        <v>932</v>
      </c>
      <c r="H369" s="10">
        <v>956250</v>
      </c>
      <c r="I369" s="10">
        <v>0</v>
      </c>
      <c r="J369" s="10">
        <v>0</v>
      </c>
      <c r="L369" t="s">
        <v>42</v>
      </c>
      <c r="M369" t="s">
        <v>26</v>
      </c>
      <c r="N369" t="s">
        <v>933</v>
      </c>
      <c r="O369" s="2">
        <v>43922</v>
      </c>
      <c r="P369" s="2">
        <v>45747</v>
      </c>
      <c r="Q369">
        <v>1</v>
      </c>
      <c r="R369" t="s">
        <v>934</v>
      </c>
    </row>
    <row r="370" spans="1:18" x14ac:dyDescent="0.25">
      <c r="A370" t="s">
        <v>925</v>
      </c>
      <c r="B370" t="s">
        <v>240</v>
      </c>
      <c r="C370" t="s">
        <v>20</v>
      </c>
      <c r="D370" t="s">
        <v>51</v>
      </c>
      <c r="E370" t="s">
        <v>186</v>
      </c>
      <c r="F370" t="s">
        <v>128</v>
      </c>
      <c r="G370" t="s">
        <v>935</v>
      </c>
      <c r="H370" s="10">
        <v>956250</v>
      </c>
      <c r="I370" s="10">
        <v>0</v>
      </c>
      <c r="J370" s="10">
        <v>0</v>
      </c>
      <c r="L370" t="s">
        <v>42</v>
      </c>
      <c r="M370" t="s">
        <v>26</v>
      </c>
      <c r="N370" t="s">
        <v>936</v>
      </c>
      <c r="O370" s="2">
        <v>44470</v>
      </c>
      <c r="P370" s="2">
        <v>46295</v>
      </c>
      <c r="Q370">
        <v>0</v>
      </c>
      <c r="R370" t="s">
        <v>937</v>
      </c>
    </row>
    <row r="371" spans="1:18" x14ac:dyDescent="0.25">
      <c r="A371" t="s">
        <v>925</v>
      </c>
      <c r="B371" t="s">
        <v>240</v>
      </c>
      <c r="C371" t="s">
        <v>20</v>
      </c>
      <c r="D371" t="s">
        <v>51</v>
      </c>
      <c r="E371" t="s">
        <v>197</v>
      </c>
      <c r="F371" t="s">
        <v>32</v>
      </c>
      <c r="G371" t="s">
        <v>926</v>
      </c>
      <c r="H371" s="10">
        <v>1147500</v>
      </c>
      <c r="I371" s="10">
        <v>0</v>
      </c>
      <c r="J371" s="10">
        <v>0</v>
      </c>
      <c r="L371" t="s">
        <v>42</v>
      </c>
      <c r="M371" t="s">
        <v>26</v>
      </c>
      <c r="N371" t="s">
        <v>927</v>
      </c>
      <c r="O371" s="2">
        <v>44652</v>
      </c>
      <c r="P371" s="2">
        <v>46477</v>
      </c>
      <c r="Q371">
        <v>0</v>
      </c>
      <c r="R371" t="s">
        <v>928</v>
      </c>
    </row>
    <row r="372" spans="1:18" x14ac:dyDescent="0.25">
      <c r="A372" t="s">
        <v>925</v>
      </c>
      <c r="B372" t="s">
        <v>240</v>
      </c>
      <c r="C372" t="s">
        <v>20</v>
      </c>
      <c r="D372" t="s">
        <v>64</v>
      </c>
      <c r="E372" t="s">
        <v>929</v>
      </c>
      <c r="F372" t="s">
        <v>32</v>
      </c>
      <c r="G372" t="s">
        <v>930</v>
      </c>
      <c r="H372" s="10">
        <v>100000</v>
      </c>
      <c r="I372" s="10">
        <v>0</v>
      </c>
      <c r="J372" s="10">
        <v>0</v>
      </c>
      <c r="L372" t="s">
        <v>34</v>
      </c>
      <c r="M372" t="s">
        <v>26</v>
      </c>
      <c r="N372" t="s">
        <v>67</v>
      </c>
      <c r="O372" s="2">
        <v>45200</v>
      </c>
      <c r="P372" s="2">
        <v>47026</v>
      </c>
      <c r="Q372">
        <v>0</v>
      </c>
      <c r="R372" t="s">
        <v>931</v>
      </c>
    </row>
    <row r="373" spans="1:18" x14ac:dyDescent="0.25">
      <c r="A373" t="s">
        <v>5195</v>
      </c>
      <c r="B373" t="s">
        <v>360</v>
      </c>
      <c r="C373" t="s">
        <v>20</v>
      </c>
      <c r="D373" t="s">
        <v>5165</v>
      </c>
      <c r="E373" t="s">
        <v>5188</v>
      </c>
      <c r="F373" t="s">
        <v>4554</v>
      </c>
      <c r="G373" t="s">
        <v>5196</v>
      </c>
      <c r="H373" s="10">
        <v>200000</v>
      </c>
      <c r="I373" s="10">
        <v>0</v>
      </c>
      <c r="J373" s="10">
        <v>0</v>
      </c>
      <c r="L373" t="s">
        <v>84</v>
      </c>
      <c r="M373" t="s">
        <v>94</v>
      </c>
      <c r="N373" t="s">
        <v>5773</v>
      </c>
      <c r="O373" s="2">
        <v>41183</v>
      </c>
      <c r="P373" s="2">
        <v>41912</v>
      </c>
      <c r="Q373">
        <v>0</v>
      </c>
      <c r="R373" t="s">
        <v>5772</v>
      </c>
    </row>
    <row r="374" spans="1:18" x14ac:dyDescent="0.25">
      <c r="A374" t="s">
        <v>938</v>
      </c>
      <c r="B374" t="s">
        <v>19</v>
      </c>
      <c r="C374" t="s">
        <v>20</v>
      </c>
      <c r="D374" t="s">
        <v>21</v>
      </c>
      <c r="E374" t="s">
        <v>74</v>
      </c>
      <c r="F374" t="s">
        <v>23</v>
      </c>
      <c r="G374" t="s">
        <v>941</v>
      </c>
      <c r="H374" s="10">
        <v>403829</v>
      </c>
      <c r="I374" s="10">
        <v>0</v>
      </c>
      <c r="J374" s="10">
        <v>0</v>
      </c>
      <c r="L374" t="s">
        <v>55</v>
      </c>
      <c r="M374" t="s">
        <v>26</v>
      </c>
      <c r="N374" t="s">
        <v>942</v>
      </c>
      <c r="O374" s="2">
        <v>41000</v>
      </c>
      <c r="P374" s="2">
        <v>42094</v>
      </c>
      <c r="Q374">
        <v>0</v>
      </c>
      <c r="R374" t="s">
        <v>943</v>
      </c>
    </row>
    <row r="375" spans="1:18" x14ac:dyDescent="0.25">
      <c r="A375" t="s">
        <v>938</v>
      </c>
      <c r="B375" t="s">
        <v>19</v>
      </c>
      <c r="C375" t="s">
        <v>20</v>
      </c>
      <c r="D375" t="s">
        <v>51</v>
      </c>
      <c r="E375" t="s">
        <v>163</v>
      </c>
      <c r="F375" t="s">
        <v>23</v>
      </c>
      <c r="G375" t="s">
        <v>939</v>
      </c>
      <c r="H375" s="10">
        <v>1021275</v>
      </c>
      <c r="I375" s="10">
        <v>0</v>
      </c>
      <c r="J375" s="10">
        <v>0</v>
      </c>
      <c r="L375" t="s">
        <v>42</v>
      </c>
      <c r="M375" t="s">
        <v>26</v>
      </c>
      <c r="N375" t="s">
        <v>72</v>
      </c>
      <c r="O375" s="2">
        <v>43556</v>
      </c>
      <c r="P375" s="2">
        <v>45382</v>
      </c>
      <c r="Q375">
        <v>0</v>
      </c>
      <c r="R375" t="s">
        <v>940</v>
      </c>
    </row>
    <row r="376" spans="1:18" x14ac:dyDescent="0.25">
      <c r="A376" t="s">
        <v>938</v>
      </c>
      <c r="B376" t="s">
        <v>19</v>
      </c>
      <c r="C376" t="s">
        <v>20</v>
      </c>
      <c r="D376" t="s">
        <v>51</v>
      </c>
      <c r="E376" t="s">
        <v>127</v>
      </c>
      <c r="F376" t="s">
        <v>47</v>
      </c>
      <c r="G376" t="s">
        <v>944</v>
      </c>
      <c r="H376" s="10">
        <v>1086300</v>
      </c>
      <c r="I376" s="10">
        <v>0</v>
      </c>
      <c r="J376" s="10">
        <v>0</v>
      </c>
      <c r="L376" t="s">
        <v>42</v>
      </c>
      <c r="M376" t="s">
        <v>26</v>
      </c>
      <c r="N376" t="s">
        <v>72</v>
      </c>
      <c r="O376" s="2">
        <v>44835</v>
      </c>
      <c r="P376" s="2">
        <v>46660</v>
      </c>
      <c r="Q376">
        <v>0</v>
      </c>
      <c r="R376" t="s">
        <v>945</v>
      </c>
    </row>
    <row r="377" spans="1:18" x14ac:dyDescent="0.25">
      <c r="A377" t="s">
        <v>946</v>
      </c>
      <c r="B377" t="s">
        <v>49</v>
      </c>
      <c r="C377" t="s">
        <v>50</v>
      </c>
      <c r="D377" t="s">
        <v>51</v>
      </c>
      <c r="E377" t="s">
        <v>186</v>
      </c>
      <c r="F377" t="s">
        <v>32</v>
      </c>
      <c r="G377" t="s">
        <v>947</v>
      </c>
      <c r="H377" s="10">
        <v>910350</v>
      </c>
      <c r="I377" s="10">
        <v>0</v>
      </c>
      <c r="J377" s="10">
        <v>0</v>
      </c>
      <c r="L377" t="s">
        <v>42</v>
      </c>
      <c r="M377" t="s">
        <v>26</v>
      </c>
      <c r="N377" t="s">
        <v>135</v>
      </c>
      <c r="O377" s="2">
        <v>44470</v>
      </c>
      <c r="P377" s="2">
        <v>46295</v>
      </c>
      <c r="Q377">
        <v>0</v>
      </c>
      <c r="R377" t="s">
        <v>948</v>
      </c>
    </row>
    <row r="378" spans="1:18" x14ac:dyDescent="0.25">
      <c r="A378" t="s">
        <v>946</v>
      </c>
      <c r="B378" t="s">
        <v>49</v>
      </c>
      <c r="C378" t="s">
        <v>50</v>
      </c>
      <c r="D378" t="s">
        <v>51</v>
      </c>
      <c r="E378" t="s">
        <v>223</v>
      </c>
      <c r="F378" t="s">
        <v>47</v>
      </c>
      <c r="G378" t="s">
        <v>949</v>
      </c>
      <c r="H378" s="10">
        <v>967726</v>
      </c>
      <c r="I378" s="10">
        <v>0</v>
      </c>
      <c r="J378" s="10">
        <v>0</v>
      </c>
      <c r="L378" t="s">
        <v>42</v>
      </c>
      <c r="M378" t="s">
        <v>26</v>
      </c>
      <c r="N378" t="s">
        <v>72</v>
      </c>
      <c r="O378" s="2">
        <v>45566</v>
      </c>
      <c r="P378" s="2">
        <v>47391</v>
      </c>
      <c r="Q378">
        <v>0</v>
      </c>
      <c r="R378" t="s">
        <v>950</v>
      </c>
    </row>
    <row r="379" spans="1:18" x14ac:dyDescent="0.25">
      <c r="A379" t="s">
        <v>4664</v>
      </c>
      <c r="B379" t="s">
        <v>237</v>
      </c>
      <c r="C379" t="s">
        <v>20</v>
      </c>
      <c r="D379" t="s">
        <v>4557</v>
      </c>
      <c r="E379" t="s">
        <v>4562</v>
      </c>
      <c r="F379" t="s">
        <v>4559</v>
      </c>
      <c r="G379" t="s">
        <v>4665</v>
      </c>
      <c r="H379" s="10">
        <v>392250</v>
      </c>
      <c r="I379" s="10">
        <v>24000</v>
      </c>
      <c r="J379" s="10">
        <v>0</v>
      </c>
      <c r="L379" t="s">
        <v>55</v>
      </c>
      <c r="M379" t="s">
        <v>103</v>
      </c>
      <c r="N379" t="s">
        <v>5823</v>
      </c>
      <c r="O379" s="2">
        <v>43922</v>
      </c>
      <c r="P379" s="2">
        <v>45016</v>
      </c>
      <c r="Q379">
        <v>0</v>
      </c>
      <c r="R379" t="s">
        <v>5822</v>
      </c>
    </row>
    <row r="380" spans="1:18" x14ac:dyDescent="0.25">
      <c r="A380" t="s">
        <v>951</v>
      </c>
      <c r="B380" t="s">
        <v>162</v>
      </c>
      <c r="C380" t="s">
        <v>149</v>
      </c>
      <c r="D380" t="s">
        <v>139</v>
      </c>
      <c r="E380" t="s">
        <v>140</v>
      </c>
      <c r="F380" t="s">
        <v>141</v>
      </c>
      <c r="G380" t="s">
        <v>952</v>
      </c>
      <c r="H380" s="10">
        <v>0</v>
      </c>
      <c r="I380" s="10">
        <v>0</v>
      </c>
      <c r="J380" s="10">
        <v>215500</v>
      </c>
      <c r="K380" t="s">
        <v>953</v>
      </c>
      <c r="L380" t="s">
        <v>34</v>
      </c>
      <c r="M380" t="s">
        <v>94</v>
      </c>
      <c r="N380" t="s">
        <v>954</v>
      </c>
      <c r="O380" s="2">
        <v>44075</v>
      </c>
      <c r="P380" s="2">
        <v>44439</v>
      </c>
      <c r="Q380">
        <v>0</v>
      </c>
      <c r="R380" t="s">
        <v>955</v>
      </c>
    </row>
    <row r="381" spans="1:18" x14ac:dyDescent="0.25">
      <c r="A381" t="s">
        <v>956</v>
      </c>
      <c r="B381" t="s">
        <v>240</v>
      </c>
      <c r="C381" t="s">
        <v>20</v>
      </c>
      <c r="D381" t="s">
        <v>51</v>
      </c>
      <c r="E381" t="s">
        <v>122</v>
      </c>
      <c r="F381" t="s">
        <v>109</v>
      </c>
      <c r="G381" t="s">
        <v>963</v>
      </c>
      <c r="H381" s="10">
        <v>424576</v>
      </c>
      <c r="I381" s="10">
        <v>0</v>
      </c>
      <c r="J381" s="10">
        <v>0</v>
      </c>
      <c r="L381" t="s">
        <v>55</v>
      </c>
      <c r="M381" t="s">
        <v>204</v>
      </c>
      <c r="N381" t="s">
        <v>964</v>
      </c>
      <c r="O381" s="2">
        <v>43739</v>
      </c>
      <c r="P381" s="2">
        <v>44834</v>
      </c>
      <c r="Q381">
        <v>0</v>
      </c>
      <c r="R381" t="s">
        <v>965</v>
      </c>
    </row>
    <row r="382" spans="1:18" x14ac:dyDescent="0.25">
      <c r="A382" t="s">
        <v>956</v>
      </c>
      <c r="B382" t="s">
        <v>240</v>
      </c>
      <c r="C382" t="s">
        <v>20</v>
      </c>
      <c r="D382" t="s">
        <v>51</v>
      </c>
      <c r="E382" t="s">
        <v>167</v>
      </c>
      <c r="F382" t="s">
        <v>53</v>
      </c>
      <c r="G382" t="s">
        <v>966</v>
      </c>
      <c r="H382" s="10">
        <v>397800</v>
      </c>
      <c r="I382" s="10">
        <v>0</v>
      </c>
      <c r="J382" s="10">
        <v>0</v>
      </c>
      <c r="L382" t="s">
        <v>25</v>
      </c>
      <c r="M382" t="s">
        <v>831</v>
      </c>
      <c r="N382" t="s">
        <v>961</v>
      </c>
      <c r="O382" s="2">
        <v>45017</v>
      </c>
      <c r="P382" s="2">
        <v>46477</v>
      </c>
      <c r="Q382">
        <v>0</v>
      </c>
      <c r="R382" t="s">
        <v>967</v>
      </c>
    </row>
    <row r="383" spans="1:18" x14ac:dyDescent="0.25">
      <c r="A383" t="s">
        <v>4666</v>
      </c>
      <c r="B383" t="s">
        <v>114</v>
      </c>
      <c r="C383" t="s">
        <v>20</v>
      </c>
      <c r="D383" t="s">
        <v>4557</v>
      </c>
      <c r="E383" t="s">
        <v>4602</v>
      </c>
      <c r="F383" t="s">
        <v>4559</v>
      </c>
      <c r="G383" t="s">
        <v>4667</v>
      </c>
      <c r="H383" s="10">
        <v>302342</v>
      </c>
      <c r="I383" s="10">
        <v>0</v>
      </c>
      <c r="J383" s="10">
        <v>0</v>
      </c>
      <c r="L383" t="s">
        <v>55</v>
      </c>
      <c r="M383" t="s">
        <v>26</v>
      </c>
      <c r="N383" t="s">
        <v>5694</v>
      </c>
      <c r="O383" s="2">
        <v>41365</v>
      </c>
      <c r="P383" s="2">
        <v>42460</v>
      </c>
      <c r="Q383">
        <v>1</v>
      </c>
      <c r="R383" t="s">
        <v>5693</v>
      </c>
    </row>
    <row r="384" spans="1:18" x14ac:dyDescent="0.25">
      <c r="A384" t="s">
        <v>5360</v>
      </c>
      <c r="B384" t="s">
        <v>240</v>
      </c>
      <c r="C384" t="s">
        <v>20</v>
      </c>
      <c r="D384" t="s">
        <v>51</v>
      </c>
      <c r="E384" t="s">
        <v>186</v>
      </c>
      <c r="F384" t="s">
        <v>53</v>
      </c>
      <c r="G384" t="s">
        <v>960</v>
      </c>
      <c r="H384" s="10">
        <v>405450</v>
      </c>
      <c r="I384" s="10">
        <v>0</v>
      </c>
      <c r="J384" s="10">
        <v>0</v>
      </c>
      <c r="L384" t="s">
        <v>55</v>
      </c>
      <c r="M384" t="s">
        <v>831</v>
      </c>
      <c r="N384" t="s">
        <v>961</v>
      </c>
      <c r="O384" s="2">
        <v>44470</v>
      </c>
      <c r="P384" s="2">
        <v>45565</v>
      </c>
      <c r="Q384">
        <v>1</v>
      </c>
      <c r="R384" t="s">
        <v>962</v>
      </c>
    </row>
    <row r="385" spans="1:18" x14ac:dyDescent="0.25">
      <c r="A385" t="s">
        <v>5361</v>
      </c>
      <c r="B385" t="s">
        <v>240</v>
      </c>
      <c r="C385" t="s">
        <v>20</v>
      </c>
      <c r="D385" t="s">
        <v>51</v>
      </c>
      <c r="E385" t="s">
        <v>167</v>
      </c>
      <c r="F385" t="s">
        <v>109</v>
      </c>
      <c r="G385" t="s">
        <v>957</v>
      </c>
      <c r="H385" s="10">
        <v>612000</v>
      </c>
      <c r="I385" s="10">
        <v>0</v>
      </c>
      <c r="J385" s="10">
        <v>0</v>
      </c>
      <c r="L385" t="s">
        <v>25</v>
      </c>
      <c r="M385" t="s">
        <v>831</v>
      </c>
      <c r="N385" t="s">
        <v>958</v>
      </c>
      <c r="O385" s="2">
        <v>45017</v>
      </c>
      <c r="P385" s="2">
        <v>46477</v>
      </c>
      <c r="Q385">
        <v>0</v>
      </c>
      <c r="R385" t="s">
        <v>959</v>
      </c>
    </row>
    <row r="386" spans="1:18" x14ac:dyDescent="0.25">
      <c r="A386" t="s">
        <v>968</v>
      </c>
      <c r="B386" t="s">
        <v>196</v>
      </c>
      <c r="C386" t="s">
        <v>20</v>
      </c>
      <c r="D386" t="s">
        <v>21</v>
      </c>
      <c r="E386" t="s">
        <v>534</v>
      </c>
      <c r="F386" t="s">
        <v>109</v>
      </c>
      <c r="G386" t="s">
        <v>969</v>
      </c>
      <c r="H386" s="10">
        <v>822596</v>
      </c>
      <c r="I386" s="10">
        <v>0</v>
      </c>
      <c r="J386" s="10">
        <v>0</v>
      </c>
      <c r="L386" t="s">
        <v>42</v>
      </c>
      <c r="M386" t="s">
        <v>103</v>
      </c>
      <c r="N386" t="s">
        <v>970</v>
      </c>
      <c r="O386" s="2">
        <v>40817</v>
      </c>
      <c r="P386" s="2">
        <v>42643</v>
      </c>
      <c r="Q386">
        <v>3</v>
      </c>
      <c r="R386" t="s">
        <v>971</v>
      </c>
    </row>
    <row r="387" spans="1:18" x14ac:dyDescent="0.25">
      <c r="A387" t="s">
        <v>968</v>
      </c>
      <c r="B387" t="s">
        <v>196</v>
      </c>
      <c r="C387" t="s">
        <v>20</v>
      </c>
      <c r="D387" t="s">
        <v>51</v>
      </c>
      <c r="E387" t="s">
        <v>116</v>
      </c>
      <c r="F387" t="s">
        <v>109</v>
      </c>
      <c r="G387" t="s">
        <v>972</v>
      </c>
      <c r="H387" s="10">
        <v>881664</v>
      </c>
      <c r="I387" s="10">
        <v>0</v>
      </c>
      <c r="J387" s="10">
        <v>0</v>
      </c>
      <c r="L387" t="s">
        <v>42</v>
      </c>
      <c r="M387" t="s">
        <v>103</v>
      </c>
      <c r="N387" t="s">
        <v>458</v>
      </c>
      <c r="O387" s="2">
        <v>43374</v>
      </c>
      <c r="P387" s="2">
        <v>45199</v>
      </c>
      <c r="Q387">
        <v>0</v>
      </c>
      <c r="R387" t="s">
        <v>973</v>
      </c>
    </row>
    <row r="388" spans="1:18" x14ac:dyDescent="0.25">
      <c r="A388" t="s">
        <v>974</v>
      </c>
      <c r="B388" t="s">
        <v>162</v>
      </c>
      <c r="C388" t="s">
        <v>149</v>
      </c>
      <c r="D388" t="s">
        <v>139</v>
      </c>
      <c r="E388" t="s">
        <v>140</v>
      </c>
      <c r="F388" t="s">
        <v>141</v>
      </c>
      <c r="G388" t="s">
        <v>975</v>
      </c>
      <c r="H388" s="10">
        <v>955694</v>
      </c>
      <c r="I388" s="10">
        <v>0</v>
      </c>
      <c r="J388" s="10">
        <v>0</v>
      </c>
      <c r="L388" t="s">
        <v>34</v>
      </c>
      <c r="M388" t="s">
        <v>94</v>
      </c>
      <c r="N388" t="s">
        <v>976</v>
      </c>
      <c r="O388" s="2">
        <v>43983</v>
      </c>
      <c r="P388" s="2">
        <v>44347</v>
      </c>
      <c r="Q388">
        <v>0</v>
      </c>
      <c r="R388" t="s">
        <v>977</v>
      </c>
    </row>
    <row r="389" spans="1:18" x14ac:dyDescent="0.25">
      <c r="A389" t="s">
        <v>978</v>
      </c>
      <c r="B389" t="s">
        <v>5069</v>
      </c>
      <c r="C389" t="s">
        <v>38</v>
      </c>
      <c r="D389" t="s">
        <v>21</v>
      </c>
      <c r="E389" t="s">
        <v>572</v>
      </c>
      <c r="F389" t="s">
        <v>32</v>
      </c>
      <c r="G389" t="s">
        <v>979</v>
      </c>
      <c r="H389" s="10">
        <v>364536</v>
      </c>
      <c r="I389" s="10">
        <v>0</v>
      </c>
      <c r="J389" s="10">
        <v>0</v>
      </c>
      <c r="L389" t="s">
        <v>55</v>
      </c>
      <c r="M389" t="s">
        <v>26</v>
      </c>
      <c r="N389" t="s">
        <v>980</v>
      </c>
      <c r="O389" s="2">
        <v>41730</v>
      </c>
      <c r="P389" s="2">
        <v>42825</v>
      </c>
      <c r="Q389">
        <v>0</v>
      </c>
      <c r="R389" t="s">
        <v>981</v>
      </c>
    </row>
    <row r="390" spans="1:18" x14ac:dyDescent="0.25">
      <c r="A390" t="s">
        <v>978</v>
      </c>
      <c r="B390" t="s">
        <v>5069</v>
      </c>
      <c r="C390" t="s">
        <v>38</v>
      </c>
      <c r="D390" t="s">
        <v>51</v>
      </c>
      <c r="E390" t="s">
        <v>197</v>
      </c>
      <c r="F390" t="s">
        <v>32</v>
      </c>
      <c r="G390" t="s">
        <v>982</v>
      </c>
      <c r="H390" s="10">
        <v>929475</v>
      </c>
      <c r="I390" s="10">
        <v>0</v>
      </c>
      <c r="J390" s="10">
        <v>0</v>
      </c>
      <c r="L390" t="s">
        <v>42</v>
      </c>
      <c r="M390" t="s">
        <v>26</v>
      </c>
      <c r="N390" t="s">
        <v>983</v>
      </c>
      <c r="O390" s="2">
        <v>44652</v>
      </c>
      <c r="P390" s="2">
        <v>46477</v>
      </c>
      <c r="Q390">
        <v>0</v>
      </c>
      <c r="R390" t="s">
        <v>984</v>
      </c>
    </row>
    <row r="391" spans="1:18" x14ac:dyDescent="0.25">
      <c r="A391" t="s">
        <v>4668</v>
      </c>
      <c r="B391" t="s">
        <v>49</v>
      </c>
      <c r="C391" t="s">
        <v>50</v>
      </c>
      <c r="D391" t="s">
        <v>4557</v>
      </c>
      <c r="E391" t="s">
        <v>4597</v>
      </c>
      <c r="F391" t="s">
        <v>4559</v>
      </c>
      <c r="G391" t="s">
        <v>4669</v>
      </c>
      <c r="H391" s="10">
        <v>310627</v>
      </c>
      <c r="I391" s="10">
        <v>0</v>
      </c>
      <c r="J391" s="10">
        <v>0</v>
      </c>
      <c r="L391" t="s">
        <v>55</v>
      </c>
      <c r="M391" t="s">
        <v>85</v>
      </c>
      <c r="N391" t="s">
        <v>5684</v>
      </c>
      <c r="O391" s="2">
        <v>42095</v>
      </c>
      <c r="P391" s="2">
        <v>43190</v>
      </c>
      <c r="Q391">
        <v>1</v>
      </c>
      <c r="R391" t="s">
        <v>5683</v>
      </c>
    </row>
    <row r="392" spans="1:18" x14ac:dyDescent="0.25">
      <c r="A392" t="s">
        <v>5151</v>
      </c>
      <c r="B392" t="s">
        <v>5045</v>
      </c>
      <c r="C392" t="s">
        <v>38</v>
      </c>
      <c r="D392" t="s">
        <v>99</v>
      </c>
      <c r="E392" t="s">
        <v>100</v>
      </c>
      <c r="F392" t="s">
        <v>101</v>
      </c>
      <c r="G392" t="s">
        <v>985</v>
      </c>
      <c r="H392" s="10">
        <v>4224996</v>
      </c>
      <c r="I392" s="10">
        <v>0</v>
      </c>
      <c r="J392" s="10">
        <v>0</v>
      </c>
      <c r="L392" t="s">
        <v>34</v>
      </c>
      <c r="M392" t="s">
        <v>85</v>
      </c>
      <c r="N392" t="s">
        <v>986</v>
      </c>
      <c r="O392" s="2">
        <v>43983</v>
      </c>
      <c r="P392" s="2">
        <v>44347</v>
      </c>
      <c r="Q392">
        <v>0</v>
      </c>
      <c r="R392" t="s">
        <v>987</v>
      </c>
    </row>
    <row r="393" spans="1:18" x14ac:dyDescent="0.25">
      <c r="A393" t="s">
        <v>5315</v>
      </c>
      <c r="B393" t="s">
        <v>59</v>
      </c>
      <c r="C393" t="s">
        <v>38</v>
      </c>
      <c r="D393" t="s">
        <v>5311</v>
      </c>
      <c r="E393" t="s">
        <v>5312</v>
      </c>
      <c r="F393" t="s">
        <v>5313</v>
      </c>
      <c r="G393" t="s">
        <v>5316</v>
      </c>
      <c r="H393" s="12">
        <v>212868</v>
      </c>
      <c r="I393" s="12">
        <v>10000</v>
      </c>
      <c r="J393" s="10">
        <v>0</v>
      </c>
      <c r="L393" t="s">
        <v>55</v>
      </c>
      <c r="M393" t="s">
        <v>217</v>
      </c>
      <c r="N393" t="s">
        <v>700</v>
      </c>
      <c r="O393" s="2">
        <v>41548</v>
      </c>
      <c r="P393" s="2">
        <v>42643</v>
      </c>
      <c r="Q393">
        <v>0</v>
      </c>
      <c r="R393" t="s">
        <v>6148</v>
      </c>
    </row>
    <row r="394" spans="1:18" x14ac:dyDescent="0.25">
      <c r="A394" t="s">
        <v>988</v>
      </c>
      <c r="B394" t="s">
        <v>157</v>
      </c>
      <c r="C394" t="s">
        <v>38</v>
      </c>
      <c r="D394" t="s">
        <v>51</v>
      </c>
      <c r="E394" t="s">
        <v>167</v>
      </c>
      <c r="F394" t="s">
        <v>109</v>
      </c>
      <c r="G394" t="s">
        <v>989</v>
      </c>
      <c r="H394" s="10">
        <v>1147500</v>
      </c>
      <c r="I394" s="10">
        <v>0</v>
      </c>
      <c r="J394" s="10">
        <v>0</v>
      </c>
      <c r="L394" t="s">
        <v>42</v>
      </c>
      <c r="M394" t="s">
        <v>831</v>
      </c>
      <c r="N394" t="s">
        <v>990</v>
      </c>
      <c r="O394" s="2">
        <v>45017</v>
      </c>
      <c r="P394" s="2">
        <v>46843</v>
      </c>
      <c r="Q394">
        <v>0</v>
      </c>
      <c r="R394" t="s">
        <v>991</v>
      </c>
    </row>
    <row r="395" spans="1:18" x14ac:dyDescent="0.25">
      <c r="A395" t="s">
        <v>4670</v>
      </c>
      <c r="B395" t="s">
        <v>49</v>
      </c>
      <c r="C395" t="s">
        <v>50</v>
      </c>
      <c r="D395" t="s">
        <v>4557</v>
      </c>
      <c r="E395" t="s">
        <v>4602</v>
      </c>
      <c r="F395" t="s">
        <v>4559</v>
      </c>
      <c r="G395" t="s">
        <v>4671</v>
      </c>
      <c r="H395" s="10">
        <v>309194</v>
      </c>
      <c r="I395" s="10">
        <v>0</v>
      </c>
      <c r="J395" s="10">
        <v>0</v>
      </c>
      <c r="L395" t="s">
        <v>55</v>
      </c>
      <c r="M395" t="s">
        <v>103</v>
      </c>
      <c r="N395" t="s">
        <v>5527</v>
      </c>
      <c r="O395" s="2">
        <v>41365</v>
      </c>
      <c r="P395" s="2">
        <v>42460</v>
      </c>
      <c r="Q395">
        <v>2</v>
      </c>
      <c r="R395" t="s">
        <v>5526</v>
      </c>
    </row>
    <row r="396" spans="1:18" x14ac:dyDescent="0.25">
      <c r="A396" t="s">
        <v>4512</v>
      </c>
      <c r="B396" t="s">
        <v>1593</v>
      </c>
      <c r="C396" t="s">
        <v>38</v>
      </c>
      <c r="D396" t="s">
        <v>4499</v>
      </c>
      <c r="E396" t="s">
        <v>4500</v>
      </c>
      <c r="F396" t="s">
        <v>4501</v>
      </c>
      <c r="G396" t="s">
        <v>4514</v>
      </c>
      <c r="H396" s="12">
        <v>149489</v>
      </c>
      <c r="I396" s="12">
        <v>0</v>
      </c>
      <c r="J396" s="10">
        <v>0</v>
      </c>
      <c r="L396" t="s">
        <v>34</v>
      </c>
      <c r="M396" t="s">
        <v>413</v>
      </c>
      <c r="N396" t="s">
        <v>6149</v>
      </c>
      <c r="O396" s="2">
        <v>45323</v>
      </c>
      <c r="P396" s="2">
        <v>45688</v>
      </c>
      <c r="Q396">
        <v>0</v>
      </c>
      <c r="R396" t="s">
        <v>6150</v>
      </c>
    </row>
    <row r="397" spans="1:18" x14ac:dyDescent="0.25">
      <c r="A397" t="s">
        <v>992</v>
      </c>
      <c r="B397" t="s">
        <v>148</v>
      </c>
      <c r="C397" t="s">
        <v>149</v>
      </c>
      <c r="D397" t="s">
        <v>51</v>
      </c>
      <c r="E397" t="s">
        <v>406</v>
      </c>
      <c r="F397" t="s">
        <v>662</v>
      </c>
      <c r="G397" t="s">
        <v>996</v>
      </c>
      <c r="H397" s="10">
        <v>669375</v>
      </c>
      <c r="I397" s="10">
        <v>0</v>
      </c>
      <c r="J397" s="10">
        <v>0</v>
      </c>
      <c r="L397" t="s">
        <v>42</v>
      </c>
      <c r="M397" t="s">
        <v>111</v>
      </c>
      <c r="N397" t="s">
        <v>997</v>
      </c>
      <c r="O397" s="2">
        <v>43191</v>
      </c>
      <c r="P397" s="2">
        <v>45016</v>
      </c>
      <c r="Q397">
        <v>0</v>
      </c>
      <c r="R397" t="s">
        <v>998</v>
      </c>
    </row>
    <row r="398" spans="1:18" x14ac:dyDescent="0.25">
      <c r="A398" t="s">
        <v>992</v>
      </c>
      <c r="B398" t="s">
        <v>148</v>
      </c>
      <c r="C398" t="s">
        <v>149</v>
      </c>
      <c r="D398" t="s">
        <v>51</v>
      </c>
      <c r="E398" t="s">
        <v>259</v>
      </c>
      <c r="F398" t="s">
        <v>109</v>
      </c>
      <c r="G398" t="s">
        <v>993</v>
      </c>
      <c r="H398" s="10">
        <v>856800</v>
      </c>
      <c r="I398" s="10">
        <v>0</v>
      </c>
      <c r="J398" s="10">
        <v>0</v>
      </c>
      <c r="L398" t="s">
        <v>42</v>
      </c>
      <c r="M398" t="s">
        <v>111</v>
      </c>
      <c r="N398" t="s">
        <v>994</v>
      </c>
      <c r="O398" s="2">
        <v>44105</v>
      </c>
      <c r="P398" s="2">
        <v>45930</v>
      </c>
      <c r="Q398">
        <v>0</v>
      </c>
      <c r="R398" t="s">
        <v>995</v>
      </c>
    </row>
    <row r="399" spans="1:18" x14ac:dyDescent="0.25">
      <c r="A399" t="s">
        <v>992</v>
      </c>
      <c r="B399" t="s">
        <v>148</v>
      </c>
      <c r="C399" t="s">
        <v>149</v>
      </c>
      <c r="D399" t="s">
        <v>51</v>
      </c>
      <c r="E399" t="s">
        <v>223</v>
      </c>
      <c r="F399" t="s">
        <v>109</v>
      </c>
      <c r="G399" t="s">
        <v>999</v>
      </c>
      <c r="H399" s="10">
        <v>979200</v>
      </c>
      <c r="I399" s="10">
        <v>0</v>
      </c>
      <c r="J399" s="10">
        <v>0</v>
      </c>
      <c r="L399" t="s">
        <v>42</v>
      </c>
      <c r="M399" t="s">
        <v>111</v>
      </c>
      <c r="N399" t="s">
        <v>199</v>
      </c>
      <c r="O399" s="2">
        <v>45566</v>
      </c>
      <c r="P399" s="2">
        <v>47391</v>
      </c>
      <c r="Q399">
        <v>0</v>
      </c>
      <c r="R399" t="s">
        <v>1000</v>
      </c>
    </row>
    <row r="400" spans="1:18" x14ac:dyDescent="0.25">
      <c r="A400" t="s">
        <v>4672</v>
      </c>
      <c r="B400" t="s">
        <v>148</v>
      </c>
      <c r="C400" t="s">
        <v>149</v>
      </c>
      <c r="D400" t="s">
        <v>4557</v>
      </c>
      <c r="E400" t="s">
        <v>4597</v>
      </c>
      <c r="F400" t="s">
        <v>4559</v>
      </c>
      <c r="G400" t="s">
        <v>4673</v>
      </c>
      <c r="H400" s="10">
        <v>249682</v>
      </c>
      <c r="I400" s="10">
        <v>0</v>
      </c>
      <c r="J400" s="10">
        <v>0</v>
      </c>
      <c r="L400" t="s">
        <v>55</v>
      </c>
      <c r="M400" t="s">
        <v>111</v>
      </c>
      <c r="N400" t="s">
        <v>5631</v>
      </c>
      <c r="O400" s="2">
        <v>42095</v>
      </c>
      <c r="P400" s="2">
        <v>43190</v>
      </c>
      <c r="Q400">
        <v>0</v>
      </c>
      <c r="R400" t="s">
        <v>5630</v>
      </c>
    </row>
    <row r="401" spans="1:18" x14ac:dyDescent="0.25">
      <c r="A401" t="s">
        <v>1001</v>
      </c>
      <c r="B401" t="s">
        <v>49</v>
      </c>
      <c r="C401" t="s">
        <v>50</v>
      </c>
      <c r="D401" t="s">
        <v>21</v>
      </c>
      <c r="E401" t="s">
        <v>255</v>
      </c>
      <c r="F401" t="s">
        <v>47</v>
      </c>
      <c r="G401" t="s">
        <v>1002</v>
      </c>
      <c r="H401" s="11">
        <v>433402</v>
      </c>
      <c r="I401" s="11">
        <v>0</v>
      </c>
      <c r="J401" s="11">
        <v>0</v>
      </c>
      <c r="L401" t="s">
        <v>55</v>
      </c>
      <c r="M401" t="s">
        <v>26</v>
      </c>
      <c r="N401" t="s">
        <v>1003</v>
      </c>
      <c r="O401" s="2">
        <v>39904</v>
      </c>
      <c r="P401" s="2">
        <v>40999</v>
      </c>
      <c r="Q401">
        <v>2</v>
      </c>
      <c r="R401" t="s">
        <v>1004</v>
      </c>
    </row>
    <row r="402" spans="1:18" x14ac:dyDescent="0.25">
      <c r="A402" t="s">
        <v>1001</v>
      </c>
      <c r="B402" t="s">
        <v>49</v>
      </c>
      <c r="C402" t="s">
        <v>50</v>
      </c>
      <c r="D402" t="s">
        <v>21</v>
      </c>
      <c r="E402" t="s">
        <v>534</v>
      </c>
      <c r="F402" t="s">
        <v>47</v>
      </c>
      <c r="G402" t="s">
        <v>1005</v>
      </c>
      <c r="H402" s="10">
        <v>686778</v>
      </c>
      <c r="I402" s="10">
        <v>0</v>
      </c>
      <c r="J402" s="10">
        <v>0</v>
      </c>
      <c r="L402" t="s">
        <v>42</v>
      </c>
      <c r="M402" t="s">
        <v>26</v>
      </c>
      <c r="N402" t="s">
        <v>1006</v>
      </c>
      <c r="O402" s="2">
        <v>40817</v>
      </c>
      <c r="P402" s="2">
        <v>42643</v>
      </c>
      <c r="Q402">
        <v>3</v>
      </c>
      <c r="R402" t="s">
        <v>1007</v>
      </c>
    </row>
    <row r="403" spans="1:18" x14ac:dyDescent="0.25">
      <c r="A403" t="s">
        <v>1008</v>
      </c>
      <c r="B403" t="s">
        <v>474</v>
      </c>
      <c r="C403" t="s">
        <v>20</v>
      </c>
      <c r="D403" t="s">
        <v>21</v>
      </c>
      <c r="E403" t="s">
        <v>172</v>
      </c>
      <c r="F403" t="s">
        <v>32</v>
      </c>
      <c r="G403" t="s">
        <v>1009</v>
      </c>
      <c r="H403" s="10">
        <v>858940</v>
      </c>
      <c r="I403" s="10">
        <v>0</v>
      </c>
      <c r="J403" s="10">
        <v>0</v>
      </c>
      <c r="L403" t="s">
        <v>42</v>
      </c>
      <c r="M403" t="s">
        <v>143</v>
      </c>
      <c r="N403" t="s">
        <v>1010</v>
      </c>
      <c r="O403" s="2">
        <v>40452</v>
      </c>
      <c r="P403" s="2">
        <v>42185</v>
      </c>
      <c r="Q403">
        <v>0</v>
      </c>
      <c r="R403" t="s">
        <v>1011</v>
      </c>
    </row>
    <row r="404" spans="1:18" x14ac:dyDescent="0.25">
      <c r="A404" t="s">
        <v>1008</v>
      </c>
      <c r="B404" t="s">
        <v>474</v>
      </c>
      <c r="C404" t="s">
        <v>20</v>
      </c>
      <c r="D404" t="s">
        <v>21</v>
      </c>
      <c r="E404" t="s">
        <v>572</v>
      </c>
      <c r="F404" t="s">
        <v>32</v>
      </c>
      <c r="G404" t="s">
        <v>1012</v>
      </c>
      <c r="H404" s="10">
        <v>978785</v>
      </c>
      <c r="I404" s="10">
        <v>0</v>
      </c>
      <c r="J404" s="10">
        <v>0</v>
      </c>
      <c r="L404" t="s">
        <v>42</v>
      </c>
      <c r="M404" t="s">
        <v>26</v>
      </c>
      <c r="N404" t="s">
        <v>1013</v>
      </c>
      <c r="O404" s="2">
        <v>41730</v>
      </c>
      <c r="P404" s="2">
        <v>42185</v>
      </c>
      <c r="Q404">
        <v>5</v>
      </c>
      <c r="R404" t="s">
        <v>1014</v>
      </c>
    </row>
    <row r="405" spans="1:18" x14ac:dyDescent="0.25">
      <c r="A405" t="s">
        <v>1008</v>
      </c>
      <c r="B405" t="s">
        <v>474</v>
      </c>
      <c r="C405" t="s">
        <v>20</v>
      </c>
      <c r="D405" t="s">
        <v>51</v>
      </c>
      <c r="E405" t="s">
        <v>186</v>
      </c>
      <c r="F405" t="s">
        <v>32</v>
      </c>
      <c r="G405" t="s">
        <v>1015</v>
      </c>
      <c r="H405" s="10">
        <v>882046</v>
      </c>
      <c r="I405" s="10">
        <v>0</v>
      </c>
      <c r="J405" s="10">
        <v>0</v>
      </c>
      <c r="L405" t="s">
        <v>42</v>
      </c>
      <c r="M405" t="s">
        <v>26</v>
      </c>
      <c r="N405" t="s">
        <v>1016</v>
      </c>
      <c r="O405" s="2">
        <v>44743</v>
      </c>
      <c r="P405" s="2">
        <v>46568</v>
      </c>
      <c r="Q405">
        <v>1</v>
      </c>
      <c r="R405" t="s">
        <v>1017</v>
      </c>
    </row>
    <row r="406" spans="1:18" x14ac:dyDescent="0.25">
      <c r="A406" t="s">
        <v>1018</v>
      </c>
      <c r="B406" t="s">
        <v>4492</v>
      </c>
      <c r="C406" t="s">
        <v>38</v>
      </c>
      <c r="D406" t="s">
        <v>30</v>
      </c>
      <c r="E406" t="s">
        <v>31</v>
      </c>
      <c r="F406" t="s">
        <v>47</v>
      </c>
      <c r="G406" t="s">
        <v>1019</v>
      </c>
      <c r="H406" s="10">
        <v>100000</v>
      </c>
      <c r="I406" s="10">
        <v>0</v>
      </c>
      <c r="J406" s="10">
        <v>0</v>
      </c>
      <c r="L406" t="s">
        <v>34</v>
      </c>
      <c r="M406" t="s">
        <v>26</v>
      </c>
      <c r="N406" t="s">
        <v>72</v>
      </c>
      <c r="O406" s="2">
        <v>44986</v>
      </c>
      <c r="P406" s="2">
        <v>45351</v>
      </c>
      <c r="Q406">
        <v>0</v>
      </c>
      <c r="R406" t="s">
        <v>1020</v>
      </c>
    </row>
    <row r="407" spans="1:18" x14ac:dyDescent="0.25">
      <c r="A407" t="s">
        <v>1021</v>
      </c>
      <c r="B407" t="s">
        <v>49</v>
      </c>
      <c r="C407" t="s">
        <v>50</v>
      </c>
      <c r="D407" t="s">
        <v>21</v>
      </c>
      <c r="E407" t="s">
        <v>172</v>
      </c>
      <c r="F407" t="s">
        <v>32</v>
      </c>
      <c r="G407" t="s">
        <v>1022</v>
      </c>
      <c r="H407" s="10">
        <v>665920</v>
      </c>
      <c r="I407" s="10">
        <v>0</v>
      </c>
      <c r="J407" s="10">
        <v>0</v>
      </c>
      <c r="L407" t="s">
        <v>42</v>
      </c>
      <c r="M407" t="s">
        <v>26</v>
      </c>
      <c r="N407" t="s">
        <v>1023</v>
      </c>
      <c r="O407" s="2">
        <v>40452</v>
      </c>
      <c r="P407" s="2">
        <v>42277</v>
      </c>
      <c r="Q407">
        <v>0</v>
      </c>
      <c r="R407" t="s">
        <v>1024</v>
      </c>
    </row>
    <row r="408" spans="1:18" x14ac:dyDescent="0.25">
      <c r="A408" t="s">
        <v>1021</v>
      </c>
      <c r="B408" t="s">
        <v>49</v>
      </c>
      <c r="C408" t="s">
        <v>50</v>
      </c>
      <c r="D408" t="s">
        <v>45</v>
      </c>
      <c r="E408" t="s">
        <v>46</v>
      </c>
      <c r="F408" t="s">
        <v>32</v>
      </c>
      <c r="G408" t="s">
        <v>1022</v>
      </c>
      <c r="H408" s="10">
        <v>100000</v>
      </c>
      <c r="I408" s="10">
        <v>0</v>
      </c>
      <c r="J408" s="10">
        <v>0</v>
      </c>
      <c r="L408" t="s">
        <v>34</v>
      </c>
      <c r="M408" t="s">
        <v>26</v>
      </c>
      <c r="N408" t="s">
        <v>1023</v>
      </c>
      <c r="O408" s="2">
        <v>40238</v>
      </c>
      <c r="P408" s="2">
        <v>40602</v>
      </c>
      <c r="Q408">
        <v>0</v>
      </c>
      <c r="R408" t="s">
        <v>1024</v>
      </c>
    </row>
    <row r="409" spans="1:18" x14ac:dyDescent="0.25">
      <c r="A409" t="s">
        <v>5362</v>
      </c>
      <c r="B409" t="s">
        <v>19</v>
      </c>
      <c r="C409" t="s">
        <v>20</v>
      </c>
      <c r="D409" t="s">
        <v>51</v>
      </c>
      <c r="E409" t="s">
        <v>208</v>
      </c>
      <c r="F409" t="s">
        <v>53</v>
      </c>
      <c r="G409" t="s">
        <v>1025</v>
      </c>
      <c r="H409" s="10">
        <v>623476</v>
      </c>
      <c r="I409" s="10">
        <v>0</v>
      </c>
      <c r="J409" s="10">
        <v>0</v>
      </c>
      <c r="L409" t="s">
        <v>25</v>
      </c>
      <c r="M409" t="s">
        <v>217</v>
      </c>
      <c r="N409" t="s">
        <v>961</v>
      </c>
      <c r="O409" s="2">
        <v>45383</v>
      </c>
      <c r="P409" s="2">
        <v>46843</v>
      </c>
      <c r="Q409">
        <v>0</v>
      </c>
      <c r="R409" t="s">
        <v>1026</v>
      </c>
    </row>
    <row r="410" spans="1:18" x14ac:dyDescent="0.25">
      <c r="A410" t="s">
        <v>4674</v>
      </c>
      <c r="B410" t="s">
        <v>49</v>
      </c>
      <c r="C410" t="s">
        <v>50</v>
      </c>
      <c r="D410" t="s">
        <v>4557</v>
      </c>
      <c r="E410" t="s">
        <v>4602</v>
      </c>
      <c r="F410" t="s">
        <v>4559</v>
      </c>
      <c r="G410" t="s">
        <v>4675</v>
      </c>
      <c r="H410" s="10">
        <v>300000</v>
      </c>
      <c r="I410" s="10">
        <v>0</v>
      </c>
      <c r="J410" s="10">
        <v>0</v>
      </c>
      <c r="L410" t="s">
        <v>55</v>
      </c>
      <c r="M410" t="s">
        <v>204</v>
      </c>
      <c r="N410" t="s">
        <v>5906</v>
      </c>
      <c r="O410" s="2">
        <v>41365</v>
      </c>
      <c r="P410" s="2">
        <v>42460</v>
      </c>
      <c r="Q410">
        <v>0</v>
      </c>
      <c r="R410" t="s">
        <v>5905</v>
      </c>
    </row>
    <row r="411" spans="1:18" x14ac:dyDescent="0.25">
      <c r="A411" t="s">
        <v>1030</v>
      </c>
      <c r="B411" t="s">
        <v>5045</v>
      </c>
      <c r="C411" t="s">
        <v>38</v>
      </c>
      <c r="D411" t="s">
        <v>51</v>
      </c>
      <c r="E411" t="s">
        <v>122</v>
      </c>
      <c r="F411" t="s">
        <v>47</v>
      </c>
      <c r="G411" t="s">
        <v>1031</v>
      </c>
      <c r="H411" s="10">
        <v>673200</v>
      </c>
      <c r="I411" s="10">
        <v>0</v>
      </c>
      <c r="J411" s="10">
        <v>0</v>
      </c>
      <c r="L411" t="s">
        <v>25</v>
      </c>
      <c r="M411" t="s">
        <v>26</v>
      </c>
      <c r="N411" t="s">
        <v>1032</v>
      </c>
      <c r="O411" s="2">
        <v>43739</v>
      </c>
      <c r="P411" s="2">
        <v>45199</v>
      </c>
      <c r="Q411">
        <v>0</v>
      </c>
      <c r="R411" t="s">
        <v>1033</v>
      </c>
    </row>
    <row r="412" spans="1:18" x14ac:dyDescent="0.25">
      <c r="A412" t="s">
        <v>1030</v>
      </c>
      <c r="B412" t="s">
        <v>5045</v>
      </c>
      <c r="C412" t="s">
        <v>38</v>
      </c>
      <c r="D412" t="s">
        <v>64</v>
      </c>
      <c r="E412" t="s">
        <v>65</v>
      </c>
      <c r="F412" t="s">
        <v>32</v>
      </c>
      <c r="G412" t="s">
        <v>1037</v>
      </c>
      <c r="H412" s="10">
        <v>100000</v>
      </c>
      <c r="I412" s="10">
        <v>0</v>
      </c>
      <c r="J412" s="10">
        <v>0</v>
      </c>
      <c r="L412" t="s">
        <v>34</v>
      </c>
      <c r="M412" t="s">
        <v>26</v>
      </c>
      <c r="N412" t="s">
        <v>1035</v>
      </c>
      <c r="O412" s="2">
        <v>44986</v>
      </c>
      <c r="P412" s="2">
        <v>45351</v>
      </c>
      <c r="Q412">
        <v>0</v>
      </c>
      <c r="R412" t="s">
        <v>1036</v>
      </c>
    </row>
    <row r="413" spans="1:18" x14ac:dyDescent="0.25">
      <c r="A413" t="s">
        <v>1030</v>
      </c>
      <c r="B413" t="s">
        <v>5045</v>
      </c>
      <c r="C413" t="s">
        <v>38</v>
      </c>
      <c r="D413" t="s">
        <v>64</v>
      </c>
      <c r="E413" t="s">
        <v>929</v>
      </c>
      <c r="F413" t="s">
        <v>32</v>
      </c>
      <c r="G413" t="s">
        <v>1034</v>
      </c>
      <c r="H413" s="10">
        <v>100000</v>
      </c>
      <c r="I413" s="10">
        <v>0</v>
      </c>
      <c r="J413" s="10">
        <v>0</v>
      </c>
      <c r="L413" t="s">
        <v>34</v>
      </c>
      <c r="M413" t="s">
        <v>26</v>
      </c>
      <c r="N413" t="s">
        <v>1035</v>
      </c>
      <c r="O413" s="2">
        <v>45200</v>
      </c>
      <c r="P413" s="2">
        <v>45565</v>
      </c>
      <c r="Q413">
        <v>0</v>
      </c>
      <c r="R413" t="s">
        <v>1036</v>
      </c>
    </row>
    <row r="414" spans="1:18" x14ac:dyDescent="0.25">
      <c r="A414" t="s">
        <v>5078</v>
      </c>
      <c r="B414" t="s">
        <v>5045</v>
      </c>
      <c r="C414" t="s">
        <v>38</v>
      </c>
      <c r="D414" t="s">
        <v>21</v>
      </c>
      <c r="E414" t="s">
        <v>549</v>
      </c>
      <c r="F414" t="s">
        <v>32</v>
      </c>
      <c r="G414" t="s">
        <v>1041</v>
      </c>
      <c r="H414" s="10">
        <v>996969</v>
      </c>
      <c r="I414" s="10">
        <v>0</v>
      </c>
      <c r="J414" s="10">
        <v>0</v>
      </c>
      <c r="L414" t="s">
        <v>42</v>
      </c>
      <c r="M414" t="s">
        <v>26</v>
      </c>
      <c r="N414" t="s">
        <v>1042</v>
      </c>
      <c r="O414" s="2">
        <v>42186</v>
      </c>
      <c r="P414" s="2">
        <v>44012</v>
      </c>
      <c r="Q414">
        <v>0</v>
      </c>
      <c r="R414" t="s">
        <v>1043</v>
      </c>
    </row>
    <row r="415" spans="1:18" x14ac:dyDescent="0.25">
      <c r="A415" t="s">
        <v>5079</v>
      </c>
      <c r="B415" t="s">
        <v>5045</v>
      </c>
      <c r="C415" t="s">
        <v>38</v>
      </c>
      <c r="D415" t="s">
        <v>21</v>
      </c>
      <c r="E415" t="s">
        <v>108</v>
      </c>
      <c r="F415" t="s">
        <v>32</v>
      </c>
      <c r="G415" t="s">
        <v>1038</v>
      </c>
      <c r="H415" s="10">
        <v>331970</v>
      </c>
      <c r="I415" s="10">
        <v>0</v>
      </c>
      <c r="J415" s="10">
        <v>0</v>
      </c>
      <c r="L415" t="s">
        <v>55</v>
      </c>
      <c r="M415" t="s">
        <v>26</v>
      </c>
      <c r="N415" t="s">
        <v>1039</v>
      </c>
      <c r="O415" s="2">
        <v>41548</v>
      </c>
      <c r="P415" s="2">
        <v>42643</v>
      </c>
      <c r="Q415">
        <v>0</v>
      </c>
      <c r="R415" t="s">
        <v>1040</v>
      </c>
    </row>
    <row r="416" spans="1:18" x14ac:dyDescent="0.25">
      <c r="A416" t="s">
        <v>1044</v>
      </c>
      <c r="B416" t="s">
        <v>19</v>
      </c>
      <c r="C416" t="s">
        <v>20</v>
      </c>
      <c r="D416" t="s">
        <v>99</v>
      </c>
      <c r="E416" t="s">
        <v>100</v>
      </c>
      <c r="F416" t="s">
        <v>101</v>
      </c>
      <c r="G416" t="s">
        <v>1045</v>
      </c>
      <c r="H416" s="10">
        <v>664145</v>
      </c>
      <c r="I416" s="10">
        <v>0</v>
      </c>
      <c r="J416" s="10">
        <v>0</v>
      </c>
      <c r="L416" t="s">
        <v>34</v>
      </c>
      <c r="M416" t="s">
        <v>103</v>
      </c>
      <c r="N416" t="s">
        <v>1046</v>
      </c>
      <c r="O416" s="2">
        <v>43983</v>
      </c>
      <c r="P416" s="2">
        <v>44347</v>
      </c>
      <c r="Q416">
        <v>0</v>
      </c>
      <c r="R416" t="s">
        <v>1047</v>
      </c>
    </row>
    <row r="417" spans="1:18" x14ac:dyDescent="0.25">
      <c r="A417" t="s">
        <v>1049</v>
      </c>
      <c r="B417" t="s">
        <v>148</v>
      </c>
      <c r="C417" t="s">
        <v>149</v>
      </c>
      <c r="D417" t="s">
        <v>51</v>
      </c>
      <c r="E417" t="s">
        <v>70</v>
      </c>
      <c r="F417" t="s">
        <v>53</v>
      </c>
      <c r="G417" t="s">
        <v>1050</v>
      </c>
      <c r="H417" s="10">
        <v>650250</v>
      </c>
      <c r="I417" s="10">
        <v>0</v>
      </c>
      <c r="J417" s="10">
        <v>0</v>
      </c>
      <c r="L417" t="s">
        <v>42</v>
      </c>
      <c r="M417" t="s">
        <v>204</v>
      </c>
      <c r="N417" t="s">
        <v>1051</v>
      </c>
      <c r="O417" s="2">
        <v>45200</v>
      </c>
      <c r="P417" s="2">
        <v>47026</v>
      </c>
      <c r="Q417">
        <v>0</v>
      </c>
      <c r="R417" t="s">
        <v>1052</v>
      </c>
    </row>
    <row r="418" spans="1:18" x14ac:dyDescent="0.25">
      <c r="A418" t="s">
        <v>1053</v>
      </c>
      <c r="B418" t="s">
        <v>240</v>
      </c>
      <c r="C418" t="s">
        <v>20</v>
      </c>
      <c r="D418" t="s">
        <v>51</v>
      </c>
      <c r="E418" t="s">
        <v>158</v>
      </c>
      <c r="F418" t="s">
        <v>23</v>
      </c>
      <c r="G418" t="s">
        <v>1054</v>
      </c>
      <c r="H418" s="10">
        <v>956250</v>
      </c>
      <c r="I418" s="10">
        <v>0</v>
      </c>
      <c r="J418" s="10">
        <v>0</v>
      </c>
      <c r="L418" t="s">
        <v>42</v>
      </c>
      <c r="M418" t="s">
        <v>26</v>
      </c>
      <c r="N418" t="s">
        <v>1055</v>
      </c>
      <c r="O418" s="2">
        <v>43922</v>
      </c>
      <c r="P418" s="2">
        <v>45747</v>
      </c>
      <c r="Q418">
        <v>0</v>
      </c>
      <c r="R418" t="s">
        <v>1056</v>
      </c>
    </row>
    <row r="419" spans="1:18" x14ac:dyDescent="0.25">
      <c r="A419" t="s">
        <v>5152</v>
      </c>
      <c r="B419" t="s">
        <v>98</v>
      </c>
      <c r="C419" t="s">
        <v>20</v>
      </c>
      <c r="D419" t="s">
        <v>99</v>
      </c>
      <c r="E419" t="s">
        <v>100</v>
      </c>
      <c r="F419" t="s">
        <v>101</v>
      </c>
      <c r="G419" t="s">
        <v>1057</v>
      </c>
      <c r="H419" s="10">
        <v>2937119</v>
      </c>
      <c r="I419" s="10">
        <v>0</v>
      </c>
      <c r="J419" s="10">
        <v>0</v>
      </c>
      <c r="L419" t="s">
        <v>34</v>
      </c>
      <c r="M419" t="s">
        <v>94</v>
      </c>
      <c r="N419" t="s">
        <v>1058</v>
      </c>
      <c r="O419" s="2">
        <v>43983</v>
      </c>
      <c r="P419" s="2">
        <v>44347</v>
      </c>
      <c r="Q419">
        <v>0</v>
      </c>
      <c r="R419" t="s">
        <v>1059</v>
      </c>
    </row>
    <row r="420" spans="1:18" x14ac:dyDescent="0.25">
      <c r="A420" t="s">
        <v>6151</v>
      </c>
      <c r="B420" t="s">
        <v>3285</v>
      </c>
      <c r="C420" t="s">
        <v>20</v>
      </c>
      <c r="D420" t="s">
        <v>5320</v>
      </c>
      <c r="E420" t="s">
        <v>5321</v>
      </c>
      <c r="F420" t="s">
        <v>5322</v>
      </c>
      <c r="G420" t="s">
        <v>5324</v>
      </c>
      <c r="H420" s="12">
        <v>410732</v>
      </c>
      <c r="I420" s="12">
        <v>0</v>
      </c>
      <c r="J420" s="10">
        <v>0</v>
      </c>
      <c r="L420" t="s">
        <v>55</v>
      </c>
      <c r="M420" t="s">
        <v>111</v>
      </c>
      <c r="N420" t="s">
        <v>6152</v>
      </c>
      <c r="O420" s="2">
        <v>42278</v>
      </c>
      <c r="P420" s="2">
        <v>43373</v>
      </c>
      <c r="Q420">
        <v>0</v>
      </c>
      <c r="R420" t="s">
        <v>6153</v>
      </c>
    </row>
    <row r="421" spans="1:18" x14ac:dyDescent="0.25">
      <c r="A421" t="s">
        <v>1060</v>
      </c>
      <c r="B421" t="s">
        <v>157</v>
      </c>
      <c r="C421" t="s">
        <v>38</v>
      </c>
      <c r="D421" t="s">
        <v>21</v>
      </c>
      <c r="E421" t="s">
        <v>534</v>
      </c>
      <c r="F421" t="s">
        <v>109</v>
      </c>
      <c r="G421" t="s">
        <v>1064</v>
      </c>
      <c r="H421" s="10">
        <v>678951</v>
      </c>
      <c r="I421" s="10">
        <v>0</v>
      </c>
      <c r="J421" s="10">
        <v>0</v>
      </c>
      <c r="L421" t="s">
        <v>42</v>
      </c>
      <c r="M421" t="s">
        <v>26</v>
      </c>
      <c r="N421" t="s">
        <v>1065</v>
      </c>
      <c r="O421" s="2">
        <v>40817</v>
      </c>
      <c r="P421" s="2">
        <v>42643</v>
      </c>
      <c r="Q421">
        <v>0</v>
      </c>
      <c r="R421" t="s">
        <v>1066</v>
      </c>
    </row>
    <row r="422" spans="1:18" x14ac:dyDescent="0.25">
      <c r="A422" t="s">
        <v>1060</v>
      </c>
      <c r="B422" t="s">
        <v>157</v>
      </c>
      <c r="C422" t="s">
        <v>38</v>
      </c>
      <c r="D422" t="s">
        <v>21</v>
      </c>
      <c r="E422" t="s">
        <v>60</v>
      </c>
      <c r="F422" t="s">
        <v>109</v>
      </c>
      <c r="G422" t="s">
        <v>1061</v>
      </c>
      <c r="H422" s="10">
        <v>394720</v>
      </c>
      <c r="I422" s="10">
        <v>0</v>
      </c>
      <c r="J422" s="10">
        <v>0</v>
      </c>
      <c r="L422" t="s">
        <v>25</v>
      </c>
      <c r="M422" t="s">
        <v>26</v>
      </c>
      <c r="N422" t="s">
        <v>1062</v>
      </c>
      <c r="O422" s="2">
        <v>41821</v>
      </c>
      <c r="P422" s="2">
        <v>43281</v>
      </c>
      <c r="Q422">
        <v>4</v>
      </c>
      <c r="R422" t="s">
        <v>1063</v>
      </c>
    </row>
    <row r="423" spans="1:18" x14ac:dyDescent="0.25">
      <c r="A423" t="s">
        <v>1067</v>
      </c>
      <c r="B423" t="s">
        <v>162</v>
      </c>
      <c r="C423" t="s">
        <v>149</v>
      </c>
      <c r="D423" t="s">
        <v>51</v>
      </c>
      <c r="E423" t="s">
        <v>208</v>
      </c>
      <c r="F423" t="s">
        <v>47</v>
      </c>
      <c r="G423" t="s">
        <v>1068</v>
      </c>
      <c r="H423" s="10">
        <v>749700</v>
      </c>
      <c r="I423" s="10">
        <v>0</v>
      </c>
      <c r="J423" s="10">
        <v>0</v>
      </c>
      <c r="L423" t="s">
        <v>42</v>
      </c>
      <c r="M423" t="s">
        <v>26</v>
      </c>
      <c r="N423" t="s">
        <v>72</v>
      </c>
      <c r="O423" s="2">
        <v>44621</v>
      </c>
      <c r="P423" s="2">
        <v>44985</v>
      </c>
      <c r="Q423">
        <v>0</v>
      </c>
      <c r="R423" t="s">
        <v>1069</v>
      </c>
    </row>
    <row r="424" spans="1:18" x14ac:dyDescent="0.25">
      <c r="A424" t="s">
        <v>1067</v>
      </c>
      <c r="B424" t="s">
        <v>162</v>
      </c>
      <c r="C424" t="s">
        <v>149</v>
      </c>
      <c r="D424" t="s">
        <v>30</v>
      </c>
      <c r="E424" t="s">
        <v>626</v>
      </c>
      <c r="F424" t="s">
        <v>128</v>
      </c>
      <c r="G424" t="s">
        <v>1068</v>
      </c>
      <c r="H424" s="10">
        <v>100000</v>
      </c>
      <c r="I424" s="10">
        <v>0</v>
      </c>
      <c r="J424" s="10">
        <v>0</v>
      </c>
      <c r="L424" t="s">
        <v>34</v>
      </c>
      <c r="M424" t="s">
        <v>26</v>
      </c>
      <c r="N424" t="s">
        <v>72</v>
      </c>
      <c r="O424" s="2">
        <v>44621</v>
      </c>
      <c r="P424" s="2">
        <v>44985</v>
      </c>
      <c r="Q424">
        <v>0</v>
      </c>
      <c r="R424" t="s">
        <v>1069</v>
      </c>
    </row>
    <row r="425" spans="1:18" x14ac:dyDescent="0.25">
      <c r="A425" t="s">
        <v>1067</v>
      </c>
      <c r="B425" t="s">
        <v>162</v>
      </c>
      <c r="C425" t="s">
        <v>149</v>
      </c>
      <c r="D425" t="s">
        <v>30</v>
      </c>
      <c r="E425" t="s">
        <v>1070</v>
      </c>
      <c r="F425" t="s">
        <v>47</v>
      </c>
      <c r="G425" t="s">
        <v>1068</v>
      </c>
      <c r="H425" s="10">
        <v>100000</v>
      </c>
      <c r="I425" s="10">
        <v>0</v>
      </c>
      <c r="J425" s="10">
        <v>0</v>
      </c>
      <c r="L425" t="s">
        <v>34</v>
      </c>
      <c r="M425" t="s">
        <v>26</v>
      </c>
      <c r="N425" t="s">
        <v>72</v>
      </c>
      <c r="O425" s="2">
        <v>44621</v>
      </c>
      <c r="P425" s="2">
        <v>44985</v>
      </c>
      <c r="Q425">
        <v>0</v>
      </c>
      <c r="R425" t="s">
        <v>1069</v>
      </c>
    </row>
    <row r="426" spans="1:18" x14ac:dyDescent="0.25">
      <c r="A426" t="s">
        <v>1071</v>
      </c>
      <c r="B426" t="s">
        <v>721</v>
      </c>
      <c r="C426" t="s">
        <v>20</v>
      </c>
      <c r="D426" t="s">
        <v>21</v>
      </c>
      <c r="E426" t="s">
        <v>323</v>
      </c>
      <c r="F426" t="s">
        <v>47</v>
      </c>
      <c r="G426" t="s">
        <v>1072</v>
      </c>
      <c r="H426" s="10">
        <v>487301</v>
      </c>
      <c r="I426" s="10">
        <v>0</v>
      </c>
      <c r="J426" s="10">
        <v>0</v>
      </c>
      <c r="L426" t="s">
        <v>25</v>
      </c>
      <c r="M426" t="s">
        <v>26</v>
      </c>
      <c r="N426" t="s">
        <v>1073</v>
      </c>
      <c r="O426" s="2">
        <v>40269</v>
      </c>
      <c r="P426" s="2">
        <v>41729</v>
      </c>
      <c r="Q426">
        <v>0</v>
      </c>
      <c r="R426" t="s">
        <v>1074</v>
      </c>
    </row>
    <row r="427" spans="1:18" x14ac:dyDescent="0.25">
      <c r="A427" t="s">
        <v>5080</v>
      </c>
      <c r="B427" t="s">
        <v>162</v>
      </c>
      <c r="C427" t="s">
        <v>149</v>
      </c>
      <c r="D427" t="s">
        <v>21</v>
      </c>
      <c r="E427" t="s">
        <v>1077</v>
      </c>
      <c r="F427" t="s">
        <v>53</v>
      </c>
      <c r="G427" t="s">
        <v>1078</v>
      </c>
      <c r="H427" s="10">
        <v>100000</v>
      </c>
      <c r="I427" s="10">
        <v>0</v>
      </c>
      <c r="J427" s="10">
        <v>0</v>
      </c>
      <c r="L427" t="s">
        <v>34</v>
      </c>
      <c r="M427" t="s">
        <v>111</v>
      </c>
      <c r="N427" t="s">
        <v>1079</v>
      </c>
      <c r="O427" s="2">
        <v>41730</v>
      </c>
      <c r="P427" s="2">
        <v>43555</v>
      </c>
      <c r="Q427">
        <v>0</v>
      </c>
      <c r="R427" t="s">
        <v>1080</v>
      </c>
    </row>
    <row r="428" spans="1:18" x14ac:dyDescent="0.25">
      <c r="A428" t="s">
        <v>5080</v>
      </c>
      <c r="B428" t="s">
        <v>162</v>
      </c>
      <c r="C428" t="s">
        <v>149</v>
      </c>
      <c r="D428" t="s">
        <v>21</v>
      </c>
      <c r="E428" t="s">
        <v>572</v>
      </c>
      <c r="F428" t="s">
        <v>53</v>
      </c>
      <c r="G428" t="s">
        <v>1078</v>
      </c>
      <c r="H428" s="10">
        <v>604466</v>
      </c>
      <c r="I428" s="10">
        <v>0</v>
      </c>
      <c r="J428" s="10">
        <v>0</v>
      </c>
      <c r="L428" t="s">
        <v>42</v>
      </c>
      <c r="M428" t="s">
        <v>111</v>
      </c>
      <c r="N428" t="s">
        <v>1079</v>
      </c>
      <c r="O428" s="2">
        <v>41730</v>
      </c>
      <c r="P428" s="2">
        <v>43555</v>
      </c>
      <c r="Q428">
        <v>0</v>
      </c>
      <c r="R428" t="s">
        <v>1080</v>
      </c>
    </row>
    <row r="429" spans="1:18" x14ac:dyDescent="0.25">
      <c r="A429" t="s">
        <v>5080</v>
      </c>
      <c r="B429" t="s">
        <v>162</v>
      </c>
      <c r="C429" t="s">
        <v>149</v>
      </c>
      <c r="D429" t="s">
        <v>341</v>
      </c>
      <c r="E429" t="s">
        <v>1081</v>
      </c>
      <c r="F429" t="s">
        <v>53</v>
      </c>
      <c r="G429" t="s">
        <v>1078</v>
      </c>
      <c r="H429" s="10">
        <v>100000</v>
      </c>
      <c r="I429" s="10">
        <v>0</v>
      </c>
      <c r="J429" s="10">
        <v>0</v>
      </c>
      <c r="L429" t="s">
        <v>34</v>
      </c>
      <c r="M429" t="s">
        <v>111</v>
      </c>
      <c r="N429" t="s">
        <v>1079</v>
      </c>
      <c r="O429" s="2">
        <v>41334</v>
      </c>
      <c r="P429" s="2">
        <v>41698</v>
      </c>
      <c r="Q429">
        <v>0</v>
      </c>
      <c r="R429" t="s">
        <v>1080</v>
      </c>
    </row>
    <row r="430" spans="1:18" x14ac:dyDescent="0.25">
      <c r="A430" t="s">
        <v>5080</v>
      </c>
      <c r="B430" t="s">
        <v>162</v>
      </c>
      <c r="C430" t="s">
        <v>149</v>
      </c>
      <c r="D430" t="s">
        <v>341</v>
      </c>
      <c r="E430" t="s">
        <v>1082</v>
      </c>
      <c r="F430" t="s">
        <v>53</v>
      </c>
      <c r="G430" t="s">
        <v>1078</v>
      </c>
      <c r="H430" s="10">
        <v>100000</v>
      </c>
      <c r="I430" s="10">
        <v>0</v>
      </c>
      <c r="J430" s="10">
        <v>0</v>
      </c>
      <c r="L430" t="s">
        <v>34</v>
      </c>
      <c r="M430" t="s">
        <v>111</v>
      </c>
      <c r="N430" t="s">
        <v>1079</v>
      </c>
      <c r="O430" s="2">
        <v>41730</v>
      </c>
      <c r="P430" s="2">
        <v>43555</v>
      </c>
      <c r="Q430">
        <v>0</v>
      </c>
      <c r="R430" t="s">
        <v>1080</v>
      </c>
    </row>
    <row r="431" spans="1:18" x14ac:dyDescent="0.25">
      <c r="A431" t="s">
        <v>5080</v>
      </c>
      <c r="B431" t="s">
        <v>162</v>
      </c>
      <c r="C431" t="s">
        <v>149</v>
      </c>
      <c r="D431" t="s">
        <v>51</v>
      </c>
      <c r="E431" t="s">
        <v>116</v>
      </c>
      <c r="F431" t="s">
        <v>53</v>
      </c>
      <c r="G431" t="s">
        <v>1083</v>
      </c>
      <c r="H431" s="10">
        <v>711450</v>
      </c>
      <c r="I431" s="10">
        <v>0</v>
      </c>
      <c r="J431" s="10">
        <v>0</v>
      </c>
      <c r="L431" t="s">
        <v>42</v>
      </c>
      <c r="M431" t="s">
        <v>103</v>
      </c>
      <c r="N431" t="s">
        <v>1084</v>
      </c>
      <c r="O431" s="2">
        <v>43374</v>
      </c>
      <c r="P431" s="2">
        <v>45199</v>
      </c>
      <c r="Q431">
        <v>1</v>
      </c>
      <c r="R431" t="s">
        <v>1085</v>
      </c>
    </row>
    <row r="432" spans="1:18" x14ac:dyDescent="0.25">
      <c r="A432" t="s">
        <v>5080</v>
      </c>
      <c r="B432" t="s">
        <v>162</v>
      </c>
      <c r="C432" t="s">
        <v>149</v>
      </c>
      <c r="D432" t="s">
        <v>51</v>
      </c>
      <c r="E432" t="s">
        <v>122</v>
      </c>
      <c r="F432" t="s">
        <v>53</v>
      </c>
      <c r="G432" t="s">
        <v>1075</v>
      </c>
      <c r="H432" s="10">
        <v>703800</v>
      </c>
      <c r="I432" s="10">
        <v>0</v>
      </c>
      <c r="J432" s="10">
        <v>0</v>
      </c>
      <c r="L432" t="s">
        <v>42</v>
      </c>
      <c r="M432" t="s">
        <v>111</v>
      </c>
      <c r="N432" t="s">
        <v>339</v>
      </c>
      <c r="O432" s="2">
        <v>43739</v>
      </c>
      <c r="P432" s="2">
        <v>45565</v>
      </c>
      <c r="Q432">
        <v>0</v>
      </c>
      <c r="R432" t="s">
        <v>1076</v>
      </c>
    </row>
    <row r="433" spans="1:18" x14ac:dyDescent="0.25">
      <c r="A433" t="s">
        <v>1086</v>
      </c>
      <c r="B433" t="s">
        <v>196</v>
      </c>
      <c r="C433" t="s">
        <v>20</v>
      </c>
      <c r="D433" t="s">
        <v>21</v>
      </c>
      <c r="E433" t="s">
        <v>323</v>
      </c>
      <c r="F433" t="s">
        <v>109</v>
      </c>
      <c r="G433" t="s">
        <v>1087</v>
      </c>
      <c r="H433" s="10">
        <v>642828</v>
      </c>
      <c r="I433" s="10">
        <v>0</v>
      </c>
      <c r="J433" s="10">
        <v>0</v>
      </c>
      <c r="L433" t="s">
        <v>42</v>
      </c>
      <c r="M433" t="s">
        <v>103</v>
      </c>
      <c r="N433" t="s">
        <v>1088</v>
      </c>
      <c r="O433" s="2">
        <v>40269</v>
      </c>
      <c r="P433" s="2">
        <v>42094</v>
      </c>
      <c r="Q433">
        <v>0</v>
      </c>
      <c r="R433" t="s">
        <v>1089</v>
      </c>
    </row>
    <row r="434" spans="1:18" x14ac:dyDescent="0.25">
      <c r="A434" t="s">
        <v>4676</v>
      </c>
      <c r="B434" t="s">
        <v>196</v>
      </c>
      <c r="C434" t="s">
        <v>20</v>
      </c>
      <c r="D434" t="s">
        <v>4557</v>
      </c>
      <c r="E434" t="s">
        <v>4597</v>
      </c>
      <c r="F434" t="s">
        <v>4559</v>
      </c>
      <c r="G434" t="s">
        <v>4677</v>
      </c>
      <c r="H434" s="10">
        <v>319446</v>
      </c>
      <c r="I434" s="10">
        <v>0</v>
      </c>
      <c r="J434" s="10">
        <v>0</v>
      </c>
      <c r="L434" t="s">
        <v>55</v>
      </c>
      <c r="M434" t="s">
        <v>103</v>
      </c>
      <c r="N434" t="s">
        <v>5983</v>
      </c>
      <c r="O434" s="2">
        <v>42095</v>
      </c>
      <c r="P434" s="2">
        <v>43190</v>
      </c>
      <c r="Q434">
        <v>0</v>
      </c>
      <c r="R434" t="s">
        <v>5982</v>
      </c>
    </row>
    <row r="435" spans="1:18" x14ac:dyDescent="0.25">
      <c r="A435" t="s">
        <v>4678</v>
      </c>
      <c r="B435" t="s">
        <v>49</v>
      </c>
      <c r="C435" t="s">
        <v>50</v>
      </c>
      <c r="D435" t="s">
        <v>4557</v>
      </c>
      <c r="E435" t="s">
        <v>4567</v>
      </c>
      <c r="F435" t="s">
        <v>4559</v>
      </c>
      <c r="G435" t="s">
        <v>4679</v>
      </c>
      <c r="H435" s="10">
        <v>208671</v>
      </c>
      <c r="I435" s="10">
        <v>0</v>
      </c>
      <c r="J435" s="10">
        <v>0</v>
      </c>
      <c r="L435" t="s">
        <v>55</v>
      </c>
      <c r="M435" t="s">
        <v>204</v>
      </c>
      <c r="N435" t="s">
        <v>637</v>
      </c>
      <c r="O435" s="2">
        <v>41730</v>
      </c>
      <c r="P435" s="2">
        <v>42825</v>
      </c>
      <c r="Q435">
        <v>0</v>
      </c>
      <c r="R435" t="s">
        <v>5952</v>
      </c>
    </row>
    <row r="436" spans="1:18" x14ac:dyDescent="0.25">
      <c r="A436" t="s">
        <v>4680</v>
      </c>
      <c r="B436" t="s">
        <v>49</v>
      </c>
      <c r="C436" t="s">
        <v>50</v>
      </c>
      <c r="D436" t="s">
        <v>4557</v>
      </c>
      <c r="E436" t="s">
        <v>4562</v>
      </c>
      <c r="F436" t="s">
        <v>4559</v>
      </c>
      <c r="G436" t="s">
        <v>4681</v>
      </c>
      <c r="H436" s="10">
        <v>268658</v>
      </c>
      <c r="I436" s="10">
        <v>0</v>
      </c>
      <c r="J436" s="10">
        <v>0</v>
      </c>
      <c r="L436" t="s">
        <v>55</v>
      </c>
      <c r="M436" t="s">
        <v>111</v>
      </c>
      <c r="N436" t="s">
        <v>5965</v>
      </c>
      <c r="O436" s="2">
        <v>43922</v>
      </c>
      <c r="P436" s="2">
        <v>45016</v>
      </c>
      <c r="Q436">
        <v>0</v>
      </c>
      <c r="R436" t="s">
        <v>5964</v>
      </c>
    </row>
    <row r="437" spans="1:18" x14ac:dyDescent="0.25">
      <c r="A437" t="s">
        <v>1090</v>
      </c>
      <c r="B437" t="s">
        <v>157</v>
      </c>
      <c r="C437" t="s">
        <v>38</v>
      </c>
      <c r="D437" t="s">
        <v>51</v>
      </c>
      <c r="E437" t="s">
        <v>406</v>
      </c>
      <c r="F437" t="s">
        <v>47</v>
      </c>
      <c r="G437" t="s">
        <v>1094</v>
      </c>
      <c r="H437" s="10">
        <v>665550</v>
      </c>
      <c r="I437" s="10">
        <v>0</v>
      </c>
      <c r="J437" s="10">
        <v>0</v>
      </c>
      <c r="L437" t="s">
        <v>42</v>
      </c>
      <c r="M437" t="s">
        <v>26</v>
      </c>
      <c r="N437" t="s">
        <v>135</v>
      </c>
      <c r="O437" s="2">
        <v>43191</v>
      </c>
      <c r="P437" s="2">
        <v>45016</v>
      </c>
      <c r="Q437">
        <v>0</v>
      </c>
      <c r="R437" t="s">
        <v>1095</v>
      </c>
    </row>
    <row r="438" spans="1:18" x14ac:dyDescent="0.25">
      <c r="A438" t="s">
        <v>1090</v>
      </c>
      <c r="B438" t="s">
        <v>157</v>
      </c>
      <c r="C438" t="s">
        <v>38</v>
      </c>
      <c r="D438" t="s">
        <v>51</v>
      </c>
      <c r="E438" t="s">
        <v>127</v>
      </c>
      <c r="F438" t="s">
        <v>32</v>
      </c>
      <c r="G438" t="s">
        <v>1091</v>
      </c>
      <c r="H438" s="10">
        <v>898876</v>
      </c>
      <c r="I438" s="10">
        <v>0</v>
      </c>
      <c r="J438" s="10">
        <v>0</v>
      </c>
      <c r="L438" t="s">
        <v>42</v>
      </c>
      <c r="M438" t="s">
        <v>26</v>
      </c>
      <c r="N438" t="s">
        <v>1092</v>
      </c>
      <c r="O438" s="2">
        <v>44835</v>
      </c>
      <c r="P438" s="2">
        <v>46660</v>
      </c>
      <c r="Q438">
        <v>0</v>
      </c>
      <c r="R438" t="s">
        <v>1093</v>
      </c>
    </row>
    <row r="439" spans="1:18" x14ac:dyDescent="0.25">
      <c r="A439" t="s">
        <v>5317</v>
      </c>
      <c r="B439" t="s">
        <v>107</v>
      </c>
      <c r="C439" t="s">
        <v>38</v>
      </c>
      <c r="D439" t="s">
        <v>5311</v>
      </c>
      <c r="E439" t="s">
        <v>5312</v>
      </c>
      <c r="F439" t="s">
        <v>5313</v>
      </c>
      <c r="G439" t="s">
        <v>5318</v>
      </c>
      <c r="H439" s="12">
        <v>225000</v>
      </c>
      <c r="I439" s="12">
        <v>0</v>
      </c>
      <c r="J439" s="10">
        <v>0</v>
      </c>
      <c r="L439" t="s">
        <v>55</v>
      </c>
      <c r="M439" t="s">
        <v>111</v>
      </c>
      <c r="N439" t="s">
        <v>6154</v>
      </c>
      <c r="O439" s="2">
        <v>41548</v>
      </c>
      <c r="P439" s="2">
        <v>42643</v>
      </c>
      <c r="Q439">
        <v>0</v>
      </c>
      <c r="R439" t="s">
        <v>6155</v>
      </c>
    </row>
    <row r="440" spans="1:18" x14ac:dyDescent="0.25">
      <c r="A440" t="s">
        <v>1096</v>
      </c>
      <c r="B440" t="s">
        <v>162</v>
      </c>
      <c r="C440" t="s">
        <v>149</v>
      </c>
      <c r="D440" t="s">
        <v>21</v>
      </c>
      <c r="E440" t="s">
        <v>108</v>
      </c>
      <c r="F440" t="s">
        <v>23</v>
      </c>
      <c r="G440" t="s">
        <v>1097</v>
      </c>
      <c r="H440" s="10">
        <v>748558</v>
      </c>
      <c r="I440" s="10">
        <v>0</v>
      </c>
      <c r="J440" s="10">
        <v>0</v>
      </c>
      <c r="L440" t="s">
        <v>42</v>
      </c>
      <c r="M440" t="s">
        <v>26</v>
      </c>
      <c r="N440" t="s">
        <v>1098</v>
      </c>
      <c r="O440" s="2">
        <v>41548</v>
      </c>
      <c r="P440" s="2">
        <v>43373</v>
      </c>
      <c r="Q440">
        <v>1</v>
      </c>
      <c r="R440" t="s">
        <v>1099</v>
      </c>
    </row>
    <row r="441" spans="1:18" x14ac:dyDescent="0.25">
      <c r="A441" t="s">
        <v>1100</v>
      </c>
      <c r="B441" t="s">
        <v>49</v>
      </c>
      <c r="C441" t="s">
        <v>50</v>
      </c>
      <c r="D441" t="s">
        <v>51</v>
      </c>
      <c r="E441" t="s">
        <v>127</v>
      </c>
      <c r="F441" t="s">
        <v>32</v>
      </c>
      <c r="G441" t="s">
        <v>1101</v>
      </c>
      <c r="H441" s="10">
        <v>745876</v>
      </c>
      <c r="I441" s="10">
        <v>0</v>
      </c>
      <c r="J441" s="10">
        <v>0</v>
      </c>
      <c r="L441" t="s">
        <v>42</v>
      </c>
      <c r="M441" t="s">
        <v>26</v>
      </c>
      <c r="N441" t="s">
        <v>1102</v>
      </c>
      <c r="O441" s="2">
        <v>44835</v>
      </c>
      <c r="P441" s="2">
        <v>46660</v>
      </c>
      <c r="Q441">
        <v>1</v>
      </c>
      <c r="R441" t="s">
        <v>1103</v>
      </c>
    </row>
    <row r="442" spans="1:18" x14ac:dyDescent="0.25">
      <c r="A442" t="s">
        <v>5197</v>
      </c>
      <c r="B442" t="s">
        <v>148</v>
      </c>
      <c r="C442" t="s">
        <v>149</v>
      </c>
      <c r="D442" t="s">
        <v>5165</v>
      </c>
      <c r="E442" t="s">
        <v>5171</v>
      </c>
      <c r="F442" t="s">
        <v>4554</v>
      </c>
      <c r="G442" t="s">
        <v>5198</v>
      </c>
      <c r="H442" s="10">
        <v>1248736</v>
      </c>
      <c r="I442" s="10">
        <v>0</v>
      </c>
      <c r="J442" s="10">
        <v>0</v>
      </c>
      <c r="L442" t="s">
        <v>42</v>
      </c>
      <c r="M442" t="s">
        <v>103</v>
      </c>
      <c r="N442" t="s">
        <v>5858</v>
      </c>
      <c r="O442" s="2">
        <v>41913</v>
      </c>
      <c r="P442" s="2">
        <v>43738</v>
      </c>
      <c r="Q442">
        <v>2</v>
      </c>
      <c r="R442" t="s">
        <v>5857</v>
      </c>
    </row>
    <row r="443" spans="1:18" x14ac:dyDescent="0.25">
      <c r="A443" t="s">
        <v>4682</v>
      </c>
      <c r="B443" t="s">
        <v>4518</v>
      </c>
      <c r="C443" t="s">
        <v>20</v>
      </c>
      <c r="D443" t="s">
        <v>4557</v>
      </c>
      <c r="E443" t="s">
        <v>4567</v>
      </c>
      <c r="F443" t="s">
        <v>4559</v>
      </c>
      <c r="G443" t="s">
        <v>4683</v>
      </c>
      <c r="H443" s="10">
        <v>292623</v>
      </c>
      <c r="I443" s="10">
        <v>0</v>
      </c>
      <c r="J443" s="10">
        <v>0</v>
      </c>
      <c r="L443" t="s">
        <v>55</v>
      </c>
      <c r="M443" t="s">
        <v>204</v>
      </c>
      <c r="N443" t="s">
        <v>5945</v>
      </c>
      <c r="O443" s="2">
        <v>41730</v>
      </c>
      <c r="P443" s="2">
        <v>42825</v>
      </c>
      <c r="Q443">
        <v>0</v>
      </c>
      <c r="R443" t="s">
        <v>5944</v>
      </c>
    </row>
    <row r="444" spans="1:18" x14ac:dyDescent="0.25">
      <c r="A444" t="s">
        <v>1104</v>
      </c>
      <c r="B444" t="s">
        <v>1105</v>
      </c>
      <c r="C444" t="s">
        <v>138</v>
      </c>
      <c r="D444" t="s">
        <v>90</v>
      </c>
      <c r="E444" t="s">
        <v>91</v>
      </c>
      <c r="F444" t="s">
        <v>92</v>
      </c>
      <c r="G444" t="s">
        <v>1107</v>
      </c>
      <c r="H444" s="10">
        <v>1459325</v>
      </c>
      <c r="I444" s="10">
        <v>0</v>
      </c>
      <c r="J444" s="10">
        <v>0</v>
      </c>
      <c r="L444" t="s">
        <v>34</v>
      </c>
      <c r="M444" t="s">
        <v>94</v>
      </c>
      <c r="N444" t="s">
        <v>1106</v>
      </c>
      <c r="O444" s="2">
        <v>43983</v>
      </c>
      <c r="P444" s="2">
        <v>44347</v>
      </c>
      <c r="Q444">
        <v>0</v>
      </c>
      <c r="R444" t="s">
        <v>1108</v>
      </c>
    </row>
    <row r="445" spans="1:18" x14ac:dyDescent="0.25">
      <c r="A445" t="s">
        <v>5199</v>
      </c>
      <c r="B445" t="s">
        <v>49</v>
      </c>
      <c r="C445" t="s">
        <v>50</v>
      </c>
      <c r="D445" t="s">
        <v>5165</v>
      </c>
      <c r="E445" t="s">
        <v>5188</v>
      </c>
      <c r="F445" t="s">
        <v>4554</v>
      </c>
      <c r="G445" t="s">
        <v>5200</v>
      </c>
      <c r="H445" s="10">
        <v>576493</v>
      </c>
      <c r="I445" s="10">
        <v>0</v>
      </c>
      <c r="J445" s="10">
        <v>0</v>
      </c>
      <c r="L445" t="s">
        <v>55</v>
      </c>
      <c r="M445" t="s">
        <v>94</v>
      </c>
      <c r="N445" t="s">
        <v>5622</v>
      </c>
      <c r="O445" s="2">
        <v>41183</v>
      </c>
      <c r="P445" s="2">
        <v>42277</v>
      </c>
      <c r="Q445">
        <v>0</v>
      </c>
      <c r="R445" t="s">
        <v>5621</v>
      </c>
    </row>
    <row r="446" spans="1:18" x14ac:dyDescent="0.25">
      <c r="A446" t="s">
        <v>4684</v>
      </c>
      <c r="B446" t="s">
        <v>49</v>
      </c>
      <c r="C446" t="s">
        <v>50</v>
      </c>
      <c r="D446" t="s">
        <v>4557</v>
      </c>
      <c r="E446" t="s">
        <v>4558</v>
      </c>
      <c r="F446" t="s">
        <v>4559</v>
      </c>
      <c r="G446" t="s">
        <v>4685</v>
      </c>
      <c r="H446" s="10">
        <v>381750</v>
      </c>
      <c r="I446" s="10">
        <v>0</v>
      </c>
      <c r="J446" s="10">
        <v>0</v>
      </c>
      <c r="L446" t="s">
        <v>55</v>
      </c>
      <c r="M446" t="s">
        <v>103</v>
      </c>
      <c r="N446" t="s">
        <v>5719</v>
      </c>
      <c r="O446" s="2">
        <v>43191</v>
      </c>
      <c r="P446" s="2">
        <v>44286</v>
      </c>
      <c r="Q446">
        <v>0</v>
      </c>
      <c r="R446" t="s">
        <v>5718</v>
      </c>
    </row>
    <row r="447" spans="1:18" x14ac:dyDescent="0.25">
      <c r="A447" t="s">
        <v>5201</v>
      </c>
      <c r="B447" t="s">
        <v>19</v>
      </c>
      <c r="C447" t="s">
        <v>20</v>
      </c>
      <c r="D447" t="s">
        <v>5165</v>
      </c>
      <c r="E447" t="s">
        <v>5193</v>
      </c>
      <c r="F447" t="s">
        <v>4554</v>
      </c>
      <c r="G447" t="s">
        <v>5202</v>
      </c>
      <c r="H447" s="10">
        <v>143445</v>
      </c>
      <c r="I447" s="10">
        <v>0</v>
      </c>
      <c r="J447" s="10">
        <v>0</v>
      </c>
      <c r="L447" t="s">
        <v>55</v>
      </c>
      <c r="M447" t="s">
        <v>85</v>
      </c>
      <c r="N447" t="s">
        <v>5511</v>
      </c>
      <c r="O447" s="2">
        <v>41548</v>
      </c>
      <c r="P447" s="2">
        <v>42643</v>
      </c>
      <c r="Q447">
        <v>0</v>
      </c>
      <c r="R447" t="s">
        <v>5510</v>
      </c>
    </row>
    <row r="448" spans="1:18" x14ac:dyDescent="0.25">
      <c r="A448" t="s">
        <v>1109</v>
      </c>
      <c r="B448" t="s">
        <v>196</v>
      </c>
      <c r="C448" t="s">
        <v>20</v>
      </c>
      <c r="D448" t="s">
        <v>21</v>
      </c>
      <c r="E448" t="s">
        <v>255</v>
      </c>
      <c r="F448" t="s">
        <v>109</v>
      </c>
      <c r="G448" t="s">
        <v>1110</v>
      </c>
      <c r="H448" s="11">
        <v>631813</v>
      </c>
      <c r="I448" s="11">
        <v>0</v>
      </c>
      <c r="J448" s="11">
        <v>0</v>
      </c>
      <c r="L448" t="s">
        <v>42</v>
      </c>
      <c r="M448" t="s">
        <v>26</v>
      </c>
      <c r="N448" t="s">
        <v>1111</v>
      </c>
      <c r="O448" s="2">
        <v>39904</v>
      </c>
      <c r="P448" s="2">
        <v>41729</v>
      </c>
      <c r="Q448">
        <v>7</v>
      </c>
      <c r="R448" t="s">
        <v>1112</v>
      </c>
    </row>
    <row r="449" spans="1:18" x14ac:dyDescent="0.25">
      <c r="A449" t="s">
        <v>1109</v>
      </c>
      <c r="B449" t="s">
        <v>196</v>
      </c>
      <c r="C449" t="s">
        <v>20</v>
      </c>
      <c r="D449" t="s">
        <v>21</v>
      </c>
      <c r="E449" t="s">
        <v>1116</v>
      </c>
      <c r="F449" t="s">
        <v>109</v>
      </c>
      <c r="G449" t="s">
        <v>1117</v>
      </c>
      <c r="H449" s="10">
        <v>100000</v>
      </c>
      <c r="I449" s="10">
        <v>0</v>
      </c>
      <c r="J449" s="10">
        <v>0</v>
      </c>
      <c r="L449" t="s">
        <v>34</v>
      </c>
      <c r="M449" t="s">
        <v>26</v>
      </c>
      <c r="N449" t="s">
        <v>1114</v>
      </c>
      <c r="O449" s="2">
        <v>41913</v>
      </c>
      <c r="P449" s="2">
        <v>42277</v>
      </c>
      <c r="Q449">
        <v>0</v>
      </c>
      <c r="R449" t="s">
        <v>1118</v>
      </c>
    </row>
    <row r="450" spans="1:18" x14ac:dyDescent="0.25">
      <c r="A450" t="s">
        <v>1109</v>
      </c>
      <c r="B450" t="s">
        <v>196</v>
      </c>
      <c r="C450" t="s">
        <v>20</v>
      </c>
      <c r="D450" t="s">
        <v>21</v>
      </c>
      <c r="E450" t="s">
        <v>549</v>
      </c>
      <c r="F450" t="s">
        <v>109</v>
      </c>
      <c r="G450" t="s">
        <v>1113</v>
      </c>
      <c r="H450" s="10">
        <v>419820</v>
      </c>
      <c r="I450" s="10">
        <v>0</v>
      </c>
      <c r="J450" s="10">
        <v>0</v>
      </c>
      <c r="L450" t="s">
        <v>55</v>
      </c>
      <c r="M450" t="s">
        <v>26</v>
      </c>
      <c r="N450" t="s">
        <v>1114</v>
      </c>
      <c r="O450" s="2">
        <v>42186</v>
      </c>
      <c r="P450" s="2">
        <v>42916</v>
      </c>
      <c r="Q450">
        <v>0</v>
      </c>
      <c r="R450" t="s">
        <v>1115</v>
      </c>
    </row>
    <row r="451" spans="1:18" x14ac:dyDescent="0.25">
      <c r="A451" t="s">
        <v>1119</v>
      </c>
      <c r="B451" t="s">
        <v>4496</v>
      </c>
      <c r="C451" t="s">
        <v>38</v>
      </c>
      <c r="D451" t="s">
        <v>21</v>
      </c>
      <c r="E451" t="s">
        <v>287</v>
      </c>
      <c r="F451" t="s">
        <v>32</v>
      </c>
      <c r="G451" t="s">
        <v>1120</v>
      </c>
      <c r="H451" s="10">
        <v>791460</v>
      </c>
      <c r="I451" s="10">
        <v>0</v>
      </c>
      <c r="J451" s="10">
        <v>0</v>
      </c>
      <c r="L451" t="s">
        <v>42</v>
      </c>
      <c r="M451" t="s">
        <v>26</v>
      </c>
      <c r="N451" t="s">
        <v>1121</v>
      </c>
      <c r="O451" s="2">
        <v>40634</v>
      </c>
      <c r="P451" s="2">
        <v>42460</v>
      </c>
      <c r="Q451">
        <v>0</v>
      </c>
      <c r="R451" t="s">
        <v>1122</v>
      </c>
    </row>
    <row r="452" spans="1:18" x14ac:dyDescent="0.25">
      <c r="A452" t="s">
        <v>1119</v>
      </c>
      <c r="B452" t="s">
        <v>4493</v>
      </c>
      <c r="C452" t="s">
        <v>38</v>
      </c>
      <c r="D452" t="s">
        <v>51</v>
      </c>
      <c r="E452" t="s">
        <v>127</v>
      </c>
      <c r="F452" t="s">
        <v>128</v>
      </c>
      <c r="G452" t="s">
        <v>1123</v>
      </c>
      <c r="H452" s="10">
        <v>879750</v>
      </c>
      <c r="I452" s="10">
        <v>0</v>
      </c>
      <c r="J452" s="10">
        <v>0</v>
      </c>
      <c r="L452" t="s">
        <v>42</v>
      </c>
      <c r="M452" t="s">
        <v>26</v>
      </c>
      <c r="N452" t="s">
        <v>1124</v>
      </c>
      <c r="O452" s="2">
        <v>44835</v>
      </c>
      <c r="P452" s="2">
        <v>46660</v>
      </c>
      <c r="Q452">
        <v>0</v>
      </c>
      <c r="R452" t="s">
        <v>1125</v>
      </c>
    </row>
    <row r="453" spans="1:18" x14ac:dyDescent="0.25">
      <c r="A453" t="s">
        <v>1126</v>
      </c>
      <c r="B453" t="s">
        <v>107</v>
      </c>
      <c r="C453" t="s">
        <v>38</v>
      </c>
      <c r="D453" t="s">
        <v>21</v>
      </c>
      <c r="E453" t="s">
        <v>751</v>
      </c>
      <c r="F453" t="s">
        <v>47</v>
      </c>
      <c r="G453" t="s">
        <v>1133</v>
      </c>
      <c r="H453" s="11">
        <v>94265</v>
      </c>
      <c r="I453" s="11">
        <v>0</v>
      </c>
      <c r="J453" s="11">
        <v>0</v>
      </c>
      <c r="L453" t="s">
        <v>34</v>
      </c>
      <c r="M453" t="s">
        <v>26</v>
      </c>
      <c r="N453" t="s">
        <v>1134</v>
      </c>
      <c r="O453" s="2">
        <v>39873</v>
      </c>
      <c r="P453" s="2">
        <v>40237</v>
      </c>
      <c r="Q453">
        <v>0</v>
      </c>
      <c r="R453" t="s">
        <v>1135</v>
      </c>
    </row>
    <row r="454" spans="1:18" x14ac:dyDescent="0.25">
      <c r="A454" t="s">
        <v>1126</v>
      </c>
      <c r="B454" t="s">
        <v>107</v>
      </c>
      <c r="C454" t="s">
        <v>38</v>
      </c>
      <c r="D454" t="s">
        <v>21</v>
      </c>
      <c r="E454" t="s">
        <v>534</v>
      </c>
      <c r="F454" t="s">
        <v>23</v>
      </c>
      <c r="G454" t="s">
        <v>1127</v>
      </c>
      <c r="H454" s="10">
        <v>497573</v>
      </c>
      <c r="I454" s="10">
        <v>0</v>
      </c>
      <c r="J454" s="10">
        <v>0</v>
      </c>
      <c r="L454" t="s">
        <v>25</v>
      </c>
      <c r="M454" t="s">
        <v>26</v>
      </c>
      <c r="N454" t="s">
        <v>1128</v>
      </c>
      <c r="O454" s="2">
        <v>40817</v>
      </c>
      <c r="P454" s="2">
        <v>42277</v>
      </c>
      <c r="Q454">
        <v>0</v>
      </c>
      <c r="R454" t="s">
        <v>1129</v>
      </c>
    </row>
    <row r="455" spans="1:18" x14ac:dyDescent="0.25">
      <c r="A455" t="s">
        <v>1126</v>
      </c>
      <c r="B455" t="s">
        <v>157</v>
      </c>
      <c r="C455" t="s">
        <v>38</v>
      </c>
      <c r="D455" t="s">
        <v>21</v>
      </c>
      <c r="E455" t="s">
        <v>572</v>
      </c>
      <c r="F455" t="s">
        <v>23</v>
      </c>
      <c r="G455" t="s">
        <v>1130</v>
      </c>
      <c r="H455" s="10">
        <v>707578</v>
      </c>
      <c r="I455" s="10">
        <v>0</v>
      </c>
      <c r="J455" s="10">
        <v>0</v>
      </c>
      <c r="L455" t="s">
        <v>42</v>
      </c>
      <c r="M455" t="s">
        <v>26</v>
      </c>
      <c r="N455" t="s">
        <v>1131</v>
      </c>
      <c r="O455" s="2">
        <v>41730</v>
      </c>
      <c r="P455" s="2">
        <v>43555</v>
      </c>
      <c r="Q455">
        <v>0</v>
      </c>
      <c r="R455" t="s">
        <v>1132</v>
      </c>
    </row>
    <row r="456" spans="1:18" x14ac:dyDescent="0.25">
      <c r="A456" t="s">
        <v>4688</v>
      </c>
      <c r="B456" t="s">
        <v>721</v>
      </c>
      <c r="C456" t="s">
        <v>20</v>
      </c>
      <c r="D456" t="s">
        <v>4557</v>
      </c>
      <c r="E456" t="s">
        <v>4602</v>
      </c>
      <c r="F456" t="s">
        <v>4559</v>
      </c>
      <c r="G456" t="s">
        <v>4689</v>
      </c>
      <c r="H456" s="10">
        <v>336940</v>
      </c>
      <c r="I456" s="10">
        <v>0</v>
      </c>
      <c r="J456" s="10">
        <v>0</v>
      </c>
      <c r="L456" t="s">
        <v>55</v>
      </c>
      <c r="M456" t="s">
        <v>204</v>
      </c>
      <c r="N456" t="s">
        <v>6020</v>
      </c>
      <c r="O456" s="2">
        <v>41365</v>
      </c>
      <c r="P456" s="2">
        <v>42460</v>
      </c>
      <c r="Q456">
        <v>9</v>
      </c>
      <c r="R456" t="s">
        <v>6019</v>
      </c>
    </row>
    <row r="457" spans="1:18" x14ac:dyDescent="0.25">
      <c r="A457" t="s">
        <v>4690</v>
      </c>
      <c r="B457" t="s">
        <v>721</v>
      </c>
      <c r="C457" t="s">
        <v>20</v>
      </c>
      <c r="D457" t="s">
        <v>4557</v>
      </c>
      <c r="E457" t="s">
        <v>4570</v>
      </c>
      <c r="F457" t="s">
        <v>4559</v>
      </c>
      <c r="G457" t="s">
        <v>4691</v>
      </c>
      <c r="H457" s="10">
        <v>194419</v>
      </c>
      <c r="I457" s="10">
        <v>0</v>
      </c>
      <c r="J457" s="10">
        <v>0</v>
      </c>
      <c r="L457" t="s">
        <v>55</v>
      </c>
      <c r="M457" t="s">
        <v>26</v>
      </c>
      <c r="N457" t="s">
        <v>5692</v>
      </c>
      <c r="O457" s="2">
        <v>42826</v>
      </c>
      <c r="P457" s="2">
        <v>43921</v>
      </c>
      <c r="Q457">
        <v>1</v>
      </c>
      <c r="R457" t="s">
        <v>5834</v>
      </c>
    </row>
    <row r="458" spans="1:18" x14ac:dyDescent="0.25">
      <c r="A458" t="s">
        <v>4692</v>
      </c>
      <c r="B458" t="s">
        <v>721</v>
      </c>
      <c r="C458" t="s">
        <v>20</v>
      </c>
      <c r="D458" t="s">
        <v>4557</v>
      </c>
      <c r="E458" t="s">
        <v>4562</v>
      </c>
      <c r="F458" t="s">
        <v>4559</v>
      </c>
      <c r="G458" t="s">
        <v>4693</v>
      </c>
      <c r="H458" s="10">
        <v>337724</v>
      </c>
      <c r="I458" s="10">
        <v>13988</v>
      </c>
      <c r="J458" s="10">
        <v>0</v>
      </c>
      <c r="L458" t="s">
        <v>55</v>
      </c>
      <c r="M458" t="s">
        <v>26</v>
      </c>
      <c r="N458" t="s">
        <v>5692</v>
      </c>
      <c r="O458" s="2">
        <v>43922</v>
      </c>
      <c r="P458" s="2">
        <v>45016</v>
      </c>
      <c r="Q458">
        <v>0</v>
      </c>
      <c r="R458" t="s">
        <v>5691</v>
      </c>
    </row>
    <row r="459" spans="1:18" x14ac:dyDescent="0.25">
      <c r="A459" t="s">
        <v>4686</v>
      </c>
      <c r="B459" t="s">
        <v>721</v>
      </c>
      <c r="C459" t="s">
        <v>20</v>
      </c>
      <c r="D459" t="s">
        <v>4557</v>
      </c>
      <c r="E459" t="s">
        <v>4597</v>
      </c>
      <c r="F459" t="s">
        <v>4559</v>
      </c>
      <c r="G459" t="s">
        <v>4687</v>
      </c>
      <c r="H459" s="10">
        <v>138013</v>
      </c>
      <c r="I459" s="10">
        <v>0</v>
      </c>
      <c r="J459" s="10">
        <v>0</v>
      </c>
      <c r="L459" t="s">
        <v>55</v>
      </c>
      <c r="M459" t="s">
        <v>204</v>
      </c>
      <c r="N459" t="s">
        <v>5521</v>
      </c>
      <c r="O459" s="2">
        <v>42095</v>
      </c>
      <c r="P459" s="2">
        <v>43190</v>
      </c>
      <c r="Q459">
        <v>2</v>
      </c>
      <c r="R459" t="s">
        <v>5520</v>
      </c>
    </row>
    <row r="460" spans="1:18" x14ac:dyDescent="0.25">
      <c r="A460" t="s">
        <v>4694</v>
      </c>
      <c r="B460" t="s">
        <v>499</v>
      </c>
      <c r="C460" t="s">
        <v>311</v>
      </c>
      <c r="D460" t="s">
        <v>4557</v>
      </c>
      <c r="E460" t="s">
        <v>4597</v>
      </c>
      <c r="F460" t="s">
        <v>4559</v>
      </c>
      <c r="G460" t="s">
        <v>4695</v>
      </c>
      <c r="H460" s="10">
        <v>431955</v>
      </c>
      <c r="I460" s="10">
        <v>0</v>
      </c>
      <c r="J460" s="10">
        <v>0</v>
      </c>
      <c r="L460" t="s">
        <v>55</v>
      </c>
      <c r="M460" t="s">
        <v>26</v>
      </c>
      <c r="N460" t="s">
        <v>5987</v>
      </c>
      <c r="O460" s="2">
        <v>42095</v>
      </c>
      <c r="P460" s="2">
        <v>43190</v>
      </c>
      <c r="Q460">
        <v>1</v>
      </c>
      <c r="R460" t="s">
        <v>5986</v>
      </c>
    </row>
    <row r="461" spans="1:18" x14ac:dyDescent="0.25">
      <c r="A461" t="s">
        <v>4495</v>
      </c>
      <c r="B461" t="s">
        <v>4493</v>
      </c>
      <c r="C461" t="s">
        <v>38</v>
      </c>
      <c r="D461" t="s">
        <v>273</v>
      </c>
      <c r="E461" t="s">
        <v>274</v>
      </c>
      <c r="F461" t="s">
        <v>275</v>
      </c>
      <c r="G461" t="s">
        <v>1136</v>
      </c>
      <c r="H461" s="10">
        <v>100000</v>
      </c>
      <c r="I461" s="10">
        <v>0</v>
      </c>
      <c r="J461" s="10">
        <v>0</v>
      </c>
      <c r="L461" t="s">
        <v>34</v>
      </c>
      <c r="M461" t="s">
        <v>94</v>
      </c>
      <c r="N461" t="s">
        <v>1137</v>
      </c>
      <c r="O461" s="2">
        <v>41334</v>
      </c>
      <c r="P461" s="2">
        <v>41698</v>
      </c>
      <c r="Q461">
        <v>1</v>
      </c>
      <c r="R461" t="s">
        <v>1138</v>
      </c>
    </row>
    <row r="462" spans="1:18" x14ac:dyDescent="0.25">
      <c r="A462" t="s">
        <v>4515</v>
      </c>
      <c r="B462" t="s">
        <v>6156</v>
      </c>
      <c r="C462" t="s">
        <v>38</v>
      </c>
      <c r="D462" t="s">
        <v>4499</v>
      </c>
      <c r="E462" t="s">
        <v>4500</v>
      </c>
      <c r="F462" t="s">
        <v>4501</v>
      </c>
      <c r="G462" t="s">
        <v>4516</v>
      </c>
      <c r="H462" s="12">
        <v>150000</v>
      </c>
      <c r="I462" s="12">
        <v>0</v>
      </c>
      <c r="J462" s="10">
        <v>0</v>
      </c>
      <c r="L462" t="s">
        <v>34</v>
      </c>
      <c r="M462" t="s">
        <v>85</v>
      </c>
      <c r="N462" t="s">
        <v>6157</v>
      </c>
      <c r="O462" s="2">
        <v>45323</v>
      </c>
      <c r="P462" s="2">
        <v>45688</v>
      </c>
      <c r="Q462">
        <v>0</v>
      </c>
      <c r="R462" t="s">
        <v>6158</v>
      </c>
    </row>
    <row r="463" spans="1:18" x14ac:dyDescent="0.25">
      <c r="A463" t="s">
        <v>4696</v>
      </c>
      <c r="B463" t="s">
        <v>114</v>
      </c>
      <c r="C463" t="s">
        <v>20</v>
      </c>
      <c r="D463" t="s">
        <v>4557</v>
      </c>
      <c r="E463" t="s">
        <v>4581</v>
      </c>
      <c r="F463" t="s">
        <v>4559</v>
      </c>
      <c r="G463" t="s">
        <v>4697</v>
      </c>
      <c r="H463" s="10">
        <v>246233</v>
      </c>
      <c r="I463" s="10">
        <v>10900</v>
      </c>
      <c r="J463" s="10">
        <v>0</v>
      </c>
      <c r="L463" t="s">
        <v>55</v>
      </c>
      <c r="M463" t="s">
        <v>831</v>
      </c>
      <c r="N463" t="s">
        <v>5961</v>
      </c>
      <c r="O463" s="2">
        <v>43556</v>
      </c>
      <c r="P463" s="2">
        <v>44651</v>
      </c>
      <c r="Q463">
        <v>0</v>
      </c>
      <c r="R463" t="s">
        <v>5960</v>
      </c>
    </row>
    <row r="464" spans="1:18" x14ac:dyDescent="0.25">
      <c r="A464" t="s">
        <v>1139</v>
      </c>
      <c r="B464" t="s">
        <v>721</v>
      </c>
      <c r="C464" t="s">
        <v>20</v>
      </c>
      <c r="D464" t="s">
        <v>51</v>
      </c>
      <c r="E464" t="s">
        <v>163</v>
      </c>
      <c r="F464" t="s">
        <v>53</v>
      </c>
      <c r="G464" t="s">
        <v>1140</v>
      </c>
      <c r="H464" s="10">
        <v>443700</v>
      </c>
      <c r="I464" s="10">
        <v>0</v>
      </c>
      <c r="J464" s="10">
        <v>0</v>
      </c>
      <c r="L464" t="s">
        <v>25</v>
      </c>
      <c r="M464" t="s">
        <v>94</v>
      </c>
      <c r="N464" t="s">
        <v>1141</v>
      </c>
      <c r="O464" s="2">
        <v>43556</v>
      </c>
      <c r="P464" s="2">
        <v>45016</v>
      </c>
      <c r="Q464">
        <v>0</v>
      </c>
      <c r="R464" t="s">
        <v>1142</v>
      </c>
    </row>
    <row r="465" spans="1:18" x14ac:dyDescent="0.25">
      <c r="A465" t="s">
        <v>1143</v>
      </c>
      <c r="B465" t="s">
        <v>4492</v>
      </c>
      <c r="C465" t="s">
        <v>38</v>
      </c>
      <c r="D465" t="s">
        <v>99</v>
      </c>
      <c r="E465" t="s">
        <v>100</v>
      </c>
      <c r="F465" t="s">
        <v>101</v>
      </c>
      <c r="G465" t="s">
        <v>1144</v>
      </c>
      <c r="H465" s="10">
        <v>226625</v>
      </c>
      <c r="I465" s="10">
        <v>0</v>
      </c>
      <c r="J465" s="10">
        <v>0</v>
      </c>
      <c r="L465" t="s">
        <v>34</v>
      </c>
      <c r="M465" t="s">
        <v>94</v>
      </c>
      <c r="N465" t="s">
        <v>146</v>
      </c>
      <c r="O465" s="2">
        <v>43983</v>
      </c>
      <c r="P465" s="2">
        <v>44347</v>
      </c>
      <c r="Q465">
        <v>0</v>
      </c>
      <c r="R465" t="s">
        <v>1145</v>
      </c>
    </row>
    <row r="466" spans="1:18" x14ac:dyDescent="0.25">
      <c r="A466" t="s">
        <v>5081</v>
      </c>
      <c r="B466" t="s">
        <v>19</v>
      </c>
      <c r="C466" t="s">
        <v>20</v>
      </c>
      <c r="D466" t="s">
        <v>21</v>
      </c>
      <c r="E466" t="s">
        <v>377</v>
      </c>
      <c r="F466" t="s">
        <v>53</v>
      </c>
      <c r="G466" t="s">
        <v>1146</v>
      </c>
      <c r="H466" s="10">
        <v>692821</v>
      </c>
      <c r="I466" s="10">
        <v>0</v>
      </c>
      <c r="J466" s="10">
        <v>0</v>
      </c>
      <c r="L466" t="s">
        <v>42</v>
      </c>
      <c r="M466" t="s">
        <v>111</v>
      </c>
      <c r="N466" t="s">
        <v>1147</v>
      </c>
      <c r="O466" s="2">
        <v>41183</v>
      </c>
      <c r="P466" s="2">
        <v>43008</v>
      </c>
      <c r="Q466">
        <v>1</v>
      </c>
      <c r="R466" t="s">
        <v>1148</v>
      </c>
    </row>
    <row r="467" spans="1:18" x14ac:dyDescent="0.25">
      <c r="A467" t="s">
        <v>1149</v>
      </c>
      <c r="B467" t="s">
        <v>721</v>
      </c>
      <c r="C467" t="s">
        <v>20</v>
      </c>
      <c r="D467" t="s">
        <v>21</v>
      </c>
      <c r="E467" t="s">
        <v>74</v>
      </c>
      <c r="F467" t="s">
        <v>53</v>
      </c>
      <c r="G467" t="s">
        <v>1150</v>
      </c>
      <c r="H467" s="10">
        <v>423928</v>
      </c>
      <c r="I467" s="10">
        <v>0</v>
      </c>
      <c r="J467" s="10">
        <v>0</v>
      </c>
      <c r="L467" t="s">
        <v>25</v>
      </c>
      <c r="M467" t="s">
        <v>204</v>
      </c>
      <c r="N467" t="s">
        <v>1151</v>
      </c>
      <c r="O467" s="2">
        <v>41000</v>
      </c>
      <c r="P467" s="2">
        <v>42460</v>
      </c>
      <c r="Q467">
        <v>0</v>
      </c>
      <c r="R467" t="s">
        <v>1152</v>
      </c>
    </row>
    <row r="468" spans="1:18" x14ac:dyDescent="0.25">
      <c r="A468" t="s">
        <v>1149</v>
      </c>
      <c r="B468" t="s">
        <v>196</v>
      </c>
      <c r="C468" t="s">
        <v>20</v>
      </c>
      <c r="D468" t="s">
        <v>21</v>
      </c>
      <c r="E468" t="s">
        <v>549</v>
      </c>
      <c r="F468" t="s">
        <v>53</v>
      </c>
      <c r="G468" t="s">
        <v>1150</v>
      </c>
      <c r="H468" s="10">
        <v>682393</v>
      </c>
      <c r="I468" s="10">
        <v>0</v>
      </c>
      <c r="J468" s="10">
        <v>0</v>
      </c>
      <c r="L468" t="s">
        <v>42</v>
      </c>
      <c r="M468" t="s">
        <v>204</v>
      </c>
      <c r="N468" t="s">
        <v>1151</v>
      </c>
      <c r="O468" s="2">
        <v>42186</v>
      </c>
      <c r="P468" s="2">
        <v>44377</v>
      </c>
      <c r="Q468">
        <v>0</v>
      </c>
      <c r="R468" t="s">
        <v>1152</v>
      </c>
    </row>
    <row r="469" spans="1:18" x14ac:dyDescent="0.25">
      <c r="A469" t="s">
        <v>1149</v>
      </c>
      <c r="B469" t="s">
        <v>721</v>
      </c>
      <c r="C469" t="s">
        <v>20</v>
      </c>
      <c r="D469" t="s">
        <v>529</v>
      </c>
      <c r="E469" t="s">
        <v>530</v>
      </c>
      <c r="F469" t="s">
        <v>53</v>
      </c>
      <c r="G469" t="s">
        <v>1150</v>
      </c>
      <c r="H469" s="10">
        <v>99346</v>
      </c>
      <c r="I469" s="10">
        <v>0</v>
      </c>
      <c r="J469" s="10">
        <v>0</v>
      </c>
      <c r="L469" t="s">
        <v>34</v>
      </c>
      <c r="M469" t="s">
        <v>204</v>
      </c>
      <c r="N469" t="s">
        <v>1151</v>
      </c>
      <c r="O469" s="2">
        <v>40603</v>
      </c>
      <c r="P469" s="2">
        <v>40968</v>
      </c>
      <c r="Q469">
        <v>0</v>
      </c>
      <c r="R469" t="s">
        <v>1152</v>
      </c>
    </row>
    <row r="470" spans="1:18" x14ac:dyDescent="0.25">
      <c r="A470" t="s">
        <v>1153</v>
      </c>
      <c r="B470" t="s">
        <v>148</v>
      </c>
      <c r="C470" t="s">
        <v>149</v>
      </c>
      <c r="D470" t="s">
        <v>51</v>
      </c>
      <c r="E470" t="s">
        <v>186</v>
      </c>
      <c r="F470" t="s">
        <v>53</v>
      </c>
      <c r="G470" t="s">
        <v>1154</v>
      </c>
      <c r="H470" s="10">
        <v>634950</v>
      </c>
      <c r="I470" s="10">
        <v>0</v>
      </c>
      <c r="J470" s="10">
        <v>0</v>
      </c>
      <c r="L470" t="s">
        <v>42</v>
      </c>
      <c r="M470" t="s">
        <v>26</v>
      </c>
      <c r="N470" t="s">
        <v>1155</v>
      </c>
      <c r="O470" s="2">
        <v>44470</v>
      </c>
      <c r="P470" s="2">
        <v>46295</v>
      </c>
      <c r="Q470">
        <v>0</v>
      </c>
      <c r="R470" t="s">
        <v>1156</v>
      </c>
    </row>
    <row r="471" spans="1:18" x14ac:dyDescent="0.25">
      <c r="A471" t="s">
        <v>5363</v>
      </c>
      <c r="B471" t="s">
        <v>4492</v>
      </c>
      <c r="C471" t="s">
        <v>38</v>
      </c>
      <c r="D471" t="s">
        <v>51</v>
      </c>
      <c r="E471" t="s">
        <v>259</v>
      </c>
      <c r="F471" t="s">
        <v>53</v>
      </c>
      <c r="G471" t="s">
        <v>1157</v>
      </c>
      <c r="H471" s="10">
        <v>765000</v>
      </c>
      <c r="I471" s="10">
        <v>0</v>
      </c>
      <c r="J471" s="10">
        <v>0</v>
      </c>
      <c r="L471" t="s">
        <v>42</v>
      </c>
      <c r="M471" t="s">
        <v>26</v>
      </c>
      <c r="N471" t="s">
        <v>1158</v>
      </c>
      <c r="O471" s="2">
        <v>44105</v>
      </c>
      <c r="P471" s="2">
        <v>45930</v>
      </c>
      <c r="Q471">
        <v>0</v>
      </c>
      <c r="R471" t="s">
        <v>1159</v>
      </c>
    </row>
    <row r="472" spans="1:18" x14ac:dyDescent="0.25">
      <c r="A472" t="s">
        <v>1160</v>
      </c>
      <c r="B472" t="s">
        <v>59</v>
      </c>
      <c r="C472" t="s">
        <v>38</v>
      </c>
      <c r="D472" t="s">
        <v>51</v>
      </c>
      <c r="E472" t="s">
        <v>186</v>
      </c>
      <c r="F472" t="s">
        <v>47</v>
      </c>
      <c r="G472" t="s">
        <v>1161</v>
      </c>
      <c r="H472" s="12">
        <v>891226</v>
      </c>
      <c r="I472" s="12">
        <v>0</v>
      </c>
      <c r="J472" s="10">
        <v>0</v>
      </c>
      <c r="L472" t="s">
        <v>42</v>
      </c>
      <c r="M472" t="s">
        <v>26</v>
      </c>
      <c r="N472" t="s">
        <v>1162</v>
      </c>
      <c r="O472" s="2">
        <v>44470</v>
      </c>
      <c r="P472" s="2">
        <v>46295</v>
      </c>
      <c r="Q472">
        <v>0</v>
      </c>
      <c r="R472" t="s">
        <v>1163</v>
      </c>
    </row>
    <row r="473" spans="1:18" x14ac:dyDescent="0.25">
      <c r="A473" t="s">
        <v>1164</v>
      </c>
      <c r="B473" t="s">
        <v>4464</v>
      </c>
      <c r="C473" t="s">
        <v>20</v>
      </c>
      <c r="D473" t="s">
        <v>21</v>
      </c>
      <c r="E473" t="s">
        <v>22</v>
      </c>
      <c r="F473" t="s">
        <v>109</v>
      </c>
      <c r="G473" t="s">
        <v>1168</v>
      </c>
      <c r="H473" s="10">
        <v>414316</v>
      </c>
      <c r="I473" s="10">
        <v>0</v>
      </c>
      <c r="J473" s="10">
        <v>0</v>
      </c>
      <c r="L473" t="s">
        <v>55</v>
      </c>
      <c r="M473" t="s">
        <v>26</v>
      </c>
      <c r="N473" t="s">
        <v>1166</v>
      </c>
      <c r="O473" s="2">
        <v>41365</v>
      </c>
      <c r="P473" s="2">
        <v>42460</v>
      </c>
      <c r="Q473">
        <v>0</v>
      </c>
      <c r="R473" t="s">
        <v>1169</v>
      </c>
    </row>
    <row r="474" spans="1:18" x14ac:dyDescent="0.25">
      <c r="A474" t="s">
        <v>1164</v>
      </c>
      <c r="B474" t="s">
        <v>4464</v>
      </c>
      <c r="C474" t="s">
        <v>20</v>
      </c>
      <c r="D474" t="s">
        <v>21</v>
      </c>
      <c r="E474" t="s">
        <v>60</v>
      </c>
      <c r="F474" t="s">
        <v>109</v>
      </c>
      <c r="G474" t="s">
        <v>1165</v>
      </c>
      <c r="H474" s="10">
        <v>731378</v>
      </c>
      <c r="I474" s="10">
        <v>0</v>
      </c>
      <c r="J474" s="10">
        <v>0</v>
      </c>
      <c r="L474" t="s">
        <v>42</v>
      </c>
      <c r="M474" t="s">
        <v>26</v>
      </c>
      <c r="N474" t="s">
        <v>1166</v>
      </c>
      <c r="O474" s="2">
        <v>41821</v>
      </c>
      <c r="P474" s="2">
        <v>42551</v>
      </c>
      <c r="Q474">
        <v>0</v>
      </c>
      <c r="R474" t="s">
        <v>1167</v>
      </c>
    </row>
    <row r="475" spans="1:18" x14ac:dyDescent="0.25">
      <c r="A475" t="s">
        <v>1170</v>
      </c>
      <c r="B475" t="s">
        <v>196</v>
      </c>
      <c r="C475" t="s">
        <v>20</v>
      </c>
      <c r="D475" t="s">
        <v>21</v>
      </c>
      <c r="E475" t="s">
        <v>108</v>
      </c>
      <c r="F475" t="s">
        <v>47</v>
      </c>
      <c r="G475" t="s">
        <v>1174</v>
      </c>
      <c r="H475" s="10">
        <v>381453</v>
      </c>
      <c r="I475" s="10">
        <v>0</v>
      </c>
      <c r="J475" s="10">
        <v>0</v>
      </c>
      <c r="L475" t="s">
        <v>55</v>
      </c>
      <c r="M475" t="s">
        <v>26</v>
      </c>
      <c r="N475" t="s">
        <v>1175</v>
      </c>
      <c r="O475" s="2">
        <v>41548</v>
      </c>
      <c r="P475" s="2">
        <v>42643</v>
      </c>
      <c r="Q475">
        <v>0</v>
      </c>
      <c r="R475" t="s">
        <v>1176</v>
      </c>
    </row>
    <row r="476" spans="1:18" x14ac:dyDescent="0.25">
      <c r="A476" t="s">
        <v>1170</v>
      </c>
      <c r="B476" t="s">
        <v>196</v>
      </c>
      <c r="C476" t="s">
        <v>20</v>
      </c>
      <c r="D476" t="s">
        <v>51</v>
      </c>
      <c r="E476" t="s">
        <v>186</v>
      </c>
      <c r="F476" t="s">
        <v>109</v>
      </c>
      <c r="G476" t="s">
        <v>1171</v>
      </c>
      <c r="H476" s="10">
        <v>535500</v>
      </c>
      <c r="I476" s="10">
        <v>0</v>
      </c>
      <c r="J476" s="10">
        <v>0</v>
      </c>
      <c r="L476" t="s">
        <v>42</v>
      </c>
      <c r="M476" t="s">
        <v>26</v>
      </c>
      <c r="N476" t="s">
        <v>1172</v>
      </c>
      <c r="O476" s="2">
        <v>44470</v>
      </c>
      <c r="P476" s="2">
        <v>46295</v>
      </c>
      <c r="Q476">
        <v>0</v>
      </c>
      <c r="R476" t="s">
        <v>1173</v>
      </c>
    </row>
    <row r="477" spans="1:18" x14ac:dyDescent="0.25">
      <c r="A477" t="s">
        <v>4698</v>
      </c>
      <c r="B477" t="s">
        <v>98</v>
      </c>
      <c r="C477" t="s">
        <v>20</v>
      </c>
      <c r="D477" t="s">
        <v>4557</v>
      </c>
      <c r="E477" t="s">
        <v>4611</v>
      </c>
      <c r="F477" t="s">
        <v>4559</v>
      </c>
      <c r="G477" t="s">
        <v>4699</v>
      </c>
      <c r="H477" s="10">
        <v>240400</v>
      </c>
      <c r="I477" s="10">
        <v>0</v>
      </c>
      <c r="J477" s="10">
        <v>0</v>
      </c>
      <c r="L477" t="s">
        <v>55</v>
      </c>
      <c r="M477" t="s">
        <v>103</v>
      </c>
      <c r="N477" t="s">
        <v>5732</v>
      </c>
      <c r="O477" s="2">
        <v>42461</v>
      </c>
      <c r="P477" s="2">
        <v>43555</v>
      </c>
      <c r="Q477">
        <v>1</v>
      </c>
      <c r="R477" t="s">
        <v>5731</v>
      </c>
    </row>
    <row r="478" spans="1:18" x14ac:dyDescent="0.25">
      <c r="A478" t="s">
        <v>5364</v>
      </c>
      <c r="B478" t="s">
        <v>4492</v>
      </c>
      <c r="C478" t="s">
        <v>38</v>
      </c>
      <c r="D478" t="s">
        <v>51</v>
      </c>
      <c r="E478" t="s">
        <v>197</v>
      </c>
      <c r="F478" t="s">
        <v>128</v>
      </c>
      <c r="G478" t="s">
        <v>1182</v>
      </c>
      <c r="H478" s="10">
        <v>891225</v>
      </c>
      <c r="I478" s="10">
        <v>0</v>
      </c>
      <c r="J478" s="10">
        <v>0</v>
      </c>
      <c r="L478" t="s">
        <v>42</v>
      </c>
      <c r="M478" t="s">
        <v>26</v>
      </c>
      <c r="N478" t="s">
        <v>1183</v>
      </c>
      <c r="O478" s="2">
        <v>44652</v>
      </c>
      <c r="P478" s="2">
        <v>46477</v>
      </c>
      <c r="Q478">
        <v>0</v>
      </c>
      <c r="R478" t="s">
        <v>1184</v>
      </c>
    </row>
    <row r="479" spans="1:18" x14ac:dyDescent="0.25">
      <c r="A479" t="s">
        <v>1178</v>
      </c>
      <c r="B479" t="s">
        <v>4492</v>
      </c>
      <c r="C479" t="s">
        <v>38</v>
      </c>
      <c r="D479" t="s">
        <v>21</v>
      </c>
      <c r="E479" t="s">
        <v>255</v>
      </c>
      <c r="F479" t="s">
        <v>32</v>
      </c>
      <c r="G479" t="s">
        <v>1179</v>
      </c>
      <c r="H479" s="11">
        <v>322690</v>
      </c>
      <c r="I479" s="11">
        <v>0</v>
      </c>
      <c r="J479" s="11">
        <v>0</v>
      </c>
      <c r="L479" t="s">
        <v>55</v>
      </c>
      <c r="M479" t="s">
        <v>26</v>
      </c>
      <c r="N479" t="s">
        <v>1180</v>
      </c>
      <c r="O479" s="2">
        <v>39904</v>
      </c>
      <c r="P479" s="2">
        <v>40999</v>
      </c>
      <c r="Q479">
        <v>1</v>
      </c>
      <c r="R479" t="s">
        <v>1181</v>
      </c>
    </row>
    <row r="480" spans="1:18" x14ac:dyDescent="0.25">
      <c r="A480" t="s">
        <v>1185</v>
      </c>
      <c r="B480" t="s">
        <v>59</v>
      </c>
      <c r="C480" t="s">
        <v>38</v>
      </c>
      <c r="D480" t="s">
        <v>21</v>
      </c>
      <c r="E480" t="s">
        <v>287</v>
      </c>
      <c r="F480" t="s">
        <v>53</v>
      </c>
      <c r="G480" t="s">
        <v>1189</v>
      </c>
      <c r="H480" s="12">
        <v>692633</v>
      </c>
      <c r="I480" s="12">
        <v>0</v>
      </c>
      <c r="J480" s="10">
        <v>0</v>
      </c>
      <c r="L480" t="s">
        <v>42</v>
      </c>
      <c r="M480" t="s">
        <v>204</v>
      </c>
      <c r="N480" t="s">
        <v>1190</v>
      </c>
      <c r="O480" s="2">
        <v>40634</v>
      </c>
      <c r="P480" s="2">
        <v>42460</v>
      </c>
      <c r="Q480">
        <v>0</v>
      </c>
      <c r="R480" t="s">
        <v>6159</v>
      </c>
    </row>
    <row r="481" spans="1:18" x14ac:dyDescent="0.25">
      <c r="A481" t="s">
        <v>1185</v>
      </c>
      <c r="B481" t="s">
        <v>4492</v>
      </c>
      <c r="C481" t="s">
        <v>38</v>
      </c>
      <c r="D481" t="s">
        <v>51</v>
      </c>
      <c r="E481" t="s">
        <v>197</v>
      </c>
      <c r="F481" t="s">
        <v>53</v>
      </c>
      <c r="G481" t="s">
        <v>1186</v>
      </c>
      <c r="H481" s="10">
        <v>837675</v>
      </c>
      <c r="I481" s="10">
        <v>0</v>
      </c>
      <c r="J481" s="10">
        <v>0</v>
      </c>
      <c r="L481" t="s">
        <v>42</v>
      </c>
      <c r="M481" t="s">
        <v>204</v>
      </c>
      <c r="N481" t="s">
        <v>1187</v>
      </c>
      <c r="O481" s="2">
        <v>44652</v>
      </c>
      <c r="P481" s="2">
        <v>46477</v>
      </c>
      <c r="Q481">
        <v>0</v>
      </c>
      <c r="R481" t="s">
        <v>1188</v>
      </c>
    </row>
    <row r="482" spans="1:18" x14ac:dyDescent="0.25">
      <c r="A482" t="s">
        <v>1191</v>
      </c>
      <c r="B482" t="s">
        <v>499</v>
      </c>
      <c r="C482" t="s">
        <v>311</v>
      </c>
      <c r="D482" t="s">
        <v>51</v>
      </c>
      <c r="E482" t="s">
        <v>127</v>
      </c>
      <c r="F482" t="s">
        <v>356</v>
      </c>
      <c r="G482" t="s">
        <v>1192</v>
      </c>
      <c r="H482" s="10">
        <v>952426</v>
      </c>
      <c r="I482" s="10">
        <v>0</v>
      </c>
      <c r="J482" s="10">
        <v>0</v>
      </c>
      <c r="L482" t="s">
        <v>42</v>
      </c>
      <c r="M482" t="s">
        <v>111</v>
      </c>
      <c r="N482" t="s">
        <v>1193</v>
      </c>
      <c r="O482" s="2">
        <v>44835</v>
      </c>
      <c r="P482" s="2">
        <v>46660</v>
      </c>
      <c r="Q482">
        <v>0</v>
      </c>
      <c r="R482" t="s">
        <v>1194</v>
      </c>
    </row>
    <row r="483" spans="1:18" x14ac:dyDescent="0.25">
      <c r="A483" t="s">
        <v>4700</v>
      </c>
      <c r="B483" t="s">
        <v>499</v>
      </c>
      <c r="C483" t="s">
        <v>311</v>
      </c>
      <c r="D483" t="s">
        <v>4557</v>
      </c>
      <c r="E483" t="s">
        <v>4562</v>
      </c>
      <c r="F483" t="s">
        <v>4559</v>
      </c>
      <c r="G483" t="s">
        <v>4701</v>
      </c>
      <c r="H483" s="10">
        <v>460441</v>
      </c>
      <c r="I483" s="10">
        <v>31265</v>
      </c>
      <c r="J483" s="10">
        <v>0</v>
      </c>
      <c r="L483" t="s">
        <v>55</v>
      </c>
      <c r="M483" t="s">
        <v>94</v>
      </c>
      <c r="N483" t="s">
        <v>5999</v>
      </c>
      <c r="O483" s="2">
        <v>43922</v>
      </c>
      <c r="P483" s="2">
        <v>45016</v>
      </c>
      <c r="Q483">
        <v>0</v>
      </c>
      <c r="R483" t="s">
        <v>5998</v>
      </c>
    </row>
    <row r="484" spans="1:18" x14ac:dyDescent="0.25">
      <c r="A484" t="s">
        <v>1195</v>
      </c>
      <c r="B484" t="s">
        <v>114</v>
      </c>
      <c r="C484" t="s">
        <v>20</v>
      </c>
      <c r="D484" t="s">
        <v>51</v>
      </c>
      <c r="E484" t="s">
        <v>223</v>
      </c>
      <c r="F484" t="s">
        <v>53</v>
      </c>
      <c r="G484" t="s">
        <v>1196</v>
      </c>
      <c r="H484" s="10">
        <v>879750</v>
      </c>
      <c r="I484" s="10">
        <v>0</v>
      </c>
      <c r="J484" s="10">
        <v>0</v>
      </c>
      <c r="L484" t="s">
        <v>42</v>
      </c>
      <c r="M484" t="s">
        <v>103</v>
      </c>
      <c r="N484" t="s">
        <v>961</v>
      </c>
      <c r="O484" s="2">
        <v>45566</v>
      </c>
      <c r="P484" s="2">
        <v>47391</v>
      </c>
      <c r="Q484">
        <v>0</v>
      </c>
      <c r="R484" t="s">
        <v>1197</v>
      </c>
    </row>
    <row r="485" spans="1:18" x14ac:dyDescent="0.25">
      <c r="A485" t="s">
        <v>1198</v>
      </c>
      <c r="B485" t="s">
        <v>148</v>
      </c>
      <c r="C485" t="s">
        <v>149</v>
      </c>
      <c r="D485" t="s">
        <v>21</v>
      </c>
      <c r="E485" t="s">
        <v>172</v>
      </c>
      <c r="F485" t="s">
        <v>109</v>
      </c>
      <c r="G485" t="s">
        <v>1199</v>
      </c>
      <c r="H485" s="10">
        <v>815081</v>
      </c>
      <c r="I485" s="10">
        <v>0</v>
      </c>
      <c r="J485" s="10">
        <v>0</v>
      </c>
      <c r="L485" t="s">
        <v>42</v>
      </c>
      <c r="M485" t="s">
        <v>103</v>
      </c>
      <c r="N485" t="s">
        <v>1200</v>
      </c>
      <c r="O485" s="2">
        <v>40452</v>
      </c>
      <c r="P485" s="2">
        <v>42185</v>
      </c>
      <c r="Q485">
        <v>0</v>
      </c>
      <c r="R485" t="s">
        <v>1201</v>
      </c>
    </row>
    <row r="486" spans="1:18" x14ac:dyDescent="0.25">
      <c r="A486" t="s">
        <v>4702</v>
      </c>
      <c r="B486" t="s">
        <v>162</v>
      </c>
      <c r="C486" t="s">
        <v>149</v>
      </c>
      <c r="D486" t="s">
        <v>4557</v>
      </c>
      <c r="E486" t="s">
        <v>4570</v>
      </c>
      <c r="F486" t="s">
        <v>4559</v>
      </c>
      <c r="G486" t="s">
        <v>4703</v>
      </c>
      <c r="H486" s="10">
        <v>315794</v>
      </c>
      <c r="I486" s="10">
        <v>0</v>
      </c>
      <c r="J486" s="10">
        <v>0</v>
      </c>
      <c r="L486" t="s">
        <v>55</v>
      </c>
      <c r="M486" t="s">
        <v>103</v>
      </c>
      <c r="N486" t="s">
        <v>5680</v>
      </c>
      <c r="O486" s="2">
        <v>42826</v>
      </c>
      <c r="P486" s="2">
        <v>43921</v>
      </c>
      <c r="Q486">
        <v>5</v>
      </c>
      <c r="R486" t="s">
        <v>5920</v>
      </c>
    </row>
    <row r="487" spans="1:18" x14ac:dyDescent="0.25">
      <c r="A487" t="s">
        <v>5483</v>
      </c>
      <c r="B487" t="s">
        <v>1105</v>
      </c>
      <c r="C487" t="s">
        <v>138</v>
      </c>
      <c r="D487" t="s">
        <v>30</v>
      </c>
      <c r="E487" t="s">
        <v>228</v>
      </c>
      <c r="F487" t="s">
        <v>23</v>
      </c>
      <c r="G487" t="s">
        <v>1202</v>
      </c>
      <c r="H487" s="10">
        <v>100000</v>
      </c>
      <c r="I487" s="10">
        <v>0</v>
      </c>
      <c r="J487" s="10">
        <v>0</v>
      </c>
      <c r="L487" t="s">
        <v>34</v>
      </c>
      <c r="M487" t="s">
        <v>26</v>
      </c>
      <c r="N487" t="s">
        <v>1203</v>
      </c>
      <c r="O487" s="2">
        <v>45352</v>
      </c>
      <c r="P487" s="2">
        <v>45716</v>
      </c>
      <c r="Q487">
        <v>0</v>
      </c>
      <c r="R487" t="s">
        <v>1204</v>
      </c>
    </row>
    <row r="488" spans="1:18" x14ac:dyDescent="0.25">
      <c r="A488" t="s">
        <v>5365</v>
      </c>
      <c r="B488" t="s">
        <v>1105</v>
      </c>
      <c r="C488" t="s">
        <v>138</v>
      </c>
      <c r="D488" t="s">
        <v>51</v>
      </c>
      <c r="E488" t="s">
        <v>406</v>
      </c>
      <c r="F488" t="s">
        <v>47</v>
      </c>
      <c r="G488" t="s">
        <v>1205</v>
      </c>
      <c r="H488" s="10">
        <v>558452</v>
      </c>
      <c r="I488" s="10">
        <v>0</v>
      </c>
      <c r="J488" s="10">
        <v>0</v>
      </c>
      <c r="L488" t="s">
        <v>25</v>
      </c>
      <c r="M488" t="s">
        <v>26</v>
      </c>
      <c r="N488" t="s">
        <v>135</v>
      </c>
      <c r="O488" s="2">
        <v>43191</v>
      </c>
      <c r="P488" s="2">
        <v>44651</v>
      </c>
      <c r="Q488">
        <v>0</v>
      </c>
      <c r="R488" t="s">
        <v>1206</v>
      </c>
    </row>
    <row r="489" spans="1:18" x14ac:dyDescent="0.25">
      <c r="A489" t="s">
        <v>5366</v>
      </c>
      <c r="B489" t="s">
        <v>107</v>
      </c>
      <c r="C489" t="s">
        <v>38</v>
      </c>
      <c r="D489" t="s">
        <v>51</v>
      </c>
      <c r="E489" t="s">
        <v>70</v>
      </c>
      <c r="F489" t="s">
        <v>53</v>
      </c>
      <c r="G489" t="s">
        <v>1207</v>
      </c>
      <c r="H489" s="10">
        <v>876690</v>
      </c>
      <c r="I489" s="10">
        <v>0</v>
      </c>
      <c r="J489" s="10">
        <v>0</v>
      </c>
      <c r="L489" t="s">
        <v>42</v>
      </c>
      <c r="M489" t="s">
        <v>831</v>
      </c>
      <c r="N489" t="s">
        <v>1208</v>
      </c>
      <c r="O489" s="2">
        <v>45200</v>
      </c>
      <c r="P489" s="2">
        <v>47026</v>
      </c>
      <c r="Q489">
        <v>0</v>
      </c>
      <c r="R489" t="s">
        <v>1209</v>
      </c>
    </row>
    <row r="490" spans="1:18" x14ac:dyDescent="0.25">
      <c r="A490" t="s">
        <v>4704</v>
      </c>
      <c r="B490" t="s">
        <v>98</v>
      </c>
      <c r="C490" t="s">
        <v>20</v>
      </c>
      <c r="D490" t="s">
        <v>4557</v>
      </c>
      <c r="E490" t="s">
        <v>4602</v>
      </c>
      <c r="F490" t="s">
        <v>4559</v>
      </c>
      <c r="G490" t="s">
        <v>4705</v>
      </c>
      <c r="H490" s="10">
        <v>273358</v>
      </c>
      <c r="I490" s="10">
        <v>0</v>
      </c>
      <c r="J490" s="10">
        <v>0</v>
      </c>
      <c r="L490" t="s">
        <v>55</v>
      </c>
      <c r="M490" t="s">
        <v>103</v>
      </c>
      <c r="N490" t="s">
        <v>5525</v>
      </c>
      <c r="O490" s="2">
        <v>41365</v>
      </c>
      <c r="P490" s="2">
        <v>42460</v>
      </c>
      <c r="Q490">
        <v>0</v>
      </c>
      <c r="R490" t="s">
        <v>5524</v>
      </c>
    </row>
    <row r="491" spans="1:18" x14ac:dyDescent="0.25">
      <c r="A491" t="s">
        <v>6160</v>
      </c>
      <c r="B491" t="s">
        <v>59</v>
      </c>
      <c r="C491" t="s">
        <v>38</v>
      </c>
      <c r="D491" t="s">
        <v>4557</v>
      </c>
      <c r="E491" t="s">
        <v>4567</v>
      </c>
      <c r="F491" t="s">
        <v>4559</v>
      </c>
      <c r="G491" t="s">
        <v>6161</v>
      </c>
      <c r="H491" s="12">
        <v>225592</v>
      </c>
      <c r="I491" s="12">
        <v>0</v>
      </c>
      <c r="J491" s="10">
        <v>0</v>
      </c>
      <c r="L491" t="s">
        <v>55</v>
      </c>
      <c r="M491" t="s">
        <v>204</v>
      </c>
      <c r="N491" t="s">
        <v>6162</v>
      </c>
      <c r="O491" s="2">
        <v>41730</v>
      </c>
      <c r="P491" s="2">
        <v>42825</v>
      </c>
      <c r="Q491">
        <v>0</v>
      </c>
      <c r="R491" t="s">
        <v>6163</v>
      </c>
    </row>
    <row r="492" spans="1:18" x14ac:dyDescent="0.25">
      <c r="A492" t="s">
        <v>1210</v>
      </c>
      <c r="B492" t="s">
        <v>19</v>
      </c>
      <c r="C492" t="s">
        <v>20</v>
      </c>
      <c r="D492" t="s">
        <v>51</v>
      </c>
      <c r="E492" t="s">
        <v>167</v>
      </c>
      <c r="F492" t="s">
        <v>32</v>
      </c>
      <c r="G492" t="s">
        <v>1211</v>
      </c>
      <c r="H492" s="10">
        <v>1040400</v>
      </c>
      <c r="I492" s="10">
        <v>0</v>
      </c>
      <c r="J492" s="10">
        <v>0</v>
      </c>
      <c r="L492" t="s">
        <v>42</v>
      </c>
      <c r="M492" t="s">
        <v>26</v>
      </c>
      <c r="N492" t="s">
        <v>1212</v>
      </c>
      <c r="O492" s="2">
        <v>45413</v>
      </c>
      <c r="P492" s="2">
        <v>46507</v>
      </c>
      <c r="Q492">
        <v>0</v>
      </c>
      <c r="R492" t="s">
        <v>1213</v>
      </c>
    </row>
    <row r="493" spans="1:18" x14ac:dyDescent="0.25">
      <c r="A493" t="s">
        <v>1214</v>
      </c>
      <c r="B493" t="s">
        <v>5063</v>
      </c>
      <c r="C493" t="s">
        <v>38</v>
      </c>
      <c r="D493" t="s">
        <v>21</v>
      </c>
      <c r="E493" t="s">
        <v>194</v>
      </c>
      <c r="F493" t="s">
        <v>47</v>
      </c>
      <c r="G493" t="s">
        <v>1215</v>
      </c>
      <c r="H493" s="11">
        <v>1147574</v>
      </c>
      <c r="I493" s="11">
        <v>0</v>
      </c>
      <c r="J493" s="11">
        <v>0</v>
      </c>
      <c r="L493" t="s">
        <v>42</v>
      </c>
      <c r="M493" t="s">
        <v>26</v>
      </c>
      <c r="N493" t="s">
        <v>1216</v>
      </c>
      <c r="O493" s="2">
        <v>40087</v>
      </c>
      <c r="P493" s="2">
        <v>41912</v>
      </c>
      <c r="Q493">
        <v>8</v>
      </c>
      <c r="R493" t="s">
        <v>1217</v>
      </c>
    </row>
    <row r="494" spans="1:18" x14ac:dyDescent="0.25">
      <c r="A494" t="s">
        <v>1218</v>
      </c>
      <c r="B494" t="s">
        <v>126</v>
      </c>
      <c r="C494" t="s">
        <v>20</v>
      </c>
      <c r="D494" t="s">
        <v>51</v>
      </c>
      <c r="E494" t="s">
        <v>197</v>
      </c>
      <c r="F494" t="s">
        <v>47</v>
      </c>
      <c r="G494" t="s">
        <v>1219</v>
      </c>
      <c r="H494" s="10">
        <v>975375</v>
      </c>
      <c r="I494" s="10">
        <v>0</v>
      </c>
      <c r="J494" s="10">
        <v>0</v>
      </c>
      <c r="L494" t="s">
        <v>42</v>
      </c>
      <c r="M494" t="s">
        <v>26</v>
      </c>
      <c r="N494" t="s">
        <v>72</v>
      </c>
      <c r="O494" s="2">
        <v>44652</v>
      </c>
      <c r="P494" s="2">
        <v>46477</v>
      </c>
      <c r="Q494">
        <v>0</v>
      </c>
      <c r="R494" t="s">
        <v>1220</v>
      </c>
    </row>
    <row r="495" spans="1:18" x14ac:dyDescent="0.25">
      <c r="A495" t="s">
        <v>1221</v>
      </c>
      <c r="B495" t="s">
        <v>148</v>
      </c>
      <c r="C495" t="s">
        <v>149</v>
      </c>
      <c r="D495" t="s">
        <v>64</v>
      </c>
      <c r="E495" t="s">
        <v>1222</v>
      </c>
      <c r="F495" t="s">
        <v>23</v>
      </c>
      <c r="G495" t="s">
        <v>1223</v>
      </c>
      <c r="H495" s="10">
        <v>390000</v>
      </c>
      <c r="I495" s="10">
        <v>0</v>
      </c>
      <c r="J495" s="10">
        <v>0</v>
      </c>
      <c r="L495" t="s">
        <v>1224</v>
      </c>
      <c r="M495" t="s">
        <v>26</v>
      </c>
      <c r="N495" t="s">
        <v>1225</v>
      </c>
      <c r="O495" s="2">
        <v>44835</v>
      </c>
      <c r="P495" s="2">
        <v>45382</v>
      </c>
      <c r="Q495">
        <v>0</v>
      </c>
      <c r="R495" t="s">
        <v>1226</v>
      </c>
    </row>
    <row r="496" spans="1:18" x14ac:dyDescent="0.25">
      <c r="A496" t="s">
        <v>1227</v>
      </c>
      <c r="B496" t="s">
        <v>162</v>
      </c>
      <c r="C496" t="s">
        <v>149</v>
      </c>
      <c r="D496" t="s">
        <v>51</v>
      </c>
      <c r="E496" t="s">
        <v>116</v>
      </c>
      <c r="F496" t="s">
        <v>32</v>
      </c>
      <c r="G496" t="s">
        <v>1228</v>
      </c>
      <c r="H496" s="10">
        <v>918000</v>
      </c>
      <c r="I496" s="10">
        <v>0</v>
      </c>
      <c r="J496" s="10">
        <v>0</v>
      </c>
      <c r="L496" t="s">
        <v>42</v>
      </c>
      <c r="M496" t="s">
        <v>26</v>
      </c>
      <c r="N496" t="s">
        <v>304</v>
      </c>
      <c r="O496" s="2">
        <v>43374</v>
      </c>
      <c r="P496" s="2">
        <v>45199</v>
      </c>
      <c r="Q496">
        <v>0</v>
      </c>
      <c r="R496" t="s">
        <v>1229</v>
      </c>
    </row>
    <row r="497" spans="1:18" x14ac:dyDescent="0.25">
      <c r="A497" t="s">
        <v>1230</v>
      </c>
      <c r="B497" t="s">
        <v>4492</v>
      </c>
      <c r="C497" t="s">
        <v>38</v>
      </c>
      <c r="D497" t="s">
        <v>51</v>
      </c>
      <c r="E497" t="s">
        <v>122</v>
      </c>
      <c r="F497" t="s">
        <v>23</v>
      </c>
      <c r="G497" t="s">
        <v>1231</v>
      </c>
      <c r="H497" s="10">
        <v>153000</v>
      </c>
      <c r="I497" s="10">
        <v>0</v>
      </c>
      <c r="J497" s="10">
        <v>0</v>
      </c>
      <c r="L497" t="s">
        <v>84</v>
      </c>
      <c r="M497" t="s">
        <v>26</v>
      </c>
      <c r="N497" t="s">
        <v>1232</v>
      </c>
      <c r="O497" s="2">
        <v>43739</v>
      </c>
      <c r="P497" s="2">
        <v>44469</v>
      </c>
      <c r="Q497">
        <v>0</v>
      </c>
      <c r="R497" t="s">
        <v>1233</v>
      </c>
    </row>
    <row r="498" spans="1:18" x14ac:dyDescent="0.25">
      <c r="A498" t="s">
        <v>1234</v>
      </c>
      <c r="B498" t="s">
        <v>4493</v>
      </c>
      <c r="C498" t="s">
        <v>38</v>
      </c>
      <c r="D498" t="s">
        <v>21</v>
      </c>
      <c r="E498" t="s">
        <v>172</v>
      </c>
      <c r="F498" t="s">
        <v>109</v>
      </c>
      <c r="G498" t="s">
        <v>1235</v>
      </c>
      <c r="H498" s="10">
        <v>358987</v>
      </c>
      <c r="I498" s="10">
        <v>0</v>
      </c>
      <c r="J498" s="10">
        <v>0</v>
      </c>
      <c r="L498" t="s">
        <v>42</v>
      </c>
      <c r="M498" t="s">
        <v>103</v>
      </c>
      <c r="N498" t="s">
        <v>771</v>
      </c>
      <c r="O498" s="2">
        <v>40452</v>
      </c>
      <c r="P498" s="2">
        <v>42277</v>
      </c>
      <c r="Q498">
        <v>0</v>
      </c>
      <c r="R498" t="s">
        <v>1236</v>
      </c>
    </row>
    <row r="499" spans="1:18" x14ac:dyDescent="0.25">
      <c r="A499" t="s">
        <v>1237</v>
      </c>
      <c r="B499" t="s">
        <v>19</v>
      </c>
      <c r="C499" t="s">
        <v>20</v>
      </c>
      <c r="D499" t="s">
        <v>395</v>
      </c>
      <c r="E499" t="s">
        <v>1238</v>
      </c>
      <c r="F499" t="s">
        <v>32</v>
      </c>
      <c r="G499" t="s">
        <v>1239</v>
      </c>
      <c r="H499" s="10">
        <v>100000</v>
      </c>
      <c r="I499" s="10">
        <v>0</v>
      </c>
      <c r="J499" s="10">
        <v>0</v>
      </c>
      <c r="L499" t="s">
        <v>34</v>
      </c>
      <c r="M499" t="s">
        <v>26</v>
      </c>
      <c r="N499" t="s">
        <v>1240</v>
      </c>
      <c r="O499" s="2">
        <v>40087</v>
      </c>
      <c r="P499" s="2">
        <v>40451</v>
      </c>
      <c r="Q499">
        <v>1</v>
      </c>
      <c r="R499" t="s">
        <v>1241</v>
      </c>
    </row>
    <row r="500" spans="1:18" x14ac:dyDescent="0.25">
      <c r="A500" t="s">
        <v>1242</v>
      </c>
      <c r="B500" t="s">
        <v>49</v>
      </c>
      <c r="C500" t="s">
        <v>50</v>
      </c>
      <c r="D500" t="s">
        <v>21</v>
      </c>
      <c r="E500" t="s">
        <v>172</v>
      </c>
      <c r="F500" t="s">
        <v>47</v>
      </c>
      <c r="G500" t="s">
        <v>1243</v>
      </c>
      <c r="H500" s="10">
        <v>484436</v>
      </c>
      <c r="I500" s="10">
        <v>0</v>
      </c>
      <c r="J500" s="10">
        <v>0</v>
      </c>
      <c r="L500" t="s">
        <v>25</v>
      </c>
      <c r="M500" t="s">
        <v>26</v>
      </c>
      <c r="N500" t="s">
        <v>1244</v>
      </c>
      <c r="O500" s="2">
        <v>40452</v>
      </c>
      <c r="P500" s="2">
        <v>41912</v>
      </c>
      <c r="Q500">
        <v>0</v>
      </c>
      <c r="R500" t="s">
        <v>1245</v>
      </c>
    </row>
    <row r="501" spans="1:18" x14ac:dyDescent="0.25">
      <c r="A501" t="s">
        <v>1242</v>
      </c>
      <c r="B501" t="s">
        <v>49</v>
      </c>
      <c r="C501" t="s">
        <v>50</v>
      </c>
      <c r="D501" t="s">
        <v>21</v>
      </c>
      <c r="E501" t="s">
        <v>572</v>
      </c>
      <c r="F501" t="s">
        <v>47</v>
      </c>
      <c r="G501" t="s">
        <v>1246</v>
      </c>
      <c r="H501" s="10">
        <v>491649</v>
      </c>
      <c r="I501" s="10">
        <v>0</v>
      </c>
      <c r="J501" s="10">
        <v>0</v>
      </c>
      <c r="L501" t="s">
        <v>55</v>
      </c>
      <c r="M501" t="s">
        <v>26</v>
      </c>
      <c r="N501" t="s">
        <v>1247</v>
      </c>
      <c r="O501" s="2">
        <v>41730</v>
      </c>
      <c r="P501" s="2">
        <v>42825</v>
      </c>
      <c r="Q501">
        <v>0</v>
      </c>
      <c r="R501" t="s">
        <v>1248</v>
      </c>
    </row>
    <row r="502" spans="1:18" x14ac:dyDescent="0.25">
      <c r="A502" t="s">
        <v>1249</v>
      </c>
      <c r="B502" t="s">
        <v>157</v>
      </c>
      <c r="C502" t="s">
        <v>38</v>
      </c>
      <c r="D502" t="s">
        <v>51</v>
      </c>
      <c r="E502" t="s">
        <v>163</v>
      </c>
      <c r="F502" t="s">
        <v>47</v>
      </c>
      <c r="G502" t="s">
        <v>1253</v>
      </c>
      <c r="H502" s="10">
        <v>665550</v>
      </c>
      <c r="I502" s="10">
        <v>0</v>
      </c>
      <c r="J502" s="10">
        <v>0</v>
      </c>
      <c r="L502" t="s">
        <v>42</v>
      </c>
      <c r="M502" t="s">
        <v>26</v>
      </c>
      <c r="N502" t="s">
        <v>1254</v>
      </c>
      <c r="O502" s="2">
        <v>43556</v>
      </c>
      <c r="P502" s="2">
        <v>45382</v>
      </c>
      <c r="Q502">
        <v>0</v>
      </c>
      <c r="R502" t="s">
        <v>1255</v>
      </c>
    </row>
    <row r="503" spans="1:18" x14ac:dyDescent="0.25">
      <c r="A503" t="s">
        <v>1249</v>
      </c>
      <c r="B503" t="s">
        <v>157</v>
      </c>
      <c r="C503" t="s">
        <v>38</v>
      </c>
      <c r="D503" t="s">
        <v>64</v>
      </c>
      <c r="E503" t="s">
        <v>65</v>
      </c>
      <c r="F503" t="s">
        <v>47</v>
      </c>
      <c r="G503" t="s">
        <v>1250</v>
      </c>
      <c r="H503" s="10">
        <v>100000</v>
      </c>
      <c r="I503" s="10">
        <v>0</v>
      </c>
      <c r="J503" s="10">
        <v>0</v>
      </c>
      <c r="L503" t="s">
        <v>34</v>
      </c>
      <c r="M503" t="s">
        <v>26</v>
      </c>
      <c r="N503" t="s">
        <v>1251</v>
      </c>
      <c r="O503" s="2">
        <v>44986</v>
      </c>
      <c r="P503" s="2">
        <v>45351</v>
      </c>
      <c r="Q503">
        <v>0</v>
      </c>
      <c r="R503" t="s">
        <v>1252</v>
      </c>
    </row>
    <row r="504" spans="1:18" x14ac:dyDescent="0.25">
      <c r="A504" t="s">
        <v>1256</v>
      </c>
      <c r="B504" t="s">
        <v>49</v>
      </c>
      <c r="C504" t="s">
        <v>50</v>
      </c>
      <c r="D504" t="s">
        <v>21</v>
      </c>
      <c r="E504" t="s">
        <v>287</v>
      </c>
      <c r="F504" t="s">
        <v>23</v>
      </c>
      <c r="G504" t="s">
        <v>1257</v>
      </c>
      <c r="H504" s="10">
        <v>368667</v>
      </c>
      <c r="I504" s="10">
        <v>0</v>
      </c>
      <c r="J504" s="10">
        <v>0</v>
      </c>
      <c r="L504" t="s">
        <v>55</v>
      </c>
      <c r="M504" t="s">
        <v>26</v>
      </c>
      <c r="N504" t="s">
        <v>1258</v>
      </c>
      <c r="O504" s="2">
        <v>40634</v>
      </c>
      <c r="P504" s="2">
        <v>41729</v>
      </c>
      <c r="Q504">
        <v>1</v>
      </c>
      <c r="R504" t="s">
        <v>1259</v>
      </c>
    </row>
    <row r="505" spans="1:18" x14ac:dyDescent="0.25">
      <c r="A505" t="s">
        <v>4706</v>
      </c>
      <c r="B505" t="s">
        <v>1336</v>
      </c>
      <c r="C505" t="s">
        <v>50</v>
      </c>
      <c r="D505" t="s">
        <v>4557</v>
      </c>
      <c r="E505" t="s">
        <v>4567</v>
      </c>
      <c r="F505" t="s">
        <v>4559</v>
      </c>
      <c r="G505" t="s">
        <v>4707</v>
      </c>
      <c r="H505" s="10">
        <v>283503</v>
      </c>
      <c r="I505" s="10">
        <v>0</v>
      </c>
      <c r="J505" s="10">
        <v>0</v>
      </c>
      <c r="L505" t="s">
        <v>55</v>
      </c>
      <c r="M505" t="s">
        <v>26</v>
      </c>
      <c r="N505" t="s">
        <v>3441</v>
      </c>
      <c r="O505" s="2">
        <v>41730</v>
      </c>
      <c r="P505" s="2">
        <v>42825</v>
      </c>
      <c r="Q505">
        <v>0</v>
      </c>
      <c r="R505" t="s">
        <v>5962</v>
      </c>
    </row>
    <row r="506" spans="1:18" x14ac:dyDescent="0.25">
      <c r="A506" t="s">
        <v>1260</v>
      </c>
      <c r="B506" t="s">
        <v>5063</v>
      </c>
      <c r="C506" t="s">
        <v>38</v>
      </c>
      <c r="D506" t="s">
        <v>99</v>
      </c>
      <c r="E506" t="s">
        <v>100</v>
      </c>
      <c r="F506" t="s">
        <v>101</v>
      </c>
      <c r="G506" t="s">
        <v>1261</v>
      </c>
      <c r="H506" s="10">
        <v>360377</v>
      </c>
      <c r="I506" s="10">
        <v>0</v>
      </c>
      <c r="J506" s="10">
        <v>0</v>
      </c>
      <c r="L506" t="s">
        <v>34</v>
      </c>
      <c r="M506" t="s">
        <v>94</v>
      </c>
      <c r="N506" t="s">
        <v>1262</v>
      </c>
      <c r="O506" s="2">
        <v>43983</v>
      </c>
      <c r="P506" s="2">
        <v>44347</v>
      </c>
      <c r="Q506">
        <v>0</v>
      </c>
      <c r="R506" t="s">
        <v>1263</v>
      </c>
    </row>
    <row r="507" spans="1:18" x14ac:dyDescent="0.25">
      <c r="A507" t="s">
        <v>4545</v>
      </c>
      <c r="B507" t="s">
        <v>4492</v>
      </c>
      <c r="C507" t="s">
        <v>38</v>
      </c>
      <c r="D507" t="s">
        <v>80</v>
      </c>
      <c r="E507" t="s">
        <v>81</v>
      </c>
      <c r="F507" t="s">
        <v>82</v>
      </c>
      <c r="G507" t="s">
        <v>4316</v>
      </c>
      <c r="H507" s="10">
        <v>162027</v>
      </c>
      <c r="I507" s="10">
        <v>0</v>
      </c>
      <c r="J507" s="10">
        <v>0</v>
      </c>
      <c r="L507" t="s">
        <v>84</v>
      </c>
      <c r="M507" t="s">
        <v>217</v>
      </c>
      <c r="N507" t="s">
        <v>4317</v>
      </c>
      <c r="O507" s="2">
        <v>42979</v>
      </c>
      <c r="P507" s="2">
        <v>43708</v>
      </c>
      <c r="Q507">
        <v>0</v>
      </c>
      <c r="R507" t="s">
        <v>4318</v>
      </c>
    </row>
    <row r="508" spans="1:18" x14ac:dyDescent="0.25">
      <c r="A508" t="s">
        <v>1264</v>
      </c>
      <c r="B508" t="s">
        <v>4494</v>
      </c>
      <c r="C508" t="s">
        <v>38</v>
      </c>
      <c r="D508" t="s">
        <v>21</v>
      </c>
      <c r="E508" t="s">
        <v>22</v>
      </c>
      <c r="F508" t="s">
        <v>23</v>
      </c>
      <c r="G508" t="s">
        <v>1265</v>
      </c>
      <c r="H508" s="10">
        <v>647299</v>
      </c>
      <c r="I508" s="10">
        <v>0</v>
      </c>
      <c r="J508" s="10">
        <v>0</v>
      </c>
      <c r="L508" t="s">
        <v>42</v>
      </c>
      <c r="M508" t="s">
        <v>85</v>
      </c>
      <c r="N508" t="s">
        <v>1266</v>
      </c>
      <c r="O508" s="2">
        <v>41365</v>
      </c>
      <c r="P508" s="2">
        <v>43190</v>
      </c>
      <c r="Q508">
        <v>0</v>
      </c>
      <c r="R508" t="s">
        <v>1267</v>
      </c>
    </row>
    <row r="509" spans="1:18" x14ac:dyDescent="0.25">
      <c r="A509" t="s">
        <v>4708</v>
      </c>
      <c r="B509" t="s">
        <v>114</v>
      </c>
      <c r="C509" t="s">
        <v>20</v>
      </c>
      <c r="D509" t="s">
        <v>4557</v>
      </c>
      <c r="E509" t="s">
        <v>4611</v>
      </c>
      <c r="F509" t="s">
        <v>4559</v>
      </c>
      <c r="G509" t="s">
        <v>4709</v>
      </c>
      <c r="H509" s="10">
        <v>232200</v>
      </c>
      <c r="I509" s="10">
        <v>0</v>
      </c>
      <c r="J509" s="10">
        <v>0</v>
      </c>
      <c r="L509" t="s">
        <v>55</v>
      </c>
      <c r="M509" t="s">
        <v>111</v>
      </c>
      <c r="N509" t="s">
        <v>2984</v>
      </c>
      <c r="O509" s="2">
        <v>42461</v>
      </c>
      <c r="P509" s="2">
        <v>43555</v>
      </c>
      <c r="Q509">
        <v>4</v>
      </c>
      <c r="R509" t="s">
        <v>5923</v>
      </c>
    </row>
    <row r="510" spans="1:18" x14ac:dyDescent="0.25">
      <c r="A510" t="s">
        <v>4710</v>
      </c>
      <c r="B510" t="s">
        <v>114</v>
      </c>
      <c r="C510" t="s">
        <v>20</v>
      </c>
      <c r="D510" t="s">
        <v>4557</v>
      </c>
      <c r="E510" t="s">
        <v>4562</v>
      </c>
      <c r="F510" t="s">
        <v>4559</v>
      </c>
      <c r="G510" t="s">
        <v>4711</v>
      </c>
      <c r="H510" s="10">
        <v>360000</v>
      </c>
      <c r="I510" s="10">
        <v>15000</v>
      </c>
      <c r="J510" s="10">
        <v>0</v>
      </c>
      <c r="L510" t="s">
        <v>55</v>
      </c>
      <c r="M510" t="s">
        <v>111</v>
      </c>
      <c r="N510" t="s">
        <v>5658</v>
      </c>
      <c r="O510" s="2">
        <v>43922</v>
      </c>
      <c r="P510" s="2">
        <v>45016</v>
      </c>
      <c r="Q510">
        <v>1</v>
      </c>
      <c r="R510" t="s">
        <v>5657</v>
      </c>
    </row>
    <row r="511" spans="1:18" x14ac:dyDescent="0.25">
      <c r="A511" t="s">
        <v>1268</v>
      </c>
      <c r="B511" t="s">
        <v>59</v>
      </c>
      <c r="C511" t="s">
        <v>38</v>
      </c>
      <c r="D511" t="s">
        <v>21</v>
      </c>
      <c r="E511" t="s">
        <v>323</v>
      </c>
      <c r="F511" t="s">
        <v>53</v>
      </c>
      <c r="G511" t="s">
        <v>1269</v>
      </c>
      <c r="H511" s="12">
        <v>860972</v>
      </c>
      <c r="I511" s="12">
        <v>0</v>
      </c>
      <c r="J511" s="10">
        <v>0</v>
      </c>
      <c r="L511" t="s">
        <v>42</v>
      </c>
      <c r="M511" t="s">
        <v>111</v>
      </c>
      <c r="N511" t="s">
        <v>1270</v>
      </c>
      <c r="O511" s="2">
        <v>40269</v>
      </c>
      <c r="P511" s="2">
        <v>42094</v>
      </c>
      <c r="Q511">
        <v>0</v>
      </c>
      <c r="R511" t="s">
        <v>6164</v>
      </c>
    </row>
    <row r="512" spans="1:18" x14ac:dyDescent="0.25">
      <c r="A512" t="s">
        <v>5367</v>
      </c>
      <c r="B512" t="s">
        <v>4494</v>
      </c>
      <c r="C512" t="s">
        <v>38</v>
      </c>
      <c r="D512" t="s">
        <v>51</v>
      </c>
      <c r="E512" t="s">
        <v>116</v>
      </c>
      <c r="F512" t="s">
        <v>128</v>
      </c>
      <c r="G512" t="s">
        <v>1271</v>
      </c>
      <c r="H512" s="10">
        <v>868276</v>
      </c>
      <c r="I512" s="10">
        <v>0</v>
      </c>
      <c r="J512" s="10">
        <v>0</v>
      </c>
      <c r="L512" t="s">
        <v>42</v>
      </c>
      <c r="M512" t="s">
        <v>26</v>
      </c>
      <c r="N512" t="s">
        <v>1272</v>
      </c>
      <c r="O512" s="2">
        <v>43374</v>
      </c>
      <c r="P512" s="2">
        <v>45199</v>
      </c>
      <c r="Q512">
        <v>0</v>
      </c>
      <c r="R512" t="s">
        <v>1273</v>
      </c>
    </row>
    <row r="513" spans="1:18" x14ac:dyDescent="0.25">
      <c r="A513" t="s">
        <v>1274</v>
      </c>
      <c r="B513" t="s">
        <v>1105</v>
      </c>
      <c r="C513" t="s">
        <v>138</v>
      </c>
      <c r="D513" t="s">
        <v>21</v>
      </c>
      <c r="E513" t="s">
        <v>172</v>
      </c>
      <c r="F513" t="s">
        <v>32</v>
      </c>
      <c r="G513" t="s">
        <v>1275</v>
      </c>
      <c r="H513" s="10">
        <v>444907</v>
      </c>
      <c r="I513" s="10">
        <v>0</v>
      </c>
      <c r="J513" s="10">
        <v>0</v>
      </c>
      <c r="L513" t="s">
        <v>25</v>
      </c>
      <c r="M513" t="s">
        <v>26</v>
      </c>
      <c r="N513" t="s">
        <v>1276</v>
      </c>
      <c r="O513" s="2">
        <v>40452</v>
      </c>
      <c r="P513" s="2">
        <v>41912</v>
      </c>
      <c r="Q513">
        <v>0</v>
      </c>
      <c r="R513" t="s">
        <v>1277</v>
      </c>
    </row>
    <row r="514" spans="1:18" x14ac:dyDescent="0.25">
      <c r="A514" t="s">
        <v>1278</v>
      </c>
      <c r="B514" t="s">
        <v>49</v>
      </c>
      <c r="C514" t="s">
        <v>50</v>
      </c>
      <c r="D514" t="s">
        <v>1279</v>
      </c>
      <c r="E514" t="s">
        <v>1280</v>
      </c>
      <c r="F514" t="s">
        <v>53</v>
      </c>
      <c r="G514" t="s">
        <v>1281</v>
      </c>
      <c r="H514" s="10">
        <v>100000</v>
      </c>
      <c r="I514" s="10">
        <v>0</v>
      </c>
      <c r="J514" s="10">
        <v>0</v>
      </c>
      <c r="L514" t="s">
        <v>34</v>
      </c>
      <c r="M514" t="s">
        <v>204</v>
      </c>
      <c r="N514" t="s">
        <v>339</v>
      </c>
      <c r="O514" s="2">
        <v>43739</v>
      </c>
      <c r="P514" s="2">
        <v>44469</v>
      </c>
      <c r="Q514">
        <v>0</v>
      </c>
      <c r="R514" t="s">
        <v>1282</v>
      </c>
    </row>
    <row r="515" spans="1:18" x14ac:dyDescent="0.25">
      <c r="A515" t="s">
        <v>4712</v>
      </c>
      <c r="B515" t="s">
        <v>49</v>
      </c>
      <c r="C515" t="s">
        <v>50</v>
      </c>
      <c r="D515" t="s">
        <v>4557</v>
      </c>
      <c r="E515" t="s">
        <v>4581</v>
      </c>
      <c r="F515" t="s">
        <v>4559</v>
      </c>
      <c r="G515" t="s">
        <v>4713</v>
      </c>
      <c r="H515" s="10">
        <v>381244</v>
      </c>
      <c r="I515" s="10">
        <v>15000</v>
      </c>
      <c r="J515" s="10">
        <v>0</v>
      </c>
      <c r="L515" t="s">
        <v>55</v>
      </c>
      <c r="M515" t="s">
        <v>204</v>
      </c>
      <c r="N515" t="s">
        <v>5959</v>
      </c>
      <c r="O515" s="2">
        <v>43556</v>
      </c>
      <c r="P515" s="2">
        <v>44651</v>
      </c>
      <c r="Q515">
        <v>0</v>
      </c>
      <c r="R515" t="s">
        <v>5958</v>
      </c>
    </row>
    <row r="516" spans="1:18" x14ac:dyDescent="0.25">
      <c r="A516" t="s">
        <v>5082</v>
      </c>
      <c r="B516" t="s">
        <v>98</v>
      </c>
      <c r="C516" t="s">
        <v>20</v>
      </c>
      <c r="D516" t="s">
        <v>21</v>
      </c>
      <c r="E516" t="s">
        <v>60</v>
      </c>
      <c r="F516" t="s">
        <v>32</v>
      </c>
      <c r="G516" t="s">
        <v>1283</v>
      </c>
      <c r="H516" s="10">
        <v>913568</v>
      </c>
      <c r="I516" s="10">
        <v>0</v>
      </c>
      <c r="J516" s="10">
        <v>0</v>
      </c>
      <c r="L516" t="s">
        <v>42</v>
      </c>
      <c r="M516" t="s">
        <v>26</v>
      </c>
      <c r="N516" t="s">
        <v>1284</v>
      </c>
      <c r="O516" s="2">
        <v>41821</v>
      </c>
      <c r="P516" s="2">
        <v>43646</v>
      </c>
      <c r="Q516">
        <v>0</v>
      </c>
      <c r="R516" t="s">
        <v>1285</v>
      </c>
    </row>
    <row r="517" spans="1:18" x14ac:dyDescent="0.25">
      <c r="A517" t="s">
        <v>5083</v>
      </c>
      <c r="B517" t="s">
        <v>157</v>
      </c>
      <c r="C517" t="s">
        <v>38</v>
      </c>
      <c r="D517" t="s">
        <v>21</v>
      </c>
      <c r="E517" t="s">
        <v>377</v>
      </c>
      <c r="F517" t="s">
        <v>23</v>
      </c>
      <c r="G517" t="s">
        <v>1286</v>
      </c>
      <c r="H517" s="10">
        <v>1404691</v>
      </c>
      <c r="I517" s="10">
        <v>0</v>
      </c>
      <c r="J517" s="10">
        <v>0</v>
      </c>
      <c r="L517" t="s">
        <v>55</v>
      </c>
      <c r="M517" t="s">
        <v>26</v>
      </c>
      <c r="N517" t="s">
        <v>1287</v>
      </c>
      <c r="O517" s="2">
        <v>41183</v>
      </c>
      <c r="P517" s="2">
        <v>42277</v>
      </c>
      <c r="Q517">
        <v>2</v>
      </c>
      <c r="R517" t="s">
        <v>1288</v>
      </c>
    </row>
    <row r="518" spans="1:18" x14ac:dyDescent="0.25">
      <c r="A518" t="s">
        <v>1289</v>
      </c>
      <c r="B518" t="s">
        <v>114</v>
      </c>
      <c r="C518" t="s">
        <v>20</v>
      </c>
      <c r="D518" t="s">
        <v>1293</v>
      </c>
      <c r="E518" t="s">
        <v>1294</v>
      </c>
      <c r="F518" t="s">
        <v>53</v>
      </c>
      <c r="G518" t="s">
        <v>1295</v>
      </c>
      <c r="H518" s="10">
        <v>100000</v>
      </c>
      <c r="I518" s="10">
        <v>0</v>
      </c>
      <c r="J518" s="10">
        <v>0</v>
      </c>
      <c r="L518" t="s">
        <v>34</v>
      </c>
      <c r="M518" t="s">
        <v>204</v>
      </c>
      <c r="N518" t="s">
        <v>1296</v>
      </c>
      <c r="O518" s="2">
        <v>41913</v>
      </c>
      <c r="P518" s="2">
        <v>42277</v>
      </c>
      <c r="Q518">
        <v>0</v>
      </c>
      <c r="R518" t="s">
        <v>1297</v>
      </c>
    </row>
    <row r="519" spans="1:18" x14ac:dyDescent="0.25">
      <c r="A519" t="s">
        <v>5368</v>
      </c>
      <c r="B519" t="s">
        <v>114</v>
      </c>
      <c r="C519" t="s">
        <v>20</v>
      </c>
      <c r="D519" t="s">
        <v>51</v>
      </c>
      <c r="E519" t="s">
        <v>208</v>
      </c>
      <c r="F519" t="s">
        <v>53</v>
      </c>
      <c r="G519" t="s">
        <v>1290</v>
      </c>
      <c r="H519" s="10">
        <v>925650</v>
      </c>
      <c r="I519" s="10">
        <v>0</v>
      </c>
      <c r="J519" s="10">
        <v>0</v>
      </c>
      <c r="L519" t="s">
        <v>42</v>
      </c>
      <c r="M519" t="s">
        <v>204</v>
      </c>
      <c r="N519" t="s">
        <v>1291</v>
      </c>
      <c r="O519" s="2">
        <v>45383</v>
      </c>
      <c r="P519" s="2">
        <v>47208</v>
      </c>
      <c r="Q519">
        <v>0</v>
      </c>
      <c r="R519" t="s">
        <v>1292</v>
      </c>
    </row>
    <row r="520" spans="1:18" x14ac:dyDescent="0.25">
      <c r="A520" t="s">
        <v>5369</v>
      </c>
      <c r="B520" t="s">
        <v>672</v>
      </c>
      <c r="C520" t="s">
        <v>50</v>
      </c>
      <c r="D520" t="s">
        <v>51</v>
      </c>
      <c r="E520" t="s">
        <v>259</v>
      </c>
      <c r="F520" t="s">
        <v>53</v>
      </c>
      <c r="G520" t="s">
        <v>1298</v>
      </c>
      <c r="H520" s="10">
        <v>378676</v>
      </c>
      <c r="I520" s="10">
        <v>0</v>
      </c>
      <c r="J520" s="10">
        <v>0</v>
      </c>
      <c r="L520" t="s">
        <v>42</v>
      </c>
      <c r="M520" t="s">
        <v>204</v>
      </c>
      <c r="N520" t="s">
        <v>1299</v>
      </c>
      <c r="O520" s="2">
        <v>44105</v>
      </c>
      <c r="P520" s="2">
        <v>45930</v>
      </c>
      <c r="Q520">
        <v>0</v>
      </c>
      <c r="R520" t="s">
        <v>1300</v>
      </c>
    </row>
    <row r="521" spans="1:18" x14ac:dyDescent="0.25">
      <c r="A521" t="s">
        <v>5370</v>
      </c>
      <c r="B521" t="s">
        <v>49</v>
      </c>
      <c r="C521" t="s">
        <v>50</v>
      </c>
      <c r="D521" t="s">
        <v>51</v>
      </c>
      <c r="E521" t="s">
        <v>122</v>
      </c>
      <c r="F521" t="s">
        <v>109</v>
      </c>
      <c r="G521" t="s">
        <v>1301</v>
      </c>
      <c r="H521" s="10">
        <v>822376</v>
      </c>
      <c r="I521" s="10">
        <v>0</v>
      </c>
      <c r="J521" s="10">
        <v>0</v>
      </c>
      <c r="L521" t="s">
        <v>55</v>
      </c>
      <c r="M521" t="s">
        <v>26</v>
      </c>
      <c r="N521" t="s">
        <v>1302</v>
      </c>
      <c r="O521" s="2">
        <v>43739</v>
      </c>
      <c r="P521" s="2">
        <v>44834</v>
      </c>
      <c r="Q521">
        <v>0</v>
      </c>
      <c r="R521" t="s">
        <v>1303</v>
      </c>
    </row>
    <row r="522" spans="1:18" x14ac:dyDescent="0.25">
      <c r="A522" t="s">
        <v>1304</v>
      </c>
      <c r="B522" t="s">
        <v>474</v>
      </c>
      <c r="C522" t="s">
        <v>20</v>
      </c>
      <c r="D522" t="s">
        <v>51</v>
      </c>
      <c r="E522" t="s">
        <v>122</v>
      </c>
      <c r="F522" t="s">
        <v>47</v>
      </c>
      <c r="G522" t="s">
        <v>1305</v>
      </c>
      <c r="H522" s="10">
        <v>948600</v>
      </c>
      <c r="I522" s="10">
        <v>0</v>
      </c>
      <c r="J522" s="10">
        <v>0</v>
      </c>
      <c r="L522" t="s">
        <v>42</v>
      </c>
      <c r="M522" t="s">
        <v>26</v>
      </c>
      <c r="N522" t="s">
        <v>1306</v>
      </c>
      <c r="O522" s="2">
        <v>43739</v>
      </c>
      <c r="P522" s="2">
        <v>45565</v>
      </c>
      <c r="Q522">
        <v>0</v>
      </c>
      <c r="R522" t="s">
        <v>1307</v>
      </c>
    </row>
    <row r="523" spans="1:18" x14ac:dyDescent="0.25">
      <c r="A523" t="s">
        <v>5371</v>
      </c>
      <c r="B523" t="s">
        <v>49</v>
      </c>
      <c r="C523" t="s">
        <v>50</v>
      </c>
      <c r="D523" t="s">
        <v>51</v>
      </c>
      <c r="E523" t="s">
        <v>259</v>
      </c>
      <c r="F523" t="s">
        <v>128</v>
      </c>
      <c r="G523" t="s">
        <v>1308</v>
      </c>
      <c r="H523" s="10">
        <v>413100</v>
      </c>
      <c r="I523" s="10">
        <v>0</v>
      </c>
      <c r="J523" s="10">
        <v>0</v>
      </c>
      <c r="L523" t="s">
        <v>55</v>
      </c>
      <c r="M523" t="s">
        <v>26</v>
      </c>
      <c r="N523" t="s">
        <v>304</v>
      </c>
      <c r="O523" s="2">
        <v>44105</v>
      </c>
      <c r="P523" s="2">
        <v>45199</v>
      </c>
      <c r="Q523">
        <v>0</v>
      </c>
      <c r="R523" t="s">
        <v>1309</v>
      </c>
    </row>
    <row r="524" spans="1:18" x14ac:dyDescent="0.25">
      <c r="A524" t="s">
        <v>5084</v>
      </c>
      <c r="B524" t="s">
        <v>4492</v>
      </c>
      <c r="C524" t="s">
        <v>38</v>
      </c>
      <c r="D524" t="s">
        <v>21</v>
      </c>
      <c r="E524" t="s">
        <v>287</v>
      </c>
      <c r="F524" t="s">
        <v>23</v>
      </c>
      <c r="G524" t="s">
        <v>1310</v>
      </c>
      <c r="H524" s="10">
        <v>452248</v>
      </c>
      <c r="I524" s="10">
        <v>0</v>
      </c>
      <c r="J524" s="10">
        <v>0</v>
      </c>
      <c r="L524" t="s">
        <v>25</v>
      </c>
      <c r="M524" t="s">
        <v>26</v>
      </c>
      <c r="N524" t="s">
        <v>1311</v>
      </c>
      <c r="O524" s="2">
        <v>40634</v>
      </c>
      <c r="P524" s="2">
        <v>42094</v>
      </c>
      <c r="Q524">
        <v>0</v>
      </c>
      <c r="R524" t="s">
        <v>1312</v>
      </c>
    </row>
    <row r="525" spans="1:18" x14ac:dyDescent="0.25">
      <c r="A525" t="s">
        <v>1313</v>
      </c>
      <c r="B525" t="s">
        <v>162</v>
      </c>
      <c r="C525" t="s">
        <v>149</v>
      </c>
      <c r="D525" t="s">
        <v>21</v>
      </c>
      <c r="E525" t="s">
        <v>108</v>
      </c>
      <c r="F525" t="s">
        <v>47</v>
      </c>
      <c r="G525" t="s">
        <v>1315</v>
      </c>
      <c r="H525" s="10">
        <v>723341</v>
      </c>
      <c r="I525" s="10">
        <v>0</v>
      </c>
      <c r="J525" s="10">
        <v>100000</v>
      </c>
      <c r="K525" t="s">
        <v>153</v>
      </c>
      <c r="L525" t="s">
        <v>42</v>
      </c>
      <c r="M525" t="s">
        <v>26</v>
      </c>
      <c r="N525" t="s">
        <v>1316</v>
      </c>
      <c r="O525" s="2">
        <v>41548</v>
      </c>
      <c r="P525" s="2">
        <v>43373</v>
      </c>
      <c r="Q525">
        <v>0</v>
      </c>
      <c r="R525" t="s">
        <v>1317</v>
      </c>
    </row>
    <row r="526" spans="1:18" x14ac:dyDescent="0.25">
      <c r="A526" t="s">
        <v>1313</v>
      </c>
      <c r="B526" t="s">
        <v>162</v>
      </c>
      <c r="C526" t="s">
        <v>149</v>
      </c>
      <c r="D526" t="s">
        <v>150</v>
      </c>
      <c r="E526" t="s">
        <v>1314</v>
      </c>
      <c r="F526" t="s">
        <v>47</v>
      </c>
      <c r="G526" t="s">
        <v>1315</v>
      </c>
      <c r="H526" s="10">
        <v>0</v>
      </c>
      <c r="I526" s="10">
        <v>0</v>
      </c>
      <c r="J526" s="10">
        <v>100000</v>
      </c>
      <c r="K526" t="s">
        <v>153</v>
      </c>
      <c r="L526" t="s">
        <v>34</v>
      </c>
      <c r="M526" t="s">
        <v>26</v>
      </c>
      <c r="N526" t="s">
        <v>1316</v>
      </c>
      <c r="O526" s="2">
        <v>41183</v>
      </c>
      <c r="P526" s="2">
        <v>41547</v>
      </c>
      <c r="Q526">
        <v>0</v>
      </c>
      <c r="R526" t="s">
        <v>1317</v>
      </c>
    </row>
    <row r="527" spans="1:18" x14ac:dyDescent="0.25">
      <c r="A527" t="s">
        <v>4714</v>
      </c>
      <c r="B527" t="s">
        <v>302</v>
      </c>
      <c r="C527" t="s">
        <v>20</v>
      </c>
      <c r="D527" t="s">
        <v>4557</v>
      </c>
      <c r="E527" t="s">
        <v>4597</v>
      </c>
      <c r="F527" t="s">
        <v>4559</v>
      </c>
      <c r="G527" t="s">
        <v>4715</v>
      </c>
      <c r="H527" s="10">
        <v>261805</v>
      </c>
      <c r="I527" s="10">
        <v>0</v>
      </c>
      <c r="J527" s="10">
        <v>0</v>
      </c>
      <c r="L527" t="s">
        <v>55</v>
      </c>
      <c r="M527" t="s">
        <v>103</v>
      </c>
      <c r="N527" t="s">
        <v>5573</v>
      </c>
      <c r="O527" s="2">
        <v>42095</v>
      </c>
      <c r="P527" s="2">
        <v>43190</v>
      </c>
      <c r="Q527">
        <v>0</v>
      </c>
      <c r="R527" t="s">
        <v>5572</v>
      </c>
    </row>
    <row r="528" spans="1:18" x14ac:dyDescent="0.25">
      <c r="A528" t="s">
        <v>4716</v>
      </c>
      <c r="B528" t="s">
        <v>302</v>
      </c>
      <c r="C528" t="s">
        <v>20</v>
      </c>
      <c r="D528" t="s">
        <v>4557</v>
      </c>
      <c r="E528" t="s">
        <v>4562</v>
      </c>
      <c r="F528" t="s">
        <v>4559</v>
      </c>
      <c r="G528" t="s">
        <v>4717</v>
      </c>
      <c r="H528" s="10">
        <v>480060</v>
      </c>
      <c r="I528" s="10">
        <v>13960</v>
      </c>
      <c r="J528" s="10">
        <v>0</v>
      </c>
      <c r="L528" t="s">
        <v>55</v>
      </c>
      <c r="M528" t="s">
        <v>103</v>
      </c>
      <c r="N528" t="s">
        <v>5573</v>
      </c>
      <c r="O528" s="2">
        <v>43922</v>
      </c>
      <c r="P528" s="2">
        <v>45016</v>
      </c>
      <c r="Q528">
        <v>0</v>
      </c>
      <c r="R528" t="s">
        <v>5587</v>
      </c>
    </row>
    <row r="529" spans="1:18" x14ac:dyDescent="0.25">
      <c r="A529" t="s">
        <v>1318</v>
      </c>
      <c r="B529" t="s">
        <v>4464</v>
      </c>
      <c r="C529" t="s">
        <v>20</v>
      </c>
      <c r="D529" t="s">
        <v>51</v>
      </c>
      <c r="E529" t="s">
        <v>406</v>
      </c>
      <c r="F529" t="s">
        <v>109</v>
      </c>
      <c r="G529" t="s">
        <v>1319</v>
      </c>
      <c r="H529" s="10">
        <v>776475</v>
      </c>
      <c r="I529" s="10">
        <v>0</v>
      </c>
      <c r="J529" s="10">
        <v>0</v>
      </c>
      <c r="L529" t="s">
        <v>42</v>
      </c>
      <c r="M529" t="s">
        <v>26</v>
      </c>
      <c r="N529" t="s">
        <v>788</v>
      </c>
      <c r="O529" s="2">
        <v>43191</v>
      </c>
      <c r="P529" s="2">
        <v>45016</v>
      </c>
      <c r="Q529">
        <v>0</v>
      </c>
      <c r="R529" t="s">
        <v>1320</v>
      </c>
    </row>
    <row r="530" spans="1:18" x14ac:dyDescent="0.25">
      <c r="A530" t="s">
        <v>1318</v>
      </c>
      <c r="B530" t="s">
        <v>4464</v>
      </c>
      <c r="C530" t="s">
        <v>20</v>
      </c>
      <c r="D530" t="s">
        <v>51</v>
      </c>
      <c r="E530" t="s">
        <v>122</v>
      </c>
      <c r="F530" t="s">
        <v>109</v>
      </c>
      <c r="G530" t="s">
        <v>1321</v>
      </c>
      <c r="H530" s="10">
        <v>374851</v>
      </c>
      <c r="I530" s="10">
        <v>0</v>
      </c>
      <c r="J530" s="10">
        <v>0</v>
      </c>
      <c r="L530" t="s">
        <v>25</v>
      </c>
      <c r="M530" t="s">
        <v>103</v>
      </c>
      <c r="N530" t="s">
        <v>1322</v>
      </c>
      <c r="O530" s="2">
        <v>43739</v>
      </c>
      <c r="P530" s="2">
        <v>45199</v>
      </c>
      <c r="Q530">
        <v>1</v>
      </c>
      <c r="R530" t="s">
        <v>1323</v>
      </c>
    </row>
    <row r="531" spans="1:18" x14ac:dyDescent="0.25">
      <c r="A531" t="s">
        <v>1324</v>
      </c>
      <c r="B531" t="s">
        <v>148</v>
      </c>
      <c r="C531" t="s">
        <v>149</v>
      </c>
      <c r="D531" t="s">
        <v>21</v>
      </c>
      <c r="E531" t="s">
        <v>74</v>
      </c>
      <c r="F531" t="s">
        <v>32</v>
      </c>
      <c r="G531" t="s">
        <v>1325</v>
      </c>
      <c r="H531" s="10">
        <v>758975</v>
      </c>
      <c r="I531" s="10">
        <v>0</v>
      </c>
      <c r="J531" s="10">
        <v>0</v>
      </c>
      <c r="L531" t="s">
        <v>42</v>
      </c>
      <c r="M531" t="s">
        <v>26</v>
      </c>
      <c r="N531" t="s">
        <v>1326</v>
      </c>
      <c r="O531" s="2">
        <v>41000</v>
      </c>
      <c r="P531" s="2">
        <v>42825</v>
      </c>
      <c r="Q531">
        <v>0</v>
      </c>
      <c r="R531" t="s">
        <v>1327</v>
      </c>
    </row>
    <row r="532" spans="1:18" x14ac:dyDescent="0.25">
      <c r="A532" t="s">
        <v>1324</v>
      </c>
      <c r="B532" t="s">
        <v>148</v>
      </c>
      <c r="C532" t="s">
        <v>149</v>
      </c>
      <c r="D532" t="s">
        <v>51</v>
      </c>
      <c r="E532" t="s">
        <v>259</v>
      </c>
      <c r="F532" t="s">
        <v>32</v>
      </c>
      <c r="G532" t="s">
        <v>1328</v>
      </c>
      <c r="H532" s="10">
        <v>940950</v>
      </c>
      <c r="I532" s="10">
        <v>0</v>
      </c>
      <c r="J532" s="10">
        <v>0</v>
      </c>
      <c r="L532" t="s">
        <v>42</v>
      </c>
      <c r="M532" t="s">
        <v>26</v>
      </c>
      <c r="N532" t="s">
        <v>1329</v>
      </c>
      <c r="O532" s="2">
        <v>44105</v>
      </c>
      <c r="P532" s="2">
        <v>45930</v>
      </c>
      <c r="Q532">
        <v>0</v>
      </c>
      <c r="R532" t="s">
        <v>1330</v>
      </c>
    </row>
    <row r="533" spans="1:18" x14ac:dyDescent="0.25">
      <c r="A533" t="s">
        <v>1331</v>
      </c>
      <c r="B533" t="s">
        <v>19</v>
      </c>
      <c r="C533" t="s">
        <v>20</v>
      </c>
      <c r="D533" t="s">
        <v>21</v>
      </c>
      <c r="E533" t="s">
        <v>172</v>
      </c>
      <c r="F533" t="s">
        <v>23</v>
      </c>
      <c r="G533" t="s">
        <v>1332</v>
      </c>
      <c r="H533" s="10">
        <v>599397</v>
      </c>
      <c r="I533" s="10">
        <v>0</v>
      </c>
      <c r="J533" s="10">
        <v>0</v>
      </c>
      <c r="L533" t="s">
        <v>42</v>
      </c>
      <c r="M533" t="s">
        <v>26</v>
      </c>
      <c r="N533" t="s">
        <v>1333</v>
      </c>
      <c r="O533" s="2">
        <v>40452</v>
      </c>
      <c r="P533" s="2">
        <v>42277</v>
      </c>
      <c r="Q533">
        <v>1</v>
      </c>
      <c r="R533" t="s">
        <v>1334</v>
      </c>
    </row>
    <row r="534" spans="1:18" x14ac:dyDescent="0.25">
      <c r="A534" t="s">
        <v>1335</v>
      </c>
      <c r="B534" t="s">
        <v>1336</v>
      </c>
      <c r="C534" t="s">
        <v>50</v>
      </c>
      <c r="D534" t="s">
        <v>1337</v>
      </c>
      <c r="E534" t="s">
        <v>1338</v>
      </c>
      <c r="F534" t="s">
        <v>47</v>
      </c>
      <c r="G534" t="s">
        <v>1339</v>
      </c>
      <c r="H534" s="10">
        <v>0</v>
      </c>
      <c r="I534" s="10">
        <v>0</v>
      </c>
      <c r="J534" s="10">
        <v>750000</v>
      </c>
      <c r="K534" t="s">
        <v>1340</v>
      </c>
      <c r="L534" t="s">
        <v>42</v>
      </c>
      <c r="M534" t="s">
        <v>26</v>
      </c>
      <c r="N534" t="s">
        <v>1073</v>
      </c>
      <c r="O534" s="2">
        <v>41365</v>
      </c>
      <c r="P534" s="2">
        <v>43190</v>
      </c>
      <c r="Q534">
        <v>0</v>
      </c>
      <c r="R534" t="s">
        <v>1341</v>
      </c>
    </row>
    <row r="535" spans="1:18" x14ac:dyDescent="0.25">
      <c r="A535" t="s">
        <v>1335</v>
      </c>
      <c r="B535" t="s">
        <v>1336</v>
      </c>
      <c r="C535" t="s">
        <v>50</v>
      </c>
      <c r="D535" t="s">
        <v>51</v>
      </c>
      <c r="E535" t="s">
        <v>223</v>
      </c>
      <c r="F535" t="s">
        <v>47</v>
      </c>
      <c r="G535" t="s">
        <v>1344</v>
      </c>
      <c r="H535" s="10">
        <v>994500</v>
      </c>
      <c r="I535" s="10">
        <v>0</v>
      </c>
      <c r="J535" s="10">
        <v>0</v>
      </c>
      <c r="L535" t="s">
        <v>42</v>
      </c>
      <c r="M535" t="s">
        <v>26</v>
      </c>
      <c r="N535" t="s">
        <v>135</v>
      </c>
      <c r="O535" s="2">
        <v>45352</v>
      </c>
      <c r="P535" s="2">
        <v>45716</v>
      </c>
      <c r="Q535">
        <v>0</v>
      </c>
      <c r="R535" t="s">
        <v>1345</v>
      </c>
    </row>
    <row r="536" spans="1:18" x14ac:dyDescent="0.25">
      <c r="A536" t="s">
        <v>1335</v>
      </c>
      <c r="B536" t="s">
        <v>1336</v>
      </c>
      <c r="C536" t="s">
        <v>50</v>
      </c>
      <c r="D536" t="s">
        <v>1342</v>
      </c>
      <c r="E536" t="s">
        <v>1343</v>
      </c>
      <c r="F536" t="s">
        <v>23</v>
      </c>
      <c r="G536" t="s">
        <v>1344</v>
      </c>
      <c r="H536" s="10">
        <v>100000</v>
      </c>
      <c r="I536" s="10">
        <v>0</v>
      </c>
      <c r="J536" s="10">
        <v>0</v>
      </c>
      <c r="L536" t="s">
        <v>34</v>
      </c>
      <c r="M536" t="s">
        <v>26</v>
      </c>
      <c r="N536" t="s">
        <v>135</v>
      </c>
      <c r="O536" s="2">
        <v>45352</v>
      </c>
      <c r="P536" s="2">
        <v>45716</v>
      </c>
      <c r="Q536">
        <v>0</v>
      </c>
      <c r="R536" t="s">
        <v>1345</v>
      </c>
    </row>
    <row r="537" spans="1:18" x14ac:dyDescent="0.25">
      <c r="A537" t="s">
        <v>1346</v>
      </c>
      <c r="B537" t="s">
        <v>107</v>
      </c>
      <c r="C537" t="s">
        <v>38</v>
      </c>
      <c r="D537" t="s">
        <v>21</v>
      </c>
      <c r="E537" t="s">
        <v>108</v>
      </c>
      <c r="F537" t="s">
        <v>109</v>
      </c>
      <c r="G537" t="s">
        <v>1347</v>
      </c>
      <c r="H537" s="10">
        <v>808834</v>
      </c>
      <c r="I537" s="10">
        <v>0</v>
      </c>
      <c r="J537" s="10">
        <v>0</v>
      </c>
      <c r="L537" t="s">
        <v>42</v>
      </c>
      <c r="M537" t="s">
        <v>111</v>
      </c>
      <c r="N537" t="s">
        <v>1348</v>
      </c>
      <c r="O537" s="2">
        <v>41548</v>
      </c>
      <c r="P537" s="2">
        <v>42185</v>
      </c>
      <c r="Q537">
        <v>0</v>
      </c>
      <c r="R537" t="s">
        <v>1349</v>
      </c>
    </row>
    <row r="538" spans="1:18" x14ac:dyDescent="0.25">
      <c r="A538" t="s">
        <v>1350</v>
      </c>
      <c r="B538" t="s">
        <v>721</v>
      </c>
      <c r="C538" t="s">
        <v>20</v>
      </c>
      <c r="D538" t="s">
        <v>21</v>
      </c>
      <c r="E538" t="s">
        <v>255</v>
      </c>
      <c r="F538" t="s">
        <v>47</v>
      </c>
      <c r="G538" t="s">
        <v>1354</v>
      </c>
      <c r="H538" s="11">
        <v>529669</v>
      </c>
      <c r="I538" s="11">
        <v>0</v>
      </c>
      <c r="J538" s="11">
        <v>0</v>
      </c>
      <c r="L538" t="s">
        <v>55</v>
      </c>
      <c r="M538" t="s">
        <v>26</v>
      </c>
      <c r="N538" t="s">
        <v>1355</v>
      </c>
      <c r="O538" s="2">
        <v>39904</v>
      </c>
      <c r="P538" s="2">
        <v>40999</v>
      </c>
      <c r="Q538">
        <v>0</v>
      </c>
      <c r="R538" t="s">
        <v>1356</v>
      </c>
    </row>
    <row r="539" spans="1:18" x14ac:dyDescent="0.25">
      <c r="A539" t="s">
        <v>1350</v>
      </c>
      <c r="B539" t="s">
        <v>721</v>
      </c>
      <c r="C539" t="s">
        <v>20</v>
      </c>
      <c r="D539" t="s">
        <v>21</v>
      </c>
      <c r="E539" t="s">
        <v>74</v>
      </c>
      <c r="F539" t="s">
        <v>47</v>
      </c>
      <c r="G539" t="s">
        <v>1351</v>
      </c>
      <c r="H539" s="10">
        <v>443733</v>
      </c>
      <c r="I539" s="10">
        <v>0</v>
      </c>
      <c r="J539" s="10">
        <v>0</v>
      </c>
      <c r="L539" t="s">
        <v>55</v>
      </c>
      <c r="M539" t="s">
        <v>26</v>
      </c>
      <c r="N539" t="s">
        <v>1352</v>
      </c>
      <c r="O539" s="2">
        <v>41000</v>
      </c>
      <c r="P539" s="2">
        <v>42094</v>
      </c>
      <c r="Q539">
        <v>0</v>
      </c>
      <c r="R539" t="s">
        <v>1353</v>
      </c>
    </row>
    <row r="540" spans="1:18" x14ac:dyDescent="0.25">
      <c r="A540" t="s">
        <v>5372</v>
      </c>
      <c r="B540" t="s">
        <v>721</v>
      </c>
      <c r="C540" t="s">
        <v>20</v>
      </c>
      <c r="D540" t="s">
        <v>51</v>
      </c>
      <c r="E540" t="s">
        <v>259</v>
      </c>
      <c r="F540" t="s">
        <v>32</v>
      </c>
      <c r="G540" t="s">
        <v>1357</v>
      </c>
      <c r="H540" s="10">
        <v>1086300</v>
      </c>
      <c r="I540" s="10">
        <v>0</v>
      </c>
      <c r="J540" s="10">
        <v>0</v>
      </c>
      <c r="L540" t="s">
        <v>42</v>
      </c>
      <c r="M540" t="s">
        <v>26</v>
      </c>
      <c r="N540" t="s">
        <v>1358</v>
      </c>
      <c r="O540" s="2">
        <v>44105</v>
      </c>
      <c r="P540" s="2">
        <v>45930</v>
      </c>
      <c r="Q540">
        <v>0</v>
      </c>
      <c r="R540" t="s">
        <v>1359</v>
      </c>
    </row>
    <row r="541" spans="1:18" x14ac:dyDescent="0.25">
      <c r="A541" t="s">
        <v>1360</v>
      </c>
      <c r="B541" t="s">
        <v>4464</v>
      </c>
      <c r="C541" t="s">
        <v>20</v>
      </c>
      <c r="D541" t="s">
        <v>51</v>
      </c>
      <c r="E541" t="s">
        <v>163</v>
      </c>
      <c r="F541" t="s">
        <v>109</v>
      </c>
      <c r="G541" t="s">
        <v>1364</v>
      </c>
      <c r="H541" s="10">
        <v>841500</v>
      </c>
      <c r="I541" s="10">
        <v>0</v>
      </c>
      <c r="J541" s="10">
        <v>0</v>
      </c>
      <c r="L541" t="s">
        <v>42</v>
      </c>
      <c r="M541" t="s">
        <v>111</v>
      </c>
      <c r="N541" t="s">
        <v>1365</v>
      </c>
      <c r="O541" s="2">
        <v>43556</v>
      </c>
      <c r="P541" s="2">
        <v>45382</v>
      </c>
      <c r="Q541">
        <v>0</v>
      </c>
      <c r="R541" t="s">
        <v>1366</v>
      </c>
    </row>
    <row r="542" spans="1:18" x14ac:dyDescent="0.25">
      <c r="A542" t="s">
        <v>5373</v>
      </c>
      <c r="B542" t="s">
        <v>4464</v>
      </c>
      <c r="C542" t="s">
        <v>20</v>
      </c>
      <c r="D542" t="s">
        <v>51</v>
      </c>
      <c r="E542" t="s">
        <v>167</v>
      </c>
      <c r="F542" t="s">
        <v>109</v>
      </c>
      <c r="G542" t="s">
        <v>1361</v>
      </c>
      <c r="H542" s="10">
        <v>1328230</v>
      </c>
      <c r="I542" s="10">
        <v>0</v>
      </c>
      <c r="J542" s="10">
        <v>0</v>
      </c>
      <c r="L542" t="s">
        <v>42</v>
      </c>
      <c r="M542" t="s">
        <v>111</v>
      </c>
      <c r="N542" t="s">
        <v>1362</v>
      </c>
      <c r="O542" s="2">
        <v>45017</v>
      </c>
      <c r="P542" s="2">
        <v>46843</v>
      </c>
      <c r="Q542">
        <v>0</v>
      </c>
      <c r="R542" t="s">
        <v>1363</v>
      </c>
    </row>
    <row r="543" spans="1:18" x14ac:dyDescent="0.25">
      <c r="A543" t="s">
        <v>1367</v>
      </c>
      <c r="B543" t="s">
        <v>4493</v>
      </c>
      <c r="C543" t="s">
        <v>38</v>
      </c>
      <c r="D543" t="s">
        <v>21</v>
      </c>
      <c r="E543" t="s">
        <v>323</v>
      </c>
      <c r="F543" t="s">
        <v>32</v>
      </c>
      <c r="G543" t="s">
        <v>1368</v>
      </c>
      <c r="H543" s="10">
        <v>346936</v>
      </c>
      <c r="I543" s="10">
        <v>0</v>
      </c>
      <c r="J543" s="10">
        <v>0</v>
      </c>
      <c r="L543" t="s">
        <v>55</v>
      </c>
      <c r="M543" t="s">
        <v>26</v>
      </c>
      <c r="N543" t="s">
        <v>1369</v>
      </c>
      <c r="O543" s="2">
        <v>40269</v>
      </c>
      <c r="P543" s="2">
        <v>41364</v>
      </c>
      <c r="Q543">
        <v>0</v>
      </c>
      <c r="R543" t="s">
        <v>1370</v>
      </c>
    </row>
    <row r="544" spans="1:18" x14ac:dyDescent="0.25">
      <c r="A544" t="s">
        <v>1371</v>
      </c>
      <c r="B544" t="s">
        <v>1372</v>
      </c>
      <c r="C544" t="s">
        <v>1373</v>
      </c>
      <c r="D544" t="s">
        <v>1377</v>
      </c>
      <c r="E544" t="s">
        <v>1378</v>
      </c>
      <c r="F544" t="s">
        <v>1379</v>
      </c>
      <c r="G544" t="s">
        <v>1380</v>
      </c>
      <c r="H544" s="10">
        <v>100000</v>
      </c>
      <c r="I544" s="10">
        <v>0</v>
      </c>
      <c r="J544" s="10">
        <v>0</v>
      </c>
      <c r="L544" t="s">
        <v>34</v>
      </c>
      <c r="M544" t="s">
        <v>94</v>
      </c>
      <c r="N544" t="s">
        <v>329</v>
      </c>
      <c r="O544" s="2">
        <v>39873</v>
      </c>
      <c r="P544" s="2">
        <v>40237</v>
      </c>
      <c r="Q544">
        <v>0</v>
      </c>
      <c r="R544" t="s">
        <v>1381</v>
      </c>
    </row>
    <row r="545" spans="1:18" x14ac:dyDescent="0.25">
      <c r="A545" t="s">
        <v>1371</v>
      </c>
      <c r="B545" t="s">
        <v>1372</v>
      </c>
      <c r="C545" t="s">
        <v>1373</v>
      </c>
      <c r="D545" t="s">
        <v>90</v>
      </c>
      <c r="E545" t="s">
        <v>91</v>
      </c>
      <c r="F545" t="s">
        <v>92</v>
      </c>
      <c r="G545" t="s">
        <v>1374</v>
      </c>
      <c r="H545" s="10">
        <v>0</v>
      </c>
      <c r="I545" s="10">
        <v>0</v>
      </c>
      <c r="J545" s="10">
        <v>497175</v>
      </c>
      <c r="K545" t="s">
        <v>953</v>
      </c>
      <c r="L545" t="s">
        <v>34</v>
      </c>
      <c r="M545" t="s">
        <v>94</v>
      </c>
      <c r="N545" t="s">
        <v>1375</v>
      </c>
      <c r="O545" s="2">
        <v>44075</v>
      </c>
      <c r="P545" s="2">
        <v>44439</v>
      </c>
      <c r="Q545">
        <v>0</v>
      </c>
      <c r="R545" t="s">
        <v>1376</v>
      </c>
    </row>
    <row r="546" spans="1:18" x14ac:dyDescent="0.25">
      <c r="A546" t="s">
        <v>5203</v>
      </c>
      <c r="B546" t="s">
        <v>49</v>
      </c>
      <c r="C546" t="s">
        <v>50</v>
      </c>
      <c r="D546" t="s">
        <v>5165</v>
      </c>
      <c r="E546" t="s">
        <v>5188</v>
      </c>
      <c r="F546" t="s">
        <v>4554</v>
      </c>
      <c r="G546" t="s">
        <v>5204</v>
      </c>
      <c r="H546" s="10">
        <v>471851</v>
      </c>
      <c r="I546" s="10">
        <v>0</v>
      </c>
      <c r="J546" s="10">
        <v>0</v>
      </c>
      <c r="L546" t="s">
        <v>55</v>
      </c>
      <c r="M546" t="s">
        <v>204</v>
      </c>
      <c r="N546" t="s">
        <v>5929</v>
      </c>
      <c r="O546" s="2">
        <v>41183</v>
      </c>
      <c r="P546" s="2">
        <v>42277</v>
      </c>
      <c r="Q546">
        <v>9</v>
      </c>
      <c r="R546" t="s">
        <v>5928</v>
      </c>
    </row>
    <row r="547" spans="1:18" x14ac:dyDescent="0.25">
      <c r="A547" t="s">
        <v>1382</v>
      </c>
      <c r="B547" t="s">
        <v>721</v>
      </c>
      <c r="C547" t="s">
        <v>20</v>
      </c>
      <c r="D547" t="s">
        <v>21</v>
      </c>
      <c r="E547" t="s">
        <v>172</v>
      </c>
      <c r="F547" t="s">
        <v>32</v>
      </c>
      <c r="G547" t="s">
        <v>1386</v>
      </c>
      <c r="H547" s="10">
        <v>734701</v>
      </c>
      <c r="I547" s="10">
        <v>0</v>
      </c>
      <c r="J547" s="10">
        <v>0</v>
      </c>
      <c r="L547" t="s">
        <v>42</v>
      </c>
      <c r="M547" t="s">
        <v>26</v>
      </c>
      <c r="N547" t="s">
        <v>1387</v>
      </c>
      <c r="O547" s="2">
        <v>40452</v>
      </c>
      <c r="P547" s="2">
        <v>42277</v>
      </c>
      <c r="Q547">
        <v>0</v>
      </c>
      <c r="R547" t="s">
        <v>1388</v>
      </c>
    </row>
    <row r="548" spans="1:18" x14ac:dyDescent="0.25">
      <c r="A548" t="s">
        <v>1382</v>
      </c>
      <c r="B548" t="s">
        <v>721</v>
      </c>
      <c r="C548" t="s">
        <v>20</v>
      </c>
      <c r="D548" t="s">
        <v>51</v>
      </c>
      <c r="E548" t="s">
        <v>1383</v>
      </c>
      <c r="F548" t="s">
        <v>23</v>
      </c>
      <c r="G548" t="s">
        <v>1384</v>
      </c>
      <c r="H548" s="10">
        <v>100000</v>
      </c>
      <c r="I548" s="10">
        <v>0</v>
      </c>
      <c r="J548" s="10">
        <v>0</v>
      </c>
      <c r="L548" t="s">
        <v>34</v>
      </c>
      <c r="M548" t="s">
        <v>26</v>
      </c>
      <c r="N548" t="s">
        <v>72</v>
      </c>
      <c r="O548" s="2">
        <v>43374</v>
      </c>
      <c r="P548" s="2">
        <v>43738</v>
      </c>
      <c r="Q548">
        <v>0</v>
      </c>
      <c r="R548" t="s">
        <v>1385</v>
      </c>
    </row>
    <row r="549" spans="1:18" x14ac:dyDescent="0.25">
      <c r="A549" t="s">
        <v>1382</v>
      </c>
      <c r="B549" t="s">
        <v>721</v>
      </c>
      <c r="C549" t="s">
        <v>20</v>
      </c>
      <c r="D549" t="s">
        <v>51</v>
      </c>
      <c r="E549" t="s">
        <v>122</v>
      </c>
      <c r="F549" t="s">
        <v>23</v>
      </c>
      <c r="G549" t="s">
        <v>1389</v>
      </c>
      <c r="H549" s="10">
        <v>918000</v>
      </c>
      <c r="I549" s="10">
        <v>0</v>
      </c>
      <c r="J549" s="10">
        <v>0</v>
      </c>
      <c r="L549" t="s">
        <v>42</v>
      </c>
      <c r="M549" t="s">
        <v>26</v>
      </c>
      <c r="N549" t="s">
        <v>729</v>
      </c>
      <c r="O549" s="2">
        <v>43739</v>
      </c>
      <c r="P549" s="2">
        <v>45565</v>
      </c>
      <c r="Q549">
        <v>0</v>
      </c>
      <c r="R549" t="s">
        <v>1390</v>
      </c>
    </row>
    <row r="550" spans="1:18" x14ac:dyDescent="0.25">
      <c r="A550" t="s">
        <v>1391</v>
      </c>
      <c r="B550" t="s">
        <v>157</v>
      </c>
      <c r="C550" t="s">
        <v>38</v>
      </c>
      <c r="D550" t="s">
        <v>51</v>
      </c>
      <c r="E550" t="s">
        <v>406</v>
      </c>
      <c r="F550" t="s">
        <v>128</v>
      </c>
      <c r="G550" t="s">
        <v>1392</v>
      </c>
      <c r="H550" s="10">
        <v>650250</v>
      </c>
      <c r="I550" s="10">
        <v>0</v>
      </c>
      <c r="J550" s="10">
        <v>0</v>
      </c>
      <c r="L550" t="s">
        <v>42</v>
      </c>
      <c r="M550" t="s">
        <v>26</v>
      </c>
      <c r="N550" t="s">
        <v>1393</v>
      </c>
      <c r="O550" s="2">
        <v>43191</v>
      </c>
      <c r="P550" s="2">
        <v>45016</v>
      </c>
      <c r="Q550">
        <v>0</v>
      </c>
      <c r="R550" t="s">
        <v>1394</v>
      </c>
    </row>
    <row r="551" spans="1:18" x14ac:dyDescent="0.25">
      <c r="A551" t="s">
        <v>5374</v>
      </c>
      <c r="B551" t="s">
        <v>4496</v>
      </c>
      <c r="C551" t="s">
        <v>38</v>
      </c>
      <c r="D551" t="s">
        <v>51</v>
      </c>
      <c r="E551" t="s">
        <v>406</v>
      </c>
      <c r="F551" t="s">
        <v>53</v>
      </c>
      <c r="G551" t="s">
        <v>1395</v>
      </c>
      <c r="H551" s="10">
        <v>749700</v>
      </c>
      <c r="I551" s="10">
        <v>0</v>
      </c>
      <c r="J551" s="10">
        <v>0</v>
      </c>
      <c r="L551" t="s">
        <v>42</v>
      </c>
      <c r="M551" t="s">
        <v>204</v>
      </c>
      <c r="N551" t="s">
        <v>1396</v>
      </c>
      <c r="O551" s="2">
        <v>43191</v>
      </c>
      <c r="P551" s="2">
        <v>45016</v>
      </c>
      <c r="Q551">
        <v>1</v>
      </c>
      <c r="R551" t="s">
        <v>1397</v>
      </c>
    </row>
    <row r="552" spans="1:18" x14ac:dyDescent="0.25">
      <c r="A552" t="s">
        <v>4718</v>
      </c>
      <c r="B552" t="s">
        <v>4496</v>
      </c>
      <c r="C552" t="s">
        <v>38</v>
      </c>
      <c r="D552" t="s">
        <v>4557</v>
      </c>
      <c r="E552" t="s">
        <v>4562</v>
      </c>
      <c r="F552" t="s">
        <v>4559</v>
      </c>
      <c r="G552" t="s">
        <v>4719</v>
      </c>
      <c r="H552" s="10">
        <v>306789</v>
      </c>
      <c r="I552" s="10">
        <v>14300</v>
      </c>
      <c r="J552" s="10">
        <v>0</v>
      </c>
      <c r="L552" t="s">
        <v>55</v>
      </c>
      <c r="M552" t="s">
        <v>217</v>
      </c>
      <c r="N552" t="s">
        <v>5523</v>
      </c>
      <c r="O552" s="2">
        <v>43922</v>
      </c>
      <c r="P552" s="2">
        <v>45016</v>
      </c>
      <c r="Q552">
        <v>3</v>
      </c>
      <c r="R552" t="s">
        <v>5522</v>
      </c>
    </row>
    <row r="553" spans="1:18" x14ac:dyDescent="0.25">
      <c r="A553" t="s">
        <v>1398</v>
      </c>
      <c r="B553" t="s">
        <v>4492</v>
      </c>
      <c r="C553" t="s">
        <v>38</v>
      </c>
      <c r="D553" t="s">
        <v>1401</v>
      </c>
      <c r="E553" t="s">
        <v>1402</v>
      </c>
      <c r="F553" t="s">
        <v>53</v>
      </c>
      <c r="G553" t="s">
        <v>1403</v>
      </c>
      <c r="H553" s="10">
        <v>100000</v>
      </c>
      <c r="I553" s="10">
        <v>0</v>
      </c>
      <c r="J553" s="10">
        <v>0</v>
      </c>
      <c r="L553" t="s">
        <v>34</v>
      </c>
      <c r="M553" t="s">
        <v>204</v>
      </c>
      <c r="N553" t="s">
        <v>339</v>
      </c>
      <c r="O553" s="2">
        <v>44986</v>
      </c>
      <c r="P553" s="2">
        <v>45351</v>
      </c>
      <c r="Q553">
        <v>0</v>
      </c>
      <c r="R553" t="s">
        <v>1404</v>
      </c>
    </row>
    <row r="554" spans="1:18" x14ac:dyDescent="0.25">
      <c r="A554" t="s">
        <v>1398</v>
      </c>
      <c r="B554" t="s">
        <v>4492</v>
      </c>
      <c r="C554" t="s">
        <v>38</v>
      </c>
      <c r="D554" t="s">
        <v>51</v>
      </c>
      <c r="E554" t="s">
        <v>70</v>
      </c>
      <c r="F554" t="s">
        <v>53</v>
      </c>
      <c r="G554" t="s">
        <v>1399</v>
      </c>
      <c r="H554" s="10">
        <v>1113076</v>
      </c>
      <c r="I554" s="10">
        <v>0</v>
      </c>
      <c r="J554" s="10">
        <v>0</v>
      </c>
      <c r="L554" t="s">
        <v>42</v>
      </c>
      <c r="M554" t="s">
        <v>204</v>
      </c>
      <c r="N554" t="s">
        <v>339</v>
      </c>
      <c r="O554" s="2">
        <v>45200</v>
      </c>
      <c r="P554" s="2">
        <v>47026</v>
      </c>
      <c r="Q554">
        <v>0</v>
      </c>
      <c r="R554" t="s">
        <v>1400</v>
      </c>
    </row>
    <row r="555" spans="1:18" x14ac:dyDescent="0.25">
      <c r="A555" t="s">
        <v>1405</v>
      </c>
      <c r="B555" t="s">
        <v>107</v>
      </c>
      <c r="C555" t="s">
        <v>38</v>
      </c>
      <c r="D555" t="s">
        <v>21</v>
      </c>
      <c r="E555" t="s">
        <v>572</v>
      </c>
      <c r="F555" t="s">
        <v>109</v>
      </c>
      <c r="G555" t="s">
        <v>1410</v>
      </c>
      <c r="H555" s="10">
        <v>486582</v>
      </c>
      <c r="I555" s="10">
        <v>0</v>
      </c>
      <c r="J555" s="10">
        <v>0</v>
      </c>
      <c r="L555" t="s">
        <v>25</v>
      </c>
      <c r="M555" t="s">
        <v>111</v>
      </c>
      <c r="N555" t="s">
        <v>333</v>
      </c>
      <c r="O555" s="2">
        <v>41730</v>
      </c>
      <c r="P555" s="2">
        <v>43190</v>
      </c>
      <c r="Q555">
        <v>0</v>
      </c>
      <c r="R555" t="s">
        <v>1411</v>
      </c>
    </row>
    <row r="556" spans="1:18" x14ac:dyDescent="0.25">
      <c r="A556" t="s">
        <v>1405</v>
      </c>
      <c r="B556" t="s">
        <v>1406</v>
      </c>
      <c r="C556" t="s">
        <v>38</v>
      </c>
      <c r="D556" t="s">
        <v>51</v>
      </c>
      <c r="E556" t="s">
        <v>116</v>
      </c>
      <c r="F556" t="s">
        <v>109</v>
      </c>
      <c r="G556" t="s">
        <v>1412</v>
      </c>
      <c r="H556" s="10">
        <v>742050</v>
      </c>
      <c r="I556" s="10">
        <v>0</v>
      </c>
      <c r="J556" s="10">
        <v>0</v>
      </c>
      <c r="L556" t="s">
        <v>42</v>
      </c>
      <c r="M556" t="s">
        <v>111</v>
      </c>
      <c r="N556" t="s">
        <v>1408</v>
      </c>
      <c r="O556" s="2">
        <v>43374</v>
      </c>
      <c r="P556" s="2">
        <v>45199</v>
      </c>
      <c r="Q556">
        <v>0</v>
      </c>
      <c r="R556" t="s">
        <v>1413</v>
      </c>
    </row>
    <row r="557" spans="1:18" x14ac:dyDescent="0.25">
      <c r="A557" t="s">
        <v>1405</v>
      </c>
      <c r="B557" t="s">
        <v>1406</v>
      </c>
      <c r="C557" t="s">
        <v>38</v>
      </c>
      <c r="D557" t="s">
        <v>51</v>
      </c>
      <c r="E557" t="s">
        <v>223</v>
      </c>
      <c r="F557" t="s">
        <v>109</v>
      </c>
      <c r="G557" t="s">
        <v>1407</v>
      </c>
      <c r="H557" s="10">
        <v>799426</v>
      </c>
      <c r="I557" s="10">
        <v>0</v>
      </c>
      <c r="J557" s="10">
        <v>0</v>
      </c>
      <c r="L557" t="s">
        <v>42</v>
      </c>
      <c r="M557" t="s">
        <v>111</v>
      </c>
      <c r="N557" t="s">
        <v>1408</v>
      </c>
      <c r="O557" s="2">
        <v>45566</v>
      </c>
      <c r="P557" s="2">
        <v>47391</v>
      </c>
      <c r="Q557">
        <v>0</v>
      </c>
      <c r="R557" t="s">
        <v>1409</v>
      </c>
    </row>
    <row r="558" spans="1:18" x14ac:dyDescent="0.25">
      <c r="A558" t="s">
        <v>4458</v>
      </c>
      <c r="B558" t="s">
        <v>157</v>
      </c>
      <c r="C558" t="s">
        <v>38</v>
      </c>
      <c r="D558" t="s">
        <v>4454</v>
      </c>
      <c r="E558" t="s">
        <v>4455</v>
      </c>
      <c r="F558" t="s">
        <v>4456</v>
      </c>
      <c r="G558" t="s">
        <v>4459</v>
      </c>
      <c r="H558" s="10">
        <v>99390</v>
      </c>
      <c r="I558" s="10">
        <v>0</v>
      </c>
      <c r="J558" s="10">
        <v>0</v>
      </c>
      <c r="L558" t="s">
        <v>34</v>
      </c>
      <c r="M558" t="s">
        <v>238</v>
      </c>
      <c r="N558" t="s">
        <v>5584</v>
      </c>
      <c r="O558" s="2">
        <v>41334</v>
      </c>
      <c r="P558" s="2">
        <v>41698</v>
      </c>
      <c r="Q558">
        <v>0</v>
      </c>
      <c r="R558" t="s">
        <v>5583</v>
      </c>
    </row>
    <row r="559" spans="1:18" x14ac:dyDescent="0.25">
      <c r="A559" t="s">
        <v>4720</v>
      </c>
      <c r="B559" t="s">
        <v>114</v>
      </c>
      <c r="C559" t="s">
        <v>20</v>
      </c>
      <c r="D559" t="s">
        <v>4557</v>
      </c>
      <c r="E559" t="s">
        <v>4602</v>
      </c>
      <c r="F559" t="s">
        <v>4559</v>
      </c>
      <c r="G559" t="s">
        <v>4721</v>
      </c>
      <c r="H559" s="10">
        <v>255330</v>
      </c>
      <c r="I559" s="10">
        <v>0</v>
      </c>
      <c r="J559" s="10">
        <v>0</v>
      </c>
      <c r="L559" t="s">
        <v>55</v>
      </c>
      <c r="M559" t="s">
        <v>204</v>
      </c>
      <c r="N559" t="s">
        <v>3843</v>
      </c>
      <c r="O559" s="2">
        <v>41365</v>
      </c>
      <c r="P559" s="2">
        <v>42460</v>
      </c>
      <c r="Q559">
        <v>0</v>
      </c>
      <c r="R559" t="s">
        <v>5699</v>
      </c>
    </row>
    <row r="560" spans="1:18" x14ac:dyDescent="0.25">
      <c r="A560" t="s">
        <v>1414</v>
      </c>
      <c r="B560" t="s">
        <v>133</v>
      </c>
      <c r="C560" t="s">
        <v>38</v>
      </c>
      <c r="D560" t="s">
        <v>21</v>
      </c>
      <c r="E560" t="s">
        <v>74</v>
      </c>
      <c r="F560" t="s">
        <v>32</v>
      </c>
      <c r="G560" t="s">
        <v>1415</v>
      </c>
      <c r="H560" s="12">
        <v>710710</v>
      </c>
      <c r="I560" s="12">
        <v>0</v>
      </c>
      <c r="J560" s="10">
        <v>0</v>
      </c>
      <c r="L560" t="s">
        <v>42</v>
      </c>
      <c r="M560" t="s">
        <v>26</v>
      </c>
      <c r="N560" t="s">
        <v>624</v>
      </c>
      <c r="O560" s="2">
        <v>41000</v>
      </c>
      <c r="P560" s="2">
        <v>42825</v>
      </c>
      <c r="Q560">
        <v>2</v>
      </c>
      <c r="R560" t="s">
        <v>1416</v>
      </c>
    </row>
    <row r="561" spans="1:18" x14ac:dyDescent="0.25">
      <c r="A561" t="s">
        <v>1417</v>
      </c>
      <c r="B561" t="s">
        <v>4492</v>
      </c>
      <c r="C561" t="s">
        <v>38</v>
      </c>
      <c r="D561" t="s">
        <v>51</v>
      </c>
      <c r="E561" t="s">
        <v>208</v>
      </c>
      <c r="F561" t="s">
        <v>53</v>
      </c>
      <c r="G561" t="s">
        <v>1418</v>
      </c>
      <c r="H561" s="10">
        <v>864450</v>
      </c>
      <c r="I561" s="10">
        <v>0</v>
      </c>
      <c r="J561" s="10">
        <v>0</v>
      </c>
      <c r="L561" t="s">
        <v>42</v>
      </c>
      <c r="M561" t="s">
        <v>111</v>
      </c>
      <c r="N561" t="s">
        <v>1419</v>
      </c>
      <c r="O561" s="2">
        <v>45383</v>
      </c>
      <c r="P561" s="2">
        <v>47208</v>
      </c>
      <c r="Q561">
        <v>0</v>
      </c>
      <c r="R561" t="s">
        <v>1420</v>
      </c>
    </row>
    <row r="562" spans="1:18" x14ac:dyDescent="0.25">
      <c r="A562" t="s">
        <v>1421</v>
      </c>
      <c r="B562" t="s">
        <v>5375</v>
      </c>
      <c r="C562" t="s">
        <v>38</v>
      </c>
      <c r="D562" t="s">
        <v>51</v>
      </c>
      <c r="E562" t="s">
        <v>223</v>
      </c>
      <c r="F562" t="s">
        <v>53</v>
      </c>
      <c r="G562" t="s">
        <v>1422</v>
      </c>
      <c r="H562" s="10">
        <v>493426</v>
      </c>
      <c r="I562" s="10">
        <v>0</v>
      </c>
      <c r="J562" s="10">
        <v>0</v>
      </c>
      <c r="L562" t="s">
        <v>42</v>
      </c>
      <c r="M562" t="s">
        <v>111</v>
      </c>
      <c r="N562" t="s">
        <v>1423</v>
      </c>
      <c r="O562" s="2">
        <v>45566</v>
      </c>
      <c r="P562" s="2">
        <v>47391</v>
      </c>
      <c r="Q562">
        <v>0</v>
      </c>
      <c r="R562" t="s">
        <v>1424</v>
      </c>
    </row>
    <row r="563" spans="1:18" x14ac:dyDescent="0.25">
      <c r="A563" t="s">
        <v>1425</v>
      </c>
      <c r="B563" t="s">
        <v>240</v>
      </c>
      <c r="C563" t="s">
        <v>20</v>
      </c>
      <c r="D563" t="s">
        <v>21</v>
      </c>
      <c r="E563" t="s">
        <v>323</v>
      </c>
      <c r="F563" t="s">
        <v>32</v>
      </c>
      <c r="G563" t="s">
        <v>1426</v>
      </c>
      <c r="H563" s="10">
        <v>808632</v>
      </c>
      <c r="I563" s="10">
        <v>0</v>
      </c>
      <c r="J563" s="10">
        <v>0</v>
      </c>
      <c r="L563" t="s">
        <v>42</v>
      </c>
      <c r="M563" t="s">
        <v>26</v>
      </c>
      <c r="N563" t="s">
        <v>1427</v>
      </c>
      <c r="O563" s="2">
        <v>40269</v>
      </c>
      <c r="P563" s="2">
        <v>42094</v>
      </c>
      <c r="Q563">
        <v>0</v>
      </c>
      <c r="R563" t="s">
        <v>1428</v>
      </c>
    </row>
    <row r="564" spans="1:18" x14ac:dyDescent="0.25">
      <c r="A564" t="s">
        <v>1429</v>
      </c>
      <c r="B564" t="s">
        <v>1430</v>
      </c>
      <c r="C564" t="s">
        <v>20</v>
      </c>
      <c r="D564" t="s">
        <v>51</v>
      </c>
      <c r="E564" t="s">
        <v>208</v>
      </c>
      <c r="F564" t="s">
        <v>109</v>
      </c>
      <c r="G564" t="s">
        <v>1431</v>
      </c>
      <c r="H564" s="10">
        <v>673200</v>
      </c>
      <c r="I564" s="10">
        <v>0</v>
      </c>
      <c r="J564" s="10">
        <v>0</v>
      </c>
      <c r="L564" t="s">
        <v>42</v>
      </c>
      <c r="M564" t="s">
        <v>103</v>
      </c>
      <c r="N564" t="s">
        <v>1432</v>
      </c>
      <c r="O564" s="2">
        <v>45383</v>
      </c>
      <c r="P564" s="2">
        <v>47208</v>
      </c>
      <c r="Q564">
        <v>0</v>
      </c>
      <c r="R564" t="s">
        <v>1433</v>
      </c>
    </row>
    <row r="565" spans="1:18" x14ac:dyDescent="0.25">
      <c r="A565" t="s">
        <v>1434</v>
      </c>
      <c r="B565" t="s">
        <v>499</v>
      </c>
      <c r="C565" t="s">
        <v>311</v>
      </c>
      <c r="D565" t="s">
        <v>51</v>
      </c>
      <c r="E565" t="s">
        <v>259</v>
      </c>
      <c r="F565" t="s">
        <v>32</v>
      </c>
      <c r="G565" t="s">
        <v>1435</v>
      </c>
      <c r="H565" s="10">
        <v>1063350</v>
      </c>
      <c r="I565" s="10">
        <v>0</v>
      </c>
      <c r="J565" s="10">
        <v>0</v>
      </c>
      <c r="L565" t="s">
        <v>42</v>
      </c>
      <c r="M565" t="s">
        <v>26</v>
      </c>
      <c r="N565" t="s">
        <v>135</v>
      </c>
      <c r="O565" s="2">
        <v>44105</v>
      </c>
      <c r="P565" s="2">
        <v>45930</v>
      </c>
      <c r="Q565">
        <v>0</v>
      </c>
      <c r="R565" t="s">
        <v>1436</v>
      </c>
    </row>
    <row r="566" spans="1:18" x14ac:dyDescent="0.25">
      <c r="A566" t="s">
        <v>4722</v>
      </c>
      <c r="B566" t="s">
        <v>114</v>
      </c>
      <c r="C566" t="s">
        <v>20</v>
      </c>
      <c r="D566" t="s">
        <v>4557</v>
      </c>
      <c r="E566" t="s">
        <v>4567</v>
      </c>
      <c r="F566" t="s">
        <v>4559</v>
      </c>
      <c r="G566" t="s">
        <v>4723</v>
      </c>
      <c r="H566" s="10">
        <v>677527</v>
      </c>
      <c r="I566" s="10">
        <v>0</v>
      </c>
      <c r="J566" s="10">
        <v>0</v>
      </c>
      <c r="L566" t="s">
        <v>55</v>
      </c>
      <c r="M566" t="s">
        <v>94</v>
      </c>
      <c r="N566" t="s">
        <v>5567</v>
      </c>
      <c r="O566" s="2">
        <v>41730</v>
      </c>
      <c r="P566" s="2">
        <v>42825</v>
      </c>
      <c r="Q566">
        <v>1</v>
      </c>
      <c r="R566" t="s">
        <v>5566</v>
      </c>
    </row>
    <row r="567" spans="1:18" x14ac:dyDescent="0.25">
      <c r="A567" t="s">
        <v>4724</v>
      </c>
      <c r="B567" t="s">
        <v>114</v>
      </c>
      <c r="C567" t="s">
        <v>20</v>
      </c>
      <c r="D567" t="s">
        <v>4557</v>
      </c>
      <c r="E567" t="s">
        <v>4570</v>
      </c>
      <c r="F567" t="s">
        <v>4559</v>
      </c>
      <c r="G567" t="s">
        <v>4725</v>
      </c>
      <c r="H567" s="10">
        <v>632425</v>
      </c>
      <c r="I567" s="10">
        <v>0</v>
      </c>
      <c r="J567" s="10">
        <v>0</v>
      </c>
      <c r="L567" t="s">
        <v>55</v>
      </c>
      <c r="M567" t="s">
        <v>94</v>
      </c>
      <c r="N567" t="s">
        <v>5666</v>
      </c>
      <c r="O567" s="2">
        <v>42826</v>
      </c>
      <c r="P567" s="2">
        <v>43921</v>
      </c>
      <c r="Q567">
        <v>0</v>
      </c>
      <c r="R567" t="s">
        <v>5665</v>
      </c>
    </row>
    <row r="568" spans="1:18" x14ac:dyDescent="0.25">
      <c r="A568" t="s">
        <v>1437</v>
      </c>
      <c r="B568" t="s">
        <v>49</v>
      </c>
      <c r="C568" t="s">
        <v>50</v>
      </c>
      <c r="D568" t="s">
        <v>99</v>
      </c>
      <c r="E568" t="s">
        <v>100</v>
      </c>
      <c r="F568" t="s">
        <v>101</v>
      </c>
      <c r="G568" t="s">
        <v>1438</v>
      </c>
      <c r="H568" s="10">
        <v>172414</v>
      </c>
      <c r="I568" s="10">
        <v>0</v>
      </c>
      <c r="J568" s="10">
        <v>0</v>
      </c>
      <c r="L568" t="s">
        <v>34</v>
      </c>
      <c r="M568" t="s">
        <v>143</v>
      </c>
      <c r="N568" t="s">
        <v>1439</v>
      </c>
      <c r="O568" s="2">
        <v>43983</v>
      </c>
      <c r="P568" s="2">
        <v>44347</v>
      </c>
      <c r="Q568">
        <v>0</v>
      </c>
      <c r="R568" t="s">
        <v>1440</v>
      </c>
    </row>
    <row r="569" spans="1:18" x14ac:dyDescent="0.25">
      <c r="A569" t="s">
        <v>1441</v>
      </c>
      <c r="B569" t="s">
        <v>5045</v>
      </c>
      <c r="C569" t="s">
        <v>38</v>
      </c>
      <c r="D569" t="s">
        <v>51</v>
      </c>
      <c r="E569" t="s">
        <v>406</v>
      </c>
      <c r="F569" t="s">
        <v>32</v>
      </c>
      <c r="G569" t="s">
        <v>1442</v>
      </c>
      <c r="H569" s="10">
        <v>688500</v>
      </c>
      <c r="I569" s="10">
        <v>0</v>
      </c>
      <c r="J569" s="10">
        <v>0</v>
      </c>
      <c r="L569" t="s">
        <v>42</v>
      </c>
      <c r="M569" t="s">
        <v>26</v>
      </c>
      <c r="N569" t="s">
        <v>1032</v>
      </c>
      <c r="O569" s="2">
        <v>43191</v>
      </c>
      <c r="P569" s="2">
        <v>45016</v>
      </c>
      <c r="Q569">
        <v>1</v>
      </c>
      <c r="R569" t="s">
        <v>1443</v>
      </c>
    </row>
    <row r="570" spans="1:18" x14ac:dyDescent="0.25">
      <c r="A570" t="s">
        <v>1441</v>
      </c>
      <c r="B570" t="s">
        <v>5045</v>
      </c>
      <c r="C570" t="s">
        <v>38</v>
      </c>
      <c r="D570" t="s">
        <v>1444</v>
      </c>
      <c r="E570" t="s">
        <v>1445</v>
      </c>
      <c r="F570" t="s">
        <v>32</v>
      </c>
      <c r="G570" t="s">
        <v>1446</v>
      </c>
      <c r="H570" s="10">
        <v>460000</v>
      </c>
      <c r="I570" s="10">
        <v>0</v>
      </c>
      <c r="J570" s="10">
        <v>0</v>
      </c>
      <c r="L570" t="s">
        <v>84</v>
      </c>
      <c r="M570" t="s">
        <v>26</v>
      </c>
      <c r="N570" t="s">
        <v>1447</v>
      </c>
      <c r="O570" s="2">
        <v>44652</v>
      </c>
      <c r="P570" s="2">
        <v>45382</v>
      </c>
      <c r="Q570">
        <v>0</v>
      </c>
      <c r="R570" t="s">
        <v>1448</v>
      </c>
    </row>
    <row r="571" spans="1:18" x14ac:dyDescent="0.25">
      <c r="A571" t="s">
        <v>5376</v>
      </c>
      <c r="B571" t="s">
        <v>157</v>
      </c>
      <c r="C571" t="s">
        <v>38</v>
      </c>
      <c r="D571" t="s">
        <v>51</v>
      </c>
      <c r="E571" t="s">
        <v>127</v>
      </c>
      <c r="F571" t="s">
        <v>53</v>
      </c>
      <c r="G571" t="s">
        <v>1449</v>
      </c>
      <c r="H571" s="10">
        <v>784126</v>
      </c>
      <c r="I571" s="10">
        <v>0</v>
      </c>
      <c r="J571" s="10">
        <v>0</v>
      </c>
      <c r="L571" t="s">
        <v>42</v>
      </c>
      <c r="M571" t="s">
        <v>204</v>
      </c>
      <c r="N571" t="s">
        <v>1450</v>
      </c>
      <c r="O571" s="2">
        <v>44835</v>
      </c>
      <c r="P571" s="2">
        <v>46660</v>
      </c>
      <c r="Q571">
        <v>0</v>
      </c>
      <c r="R571" t="s">
        <v>1451</v>
      </c>
    </row>
    <row r="572" spans="1:18" x14ac:dyDescent="0.25">
      <c r="A572" t="s">
        <v>4726</v>
      </c>
      <c r="B572" t="s">
        <v>114</v>
      </c>
      <c r="C572" t="s">
        <v>20</v>
      </c>
      <c r="D572" t="s">
        <v>4557</v>
      </c>
      <c r="E572" t="s">
        <v>4611</v>
      </c>
      <c r="F572" t="s">
        <v>4559</v>
      </c>
      <c r="G572" t="s">
        <v>4727</v>
      </c>
      <c r="H572" s="10">
        <v>375350</v>
      </c>
      <c r="I572" s="10">
        <v>0</v>
      </c>
      <c r="J572" s="10">
        <v>0</v>
      </c>
      <c r="L572" t="s">
        <v>55</v>
      </c>
      <c r="M572" t="s">
        <v>26</v>
      </c>
      <c r="N572" t="s">
        <v>1896</v>
      </c>
      <c r="O572" s="2">
        <v>42461</v>
      </c>
      <c r="P572" s="2">
        <v>43555</v>
      </c>
      <c r="Q572">
        <v>1</v>
      </c>
      <c r="R572" t="s">
        <v>5963</v>
      </c>
    </row>
    <row r="573" spans="1:18" x14ac:dyDescent="0.25">
      <c r="A573" t="s">
        <v>5377</v>
      </c>
      <c r="B573" t="s">
        <v>19</v>
      </c>
      <c r="C573" t="s">
        <v>20</v>
      </c>
      <c r="D573" t="s">
        <v>51</v>
      </c>
      <c r="E573" t="s">
        <v>158</v>
      </c>
      <c r="F573" t="s">
        <v>47</v>
      </c>
      <c r="G573" t="s">
        <v>1452</v>
      </c>
      <c r="H573" s="10">
        <v>608175</v>
      </c>
      <c r="I573" s="10">
        <v>0</v>
      </c>
      <c r="J573" s="10">
        <v>0</v>
      </c>
      <c r="L573" t="s">
        <v>55</v>
      </c>
      <c r="M573" t="s">
        <v>26</v>
      </c>
      <c r="N573" t="s">
        <v>261</v>
      </c>
      <c r="O573" s="2">
        <v>43922</v>
      </c>
      <c r="P573" s="2">
        <v>45016</v>
      </c>
      <c r="Q573">
        <v>0</v>
      </c>
      <c r="R573" t="s">
        <v>1453</v>
      </c>
    </row>
    <row r="574" spans="1:18" x14ac:dyDescent="0.25">
      <c r="A574" t="s">
        <v>1454</v>
      </c>
      <c r="B574" t="s">
        <v>710</v>
      </c>
      <c r="C574" t="s">
        <v>711</v>
      </c>
      <c r="D574" t="s">
        <v>51</v>
      </c>
      <c r="E574" t="s">
        <v>122</v>
      </c>
      <c r="F574" t="s">
        <v>128</v>
      </c>
      <c r="G574" t="s">
        <v>1458</v>
      </c>
      <c r="H574" s="10">
        <v>990676</v>
      </c>
      <c r="I574" s="10">
        <v>0</v>
      </c>
      <c r="J574" s="10">
        <v>0</v>
      </c>
      <c r="L574" t="s">
        <v>42</v>
      </c>
      <c r="M574" t="s">
        <v>26</v>
      </c>
      <c r="N574" t="s">
        <v>1459</v>
      </c>
      <c r="O574" s="2">
        <v>43739</v>
      </c>
      <c r="P574" s="2">
        <v>45565</v>
      </c>
      <c r="Q574">
        <v>0</v>
      </c>
      <c r="R574" t="s">
        <v>1460</v>
      </c>
    </row>
    <row r="575" spans="1:18" x14ac:dyDescent="0.25">
      <c r="A575" t="s">
        <v>1454</v>
      </c>
      <c r="B575" t="s">
        <v>710</v>
      </c>
      <c r="C575" t="s">
        <v>711</v>
      </c>
      <c r="D575" t="s">
        <v>51</v>
      </c>
      <c r="E575" t="s">
        <v>223</v>
      </c>
      <c r="F575" t="s">
        <v>47</v>
      </c>
      <c r="G575" t="s">
        <v>1455</v>
      </c>
      <c r="H575" s="10">
        <v>1071000</v>
      </c>
      <c r="I575" s="10">
        <v>0</v>
      </c>
      <c r="J575" s="10">
        <v>0</v>
      </c>
      <c r="L575" t="s">
        <v>42</v>
      </c>
      <c r="M575" t="s">
        <v>26</v>
      </c>
      <c r="N575" t="s">
        <v>1456</v>
      </c>
      <c r="O575" s="2">
        <v>45566</v>
      </c>
      <c r="P575" s="2">
        <v>47391</v>
      </c>
      <c r="Q575">
        <v>0</v>
      </c>
      <c r="R575" t="s">
        <v>1457</v>
      </c>
    </row>
    <row r="576" spans="1:18" x14ac:dyDescent="0.25">
      <c r="A576" t="s">
        <v>1461</v>
      </c>
      <c r="B576" t="s">
        <v>360</v>
      </c>
      <c r="C576" t="s">
        <v>20</v>
      </c>
      <c r="D576" t="s">
        <v>51</v>
      </c>
      <c r="E576" t="s">
        <v>167</v>
      </c>
      <c r="F576" t="s">
        <v>109</v>
      </c>
      <c r="G576" t="s">
        <v>1465</v>
      </c>
      <c r="H576" s="10">
        <v>654076</v>
      </c>
      <c r="I576" s="10">
        <v>0</v>
      </c>
      <c r="J576" s="10">
        <v>0</v>
      </c>
      <c r="L576" t="s">
        <v>25</v>
      </c>
      <c r="M576" t="s">
        <v>26</v>
      </c>
      <c r="N576" t="s">
        <v>1466</v>
      </c>
      <c r="O576" s="2">
        <v>45017</v>
      </c>
      <c r="P576" s="2">
        <v>46477</v>
      </c>
      <c r="Q576">
        <v>3</v>
      </c>
      <c r="R576" t="s">
        <v>1467</v>
      </c>
    </row>
    <row r="577" spans="1:18" x14ac:dyDescent="0.25">
      <c r="A577" t="s">
        <v>1461</v>
      </c>
      <c r="B577" t="s">
        <v>360</v>
      </c>
      <c r="C577" t="s">
        <v>20</v>
      </c>
      <c r="D577" t="s">
        <v>51</v>
      </c>
      <c r="E577" t="s">
        <v>223</v>
      </c>
      <c r="F577" t="s">
        <v>53</v>
      </c>
      <c r="G577" t="s">
        <v>1462</v>
      </c>
      <c r="H577" s="10">
        <v>757350</v>
      </c>
      <c r="I577" s="10">
        <v>0</v>
      </c>
      <c r="J577" s="10">
        <v>0</v>
      </c>
      <c r="L577" t="s">
        <v>42</v>
      </c>
      <c r="M577" t="s">
        <v>85</v>
      </c>
      <c r="N577" t="s">
        <v>1463</v>
      </c>
      <c r="O577" s="2">
        <v>45566</v>
      </c>
      <c r="P577" s="2">
        <v>47391</v>
      </c>
      <c r="Q577">
        <v>0</v>
      </c>
      <c r="R577" t="s">
        <v>1464</v>
      </c>
    </row>
    <row r="578" spans="1:18" x14ac:dyDescent="0.25">
      <c r="A578" t="s">
        <v>1468</v>
      </c>
      <c r="B578" t="s">
        <v>19</v>
      </c>
      <c r="C578" t="s">
        <v>20</v>
      </c>
      <c r="D578" t="s">
        <v>51</v>
      </c>
      <c r="E578" t="s">
        <v>127</v>
      </c>
      <c r="F578" t="s">
        <v>47</v>
      </c>
      <c r="G578" t="s">
        <v>1469</v>
      </c>
      <c r="H578" s="10">
        <v>956250</v>
      </c>
      <c r="I578" s="10">
        <v>0</v>
      </c>
      <c r="J578" s="10">
        <v>0</v>
      </c>
      <c r="L578" t="s">
        <v>42</v>
      </c>
      <c r="M578" t="s">
        <v>26</v>
      </c>
      <c r="N578" t="s">
        <v>1470</v>
      </c>
      <c r="O578" s="2">
        <v>44835</v>
      </c>
      <c r="P578" s="2">
        <v>46660</v>
      </c>
      <c r="Q578">
        <v>0</v>
      </c>
      <c r="R578" t="s">
        <v>1471</v>
      </c>
    </row>
    <row r="579" spans="1:18" x14ac:dyDescent="0.25">
      <c r="A579" t="s">
        <v>1468</v>
      </c>
      <c r="B579" t="s">
        <v>19</v>
      </c>
      <c r="C579" t="s">
        <v>20</v>
      </c>
      <c r="D579" t="s">
        <v>51</v>
      </c>
      <c r="E579" t="s">
        <v>167</v>
      </c>
      <c r="F579" t="s">
        <v>47</v>
      </c>
      <c r="G579" t="s">
        <v>1472</v>
      </c>
      <c r="H579" s="10">
        <v>956250</v>
      </c>
      <c r="I579" s="10">
        <v>0</v>
      </c>
      <c r="J579" s="10">
        <v>0</v>
      </c>
      <c r="L579" t="s">
        <v>42</v>
      </c>
      <c r="M579" t="s">
        <v>26</v>
      </c>
      <c r="N579" t="s">
        <v>1329</v>
      </c>
      <c r="O579" s="2">
        <v>45017</v>
      </c>
      <c r="P579" s="2">
        <v>46843</v>
      </c>
      <c r="Q579">
        <v>0</v>
      </c>
      <c r="R579" t="s">
        <v>1473</v>
      </c>
    </row>
    <row r="580" spans="1:18" x14ac:dyDescent="0.25">
      <c r="A580" t="s">
        <v>1474</v>
      </c>
      <c r="B580" t="s">
        <v>196</v>
      </c>
      <c r="C580" t="s">
        <v>20</v>
      </c>
      <c r="D580" t="s">
        <v>21</v>
      </c>
      <c r="E580" t="s">
        <v>534</v>
      </c>
      <c r="F580" t="s">
        <v>53</v>
      </c>
      <c r="G580" t="s">
        <v>1478</v>
      </c>
      <c r="H580" s="10">
        <v>335902</v>
      </c>
      <c r="I580" s="10">
        <v>0</v>
      </c>
      <c r="J580" s="10">
        <v>0</v>
      </c>
      <c r="L580" t="s">
        <v>55</v>
      </c>
      <c r="M580" t="s">
        <v>204</v>
      </c>
      <c r="N580" t="s">
        <v>1476</v>
      </c>
      <c r="O580" s="2">
        <v>40817</v>
      </c>
      <c r="P580" s="2">
        <v>41912</v>
      </c>
      <c r="Q580">
        <v>0</v>
      </c>
      <c r="R580" t="s">
        <v>1479</v>
      </c>
    </row>
    <row r="581" spans="1:18" x14ac:dyDescent="0.25">
      <c r="A581" t="s">
        <v>1474</v>
      </c>
      <c r="B581" t="s">
        <v>196</v>
      </c>
      <c r="C581" t="s">
        <v>20</v>
      </c>
      <c r="D581" t="s">
        <v>21</v>
      </c>
      <c r="E581" t="s">
        <v>60</v>
      </c>
      <c r="F581" t="s">
        <v>53</v>
      </c>
      <c r="G581" t="s">
        <v>1475</v>
      </c>
      <c r="H581" s="10">
        <v>723542</v>
      </c>
      <c r="I581" s="10">
        <v>0</v>
      </c>
      <c r="J581" s="10">
        <v>0</v>
      </c>
      <c r="L581" t="s">
        <v>42</v>
      </c>
      <c r="M581" t="s">
        <v>204</v>
      </c>
      <c r="N581" t="s">
        <v>1476</v>
      </c>
      <c r="O581" s="2">
        <v>41913</v>
      </c>
      <c r="P581" s="2">
        <v>43738</v>
      </c>
      <c r="Q581">
        <v>1</v>
      </c>
      <c r="R581" t="s">
        <v>1477</v>
      </c>
    </row>
    <row r="582" spans="1:18" x14ac:dyDescent="0.25">
      <c r="A582" t="s">
        <v>1474</v>
      </c>
      <c r="B582" t="s">
        <v>196</v>
      </c>
      <c r="C582" t="s">
        <v>20</v>
      </c>
      <c r="D582" t="s">
        <v>51</v>
      </c>
      <c r="E582" t="s">
        <v>116</v>
      </c>
      <c r="F582" t="s">
        <v>53</v>
      </c>
      <c r="G582" t="s">
        <v>1480</v>
      </c>
      <c r="H582" s="10">
        <v>703800</v>
      </c>
      <c r="I582" s="10">
        <v>0</v>
      </c>
      <c r="J582" s="10">
        <v>0</v>
      </c>
      <c r="L582" t="s">
        <v>42</v>
      </c>
      <c r="M582" t="s">
        <v>204</v>
      </c>
      <c r="N582" t="s">
        <v>1481</v>
      </c>
      <c r="O582" s="2">
        <v>43374</v>
      </c>
      <c r="P582" s="2">
        <v>45199</v>
      </c>
      <c r="Q582">
        <v>0</v>
      </c>
      <c r="R582" t="s">
        <v>1482</v>
      </c>
    </row>
    <row r="583" spans="1:18" x14ac:dyDescent="0.25">
      <c r="A583" t="s">
        <v>4728</v>
      </c>
      <c r="B583" t="s">
        <v>196</v>
      </c>
      <c r="C583" t="s">
        <v>20</v>
      </c>
      <c r="D583" t="s">
        <v>4557</v>
      </c>
      <c r="E583" t="s">
        <v>4558</v>
      </c>
      <c r="F583" t="s">
        <v>4559</v>
      </c>
      <c r="G583" t="s">
        <v>4729</v>
      </c>
      <c r="H583" s="10">
        <v>348985</v>
      </c>
      <c r="I583" s="10">
        <v>0</v>
      </c>
      <c r="J583" s="10">
        <v>0</v>
      </c>
      <c r="L583" t="s">
        <v>55</v>
      </c>
      <c r="M583" t="s">
        <v>204</v>
      </c>
      <c r="N583" t="s">
        <v>5819</v>
      </c>
      <c r="O583" s="2">
        <v>43191</v>
      </c>
      <c r="P583" s="2">
        <v>44286</v>
      </c>
      <c r="Q583">
        <v>0</v>
      </c>
      <c r="R583" t="s">
        <v>5818</v>
      </c>
    </row>
    <row r="584" spans="1:18" x14ac:dyDescent="0.25">
      <c r="A584" t="s">
        <v>1483</v>
      </c>
      <c r="B584" t="s">
        <v>107</v>
      </c>
      <c r="C584" t="s">
        <v>38</v>
      </c>
      <c r="D584" t="s">
        <v>21</v>
      </c>
      <c r="E584" t="s">
        <v>194</v>
      </c>
      <c r="F584" t="s">
        <v>53</v>
      </c>
      <c r="G584" t="s">
        <v>1484</v>
      </c>
      <c r="H584" s="11">
        <v>370776</v>
      </c>
      <c r="I584" s="11">
        <v>0</v>
      </c>
      <c r="J584" s="11">
        <v>0</v>
      </c>
      <c r="L584" t="s">
        <v>25</v>
      </c>
      <c r="M584" t="s">
        <v>111</v>
      </c>
      <c r="N584" t="s">
        <v>1485</v>
      </c>
      <c r="O584" s="2">
        <v>40087</v>
      </c>
      <c r="P584" s="2">
        <v>41547</v>
      </c>
      <c r="Q584">
        <v>0</v>
      </c>
      <c r="R584" t="s">
        <v>1486</v>
      </c>
    </row>
    <row r="585" spans="1:18" x14ac:dyDescent="0.25">
      <c r="A585" t="s">
        <v>5299</v>
      </c>
      <c r="B585" t="s">
        <v>114</v>
      </c>
      <c r="C585" t="s">
        <v>20</v>
      </c>
      <c r="D585" t="s">
        <v>5280</v>
      </c>
      <c r="E585" t="s">
        <v>5281</v>
      </c>
      <c r="F585" t="s">
        <v>4554</v>
      </c>
      <c r="G585" t="s">
        <v>5300</v>
      </c>
      <c r="H585" s="10">
        <v>193701</v>
      </c>
      <c r="I585" s="10">
        <v>4785</v>
      </c>
      <c r="J585" s="10">
        <v>0</v>
      </c>
      <c r="L585" t="s">
        <v>55</v>
      </c>
      <c r="M585" t="s">
        <v>111</v>
      </c>
      <c r="N585" t="s">
        <v>5556</v>
      </c>
      <c r="O585" s="2">
        <v>40817</v>
      </c>
      <c r="P585" s="2">
        <v>41912</v>
      </c>
      <c r="Q585">
        <v>1</v>
      </c>
      <c r="R585" t="s">
        <v>5555</v>
      </c>
    </row>
    <row r="586" spans="1:18" x14ac:dyDescent="0.25">
      <c r="A586" t="s">
        <v>5378</v>
      </c>
      <c r="B586" t="s">
        <v>19</v>
      </c>
      <c r="C586" t="s">
        <v>20</v>
      </c>
      <c r="D586" t="s">
        <v>51</v>
      </c>
      <c r="E586" t="s">
        <v>52</v>
      </c>
      <c r="F586" t="s">
        <v>128</v>
      </c>
      <c r="G586" t="s">
        <v>1487</v>
      </c>
      <c r="H586" s="10">
        <v>1082474</v>
      </c>
      <c r="I586" s="10">
        <v>0</v>
      </c>
      <c r="J586" s="10">
        <v>0</v>
      </c>
      <c r="L586" t="s">
        <v>1488</v>
      </c>
      <c r="M586" t="s">
        <v>26</v>
      </c>
      <c r="N586" t="s">
        <v>1489</v>
      </c>
      <c r="O586" s="2">
        <v>44287</v>
      </c>
      <c r="P586" s="2">
        <v>46477</v>
      </c>
      <c r="Q586">
        <v>0</v>
      </c>
      <c r="R586" t="s">
        <v>1490</v>
      </c>
    </row>
    <row r="587" spans="1:18" x14ac:dyDescent="0.25">
      <c r="A587" t="s">
        <v>1491</v>
      </c>
      <c r="B587" t="s">
        <v>49</v>
      </c>
      <c r="C587" t="s">
        <v>50</v>
      </c>
      <c r="D587" t="s">
        <v>139</v>
      </c>
      <c r="E587" t="s">
        <v>140</v>
      </c>
      <c r="F587" t="s">
        <v>141</v>
      </c>
      <c r="G587" t="s">
        <v>1492</v>
      </c>
      <c r="H587" s="10">
        <v>422084</v>
      </c>
      <c r="I587" s="10">
        <v>0</v>
      </c>
      <c r="J587" s="10">
        <v>0</v>
      </c>
      <c r="L587" t="s">
        <v>34</v>
      </c>
      <c r="M587" t="s">
        <v>94</v>
      </c>
      <c r="N587" t="s">
        <v>1493</v>
      </c>
      <c r="O587" s="2">
        <v>43983</v>
      </c>
      <c r="P587" s="2">
        <v>44347</v>
      </c>
      <c r="Q587">
        <v>0</v>
      </c>
      <c r="R587" t="s">
        <v>1494</v>
      </c>
    </row>
    <row r="588" spans="1:18" x14ac:dyDescent="0.25">
      <c r="A588" t="s">
        <v>4730</v>
      </c>
      <c r="B588" t="s">
        <v>49</v>
      </c>
      <c r="C588" t="s">
        <v>50</v>
      </c>
      <c r="D588" t="s">
        <v>4557</v>
      </c>
      <c r="E588" t="s">
        <v>4597</v>
      </c>
      <c r="F588" t="s">
        <v>4559</v>
      </c>
      <c r="G588" t="s">
        <v>4731</v>
      </c>
      <c r="H588" s="10">
        <v>442500</v>
      </c>
      <c r="I588" s="10">
        <v>0</v>
      </c>
      <c r="J588" s="10">
        <v>0</v>
      </c>
      <c r="L588" t="s">
        <v>55</v>
      </c>
      <c r="M588" t="s">
        <v>204</v>
      </c>
      <c r="N588" t="s">
        <v>5815</v>
      </c>
      <c r="O588" s="2">
        <v>42095</v>
      </c>
      <c r="P588" s="2">
        <v>43190</v>
      </c>
      <c r="Q588">
        <v>3</v>
      </c>
      <c r="R588" t="s">
        <v>5814</v>
      </c>
    </row>
    <row r="589" spans="1:18" x14ac:dyDescent="0.25">
      <c r="A589" t="s">
        <v>1495</v>
      </c>
      <c r="B589" t="s">
        <v>19</v>
      </c>
      <c r="C589" t="s">
        <v>20</v>
      </c>
      <c r="D589" t="s">
        <v>51</v>
      </c>
      <c r="E589" t="s">
        <v>122</v>
      </c>
      <c r="F589" t="s">
        <v>32</v>
      </c>
      <c r="G589" t="s">
        <v>1496</v>
      </c>
      <c r="H589" s="10">
        <v>1105426</v>
      </c>
      <c r="I589" s="10">
        <v>0</v>
      </c>
      <c r="J589" s="10">
        <v>0</v>
      </c>
      <c r="L589" t="s">
        <v>42</v>
      </c>
      <c r="M589" t="s">
        <v>26</v>
      </c>
      <c r="N589" t="s">
        <v>135</v>
      </c>
      <c r="O589" s="2">
        <v>43739</v>
      </c>
      <c r="P589" s="2">
        <v>45565</v>
      </c>
      <c r="Q589">
        <v>0</v>
      </c>
      <c r="R589" t="s">
        <v>1497</v>
      </c>
    </row>
    <row r="590" spans="1:18" x14ac:dyDescent="0.25">
      <c r="A590" t="s">
        <v>1498</v>
      </c>
      <c r="B590" t="s">
        <v>4464</v>
      </c>
      <c r="C590" t="s">
        <v>20</v>
      </c>
      <c r="D590" t="s">
        <v>51</v>
      </c>
      <c r="E590" t="s">
        <v>197</v>
      </c>
      <c r="F590" t="s">
        <v>53</v>
      </c>
      <c r="G590" t="s">
        <v>1499</v>
      </c>
      <c r="H590" s="10">
        <v>636180</v>
      </c>
      <c r="I590" s="10">
        <v>0</v>
      </c>
      <c r="J590" s="10">
        <v>0</v>
      </c>
      <c r="L590" t="s">
        <v>42</v>
      </c>
      <c r="M590" t="s">
        <v>204</v>
      </c>
      <c r="N590" t="s">
        <v>1500</v>
      </c>
      <c r="O590" s="2">
        <v>44652</v>
      </c>
      <c r="P590" s="2">
        <v>46477</v>
      </c>
      <c r="Q590">
        <v>0</v>
      </c>
      <c r="R590" t="s">
        <v>1501</v>
      </c>
    </row>
    <row r="591" spans="1:18" x14ac:dyDescent="0.25">
      <c r="A591" t="s">
        <v>1502</v>
      </c>
      <c r="B591" t="s">
        <v>5045</v>
      </c>
      <c r="C591" t="s">
        <v>38</v>
      </c>
      <c r="D591" t="s">
        <v>51</v>
      </c>
      <c r="E591" t="s">
        <v>158</v>
      </c>
      <c r="F591" t="s">
        <v>128</v>
      </c>
      <c r="G591" t="s">
        <v>1503</v>
      </c>
      <c r="H591" s="10">
        <v>642600</v>
      </c>
      <c r="I591" s="10">
        <v>0</v>
      </c>
      <c r="J591" s="10">
        <v>0</v>
      </c>
      <c r="L591" t="s">
        <v>42</v>
      </c>
      <c r="M591" t="s">
        <v>26</v>
      </c>
      <c r="N591" t="s">
        <v>1504</v>
      </c>
      <c r="O591" s="2">
        <v>43922</v>
      </c>
      <c r="P591" s="2">
        <v>45747</v>
      </c>
      <c r="Q591">
        <v>0</v>
      </c>
      <c r="R591" t="s">
        <v>1505</v>
      </c>
    </row>
    <row r="592" spans="1:18" x14ac:dyDescent="0.25">
      <c r="A592" t="s">
        <v>5301</v>
      </c>
      <c r="B592" t="s">
        <v>49</v>
      </c>
      <c r="C592" t="s">
        <v>50</v>
      </c>
      <c r="D592" t="s">
        <v>5280</v>
      </c>
      <c r="E592" t="s">
        <v>5295</v>
      </c>
      <c r="F592" t="s">
        <v>4554</v>
      </c>
      <c r="G592" t="s">
        <v>5302</v>
      </c>
      <c r="H592" s="10">
        <v>63000</v>
      </c>
      <c r="I592" s="10">
        <v>0</v>
      </c>
      <c r="J592" s="10">
        <v>0</v>
      </c>
      <c r="L592" t="s">
        <v>2605</v>
      </c>
      <c r="M592" t="s">
        <v>94</v>
      </c>
      <c r="N592" t="s">
        <v>5751</v>
      </c>
      <c r="O592" s="2">
        <v>40087</v>
      </c>
      <c r="P592" s="2">
        <v>40633</v>
      </c>
      <c r="Q592">
        <v>1</v>
      </c>
      <c r="R592" t="s">
        <v>6093</v>
      </c>
    </row>
    <row r="593" spans="1:18" x14ac:dyDescent="0.25">
      <c r="A593" t="s">
        <v>5303</v>
      </c>
      <c r="B593" t="s">
        <v>49</v>
      </c>
      <c r="C593" t="s">
        <v>50</v>
      </c>
      <c r="D593" t="s">
        <v>5280</v>
      </c>
      <c r="E593" t="s">
        <v>5293</v>
      </c>
      <c r="F593" t="s">
        <v>4554</v>
      </c>
      <c r="G593" t="s">
        <v>5304</v>
      </c>
      <c r="H593" s="10">
        <v>690659</v>
      </c>
      <c r="I593" s="10">
        <v>0</v>
      </c>
      <c r="J593" s="10">
        <v>0</v>
      </c>
      <c r="L593" t="s">
        <v>55</v>
      </c>
      <c r="M593" t="s">
        <v>94</v>
      </c>
      <c r="N593" t="s">
        <v>5751</v>
      </c>
      <c r="O593" s="2">
        <v>39904</v>
      </c>
      <c r="P593" s="2">
        <v>40999</v>
      </c>
      <c r="Q593">
        <v>1</v>
      </c>
      <c r="R593" t="s">
        <v>5750</v>
      </c>
    </row>
    <row r="594" spans="1:18" x14ac:dyDescent="0.25">
      <c r="A594" t="s">
        <v>1506</v>
      </c>
      <c r="B594" t="s">
        <v>157</v>
      </c>
      <c r="C594" t="s">
        <v>38</v>
      </c>
      <c r="D594" t="s">
        <v>51</v>
      </c>
      <c r="E594" t="s">
        <v>1383</v>
      </c>
      <c r="F594" t="s">
        <v>53</v>
      </c>
      <c r="G594" t="s">
        <v>1507</v>
      </c>
      <c r="H594" s="10">
        <v>100000</v>
      </c>
      <c r="I594" s="10">
        <v>0</v>
      </c>
      <c r="J594" s="10">
        <v>0</v>
      </c>
      <c r="L594" t="s">
        <v>34</v>
      </c>
      <c r="M594" t="s">
        <v>111</v>
      </c>
      <c r="N594" t="s">
        <v>961</v>
      </c>
      <c r="O594" s="2">
        <v>43374</v>
      </c>
      <c r="P594" s="2">
        <v>43738</v>
      </c>
      <c r="Q594">
        <v>0</v>
      </c>
      <c r="R594" t="s">
        <v>1508</v>
      </c>
    </row>
    <row r="595" spans="1:18" x14ac:dyDescent="0.25">
      <c r="A595" t="s">
        <v>4732</v>
      </c>
      <c r="B595" t="s">
        <v>107</v>
      </c>
      <c r="C595" t="s">
        <v>38</v>
      </c>
      <c r="D595" t="s">
        <v>4557</v>
      </c>
      <c r="E595" t="s">
        <v>4567</v>
      </c>
      <c r="F595" t="s">
        <v>4559</v>
      </c>
      <c r="G595" t="s">
        <v>4733</v>
      </c>
      <c r="H595" s="10">
        <v>180569</v>
      </c>
      <c r="I595" s="10">
        <v>0</v>
      </c>
      <c r="J595" s="10">
        <v>0</v>
      </c>
      <c r="L595" t="s">
        <v>55</v>
      </c>
      <c r="M595" t="s">
        <v>204</v>
      </c>
      <c r="N595" t="s">
        <v>6041</v>
      </c>
      <c r="O595" s="2">
        <v>41730</v>
      </c>
      <c r="P595" s="2">
        <v>42825</v>
      </c>
      <c r="Q595">
        <v>2</v>
      </c>
      <c r="R595" t="s">
        <v>6040</v>
      </c>
    </row>
    <row r="596" spans="1:18" x14ac:dyDescent="0.25">
      <c r="A596" t="s">
        <v>1509</v>
      </c>
      <c r="B596" t="s">
        <v>98</v>
      </c>
      <c r="C596" t="s">
        <v>20</v>
      </c>
      <c r="D596" t="s">
        <v>21</v>
      </c>
      <c r="E596" t="s">
        <v>549</v>
      </c>
      <c r="F596" t="s">
        <v>47</v>
      </c>
      <c r="G596" t="s">
        <v>1514</v>
      </c>
      <c r="H596" s="10">
        <v>664508</v>
      </c>
      <c r="I596" s="10">
        <v>0</v>
      </c>
      <c r="J596" s="10">
        <v>0</v>
      </c>
      <c r="L596" t="s">
        <v>25</v>
      </c>
      <c r="M596" t="s">
        <v>26</v>
      </c>
      <c r="N596" t="s">
        <v>1512</v>
      </c>
      <c r="O596" s="2">
        <v>42186</v>
      </c>
      <c r="P596" s="2">
        <v>43646</v>
      </c>
      <c r="Q596">
        <v>0</v>
      </c>
      <c r="R596" t="s">
        <v>1515</v>
      </c>
    </row>
    <row r="597" spans="1:18" x14ac:dyDescent="0.25">
      <c r="A597" t="s">
        <v>1509</v>
      </c>
      <c r="B597" t="s">
        <v>98</v>
      </c>
      <c r="C597" t="s">
        <v>20</v>
      </c>
      <c r="D597" t="s">
        <v>39</v>
      </c>
      <c r="E597" t="s">
        <v>1510</v>
      </c>
      <c r="F597" t="s">
        <v>47</v>
      </c>
      <c r="G597" t="s">
        <v>1511</v>
      </c>
      <c r="H597" s="10">
        <v>100000</v>
      </c>
      <c r="I597" s="10">
        <v>0</v>
      </c>
      <c r="J597" s="10">
        <v>0</v>
      </c>
      <c r="L597" t="s">
        <v>34</v>
      </c>
      <c r="M597" t="s">
        <v>26</v>
      </c>
      <c r="N597" t="s">
        <v>1512</v>
      </c>
      <c r="O597" s="2">
        <v>41913</v>
      </c>
      <c r="P597" s="2">
        <v>42277</v>
      </c>
      <c r="Q597">
        <v>0</v>
      </c>
      <c r="R597" t="s">
        <v>1513</v>
      </c>
    </row>
    <row r="598" spans="1:18" x14ac:dyDescent="0.25">
      <c r="A598" t="s">
        <v>4460</v>
      </c>
      <c r="B598" t="s">
        <v>302</v>
      </c>
      <c r="C598" t="s">
        <v>20</v>
      </c>
      <c r="D598" t="s">
        <v>4454</v>
      </c>
      <c r="E598" t="s">
        <v>4461</v>
      </c>
      <c r="F598" t="s">
        <v>4456</v>
      </c>
      <c r="G598" t="s">
        <v>4462</v>
      </c>
      <c r="H598" s="10">
        <v>89988</v>
      </c>
      <c r="I598" s="10">
        <v>0</v>
      </c>
      <c r="J598" s="10">
        <v>0</v>
      </c>
      <c r="L598" t="s">
        <v>34</v>
      </c>
      <c r="M598" t="s">
        <v>238</v>
      </c>
      <c r="N598" t="s">
        <v>5922</v>
      </c>
      <c r="O598" s="2">
        <v>41699</v>
      </c>
      <c r="P598" s="2">
        <v>42063</v>
      </c>
      <c r="Q598">
        <v>0</v>
      </c>
      <c r="R598" t="s">
        <v>5921</v>
      </c>
    </row>
    <row r="599" spans="1:18" x14ac:dyDescent="0.25">
      <c r="A599" t="s">
        <v>1516</v>
      </c>
      <c r="B599" t="s">
        <v>240</v>
      </c>
      <c r="C599" t="s">
        <v>20</v>
      </c>
      <c r="D599" t="s">
        <v>21</v>
      </c>
      <c r="E599" t="s">
        <v>534</v>
      </c>
      <c r="F599" t="s">
        <v>47</v>
      </c>
      <c r="G599" t="s">
        <v>1527</v>
      </c>
      <c r="H599" s="10">
        <v>581429</v>
      </c>
      <c r="I599" s="10">
        <v>0</v>
      </c>
      <c r="J599" s="10">
        <v>0</v>
      </c>
      <c r="L599" t="s">
        <v>25</v>
      </c>
      <c r="M599" t="s">
        <v>26</v>
      </c>
      <c r="N599" t="s">
        <v>1528</v>
      </c>
      <c r="O599" s="2">
        <v>40817</v>
      </c>
      <c r="P599" s="2">
        <v>42277</v>
      </c>
      <c r="Q599">
        <v>0</v>
      </c>
      <c r="R599" t="s">
        <v>1529</v>
      </c>
    </row>
    <row r="600" spans="1:18" x14ac:dyDescent="0.25">
      <c r="A600" t="s">
        <v>1516</v>
      </c>
      <c r="B600" t="s">
        <v>240</v>
      </c>
      <c r="C600" t="s">
        <v>20</v>
      </c>
      <c r="D600" t="s">
        <v>51</v>
      </c>
      <c r="E600" t="s">
        <v>406</v>
      </c>
      <c r="F600" t="s">
        <v>47</v>
      </c>
      <c r="G600" t="s">
        <v>1517</v>
      </c>
      <c r="H600" s="10">
        <v>956250</v>
      </c>
      <c r="I600" s="10">
        <v>0</v>
      </c>
      <c r="J600" s="10">
        <v>0</v>
      </c>
      <c r="L600" t="s">
        <v>42</v>
      </c>
      <c r="M600" t="s">
        <v>26</v>
      </c>
      <c r="N600" t="s">
        <v>1518</v>
      </c>
      <c r="O600" s="2">
        <v>43191</v>
      </c>
      <c r="P600" s="2">
        <v>45016</v>
      </c>
      <c r="Q600">
        <v>0</v>
      </c>
      <c r="R600" t="s">
        <v>1519</v>
      </c>
    </row>
    <row r="601" spans="1:18" x14ac:dyDescent="0.25">
      <c r="A601" t="s">
        <v>1516</v>
      </c>
      <c r="B601" t="s">
        <v>240</v>
      </c>
      <c r="C601" t="s">
        <v>20</v>
      </c>
      <c r="D601" t="s">
        <v>51</v>
      </c>
      <c r="E601" t="s">
        <v>186</v>
      </c>
      <c r="F601" t="s">
        <v>23</v>
      </c>
      <c r="G601" t="s">
        <v>1520</v>
      </c>
      <c r="H601" s="10">
        <v>1051876</v>
      </c>
      <c r="I601" s="10">
        <v>0</v>
      </c>
      <c r="J601" s="10">
        <v>0</v>
      </c>
      <c r="L601" t="s">
        <v>42</v>
      </c>
      <c r="M601" t="s">
        <v>26</v>
      </c>
      <c r="N601" t="s">
        <v>308</v>
      </c>
      <c r="O601" s="2">
        <v>44470</v>
      </c>
      <c r="P601" s="2">
        <v>46295</v>
      </c>
      <c r="Q601">
        <v>0</v>
      </c>
      <c r="R601" t="s">
        <v>1521</v>
      </c>
    </row>
    <row r="602" spans="1:18" x14ac:dyDescent="0.25">
      <c r="A602" t="s">
        <v>1516</v>
      </c>
      <c r="B602" t="s">
        <v>240</v>
      </c>
      <c r="C602" t="s">
        <v>20</v>
      </c>
      <c r="D602" t="s">
        <v>51</v>
      </c>
      <c r="E602" t="s">
        <v>127</v>
      </c>
      <c r="F602" t="s">
        <v>23</v>
      </c>
      <c r="G602" t="s">
        <v>1524</v>
      </c>
      <c r="H602" s="10">
        <v>1342576</v>
      </c>
      <c r="I602" s="10">
        <v>0</v>
      </c>
      <c r="J602" s="10">
        <v>0</v>
      </c>
      <c r="L602" t="s">
        <v>42</v>
      </c>
      <c r="M602" t="s">
        <v>26</v>
      </c>
      <c r="N602" t="s">
        <v>1525</v>
      </c>
      <c r="O602" s="2">
        <v>44835</v>
      </c>
      <c r="P602" s="2">
        <v>46660</v>
      </c>
      <c r="Q602">
        <v>0</v>
      </c>
      <c r="R602" t="s">
        <v>1526</v>
      </c>
    </row>
    <row r="603" spans="1:18" x14ac:dyDescent="0.25">
      <c r="A603" t="s">
        <v>5379</v>
      </c>
      <c r="B603" t="s">
        <v>240</v>
      </c>
      <c r="C603" t="s">
        <v>20</v>
      </c>
      <c r="D603" t="s">
        <v>51</v>
      </c>
      <c r="E603" t="s">
        <v>116</v>
      </c>
      <c r="F603" t="s">
        <v>23</v>
      </c>
      <c r="G603" t="s">
        <v>1522</v>
      </c>
      <c r="H603" s="10">
        <v>940950</v>
      </c>
      <c r="I603" s="10">
        <v>0</v>
      </c>
      <c r="J603" s="10">
        <v>0</v>
      </c>
      <c r="L603" t="s">
        <v>42</v>
      </c>
      <c r="M603" t="s">
        <v>26</v>
      </c>
      <c r="N603" t="s">
        <v>308</v>
      </c>
      <c r="O603" s="2">
        <v>43374</v>
      </c>
      <c r="P603" s="2">
        <v>45199</v>
      </c>
      <c r="Q603">
        <v>0</v>
      </c>
      <c r="R603" t="s">
        <v>1523</v>
      </c>
    </row>
    <row r="604" spans="1:18" x14ac:dyDescent="0.25">
      <c r="A604" t="s">
        <v>5380</v>
      </c>
      <c r="B604" t="s">
        <v>721</v>
      </c>
      <c r="C604" t="s">
        <v>20</v>
      </c>
      <c r="D604" t="s">
        <v>51</v>
      </c>
      <c r="E604" t="s">
        <v>70</v>
      </c>
      <c r="F604" t="s">
        <v>32</v>
      </c>
      <c r="G604" t="s">
        <v>1530</v>
      </c>
      <c r="H604" s="10">
        <v>3056176</v>
      </c>
      <c r="I604" s="10">
        <v>0</v>
      </c>
      <c r="J604" s="10">
        <v>0</v>
      </c>
      <c r="L604" t="s">
        <v>42</v>
      </c>
      <c r="M604" t="s">
        <v>26</v>
      </c>
      <c r="N604" t="s">
        <v>261</v>
      </c>
      <c r="O604" s="2">
        <v>45200</v>
      </c>
      <c r="P604" s="2">
        <v>47026</v>
      </c>
      <c r="Q604">
        <v>0</v>
      </c>
      <c r="R604" t="s">
        <v>1531</v>
      </c>
    </row>
    <row r="605" spans="1:18" x14ac:dyDescent="0.25">
      <c r="A605" t="s">
        <v>5381</v>
      </c>
      <c r="B605" t="s">
        <v>49</v>
      </c>
      <c r="C605" t="s">
        <v>50</v>
      </c>
      <c r="D605" t="s">
        <v>51</v>
      </c>
      <c r="E605" t="s">
        <v>197</v>
      </c>
      <c r="F605" t="s">
        <v>32</v>
      </c>
      <c r="G605" t="s">
        <v>1532</v>
      </c>
      <c r="H605" s="10">
        <v>1667700</v>
      </c>
      <c r="I605" s="10">
        <v>0</v>
      </c>
      <c r="J605" s="10">
        <v>0</v>
      </c>
      <c r="L605" t="s">
        <v>25</v>
      </c>
      <c r="M605" t="s">
        <v>26</v>
      </c>
      <c r="N605" t="s">
        <v>1533</v>
      </c>
      <c r="O605" s="2">
        <v>44652</v>
      </c>
      <c r="P605" s="2">
        <v>46112</v>
      </c>
      <c r="Q605">
        <v>0</v>
      </c>
      <c r="R605" t="s">
        <v>1534</v>
      </c>
    </row>
    <row r="606" spans="1:18" x14ac:dyDescent="0.25">
      <c r="A606" t="s">
        <v>1535</v>
      </c>
      <c r="B606" t="s">
        <v>19</v>
      </c>
      <c r="C606" t="s">
        <v>20</v>
      </c>
      <c r="D606" t="s">
        <v>21</v>
      </c>
      <c r="E606" t="s">
        <v>549</v>
      </c>
      <c r="F606" t="s">
        <v>47</v>
      </c>
      <c r="G606" t="s">
        <v>1536</v>
      </c>
      <c r="H606" s="10">
        <v>695400</v>
      </c>
      <c r="I606" s="10">
        <v>0</v>
      </c>
      <c r="J606" s="10">
        <v>0</v>
      </c>
      <c r="L606" t="s">
        <v>42</v>
      </c>
      <c r="M606" t="s">
        <v>26</v>
      </c>
      <c r="N606" t="s">
        <v>1537</v>
      </c>
      <c r="O606" s="2">
        <v>42186</v>
      </c>
      <c r="P606" s="2">
        <v>44377</v>
      </c>
      <c r="Q606">
        <v>1</v>
      </c>
      <c r="R606" t="s">
        <v>1538</v>
      </c>
    </row>
    <row r="607" spans="1:18" x14ac:dyDescent="0.25">
      <c r="A607" t="s">
        <v>1535</v>
      </c>
      <c r="B607" t="s">
        <v>19</v>
      </c>
      <c r="C607" t="s">
        <v>20</v>
      </c>
      <c r="D607" t="s">
        <v>51</v>
      </c>
      <c r="E607" t="s">
        <v>116</v>
      </c>
      <c r="F607" t="s">
        <v>23</v>
      </c>
      <c r="G607" t="s">
        <v>1541</v>
      </c>
      <c r="H607" s="10">
        <v>868276</v>
      </c>
      <c r="I607" s="10">
        <v>0</v>
      </c>
      <c r="J607" s="10">
        <v>0</v>
      </c>
      <c r="L607" t="s">
        <v>42</v>
      </c>
      <c r="M607" t="s">
        <v>26</v>
      </c>
      <c r="N607" t="s">
        <v>293</v>
      </c>
      <c r="O607" s="2">
        <v>43374</v>
      </c>
      <c r="P607" s="2">
        <v>45199</v>
      </c>
      <c r="Q607">
        <v>0</v>
      </c>
      <c r="R607" t="s">
        <v>1542</v>
      </c>
    </row>
    <row r="608" spans="1:18" x14ac:dyDescent="0.25">
      <c r="A608" t="s">
        <v>1535</v>
      </c>
      <c r="B608" t="s">
        <v>19</v>
      </c>
      <c r="C608" t="s">
        <v>20</v>
      </c>
      <c r="D608" t="s">
        <v>51</v>
      </c>
      <c r="E608" t="s">
        <v>197</v>
      </c>
      <c r="F608" t="s">
        <v>47</v>
      </c>
      <c r="G608" t="s">
        <v>1539</v>
      </c>
      <c r="H608" s="10">
        <v>998325</v>
      </c>
      <c r="I608" s="10">
        <v>0</v>
      </c>
      <c r="J608" s="10">
        <v>0</v>
      </c>
      <c r="L608" t="s">
        <v>42</v>
      </c>
      <c r="M608" t="s">
        <v>26</v>
      </c>
      <c r="N608" t="s">
        <v>72</v>
      </c>
      <c r="O608" s="2">
        <v>44652</v>
      </c>
      <c r="P608" s="2">
        <v>46477</v>
      </c>
      <c r="Q608">
        <v>0</v>
      </c>
      <c r="R608" t="s">
        <v>1540</v>
      </c>
    </row>
    <row r="609" spans="1:18" x14ac:dyDescent="0.25">
      <c r="A609" t="s">
        <v>5205</v>
      </c>
      <c r="B609" t="s">
        <v>98</v>
      </c>
      <c r="C609" t="s">
        <v>20</v>
      </c>
      <c r="D609" t="s">
        <v>5165</v>
      </c>
      <c r="E609" t="s">
        <v>5188</v>
      </c>
      <c r="F609" t="s">
        <v>4554</v>
      </c>
      <c r="G609" t="s">
        <v>5206</v>
      </c>
      <c r="H609" s="10">
        <v>136535</v>
      </c>
      <c r="I609" s="10">
        <v>0</v>
      </c>
      <c r="J609" s="10">
        <v>0</v>
      </c>
      <c r="L609" t="s">
        <v>55</v>
      </c>
      <c r="M609" t="s">
        <v>103</v>
      </c>
      <c r="N609" t="s">
        <v>5595</v>
      </c>
      <c r="O609" s="2">
        <v>41183</v>
      </c>
      <c r="P609" s="2">
        <v>42277</v>
      </c>
      <c r="Q609">
        <v>0</v>
      </c>
      <c r="R609" t="s">
        <v>5594</v>
      </c>
    </row>
    <row r="610" spans="1:18" x14ac:dyDescent="0.25">
      <c r="A610" t="s">
        <v>1543</v>
      </c>
      <c r="B610" t="s">
        <v>19</v>
      </c>
      <c r="C610" t="s">
        <v>20</v>
      </c>
      <c r="D610" t="s">
        <v>21</v>
      </c>
      <c r="E610" t="s">
        <v>22</v>
      </c>
      <c r="F610" t="s">
        <v>32</v>
      </c>
      <c r="G610" t="s">
        <v>1544</v>
      </c>
      <c r="H610" s="10">
        <v>245857</v>
      </c>
      <c r="I610" s="10">
        <v>0</v>
      </c>
      <c r="J610" s="10">
        <v>0</v>
      </c>
      <c r="L610" t="s">
        <v>55</v>
      </c>
      <c r="M610" t="s">
        <v>26</v>
      </c>
      <c r="N610" t="s">
        <v>1545</v>
      </c>
      <c r="O610" s="2">
        <v>41365</v>
      </c>
      <c r="P610" s="2">
        <v>42460</v>
      </c>
      <c r="Q610">
        <v>0</v>
      </c>
      <c r="R610" t="s">
        <v>1546</v>
      </c>
    </row>
    <row r="611" spans="1:18" x14ac:dyDescent="0.25">
      <c r="A611" t="s">
        <v>1547</v>
      </c>
      <c r="B611" t="s">
        <v>1406</v>
      </c>
      <c r="C611" t="s">
        <v>38</v>
      </c>
      <c r="D611" t="s">
        <v>51</v>
      </c>
      <c r="E611" t="s">
        <v>70</v>
      </c>
      <c r="F611" t="s">
        <v>109</v>
      </c>
      <c r="G611" t="s">
        <v>1548</v>
      </c>
      <c r="H611" s="10">
        <v>355726</v>
      </c>
      <c r="I611" s="10">
        <v>0</v>
      </c>
      <c r="J611" s="10">
        <v>0</v>
      </c>
      <c r="L611" t="s">
        <v>55</v>
      </c>
      <c r="M611" t="s">
        <v>103</v>
      </c>
      <c r="N611" t="s">
        <v>645</v>
      </c>
      <c r="O611" s="2">
        <v>45200</v>
      </c>
      <c r="P611" s="2">
        <v>46295</v>
      </c>
      <c r="Q611">
        <v>0</v>
      </c>
      <c r="R611" t="s">
        <v>1549</v>
      </c>
    </row>
    <row r="612" spans="1:18" x14ac:dyDescent="0.25">
      <c r="A612" t="s">
        <v>1550</v>
      </c>
      <c r="B612" t="s">
        <v>162</v>
      </c>
      <c r="C612" t="s">
        <v>149</v>
      </c>
      <c r="D612" t="s">
        <v>51</v>
      </c>
      <c r="E612" t="s">
        <v>163</v>
      </c>
      <c r="F612" t="s">
        <v>32</v>
      </c>
      <c r="G612" t="s">
        <v>1551</v>
      </c>
      <c r="H612" s="10">
        <v>837675</v>
      </c>
      <c r="I612" s="10">
        <v>0</v>
      </c>
      <c r="J612" s="10">
        <v>0</v>
      </c>
      <c r="L612" t="s">
        <v>42</v>
      </c>
      <c r="M612" t="s">
        <v>26</v>
      </c>
      <c r="N612" t="s">
        <v>135</v>
      </c>
      <c r="O612" s="2">
        <v>43556</v>
      </c>
      <c r="P612" s="2">
        <v>45382</v>
      </c>
      <c r="Q612">
        <v>0</v>
      </c>
      <c r="R612" t="s">
        <v>1552</v>
      </c>
    </row>
    <row r="613" spans="1:18" x14ac:dyDescent="0.25">
      <c r="A613" t="s">
        <v>1553</v>
      </c>
      <c r="B613" t="s">
        <v>240</v>
      </c>
      <c r="C613" t="s">
        <v>20</v>
      </c>
      <c r="D613" t="s">
        <v>21</v>
      </c>
      <c r="E613" t="s">
        <v>323</v>
      </c>
      <c r="F613" t="s">
        <v>109</v>
      </c>
      <c r="G613" t="s">
        <v>1554</v>
      </c>
      <c r="H613" s="10">
        <v>347223</v>
      </c>
      <c r="I613" s="10">
        <v>0</v>
      </c>
      <c r="J613" s="10">
        <v>0</v>
      </c>
      <c r="L613" t="s">
        <v>55</v>
      </c>
      <c r="M613" t="s">
        <v>103</v>
      </c>
      <c r="N613" t="s">
        <v>1555</v>
      </c>
      <c r="O613" s="2">
        <v>40269</v>
      </c>
      <c r="P613" s="2">
        <v>41364</v>
      </c>
      <c r="Q613">
        <v>0</v>
      </c>
      <c r="R613" t="s">
        <v>1556</v>
      </c>
    </row>
    <row r="614" spans="1:18" x14ac:dyDescent="0.25">
      <c r="A614" t="s">
        <v>1557</v>
      </c>
      <c r="B614" t="s">
        <v>148</v>
      </c>
      <c r="C614" t="s">
        <v>149</v>
      </c>
      <c r="D614" t="s">
        <v>21</v>
      </c>
      <c r="E614" t="s">
        <v>287</v>
      </c>
      <c r="F614" t="s">
        <v>53</v>
      </c>
      <c r="G614" t="s">
        <v>1558</v>
      </c>
      <c r="H614" s="10">
        <v>528435</v>
      </c>
      <c r="I614" s="10">
        <v>0</v>
      </c>
      <c r="J614" s="10">
        <v>0</v>
      </c>
      <c r="L614" t="s">
        <v>42</v>
      </c>
      <c r="M614" t="s">
        <v>204</v>
      </c>
      <c r="N614" t="s">
        <v>1559</v>
      </c>
      <c r="O614" s="2">
        <v>40634</v>
      </c>
      <c r="P614" s="2">
        <v>42460</v>
      </c>
      <c r="Q614">
        <v>0</v>
      </c>
      <c r="R614" t="s">
        <v>1560</v>
      </c>
    </row>
    <row r="615" spans="1:18" x14ac:dyDescent="0.25">
      <c r="A615" t="s">
        <v>1557</v>
      </c>
      <c r="B615" t="s">
        <v>148</v>
      </c>
      <c r="C615" t="s">
        <v>149</v>
      </c>
      <c r="D615" t="s">
        <v>21</v>
      </c>
      <c r="E615" t="s">
        <v>172</v>
      </c>
      <c r="F615" t="s">
        <v>53</v>
      </c>
      <c r="G615" t="s">
        <v>1561</v>
      </c>
      <c r="H615" s="10">
        <v>251472</v>
      </c>
      <c r="I615" s="10">
        <v>0</v>
      </c>
      <c r="J615" s="10">
        <v>0</v>
      </c>
      <c r="L615" t="s">
        <v>55</v>
      </c>
      <c r="M615" t="s">
        <v>204</v>
      </c>
      <c r="N615" t="s">
        <v>1562</v>
      </c>
      <c r="O615" s="2">
        <v>41548</v>
      </c>
      <c r="P615" s="2">
        <v>42643</v>
      </c>
      <c r="Q615">
        <v>0</v>
      </c>
      <c r="R615" t="s">
        <v>1563</v>
      </c>
    </row>
    <row r="616" spans="1:18" x14ac:dyDescent="0.25">
      <c r="A616" t="s">
        <v>1557</v>
      </c>
      <c r="B616" t="s">
        <v>148</v>
      </c>
      <c r="C616" t="s">
        <v>149</v>
      </c>
      <c r="D616" t="s">
        <v>21</v>
      </c>
      <c r="E616" t="s">
        <v>108</v>
      </c>
      <c r="F616" t="s">
        <v>53</v>
      </c>
      <c r="G616" t="s">
        <v>1561</v>
      </c>
      <c r="H616" s="10">
        <v>540050</v>
      </c>
      <c r="I616" s="10">
        <v>0</v>
      </c>
      <c r="J616" s="10">
        <v>0</v>
      </c>
      <c r="L616" t="s">
        <v>42</v>
      </c>
      <c r="M616" t="s">
        <v>204</v>
      </c>
      <c r="N616" t="s">
        <v>1562</v>
      </c>
      <c r="O616" s="2">
        <v>41548</v>
      </c>
      <c r="P616" s="2">
        <v>42185</v>
      </c>
      <c r="Q616">
        <v>0</v>
      </c>
      <c r="R616" t="s">
        <v>1563</v>
      </c>
    </row>
    <row r="617" spans="1:18" x14ac:dyDescent="0.25">
      <c r="A617" t="s">
        <v>5085</v>
      </c>
      <c r="B617" t="s">
        <v>19</v>
      </c>
      <c r="C617" t="s">
        <v>20</v>
      </c>
      <c r="D617" t="s">
        <v>21</v>
      </c>
      <c r="E617" t="s">
        <v>323</v>
      </c>
      <c r="F617" t="s">
        <v>47</v>
      </c>
      <c r="G617" t="s">
        <v>1564</v>
      </c>
      <c r="H617" s="10">
        <v>599314</v>
      </c>
      <c r="I617" s="10">
        <v>0</v>
      </c>
      <c r="J617" s="10">
        <v>0</v>
      </c>
      <c r="L617" t="s">
        <v>25</v>
      </c>
      <c r="M617" t="s">
        <v>26</v>
      </c>
      <c r="N617" t="s">
        <v>1565</v>
      </c>
      <c r="O617" s="2">
        <v>40269</v>
      </c>
      <c r="P617" s="2">
        <v>41729</v>
      </c>
      <c r="Q617">
        <v>0</v>
      </c>
      <c r="R617" t="s">
        <v>1566</v>
      </c>
    </row>
    <row r="618" spans="1:18" x14ac:dyDescent="0.25">
      <c r="A618" t="s">
        <v>1568</v>
      </c>
      <c r="B618" t="s">
        <v>19</v>
      </c>
      <c r="C618" t="s">
        <v>20</v>
      </c>
      <c r="D618" t="s">
        <v>51</v>
      </c>
      <c r="E618" t="s">
        <v>70</v>
      </c>
      <c r="F618" t="s">
        <v>32</v>
      </c>
      <c r="G618" t="s">
        <v>1573</v>
      </c>
      <c r="H618" s="10">
        <v>1017450</v>
      </c>
      <c r="I618" s="10">
        <v>0</v>
      </c>
      <c r="J618" s="10">
        <v>0</v>
      </c>
      <c r="L618" t="s">
        <v>42</v>
      </c>
      <c r="M618" t="s">
        <v>26</v>
      </c>
      <c r="N618" t="s">
        <v>135</v>
      </c>
      <c r="O618" s="2">
        <v>45200</v>
      </c>
      <c r="P618" s="2">
        <v>47026</v>
      </c>
      <c r="Q618">
        <v>0</v>
      </c>
      <c r="R618" t="s">
        <v>1574</v>
      </c>
    </row>
    <row r="619" spans="1:18" x14ac:dyDescent="0.25">
      <c r="A619" t="s">
        <v>5382</v>
      </c>
      <c r="B619" t="s">
        <v>19</v>
      </c>
      <c r="C619" t="s">
        <v>20</v>
      </c>
      <c r="D619" t="s">
        <v>51</v>
      </c>
      <c r="E619" t="s">
        <v>163</v>
      </c>
      <c r="F619" t="s">
        <v>32</v>
      </c>
      <c r="G619" t="s">
        <v>1571</v>
      </c>
      <c r="H619" s="10">
        <v>1273725</v>
      </c>
      <c r="I619" s="10">
        <v>0</v>
      </c>
      <c r="J619" s="10">
        <v>0</v>
      </c>
      <c r="L619" t="s">
        <v>42</v>
      </c>
      <c r="M619" t="s">
        <v>26</v>
      </c>
      <c r="N619" t="s">
        <v>135</v>
      </c>
      <c r="O619" s="2">
        <v>43556</v>
      </c>
      <c r="P619" s="2">
        <v>45382</v>
      </c>
      <c r="Q619">
        <v>0</v>
      </c>
      <c r="R619" t="s">
        <v>1572</v>
      </c>
    </row>
    <row r="620" spans="1:18" x14ac:dyDescent="0.25">
      <c r="A620" t="s">
        <v>5382</v>
      </c>
      <c r="B620" t="s">
        <v>19</v>
      </c>
      <c r="C620" t="s">
        <v>20</v>
      </c>
      <c r="D620" t="s">
        <v>51</v>
      </c>
      <c r="E620" t="s">
        <v>52</v>
      </c>
      <c r="F620" t="s">
        <v>32</v>
      </c>
      <c r="G620" t="s">
        <v>1569</v>
      </c>
      <c r="H620" s="10">
        <v>1438200</v>
      </c>
      <c r="I620" s="10">
        <v>0</v>
      </c>
      <c r="J620" s="10">
        <v>0</v>
      </c>
      <c r="L620" t="s">
        <v>42</v>
      </c>
      <c r="M620" t="s">
        <v>94</v>
      </c>
      <c r="N620" t="s">
        <v>1358</v>
      </c>
      <c r="O620" s="2">
        <v>44287</v>
      </c>
      <c r="P620" s="2">
        <v>46112</v>
      </c>
      <c r="Q620">
        <v>4</v>
      </c>
      <c r="R620" t="s">
        <v>1570</v>
      </c>
    </row>
    <row r="621" spans="1:18" x14ac:dyDescent="0.25">
      <c r="A621" t="s">
        <v>1575</v>
      </c>
      <c r="B621" t="s">
        <v>240</v>
      </c>
      <c r="C621" t="s">
        <v>20</v>
      </c>
      <c r="D621" t="s">
        <v>21</v>
      </c>
      <c r="E621" t="s">
        <v>549</v>
      </c>
      <c r="F621" t="s">
        <v>32</v>
      </c>
      <c r="G621" t="s">
        <v>1576</v>
      </c>
      <c r="H621" s="10">
        <v>773060</v>
      </c>
      <c r="I621" s="10">
        <v>0</v>
      </c>
      <c r="J621" s="10">
        <v>0</v>
      </c>
      <c r="L621" t="s">
        <v>42</v>
      </c>
      <c r="M621" t="s">
        <v>26</v>
      </c>
      <c r="N621" t="s">
        <v>1577</v>
      </c>
      <c r="O621" s="2">
        <v>42186</v>
      </c>
      <c r="P621" s="2">
        <v>44012</v>
      </c>
      <c r="Q621">
        <v>0</v>
      </c>
      <c r="R621" t="s">
        <v>1578</v>
      </c>
    </row>
    <row r="622" spans="1:18" x14ac:dyDescent="0.25">
      <c r="A622" t="s">
        <v>5383</v>
      </c>
      <c r="B622" t="s">
        <v>4496</v>
      </c>
      <c r="C622" t="s">
        <v>38</v>
      </c>
      <c r="D622" t="s">
        <v>51</v>
      </c>
      <c r="E622" t="s">
        <v>70</v>
      </c>
      <c r="F622" t="s">
        <v>32</v>
      </c>
      <c r="G622" t="s">
        <v>1579</v>
      </c>
      <c r="H622" s="10">
        <v>856800</v>
      </c>
      <c r="I622" s="10">
        <v>0</v>
      </c>
      <c r="J622" s="10">
        <v>0</v>
      </c>
      <c r="L622" t="s">
        <v>42</v>
      </c>
      <c r="M622" t="s">
        <v>26</v>
      </c>
      <c r="N622" t="s">
        <v>1032</v>
      </c>
      <c r="O622" s="2">
        <v>45200</v>
      </c>
      <c r="P622" s="2">
        <v>47026</v>
      </c>
      <c r="Q622">
        <v>0</v>
      </c>
      <c r="R622" t="s">
        <v>1580</v>
      </c>
    </row>
    <row r="623" spans="1:18" x14ac:dyDescent="0.25">
      <c r="A623" t="s">
        <v>4734</v>
      </c>
      <c r="B623" t="s">
        <v>98</v>
      </c>
      <c r="C623" t="s">
        <v>20</v>
      </c>
      <c r="D623" t="s">
        <v>4557</v>
      </c>
      <c r="E623" t="s">
        <v>4570</v>
      </c>
      <c r="F623" t="s">
        <v>4559</v>
      </c>
      <c r="G623" t="s">
        <v>4735</v>
      </c>
      <c r="H623" s="10">
        <v>240625</v>
      </c>
      <c r="I623" s="10">
        <v>0</v>
      </c>
      <c r="J623" s="10">
        <v>0</v>
      </c>
      <c r="L623" t="s">
        <v>55</v>
      </c>
      <c r="M623" t="s">
        <v>111</v>
      </c>
      <c r="N623" t="s">
        <v>5537</v>
      </c>
      <c r="O623" s="2">
        <v>42826</v>
      </c>
      <c r="P623" s="2">
        <v>43921</v>
      </c>
      <c r="Q623">
        <v>3</v>
      </c>
      <c r="R623" t="s">
        <v>5536</v>
      </c>
    </row>
    <row r="624" spans="1:18" x14ac:dyDescent="0.25">
      <c r="A624" t="s">
        <v>4736</v>
      </c>
      <c r="B624" t="s">
        <v>98</v>
      </c>
      <c r="C624" t="s">
        <v>20</v>
      </c>
      <c r="D624" t="s">
        <v>4557</v>
      </c>
      <c r="E624" t="s">
        <v>4581</v>
      </c>
      <c r="F624" t="s">
        <v>4559</v>
      </c>
      <c r="G624" t="s">
        <v>4737</v>
      </c>
      <c r="H624" s="10">
        <v>327657</v>
      </c>
      <c r="I624" s="10">
        <v>7500</v>
      </c>
      <c r="J624" s="10">
        <v>0</v>
      </c>
      <c r="L624" t="s">
        <v>55</v>
      </c>
      <c r="M624" t="s">
        <v>217</v>
      </c>
      <c r="N624" t="s">
        <v>5951</v>
      </c>
      <c r="O624" s="2">
        <v>43556</v>
      </c>
      <c r="P624" s="2">
        <v>44651</v>
      </c>
      <c r="Q624">
        <v>0</v>
      </c>
      <c r="R624" t="s">
        <v>5950</v>
      </c>
    </row>
    <row r="625" spans="1:18" x14ac:dyDescent="0.25">
      <c r="A625" t="s">
        <v>4738</v>
      </c>
      <c r="B625" t="s">
        <v>49</v>
      </c>
      <c r="C625" t="s">
        <v>50</v>
      </c>
      <c r="D625" t="s">
        <v>4557</v>
      </c>
      <c r="E625" t="s">
        <v>4597</v>
      </c>
      <c r="F625" t="s">
        <v>4559</v>
      </c>
      <c r="G625" t="s">
        <v>4739</v>
      </c>
      <c r="H625" s="10">
        <v>213832</v>
      </c>
      <c r="I625" s="10">
        <v>0</v>
      </c>
      <c r="J625" s="10">
        <v>0</v>
      </c>
      <c r="L625" t="s">
        <v>55</v>
      </c>
      <c r="M625" t="s">
        <v>204</v>
      </c>
      <c r="N625" t="s">
        <v>5730</v>
      </c>
      <c r="O625" s="2">
        <v>42095</v>
      </c>
      <c r="P625" s="2">
        <v>43190</v>
      </c>
      <c r="Q625">
        <v>0</v>
      </c>
      <c r="R625" t="s">
        <v>5729</v>
      </c>
    </row>
    <row r="626" spans="1:18" x14ac:dyDescent="0.25">
      <c r="A626" t="s">
        <v>1581</v>
      </c>
      <c r="B626" t="s">
        <v>4624</v>
      </c>
      <c r="C626" t="s">
        <v>38</v>
      </c>
      <c r="D626" t="s">
        <v>21</v>
      </c>
      <c r="E626" t="s">
        <v>572</v>
      </c>
      <c r="F626" t="s">
        <v>53</v>
      </c>
      <c r="G626" t="s">
        <v>1582</v>
      </c>
      <c r="H626" s="10">
        <v>658035</v>
      </c>
      <c r="I626" s="10">
        <v>0</v>
      </c>
      <c r="J626" s="10">
        <v>0</v>
      </c>
      <c r="L626" t="s">
        <v>42</v>
      </c>
      <c r="M626" t="s">
        <v>204</v>
      </c>
      <c r="N626" t="s">
        <v>1583</v>
      </c>
      <c r="O626" s="2">
        <v>41730</v>
      </c>
      <c r="P626" s="2">
        <v>43555</v>
      </c>
      <c r="Q626">
        <v>2</v>
      </c>
      <c r="R626" t="s">
        <v>1584</v>
      </c>
    </row>
    <row r="627" spans="1:18" x14ac:dyDescent="0.25">
      <c r="A627" t="s">
        <v>1585</v>
      </c>
      <c r="B627" t="s">
        <v>107</v>
      </c>
      <c r="C627" t="s">
        <v>38</v>
      </c>
      <c r="D627" t="s">
        <v>21</v>
      </c>
      <c r="E627" t="s">
        <v>549</v>
      </c>
      <c r="F627" t="s">
        <v>53</v>
      </c>
      <c r="G627" t="s">
        <v>1586</v>
      </c>
      <c r="H627" s="10">
        <v>576284</v>
      </c>
      <c r="I627" s="10">
        <v>0</v>
      </c>
      <c r="J627" s="10">
        <v>0</v>
      </c>
      <c r="L627" t="s">
        <v>42</v>
      </c>
      <c r="M627" t="s">
        <v>103</v>
      </c>
      <c r="N627" t="s">
        <v>1587</v>
      </c>
      <c r="O627" s="2">
        <v>42186</v>
      </c>
      <c r="P627" s="2">
        <v>44012</v>
      </c>
      <c r="Q627">
        <v>0</v>
      </c>
      <c r="R627" t="s">
        <v>1588</v>
      </c>
    </row>
    <row r="628" spans="1:18" x14ac:dyDescent="0.25">
      <c r="A628" t="s">
        <v>5384</v>
      </c>
      <c r="B628" t="s">
        <v>107</v>
      </c>
      <c r="C628" t="s">
        <v>38</v>
      </c>
      <c r="D628" t="s">
        <v>51</v>
      </c>
      <c r="E628" t="s">
        <v>167</v>
      </c>
      <c r="F628" t="s">
        <v>356</v>
      </c>
      <c r="G628" t="s">
        <v>1589</v>
      </c>
      <c r="H628" s="10">
        <v>797156</v>
      </c>
      <c r="I628" s="10">
        <v>0</v>
      </c>
      <c r="J628" s="10">
        <v>0</v>
      </c>
      <c r="L628" t="s">
        <v>42</v>
      </c>
      <c r="M628" t="s">
        <v>85</v>
      </c>
      <c r="N628" t="s">
        <v>1590</v>
      </c>
      <c r="O628" s="2">
        <v>45017</v>
      </c>
      <c r="P628" s="2">
        <v>46843</v>
      </c>
      <c r="Q628">
        <v>1</v>
      </c>
      <c r="R628" t="s">
        <v>1591</v>
      </c>
    </row>
    <row r="629" spans="1:18" x14ac:dyDescent="0.25">
      <c r="A629" t="s">
        <v>1592</v>
      </c>
      <c r="B629" t="s">
        <v>4513</v>
      </c>
      <c r="C629" t="s">
        <v>38</v>
      </c>
      <c r="D629" t="s">
        <v>21</v>
      </c>
      <c r="E629" t="s">
        <v>377</v>
      </c>
      <c r="F629" t="s">
        <v>109</v>
      </c>
      <c r="G629" t="s">
        <v>1594</v>
      </c>
      <c r="H629" s="10">
        <v>672197</v>
      </c>
      <c r="I629" s="10">
        <v>0</v>
      </c>
      <c r="J629" s="10">
        <v>0</v>
      </c>
      <c r="L629" t="s">
        <v>42</v>
      </c>
      <c r="M629" t="s">
        <v>111</v>
      </c>
      <c r="N629" t="s">
        <v>1595</v>
      </c>
      <c r="O629" s="2">
        <v>41183</v>
      </c>
      <c r="P629" s="2">
        <v>43008</v>
      </c>
      <c r="Q629">
        <v>0</v>
      </c>
      <c r="R629" t="s">
        <v>1596</v>
      </c>
    </row>
    <row r="630" spans="1:18" x14ac:dyDescent="0.25">
      <c r="A630" t="s">
        <v>1597</v>
      </c>
      <c r="B630" t="s">
        <v>196</v>
      </c>
      <c r="C630" t="s">
        <v>20</v>
      </c>
      <c r="D630" t="s">
        <v>21</v>
      </c>
      <c r="E630" t="s">
        <v>287</v>
      </c>
      <c r="F630" t="s">
        <v>109</v>
      </c>
      <c r="G630" t="s">
        <v>1605</v>
      </c>
      <c r="H630" s="10">
        <v>752848</v>
      </c>
      <c r="I630" s="10">
        <v>0</v>
      </c>
      <c r="J630" s="10">
        <v>0</v>
      </c>
      <c r="L630" t="s">
        <v>42</v>
      </c>
      <c r="M630" t="s">
        <v>204</v>
      </c>
      <c r="N630" t="s">
        <v>1601</v>
      </c>
      <c r="O630" s="2">
        <v>40634</v>
      </c>
      <c r="P630" s="2">
        <v>42460</v>
      </c>
      <c r="Q630">
        <v>1</v>
      </c>
      <c r="R630" t="s">
        <v>1606</v>
      </c>
    </row>
    <row r="631" spans="1:18" x14ac:dyDescent="0.25">
      <c r="A631" t="s">
        <v>1597</v>
      </c>
      <c r="B631" t="s">
        <v>196</v>
      </c>
      <c r="C631" t="s">
        <v>20</v>
      </c>
      <c r="D631" t="s">
        <v>21</v>
      </c>
      <c r="E631" t="s">
        <v>22</v>
      </c>
      <c r="F631" t="s">
        <v>109</v>
      </c>
      <c r="G631" t="s">
        <v>1603</v>
      </c>
      <c r="H631" s="10">
        <v>649806</v>
      </c>
      <c r="I631" s="10">
        <v>0</v>
      </c>
      <c r="J631" s="10">
        <v>0</v>
      </c>
      <c r="L631" t="s">
        <v>42</v>
      </c>
      <c r="M631" t="s">
        <v>204</v>
      </c>
      <c r="N631" t="s">
        <v>1601</v>
      </c>
      <c r="O631" s="2">
        <v>41365</v>
      </c>
      <c r="P631" s="2">
        <v>43190</v>
      </c>
      <c r="Q631">
        <v>0</v>
      </c>
      <c r="R631" t="s">
        <v>1604</v>
      </c>
    </row>
    <row r="632" spans="1:18" x14ac:dyDescent="0.25">
      <c r="A632" t="s">
        <v>1597</v>
      </c>
      <c r="B632" t="s">
        <v>196</v>
      </c>
      <c r="C632" t="s">
        <v>20</v>
      </c>
      <c r="D632" t="s">
        <v>21</v>
      </c>
      <c r="E632" t="s">
        <v>572</v>
      </c>
      <c r="F632" t="s">
        <v>109</v>
      </c>
      <c r="G632" t="s">
        <v>1600</v>
      </c>
      <c r="H632" s="10">
        <v>719145</v>
      </c>
      <c r="I632" s="10">
        <v>0</v>
      </c>
      <c r="J632" s="10">
        <v>0</v>
      </c>
      <c r="L632" t="s">
        <v>42</v>
      </c>
      <c r="M632" t="s">
        <v>204</v>
      </c>
      <c r="N632" t="s">
        <v>1601</v>
      </c>
      <c r="O632" s="2">
        <v>41730</v>
      </c>
      <c r="P632" s="2">
        <v>42551</v>
      </c>
      <c r="Q632">
        <v>0</v>
      </c>
      <c r="R632" t="s">
        <v>1602</v>
      </c>
    </row>
    <row r="633" spans="1:18" x14ac:dyDescent="0.25">
      <c r="A633" t="s">
        <v>1597</v>
      </c>
      <c r="B633" t="s">
        <v>196</v>
      </c>
      <c r="C633" t="s">
        <v>20</v>
      </c>
      <c r="D633" t="s">
        <v>51</v>
      </c>
      <c r="E633" t="s">
        <v>167</v>
      </c>
      <c r="F633" t="s">
        <v>109</v>
      </c>
      <c r="G633" t="s">
        <v>1598</v>
      </c>
      <c r="H633" s="10">
        <v>807075</v>
      </c>
      <c r="I633" s="10">
        <v>0</v>
      </c>
      <c r="J633" s="10">
        <v>0</v>
      </c>
      <c r="L633" t="s">
        <v>42</v>
      </c>
      <c r="M633" t="s">
        <v>26</v>
      </c>
      <c r="N633" t="s">
        <v>786</v>
      </c>
      <c r="O633" s="2">
        <v>45108</v>
      </c>
      <c r="P633" s="2">
        <v>46934</v>
      </c>
      <c r="Q633">
        <v>0</v>
      </c>
      <c r="R633" t="s">
        <v>1599</v>
      </c>
    </row>
    <row r="634" spans="1:18" x14ac:dyDescent="0.25">
      <c r="A634" t="s">
        <v>1607</v>
      </c>
      <c r="B634" t="s">
        <v>49</v>
      </c>
      <c r="C634" t="s">
        <v>50</v>
      </c>
      <c r="D634" t="s">
        <v>51</v>
      </c>
      <c r="E634" t="s">
        <v>406</v>
      </c>
      <c r="F634" t="s">
        <v>23</v>
      </c>
      <c r="G634" t="s">
        <v>1608</v>
      </c>
      <c r="H634" s="10">
        <v>150000</v>
      </c>
      <c r="I634" s="10">
        <v>0</v>
      </c>
      <c r="J634" s="10">
        <v>0</v>
      </c>
      <c r="L634" t="s">
        <v>55</v>
      </c>
      <c r="M634" t="s">
        <v>26</v>
      </c>
      <c r="N634" t="s">
        <v>1609</v>
      </c>
      <c r="O634" s="2">
        <v>43191</v>
      </c>
      <c r="P634" s="2">
        <v>44286</v>
      </c>
      <c r="Q634">
        <v>0</v>
      </c>
      <c r="R634" t="s">
        <v>1610</v>
      </c>
    </row>
    <row r="635" spans="1:18" x14ac:dyDescent="0.25">
      <c r="A635" t="s">
        <v>1607</v>
      </c>
      <c r="B635" t="s">
        <v>49</v>
      </c>
      <c r="C635" t="s">
        <v>50</v>
      </c>
      <c r="D635" t="s">
        <v>51</v>
      </c>
      <c r="E635" t="s">
        <v>52</v>
      </c>
      <c r="F635" t="s">
        <v>32</v>
      </c>
      <c r="G635" t="s">
        <v>1614</v>
      </c>
      <c r="H635" s="10">
        <v>642600</v>
      </c>
      <c r="I635" s="10">
        <v>0</v>
      </c>
      <c r="J635" s="10">
        <v>0</v>
      </c>
      <c r="L635" t="s">
        <v>25</v>
      </c>
      <c r="M635" t="s">
        <v>26</v>
      </c>
      <c r="N635" t="s">
        <v>1615</v>
      </c>
      <c r="O635" s="2">
        <v>44287</v>
      </c>
      <c r="P635" s="2">
        <v>45747</v>
      </c>
      <c r="Q635">
        <v>0</v>
      </c>
      <c r="R635" t="s">
        <v>1616</v>
      </c>
    </row>
    <row r="636" spans="1:18" x14ac:dyDescent="0.25">
      <c r="A636" t="s">
        <v>1607</v>
      </c>
      <c r="B636" t="s">
        <v>49</v>
      </c>
      <c r="C636" t="s">
        <v>50</v>
      </c>
      <c r="D636" t="s">
        <v>1027</v>
      </c>
      <c r="E636" t="s">
        <v>1028</v>
      </c>
      <c r="F636" t="s">
        <v>1029</v>
      </c>
      <c r="G636" t="s">
        <v>1611</v>
      </c>
      <c r="H636" s="10">
        <v>100000</v>
      </c>
      <c r="I636" s="10">
        <v>0</v>
      </c>
      <c r="J636" s="10">
        <v>0</v>
      </c>
      <c r="L636" t="s">
        <v>34</v>
      </c>
      <c r="M636" t="s">
        <v>94</v>
      </c>
      <c r="N636" t="s">
        <v>1612</v>
      </c>
      <c r="O636" s="2">
        <v>40087</v>
      </c>
      <c r="P636" s="2">
        <v>40451</v>
      </c>
      <c r="Q636">
        <v>0</v>
      </c>
      <c r="R636" t="s">
        <v>1613</v>
      </c>
    </row>
    <row r="637" spans="1:18" x14ac:dyDescent="0.25">
      <c r="A637" t="s">
        <v>1617</v>
      </c>
      <c r="B637" t="s">
        <v>19</v>
      </c>
      <c r="C637" t="s">
        <v>20</v>
      </c>
      <c r="D637" t="s">
        <v>51</v>
      </c>
      <c r="E637" t="s">
        <v>167</v>
      </c>
      <c r="F637" t="s">
        <v>47</v>
      </c>
      <c r="G637" t="s">
        <v>1618</v>
      </c>
      <c r="H637" s="10">
        <v>956250</v>
      </c>
      <c r="I637" s="10">
        <v>0</v>
      </c>
      <c r="J637" s="10">
        <v>0</v>
      </c>
      <c r="L637" t="s">
        <v>42</v>
      </c>
      <c r="M637" t="s">
        <v>26</v>
      </c>
      <c r="N637" t="s">
        <v>729</v>
      </c>
      <c r="O637" s="2">
        <v>45017</v>
      </c>
      <c r="P637" s="2">
        <v>46843</v>
      </c>
      <c r="Q637">
        <v>0</v>
      </c>
      <c r="R637" t="s">
        <v>1619</v>
      </c>
    </row>
    <row r="638" spans="1:18" x14ac:dyDescent="0.25">
      <c r="A638" t="s">
        <v>1620</v>
      </c>
      <c r="B638" t="s">
        <v>240</v>
      </c>
      <c r="C638" t="s">
        <v>20</v>
      </c>
      <c r="D638" t="s">
        <v>21</v>
      </c>
      <c r="E638" t="s">
        <v>323</v>
      </c>
      <c r="F638" t="s">
        <v>47</v>
      </c>
      <c r="G638" t="s">
        <v>1626</v>
      </c>
      <c r="H638" s="10">
        <v>515320</v>
      </c>
      <c r="I638" s="10">
        <v>0</v>
      </c>
      <c r="J638" s="10">
        <v>0</v>
      </c>
      <c r="L638" t="s">
        <v>25</v>
      </c>
      <c r="M638" t="s">
        <v>26</v>
      </c>
      <c r="N638" t="s">
        <v>1627</v>
      </c>
      <c r="O638" s="2">
        <v>40269</v>
      </c>
      <c r="P638" s="2">
        <v>41729</v>
      </c>
      <c r="Q638">
        <v>0</v>
      </c>
      <c r="R638" t="s">
        <v>1628</v>
      </c>
    </row>
    <row r="639" spans="1:18" x14ac:dyDescent="0.25">
      <c r="A639" t="s">
        <v>1620</v>
      </c>
      <c r="B639" t="s">
        <v>240</v>
      </c>
      <c r="C639" t="s">
        <v>20</v>
      </c>
      <c r="D639" t="s">
        <v>21</v>
      </c>
      <c r="E639" t="s">
        <v>74</v>
      </c>
      <c r="F639" t="s">
        <v>23</v>
      </c>
      <c r="G639" t="s">
        <v>1631</v>
      </c>
      <c r="H639" s="10">
        <v>762872</v>
      </c>
      <c r="I639" s="10">
        <v>0</v>
      </c>
      <c r="J639" s="10">
        <v>0</v>
      </c>
      <c r="L639" t="s">
        <v>42</v>
      </c>
      <c r="M639" t="s">
        <v>26</v>
      </c>
      <c r="N639" t="s">
        <v>1632</v>
      </c>
      <c r="O639" s="2">
        <v>41000</v>
      </c>
      <c r="P639" s="2">
        <v>42825</v>
      </c>
      <c r="Q639">
        <v>0</v>
      </c>
      <c r="R639" t="s">
        <v>1633</v>
      </c>
    </row>
    <row r="640" spans="1:18" x14ac:dyDescent="0.25">
      <c r="A640" t="s">
        <v>1620</v>
      </c>
      <c r="B640" t="s">
        <v>240</v>
      </c>
      <c r="C640" t="s">
        <v>20</v>
      </c>
      <c r="D640" t="s">
        <v>21</v>
      </c>
      <c r="E640" t="s">
        <v>60</v>
      </c>
      <c r="F640" t="s">
        <v>23</v>
      </c>
      <c r="G640" t="s">
        <v>1623</v>
      </c>
      <c r="H640" s="10">
        <v>990596</v>
      </c>
      <c r="I640" s="10">
        <v>0</v>
      </c>
      <c r="J640" s="10">
        <v>0</v>
      </c>
      <c r="L640" t="s">
        <v>42</v>
      </c>
      <c r="M640" t="s">
        <v>26</v>
      </c>
      <c r="N640" t="s">
        <v>1624</v>
      </c>
      <c r="O640" s="2">
        <v>41821</v>
      </c>
      <c r="P640" s="2">
        <v>43646</v>
      </c>
      <c r="Q640">
        <v>2</v>
      </c>
      <c r="R640" t="s">
        <v>1625</v>
      </c>
    </row>
    <row r="641" spans="1:18" x14ac:dyDescent="0.25">
      <c r="A641" t="s">
        <v>1620</v>
      </c>
      <c r="B641" t="s">
        <v>240</v>
      </c>
      <c r="C641" t="s">
        <v>20</v>
      </c>
      <c r="D641" t="s">
        <v>51</v>
      </c>
      <c r="E641" t="s">
        <v>163</v>
      </c>
      <c r="F641" t="s">
        <v>23</v>
      </c>
      <c r="G641" t="s">
        <v>1629</v>
      </c>
      <c r="H641" s="10">
        <v>1023190</v>
      </c>
      <c r="I641" s="10">
        <v>0</v>
      </c>
      <c r="J641" s="10">
        <v>0</v>
      </c>
      <c r="L641" t="s">
        <v>42</v>
      </c>
      <c r="M641" t="s">
        <v>26</v>
      </c>
      <c r="N641" t="s">
        <v>308</v>
      </c>
      <c r="O641" s="2">
        <v>43556</v>
      </c>
      <c r="P641" s="2">
        <v>45382</v>
      </c>
      <c r="Q641">
        <v>0</v>
      </c>
      <c r="R641" t="s">
        <v>1630</v>
      </c>
    </row>
    <row r="642" spans="1:18" x14ac:dyDescent="0.25">
      <c r="A642" t="s">
        <v>1620</v>
      </c>
      <c r="B642" t="s">
        <v>240</v>
      </c>
      <c r="C642" t="s">
        <v>20</v>
      </c>
      <c r="D642" t="s">
        <v>51</v>
      </c>
      <c r="E642" t="s">
        <v>186</v>
      </c>
      <c r="F642" t="s">
        <v>47</v>
      </c>
      <c r="G642" t="s">
        <v>1621</v>
      </c>
      <c r="H642" s="10">
        <v>967726</v>
      </c>
      <c r="I642" s="10">
        <v>0</v>
      </c>
      <c r="J642" s="10">
        <v>0</v>
      </c>
      <c r="L642" t="s">
        <v>42</v>
      </c>
      <c r="M642" t="s">
        <v>26</v>
      </c>
      <c r="N642" t="s">
        <v>308</v>
      </c>
      <c r="O642" s="2">
        <v>44470</v>
      </c>
      <c r="P642" s="2">
        <v>46295</v>
      </c>
      <c r="Q642">
        <v>0</v>
      </c>
      <c r="R642" t="s">
        <v>1622</v>
      </c>
    </row>
    <row r="643" spans="1:18" x14ac:dyDescent="0.25">
      <c r="A643" t="s">
        <v>1634</v>
      </c>
      <c r="B643" t="s">
        <v>107</v>
      </c>
      <c r="C643" t="s">
        <v>38</v>
      </c>
      <c r="D643" t="s">
        <v>21</v>
      </c>
      <c r="E643" t="s">
        <v>108</v>
      </c>
      <c r="F643" t="s">
        <v>23</v>
      </c>
      <c r="G643" t="s">
        <v>1635</v>
      </c>
      <c r="H643" s="10">
        <v>815192</v>
      </c>
      <c r="I643" s="10">
        <v>0</v>
      </c>
      <c r="J643" s="10">
        <v>0</v>
      </c>
      <c r="L643" t="s">
        <v>42</v>
      </c>
      <c r="M643" t="s">
        <v>26</v>
      </c>
      <c r="N643" t="s">
        <v>1636</v>
      </c>
      <c r="O643" s="2">
        <v>41548</v>
      </c>
      <c r="P643" s="2">
        <v>43373</v>
      </c>
      <c r="Q643">
        <v>0</v>
      </c>
      <c r="R643" t="s">
        <v>1637</v>
      </c>
    </row>
    <row r="644" spans="1:18" x14ac:dyDescent="0.25">
      <c r="A644" t="s">
        <v>1634</v>
      </c>
      <c r="B644" t="s">
        <v>107</v>
      </c>
      <c r="C644" t="s">
        <v>38</v>
      </c>
      <c r="D644" t="s">
        <v>51</v>
      </c>
      <c r="E644" t="s">
        <v>406</v>
      </c>
      <c r="F644" t="s">
        <v>47</v>
      </c>
      <c r="G644" t="s">
        <v>1640</v>
      </c>
      <c r="H644" s="10">
        <v>845325</v>
      </c>
      <c r="I644" s="10">
        <v>0</v>
      </c>
      <c r="J644" s="10">
        <v>0</v>
      </c>
      <c r="L644" t="s">
        <v>42</v>
      </c>
      <c r="M644" t="s">
        <v>26</v>
      </c>
      <c r="N644" t="s">
        <v>135</v>
      </c>
      <c r="O644" s="2">
        <v>43191</v>
      </c>
      <c r="P644" s="2">
        <v>45016</v>
      </c>
      <c r="Q644">
        <v>0</v>
      </c>
      <c r="R644" t="s">
        <v>1641</v>
      </c>
    </row>
    <row r="645" spans="1:18" x14ac:dyDescent="0.25">
      <c r="A645" t="s">
        <v>1634</v>
      </c>
      <c r="B645" t="s">
        <v>107</v>
      </c>
      <c r="C645" t="s">
        <v>38</v>
      </c>
      <c r="D645" t="s">
        <v>51</v>
      </c>
      <c r="E645" t="s">
        <v>259</v>
      </c>
      <c r="F645" t="s">
        <v>47</v>
      </c>
      <c r="G645" t="s">
        <v>1638</v>
      </c>
      <c r="H645" s="10">
        <v>952426</v>
      </c>
      <c r="I645" s="10">
        <v>0</v>
      </c>
      <c r="J645" s="10">
        <v>0</v>
      </c>
      <c r="L645" t="s">
        <v>42</v>
      </c>
      <c r="M645" t="s">
        <v>26</v>
      </c>
      <c r="N645" t="s">
        <v>135</v>
      </c>
      <c r="O645" s="2">
        <v>44105</v>
      </c>
      <c r="P645" s="2">
        <v>45930</v>
      </c>
      <c r="Q645">
        <v>0</v>
      </c>
      <c r="R645" t="s">
        <v>1639</v>
      </c>
    </row>
    <row r="646" spans="1:18" x14ac:dyDescent="0.25">
      <c r="A646" t="s">
        <v>1634</v>
      </c>
      <c r="B646" t="s">
        <v>107</v>
      </c>
      <c r="C646" t="s">
        <v>38</v>
      </c>
      <c r="D646" t="s">
        <v>51</v>
      </c>
      <c r="E646" t="s">
        <v>223</v>
      </c>
      <c r="F646" t="s">
        <v>23</v>
      </c>
      <c r="G646" t="s">
        <v>1642</v>
      </c>
      <c r="H646" s="10">
        <v>1116900</v>
      </c>
      <c r="I646" s="10">
        <v>0</v>
      </c>
      <c r="J646" s="10">
        <v>0</v>
      </c>
      <c r="L646" t="s">
        <v>42</v>
      </c>
      <c r="M646" t="s">
        <v>26</v>
      </c>
      <c r="N646" t="s">
        <v>72</v>
      </c>
      <c r="O646" s="2">
        <v>45566</v>
      </c>
      <c r="P646" s="2">
        <v>47391</v>
      </c>
      <c r="Q646">
        <v>0</v>
      </c>
      <c r="R646" t="s">
        <v>1643</v>
      </c>
    </row>
    <row r="647" spans="1:18" x14ac:dyDescent="0.25">
      <c r="A647" t="s">
        <v>1644</v>
      </c>
      <c r="B647" t="s">
        <v>240</v>
      </c>
      <c r="C647" t="s">
        <v>20</v>
      </c>
      <c r="D647" t="s">
        <v>51</v>
      </c>
      <c r="E647" t="s">
        <v>163</v>
      </c>
      <c r="F647" t="s">
        <v>128</v>
      </c>
      <c r="G647" t="s">
        <v>1645</v>
      </c>
      <c r="H647" s="10">
        <v>891225</v>
      </c>
      <c r="I647" s="10">
        <v>0</v>
      </c>
      <c r="J647" s="10">
        <v>0</v>
      </c>
      <c r="L647" t="s">
        <v>42</v>
      </c>
      <c r="M647" t="s">
        <v>26</v>
      </c>
      <c r="N647" t="s">
        <v>67</v>
      </c>
      <c r="O647" s="2">
        <v>43556</v>
      </c>
      <c r="P647" s="2">
        <v>45382</v>
      </c>
      <c r="Q647">
        <v>0</v>
      </c>
      <c r="R647" t="s">
        <v>1646</v>
      </c>
    </row>
    <row r="648" spans="1:18" x14ac:dyDescent="0.25">
      <c r="A648" t="s">
        <v>1647</v>
      </c>
      <c r="B648" t="s">
        <v>5069</v>
      </c>
      <c r="C648" t="s">
        <v>38</v>
      </c>
      <c r="D648" t="s">
        <v>51</v>
      </c>
      <c r="E648" t="s">
        <v>122</v>
      </c>
      <c r="F648" t="s">
        <v>23</v>
      </c>
      <c r="G648" t="s">
        <v>1648</v>
      </c>
      <c r="H648" s="10">
        <v>761176</v>
      </c>
      <c r="I648" s="10">
        <v>0</v>
      </c>
      <c r="J648" s="10">
        <v>0</v>
      </c>
      <c r="L648" t="s">
        <v>42</v>
      </c>
      <c r="M648" t="s">
        <v>26</v>
      </c>
      <c r="N648" t="s">
        <v>729</v>
      </c>
      <c r="O648" s="2">
        <v>43739</v>
      </c>
      <c r="P648" s="2">
        <v>45565</v>
      </c>
      <c r="Q648">
        <v>0</v>
      </c>
      <c r="R648" t="s">
        <v>1649</v>
      </c>
    </row>
    <row r="649" spans="1:18" x14ac:dyDescent="0.25">
      <c r="A649" t="s">
        <v>1650</v>
      </c>
      <c r="B649" t="s">
        <v>49</v>
      </c>
      <c r="C649" t="s">
        <v>50</v>
      </c>
      <c r="D649" t="s">
        <v>21</v>
      </c>
      <c r="E649" t="s">
        <v>194</v>
      </c>
      <c r="F649" t="s">
        <v>47</v>
      </c>
      <c r="G649" t="s">
        <v>1651</v>
      </c>
      <c r="H649" s="11">
        <v>538998</v>
      </c>
      <c r="I649" s="11">
        <v>0</v>
      </c>
      <c r="J649" s="11">
        <v>0</v>
      </c>
      <c r="L649" t="s">
        <v>25</v>
      </c>
      <c r="M649" t="s">
        <v>26</v>
      </c>
      <c r="N649" t="s">
        <v>1652</v>
      </c>
      <c r="O649" s="2">
        <v>40087</v>
      </c>
      <c r="P649" s="2">
        <v>41547</v>
      </c>
      <c r="Q649">
        <v>3</v>
      </c>
      <c r="R649" t="s">
        <v>1653</v>
      </c>
    </row>
    <row r="650" spans="1:18" x14ac:dyDescent="0.25">
      <c r="A650" t="s">
        <v>1650</v>
      </c>
      <c r="B650" t="s">
        <v>49</v>
      </c>
      <c r="C650" t="s">
        <v>50</v>
      </c>
      <c r="D650" t="s">
        <v>21</v>
      </c>
      <c r="E650" t="s">
        <v>172</v>
      </c>
      <c r="F650" t="s">
        <v>47</v>
      </c>
      <c r="G650" t="s">
        <v>1654</v>
      </c>
      <c r="H650" s="10">
        <v>541640</v>
      </c>
      <c r="I650" s="10">
        <v>0</v>
      </c>
      <c r="J650" s="10">
        <v>0</v>
      </c>
      <c r="L650" t="s">
        <v>25</v>
      </c>
      <c r="M650" t="s">
        <v>26</v>
      </c>
      <c r="N650" t="s">
        <v>1652</v>
      </c>
      <c r="O650" s="2">
        <v>40452</v>
      </c>
      <c r="P650" s="2">
        <v>41912</v>
      </c>
      <c r="Q650">
        <v>2</v>
      </c>
      <c r="R650" t="s">
        <v>1655</v>
      </c>
    </row>
    <row r="651" spans="1:18" x14ac:dyDescent="0.25">
      <c r="A651" t="s">
        <v>1656</v>
      </c>
      <c r="B651" t="s">
        <v>4464</v>
      </c>
      <c r="C651" t="s">
        <v>20</v>
      </c>
      <c r="D651" t="s">
        <v>21</v>
      </c>
      <c r="E651" t="s">
        <v>74</v>
      </c>
      <c r="F651" t="s">
        <v>109</v>
      </c>
      <c r="G651" t="s">
        <v>1660</v>
      </c>
      <c r="H651" s="10">
        <v>803100</v>
      </c>
      <c r="I651" s="10">
        <v>0</v>
      </c>
      <c r="J651" s="10">
        <v>0</v>
      </c>
      <c r="L651" t="s">
        <v>42</v>
      </c>
      <c r="M651" t="s">
        <v>111</v>
      </c>
      <c r="N651" t="s">
        <v>1661</v>
      </c>
      <c r="O651" s="2">
        <v>41000</v>
      </c>
      <c r="P651" s="2">
        <v>42825</v>
      </c>
      <c r="Q651">
        <v>9</v>
      </c>
      <c r="R651" t="s">
        <v>1662</v>
      </c>
    </row>
    <row r="652" spans="1:18" x14ac:dyDescent="0.25">
      <c r="A652" t="s">
        <v>1656</v>
      </c>
      <c r="B652" t="s">
        <v>4464</v>
      </c>
      <c r="C652" t="s">
        <v>20</v>
      </c>
      <c r="D652" t="s">
        <v>21</v>
      </c>
      <c r="E652" t="s">
        <v>549</v>
      </c>
      <c r="F652" t="s">
        <v>109</v>
      </c>
      <c r="G652" t="s">
        <v>1657</v>
      </c>
      <c r="H652" s="10">
        <v>722716</v>
      </c>
      <c r="I652" s="10">
        <v>0</v>
      </c>
      <c r="J652" s="10">
        <v>0</v>
      </c>
      <c r="L652" t="s">
        <v>42</v>
      </c>
      <c r="M652" t="s">
        <v>103</v>
      </c>
      <c r="N652" t="s">
        <v>1658</v>
      </c>
      <c r="O652" s="2">
        <v>42186</v>
      </c>
      <c r="P652" s="2">
        <v>42916</v>
      </c>
      <c r="Q652">
        <v>1</v>
      </c>
      <c r="R652" t="s">
        <v>1659</v>
      </c>
    </row>
    <row r="653" spans="1:18" x14ac:dyDescent="0.25">
      <c r="A653" t="s">
        <v>1663</v>
      </c>
      <c r="B653" t="s">
        <v>4494</v>
      </c>
      <c r="C653" t="s">
        <v>38</v>
      </c>
      <c r="D653" t="s">
        <v>21</v>
      </c>
      <c r="E653" t="s">
        <v>172</v>
      </c>
      <c r="F653" t="s">
        <v>32</v>
      </c>
      <c r="G653" t="s">
        <v>1668</v>
      </c>
      <c r="H653" s="10">
        <v>343654</v>
      </c>
      <c r="I653" s="10">
        <v>0</v>
      </c>
      <c r="J653" s="10">
        <v>0</v>
      </c>
      <c r="L653" t="s">
        <v>55</v>
      </c>
      <c r="M653" t="s">
        <v>26</v>
      </c>
      <c r="N653" t="s">
        <v>1669</v>
      </c>
      <c r="O653" s="2">
        <v>40452</v>
      </c>
      <c r="P653" s="2">
        <v>41547</v>
      </c>
      <c r="Q653">
        <v>0</v>
      </c>
      <c r="R653" t="s">
        <v>1670</v>
      </c>
    </row>
    <row r="654" spans="1:18" x14ac:dyDescent="0.25">
      <c r="A654" t="s">
        <v>1663</v>
      </c>
      <c r="B654" t="s">
        <v>4494</v>
      </c>
      <c r="C654" t="s">
        <v>38</v>
      </c>
      <c r="D654" t="s">
        <v>1664</v>
      </c>
      <c r="E654" t="s">
        <v>1665</v>
      </c>
      <c r="F654" t="s">
        <v>128</v>
      </c>
      <c r="G654" t="s">
        <v>1666</v>
      </c>
      <c r="H654" s="10">
        <v>100000</v>
      </c>
      <c r="I654" s="10">
        <v>0</v>
      </c>
      <c r="J654" s="10">
        <v>0</v>
      </c>
      <c r="L654" t="s">
        <v>34</v>
      </c>
      <c r="M654" t="s">
        <v>26</v>
      </c>
      <c r="N654" t="s">
        <v>1329</v>
      </c>
      <c r="O654" s="2">
        <v>44470</v>
      </c>
      <c r="P654" s="2">
        <v>44834</v>
      </c>
      <c r="Q654">
        <v>0</v>
      </c>
      <c r="R654" t="s">
        <v>1667</v>
      </c>
    </row>
    <row r="655" spans="1:18" x14ac:dyDescent="0.25">
      <c r="A655" t="s">
        <v>5086</v>
      </c>
      <c r="B655" t="s">
        <v>240</v>
      </c>
      <c r="C655" t="s">
        <v>20</v>
      </c>
      <c r="D655" t="s">
        <v>21</v>
      </c>
      <c r="E655" t="s">
        <v>572</v>
      </c>
      <c r="F655" t="s">
        <v>47</v>
      </c>
      <c r="G655" t="s">
        <v>1673</v>
      </c>
      <c r="H655" s="10">
        <v>771485</v>
      </c>
      <c r="I655" s="10">
        <v>0</v>
      </c>
      <c r="J655" s="10">
        <v>0</v>
      </c>
      <c r="L655" t="s">
        <v>42</v>
      </c>
      <c r="M655" t="s">
        <v>26</v>
      </c>
      <c r="N655" t="s">
        <v>1674</v>
      </c>
      <c r="O655" s="2">
        <v>41730</v>
      </c>
      <c r="P655" s="2">
        <v>43555</v>
      </c>
      <c r="Q655">
        <v>0</v>
      </c>
      <c r="R655" t="s">
        <v>1675</v>
      </c>
    </row>
    <row r="656" spans="1:18" x14ac:dyDescent="0.25">
      <c r="A656" t="s">
        <v>5086</v>
      </c>
      <c r="B656" t="s">
        <v>240</v>
      </c>
      <c r="C656" t="s">
        <v>20</v>
      </c>
      <c r="D656" t="s">
        <v>51</v>
      </c>
      <c r="E656" t="s">
        <v>163</v>
      </c>
      <c r="F656" t="s">
        <v>47</v>
      </c>
      <c r="G656" t="s">
        <v>1671</v>
      </c>
      <c r="H656" s="10">
        <v>929475</v>
      </c>
      <c r="I656" s="10">
        <v>0</v>
      </c>
      <c r="J656" s="10">
        <v>0</v>
      </c>
      <c r="L656" t="s">
        <v>42</v>
      </c>
      <c r="M656" t="s">
        <v>26</v>
      </c>
      <c r="N656" t="s">
        <v>1254</v>
      </c>
      <c r="O656" s="2">
        <v>43556</v>
      </c>
      <c r="P656" s="2">
        <v>45382</v>
      </c>
      <c r="Q656">
        <v>0</v>
      </c>
      <c r="R656" t="s">
        <v>1672</v>
      </c>
    </row>
    <row r="657" spans="1:18" x14ac:dyDescent="0.25">
      <c r="A657" t="s">
        <v>1677</v>
      </c>
      <c r="B657" t="s">
        <v>157</v>
      </c>
      <c r="C657" t="s">
        <v>38</v>
      </c>
      <c r="D657" t="s">
        <v>21</v>
      </c>
      <c r="E657" t="s">
        <v>534</v>
      </c>
      <c r="F657" t="s">
        <v>23</v>
      </c>
      <c r="G657" t="s">
        <v>1678</v>
      </c>
      <c r="H657" s="10">
        <v>707975</v>
      </c>
      <c r="I657" s="10">
        <v>0</v>
      </c>
      <c r="J657" s="10">
        <v>0</v>
      </c>
      <c r="L657" t="s">
        <v>42</v>
      </c>
      <c r="M657" t="s">
        <v>26</v>
      </c>
      <c r="N657" t="s">
        <v>1679</v>
      </c>
      <c r="O657" s="2">
        <v>40817</v>
      </c>
      <c r="P657" s="2">
        <v>42643</v>
      </c>
      <c r="Q657">
        <v>1</v>
      </c>
      <c r="R657" t="s">
        <v>1680</v>
      </c>
    </row>
    <row r="658" spans="1:18" x14ac:dyDescent="0.25">
      <c r="A658" t="s">
        <v>1677</v>
      </c>
      <c r="B658" t="s">
        <v>157</v>
      </c>
      <c r="C658" t="s">
        <v>38</v>
      </c>
      <c r="D658" t="s">
        <v>21</v>
      </c>
      <c r="E658" t="s">
        <v>22</v>
      </c>
      <c r="F658" t="s">
        <v>23</v>
      </c>
      <c r="G658" t="s">
        <v>1681</v>
      </c>
      <c r="H658" s="10">
        <v>788500</v>
      </c>
      <c r="I658" s="10">
        <v>0</v>
      </c>
      <c r="J658" s="10">
        <v>0</v>
      </c>
      <c r="L658" t="s">
        <v>42</v>
      </c>
      <c r="M658" t="s">
        <v>26</v>
      </c>
      <c r="N658" t="s">
        <v>1427</v>
      </c>
      <c r="O658" s="2">
        <v>41365</v>
      </c>
      <c r="P658" s="2">
        <v>43190</v>
      </c>
      <c r="Q658">
        <v>0</v>
      </c>
      <c r="R658" t="s">
        <v>1682</v>
      </c>
    </row>
    <row r="659" spans="1:18" x14ac:dyDescent="0.25">
      <c r="A659" t="s">
        <v>1677</v>
      </c>
      <c r="B659" t="s">
        <v>157</v>
      </c>
      <c r="C659" t="s">
        <v>38</v>
      </c>
      <c r="D659" t="s">
        <v>51</v>
      </c>
      <c r="E659" t="s">
        <v>223</v>
      </c>
      <c r="F659" t="s">
        <v>23</v>
      </c>
      <c r="G659" t="s">
        <v>1683</v>
      </c>
      <c r="H659" s="10">
        <v>1269900</v>
      </c>
      <c r="I659" s="10">
        <v>0</v>
      </c>
      <c r="J659" s="10">
        <v>0</v>
      </c>
      <c r="L659" t="s">
        <v>42</v>
      </c>
      <c r="M659" t="s">
        <v>26</v>
      </c>
      <c r="N659" t="s">
        <v>1684</v>
      </c>
      <c r="O659" s="2">
        <v>45566</v>
      </c>
      <c r="P659" s="2">
        <v>47391</v>
      </c>
      <c r="Q659">
        <v>0</v>
      </c>
      <c r="R659" t="s">
        <v>1685</v>
      </c>
    </row>
    <row r="660" spans="1:18" x14ac:dyDescent="0.25">
      <c r="A660" t="s">
        <v>1686</v>
      </c>
      <c r="B660" t="s">
        <v>474</v>
      </c>
      <c r="C660" t="s">
        <v>20</v>
      </c>
      <c r="D660" t="s">
        <v>51</v>
      </c>
      <c r="E660" t="s">
        <v>52</v>
      </c>
      <c r="F660" t="s">
        <v>47</v>
      </c>
      <c r="G660" t="s">
        <v>1687</v>
      </c>
      <c r="H660" s="10">
        <v>1097775</v>
      </c>
      <c r="I660" s="10">
        <v>0</v>
      </c>
      <c r="J660" s="10">
        <v>0</v>
      </c>
      <c r="L660" t="s">
        <v>42</v>
      </c>
      <c r="M660" t="s">
        <v>26</v>
      </c>
      <c r="N660" t="s">
        <v>1688</v>
      </c>
      <c r="O660" s="2">
        <v>44287</v>
      </c>
      <c r="P660" s="2">
        <v>46112</v>
      </c>
      <c r="Q660">
        <v>0</v>
      </c>
      <c r="R660" t="s">
        <v>1689</v>
      </c>
    </row>
    <row r="661" spans="1:18" x14ac:dyDescent="0.25">
      <c r="A661" t="s">
        <v>1690</v>
      </c>
      <c r="B661" t="s">
        <v>19</v>
      </c>
      <c r="C661" t="s">
        <v>20</v>
      </c>
      <c r="D661" t="s">
        <v>21</v>
      </c>
      <c r="E661" t="s">
        <v>323</v>
      </c>
      <c r="F661" t="s">
        <v>109</v>
      </c>
      <c r="G661" t="s">
        <v>1691</v>
      </c>
      <c r="H661" s="10">
        <v>559353</v>
      </c>
      <c r="I661" s="10">
        <v>0</v>
      </c>
      <c r="J661" s="10">
        <v>0</v>
      </c>
      <c r="L661" t="s">
        <v>42</v>
      </c>
      <c r="M661" t="s">
        <v>26</v>
      </c>
      <c r="N661" t="s">
        <v>1692</v>
      </c>
      <c r="O661" s="2">
        <v>40269</v>
      </c>
      <c r="P661" s="2">
        <v>42094</v>
      </c>
      <c r="Q661">
        <v>1</v>
      </c>
      <c r="R661" t="s">
        <v>1693</v>
      </c>
    </row>
    <row r="662" spans="1:18" x14ac:dyDescent="0.25">
      <c r="A662" t="s">
        <v>5087</v>
      </c>
      <c r="B662" t="s">
        <v>19</v>
      </c>
      <c r="C662" t="s">
        <v>20</v>
      </c>
      <c r="D662" t="s">
        <v>21</v>
      </c>
      <c r="E662" t="s">
        <v>108</v>
      </c>
      <c r="F662" t="s">
        <v>109</v>
      </c>
      <c r="G662" t="s">
        <v>1694</v>
      </c>
      <c r="H662" s="10">
        <v>328486</v>
      </c>
      <c r="I662" s="10">
        <v>0</v>
      </c>
      <c r="J662" s="10">
        <v>0</v>
      </c>
      <c r="L662" t="s">
        <v>55</v>
      </c>
      <c r="M662" t="s">
        <v>26</v>
      </c>
      <c r="N662" t="s">
        <v>1042</v>
      </c>
      <c r="O662" s="2">
        <v>41548</v>
      </c>
      <c r="P662" s="2">
        <v>42643</v>
      </c>
      <c r="Q662">
        <v>0</v>
      </c>
      <c r="R662" t="s">
        <v>1695</v>
      </c>
    </row>
    <row r="663" spans="1:18" x14ac:dyDescent="0.25">
      <c r="A663" t="s">
        <v>1696</v>
      </c>
      <c r="B663" t="s">
        <v>5063</v>
      </c>
      <c r="C663" t="s">
        <v>38</v>
      </c>
      <c r="D663" t="s">
        <v>51</v>
      </c>
      <c r="E663" t="s">
        <v>163</v>
      </c>
      <c r="F663" t="s">
        <v>128</v>
      </c>
      <c r="G663" t="s">
        <v>1697</v>
      </c>
      <c r="H663" s="10">
        <v>753525</v>
      </c>
      <c r="I663" s="10">
        <v>0</v>
      </c>
      <c r="J663" s="10">
        <v>0</v>
      </c>
      <c r="L663" t="s">
        <v>42</v>
      </c>
      <c r="M663" t="s">
        <v>26</v>
      </c>
      <c r="N663" t="s">
        <v>135</v>
      </c>
      <c r="O663" s="2">
        <v>43556</v>
      </c>
      <c r="P663" s="2">
        <v>45382</v>
      </c>
      <c r="Q663">
        <v>0</v>
      </c>
      <c r="R663" t="s">
        <v>1698</v>
      </c>
    </row>
    <row r="664" spans="1:18" x14ac:dyDescent="0.25">
      <c r="A664" t="s">
        <v>5260</v>
      </c>
      <c r="B664" t="s">
        <v>355</v>
      </c>
      <c r="C664" t="s">
        <v>20</v>
      </c>
      <c r="D664" t="s">
        <v>5248</v>
      </c>
      <c r="E664" t="s">
        <v>5252</v>
      </c>
      <c r="F664" t="s">
        <v>4554</v>
      </c>
      <c r="G664" t="s">
        <v>5261</v>
      </c>
      <c r="H664" s="10">
        <v>24591</v>
      </c>
      <c r="I664" s="10">
        <v>1303</v>
      </c>
      <c r="J664" s="10">
        <v>0</v>
      </c>
      <c r="L664" t="s">
        <v>34</v>
      </c>
      <c r="M664" t="s">
        <v>85</v>
      </c>
      <c r="N664" t="s">
        <v>6037</v>
      </c>
      <c r="O664" s="2">
        <v>40817</v>
      </c>
      <c r="P664" s="2">
        <v>41182</v>
      </c>
      <c r="Q664">
        <v>0</v>
      </c>
      <c r="R664" t="s">
        <v>6036</v>
      </c>
    </row>
    <row r="665" spans="1:18" x14ac:dyDescent="0.25">
      <c r="A665" t="s">
        <v>5385</v>
      </c>
      <c r="B665" t="s">
        <v>49</v>
      </c>
      <c r="C665" t="s">
        <v>50</v>
      </c>
      <c r="D665" t="s">
        <v>51</v>
      </c>
      <c r="E665" t="s">
        <v>223</v>
      </c>
      <c r="F665" t="s">
        <v>47</v>
      </c>
      <c r="G665" t="s">
        <v>1699</v>
      </c>
      <c r="H665" s="10">
        <v>1166628</v>
      </c>
      <c r="I665" s="10">
        <v>0</v>
      </c>
      <c r="J665" s="10">
        <v>0</v>
      </c>
      <c r="L665" t="s">
        <v>1700</v>
      </c>
      <c r="M665" t="s">
        <v>26</v>
      </c>
      <c r="N665" t="s">
        <v>1701</v>
      </c>
      <c r="O665" s="2">
        <v>45566</v>
      </c>
      <c r="P665" s="2">
        <v>48121</v>
      </c>
      <c r="Q665">
        <v>0</v>
      </c>
      <c r="R665" t="s">
        <v>1702</v>
      </c>
    </row>
    <row r="666" spans="1:18" x14ac:dyDescent="0.25">
      <c r="A666" t="s">
        <v>5386</v>
      </c>
      <c r="B666" t="s">
        <v>4494</v>
      </c>
      <c r="C666" t="s">
        <v>38</v>
      </c>
      <c r="D666" t="s">
        <v>51</v>
      </c>
      <c r="E666" t="s">
        <v>223</v>
      </c>
      <c r="F666" t="s">
        <v>109</v>
      </c>
      <c r="G666" t="s">
        <v>1703</v>
      </c>
      <c r="H666" s="10">
        <v>983024</v>
      </c>
      <c r="I666" s="10">
        <v>0</v>
      </c>
      <c r="J666" s="10">
        <v>0</v>
      </c>
      <c r="L666" t="s">
        <v>25</v>
      </c>
      <c r="M666" t="s">
        <v>26</v>
      </c>
      <c r="N666" t="s">
        <v>1704</v>
      </c>
      <c r="O666" s="2">
        <v>45566</v>
      </c>
      <c r="P666" s="2">
        <v>47026</v>
      </c>
      <c r="Q666">
        <v>0</v>
      </c>
      <c r="R666" t="s">
        <v>1705</v>
      </c>
    </row>
    <row r="667" spans="1:18" x14ac:dyDescent="0.25">
      <c r="A667" t="s">
        <v>1706</v>
      </c>
      <c r="B667" t="s">
        <v>49</v>
      </c>
      <c r="C667" t="s">
        <v>50</v>
      </c>
      <c r="D667" t="s">
        <v>241</v>
      </c>
      <c r="E667" t="s">
        <v>368</v>
      </c>
      <c r="F667" t="s">
        <v>243</v>
      </c>
      <c r="G667" t="s">
        <v>1707</v>
      </c>
      <c r="H667" s="10">
        <v>300000</v>
      </c>
      <c r="I667" s="10">
        <v>0</v>
      </c>
      <c r="J667" s="10">
        <v>0</v>
      </c>
      <c r="L667" t="s">
        <v>55</v>
      </c>
      <c r="M667" t="s">
        <v>143</v>
      </c>
      <c r="N667" t="s">
        <v>1708</v>
      </c>
      <c r="O667" s="2">
        <v>40452</v>
      </c>
      <c r="P667" s="2">
        <v>41547</v>
      </c>
      <c r="Q667">
        <v>1</v>
      </c>
      <c r="R667" t="s">
        <v>1709</v>
      </c>
    </row>
    <row r="668" spans="1:18" x14ac:dyDescent="0.25">
      <c r="A668" t="s">
        <v>1706</v>
      </c>
      <c r="B668" t="s">
        <v>49</v>
      </c>
      <c r="C668" t="s">
        <v>50</v>
      </c>
      <c r="D668" t="s">
        <v>21</v>
      </c>
      <c r="E668" t="s">
        <v>194</v>
      </c>
      <c r="F668" t="s">
        <v>32</v>
      </c>
      <c r="G668" t="s">
        <v>1710</v>
      </c>
      <c r="H668" s="11">
        <v>480608</v>
      </c>
      <c r="I668" s="11">
        <v>0</v>
      </c>
      <c r="J668" s="11">
        <v>0</v>
      </c>
      <c r="L668" t="s">
        <v>25</v>
      </c>
      <c r="M668" t="s">
        <v>26</v>
      </c>
      <c r="N668" t="s">
        <v>1711</v>
      </c>
      <c r="O668" s="2">
        <v>40087</v>
      </c>
      <c r="P668" s="2">
        <v>41547</v>
      </c>
      <c r="Q668">
        <v>16</v>
      </c>
      <c r="R668" t="s">
        <v>1712</v>
      </c>
    </row>
    <row r="669" spans="1:18" x14ac:dyDescent="0.25">
      <c r="A669" t="s">
        <v>1706</v>
      </c>
      <c r="B669" t="s">
        <v>49</v>
      </c>
      <c r="C669" t="s">
        <v>50</v>
      </c>
      <c r="D669" t="s">
        <v>5165</v>
      </c>
      <c r="E669" t="s">
        <v>5179</v>
      </c>
      <c r="F669" t="s">
        <v>4554</v>
      </c>
      <c r="G669" t="s">
        <v>5207</v>
      </c>
      <c r="H669" s="10">
        <v>750000</v>
      </c>
      <c r="I669" s="10">
        <v>0</v>
      </c>
      <c r="J669" s="10">
        <v>0</v>
      </c>
      <c r="L669" t="s">
        <v>55</v>
      </c>
      <c r="M669" t="s">
        <v>94</v>
      </c>
      <c r="N669" t="s">
        <v>5533</v>
      </c>
      <c r="O669" s="2">
        <v>42095</v>
      </c>
      <c r="P669" s="2">
        <v>43190</v>
      </c>
      <c r="Q669">
        <v>10</v>
      </c>
      <c r="R669" t="s">
        <v>5532</v>
      </c>
    </row>
    <row r="670" spans="1:18" x14ac:dyDescent="0.25">
      <c r="A670" t="s">
        <v>1713</v>
      </c>
      <c r="B670" t="s">
        <v>49</v>
      </c>
      <c r="C670" t="s">
        <v>50</v>
      </c>
      <c r="D670" t="s">
        <v>21</v>
      </c>
      <c r="E670" t="s">
        <v>74</v>
      </c>
      <c r="F670" t="s">
        <v>47</v>
      </c>
      <c r="G670" t="s">
        <v>1716</v>
      </c>
      <c r="H670" s="10">
        <v>636768</v>
      </c>
      <c r="I670" s="10">
        <v>0</v>
      </c>
      <c r="J670" s="10">
        <v>0</v>
      </c>
      <c r="L670" t="s">
        <v>25</v>
      </c>
      <c r="M670" t="s">
        <v>26</v>
      </c>
      <c r="N670" t="s">
        <v>1717</v>
      </c>
      <c r="O670" s="2">
        <v>41000</v>
      </c>
      <c r="P670" s="2">
        <v>42460</v>
      </c>
      <c r="Q670">
        <v>0</v>
      </c>
      <c r="R670" t="s">
        <v>1718</v>
      </c>
    </row>
    <row r="671" spans="1:18" x14ac:dyDescent="0.25">
      <c r="A671" t="s">
        <v>1713</v>
      </c>
      <c r="B671" t="s">
        <v>49</v>
      </c>
      <c r="C671" t="s">
        <v>50</v>
      </c>
      <c r="D671" t="s">
        <v>21</v>
      </c>
      <c r="E671" t="s">
        <v>572</v>
      </c>
      <c r="F671" t="s">
        <v>47</v>
      </c>
      <c r="G671" t="s">
        <v>1719</v>
      </c>
      <c r="H671" s="10">
        <v>658800</v>
      </c>
      <c r="I671" s="10">
        <v>0</v>
      </c>
      <c r="J671" s="10">
        <v>0</v>
      </c>
      <c r="L671" t="s">
        <v>42</v>
      </c>
      <c r="M671" t="s">
        <v>26</v>
      </c>
      <c r="N671" t="s">
        <v>325</v>
      </c>
      <c r="O671" s="2">
        <v>41730</v>
      </c>
      <c r="P671" s="2">
        <v>43555</v>
      </c>
      <c r="Q671">
        <v>0</v>
      </c>
      <c r="R671" t="s">
        <v>1720</v>
      </c>
    </row>
    <row r="672" spans="1:18" x14ac:dyDescent="0.25">
      <c r="A672" t="s">
        <v>1713</v>
      </c>
      <c r="B672" t="s">
        <v>49</v>
      </c>
      <c r="C672" t="s">
        <v>50</v>
      </c>
      <c r="D672" t="s">
        <v>51</v>
      </c>
      <c r="E672" t="s">
        <v>406</v>
      </c>
      <c r="F672" t="s">
        <v>47</v>
      </c>
      <c r="G672" t="s">
        <v>1721</v>
      </c>
      <c r="H672" s="10">
        <v>787950</v>
      </c>
      <c r="I672" s="10">
        <v>0</v>
      </c>
      <c r="J672" s="10">
        <v>0</v>
      </c>
      <c r="L672" t="s">
        <v>42</v>
      </c>
      <c r="M672" t="s">
        <v>26</v>
      </c>
      <c r="N672" t="s">
        <v>135</v>
      </c>
      <c r="O672" s="2">
        <v>43191</v>
      </c>
      <c r="P672" s="2">
        <v>45016</v>
      </c>
      <c r="Q672">
        <v>0</v>
      </c>
      <c r="R672" t="s">
        <v>1722</v>
      </c>
    </row>
    <row r="673" spans="1:18" x14ac:dyDescent="0.25">
      <c r="A673" t="s">
        <v>1713</v>
      </c>
      <c r="B673" t="s">
        <v>49</v>
      </c>
      <c r="C673" t="s">
        <v>50</v>
      </c>
      <c r="D673" t="s">
        <v>51</v>
      </c>
      <c r="E673" t="s">
        <v>158</v>
      </c>
      <c r="F673" t="s">
        <v>23</v>
      </c>
      <c r="G673" t="s">
        <v>1723</v>
      </c>
      <c r="H673" s="10">
        <v>902700</v>
      </c>
      <c r="I673" s="10">
        <v>0</v>
      </c>
      <c r="J673" s="10">
        <v>0</v>
      </c>
      <c r="L673" t="s">
        <v>42</v>
      </c>
      <c r="M673" t="s">
        <v>26</v>
      </c>
      <c r="N673" t="s">
        <v>135</v>
      </c>
      <c r="O673" s="2">
        <v>43922</v>
      </c>
      <c r="P673" s="2">
        <v>45747</v>
      </c>
      <c r="Q673">
        <v>0</v>
      </c>
      <c r="R673" t="s">
        <v>1724</v>
      </c>
    </row>
    <row r="674" spans="1:18" x14ac:dyDescent="0.25">
      <c r="A674" t="s">
        <v>1713</v>
      </c>
      <c r="B674" t="s">
        <v>49</v>
      </c>
      <c r="C674" t="s">
        <v>50</v>
      </c>
      <c r="D674" t="s">
        <v>51</v>
      </c>
      <c r="E674" t="s">
        <v>211</v>
      </c>
      <c r="F674" t="s">
        <v>47</v>
      </c>
      <c r="G674" t="s">
        <v>1714</v>
      </c>
      <c r="H674" s="10">
        <v>100000</v>
      </c>
      <c r="I674" s="10">
        <v>0</v>
      </c>
      <c r="J674" s="10">
        <v>0</v>
      </c>
      <c r="L674" t="s">
        <v>34</v>
      </c>
      <c r="M674" t="s">
        <v>26</v>
      </c>
      <c r="N674" t="s">
        <v>135</v>
      </c>
      <c r="O674" s="2">
        <v>45017</v>
      </c>
      <c r="P674" s="2">
        <v>45382</v>
      </c>
      <c r="Q674">
        <v>3</v>
      </c>
      <c r="R674" t="s">
        <v>1715</v>
      </c>
    </row>
    <row r="675" spans="1:18" x14ac:dyDescent="0.25">
      <c r="A675" t="s">
        <v>1725</v>
      </c>
      <c r="B675" t="s">
        <v>672</v>
      </c>
      <c r="C675" t="s">
        <v>50</v>
      </c>
      <c r="D675" t="s">
        <v>21</v>
      </c>
      <c r="E675" t="s">
        <v>74</v>
      </c>
      <c r="F675" t="s">
        <v>109</v>
      </c>
      <c r="G675" t="s">
        <v>1726</v>
      </c>
      <c r="H675" s="10">
        <v>523965</v>
      </c>
      <c r="I675" s="10">
        <v>0</v>
      </c>
      <c r="J675" s="10">
        <v>0</v>
      </c>
      <c r="L675" t="s">
        <v>42</v>
      </c>
      <c r="M675" t="s">
        <v>26</v>
      </c>
      <c r="N675" t="s">
        <v>1727</v>
      </c>
      <c r="O675" s="2">
        <v>41000</v>
      </c>
      <c r="P675" s="2">
        <v>42825</v>
      </c>
      <c r="Q675">
        <v>0</v>
      </c>
      <c r="R675" t="s">
        <v>1728</v>
      </c>
    </row>
    <row r="676" spans="1:18" x14ac:dyDescent="0.25">
      <c r="A676" t="s">
        <v>1729</v>
      </c>
      <c r="B676" t="s">
        <v>148</v>
      </c>
      <c r="C676" t="s">
        <v>149</v>
      </c>
      <c r="D676" t="s">
        <v>21</v>
      </c>
      <c r="E676" t="s">
        <v>323</v>
      </c>
      <c r="F676" t="s">
        <v>32</v>
      </c>
      <c r="G676" t="s">
        <v>1730</v>
      </c>
      <c r="H676" s="10">
        <v>384114</v>
      </c>
      <c r="I676" s="10">
        <v>0</v>
      </c>
      <c r="J676" s="10">
        <v>0</v>
      </c>
      <c r="L676" t="s">
        <v>55</v>
      </c>
      <c r="M676" t="s">
        <v>26</v>
      </c>
      <c r="N676" t="s">
        <v>1731</v>
      </c>
      <c r="O676" s="2">
        <v>40269</v>
      </c>
      <c r="P676" s="2">
        <v>41364</v>
      </c>
      <c r="Q676">
        <v>0</v>
      </c>
      <c r="R676" t="s">
        <v>1732</v>
      </c>
    </row>
    <row r="677" spans="1:18" x14ac:dyDescent="0.25">
      <c r="A677" t="s">
        <v>1729</v>
      </c>
      <c r="B677" t="s">
        <v>148</v>
      </c>
      <c r="C677" t="s">
        <v>149</v>
      </c>
      <c r="D677" t="s">
        <v>21</v>
      </c>
      <c r="E677" t="s">
        <v>549</v>
      </c>
      <c r="F677" t="s">
        <v>47</v>
      </c>
      <c r="G677" t="s">
        <v>1733</v>
      </c>
      <c r="H677" s="10">
        <v>660400</v>
      </c>
      <c r="I677" s="10">
        <v>0</v>
      </c>
      <c r="J677" s="10">
        <v>0</v>
      </c>
      <c r="L677" t="s">
        <v>25</v>
      </c>
      <c r="M677" t="s">
        <v>26</v>
      </c>
      <c r="N677" t="s">
        <v>1734</v>
      </c>
      <c r="O677" s="2">
        <v>42186</v>
      </c>
      <c r="P677" s="2">
        <v>43646</v>
      </c>
      <c r="Q677">
        <v>0</v>
      </c>
      <c r="R677" t="s">
        <v>1735</v>
      </c>
    </row>
    <row r="678" spans="1:18" x14ac:dyDescent="0.25">
      <c r="A678" t="s">
        <v>1736</v>
      </c>
      <c r="B678" t="s">
        <v>196</v>
      </c>
      <c r="C678" t="s">
        <v>20</v>
      </c>
      <c r="D678" t="s">
        <v>21</v>
      </c>
      <c r="E678" t="s">
        <v>255</v>
      </c>
      <c r="F678" t="s">
        <v>53</v>
      </c>
      <c r="G678" t="s">
        <v>1737</v>
      </c>
      <c r="H678" s="11">
        <v>386369</v>
      </c>
      <c r="I678" s="11">
        <v>0</v>
      </c>
      <c r="J678" s="11">
        <v>0</v>
      </c>
      <c r="L678" t="s">
        <v>25</v>
      </c>
      <c r="M678" t="s">
        <v>204</v>
      </c>
      <c r="N678" t="s">
        <v>1562</v>
      </c>
      <c r="O678" s="2">
        <v>39904</v>
      </c>
      <c r="P678" s="2">
        <v>41364</v>
      </c>
      <c r="Q678">
        <v>1</v>
      </c>
      <c r="R678" t="s">
        <v>1738</v>
      </c>
    </row>
    <row r="679" spans="1:18" x14ac:dyDescent="0.25">
      <c r="A679" t="s">
        <v>4740</v>
      </c>
      <c r="B679" t="s">
        <v>196</v>
      </c>
      <c r="C679" t="s">
        <v>20</v>
      </c>
      <c r="D679" t="s">
        <v>4557</v>
      </c>
      <c r="E679" t="s">
        <v>4567</v>
      </c>
      <c r="F679" t="s">
        <v>4559</v>
      </c>
      <c r="G679" t="s">
        <v>4741</v>
      </c>
      <c r="H679" s="10">
        <v>253000</v>
      </c>
      <c r="I679" s="10">
        <v>0</v>
      </c>
      <c r="J679" s="10">
        <v>0</v>
      </c>
      <c r="L679" t="s">
        <v>55</v>
      </c>
      <c r="M679" t="s">
        <v>204</v>
      </c>
      <c r="N679" t="s">
        <v>6060</v>
      </c>
      <c r="O679" s="2">
        <v>41730</v>
      </c>
      <c r="P679" s="2">
        <v>42825</v>
      </c>
      <c r="Q679">
        <v>0</v>
      </c>
      <c r="R679" t="s">
        <v>6059</v>
      </c>
    </row>
    <row r="680" spans="1:18" x14ac:dyDescent="0.25">
      <c r="A680" t="s">
        <v>1739</v>
      </c>
      <c r="B680" t="s">
        <v>49</v>
      </c>
      <c r="C680" t="s">
        <v>50</v>
      </c>
      <c r="D680" t="s">
        <v>51</v>
      </c>
      <c r="E680" t="s">
        <v>158</v>
      </c>
      <c r="F680" t="s">
        <v>128</v>
      </c>
      <c r="G680" t="s">
        <v>1740</v>
      </c>
      <c r="H680" s="10">
        <v>1090125</v>
      </c>
      <c r="I680" s="10">
        <v>0</v>
      </c>
      <c r="J680" s="10">
        <v>0</v>
      </c>
      <c r="L680" t="s">
        <v>42</v>
      </c>
      <c r="M680" t="s">
        <v>26</v>
      </c>
      <c r="N680" t="s">
        <v>1329</v>
      </c>
      <c r="O680" s="2">
        <v>43922</v>
      </c>
      <c r="P680" s="2">
        <v>45747</v>
      </c>
      <c r="Q680">
        <v>2</v>
      </c>
      <c r="R680" t="s">
        <v>1741</v>
      </c>
    </row>
    <row r="681" spans="1:18" x14ac:dyDescent="0.25">
      <c r="A681" t="s">
        <v>1742</v>
      </c>
      <c r="B681" t="s">
        <v>5063</v>
      </c>
      <c r="C681" t="s">
        <v>38</v>
      </c>
      <c r="D681" t="s">
        <v>21</v>
      </c>
      <c r="E681" t="s">
        <v>108</v>
      </c>
      <c r="F681" t="s">
        <v>23</v>
      </c>
      <c r="G681" t="s">
        <v>1745</v>
      </c>
      <c r="H681" s="10">
        <v>449166</v>
      </c>
      <c r="I681" s="10">
        <v>0</v>
      </c>
      <c r="J681" s="10">
        <v>0</v>
      </c>
      <c r="L681" t="s">
        <v>55</v>
      </c>
      <c r="M681" t="s">
        <v>26</v>
      </c>
      <c r="N681" t="s">
        <v>1746</v>
      </c>
      <c r="O681" s="2">
        <v>41548</v>
      </c>
      <c r="P681" s="2">
        <v>42643</v>
      </c>
      <c r="Q681">
        <v>0</v>
      </c>
      <c r="R681" t="s">
        <v>1747</v>
      </c>
    </row>
    <row r="682" spans="1:18" x14ac:dyDescent="0.25">
      <c r="A682" t="s">
        <v>5387</v>
      </c>
      <c r="B682" t="s">
        <v>5063</v>
      </c>
      <c r="C682" t="s">
        <v>38</v>
      </c>
      <c r="D682" t="s">
        <v>51</v>
      </c>
      <c r="E682" t="s">
        <v>406</v>
      </c>
      <c r="F682" t="s">
        <v>23</v>
      </c>
      <c r="G682" t="s">
        <v>1743</v>
      </c>
      <c r="H682" s="10">
        <v>1208700</v>
      </c>
      <c r="I682" s="10">
        <v>0</v>
      </c>
      <c r="J682" s="10">
        <v>0</v>
      </c>
      <c r="L682" t="s">
        <v>42</v>
      </c>
      <c r="M682" t="s">
        <v>26</v>
      </c>
      <c r="N682" t="s">
        <v>135</v>
      </c>
      <c r="O682" s="2">
        <v>43191</v>
      </c>
      <c r="P682" s="2">
        <v>45016</v>
      </c>
      <c r="Q682">
        <v>0</v>
      </c>
      <c r="R682" t="s">
        <v>1744</v>
      </c>
    </row>
    <row r="683" spans="1:18" x14ac:dyDescent="0.25">
      <c r="A683" t="s">
        <v>4742</v>
      </c>
      <c r="B683" t="s">
        <v>721</v>
      </c>
      <c r="C683" t="s">
        <v>20</v>
      </c>
      <c r="D683" t="s">
        <v>4557</v>
      </c>
      <c r="E683" t="s">
        <v>4567</v>
      </c>
      <c r="F683" t="s">
        <v>4559</v>
      </c>
      <c r="G683" t="s">
        <v>4743</v>
      </c>
      <c r="H683" s="10">
        <v>400007</v>
      </c>
      <c r="I683" s="10">
        <v>0</v>
      </c>
      <c r="J683" s="10">
        <v>0</v>
      </c>
      <c r="L683" t="s">
        <v>55</v>
      </c>
      <c r="M683" t="s">
        <v>111</v>
      </c>
      <c r="N683" t="s">
        <v>6004</v>
      </c>
      <c r="O683" s="2">
        <v>41730</v>
      </c>
      <c r="P683" s="2">
        <v>42825</v>
      </c>
      <c r="Q683">
        <v>0</v>
      </c>
      <c r="R683" t="s">
        <v>6003</v>
      </c>
    </row>
    <row r="684" spans="1:18" x14ac:dyDescent="0.25">
      <c r="A684" t="s">
        <v>5208</v>
      </c>
      <c r="B684" t="s">
        <v>2142</v>
      </c>
      <c r="C684" t="s">
        <v>38</v>
      </c>
      <c r="D684" t="s">
        <v>5165</v>
      </c>
      <c r="E684" t="s">
        <v>5193</v>
      </c>
      <c r="F684" t="s">
        <v>4554</v>
      </c>
      <c r="G684" t="s">
        <v>5209</v>
      </c>
      <c r="H684" s="10">
        <v>211072</v>
      </c>
      <c r="I684" s="10">
        <v>0</v>
      </c>
      <c r="J684" s="10">
        <v>0</v>
      </c>
      <c r="L684" t="s">
        <v>55</v>
      </c>
      <c r="M684" t="s">
        <v>103</v>
      </c>
      <c r="N684" t="s">
        <v>3263</v>
      </c>
      <c r="O684" s="2">
        <v>41548</v>
      </c>
      <c r="P684" s="2">
        <v>42643</v>
      </c>
      <c r="Q684">
        <v>0</v>
      </c>
      <c r="R684" t="s">
        <v>5519</v>
      </c>
    </row>
    <row r="685" spans="1:18" x14ac:dyDescent="0.25">
      <c r="A685" t="s">
        <v>1748</v>
      </c>
      <c r="B685" t="s">
        <v>4491</v>
      </c>
      <c r="C685" t="s">
        <v>38</v>
      </c>
      <c r="D685" t="s">
        <v>1377</v>
      </c>
      <c r="E685" t="s">
        <v>1378</v>
      </c>
      <c r="F685" t="s">
        <v>1379</v>
      </c>
      <c r="G685" t="s">
        <v>1749</v>
      </c>
      <c r="H685" s="10">
        <v>100000</v>
      </c>
      <c r="I685" s="10">
        <v>0</v>
      </c>
      <c r="J685" s="10">
        <v>0</v>
      </c>
      <c r="L685" t="s">
        <v>34</v>
      </c>
      <c r="M685" t="s">
        <v>94</v>
      </c>
      <c r="N685" t="s">
        <v>1750</v>
      </c>
      <c r="O685" s="2">
        <v>39873</v>
      </c>
      <c r="P685" s="2">
        <v>40237</v>
      </c>
      <c r="Q685">
        <v>0</v>
      </c>
      <c r="R685" t="s">
        <v>1751</v>
      </c>
    </row>
    <row r="686" spans="1:18" x14ac:dyDescent="0.25">
      <c r="A686" t="s">
        <v>5210</v>
      </c>
      <c r="B686" t="s">
        <v>98</v>
      </c>
      <c r="C686" t="s">
        <v>20</v>
      </c>
      <c r="D686" t="s">
        <v>5165</v>
      </c>
      <c r="E686" t="s">
        <v>5168</v>
      </c>
      <c r="F686" t="s">
        <v>4554</v>
      </c>
      <c r="G686" t="s">
        <v>5211</v>
      </c>
      <c r="H686" s="10">
        <v>796316</v>
      </c>
      <c r="I686" s="10">
        <v>0</v>
      </c>
      <c r="J686" s="10">
        <v>0</v>
      </c>
      <c r="L686" t="s">
        <v>2691</v>
      </c>
      <c r="M686" t="s">
        <v>103</v>
      </c>
      <c r="N686" t="s">
        <v>5969</v>
      </c>
      <c r="O686" s="2">
        <v>41000</v>
      </c>
      <c r="P686" s="2">
        <v>42277</v>
      </c>
      <c r="Q686">
        <v>0</v>
      </c>
      <c r="R686" t="s">
        <v>5968</v>
      </c>
    </row>
    <row r="687" spans="1:18" x14ac:dyDescent="0.25">
      <c r="A687" t="s">
        <v>1752</v>
      </c>
      <c r="B687" t="s">
        <v>162</v>
      </c>
      <c r="C687" t="s">
        <v>149</v>
      </c>
      <c r="D687" t="s">
        <v>21</v>
      </c>
      <c r="E687" t="s">
        <v>255</v>
      </c>
      <c r="F687" t="s">
        <v>53</v>
      </c>
      <c r="G687" t="s">
        <v>1753</v>
      </c>
      <c r="H687" s="11">
        <v>254422</v>
      </c>
      <c r="I687" s="11">
        <v>0</v>
      </c>
      <c r="J687" s="11">
        <v>0</v>
      </c>
      <c r="L687" t="s">
        <v>55</v>
      </c>
      <c r="M687" t="s">
        <v>204</v>
      </c>
      <c r="N687" t="s">
        <v>1754</v>
      </c>
      <c r="O687" s="2">
        <v>39904</v>
      </c>
      <c r="P687" s="2">
        <v>40999</v>
      </c>
      <c r="Q687">
        <v>1</v>
      </c>
      <c r="R687" t="s">
        <v>1755</v>
      </c>
    </row>
    <row r="688" spans="1:18" x14ac:dyDescent="0.25">
      <c r="A688" t="s">
        <v>1756</v>
      </c>
      <c r="B688" t="s">
        <v>19</v>
      </c>
      <c r="C688" t="s">
        <v>20</v>
      </c>
      <c r="D688" t="s">
        <v>51</v>
      </c>
      <c r="E688" t="s">
        <v>52</v>
      </c>
      <c r="F688" t="s">
        <v>128</v>
      </c>
      <c r="G688" t="s">
        <v>1757</v>
      </c>
      <c r="H688" s="10">
        <v>921825</v>
      </c>
      <c r="I688" s="10">
        <v>0</v>
      </c>
      <c r="J688" s="10">
        <v>0</v>
      </c>
      <c r="L688" t="s">
        <v>42</v>
      </c>
      <c r="M688" t="s">
        <v>26</v>
      </c>
      <c r="N688" t="s">
        <v>135</v>
      </c>
      <c r="O688" s="2">
        <v>44287</v>
      </c>
      <c r="P688" s="2">
        <v>46112</v>
      </c>
      <c r="Q688">
        <v>0</v>
      </c>
      <c r="R688" t="s">
        <v>1758</v>
      </c>
    </row>
    <row r="689" spans="1:18" x14ac:dyDescent="0.25">
      <c r="A689" t="s">
        <v>5262</v>
      </c>
      <c r="B689" t="s">
        <v>721</v>
      </c>
      <c r="C689" t="s">
        <v>20</v>
      </c>
      <c r="D689" t="s">
        <v>5248</v>
      </c>
      <c r="E689" t="s">
        <v>5263</v>
      </c>
      <c r="F689" t="s">
        <v>4554</v>
      </c>
      <c r="G689" t="s">
        <v>5264</v>
      </c>
      <c r="H689" s="10">
        <v>84359</v>
      </c>
      <c r="I689" s="10">
        <v>5000</v>
      </c>
      <c r="J689" s="10">
        <v>0</v>
      </c>
      <c r="L689" t="s">
        <v>34</v>
      </c>
      <c r="M689" t="s">
        <v>85</v>
      </c>
      <c r="N689" t="s">
        <v>6097</v>
      </c>
      <c r="O689" s="2">
        <v>40087</v>
      </c>
      <c r="P689" s="2">
        <v>40451</v>
      </c>
      <c r="Q689">
        <v>0</v>
      </c>
      <c r="R689" t="s">
        <v>6096</v>
      </c>
    </row>
    <row r="690" spans="1:18" x14ac:dyDescent="0.25">
      <c r="A690" t="s">
        <v>1759</v>
      </c>
      <c r="B690" t="s">
        <v>107</v>
      </c>
      <c r="C690" t="s">
        <v>38</v>
      </c>
      <c r="D690" t="s">
        <v>21</v>
      </c>
      <c r="E690" t="s">
        <v>255</v>
      </c>
      <c r="F690" t="s">
        <v>32</v>
      </c>
      <c r="G690" t="s">
        <v>1765</v>
      </c>
      <c r="H690" s="11">
        <v>533730</v>
      </c>
      <c r="I690" s="11">
        <v>0</v>
      </c>
      <c r="J690" s="11">
        <v>0</v>
      </c>
      <c r="L690" t="s">
        <v>25</v>
      </c>
      <c r="M690" t="s">
        <v>26</v>
      </c>
      <c r="N690" t="s">
        <v>1766</v>
      </c>
      <c r="O690" s="2">
        <v>39904</v>
      </c>
      <c r="P690" s="2">
        <v>41364</v>
      </c>
      <c r="Q690">
        <v>0</v>
      </c>
      <c r="R690" t="s">
        <v>1767</v>
      </c>
    </row>
    <row r="691" spans="1:18" x14ac:dyDescent="0.25">
      <c r="A691" t="s">
        <v>1759</v>
      </c>
      <c r="B691" t="s">
        <v>107</v>
      </c>
      <c r="C691" t="s">
        <v>38</v>
      </c>
      <c r="D691" t="s">
        <v>21</v>
      </c>
      <c r="E691" t="s">
        <v>22</v>
      </c>
      <c r="F691" t="s">
        <v>32</v>
      </c>
      <c r="G691" t="s">
        <v>1762</v>
      </c>
      <c r="H691" s="10">
        <v>797450</v>
      </c>
      <c r="I691" s="10">
        <v>0</v>
      </c>
      <c r="J691" s="10">
        <v>0</v>
      </c>
      <c r="L691" t="s">
        <v>42</v>
      </c>
      <c r="M691" t="s">
        <v>26</v>
      </c>
      <c r="N691" t="s">
        <v>1763</v>
      </c>
      <c r="O691" s="2">
        <v>41365</v>
      </c>
      <c r="P691" s="2">
        <v>43190</v>
      </c>
      <c r="Q691">
        <v>1</v>
      </c>
      <c r="R691" t="s">
        <v>1764</v>
      </c>
    </row>
    <row r="692" spans="1:18" x14ac:dyDescent="0.25">
      <c r="A692" t="s">
        <v>1759</v>
      </c>
      <c r="B692" t="s">
        <v>107</v>
      </c>
      <c r="C692" t="s">
        <v>38</v>
      </c>
      <c r="D692" t="s">
        <v>51</v>
      </c>
      <c r="E692" t="s">
        <v>406</v>
      </c>
      <c r="F692" t="s">
        <v>32</v>
      </c>
      <c r="G692" t="s">
        <v>1760</v>
      </c>
      <c r="H692" s="10">
        <v>837675</v>
      </c>
      <c r="I692" s="10">
        <v>0</v>
      </c>
      <c r="J692" s="10">
        <v>0</v>
      </c>
      <c r="L692" t="s">
        <v>42</v>
      </c>
      <c r="M692" t="s">
        <v>26</v>
      </c>
      <c r="N692" t="s">
        <v>827</v>
      </c>
      <c r="O692" s="2">
        <v>43191</v>
      </c>
      <c r="P692" s="2">
        <v>45016</v>
      </c>
      <c r="Q692">
        <v>0</v>
      </c>
      <c r="R692" t="s">
        <v>1761</v>
      </c>
    </row>
    <row r="693" spans="1:18" x14ac:dyDescent="0.25">
      <c r="A693" t="s">
        <v>1768</v>
      </c>
      <c r="B693" t="s">
        <v>1336</v>
      </c>
      <c r="C693" t="s">
        <v>50</v>
      </c>
      <c r="D693" t="s">
        <v>21</v>
      </c>
      <c r="E693" t="s">
        <v>549</v>
      </c>
      <c r="F693" t="s">
        <v>47</v>
      </c>
      <c r="G693" t="s">
        <v>1769</v>
      </c>
      <c r="H693" s="10">
        <v>560420</v>
      </c>
      <c r="I693" s="10">
        <v>0</v>
      </c>
      <c r="J693" s="10">
        <v>0</v>
      </c>
      <c r="L693" t="s">
        <v>25</v>
      </c>
      <c r="M693" t="s">
        <v>26</v>
      </c>
      <c r="N693" t="s">
        <v>1216</v>
      </c>
      <c r="O693" s="2">
        <v>42186</v>
      </c>
      <c r="P693" s="2">
        <v>43646</v>
      </c>
      <c r="Q693">
        <v>0</v>
      </c>
      <c r="R693" t="s">
        <v>1770</v>
      </c>
    </row>
    <row r="694" spans="1:18" x14ac:dyDescent="0.25">
      <c r="A694" t="s">
        <v>5388</v>
      </c>
      <c r="B694" t="s">
        <v>49</v>
      </c>
      <c r="C694" t="s">
        <v>50</v>
      </c>
      <c r="D694" t="s">
        <v>51</v>
      </c>
      <c r="E694" t="s">
        <v>211</v>
      </c>
      <c r="F694" t="s">
        <v>109</v>
      </c>
      <c r="G694" t="s">
        <v>1771</v>
      </c>
      <c r="H694" s="10">
        <v>100000</v>
      </c>
      <c r="I694" s="10">
        <v>0</v>
      </c>
      <c r="J694" s="10">
        <v>0</v>
      </c>
      <c r="L694" t="s">
        <v>34</v>
      </c>
      <c r="M694" t="s">
        <v>217</v>
      </c>
      <c r="N694" t="s">
        <v>1772</v>
      </c>
      <c r="O694" s="2">
        <v>45017</v>
      </c>
      <c r="P694" s="2">
        <v>45382</v>
      </c>
      <c r="Q694">
        <v>0</v>
      </c>
      <c r="R694" t="s">
        <v>1773</v>
      </c>
    </row>
    <row r="695" spans="1:18" x14ac:dyDescent="0.25">
      <c r="A695" t="s">
        <v>1774</v>
      </c>
      <c r="B695" t="s">
        <v>107</v>
      </c>
      <c r="C695" t="s">
        <v>38</v>
      </c>
      <c r="D695" t="s">
        <v>21</v>
      </c>
      <c r="E695" t="s">
        <v>22</v>
      </c>
      <c r="F695" t="s">
        <v>23</v>
      </c>
      <c r="G695" t="s">
        <v>1775</v>
      </c>
      <c r="H695" s="10">
        <v>210140</v>
      </c>
      <c r="I695" s="10">
        <v>0</v>
      </c>
      <c r="J695" s="10">
        <v>0</v>
      </c>
      <c r="L695" t="s">
        <v>84</v>
      </c>
      <c r="M695" t="s">
        <v>143</v>
      </c>
      <c r="N695" t="s">
        <v>1776</v>
      </c>
      <c r="O695" s="2">
        <v>41365</v>
      </c>
      <c r="P695" s="2">
        <v>42094</v>
      </c>
      <c r="Q695">
        <v>2</v>
      </c>
      <c r="R695" t="s">
        <v>1777</v>
      </c>
    </row>
    <row r="696" spans="1:18" x14ac:dyDescent="0.25">
      <c r="A696" t="s">
        <v>1774</v>
      </c>
      <c r="B696" t="s">
        <v>107</v>
      </c>
      <c r="C696" t="s">
        <v>38</v>
      </c>
      <c r="D696" t="s">
        <v>51</v>
      </c>
      <c r="E696" t="s">
        <v>116</v>
      </c>
      <c r="F696" t="s">
        <v>53</v>
      </c>
      <c r="G696" t="s">
        <v>1778</v>
      </c>
      <c r="H696" s="10">
        <v>382500</v>
      </c>
      <c r="I696" s="10">
        <v>0</v>
      </c>
      <c r="J696" s="10">
        <v>0</v>
      </c>
      <c r="L696" t="s">
        <v>55</v>
      </c>
      <c r="M696" t="s">
        <v>26</v>
      </c>
      <c r="N696" t="s">
        <v>1779</v>
      </c>
      <c r="O696" s="2">
        <v>43374</v>
      </c>
      <c r="P696" s="2">
        <v>44469</v>
      </c>
      <c r="Q696">
        <v>0</v>
      </c>
      <c r="R696" t="s">
        <v>1780</v>
      </c>
    </row>
    <row r="697" spans="1:18" x14ac:dyDescent="0.25">
      <c r="A697" t="s">
        <v>1774</v>
      </c>
      <c r="B697" t="s">
        <v>107</v>
      </c>
      <c r="C697" t="s">
        <v>38</v>
      </c>
      <c r="D697" t="s">
        <v>51</v>
      </c>
      <c r="E697" t="s">
        <v>197</v>
      </c>
      <c r="F697" t="s">
        <v>53</v>
      </c>
      <c r="G697" t="s">
        <v>1781</v>
      </c>
      <c r="H697" s="10">
        <v>895050</v>
      </c>
      <c r="I697" s="10">
        <v>0</v>
      </c>
      <c r="J697" s="10">
        <v>0</v>
      </c>
      <c r="L697" t="s">
        <v>42</v>
      </c>
      <c r="M697" t="s">
        <v>26</v>
      </c>
      <c r="N697" t="s">
        <v>458</v>
      </c>
      <c r="O697" s="2">
        <v>44652</v>
      </c>
      <c r="P697" s="2">
        <v>46477</v>
      </c>
      <c r="Q697">
        <v>0</v>
      </c>
      <c r="R697" t="s">
        <v>1782</v>
      </c>
    </row>
    <row r="698" spans="1:18" x14ac:dyDescent="0.25">
      <c r="A698" t="s">
        <v>4744</v>
      </c>
      <c r="B698" t="s">
        <v>107</v>
      </c>
      <c r="C698" t="s">
        <v>38</v>
      </c>
      <c r="D698" t="s">
        <v>4557</v>
      </c>
      <c r="E698" t="s">
        <v>4602</v>
      </c>
      <c r="F698" t="s">
        <v>4559</v>
      </c>
      <c r="G698" t="s">
        <v>4745</v>
      </c>
      <c r="H698" s="10">
        <v>343124</v>
      </c>
      <c r="I698" s="10">
        <v>0</v>
      </c>
      <c r="J698" s="10">
        <v>0</v>
      </c>
      <c r="L698" t="s">
        <v>55</v>
      </c>
      <c r="M698" t="s">
        <v>26</v>
      </c>
      <c r="N698" t="s">
        <v>1048</v>
      </c>
      <c r="O698" s="2">
        <v>41365</v>
      </c>
      <c r="P698" s="2">
        <v>42460</v>
      </c>
      <c r="Q698">
        <v>1</v>
      </c>
      <c r="R698" t="s">
        <v>5909</v>
      </c>
    </row>
    <row r="699" spans="1:18" x14ac:dyDescent="0.25">
      <c r="A699" t="s">
        <v>1783</v>
      </c>
      <c r="B699" t="s">
        <v>107</v>
      </c>
      <c r="C699" t="s">
        <v>38</v>
      </c>
      <c r="D699" t="s">
        <v>241</v>
      </c>
      <c r="E699" t="s">
        <v>368</v>
      </c>
      <c r="F699" t="s">
        <v>243</v>
      </c>
      <c r="G699" t="s">
        <v>1784</v>
      </c>
      <c r="H699" s="10">
        <v>191400</v>
      </c>
      <c r="I699" s="10">
        <v>0</v>
      </c>
      <c r="J699" s="10">
        <v>0</v>
      </c>
      <c r="L699" t="s">
        <v>84</v>
      </c>
      <c r="M699" t="s">
        <v>85</v>
      </c>
      <c r="N699" t="s">
        <v>1785</v>
      </c>
      <c r="O699" s="2">
        <v>40452</v>
      </c>
      <c r="P699" s="2">
        <v>41182</v>
      </c>
      <c r="Q699">
        <v>0</v>
      </c>
      <c r="R699" t="s">
        <v>1786</v>
      </c>
    </row>
    <row r="700" spans="1:18" x14ac:dyDescent="0.25">
      <c r="A700" t="s">
        <v>1787</v>
      </c>
      <c r="B700" t="s">
        <v>4624</v>
      </c>
      <c r="C700" t="s">
        <v>38</v>
      </c>
      <c r="D700" t="s">
        <v>21</v>
      </c>
      <c r="E700" t="s">
        <v>549</v>
      </c>
      <c r="F700" t="s">
        <v>109</v>
      </c>
      <c r="G700" t="s">
        <v>1788</v>
      </c>
      <c r="H700" s="10">
        <v>334419</v>
      </c>
      <c r="I700" s="10">
        <v>0</v>
      </c>
      <c r="J700" s="10">
        <v>0</v>
      </c>
      <c r="L700" t="s">
        <v>55</v>
      </c>
      <c r="M700" t="s">
        <v>26</v>
      </c>
      <c r="N700" t="s">
        <v>1789</v>
      </c>
      <c r="O700" s="2">
        <v>42186</v>
      </c>
      <c r="P700" s="2">
        <v>43281</v>
      </c>
      <c r="Q700">
        <v>1</v>
      </c>
      <c r="R700" t="s">
        <v>1790</v>
      </c>
    </row>
    <row r="701" spans="1:18" x14ac:dyDescent="0.25">
      <c r="A701" t="s">
        <v>4746</v>
      </c>
      <c r="B701" t="s">
        <v>4624</v>
      </c>
      <c r="C701" t="s">
        <v>38</v>
      </c>
      <c r="D701" t="s">
        <v>4557</v>
      </c>
      <c r="E701" t="s">
        <v>4558</v>
      </c>
      <c r="F701" t="s">
        <v>4559</v>
      </c>
      <c r="G701" t="s">
        <v>4747</v>
      </c>
      <c r="H701" s="10">
        <v>201422</v>
      </c>
      <c r="I701" s="10">
        <v>71937</v>
      </c>
      <c r="J701" s="10">
        <v>0</v>
      </c>
      <c r="L701" t="s">
        <v>55</v>
      </c>
      <c r="M701" t="s">
        <v>26</v>
      </c>
      <c r="N701" t="s">
        <v>5562</v>
      </c>
      <c r="O701" s="2">
        <v>43191</v>
      </c>
      <c r="P701" s="2">
        <v>44286</v>
      </c>
      <c r="Q701">
        <v>0</v>
      </c>
      <c r="R701" t="s">
        <v>5561</v>
      </c>
    </row>
    <row r="702" spans="1:18" x14ac:dyDescent="0.25">
      <c r="A702" t="s">
        <v>5389</v>
      </c>
      <c r="B702" t="s">
        <v>4624</v>
      </c>
      <c r="C702" t="s">
        <v>38</v>
      </c>
      <c r="D702" t="s">
        <v>51</v>
      </c>
      <c r="E702" t="s">
        <v>52</v>
      </c>
      <c r="F702" t="s">
        <v>109</v>
      </c>
      <c r="G702" t="s">
        <v>1791</v>
      </c>
      <c r="H702" s="10">
        <v>543150</v>
      </c>
      <c r="I702" s="10">
        <v>0</v>
      </c>
      <c r="J702" s="10">
        <v>0</v>
      </c>
      <c r="L702" t="s">
        <v>42</v>
      </c>
      <c r="M702" t="s">
        <v>103</v>
      </c>
      <c r="N702" t="s">
        <v>961</v>
      </c>
      <c r="O702" s="2">
        <v>44287</v>
      </c>
      <c r="P702" s="2">
        <v>46112</v>
      </c>
      <c r="Q702">
        <v>0</v>
      </c>
      <c r="R702" t="s">
        <v>1792</v>
      </c>
    </row>
    <row r="703" spans="1:18" x14ac:dyDescent="0.25">
      <c r="A703" t="s">
        <v>5153</v>
      </c>
      <c r="B703" t="s">
        <v>19</v>
      </c>
      <c r="C703" t="s">
        <v>20</v>
      </c>
      <c r="D703" t="s">
        <v>99</v>
      </c>
      <c r="E703" t="s">
        <v>100</v>
      </c>
      <c r="F703" t="s">
        <v>101</v>
      </c>
      <c r="G703" t="s">
        <v>1793</v>
      </c>
      <c r="H703" s="10">
        <v>887006</v>
      </c>
      <c r="I703" s="10">
        <v>0</v>
      </c>
      <c r="J703" s="10">
        <v>0</v>
      </c>
      <c r="L703" t="s">
        <v>34</v>
      </c>
      <c r="M703" t="s">
        <v>94</v>
      </c>
      <c r="N703" t="s">
        <v>1794</v>
      </c>
      <c r="O703" s="2">
        <v>43983</v>
      </c>
      <c r="P703" s="2">
        <v>44347</v>
      </c>
      <c r="Q703">
        <v>0</v>
      </c>
      <c r="R703" t="s">
        <v>1795</v>
      </c>
    </row>
    <row r="704" spans="1:18" x14ac:dyDescent="0.25">
      <c r="A704" t="s">
        <v>1796</v>
      </c>
      <c r="B704" t="s">
        <v>4496</v>
      </c>
      <c r="C704" t="s">
        <v>38</v>
      </c>
      <c r="D704" t="s">
        <v>80</v>
      </c>
      <c r="E704" t="s">
        <v>81</v>
      </c>
      <c r="F704" t="s">
        <v>82</v>
      </c>
      <c r="G704" t="s">
        <v>1797</v>
      </c>
      <c r="H704" s="10">
        <v>197481</v>
      </c>
      <c r="I704" s="10">
        <v>0</v>
      </c>
      <c r="J704" s="10">
        <v>0</v>
      </c>
      <c r="L704" t="s">
        <v>84</v>
      </c>
      <c r="M704" t="s">
        <v>103</v>
      </c>
      <c r="N704" t="s">
        <v>1798</v>
      </c>
      <c r="O704" s="2">
        <v>42979</v>
      </c>
      <c r="P704" s="2">
        <v>43708</v>
      </c>
      <c r="Q704">
        <v>0</v>
      </c>
      <c r="R704" t="s">
        <v>1799</v>
      </c>
    </row>
    <row r="705" spans="1:18" x14ac:dyDescent="0.25">
      <c r="A705" t="s">
        <v>1800</v>
      </c>
      <c r="B705" t="s">
        <v>148</v>
      </c>
      <c r="C705" t="s">
        <v>149</v>
      </c>
      <c r="D705" t="s">
        <v>51</v>
      </c>
      <c r="E705" t="s">
        <v>158</v>
      </c>
      <c r="F705" t="s">
        <v>53</v>
      </c>
      <c r="G705" t="s">
        <v>1801</v>
      </c>
      <c r="H705" s="10">
        <v>841500</v>
      </c>
      <c r="I705" s="10">
        <v>0</v>
      </c>
      <c r="J705" s="10">
        <v>0</v>
      </c>
      <c r="L705" t="s">
        <v>42</v>
      </c>
      <c r="M705" t="s">
        <v>204</v>
      </c>
      <c r="N705" t="s">
        <v>339</v>
      </c>
      <c r="O705" s="2">
        <v>43922</v>
      </c>
      <c r="P705" s="2">
        <v>45747</v>
      </c>
      <c r="Q705">
        <v>0</v>
      </c>
      <c r="R705" t="s">
        <v>1802</v>
      </c>
    </row>
    <row r="706" spans="1:18" x14ac:dyDescent="0.25">
      <c r="A706" t="s">
        <v>4748</v>
      </c>
      <c r="B706" t="s">
        <v>107</v>
      </c>
      <c r="C706" t="s">
        <v>38</v>
      </c>
      <c r="D706" t="s">
        <v>4557</v>
      </c>
      <c r="E706" t="s">
        <v>4570</v>
      </c>
      <c r="F706" t="s">
        <v>4559</v>
      </c>
      <c r="G706" t="s">
        <v>4749</v>
      </c>
      <c r="H706" s="10">
        <v>371615</v>
      </c>
      <c r="I706" s="10">
        <v>0</v>
      </c>
      <c r="J706" s="10">
        <v>0</v>
      </c>
      <c r="L706" t="s">
        <v>55</v>
      </c>
      <c r="M706" t="s">
        <v>94</v>
      </c>
      <c r="N706" t="s">
        <v>5808</v>
      </c>
      <c r="O706" s="2">
        <v>42826</v>
      </c>
      <c r="P706" s="2">
        <v>43921</v>
      </c>
      <c r="Q706">
        <v>2</v>
      </c>
      <c r="R706" t="s">
        <v>5807</v>
      </c>
    </row>
    <row r="707" spans="1:18" x14ac:dyDescent="0.25">
      <c r="A707" t="s">
        <v>1803</v>
      </c>
      <c r="B707" t="s">
        <v>474</v>
      </c>
      <c r="C707" t="s">
        <v>20</v>
      </c>
      <c r="D707" t="s">
        <v>21</v>
      </c>
      <c r="E707" t="s">
        <v>534</v>
      </c>
      <c r="F707" t="s">
        <v>53</v>
      </c>
      <c r="G707" t="s">
        <v>1809</v>
      </c>
      <c r="H707" s="10">
        <v>459432</v>
      </c>
      <c r="I707" s="10">
        <v>0</v>
      </c>
      <c r="J707" s="10">
        <v>0</v>
      </c>
      <c r="L707" t="s">
        <v>55</v>
      </c>
      <c r="M707" t="s">
        <v>204</v>
      </c>
      <c r="N707" t="s">
        <v>1810</v>
      </c>
      <c r="O707" s="2">
        <v>40817</v>
      </c>
      <c r="P707" s="2">
        <v>41912</v>
      </c>
      <c r="Q707">
        <v>2</v>
      </c>
      <c r="R707" t="s">
        <v>1811</v>
      </c>
    </row>
    <row r="708" spans="1:18" x14ac:dyDescent="0.25">
      <c r="A708" t="s">
        <v>1803</v>
      </c>
      <c r="B708" t="s">
        <v>474</v>
      </c>
      <c r="C708" t="s">
        <v>20</v>
      </c>
      <c r="D708" t="s">
        <v>21</v>
      </c>
      <c r="E708" t="s">
        <v>549</v>
      </c>
      <c r="F708" t="s">
        <v>53</v>
      </c>
      <c r="G708" t="s">
        <v>1812</v>
      </c>
      <c r="H708" s="10">
        <v>768657</v>
      </c>
      <c r="I708" s="10">
        <v>0</v>
      </c>
      <c r="J708" s="10">
        <v>0</v>
      </c>
      <c r="L708" t="s">
        <v>42</v>
      </c>
      <c r="M708" t="s">
        <v>204</v>
      </c>
      <c r="N708" t="s">
        <v>1813</v>
      </c>
      <c r="O708" s="2">
        <v>42186</v>
      </c>
      <c r="P708" s="2">
        <v>44377</v>
      </c>
      <c r="Q708">
        <v>0</v>
      </c>
      <c r="R708" t="s">
        <v>1814</v>
      </c>
    </row>
    <row r="709" spans="1:18" x14ac:dyDescent="0.25">
      <c r="A709" t="s">
        <v>1803</v>
      </c>
      <c r="B709" t="s">
        <v>474</v>
      </c>
      <c r="C709" t="s">
        <v>20</v>
      </c>
      <c r="D709" t="s">
        <v>51</v>
      </c>
      <c r="E709" t="s">
        <v>127</v>
      </c>
      <c r="F709" t="s">
        <v>53</v>
      </c>
      <c r="G709" t="s">
        <v>1804</v>
      </c>
      <c r="H709" s="10">
        <v>1170450</v>
      </c>
      <c r="I709" s="10">
        <v>0</v>
      </c>
      <c r="J709" s="10">
        <v>0</v>
      </c>
      <c r="L709" t="s">
        <v>42</v>
      </c>
      <c r="M709" t="s">
        <v>204</v>
      </c>
      <c r="N709" t="s">
        <v>1805</v>
      </c>
      <c r="O709" s="2">
        <v>44835</v>
      </c>
      <c r="P709" s="2">
        <v>46660</v>
      </c>
      <c r="Q709">
        <v>0</v>
      </c>
      <c r="R709" t="s">
        <v>1806</v>
      </c>
    </row>
    <row r="710" spans="1:18" x14ac:dyDescent="0.25">
      <c r="A710" t="s">
        <v>4750</v>
      </c>
      <c r="B710" t="s">
        <v>114</v>
      </c>
      <c r="C710" t="s">
        <v>20</v>
      </c>
      <c r="D710" t="s">
        <v>4557</v>
      </c>
      <c r="E710" t="s">
        <v>4558</v>
      </c>
      <c r="F710" t="s">
        <v>4559</v>
      </c>
      <c r="G710" t="s">
        <v>4751</v>
      </c>
      <c r="H710" s="10">
        <v>299503</v>
      </c>
      <c r="I710" s="10">
        <v>0</v>
      </c>
      <c r="J710" s="10">
        <v>0</v>
      </c>
      <c r="L710" t="s">
        <v>55</v>
      </c>
      <c r="M710" t="s">
        <v>204</v>
      </c>
      <c r="N710" t="s">
        <v>536</v>
      </c>
      <c r="O710" s="2">
        <v>43191</v>
      </c>
      <c r="P710" s="2">
        <v>44286</v>
      </c>
      <c r="Q710">
        <v>0</v>
      </c>
      <c r="R710" t="s">
        <v>5955</v>
      </c>
    </row>
    <row r="711" spans="1:18" x14ac:dyDescent="0.25">
      <c r="A711" t="s">
        <v>5390</v>
      </c>
      <c r="B711" t="s">
        <v>474</v>
      </c>
      <c r="C711" t="s">
        <v>20</v>
      </c>
      <c r="D711" t="s">
        <v>51</v>
      </c>
      <c r="E711" t="s">
        <v>116</v>
      </c>
      <c r="F711" t="s">
        <v>53</v>
      </c>
      <c r="G711" t="s">
        <v>1807</v>
      </c>
      <c r="H711" s="10">
        <v>688501</v>
      </c>
      <c r="I711" s="10">
        <v>0</v>
      </c>
      <c r="J711" s="10">
        <v>0</v>
      </c>
      <c r="L711" t="s">
        <v>25</v>
      </c>
      <c r="M711" t="s">
        <v>204</v>
      </c>
      <c r="N711" t="s">
        <v>1805</v>
      </c>
      <c r="O711" s="2">
        <v>43374</v>
      </c>
      <c r="P711" s="2">
        <v>44834</v>
      </c>
      <c r="Q711">
        <v>0</v>
      </c>
      <c r="R711" t="s">
        <v>1808</v>
      </c>
    </row>
    <row r="712" spans="1:18" x14ac:dyDescent="0.25">
      <c r="A712" t="s">
        <v>1815</v>
      </c>
      <c r="B712" t="s">
        <v>1372</v>
      </c>
      <c r="C712" t="s">
        <v>1373</v>
      </c>
      <c r="D712" t="s">
        <v>1816</v>
      </c>
      <c r="E712" t="s">
        <v>1817</v>
      </c>
      <c r="F712" t="s">
        <v>23</v>
      </c>
      <c r="G712" t="s">
        <v>1818</v>
      </c>
      <c r="H712" s="10">
        <v>153012</v>
      </c>
      <c r="I712" s="10">
        <v>0</v>
      </c>
      <c r="J712" s="10">
        <v>0</v>
      </c>
      <c r="L712" t="s">
        <v>55</v>
      </c>
      <c r="M712" t="s">
        <v>26</v>
      </c>
      <c r="N712" t="s">
        <v>659</v>
      </c>
      <c r="O712" s="2">
        <v>41730</v>
      </c>
      <c r="P712" s="2">
        <v>42825</v>
      </c>
      <c r="Q712">
        <v>0</v>
      </c>
      <c r="R712" t="s">
        <v>1819</v>
      </c>
    </row>
    <row r="713" spans="1:18" x14ac:dyDescent="0.25">
      <c r="A713" t="s">
        <v>1820</v>
      </c>
      <c r="B713" t="s">
        <v>49</v>
      </c>
      <c r="C713" t="s">
        <v>50</v>
      </c>
      <c r="D713" t="s">
        <v>51</v>
      </c>
      <c r="E713" t="s">
        <v>127</v>
      </c>
      <c r="F713" t="s">
        <v>23</v>
      </c>
      <c r="G713" t="s">
        <v>1821</v>
      </c>
      <c r="H713" s="10">
        <v>1025100</v>
      </c>
      <c r="I713" s="10">
        <v>0</v>
      </c>
      <c r="J713" s="10">
        <v>0</v>
      </c>
      <c r="L713" t="s">
        <v>42</v>
      </c>
      <c r="M713" t="s">
        <v>26</v>
      </c>
      <c r="N713" t="s">
        <v>1822</v>
      </c>
      <c r="O713" s="2">
        <v>44835</v>
      </c>
      <c r="P713" s="2">
        <v>46660</v>
      </c>
      <c r="Q713">
        <v>0</v>
      </c>
      <c r="R713" t="s">
        <v>1823</v>
      </c>
    </row>
    <row r="714" spans="1:18" x14ac:dyDescent="0.25">
      <c r="A714" t="s">
        <v>4752</v>
      </c>
      <c r="B714" t="s">
        <v>49</v>
      </c>
      <c r="C714" t="s">
        <v>50</v>
      </c>
      <c r="D714" t="s">
        <v>4557</v>
      </c>
      <c r="E714" t="s">
        <v>4611</v>
      </c>
      <c r="F714" t="s">
        <v>4559</v>
      </c>
      <c r="G714" t="s">
        <v>4753</v>
      </c>
      <c r="H714" s="10">
        <v>453152</v>
      </c>
      <c r="I714" s="10">
        <v>0</v>
      </c>
      <c r="J714" s="10">
        <v>0</v>
      </c>
      <c r="L714" t="s">
        <v>55</v>
      </c>
      <c r="M714" t="s">
        <v>26</v>
      </c>
      <c r="N714" t="s">
        <v>6082</v>
      </c>
      <c r="O714" s="2">
        <v>42461</v>
      </c>
      <c r="P714" s="2">
        <v>43555</v>
      </c>
      <c r="Q714">
        <v>0</v>
      </c>
      <c r="R714" t="s">
        <v>6081</v>
      </c>
    </row>
    <row r="715" spans="1:18" x14ac:dyDescent="0.25">
      <c r="A715" t="s">
        <v>1824</v>
      </c>
      <c r="B715" t="s">
        <v>157</v>
      </c>
      <c r="C715" t="s">
        <v>38</v>
      </c>
      <c r="D715" t="s">
        <v>21</v>
      </c>
      <c r="E715" t="s">
        <v>74</v>
      </c>
      <c r="F715" t="s">
        <v>47</v>
      </c>
      <c r="G715" t="s">
        <v>1827</v>
      </c>
      <c r="H715" s="10">
        <v>549872</v>
      </c>
      <c r="I715" s="10">
        <v>0</v>
      </c>
      <c r="J715" s="10">
        <v>0</v>
      </c>
      <c r="L715" t="s">
        <v>25</v>
      </c>
      <c r="M715" t="s">
        <v>26</v>
      </c>
      <c r="N715" t="s">
        <v>1828</v>
      </c>
      <c r="O715" s="2">
        <v>41000</v>
      </c>
      <c r="P715" s="2">
        <v>42460</v>
      </c>
      <c r="Q715">
        <v>0</v>
      </c>
      <c r="R715" t="s">
        <v>1829</v>
      </c>
    </row>
    <row r="716" spans="1:18" x14ac:dyDescent="0.25">
      <c r="A716" t="s">
        <v>1824</v>
      </c>
      <c r="B716" t="s">
        <v>157</v>
      </c>
      <c r="C716" t="s">
        <v>38</v>
      </c>
      <c r="D716" t="s">
        <v>51</v>
      </c>
      <c r="E716" t="s">
        <v>158</v>
      </c>
      <c r="F716" t="s">
        <v>32</v>
      </c>
      <c r="G716" t="s">
        <v>1825</v>
      </c>
      <c r="H716" s="10">
        <v>902700</v>
      </c>
      <c r="I716" s="10">
        <v>0</v>
      </c>
      <c r="J716" s="10">
        <v>0</v>
      </c>
      <c r="L716" t="s">
        <v>42</v>
      </c>
      <c r="M716" t="s">
        <v>26</v>
      </c>
      <c r="N716" t="s">
        <v>135</v>
      </c>
      <c r="O716" s="2">
        <v>43922</v>
      </c>
      <c r="P716" s="2">
        <v>45747</v>
      </c>
      <c r="Q716">
        <v>0</v>
      </c>
      <c r="R716" t="s">
        <v>1826</v>
      </c>
    </row>
    <row r="717" spans="1:18" x14ac:dyDescent="0.25">
      <c r="A717" t="s">
        <v>1830</v>
      </c>
      <c r="B717" t="s">
        <v>710</v>
      </c>
      <c r="C717" t="s">
        <v>711</v>
      </c>
      <c r="D717" t="s">
        <v>21</v>
      </c>
      <c r="E717" t="s">
        <v>60</v>
      </c>
      <c r="F717" t="s">
        <v>32</v>
      </c>
      <c r="G717" t="s">
        <v>1831</v>
      </c>
      <c r="H717" s="10">
        <v>817320</v>
      </c>
      <c r="I717" s="10">
        <v>0</v>
      </c>
      <c r="J717" s="10">
        <v>0</v>
      </c>
      <c r="L717" t="s">
        <v>42</v>
      </c>
      <c r="M717" t="s">
        <v>26</v>
      </c>
      <c r="N717" t="s">
        <v>1832</v>
      </c>
      <c r="O717" s="2">
        <v>41821</v>
      </c>
      <c r="P717" s="2">
        <v>43646</v>
      </c>
      <c r="Q717">
        <v>0</v>
      </c>
      <c r="R717" t="s">
        <v>1833</v>
      </c>
    </row>
    <row r="718" spans="1:18" x14ac:dyDescent="0.25">
      <c r="A718" t="s">
        <v>5143</v>
      </c>
      <c r="B718" t="s">
        <v>4493</v>
      </c>
      <c r="C718" t="s">
        <v>38</v>
      </c>
      <c r="D718" t="s">
        <v>139</v>
      </c>
      <c r="E718" t="s">
        <v>140</v>
      </c>
      <c r="F718" t="s">
        <v>141</v>
      </c>
      <c r="G718" t="s">
        <v>1834</v>
      </c>
      <c r="H718" s="10">
        <v>0</v>
      </c>
      <c r="I718" s="10">
        <v>0</v>
      </c>
      <c r="J718" s="10">
        <v>0</v>
      </c>
      <c r="L718" t="s">
        <v>34</v>
      </c>
      <c r="M718" t="s">
        <v>94</v>
      </c>
      <c r="N718" t="s">
        <v>1835</v>
      </c>
      <c r="O718" s="2">
        <v>44075</v>
      </c>
      <c r="P718" s="2">
        <v>44439</v>
      </c>
      <c r="Q718">
        <v>0</v>
      </c>
      <c r="R718" t="s">
        <v>1836</v>
      </c>
    </row>
    <row r="719" spans="1:18" x14ac:dyDescent="0.25">
      <c r="A719" t="s">
        <v>1837</v>
      </c>
      <c r="B719" t="s">
        <v>98</v>
      </c>
      <c r="C719" t="s">
        <v>20</v>
      </c>
      <c r="D719" t="s">
        <v>273</v>
      </c>
      <c r="E719" t="s">
        <v>274</v>
      </c>
      <c r="F719" t="s">
        <v>275</v>
      </c>
      <c r="G719" t="s">
        <v>1838</v>
      </c>
      <c r="H719" s="10">
        <v>100000</v>
      </c>
      <c r="I719" s="10">
        <v>0</v>
      </c>
      <c r="J719" s="10">
        <v>0</v>
      </c>
      <c r="L719" t="s">
        <v>34</v>
      </c>
      <c r="M719" t="s">
        <v>94</v>
      </c>
      <c r="N719" t="s">
        <v>1839</v>
      </c>
      <c r="O719" s="2">
        <v>41334</v>
      </c>
      <c r="P719" s="2">
        <v>41698</v>
      </c>
      <c r="Q719">
        <v>0</v>
      </c>
      <c r="R719" t="s">
        <v>1840</v>
      </c>
    </row>
    <row r="720" spans="1:18" x14ac:dyDescent="0.25">
      <c r="A720" t="s">
        <v>4754</v>
      </c>
      <c r="B720" t="s">
        <v>107</v>
      </c>
      <c r="C720" t="s">
        <v>38</v>
      </c>
      <c r="D720" t="s">
        <v>4557</v>
      </c>
      <c r="E720" t="s">
        <v>4611</v>
      </c>
      <c r="F720" t="s">
        <v>4559</v>
      </c>
      <c r="G720" t="s">
        <v>4755</v>
      </c>
      <c r="H720" s="10">
        <v>218863</v>
      </c>
      <c r="I720" s="10">
        <v>0</v>
      </c>
      <c r="J720" s="10">
        <v>0</v>
      </c>
      <c r="L720" t="s">
        <v>55</v>
      </c>
      <c r="M720" t="s">
        <v>85</v>
      </c>
      <c r="N720" t="s">
        <v>5753</v>
      </c>
      <c r="O720" s="2">
        <v>42461</v>
      </c>
      <c r="P720" s="2">
        <v>43555</v>
      </c>
      <c r="Q720">
        <v>1</v>
      </c>
      <c r="R720" t="s">
        <v>5752</v>
      </c>
    </row>
    <row r="721" spans="1:18" x14ac:dyDescent="0.25">
      <c r="A721" t="s">
        <v>1841</v>
      </c>
      <c r="B721" t="s">
        <v>4496</v>
      </c>
      <c r="C721" t="s">
        <v>38</v>
      </c>
      <c r="D721" t="s">
        <v>241</v>
      </c>
      <c r="E721" t="s">
        <v>242</v>
      </c>
      <c r="F721" t="s">
        <v>243</v>
      </c>
      <c r="G721" t="s">
        <v>1842</v>
      </c>
      <c r="H721" s="10">
        <v>300000</v>
      </c>
      <c r="I721" s="10">
        <v>0</v>
      </c>
      <c r="J721" s="10">
        <v>0</v>
      </c>
      <c r="L721" t="s">
        <v>55</v>
      </c>
      <c r="M721" t="s">
        <v>143</v>
      </c>
      <c r="N721" t="s">
        <v>1843</v>
      </c>
      <c r="O721" s="2">
        <v>40087</v>
      </c>
      <c r="P721" s="2">
        <v>41182</v>
      </c>
      <c r="Q721">
        <v>5</v>
      </c>
      <c r="R721" t="s">
        <v>1844</v>
      </c>
    </row>
    <row r="722" spans="1:18" x14ac:dyDescent="0.25">
      <c r="A722" t="s">
        <v>1845</v>
      </c>
      <c r="B722" t="s">
        <v>114</v>
      </c>
      <c r="C722" t="s">
        <v>20</v>
      </c>
      <c r="D722" t="s">
        <v>21</v>
      </c>
      <c r="E722" t="s">
        <v>74</v>
      </c>
      <c r="F722" t="s">
        <v>47</v>
      </c>
      <c r="G722" t="s">
        <v>1846</v>
      </c>
      <c r="H722" s="10">
        <v>514560</v>
      </c>
      <c r="I722" s="10">
        <v>0</v>
      </c>
      <c r="J722" s="10">
        <v>0</v>
      </c>
      <c r="L722" t="s">
        <v>25</v>
      </c>
      <c r="M722" t="s">
        <v>26</v>
      </c>
      <c r="N722" t="s">
        <v>1847</v>
      </c>
      <c r="O722" s="2">
        <v>41000</v>
      </c>
      <c r="P722" s="2">
        <v>42460</v>
      </c>
      <c r="Q722">
        <v>0</v>
      </c>
      <c r="R722" t="s">
        <v>1848</v>
      </c>
    </row>
    <row r="723" spans="1:18" x14ac:dyDescent="0.25">
      <c r="A723" t="s">
        <v>4756</v>
      </c>
      <c r="B723" t="s">
        <v>114</v>
      </c>
      <c r="C723" t="s">
        <v>20</v>
      </c>
      <c r="D723" t="s">
        <v>4557</v>
      </c>
      <c r="E723" t="s">
        <v>4611</v>
      </c>
      <c r="F723" t="s">
        <v>4559</v>
      </c>
      <c r="G723" t="s">
        <v>4757</v>
      </c>
      <c r="H723" s="10">
        <v>344850</v>
      </c>
      <c r="I723" s="10">
        <v>0</v>
      </c>
      <c r="J723" s="10">
        <v>0</v>
      </c>
      <c r="L723" t="s">
        <v>55</v>
      </c>
      <c r="M723" t="s">
        <v>26</v>
      </c>
      <c r="N723" t="s">
        <v>5515</v>
      </c>
      <c r="O723" s="2">
        <v>42461</v>
      </c>
      <c r="P723" s="2">
        <v>43555</v>
      </c>
      <c r="Q723">
        <v>3</v>
      </c>
      <c r="R723" t="s">
        <v>5514</v>
      </c>
    </row>
    <row r="724" spans="1:18" x14ac:dyDescent="0.25">
      <c r="A724" t="s">
        <v>4758</v>
      </c>
      <c r="B724" t="s">
        <v>114</v>
      </c>
      <c r="C724" t="s">
        <v>20</v>
      </c>
      <c r="D724" t="s">
        <v>4557</v>
      </c>
      <c r="E724" t="s">
        <v>4602</v>
      </c>
      <c r="F724" t="s">
        <v>4559</v>
      </c>
      <c r="G724" t="s">
        <v>4759</v>
      </c>
      <c r="H724" s="10">
        <v>282900</v>
      </c>
      <c r="I724" s="10">
        <v>0</v>
      </c>
      <c r="J724" s="10">
        <v>0</v>
      </c>
      <c r="L724" t="s">
        <v>55</v>
      </c>
      <c r="M724" t="s">
        <v>143</v>
      </c>
      <c r="N724" t="s">
        <v>5643</v>
      </c>
      <c r="O724" s="2">
        <v>41365</v>
      </c>
      <c r="P724" s="2">
        <v>42460</v>
      </c>
      <c r="Q724">
        <v>4</v>
      </c>
      <c r="R724" t="s">
        <v>5642</v>
      </c>
    </row>
    <row r="725" spans="1:18" x14ac:dyDescent="0.25">
      <c r="A725" t="s">
        <v>4760</v>
      </c>
      <c r="B725" t="s">
        <v>114</v>
      </c>
      <c r="C725" t="s">
        <v>20</v>
      </c>
      <c r="D725" t="s">
        <v>4557</v>
      </c>
      <c r="E725" t="s">
        <v>4558</v>
      </c>
      <c r="F725" t="s">
        <v>4559</v>
      </c>
      <c r="G725" t="s">
        <v>4761</v>
      </c>
      <c r="H725" s="10">
        <v>419100</v>
      </c>
      <c r="I725" s="10">
        <v>0</v>
      </c>
      <c r="J725" s="10">
        <v>0</v>
      </c>
      <c r="L725" t="s">
        <v>55</v>
      </c>
      <c r="M725" t="s">
        <v>26</v>
      </c>
      <c r="N725">
        <v>0</v>
      </c>
      <c r="O725" s="2">
        <v>43191</v>
      </c>
      <c r="P725" s="2">
        <v>44286</v>
      </c>
      <c r="Q725">
        <v>0</v>
      </c>
      <c r="R725" t="s">
        <v>5861</v>
      </c>
    </row>
    <row r="726" spans="1:18" x14ac:dyDescent="0.25">
      <c r="A726" t="s">
        <v>1849</v>
      </c>
      <c r="B726" t="s">
        <v>19</v>
      </c>
      <c r="C726" t="s">
        <v>20</v>
      </c>
      <c r="D726" t="s">
        <v>1027</v>
      </c>
      <c r="E726" t="s">
        <v>1028</v>
      </c>
      <c r="F726" t="s">
        <v>1029</v>
      </c>
      <c r="G726" t="s">
        <v>1850</v>
      </c>
      <c r="H726" s="10">
        <v>99250</v>
      </c>
      <c r="I726" s="10">
        <v>0</v>
      </c>
      <c r="J726" s="10">
        <v>0</v>
      </c>
      <c r="L726" t="s">
        <v>34</v>
      </c>
      <c r="M726" t="s">
        <v>94</v>
      </c>
      <c r="N726" t="s">
        <v>1851</v>
      </c>
      <c r="O726" s="2">
        <v>40087</v>
      </c>
      <c r="P726" s="2">
        <v>40451</v>
      </c>
      <c r="Q726">
        <v>0</v>
      </c>
      <c r="R726" t="s">
        <v>1852</v>
      </c>
    </row>
    <row r="727" spans="1:18" x14ac:dyDescent="0.25">
      <c r="A727" t="s">
        <v>4762</v>
      </c>
      <c r="B727" t="s">
        <v>107</v>
      </c>
      <c r="C727" t="s">
        <v>38</v>
      </c>
      <c r="D727" t="s">
        <v>4557</v>
      </c>
      <c r="E727" t="s">
        <v>4611</v>
      </c>
      <c r="F727" t="s">
        <v>4559</v>
      </c>
      <c r="G727" t="s">
        <v>4763</v>
      </c>
      <c r="H727" s="10">
        <v>247080</v>
      </c>
      <c r="I727" s="10">
        <v>0</v>
      </c>
      <c r="J727" s="10">
        <v>0</v>
      </c>
      <c r="L727" t="s">
        <v>55</v>
      </c>
      <c r="M727" t="s">
        <v>111</v>
      </c>
      <c r="N727" t="s">
        <v>5927</v>
      </c>
      <c r="O727" s="2">
        <v>42461</v>
      </c>
      <c r="P727" s="2">
        <v>43555</v>
      </c>
      <c r="Q727">
        <v>0</v>
      </c>
      <c r="R727" t="s">
        <v>5926</v>
      </c>
    </row>
    <row r="728" spans="1:18" x14ac:dyDescent="0.25">
      <c r="A728" t="s">
        <v>1853</v>
      </c>
      <c r="B728" t="s">
        <v>4464</v>
      </c>
      <c r="C728" t="s">
        <v>20</v>
      </c>
      <c r="D728" t="s">
        <v>21</v>
      </c>
      <c r="E728" t="s">
        <v>74</v>
      </c>
      <c r="F728" t="s">
        <v>23</v>
      </c>
      <c r="G728" t="s">
        <v>1856</v>
      </c>
      <c r="H728" s="10">
        <v>781655</v>
      </c>
      <c r="I728" s="10">
        <v>0</v>
      </c>
      <c r="J728" s="10">
        <v>0</v>
      </c>
      <c r="L728" t="s">
        <v>42</v>
      </c>
      <c r="M728" t="s">
        <v>26</v>
      </c>
      <c r="N728" t="s">
        <v>1857</v>
      </c>
      <c r="O728" s="2">
        <v>41000</v>
      </c>
      <c r="P728" s="2">
        <v>42825</v>
      </c>
      <c r="Q728">
        <v>0</v>
      </c>
      <c r="R728" t="s">
        <v>1858</v>
      </c>
    </row>
    <row r="729" spans="1:18" x14ac:dyDescent="0.25">
      <c r="A729" t="s">
        <v>1853</v>
      </c>
      <c r="B729" t="s">
        <v>4464</v>
      </c>
      <c r="C729" t="s">
        <v>20</v>
      </c>
      <c r="D729" t="s">
        <v>51</v>
      </c>
      <c r="E729" t="s">
        <v>158</v>
      </c>
      <c r="F729" t="s">
        <v>47</v>
      </c>
      <c r="G729" t="s">
        <v>1854</v>
      </c>
      <c r="H729" s="10">
        <v>581400</v>
      </c>
      <c r="I729" s="10">
        <v>0</v>
      </c>
      <c r="J729" s="10">
        <v>0</v>
      </c>
      <c r="L729" t="s">
        <v>25</v>
      </c>
      <c r="M729" t="s">
        <v>26</v>
      </c>
      <c r="N729" t="s">
        <v>135</v>
      </c>
      <c r="O729" s="2">
        <v>43922</v>
      </c>
      <c r="P729" s="2">
        <v>45382</v>
      </c>
      <c r="Q729">
        <v>0</v>
      </c>
      <c r="R729" t="s">
        <v>1855</v>
      </c>
    </row>
    <row r="730" spans="1:18" x14ac:dyDescent="0.25">
      <c r="A730" t="s">
        <v>1860</v>
      </c>
      <c r="B730" t="s">
        <v>114</v>
      </c>
      <c r="C730" t="s">
        <v>20</v>
      </c>
      <c r="D730" t="s">
        <v>1861</v>
      </c>
      <c r="E730" t="s">
        <v>1862</v>
      </c>
      <c r="F730" t="s">
        <v>356</v>
      </c>
      <c r="G730" t="s">
        <v>1863</v>
      </c>
      <c r="H730" s="10">
        <v>300000</v>
      </c>
      <c r="I730" s="10">
        <v>0</v>
      </c>
      <c r="J730" s="10">
        <v>0</v>
      </c>
      <c r="L730" t="s">
        <v>55</v>
      </c>
      <c r="M730" t="s">
        <v>94</v>
      </c>
      <c r="N730" t="s">
        <v>600</v>
      </c>
      <c r="O730" s="2">
        <v>44835</v>
      </c>
      <c r="P730" s="2">
        <v>45930</v>
      </c>
      <c r="Q730">
        <v>0</v>
      </c>
      <c r="R730" t="s">
        <v>1864</v>
      </c>
    </row>
    <row r="731" spans="1:18" x14ac:dyDescent="0.25">
      <c r="A731" t="s">
        <v>1865</v>
      </c>
      <c r="B731" t="s">
        <v>19</v>
      </c>
      <c r="C731" t="s">
        <v>20</v>
      </c>
      <c r="D731" t="s">
        <v>21</v>
      </c>
      <c r="E731" t="s">
        <v>22</v>
      </c>
      <c r="F731" t="s">
        <v>47</v>
      </c>
      <c r="G731" t="s">
        <v>1869</v>
      </c>
      <c r="H731" s="10">
        <v>623520</v>
      </c>
      <c r="I731" s="10">
        <v>0</v>
      </c>
      <c r="J731" s="10">
        <v>0</v>
      </c>
      <c r="L731" t="s">
        <v>42</v>
      </c>
      <c r="M731" t="s">
        <v>26</v>
      </c>
      <c r="N731" t="s">
        <v>1870</v>
      </c>
      <c r="O731" s="2">
        <v>41365</v>
      </c>
      <c r="P731" s="2">
        <v>43190</v>
      </c>
      <c r="Q731">
        <v>0</v>
      </c>
      <c r="R731" t="s">
        <v>1871</v>
      </c>
    </row>
    <row r="732" spans="1:18" x14ac:dyDescent="0.25">
      <c r="A732" t="s">
        <v>1865</v>
      </c>
      <c r="B732" t="s">
        <v>19</v>
      </c>
      <c r="C732" t="s">
        <v>20</v>
      </c>
      <c r="D732" t="s">
        <v>21</v>
      </c>
      <c r="E732" t="s">
        <v>549</v>
      </c>
      <c r="F732" t="s">
        <v>23</v>
      </c>
      <c r="G732" t="s">
        <v>1866</v>
      </c>
      <c r="H732" s="10">
        <v>802985</v>
      </c>
      <c r="I732" s="10">
        <v>0</v>
      </c>
      <c r="J732" s="10">
        <v>0</v>
      </c>
      <c r="L732" t="s">
        <v>42</v>
      </c>
      <c r="M732" t="s">
        <v>26</v>
      </c>
      <c r="N732" t="s">
        <v>1867</v>
      </c>
      <c r="O732" s="2">
        <v>42186</v>
      </c>
      <c r="P732" s="2">
        <v>42916</v>
      </c>
      <c r="Q732">
        <v>0</v>
      </c>
      <c r="R732" t="s">
        <v>1868</v>
      </c>
    </row>
    <row r="733" spans="1:18" x14ac:dyDescent="0.25">
      <c r="A733" t="s">
        <v>1872</v>
      </c>
      <c r="B733" t="s">
        <v>148</v>
      </c>
      <c r="C733" t="s">
        <v>149</v>
      </c>
      <c r="D733" t="s">
        <v>51</v>
      </c>
      <c r="E733" t="s">
        <v>127</v>
      </c>
      <c r="F733" t="s">
        <v>53</v>
      </c>
      <c r="G733" t="s">
        <v>1873</v>
      </c>
      <c r="H733" s="10">
        <v>114750</v>
      </c>
      <c r="I733" s="10">
        <v>0</v>
      </c>
      <c r="J733" s="10">
        <v>0</v>
      </c>
      <c r="L733" t="s">
        <v>34</v>
      </c>
      <c r="M733" t="s">
        <v>103</v>
      </c>
      <c r="N733" t="s">
        <v>1874</v>
      </c>
      <c r="O733" s="2">
        <v>44835</v>
      </c>
      <c r="P733" s="2">
        <v>45199</v>
      </c>
      <c r="Q733">
        <v>0</v>
      </c>
      <c r="R733" t="s">
        <v>1875</v>
      </c>
    </row>
    <row r="734" spans="1:18" x14ac:dyDescent="0.25">
      <c r="A734" t="s">
        <v>5144</v>
      </c>
      <c r="B734" t="s">
        <v>98</v>
      </c>
      <c r="C734" t="s">
        <v>20</v>
      </c>
      <c r="D734" t="s">
        <v>139</v>
      </c>
      <c r="E734" t="s">
        <v>140</v>
      </c>
      <c r="F734" t="s">
        <v>141</v>
      </c>
      <c r="G734" t="s">
        <v>1876</v>
      </c>
      <c r="H734" s="10">
        <v>1173325</v>
      </c>
      <c r="I734" s="10">
        <v>0</v>
      </c>
      <c r="J734" s="10">
        <v>0</v>
      </c>
      <c r="L734" t="s">
        <v>34</v>
      </c>
      <c r="M734" t="s">
        <v>103</v>
      </c>
      <c r="N734" t="s">
        <v>1877</v>
      </c>
      <c r="O734" s="2">
        <v>43983</v>
      </c>
      <c r="P734" s="2">
        <v>44347</v>
      </c>
      <c r="Q734">
        <v>0</v>
      </c>
      <c r="R734" t="s">
        <v>1878</v>
      </c>
    </row>
    <row r="735" spans="1:18" x14ac:dyDescent="0.25">
      <c r="A735" t="s">
        <v>1879</v>
      </c>
      <c r="B735" t="s">
        <v>240</v>
      </c>
      <c r="C735" t="s">
        <v>20</v>
      </c>
      <c r="D735" t="s">
        <v>51</v>
      </c>
      <c r="E735" t="s">
        <v>259</v>
      </c>
      <c r="F735" t="s">
        <v>47</v>
      </c>
      <c r="G735" t="s">
        <v>1880</v>
      </c>
      <c r="H735" s="10">
        <v>918000</v>
      </c>
      <c r="I735" s="10">
        <v>0</v>
      </c>
      <c r="J735" s="10">
        <v>0</v>
      </c>
      <c r="L735" t="s">
        <v>42</v>
      </c>
      <c r="M735" t="s">
        <v>26</v>
      </c>
      <c r="N735" t="s">
        <v>72</v>
      </c>
      <c r="O735" s="2">
        <v>44105</v>
      </c>
      <c r="P735" s="2">
        <v>45930</v>
      </c>
      <c r="Q735">
        <v>0</v>
      </c>
      <c r="R735" t="s">
        <v>1881</v>
      </c>
    </row>
    <row r="736" spans="1:18" x14ac:dyDescent="0.25">
      <c r="A736" t="s">
        <v>1882</v>
      </c>
      <c r="B736" t="s">
        <v>196</v>
      </c>
      <c r="C736" t="s">
        <v>20</v>
      </c>
      <c r="D736" t="s">
        <v>21</v>
      </c>
      <c r="E736" t="s">
        <v>172</v>
      </c>
      <c r="F736" t="s">
        <v>53</v>
      </c>
      <c r="G736" t="s">
        <v>1883</v>
      </c>
      <c r="H736" s="10">
        <v>307002</v>
      </c>
      <c r="I736" s="10">
        <v>0</v>
      </c>
      <c r="J736" s="10">
        <v>0</v>
      </c>
      <c r="L736" t="s">
        <v>25</v>
      </c>
      <c r="M736" t="s">
        <v>204</v>
      </c>
      <c r="N736" t="s">
        <v>1884</v>
      </c>
      <c r="O736" s="2">
        <v>40452</v>
      </c>
      <c r="P736" s="2">
        <v>41912</v>
      </c>
      <c r="Q736">
        <v>0</v>
      </c>
      <c r="R736" t="s">
        <v>1885</v>
      </c>
    </row>
    <row r="737" spans="1:18" x14ac:dyDescent="0.25">
      <c r="A737" t="s">
        <v>1882</v>
      </c>
      <c r="B737" t="s">
        <v>196</v>
      </c>
      <c r="C737" t="s">
        <v>20</v>
      </c>
      <c r="D737" t="s">
        <v>21</v>
      </c>
      <c r="E737" t="s">
        <v>549</v>
      </c>
      <c r="F737" t="s">
        <v>53</v>
      </c>
      <c r="G737" t="s">
        <v>4319</v>
      </c>
      <c r="H737" s="10">
        <v>242575</v>
      </c>
      <c r="I737" s="10">
        <v>0</v>
      </c>
      <c r="J737" s="10">
        <v>0</v>
      </c>
      <c r="L737" t="s">
        <v>25</v>
      </c>
      <c r="M737" t="s">
        <v>204</v>
      </c>
      <c r="N737" t="s">
        <v>4320</v>
      </c>
      <c r="O737" s="2">
        <v>42186</v>
      </c>
      <c r="P737" s="2">
        <v>43646</v>
      </c>
      <c r="Q737">
        <v>0</v>
      </c>
      <c r="R737" t="s">
        <v>4321</v>
      </c>
    </row>
    <row r="738" spans="1:18" x14ac:dyDescent="0.25">
      <c r="A738" t="s">
        <v>1886</v>
      </c>
      <c r="B738" t="s">
        <v>107</v>
      </c>
      <c r="C738" t="s">
        <v>38</v>
      </c>
      <c r="D738" t="s">
        <v>51</v>
      </c>
      <c r="E738" t="s">
        <v>208</v>
      </c>
      <c r="F738" t="s">
        <v>356</v>
      </c>
      <c r="G738" t="s">
        <v>1887</v>
      </c>
      <c r="H738" s="10">
        <v>1051875</v>
      </c>
      <c r="I738" s="10">
        <v>0</v>
      </c>
      <c r="J738" s="10">
        <v>0</v>
      </c>
      <c r="L738" t="s">
        <v>42</v>
      </c>
      <c r="M738" t="s">
        <v>26</v>
      </c>
      <c r="N738" t="s">
        <v>1888</v>
      </c>
      <c r="O738" s="2">
        <v>45383</v>
      </c>
      <c r="P738" s="2">
        <v>47208</v>
      </c>
      <c r="Q738">
        <v>0</v>
      </c>
      <c r="R738" t="s">
        <v>1889</v>
      </c>
    </row>
    <row r="739" spans="1:18" x14ac:dyDescent="0.25">
      <c r="A739" t="s">
        <v>5391</v>
      </c>
      <c r="B739" t="s">
        <v>1890</v>
      </c>
      <c r="C739" t="s">
        <v>20</v>
      </c>
      <c r="D739" t="s">
        <v>51</v>
      </c>
      <c r="E739" t="s">
        <v>167</v>
      </c>
      <c r="F739" t="s">
        <v>109</v>
      </c>
      <c r="G739" t="s">
        <v>1891</v>
      </c>
      <c r="H739" s="10">
        <v>699975</v>
      </c>
      <c r="I739" s="10">
        <v>0</v>
      </c>
      <c r="J739" s="10">
        <v>0</v>
      </c>
      <c r="L739" t="s">
        <v>42</v>
      </c>
      <c r="M739" t="s">
        <v>103</v>
      </c>
      <c r="N739" t="s">
        <v>1892</v>
      </c>
      <c r="O739" s="2">
        <v>45017</v>
      </c>
      <c r="P739" s="2">
        <v>46843</v>
      </c>
      <c r="Q739">
        <v>0</v>
      </c>
      <c r="R739" t="s">
        <v>1893</v>
      </c>
    </row>
    <row r="740" spans="1:18" x14ac:dyDescent="0.25">
      <c r="A740" t="s">
        <v>1894</v>
      </c>
      <c r="B740" t="s">
        <v>19</v>
      </c>
      <c r="C740" t="s">
        <v>20</v>
      </c>
      <c r="D740" t="s">
        <v>21</v>
      </c>
      <c r="E740" t="s">
        <v>377</v>
      </c>
      <c r="F740" t="s">
        <v>47</v>
      </c>
      <c r="G740" t="s">
        <v>1901</v>
      </c>
      <c r="H740" s="10">
        <v>346847</v>
      </c>
      <c r="I740" s="10">
        <v>0</v>
      </c>
      <c r="J740" s="10">
        <v>0</v>
      </c>
      <c r="L740" t="s">
        <v>55</v>
      </c>
      <c r="M740" t="s">
        <v>26</v>
      </c>
      <c r="N740" t="s">
        <v>896</v>
      </c>
      <c r="O740" s="2">
        <v>41183</v>
      </c>
      <c r="P740" s="2">
        <v>42277</v>
      </c>
      <c r="Q740">
        <v>1</v>
      </c>
      <c r="R740" t="s">
        <v>1902</v>
      </c>
    </row>
    <row r="741" spans="1:18" x14ac:dyDescent="0.25">
      <c r="A741" t="s">
        <v>1894</v>
      </c>
      <c r="B741" t="s">
        <v>19</v>
      </c>
      <c r="C741" t="s">
        <v>20</v>
      </c>
      <c r="D741" t="s">
        <v>21</v>
      </c>
      <c r="E741" t="s">
        <v>572</v>
      </c>
      <c r="F741" t="s">
        <v>47</v>
      </c>
      <c r="G741" t="s">
        <v>1895</v>
      </c>
      <c r="H741" s="10">
        <v>351553</v>
      </c>
      <c r="I741" s="10">
        <v>0</v>
      </c>
      <c r="J741" s="10">
        <v>0</v>
      </c>
      <c r="L741" t="s">
        <v>55</v>
      </c>
      <c r="M741" t="s">
        <v>26</v>
      </c>
      <c r="N741" t="s">
        <v>1896</v>
      </c>
      <c r="O741" s="2">
        <v>41730</v>
      </c>
      <c r="P741" s="2">
        <v>42825</v>
      </c>
      <c r="Q741">
        <v>0</v>
      </c>
      <c r="R741" t="s">
        <v>1897</v>
      </c>
    </row>
    <row r="742" spans="1:18" x14ac:dyDescent="0.25">
      <c r="A742" t="s">
        <v>1894</v>
      </c>
      <c r="B742" t="s">
        <v>19</v>
      </c>
      <c r="C742" t="s">
        <v>20</v>
      </c>
      <c r="D742" t="s">
        <v>51</v>
      </c>
      <c r="E742" t="s">
        <v>259</v>
      </c>
      <c r="F742" t="s">
        <v>23</v>
      </c>
      <c r="G742" t="s">
        <v>1908</v>
      </c>
      <c r="H742" s="10">
        <v>504901</v>
      </c>
      <c r="I742" s="10">
        <v>0</v>
      </c>
      <c r="J742" s="10">
        <v>0</v>
      </c>
      <c r="L742" t="s">
        <v>25</v>
      </c>
      <c r="M742" t="s">
        <v>26</v>
      </c>
      <c r="N742" t="s">
        <v>135</v>
      </c>
      <c r="O742" s="2">
        <v>44105</v>
      </c>
      <c r="P742" s="2">
        <v>45565</v>
      </c>
      <c r="Q742">
        <v>0</v>
      </c>
      <c r="R742" t="s">
        <v>1909</v>
      </c>
    </row>
    <row r="743" spans="1:18" x14ac:dyDescent="0.25">
      <c r="A743" t="s">
        <v>5392</v>
      </c>
      <c r="B743" t="s">
        <v>19</v>
      </c>
      <c r="C743" t="s">
        <v>20</v>
      </c>
      <c r="D743" t="s">
        <v>51</v>
      </c>
      <c r="E743" t="s">
        <v>406</v>
      </c>
      <c r="F743" t="s">
        <v>47</v>
      </c>
      <c r="G743" t="s">
        <v>1906</v>
      </c>
      <c r="H743" s="10">
        <v>340425</v>
      </c>
      <c r="I743" s="10">
        <v>0</v>
      </c>
      <c r="J743" s="10">
        <v>0</v>
      </c>
      <c r="L743" t="s">
        <v>55</v>
      </c>
      <c r="M743" t="s">
        <v>26</v>
      </c>
      <c r="N743" t="s">
        <v>72</v>
      </c>
      <c r="O743" s="2">
        <v>43191</v>
      </c>
      <c r="P743" s="2">
        <v>44286</v>
      </c>
      <c r="Q743">
        <v>2</v>
      </c>
      <c r="R743" t="s">
        <v>1907</v>
      </c>
    </row>
    <row r="744" spans="1:18" x14ac:dyDescent="0.25">
      <c r="A744" t="s">
        <v>5088</v>
      </c>
      <c r="B744" t="s">
        <v>19</v>
      </c>
      <c r="C744" t="s">
        <v>20</v>
      </c>
      <c r="D744" t="s">
        <v>21</v>
      </c>
      <c r="E744" t="s">
        <v>534</v>
      </c>
      <c r="F744" t="s">
        <v>23</v>
      </c>
      <c r="G744" t="s">
        <v>1898</v>
      </c>
      <c r="H744" s="10">
        <v>437079</v>
      </c>
      <c r="I744" s="10">
        <v>0</v>
      </c>
      <c r="J744" s="10">
        <v>0</v>
      </c>
      <c r="L744" t="s">
        <v>55</v>
      </c>
      <c r="M744" t="s">
        <v>26</v>
      </c>
      <c r="N744" t="s">
        <v>1899</v>
      </c>
      <c r="O744" s="2">
        <v>40817</v>
      </c>
      <c r="P744" s="2">
        <v>41912</v>
      </c>
      <c r="Q744">
        <v>1</v>
      </c>
      <c r="R744" t="s">
        <v>1900</v>
      </c>
    </row>
    <row r="745" spans="1:18" x14ac:dyDescent="0.25">
      <c r="A745" t="s">
        <v>5089</v>
      </c>
      <c r="B745" t="s">
        <v>19</v>
      </c>
      <c r="C745" t="s">
        <v>20</v>
      </c>
      <c r="D745" t="s">
        <v>21</v>
      </c>
      <c r="E745" t="s">
        <v>255</v>
      </c>
      <c r="F745" t="s">
        <v>47</v>
      </c>
      <c r="G745" t="s">
        <v>1903</v>
      </c>
      <c r="H745" s="11">
        <v>383699</v>
      </c>
      <c r="I745" s="11">
        <v>0</v>
      </c>
      <c r="J745" s="11">
        <v>0</v>
      </c>
      <c r="L745" t="s">
        <v>55</v>
      </c>
      <c r="M745" t="s">
        <v>26</v>
      </c>
      <c r="N745" t="s">
        <v>1904</v>
      </c>
      <c r="O745" s="2">
        <v>39904</v>
      </c>
      <c r="P745" s="2">
        <v>40999</v>
      </c>
      <c r="Q745">
        <v>2</v>
      </c>
      <c r="R745" t="s">
        <v>1905</v>
      </c>
    </row>
    <row r="746" spans="1:18" x14ac:dyDescent="0.25">
      <c r="A746" t="s">
        <v>1910</v>
      </c>
      <c r="B746" t="s">
        <v>49</v>
      </c>
      <c r="C746" t="s">
        <v>50</v>
      </c>
      <c r="D746" t="s">
        <v>21</v>
      </c>
      <c r="E746" t="s">
        <v>194</v>
      </c>
      <c r="F746" t="s">
        <v>53</v>
      </c>
      <c r="G746" t="s">
        <v>1911</v>
      </c>
      <c r="H746" s="11">
        <v>385110</v>
      </c>
      <c r="I746" s="11">
        <v>0</v>
      </c>
      <c r="J746" s="11">
        <v>0</v>
      </c>
      <c r="L746" t="s">
        <v>55</v>
      </c>
      <c r="M746" t="s">
        <v>103</v>
      </c>
      <c r="N746" t="s">
        <v>1912</v>
      </c>
      <c r="O746" s="2">
        <v>40087</v>
      </c>
      <c r="P746" s="2">
        <v>41182</v>
      </c>
      <c r="Q746">
        <v>0</v>
      </c>
      <c r="R746" t="s">
        <v>1913</v>
      </c>
    </row>
    <row r="747" spans="1:18" x14ac:dyDescent="0.25">
      <c r="A747" t="s">
        <v>1910</v>
      </c>
      <c r="B747" t="s">
        <v>49</v>
      </c>
      <c r="C747" t="s">
        <v>50</v>
      </c>
      <c r="D747" t="s">
        <v>21</v>
      </c>
      <c r="E747" t="s">
        <v>108</v>
      </c>
      <c r="F747" t="s">
        <v>53</v>
      </c>
      <c r="G747" t="s">
        <v>1918</v>
      </c>
      <c r="H747" s="10">
        <v>610078</v>
      </c>
      <c r="I747" s="10">
        <v>0</v>
      </c>
      <c r="J747" s="10">
        <v>0</v>
      </c>
      <c r="L747" t="s">
        <v>42</v>
      </c>
      <c r="M747" t="s">
        <v>103</v>
      </c>
      <c r="N747" t="s">
        <v>1919</v>
      </c>
      <c r="O747" s="2">
        <v>41548</v>
      </c>
      <c r="P747" s="2">
        <v>43373</v>
      </c>
      <c r="Q747">
        <v>0</v>
      </c>
      <c r="R747" t="s">
        <v>1920</v>
      </c>
    </row>
    <row r="748" spans="1:18" x14ac:dyDescent="0.25">
      <c r="A748" t="s">
        <v>1910</v>
      </c>
      <c r="B748" t="s">
        <v>49</v>
      </c>
      <c r="C748" t="s">
        <v>50</v>
      </c>
      <c r="D748" t="s">
        <v>21</v>
      </c>
      <c r="E748" t="s">
        <v>60</v>
      </c>
      <c r="F748" t="s">
        <v>53</v>
      </c>
      <c r="G748" t="s">
        <v>1914</v>
      </c>
      <c r="H748" s="10">
        <v>731651</v>
      </c>
      <c r="I748" s="10">
        <v>0</v>
      </c>
      <c r="J748" s="10">
        <v>0</v>
      </c>
      <c r="L748" t="s">
        <v>42</v>
      </c>
      <c r="M748" t="s">
        <v>103</v>
      </c>
      <c r="N748" t="s">
        <v>1912</v>
      </c>
      <c r="O748" s="2">
        <v>41821</v>
      </c>
      <c r="P748" s="2">
        <v>43646</v>
      </c>
      <c r="Q748">
        <v>4</v>
      </c>
      <c r="R748" t="s">
        <v>1915</v>
      </c>
    </row>
    <row r="749" spans="1:18" x14ac:dyDescent="0.25">
      <c r="A749" t="s">
        <v>5393</v>
      </c>
      <c r="B749" t="s">
        <v>49</v>
      </c>
      <c r="C749" t="s">
        <v>50</v>
      </c>
      <c r="D749" t="s">
        <v>51</v>
      </c>
      <c r="E749" t="s">
        <v>259</v>
      </c>
      <c r="F749" t="s">
        <v>53</v>
      </c>
      <c r="G749" t="s">
        <v>1916</v>
      </c>
      <c r="H749" s="10">
        <v>918000</v>
      </c>
      <c r="I749" s="10">
        <v>0</v>
      </c>
      <c r="J749" s="10">
        <v>0</v>
      </c>
      <c r="L749" t="s">
        <v>42</v>
      </c>
      <c r="M749" t="s">
        <v>94</v>
      </c>
      <c r="N749" t="s">
        <v>1193</v>
      </c>
      <c r="O749" s="2">
        <v>44105</v>
      </c>
      <c r="P749" s="2">
        <v>45930</v>
      </c>
      <c r="Q749">
        <v>1</v>
      </c>
      <c r="R749" t="s">
        <v>1917</v>
      </c>
    </row>
    <row r="750" spans="1:18" x14ac:dyDescent="0.25">
      <c r="A750" t="s">
        <v>4764</v>
      </c>
      <c r="B750" t="s">
        <v>49</v>
      </c>
      <c r="C750" t="s">
        <v>50</v>
      </c>
      <c r="D750" t="s">
        <v>4557</v>
      </c>
      <c r="E750" t="s">
        <v>4611</v>
      </c>
      <c r="F750" t="s">
        <v>4559</v>
      </c>
      <c r="G750" t="s">
        <v>4765</v>
      </c>
      <c r="H750" s="10">
        <v>393404</v>
      </c>
      <c r="I750" s="10">
        <v>0</v>
      </c>
      <c r="J750" s="10">
        <v>0</v>
      </c>
      <c r="L750" t="s">
        <v>55</v>
      </c>
      <c r="M750" t="s">
        <v>94</v>
      </c>
      <c r="N750" t="s">
        <v>5860</v>
      </c>
      <c r="O750" s="2">
        <v>42461</v>
      </c>
      <c r="P750" s="2">
        <v>43555</v>
      </c>
      <c r="Q750">
        <v>0</v>
      </c>
      <c r="R750" t="s">
        <v>5859</v>
      </c>
    </row>
    <row r="751" spans="1:18" x14ac:dyDescent="0.25">
      <c r="A751" t="s">
        <v>4766</v>
      </c>
      <c r="B751" t="s">
        <v>49</v>
      </c>
      <c r="C751" t="s">
        <v>50</v>
      </c>
      <c r="D751" t="s">
        <v>4557</v>
      </c>
      <c r="E751" t="s">
        <v>4562</v>
      </c>
      <c r="F751" t="s">
        <v>4559</v>
      </c>
      <c r="G751" t="s">
        <v>4767</v>
      </c>
      <c r="H751" s="10">
        <v>361850</v>
      </c>
      <c r="I751" s="10">
        <v>0</v>
      </c>
      <c r="J751" s="10">
        <v>0</v>
      </c>
      <c r="L751" t="s">
        <v>55</v>
      </c>
      <c r="M751" t="s">
        <v>103</v>
      </c>
      <c r="N751" t="s">
        <v>5647</v>
      </c>
      <c r="O751" s="2">
        <v>43922</v>
      </c>
      <c r="P751" s="2">
        <v>45016</v>
      </c>
      <c r="Q751">
        <v>1</v>
      </c>
      <c r="R751" t="s">
        <v>5646</v>
      </c>
    </row>
    <row r="752" spans="1:18" x14ac:dyDescent="0.25">
      <c r="A752" t="s">
        <v>5394</v>
      </c>
      <c r="B752" t="s">
        <v>49</v>
      </c>
      <c r="C752" t="s">
        <v>50</v>
      </c>
      <c r="D752" t="s">
        <v>51</v>
      </c>
      <c r="E752" t="s">
        <v>223</v>
      </c>
      <c r="F752" t="s">
        <v>356</v>
      </c>
      <c r="G752" t="s">
        <v>1921</v>
      </c>
      <c r="H752" s="10">
        <v>1013626</v>
      </c>
      <c r="I752" s="10">
        <v>0</v>
      </c>
      <c r="J752" s="10">
        <v>0</v>
      </c>
      <c r="L752" t="s">
        <v>42</v>
      </c>
      <c r="M752" t="s">
        <v>103</v>
      </c>
      <c r="N752" t="s">
        <v>1922</v>
      </c>
      <c r="O752" s="2">
        <v>45566</v>
      </c>
      <c r="P752" s="2">
        <v>47391</v>
      </c>
      <c r="Q752">
        <v>0</v>
      </c>
      <c r="R752" t="s">
        <v>1923</v>
      </c>
    </row>
    <row r="753" spans="1:18" x14ac:dyDescent="0.25">
      <c r="A753" t="s">
        <v>1924</v>
      </c>
      <c r="B753" t="s">
        <v>49</v>
      </c>
      <c r="C753" t="s">
        <v>50</v>
      </c>
      <c r="D753" t="s">
        <v>51</v>
      </c>
      <c r="E753" t="s">
        <v>70</v>
      </c>
      <c r="F753" t="s">
        <v>32</v>
      </c>
      <c r="G753" t="s">
        <v>1925</v>
      </c>
      <c r="H753" s="10">
        <v>983026</v>
      </c>
      <c r="I753" s="10">
        <v>0</v>
      </c>
      <c r="J753" s="10">
        <v>0</v>
      </c>
      <c r="L753" t="s">
        <v>42</v>
      </c>
      <c r="M753" t="s">
        <v>26</v>
      </c>
      <c r="N753" t="s">
        <v>135</v>
      </c>
      <c r="O753" s="2">
        <v>45200</v>
      </c>
      <c r="P753" s="2">
        <v>47026</v>
      </c>
      <c r="Q753">
        <v>0</v>
      </c>
      <c r="R753" t="s">
        <v>1926</v>
      </c>
    </row>
    <row r="754" spans="1:18" x14ac:dyDescent="0.25">
      <c r="A754" t="s">
        <v>4483</v>
      </c>
      <c r="B754" t="s">
        <v>162</v>
      </c>
      <c r="C754" t="s">
        <v>149</v>
      </c>
      <c r="D754" t="s">
        <v>4484</v>
      </c>
      <c r="E754" t="s">
        <v>4485</v>
      </c>
      <c r="F754" t="s">
        <v>4456</v>
      </c>
      <c r="G754" t="s">
        <v>4486</v>
      </c>
      <c r="H754" s="10">
        <v>92112</v>
      </c>
      <c r="I754" s="10">
        <v>0</v>
      </c>
      <c r="J754" s="10">
        <v>0</v>
      </c>
      <c r="L754" t="s">
        <v>34</v>
      </c>
      <c r="M754" t="s">
        <v>217</v>
      </c>
      <c r="N754" t="s">
        <v>5892</v>
      </c>
      <c r="O754" s="2">
        <v>41699</v>
      </c>
      <c r="P754" s="2">
        <v>42063</v>
      </c>
      <c r="Q754">
        <v>0</v>
      </c>
      <c r="R754" t="s">
        <v>5891</v>
      </c>
    </row>
    <row r="755" spans="1:18" x14ac:dyDescent="0.25">
      <c r="A755" t="s">
        <v>1927</v>
      </c>
      <c r="B755" t="s">
        <v>4492</v>
      </c>
      <c r="C755" t="s">
        <v>38</v>
      </c>
      <c r="D755" t="s">
        <v>1928</v>
      </c>
      <c r="E755" t="s">
        <v>1929</v>
      </c>
      <c r="F755" t="s">
        <v>1930</v>
      </c>
      <c r="G755" t="s">
        <v>1931</v>
      </c>
      <c r="H755" s="10">
        <v>3997503</v>
      </c>
      <c r="I755" s="10">
        <v>0</v>
      </c>
      <c r="J755" s="10">
        <v>0</v>
      </c>
      <c r="L755" t="s">
        <v>55</v>
      </c>
      <c r="M755" t="s">
        <v>94</v>
      </c>
      <c r="N755" t="s">
        <v>1932</v>
      </c>
      <c r="O755" s="2">
        <v>42826</v>
      </c>
      <c r="P755" s="2">
        <v>43921</v>
      </c>
      <c r="Q755">
        <v>5</v>
      </c>
      <c r="R755" t="s">
        <v>1933</v>
      </c>
    </row>
    <row r="756" spans="1:18" x14ac:dyDescent="0.25">
      <c r="A756" t="s">
        <v>1934</v>
      </c>
      <c r="B756" t="s">
        <v>19</v>
      </c>
      <c r="C756" t="s">
        <v>20</v>
      </c>
      <c r="D756" t="s">
        <v>21</v>
      </c>
      <c r="E756" t="s">
        <v>323</v>
      </c>
      <c r="F756" t="s">
        <v>32</v>
      </c>
      <c r="G756" t="s">
        <v>1939</v>
      </c>
      <c r="H756" s="10">
        <v>325560</v>
      </c>
      <c r="I756" s="10">
        <v>0</v>
      </c>
      <c r="J756" s="10">
        <v>0</v>
      </c>
      <c r="L756" t="s">
        <v>55</v>
      </c>
      <c r="M756" t="s">
        <v>26</v>
      </c>
      <c r="N756" t="s">
        <v>1937</v>
      </c>
      <c r="O756" s="2">
        <v>40269</v>
      </c>
      <c r="P756" s="2">
        <v>41364</v>
      </c>
      <c r="Q756">
        <v>0</v>
      </c>
      <c r="R756" t="s">
        <v>1940</v>
      </c>
    </row>
    <row r="757" spans="1:18" x14ac:dyDescent="0.25">
      <c r="A757" t="s">
        <v>1934</v>
      </c>
      <c r="B757" t="s">
        <v>19</v>
      </c>
      <c r="C757" t="s">
        <v>20</v>
      </c>
      <c r="D757" t="s">
        <v>395</v>
      </c>
      <c r="E757" t="s">
        <v>1935</v>
      </c>
      <c r="F757" t="s">
        <v>32</v>
      </c>
      <c r="G757" t="s">
        <v>1936</v>
      </c>
      <c r="H757" s="10">
        <v>100000</v>
      </c>
      <c r="I757" s="10">
        <v>0</v>
      </c>
      <c r="J757" s="10">
        <v>0</v>
      </c>
      <c r="L757" t="s">
        <v>34</v>
      </c>
      <c r="M757" t="s">
        <v>26</v>
      </c>
      <c r="N757" t="s">
        <v>1937</v>
      </c>
      <c r="O757" s="2">
        <v>39814</v>
      </c>
      <c r="P757" s="2">
        <v>40178</v>
      </c>
      <c r="Q757">
        <v>0</v>
      </c>
      <c r="R757" t="s">
        <v>1938</v>
      </c>
    </row>
    <row r="758" spans="1:18" x14ac:dyDescent="0.25">
      <c r="A758" t="s">
        <v>5395</v>
      </c>
      <c r="B758" t="s">
        <v>360</v>
      </c>
      <c r="C758" t="s">
        <v>20</v>
      </c>
      <c r="D758" t="s">
        <v>51</v>
      </c>
      <c r="E758" t="s">
        <v>116</v>
      </c>
      <c r="F758" t="s">
        <v>47</v>
      </c>
      <c r="G758" t="s">
        <v>1941</v>
      </c>
      <c r="H758" s="10">
        <v>734400</v>
      </c>
      <c r="I758" s="10">
        <v>0</v>
      </c>
      <c r="J758" s="10">
        <v>0</v>
      </c>
      <c r="L758" t="s">
        <v>55</v>
      </c>
      <c r="M758" t="s">
        <v>26</v>
      </c>
      <c r="N758" t="s">
        <v>135</v>
      </c>
      <c r="O758" s="2">
        <v>43374</v>
      </c>
      <c r="P758" s="2">
        <v>44469</v>
      </c>
      <c r="Q758">
        <v>0</v>
      </c>
      <c r="R758" t="s">
        <v>1942</v>
      </c>
    </row>
    <row r="759" spans="1:18" x14ac:dyDescent="0.25">
      <c r="A759" t="s">
        <v>4770</v>
      </c>
      <c r="B759" t="s">
        <v>1890</v>
      </c>
      <c r="C759" t="s">
        <v>20</v>
      </c>
      <c r="D759" t="s">
        <v>4557</v>
      </c>
      <c r="E759" t="s">
        <v>4567</v>
      </c>
      <c r="F759" t="s">
        <v>4559</v>
      </c>
      <c r="G759" t="s">
        <v>4771</v>
      </c>
      <c r="H759" s="10">
        <v>242595</v>
      </c>
      <c r="I759" s="10">
        <v>0</v>
      </c>
      <c r="J759" s="10">
        <v>0</v>
      </c>
      <c r="L759" t="s">
        <v>55</v>
      </c>
      <c r="M759" t="s">
        <v>103</v>
      </c>
      <c r="N759" t="s">
        <v>5597</v>
      </c>
      <c r="O759" s="2">
        <v>41730</v>
      </c>
      <c r="P759" s="2">
        <v>42825</v>
      </c>
      <c r="Q759">
        <v>3</v>
      </c>
      <c r="R759" t="s">
        <v>5596</v>
      </c>
    </row>
    <row r="760" spans="1:18" x14ac:dyDescent="0.25">
      <c r="A760" t="s">
        <v>4768</v>
      </c>
      <c r="B760" t="s">
        <v>1890</v>
      </c>
      <c r="C760" t="s">
        <v>20</v>
      </c>
      <c r="D760" t="s">
        <v>4557</v>
      </c>
      <c r="E760" t="s">
        <v>4611</v>
      </c>
      <c r="F760" t="s">
        <v>4559</v>
      </c>
      <c r="G760" t="s">
        <v>4769</v>
      </c>
      <c r="H760" s="10">
        <v>416060</v>
      </c>
      <c r="I760" s="10">
        <v>0</v>
      </c>
      <c r="J760" s="10">
        <v>0</v>
      </c>
      <c r="L760" t="s">
        <v>55</v>
      </c>
      <c r="M760" t="s">
        <v>26</v>
      </c>
      <c r="N760" t="s">
        <v>780</v>
      </c>
      <c r="O760" s="2">
        <v>42461</v>
      </c>
      <c r="P760" s="2">
        <v>43555</v>
      </c>
      <c r="Q760">
        <v>4</v>
      </c>
      <c r="R760" t="s">
        <v>5722</v>
      </c>
    </row>
    <row r="761" spans="1:18" x14ac:dyDescent="0.25">
      <c r="A761" t="s">
        <v>4768</v>
      </c>
      <c r="B761" t="s">
        <v>1890</v>
      </c>
      <c r="C761" t="s">
        <v>20</v>
      </c>
      <c r="D761" t="s">
        <v>21</v>
      </c>
      <c r="E761" t="s">
        <v>194</v>
      </c>
      <c r="F761" t="s">
        <v>109</v>
      </c>
      <c r="G761" t="s">
        <v>4322</v>
      </c>
      <c r="H761" s="11">
        <v>427592</v>
      </c>
      <c r="I761" s="11">
        <v>0</v>
      </c>
      <c r="J761" s="11">
        <v>0</v>
      </c>
      <c r="L761" t="s">
        <v>55</v>
      </c>
      <c r="M761" t="s">
        <v>26</v>
      </c>
      <c r="N761" t="s">
        <v>4323</v>
      </c>
      <c r="O761" s="2">
        <v>40087</v>
      </c>
      <c r="P761" s="2">
        <v>41182</v>
      </c>
      <c r="Q761">
        <v>9</v>
      </c>
      <c r="R761" t="s">
        <v>4324</v>
      </c>
    </row>
    <row r="762" spans="1:18" x14ac:dyDescent="0.25">
      <c r="A762" t="s">
        <v>4772</v>
      </c>
      <c r="B762" t="s">
        <v>1890</v>
      </c>
      <c r="C762" t="s">
        <v>20</v>
      </c>
      <c r="D762" t="s">
        <v>4557</v>
      </c>
      <c r="E762" t="s">
        <v>4581</v>
      </c>
      <c r="F762" t="s">
        <v>4559</v>
      </c>
      <c r="G762" t="s">
        <v>4773</v>
      </c>
      <c r="H762" s="10">
        <v>453500</v>
      </c>
      <c r="I762" s="10">
        <v>0</v>
      </c>
      <c r="J762" s="10">
        <v>0</v>
      </c>
      <c r="L762" t="s">
        <v>55</v>
      </c>
      <c r="M762" t="s">
        <v>26</v>
      </c>
      <c r="N762" t="s">
        <v>5935</v>
      </c>
      <c r="O762" s="2">
        <v>43556</v>
      </c>
      <c r="P762" s="2">
        <v>44651</v>
      </c>
      <c r="Q762">
        <v>2</v>
      </c>
      <c r="R762" t="s">
        <v>5934</v>
      </c>
    </row>
    <row r="763" spans="1:18" x14ac:dyDescent="0.25">
      <c r="A763" t="s">
        <v>5396</v>
      </c>
      <c r="B763" t="s">
        <v>1890</v>
      </c>
      <c r="C763" t="s">
        <v>20</v>
      </c>
      <c r="D763" t="s">
        <v>51</v>
      </c>
      <c r="E763" t="s">
        <v>158</v>
      </c>
      <c r="F763" t="s">
        <v>109</v>
      </c>
      <c r="G763" t="s">
        <v>1943</v>
      </c>
      <c r="H763" s="10">
        <v>803252</v>
      </c>
      <c r="I763" s="10">
        <v>0</v>
      </c>
      <c r="J763" s="10">
        <v>0</v>
      </c>
      <c r="L763" t="s">
        <v>25</v>
      </c>
      <c r="M763" t="s">
        <v>85</v>
      </c>
      <c r="N763" t="s">
        <v>645</v>
      </c>
      <c r="O763" s="2">
        <v>43922</v>
      </c>
      <c r="P763" s="2">
        <v>45382</v>
      </c>
      <c r="Q763">
        <v>3</v>
      </c>
      <c r="R763" t="s">
        <v>1944</v>
      </c>
    </row>
    <row r="764" spans="1:18" x14ac:dyDescent="0.25">
      <c r="A764" t="s">
        <v>1945</v>
      </c>
      <c r="B764" t="s">
        <v>49</v>
      </c>
      <c r="C764" t="s">
        <v>50</v>
      </c>
      <c r="D764" t="s">
        <v>1027</v>
      </c>
      <c r="E764" t="s">
        <v>1028</v>
      </c>
      <c r="F764" t="s">
        <v>1029</v>
      </c>
      <c r="G764" t="s">
        <v>1946</v>
      </c>
      <c r="H764" s="10">
        <v>100000</v>
      </c>
      <c r="I764" s="10">
        <v>0</v>
      </c>
      <c r="J764" s="10">
        <v>0</v>
      </c>
      <c r="L764" t="s">
        <v>34</v>
      </c>
      <c r="M764" t="s">
        <v>94</v>
      </c>
      <c r="N764" t="s">
        <v>1947</v>
      </c>
      <c r="O764" s="2">
        <v>40087</v>
      </c>
      <c r="P764" s="2">
        <v>40451</v>
      </c>
      <c r="Q764">
        <v>0</v>
      </c>
      <c r="R764" t="s">
        <v>1948</v>
      </c>
    </row>
    <row r="765" spans="1:18" x14ac:dyDescent="0.25">
      <c r="A765" t="s">
        <v>1949</v>
      </c>
      <c r="B765" t="s">
        <v>49</v>
      </c>
      <c r="C765" t="s">
        <v>50</v>
      </c>
      <c r="D765" t="s">
        <v>21</v>
      </c>
      <c r="E765" t="s">
        <v>549</v>
      </c>
      <c r="F765" t="s">
        <v>47</v>
      </c>
      <c r="G765" t="s">
        <v>1952</v>
      </c>
      <c r="H765" s="10">
        <v>644632</v>
      </c>
      <c r="I765" s="10">
        <v>0</v>
      </c>
      <c r="J765" s="10">
        <v>0</v>
      </c>
      <c r="L765" t="s">
        <v>42</v>
      </c>
      <c r="M765" t="s">
        <v>26</v>
      </c>
      <c r="N765" t="s">
        <v>1953</v>
      </c>
      <c r="O765" s="2">
        <v>42186</v>
      </c>
      <c r="P765" s="2">
        <v>44377</v>
      </c>
      <c r="Q765">
        <v>0</v>
      </c>
      <c r="R765" t="s">
        <v>1954</v>
      </c>
    </row>
    <row r="766" spans="1:18" x14ac:dyDescent="0.25">
      <c r="A766" t="s">
        <v>1949</v>
      </c>
      <c r="B766" t="s">
        <v>49</v>
      </c>
      <c r="C766" t="s">
        <v>50</v>
      </c>
      <c r="D766" t="s">
        <v>51</v>
      </c>
      <c r="E766" t="s">
        <v>163</v>
      </c>
      <c r="F766" t="s">
        <v>32</v>
      </c>
      <c r="G766" t="s">
        <v>1950</v>
      </c>
      <c r="H766" s="10">
        <v>1090125</v>
      </c>
      <c r="I766" s="10">
        <v>0</v>
      </c>
      <c r="J766" s="10">
        <v>0</v>
      </c>
      <c r="L766" t="s">
        <v>42</v>
      </c>
      <c r="M766" t="s">
        <v>26</v>
      </c>
      <c r="N766" t="s">
        <v>72</v>
      </c>
      <c r="O766" s="2">
        <v>43556</v>
      </c>
      <c r="P766" s="2">
        <v>45382</v>
      </c>
      <c r="Q766">
        <v>0</v>
      </c>
      <c r="R766" t="s">
        <v>1951</v>
      </c>
    </row>
    <row r="767" spans="1:18" x14ac:dyDescent="0.25">
      <c r="A767" t="s">
        <v>1955</v>
      </c>
      <c r="B767" t="s">
        <v>19</v>
      </c>
      <c r="C767" t="s">
        <v>20</v>
      </c>
      <c r="D767" t="s">
        <v>51</v>
      </c>
      <c r="E767" t="s">
        <v>197</v>
      </c>
      <c r="F767" t="s">
        <v>32</v>
      </c>
      <c r="G767" t="s">
        <v>1956</v>
      </c>
      <c r="H767" s="10">
        <v>860625</v>
      </c>
      <c r="I767" s="10">
        <v>0</v>
      </c>
      <c r="J767" s="10">
        <v>0</v>
      </c>
      <c r="L767" t="s">
        <v>42</v>
      </c>
      <c r="M767" t="s">
        <v>26</v>
      </c>
      <c r="N767" t="s">
        <v>1957</v>
      </c>
      <c r="O767" s="2">
        <v>44652</v>
      </c>
      <c r="P767" s="2">
        <v>46477</v>
      </c>
      <c r="Q767">
        <v>0</v>
      </c>
      <c r="R767" t="s">
        <v>1958</v>
      </c>
    </row>
    <row r="768" spans="1:18" x14ac:dyDescent="0.25">
      <c r="A768" t="s">
        <v>1959</v>
      </c>
      <c r="B768" t="s">
        <v>29</v>
      </c>
      <c r="C768" t="s">
        <v>20</v>
      </c>
      <c r="D768" t="s">
        <v>21</v>
      </c>
      <c r="E768" t="s">
        <v>572</v>
      </c>
      <c r="F768" t="s">
        <v>23</v>
      </c>
      <c r="G768" t="s">
        <v>1960</v>
      </c>
      <c r="H768" s="10">
        <v>794885</v>
      </c>
      <c r="I768" s="10">
        <v>0</v>
      </c>
      <c r="J768" s="10">
        <v>0</v>
      </c>
      <c r="L768" t="s">
        <v>42</v>
      </c>
      <c r="M768" t="s">
        <v>26</v>
      </c>
      <c r="N768" t="s">
        <v>1961</v>
      </c>
      <c r="O768" s="2">
        <v>41730</v>
      </c>
      <c r="P768" s="2">
        <v>43555</v>
      </c>
      <c r="Q768">
        <v>0</v>
      </c>
      <c r="R768" t="s">
        <v>1962</v>
      </c>
    </row>
    <row r="769" spans="1:18" x14ac:dyDescent="0.25">
      <c r="A769" t="s">
        <v>1959</v>
      </c>
      <c r="B769" t="s">
        <v>29</v>
      </c>
      <c r="C769" t="s">
        <v>20</v>
      </c>
      <c r="D769" t="s">
        <v>51</v>
      </c>
      <c r="E769" t="s">
        <v>116</v>
      </c>
      <c r="F769" t="s">
        <v>23</v>
      </c>
      <c r="G769" t="s">
        <v>1960</v>
      </c>
      <c r="H769" s="10">
        <v>937126</v>
      </c>
      <c r="I769" s="10">
        <v>0</v>
      </c>
      <c r="J769" s="10">
        <v>0</v>
      </c>
      <c r="L769" t="s">
        <v>42</v>
      </c>
      <c r="M769" t="s">
        <v>26</v>
      </c>
      <c r="N769" t="s">
        <v>1961</v>
      </c>
      <c r="O769" s="2">
        <v>41730</v>
      </c>
      <c r="P769" s="2">
        <v>43555</v>
      </c>
      <c r="Q769">
        <v>0</v>
      </c>
      <c r="R769" t="s">
        <v>1962</v>
      </c>
    </row>
    <row r="770" spans="1:18" x14ac:dyDescent="0.25">
      <c r="A770" t="s">
        <v>1963</v>
      </c>
      <c r="B770" t="s">
        <v>355</v>
      </c>
      <c r="C770" t="s">
        <v>20</v>
      </c>
      <c r="D770" t="s">
        <v>51</v>
      </c>
      <c r="E770" t="s">
        <v>406</v>
      </c>
      <c r="F770" t="s">
        <v>32</v>
      </c>
      <c r="G770" t="s">
        <v>1964</v>
      </c>
      <c r="H770" s="10">
        <v>983025</v>
      </c>
      <c r="I770" s="10">
        <v>0</v>
      </c>
      <c r="J770" s="10">
        <v>0</v>
      </c>
      <c r="L770" t="s">
        <v>42</v>
      </c>
      <c r="M770" t="s">
        <v>26</v>
      </c>
      <c r="N770" t="s">
        <v>1965</v>
      </c>
      <c r="O770" s="2">
        <v>43191</v>
      </c>
      <c r="P770" s="2">
        <v>45016</v>
      </c>
      <c r="Q770">
        <v>0</v>
      </c>
      <c r="R770" t="s">
        <v>1966</v>
      </c>
    </row>
    <row r="771" spans="1:18" x14ac:dyDescent="0.25">
      <c r="A771" t="s">
        <v>1967</v>
      </c>
      <c r="B771" t="s">
        <v>721</v>
      </c>
      <c r="C771" t="s">
        <v>20</v>
      </c>
      <c r="D771" t="s">
        <v>51</v>
      </c>
      <c r="E771" t="s">
        <v>116</v>
      </c>
      <c r="F771" t="s">
        <v>23</v>
      </c>
      <c r="G771" t="s">
        <v>1968</v>
      </c>
      <c r="H771" s="10">
        <v>765000</v>
      </c>
      <c r="I771" s="10">
        <v>0</v>
      </c>
      <c r="J771" s="10">
        <v>0</v>
      </c>
      <c r="L771" t="s">
        <v>42</v>
      </c>
      <c r="M771" t="s">
        <v>26</v>
      </c>
      <c r="N771" t="s">
        <v>135</v>
      </c>
      <c r="O771" s="2">
        <v>43374</v>
      </c>
      <c r="P771" s="2">
        <v>45199</v>
      </c>
      <c r="Q771">
        <v>0</v>
      </c>
      <c r="R771" t="s">
        <v>1969</v>
      </c>
    </row>
    <row r="772" spans="1:18" x14ac:dyDescent="0.25">
      <c r="A772" t="s">
        <v>1967</v>
      </c>
      <c r="B772" t="s">
        <v>721</v>
      </c>
      <c r="C772" t="s">
        <v>20</v>
      </c>
      <c r="D772" t="s">
        <v>51</v>
      </c>
      <c r="E772" t="s">
        <v>223</v>
      </c>
      <c r="F772" t="s">
        <v>23</v>
      </c>
      <c r="G772" t="s">
        <v>1970</v>
      </c>
      <c r="H772" s="10">
        <v>975376</v>
      </c>
      <c r="I772" s="10">
        <v>0</v>
      </c>
      <c r="J772" s="10">
        <v>0</v>
      </c>
      <c r="L772" t="s">
        <v>42</v>
      </c>
      <c r="M772" t="s">
        <v>26</v>
      </c>
      <c r="N772" t="s">
        <v>544</v>
      </c>
      <c r="O772" s="2">
        <v>45566</v>
      </c>
      <c r="P772" s="2">
        <v>47391</v>
      </c>
      <c r="Q772">
        <v>0</v>
      </c>
      <c r="R772" t="s">
        <v>1971</v>
      </c>
    </row>
    <row r="773" spans="1:18" x14ac:dyDescent="0.25">
      <c r="A773" t="s">
        <v>1972</v>
      </c>
      <c r="B773" t="s">
        <v>1676</v>
      </c>
      <c r="C773" t="s">
        <v>20</v>
      </c>
      <c r="D773" t="s">
        <v>1973</v>
      </c>
      <c r="E773" t="s">
        <v>1974</v>
      </c>
      <c r="F773" t="s">
        <v>23</v>
      </c>
      <c r="G773" t="s">
        <v>1975</v>
      </c>
      <c r="H773" s="10">
        <v>100000</v>
      </c>
      <c r="I773" s="10">
        <v>0</v>
      </c>
      <c r="J773" s="10">
        <v>0</v>
      </c>
      <c r="L773" t="s">
        <v>34</v>
      </c>
      <c r="M773" t="s">
        <v>26</v>
      </c>
      <c r="N773" t="s">
        <v>1976</v>
      </c>
      <c r="O773" s="2">
        <v>41000</v>
      </c>
      <c r="P773" s="2">
        <v>41364</v>
      </c>
      <c r="Q773">
        <v>0</v>
      </c>
      <c r="R773" t="s">
        <v>1977</v>
      </c>
    </row>
    <row r="774" spans="1:18" x14ac:dyDescent="0.25">
      <c r="A774" t="s">
        <v>1978</v>
      </c>
      <c r="B774" t="s">
        <v>49</v>
      </c>
      <c r="C774" t="s">
        <v>50</v>
      </c>
      <c r="D774" t="s">
        <v>21</v>
      </c>
      <c r="E774" t="s">
        <v>534</v>
      </c>
      <c r="F774" t="s">
        <v>109</v>
      </c>
      <c r="G774" t="s">
        <v>1979</v>
      </c>
      <c r="H774" s="10">
        <v>627332</v>
      </c>
      <c r="I774" s="10">
        <v>0</v>
      </c>
      <c r="J774" s="10">
        <v>0</v>
      </c>
      <c r="L774" t="s">
        <v>42</v>
      </c>
      <c r="M774" t="s">
        <v>26</v>
      </c>
      <c r="N774" t="s">
        <v>1980</v>
      </c>
      <c r="O774" s="2">
        <v>40817</v>
      </c>
      <c r="P774" s="2">
        <v>42643</v>
      </c>
      <c r="Q774">
        <v>0</v>
      </c>
      <c r="R774" t="s">
        <v>1981</v>
      </c>
    </row>
    <row r="775" spans="1:18" x14ac:dyDescent="0.25">
      <c r="A775" t="s">
        <v>1982</v>
      </c>
      <c r="B775" t="s">
        <v>5045</v>
      </c>
      <c r="C775" t="s">
        <v>38</v>
      </c>
      <c r="D775" t="s">
        <v>21</v>
      </c>
      <c r="E775" t="s">
        <v>172</v>
      </c>
      <c r="F775" t="s">
        <v>23</v>
      </c>
      <c r="G775" t="s">
        <v>1983</v>
      </c>
      <c r="H775" s="10">
        <v>295728</v>
      </c>
      <c r="I775" s="10">
        <v>0</v>
      </c>
      <c r="J775" s="10">
        <v>0</v>
      </c>
      <c r="L775" t="s">
        <v>55</v>
      </c>
      <c r="M775" t="s">
        <v>26</v>
      </c>
      <c r="N775" t="s">
        <v>1984</v>
      </c>
      <c r="O775" s="2">
        <v>40452</v>
      </c>
      <c r="P775" s="2">
        <v>41547</v>
      </c>
      <c r="Q775">
        <v>0</v>
      </c>
      <c r="R775" t="s">
        <v>1985</v>
      </c>
    </row>
    <row r="776" spans="1:18" x14ac:dyDescent="0.25">
      <c r="A776" t="s">
        <v>6165</v>
      </c>
      <c r="B776" t="s">
        <v>4049</v>
      </c>
      <c r="C776" t="s">
        <v>4050</v>
      </c>
      <c r="D776" t="s">
        <v>5320</v>
      </c>
      <c r="E776" t="s">
        <v>5321</v>
      </c>
      <c r="F776" t="s">
        <v>5322</v>
      </c>
      <c r="G776" t="s">
        <v>5325</v>
      </c>
      <c r="H776" s="12">
        <v>618797</v>
      </c>
      <c r="I776" s="12">
        <v>0</v>
      </c>
      <c r="J776" s="10">
        <v>0</v>
      </c>
      <c r="L776" t="s">
        <v>25</v>
      </c>
      <c r="M776" t="s">
        <v>111</v>
      </c>
      <c r="N776" t="s">
        <v>6166</v>
      </c>
      <c r="O776" s="2">
        <v>42278</v>
      </c>
      <c r="P776" s="2">
        <v>43738</v>
      </c>
      <c r="Q776">
        <v>0</v>
      </c>
      <c r="R776" t="s">
        <v>6167</v>
      </c>
    </row>
    <row r="777" spans="1:18" x14ac:dyDescent="0.25">
      <c r="A777" t="s">
        <v>4463</v>
      </c>
      <c r="B777" t="s">
        <v>4464</v>
      </c>
      <c r="C777" t="s">
        <v>20</v>
      </c>
      <c r="D777" t="s">
        <v>4454</v>
      </c>
      <c r="E777" t="s">
        <v>4455</v>
      </c>
      <c r="F777" t="s">
        <v>4456</v>
      </c>
      <c r="G777" t="s">
        <v>4465</v>
      </c>
      <c r="H777" s="10">
        <v>96207</v>
      </c>
      <c r="I777" s="10">
        <v>0</v>
      </c>
      <c r="J777" s="10">
        <v>0</v>
      </c>
      <c r="L777" t="s">
        <v>34</v>
      </c>
      <c r="M777" t="s">
        <v>111</v>
      </c>
      <c r="N777" t="s">
        <v>5908</v>
      </c>
      <c r="O777" s="2">
        <v>41334</v>
      </c>
      <c r="P777" s="2">
        <v>41698</v>
      </c>
      <c r="Q777">
        <v>0</v>
      </c>
      <c r="R777" t="s">
        <v>5907</v>
      </c>
    </row>
    <row r="778" spans="1:18" x14ac:dyDescent="0.25">
      <c r="A778" t="s">
        <v>1986</v>
      </c>
      <c r="B778" t="s">
        <v>107</v>
      </c>
      <c r="C778" t="s">
        <v>38</v>
      </c>
      <c r="D778" t="s">
        <v>21</v>
      </c>
      <c r="E778" t="s">
        <v>323</v>
      </c>
      <c r="F778" t="s">
        <v>47</v>
      </c>
      <c r="G778" t="s">
        <v>1987</v>
      </c>
      <c r="H778" s="10">
        <v>506268</v>
      </c>
      <c r="I778" s="10">
        <v>0</v>
      </c>
      <c r="J778" s="10">
        <v>0</v>
      </c>
      <c r="L778" t="s">
        <v>25</v>
      </c>
      <c r="M778" t="s">
        <v>204</v>
      </c>
      <c r="N778" t="s">
        <v>1988</v>
      </c>
      <c r="O778" s="2">
        <v>40269</v>
      </c>
      <c r="P778" s="2">
        <v>41729</v>
      </c>
      <c r="Q778">
        <v>0</v>
      </c>
      <c r="R778" t="s">
        <v>1989</v>
      </c>
    </row>
    <row r="779" spans="1:18" x14ac:dyDescent="0.25">
      <c r="A779" t="s">
        <v>1986</v>
      </c>
      <c r="B779" t="s">
        <v>157</v>
      </c>
      <c r="C779" t="s">
        <v>38</v>
      </c>
      <c r="D779" t="s">
        <v>21</v>
      </c>
      <c r="E779" t="s">
        <v>549</v>
      </c>
      <c r="F779" t="s">
        <v>47</v>
      </c>
      <c r="G779" t="s">
        <v>1987</v>
      </c>
      <c r="H779" s="10">
        <v>739955</v>
      </c>
      <c r="I779" s="10">
        <v>0</v>
      </c>
      <c r="J779" s="10">
        <v>0</v>
      </c>
      <c r="L779" t="s">
        <v>42</v>
      </c>
      <c r="M779" t="s">
        <v>204</v>
      </c>
      <c r="N779" t="s">
        <v>1988</v>
      </c>
      <c r="O779" s="2">
        <v>42186</v>
      </c>
      <c r="P779" s="2">
        <v>44012</v>
      </c>
      <c r="Q779">
        <v>0</v>
      </c>
      <c r="R779" t="s">
        <v>1989</v>
      </c>
    </row>
    <row r="780" spans="1:18" x14ac:dyDescent="0.25">
      <c r="A780" t="s">
        <v>4774</v>
      </c>
      <c r="B780" t="s">
        <v>3285</v>
      </c>
      <c r="C780" t="s">
        <v>20</v>
      </c>
      <c r="D780" t="s">
        <v>4557</v>
      </c>
      <c r="E780" t="s">
        <v>4567</v>
      </c>
      <c r="F780" t="s">
        <v>4559</v>
      </c>
      <c r="G780" t="s">
        <v>4775</v>
      </c>
      <c r="H780" s="10">
        <v>451599</v>
      </c>
      <c r="I780" s="10">
        <v>0</v>
      </c>
      <c r="J780" s="10">
        <v>0</v>
      </c>
      <c r="L780" t="s">
        <v>55</v>
      </c>
      <c r="M780" t="s">
        <v>26</v>
      </c>
      <c r="N780" t="s">
        <v>5943</v>
      </c>
      <c r="O780" s="2">
        <v>41730</v>
      </c>
      <c r="P780" s="2">
        <v>42825</v>
      </c>
      <c r="Q780">
        <v>0</v>
      </c>
      <c r="R780" t="s">
        <v>5942</v>
      </c>
    </row>
    <row r="781" spans="1:18" x14ac:dyDescent="0.25">
      <c r="A781" t="s">
        <v>4517</v>
      </c>
      <c r="B781" t="s">
        <v>4518</v>
      </c>
      <c r="C781" t="s">
        <v>20</v>
      </c>
      <c r="D781" t="s">
        <v>4499</v>
      </c>
      <c r="E781" t="s">
        <v>4500</v>
      </c>
      <c r="F781" t="s">
        <v>4501</v>
      </c>
      <c r="G781" t="s">
        <v>4519</v>
      </c>
      <c r="H781" s="12">
        <v>146230</v>
      </c>
      <c r="I781" s="12">
        <v>0</v>
      </c>
      <c r="J781" s="10">
        <v>0</v>
      </c>
      <c r="L781" t="s">
        <v>34</v>
      </c>
      <c r="M781" t="s">
        <v>413</v>
      </c>
      <c r="N781" t="s">
        <v>6168</v>
      </c>
      <c r="O781" s="2">
        <v>45323</v>
      </c>
      <c r="P781" s="2">
        <v>45688</v>
      </c>
      <c r="Q781">
        <v>0</v>
      </c>
      <c r="R781" t="s">
        <v>6169</v>
      </c>
    </row>
    <row r="782" spans="1:18" x14ac:dyDescent="0.25">
      <c r="A782" t="s">
        <v>5154</v>
      </c>
      <c r="B782" t="s">
        <v>148</v>
      </c>
      <c r="C782" t="s">
        <v>149</v>
      </c>
      <c r="D782" t="s">
        <v>99</v>
      </c>
      <c r="E782" t="s">
        <v>100</v>
      </c>
      <c r="F782" t="s">
        <v>101</v>
      </c>
      <c r="G782" t="s">
        <v>1990</v>
      </c>
      <c r="H782" s="10">
        <v>1271404</v>
      </c>
      <c r="I782" s="10">
        <v>0</v>
      </c>
      <c r="J782" s="10">
        <v>0</v>
      </c>
      <c r="L782" t="s">
        <v>34</v>
      </c>
      <c r="M782" t="s">
        <v>94</v>
      </c>
      <c r="N782" t="s">
        <v>1991</v>
      </c>
      <c r="O782" s="2">
        <v>43983</v>
      </c>
      <c r="P782" s="2">
        <v>44347</v>
      </c>
      <c r="Q782">
        <v>0</v>
      </c>
      <c r="R782" t="s">
        <v>1992</v>
      </c>
    </row>
    <row r="783" spans="1:18" x14ac:dyDescent="0.25">
      <c r="A783" t="s">
        <v>5398</v>
      </c>
      <c r="B783" t="s">
        <v>157</v>
      </c>
      <c r="C783" t="s">
        <v>38</v>
      </c>
      <c r="D783" t="s">
        <v>51</v>
      </c>
      <c r="E783" t="s">
        <v>163</v>
      </c>
      <c r="F783" t="s">
        <v>128</v>
      </c>
      <c r="G783" t="s">
        <v>1993</v>
      </c>
      <c r="H783" s="10">
        <v>967725</v>
      </c>
      <c r="I783" s="10">
        <v>0</v>
      </c>
      <c r="J783" s="10">
        <v>0</v>
      </c>
      <c r="L783" t="s">
        <v>42</v>
      </c>
      <c r="M783" t="s">
        <v>26</v>
      </c>
      <c r="N783" t="s">
        <v>1994</v>
      </c>
      <c r="O783" s="2">
        <v>43556</v>
      </c>
      <c r="P783" s="2">
        <v>45382</v>
      </c>
      <c r="Q783">
        <v>0</v>
      </c>
      <c r="R783" t="s">
        <v>1995</v>
      </c>
    </row>
    <row r="784" spans="1:18" x14ac:dyDescent="0.25">
      <c r="A784" t="s">
        <v>5397</v>
      </c>
      <c r="B784" t="s">
        <v>157</v>
      </c>
      <c r="C784" t="s">
        <v>38</v>
      </c>
      <c r="D784" t="s">
        <v>51</v>
      </c>
      <c r="E784" t="s">
        <v>197</v>
      </c>
      <c r="F784" t="s">
        <v>128</v>
      </c>
      <c r="G784" t="s">
        <v>1996</v>
      </c>
      <c r="H784" s="10">
        <v>1132200</v>
      </c>
      <c r="I784" s="10">
        <v>0</v>
      </c>
      <c r="J784" s="10">
        <v>0</v>
      </c>
      <c r="L784" t="s">
        <v>42</v>
      </c>
      <c r="M784" t="s">
        <v>26</v>
      </c>
      <c r="N784" t="s">
        <v>1997</v>
      </c>
      <c r="O784" s="2">
        <v>44652</v>
      </c>
      <c r="P784" s="2">
        <v>46477</v>
      </c>
      <c r="Q784">
        <v>0</v>
      </c>
      <c r="R784" t="s">
        <v>1998</v>
      </c>
    </row>
    <row r="785" spans="1:18" x14ac:dyDescent="0.25">
      <c r="A785" t="s">
        <v>1999</v>
      </c>
      <c r="B785" t="s">
        <v>5045</v>
      </c>
      <c r="C785" t="s">
        <v>38</v>
      </c>
      <c r="D785" t="s">
        <v>21</v>
      </c>
      <c r="E785" t="s">
        <v>323</v>
      </c>
      <c r="F785" t="s">
        <v>53</v>
      </c>
      <c r="G785" t="s">
        <v>2000</v>
      </c>
      <c r="H785" s="10">
        <v>241512</v>
      </c>
      <c r="I785" s="10">
        <v>0</v>
      </c>
      <c r="J785" s="10">
        <v>0</v>
      </c>
      <c r="L785" t="s">
        <v>55</v>
      </c>
      <c r="M785" t="s">
        <v>204</v>
      </c>
      <c r="N785" t="s">
        <v>2001</v>
      </c>
      <c r="O785" s="2">
        <v>40269</v>
      </c>
      <c r="P785" s="2">
        <v>41364</v>
      </c>
      <c r="Q785">
        <v>1</v>
      </c>
      <c r="R785" t="s">
        <v>2002</v>
      </c>
    </row>
    <row r="786" spans="1:18" x14ac:dyDescent="0.25">
      <c r="A786" t="s">
        <v>1999</v>
      </c>
      <c r="B786" t="s">
        <v>5045</v>
      </c>
      <c r="C786" t="s">
        <v>38</v>
      </c>
      <c r="D786" t="s">
        <v>21</v>
      </c>
      <c r="E786" t="s">
        <v>172</v>
      </c>
      <c r="F786" t="s">
        <v>53</v>
      </c>
      <c r="G786" t="s">
        <v>2005</v>
      </c>
      <c r="H786" s="10">
        <v>184598</v>
      </c>
      <c r="I786" s="10">
        <v>0</v>
      </c>
      <c r="J786" s="10">
        <v>0</v>
      </c>
      <c r="L786" t="s">
        <v>55</v>
      </c>
      <c r="M786" t="s">
        <v>204</v>
      </c>
      <c r="N786" t="s">
        <v>2006</v>
      </c>
      <c r="O786" s="2">
        <v>40452</v>
      </c>
      <c r="P786" s="2">
        <v>41547</v>
      </c>
      <c r="Q786">
        <v>0</v>
      </c>
      <c r="R786" t="s">
        <v>2007</v>
      </c>
    </row>
    <row r="787" spans="1:18" x14ac:dyDescent="0.25">
      <c r="A787" t="s">
        <v>1999</v>
      </c>
      <c r="B787" t="s">
        <v>5045</v>
      </c>
      <c r="C787" t="s">
        <v>38</v>
      </c>
      <c r="D787" t="s">
        <v>21</v>
      </c>
      <c r="E787" t="s">
        <v>22</v>
      </c>
      <c r="F787" t="s">
        <v>53</v>
      </c>
      <c r="G787" t="s">
        <v>2003</v>
      </c>
      <c r="H787" s="10">
        <v>380000</v>
      </c>
      <c r="I787" s="10">
        <v>0</v>
      </c>
      <c r="J787" s="10">
        <v>0</v>
      </c>
      <c r="L787" t="s">
        <v>25</v>
      </c>
      <c r="M787" t="s">
        <v>204</v>
      </c>
      <c r="N787" t="s">
        <v>2001</v>
      </c>
      <c r="O787" s="2">
        <v>41365</v>
      </c>
      <c r="P787" s="2">
        <v>42825</v>
      </c>
      <c r="Q787">
        <v>1</v>
      </c>
      <c r="R787" t="s">
        <v>2004</v>
      </c>
    </row>
    <row r="788" spans="1:18" x14ac:dyDescent="0.25">
      <c r="A788" t="s">
        <v>4776</v>
      </c>
      <c r="B788" t="s">
        <v>196</v>
      </c>
      <c r="C788" t="s">
        <v>20</v>
      </c>
      <c r="D788" t="s">
        <v>4557</v>
      </c>
      <c r="E788" t="s">
        <v>4570</v>
      </c>
      <c r="F788" t="s">
        <v>4559</v>
      </c>
      <c r="G788" t="s">
        <v>4777</v>
      </c>
      <c r="H788" s="10">
        <v>186200</v>
      </c>
      <c r="I788" s="10">
        <v>0</v>
      </c>
      <c r="J788" s="10">
        <v>0</v>
      </c>
      <c r="L788" t="s">
        <v>55</v>
      </c>
      <c r="M788" t="s">
        <v>111</v>
      </c>
      <c r="N788" t="s">
        <v>6055</v>
      </c>
      <c r="O788" s="2">
        <v>42826</v>
      </c>
      <c r="P788" s="2">
        <v>43921</v>
      </c>
      <c r="Q788">
        <v>0</v>
      </c>
      <c r="R788" t="s">
        <v>6054</v>
      </c>
    </row>
    <row r="789" spans="1:18" x14ac:dyDescent="0.25">
      <c r="A789" t="s">
        <v>2008</v>
      </c>
      <c r="B789" t="s">
        <v>107</v>
      </c>
      <c r="C789" t="s">
        <v>38</v>
      </c>
      <c r="D789" t="s">
        <v>21</v>
      </c>
      <c r="E789" t="s">
        <v>255</v>
      </c>
      <c r="F789" t="s">
        <v>109</v>
      </c>
      <c r="G789" t="s">
        <v>2009</v>
      </c>
      <c r="H789" s="11">
        <v>393809</v>
      </c>
      <c r="I789" s="11">
        <v>0</v>
      </c>
      <c r="J789" s="11">
        <v>0</v>
      </c>
      <c r="L789" t="s">
        <v>25</v>
      </c>
      <c r="M789" t="s">
        <v>111</v>
      </c>
      <c r="N789" t="s">
        <v>333</v>
      </c>
      <c r="O789" s="2">
        <v>39904</v>
      </c>
      <c r="P789" s="2">
        <v>41364</v>
      </c>
      <c r="Q789">
        <v>0</v>
      </c>
      <c r="R789" t="s">
        <v>2010</v>
      </c>
    </row>
    <row r="790" spans="1:18" x14ac:dyDescent="0.25">
      <c r="A790" t="s">
        <v>2011</v>
      </c>
      <c r="B790" t="s">
        <v>49</v>
      </c>
      <c r="C790" t="s">
        <v>50</v>
      </c>
      <c r="D790" t="s">
        <v>241</v>
      </c>
      <c r="E790" t="s">
        <v>554</v>
      </c>
      <c r="F790" t="s">
        <v>243</v>
      </c>
      <c r="G790" t="s">
        <v>2012</v>
      </c>
      <c r="H790" s="10">
        <v>73000</v>
      </c>
      <c r="I790" s="10">
        <v>25000</v>
      </c>
      <c r="J790" s="10">
        <v>0</v>
      </c>
      <c r="L790" t="s">
        <v>34</v>
      </c>
      <c r="M790" t="s">
        <v>143</v>
      </c>
      <c r="N790" t="s">
        <v>2013</v>
      </c>
      <c r="O790" s="2">
        <v>39845</v>
      </c>
      <c r="P790" s="2">
        <v>40209</v>
      </c>
      <c r="Q790">
        <v>1</v>
      </c>
      <c r="R790" t="s">
        <v>2014</v>
      </c>
    </row>
    <row r="791" spans="1:18" x14ac:dyDescent="0.25">
      <c r="A791" t="s">
        <v>2015</v>
      </c>
      <c r="B791" t="s">
        <v>49</v>
      </c>
      <c r="C791" t="s">
        <v>50</v>
      </c>
      <c r="D791" t="s">
        <v>21</v>
      </c>
      <c r="E791" t="s">
        <v>751</v>
      </c>
      <c r="F791" t="s">
        <v>47</v>
      </c>
      <c r="G791" t="s">
        <v>2016</v>
      </c>
      <c r="H791" s="11">
        <v>100000</v>
      </c>
      <c r="I791" s="11">
        <v>0</v>
      </c>
      <c r="J791" s="11">
        <v>0</v>
      </c>
      <c r="L791" t="s">
        <v>34</v>
      </c>
      <c r="M791" t="s">
        <v>26</v>
      </c>
      <c r="N791" t="s">
        <v>2017</v>
      </c>
      <c r="O791" s="2">
        <v>39873</v>
      </c>
      <c r="P791" s="2">
        <v>41182</v>
      </c>
      <c r="Q791">
        <v>0</v>
      </c>
      <c r="R791" t="s">
        <v>2018</v>
      </c>
    </row>
    <row r="792" spans="1:18" x14ac:dyDescent="0.25">
      <c r="A792" t="s">
        <v>2015</v>
      </c>
      <c r="B792" t="s">
        <v>49</v>
      </c>
      <c r="C792" t="s">
        <v>50</v>
      </c>
      <c r="D792" t="s">
        <v>21</v>
      </c>
      <c r="E792" t="s">
        <v>194</v>
      </c>
      <c r="F792" t="s">
        <v>47</v>
      </c>
      <c r="G792" t="s">
        <v>2016</v>
      </c>
      <c r="H792" s="11">
        <v>431680</v>
      </c>
      <c r="I792" s="11">
        <v>0</v>
      </c>
      <c r="J792" s="11">
        <v>0</v>
      </c>
      <c r="L792" t="s">
        <v>55</v>
      </c>
      <c r="M792" t="s">
        <v>26</v>
      </c>
      <c r="N792" t="s">
        <v>2017</v>
      </c>
      <c r="O792" s="2">
        <v>40087</v>
      </c>
      <c r="P792" s="2">
        <v>41182</v>
      </c>
      <c r="Q792">
        <v>0</v>
      </c>
      <c r="R792" t="s">
        <v>2018</v>
      </c>
    </row>
    <row r="793" spans="1:18" x14ac:dyDescent="0.25">
      <c r="A793" t="s">
        <v>2015</v>
      </c>
      <c r="B793" t="s">
        <v>49</v>
      </c>
      <c r="C793" t="s">
        <v>50</v>
      </c>
      <c r="D793" t="s">
        <v>21</v>
      </c>
      <c r="E793" t="s">
        <v>377</v>
      </c>
      <c r="F793" t="s">
        <v>47</v>
      </c>
      <c r="G793" t="s">
        <v>2021</v>
      </c>
      <c r="H793" s="10">
        <v>597109</v>
      </c>
      <c r="I793" s="10">
        <v>0</v>
      </c>
      <c r="J793" s="10">
        <v>0</v>
      </c>
      <c r="L793" t="s">
        <v>25</v>
      </c>
      <c r="M793" t="s">
        <v>26</v>
      </c>
      <c r="N793" t="s">
        <v>2022</v>
      </c>
      <c r="O793" s="2">
        <v>41183</v>
      </c>
      <c r="P793" s="2">
        <v>42643</v>
      </c>
      <c r="Q793">
        <v>1</v>
      </c>
      <c r="R793" t="s">
        <v>2023</v>
      </c>
    </row>
    <row r="794" spans="1:18" x14ac:dyDescent="0.25">
      <c r="A794" t="s">
        <v>2015</v>
      </c>
      <c r="B794" t="s">
        <v>49</v>
      </c>
      <c r="C794" t="s">
        <v>50</v>
      </c>
      <c r="D794" t="s">
        <v>51</v>
      </c>
      <c r="E794" t="s">
        <v>127</v>
      </c>
      <c r="F794" t="s">
        <v>47</v>
      </c>
      <c r="G794" t="s">
        <v>2019</v>
      </c>
      <c r="H794" s="10">
        <v>914176</v>
      </c>
      <c r="I794" s="10">
        <v>0</v>
      </c>
      <c r="J794" s="10">
        <v>0</v>
      </c>
      <c r="L794" t="s">
        <v>42</v>
      </c>
      <c r="M794" t="s">
        <v>26</v>
      </c>
      <c r="N794" t="s">
        <v>72</v>
      </c>
      <c r="O794" s="2">
        <v>44835</v>
      </c>
      <c r="P794" s="2">
        <v>46660</v>
      </c>
      <c r="Q794">
        <v>0</v>
      </c>
      <c r="R794" t="s">
        <v>2020</v>
      </c>
    </row>
    <row r="795" spans="1:18" x14ac:dyDescent="0.25">
      <c r="A795" t="s">
        <v>2024</v>
      </c>
      <c r="B795" t="s">
        <v>49</v>
      </c>
      <c r="C795" t="s">
        <v>50</v>
      </c>
      <c r="D795" t="s">
        <v>21</v>
      </c>
      <c r="E795" t="s">
        <v>287</v>
      </c>
      <c r="F795" t="s">
        <v>109</v>
      </c>
      <c r="G795" t="s">
        <v>2025</v>
      </c>
      <c r="H795" s="10">
        <v>266164</v>
      </c>
      <c r="I795" s="10">
        <v>0</v>
      </c>
      <c r="J795" s="10">
        <v>0</v>
      </c>
      <c r="L795" t="s">
        <v>55</v>
      </c>
      <c r="M795" t="s">
        <v>26</v>
      </c>
      <c r="N795" t="s">
        <v>2026</v>
      </c>
      <c r="O795" s="2">
        <v>40634</v>
      </c>
      <c r="P795" s="2">
        <v>41729</v>
      </c>
      <c r="Q795">
        <v>2</v>
      </c>
      <c r="R795" t="s">
        <v>2027</v>
      </c>
    </row>
    <row r="796" spans="1:18" x14ac:dyDescent="0.25">
      <c r="A796" t="s">
        <v>4778</v>
      </c>
      <c r="B796" t="s">
        <v>1336</v>
      </c>
      <c r="C796" t="s">
        <v>50</v>
      </c>
      <c r="D796" t="s">
        <v>4557</v>
      </c>
      <c r="E796" t="s">
        <v>4570</v>
      </c>
      <c r="F796" t="s">
        <v>4559</v>
      </c>
      <c r="G796" t="s">
        <v>4779</v>
      </c>
      <c r="H796" s="10">
        <v>314005</v>
      </c>
      <c r="I796" s="10">
        <v>0</v>
      </c>
      <c r="J796" s="10">
        <v>0</v>
      </c>
      <c r="L796" t="s">
        <v>55</v>
      </c>
      <c r="M796" t="s">
        <v>26</v>
      </c>
      <c r="N796" t="s">
        <v>5670</v>
      </c>
      <c r="O796" s="2">
        <v>42826</v>
      </c>
      <c r="P796" s="2">
        <v>43921</v>
      </c>
      <c r="Q796">
        <v>1</v>
      </c>
      <c r="R796" t="s">
        <v>5669</v>
      </c>
    </row>
    <row r="797" spans="1:18" x14ac:dyDescent="0.25">
      <c r="A797" t="s">
        <v>2028</v>
      </c>
      <c r="B797" t="s">
        <v>49</v>
      </c>
      <c r="C797" t="s">
        <v>50</v>
      </c>
      <c r="D797" t="s">
        <v>51</v>
      </c>
      <c r="E797" t="s">
        <v>158</v>
      </c>
      <c r="F797" t="s">
        <v>23</v>
      </c>
      <c r="G797" t="s">
        <v>2029</v>
      </c>
      <c r="H797" s="10">
        <v>952425</v>
      </c>
      <c r="I797" s="10">
        <v>0</v>
      </c>
      <c r="J797" s="10">
        <v>0</v>
      </c>
      <c r="L797" t="s">
        <v>42</v>
      </c>
      <c r="M797" t="s">
        <v>26</v>
      </c>
      <c r="N797" t="s">
        <v>2030</v>
      </c>
      <c r="O797" s="2">
        <v>43922</v>
      </c>
      <c r="P797" s="2">
        <v>45747</v>
      </c>
      <c r="Q797">
        <v>0</v>
      </c>
      <c r="R797" t="s">
        <v>2031</v>
      </c>
    </row>
    <row r="798" spans="1:18" x14ac:dyDescent="0.25">
      <c r="A798" t="s">
        <v>5212</v>
      </c>
      <c r="B798" t="s">
        <v>499</v>
      </c>
      <c r="C798" t="s">
        <v>311</v>
      </c>
      <c r="D798" t="s">
        <v>5165</v>
      </c>
      <c r="E798" t="s">
        <v>5193</v>
      </c>
      <c r="F798" t="s">
        <v>4554</v>
      </c>
      <c r="G798" t="s">
        <v>5213</v>
      </c>
      <c r="H798" s="10">
        <v>193512</v>
      </c>
      <c r="I798" s="10">
        <v>0</v>
      </c>
      <c r="J798" s="10">
        <v>0</v>
      </c>
      <c r="L798" t="s">
        <v>84</v>
      </c>
      <c r="M798" t="s">
        <v>94</v>
      </c>
      <c r="N798" t="s">
        <v>3267</v>
      </c>
      <c r="O798" s="2">
        <v>41548</v>
      </c>
      <c r="P798" s="2">
        <v>42277</v>
      </c>
      <c r="Q798">
        <v>0</v>
      </c>
      <c r="R798" t="s">
        <v>5616</v>
      </c>
    </row>
    <row r="799" spans="1:18" x14ac:dyDescent="0.25">
      <c r="A799" t="s">
        <v>2032</v>
      </c>
      <c r="B799" t="s">
        <v>4492</v>
      </c>
      <c r="C799" t="s">
        <v>38</v>
      </c>
      <c r="D799" t="s">
        <v>1377</v>
      </c>
      <c r="E799" t="s">
        <v>1378</v>
      </c>
      <c r="F799" t="s">
        <v>1379</v>
      </c>
      <c r="G799" t="s">
        <v>2035</v>
      </c>
      <c r="H799" s="10">
        <v>100000</v>
      </c>
      <c r="I799" s="10">
        <v>0</v>
      </c>
      <c r="J799" s="10">
        <v>0</v>
      </c>
      <c r="L799" t="s">
        <v>34</v>
      </c>
      <c r="M799" t="s">
        <v>94</v>
      </c>
      <c r="N799" t="s">
        <v>2036</v>
      </c>
      <c r="O799" s="2">
        <v>39873</v>
      </c>
      <c r="P799" s="2">
        <v>40237</v>
      </c>
      <c r="Q799">
        <v>1</v>
      </c>
      <c r="R799" t="s">
        <v>2037</v>
      </c>
    </row>
    <row r="800" spans="1:18" x14ac:dyDescent="0.25">
      <c r="A800" t="s">
        <v>2032</v>
      </c>
      <c r="B800" t="s">
        <v>302</v>
      </c>
      <c r="C800" t="s">
        <v>20</v>
      </c>
      <c r="D800" t="s">
        <v>139</v>
      </c>
      <c r="E800" t="s">
        <v>140</v>
      </c>
      <c r="F800" t="s">
        <v>141</v>
      </c>
      <c r="G800" t="s">
        <v>2033</v>
      </c>
      <c r="H800" s="10">
        <v>2112500</v>
      </c>
      <c r="I800" s="10">
        <v>0</v>
      </c>
      <c r="J800" s="10">
        <v>0</v>
      </c>
      <c r="L800" t="s">
        <v>34</v>
      </c>
      <c r="M800" t="s">
        <v>94</v>
      </c>
      <c r="N800" t="s">
        <v>146</v>
      </c>
      <c r="O800" s="2">
        <v>43983</v>
      </c>
      <c r="P800" s="2">
        <v>44347</v>
      </c>
      <c r="Q800">
        <v>0</v>
      </c>
      <c r="R800" t="s">
        <v>2034</v>
      </c>
    </row>
    <row r="801" spans="1:18" x14ac:dyDescent="0.25">
      <c r="A801" t="s">
        <v>4780</v>
      </c>
      <c r="B801" t="s">
        <v>1430</v>
      </c>
      <c r="C801" t="s">
        <v>20</v>
      </c>
      <c r="D801" t="s">
        <v>4557</v>
      </c>
      <c r="E801" t="s">
        <v>4562</v>
      </c>
      <c r="F801" t="s">
        <v>4559</v>
      </c>
      <c r="G801" t="s">
        <v>4781</v>
      </c>
      <c r="H801" s="10">
        <v>174703</v>
      </c>
      <c r="I801" s="10">
        <v>86730</v>
      </c>
      <c r="J801" s="10">
        <v>0</v>
      </c>
      <c r="L801" t="s">
        <v>55</v>
      </c>
      <c r="M801" t="s">
        <v>831</v>
      </c>
      <c r="N801" t="s">
        <v>5794</v>
      </c>
      <c r="O801" s="2">
        <v>43922</v>
      </c>
      <c r="P801" s="2">
        <v>45016</v>
      </c>
      <c r="Q801">
        <v>0</v>
      </c>
      <c r="R801" t="s">
        <v>5793</v>
      </c>
    </row>
    <row r="802" spans="1:18" x14ac:dyDescent="0.25">
      <c r="A802" t="s">
        <v>5399</v>
      </c>
      <c r="B802" t="s">
        <v>19</v>
      </c>
      <c r="C802" t="s">
        <v>20</v>
      </c>
      <c r="D802" t="s">
        <v>51</v>
      </c>
      <c r="E802" t="s">
        <v>70</v>
      </c>
      <c r="F802" t="s">
        <v>53</v>
      </c>
      <c r="G802" t="s">
        <v>2038</v>
      </c>
      <c r="H802" s="10">
        <v>841500</v>
      </c>
      <c r="I802" s="10">
        <v>0</v>
      </c>
      <c r="J802" s="10">
        <v>0</v>
      </c>
      <c r="L802" t="s">
        <v>42</v>
      </c>
      <c r="M802" t="s">
        <v>111</v>
      </c>
      <c r="N802" t="s">
        <v>1365</v>
      </c>
      <c r="O802" s="2">
        <v>45200</v>
      </c>
      <c r="P802" s="2">
        <v>47026</v>
      </c>
      <c r="Q802">
        <v>1</v>
      </c>
      <c r="R802" t="s">
        <v>2039</v>
      </c>
    </row>
    <row r="803" spans="1:18" x14ac:dyDescent="0.25">
      <c r="A803" t="s">
        <v>5493</v>
      </c>
      <c r="B803" t="s">
        <v>4493</v>
      </c>
      <c r="C803" t="s">
        <v>38</v>
      </c>
      <c r="D803" t="s">
        <v>1027</v>
      </c>
      <c r="E803" t="s">
        <v>1028</v>
      </c>
      <c r="F803" t="s">
        <v>1029</v>
      </c>
      <c r="G803" t="s">
        <v>2040</v>
      </c>
      <c r="H803" s="10">
        <v>100000</v>
      </c>
      <c r="I803" s="10">
        <v>0</v>
      </c>
      <c r="J803" s="10">
        <v>0</v>
      </c>
      <c r="L803" t="s">
        <v>34</v>
      </c>
      <c r="M803" t="s">
        <v>94</v>
      </c>
      <c r="N803" t="s">
        <v>2041</v>
      </c>
      <c r="O803" s="2">
        <v>40087</v>
      </c>
      <c r="P803" s="2">
        <v>40451</v>
      </c>
      <c r="Q803">
        <v>2</v>
      </c>
      <c r="R803" t="s">
        <v>2042</v>
      </c>
    </row>
    <row r="804" spans="1:18" x14ac:dyDescent="0.25">
      <c r="A804" t="s">
        <v>5214</v>
      </c>
      <c r="B804" t="s">
        <v>98</v>
      </c>
      <c r="C804" t="s">
        <v>20</v>
      </c>
      <c r="D804" t="s">
        <v>5165</v>
      </c>
      <c r="E804" t="s">
        <v>5176</v>
      </c>
      <c r="F804" t="s">
        <v>4554</v>
      </c>
      <c r="G804" t="s">
        <v>5215</v>
      </c>
      <c r="H804" s="10">
        <v>295386</v>
      </c>
      <c r="I804" s="10">
        <v>0</v>
      </c>
      <c r="J804" s="10">
        <v>0</v>
      </c>
      <c r="L804" t="s">
        <v>55</v>
      </c>
      <c r="M804" t="s">
        <v>204</v>
      </c>
      <c r="N804" t="s">
        <v>5876</v>
      </c>
      <c r="O804" s="2">
        <v>42278</v>
      </c>
      <c r="P804" s="2">
        <v>43373</v>
      </c>
      <c r="Q804">
        <v>0</v>
      </c>
      <c r="R804" t="s">
        <v>5875</v>
      </c>
    </row>
    <row r="805" spans="1:18" x14ac:dyDescent="0.25">
      <c r="A805" t="s">
        <v>5484</v>
      </c>
      <c r="B805" t="s">
        <v>5069</v>
      </c>
      <c r="C805" t="s">
        <v>38</v>
      </c>
      <c r="D805" t="s">
        <v>30</v>
      </c>
      <c r="E805" t="s">
        <v>626</v>
      </c>
      <c r="F805" t="s">
        <v>47</v>
      </c>
      <c r="G805" t="s">
        <v>2043</v>
      </c>
      <c r="H805" s="10">
        <v>100000</v>
      </c>
      <c r="I805" s="10">
        <v>0</v>
      </c>
      <c r="J805" s="10">
        <v>0</v>
      </c>
      <c r="L805" t="s">
        <v>34</v>
      </c>
      <c r="M805" t="s">
        <v>26</v>
      </c>
      <c r="N805" t="s">
        <v>2044</v>
      </c>
      <c r="O805" s="2">
        <v>44621</v>
      </c>
      <c r="P805" s="2">
        <v>44985</v>
      </c>
      <c r="Q805">
        <v>0</v>
      </c>
      <c r="R805" t="s">
        <v>2045</v>
      </c>
    </row>
    <row r="806" spans="1:18" x14ac:dyDescent="0.25">
      <c r="A806" t="s">
        <v>2046</v>
      </c>
      <c r="B806" t="s">
        <v>4464</v>
      </c>
      <c r="C806" t="s">
        <v>20</v>
      </c>
      <c r="D806" t="s">
        <v>51</v>
      </c>
      <c r="E806" t="s">
        <v>52</v>
      </c>
      <c r="F806" t="s">
        <v>109</v>
      </c>
      <c r="G806" t="s">
        <v>2047</v>
      </c>
      <c r="H806" s="10">
        <v>558450</v>
      </c>
      <c r="I806" s="10">
        <v>0</v>
      </c>
      <c r="J806" s="10">
        <v>0</v>
      </c>
      <c r="L806" t="s">
        <v>42</v>
      </c>
      <c r="M806" t="s">
        <v>26</v>
      </c>
      <c r="N806" t="s">
        <v>2048</v>
      </c>
      <c r="O806" s="2">
        <v>44287</v>
      </c>
      <c r="P806" s="2">
        <v>46112</v>
      </c>
      <c r="Q806">
        <v>0</v>
      </c>
      <c r="R806" t="s">
        <v>2049</v>
      </c>
    </row>
    <row r="807" spans="1:18" x14ac:dyDescent="0.25">
      <c r="A807" t="s">
        <v>4782</v>
      </c>
      <c r="B807" t="s">
        <v>114</v>
      </c>
      <c r="C807" t="s">
        <v>20</v>
      </c>
      <c r="D807" t="s">
        <v>4557</v>
      </c>
      <c r="E807" t="s">
        <v>4581</v>
      </c>
      <c r="F807" t="s">
        <v>4559</v>
      </c>
      <c r="G807" t="s">
        <v>4783</v>
      </c>
      <c r="H807" s="10">
        <v>596830</v>
      </c>
      <c r="I807" s="10">
        <v>28120</v>
      </c>
      <c r="J807" s="10">
        <v>0</v>
      </c>
      <c r="L807" t="s">
        <v>55</v>
      </c>
      <c r="M807" t="s">
        <v>746</v>
      </c>
      <c r="N807" t="s">
        <v>6035</v>
      </c>
      <c r="O807" s="2">
        <v>43556</v>
      </c>
      <c r="P807" s="2">
        <v>44651</v>
      </c>
      <c r="Q807">
        <v>0</v>
      </c>
      <c r="R807" t="s">
        <v>6034</v>
      </c>
    </row>
    <row r="808" spans="1:18" x14ac:dyDescent="0.25">
      <c r="A808" t="s">
        <v>2050</v>
      </c>
      <c r="B808" t="s">
        <v>162</v>
      </c>
      <c r="C808" t="s">
        <v>149</v>
      </c>
      <c r="D808" t="s">
        <v>21</v>
      </c>
      <c r="E808" t="s">
        <v>1116</v>
      </c>
      <c r="F808" t="s">
        <v>23</v>
      </c>
      <c r="G808" t="s">
        <v>2051</v>
      </c>
      <c r="H808" s="10">
        <v>100000</v>
      </c>
      <c r="I808" s="10">
        <v>0</v>
      </c>
      <c r="J808" s="10">
        <v>0</v>
      </c>
      <c r="L808" t="s">
        <v>34</v>
      </c>
      <c r="M808" t="s">
        <v>26</v>
      </c>
      <c r="N808" t="s">
        <v>2052</v>
      </c>
      <c r="O808" s="2">
        <v>41913</v>
      </c>
      <c r="P808" s="2">
        <v>42277</v>
      </c>
      <c r="Q808">
        <v>1</v>
      </c>
      <c r="R808" t="s">
        <v>2053</v>
      </c>
    </row>
    <row r="809" spans="1:18" x14ac:dyDescent="0.25">
      <c r="A809" t="s">
        <v>2054</v>
      </c>
      <c r="B809" t="s">
        <v>1105</v>
      </c>
      <c r="C809" t="s">
        <v>138</v>
      </c>
      <c r="D809" t="s">
        <v>99</v>
      </c>
      <c r="E809" t="s">
        <v>100</v>
      </c>
      <c r="F809" t="s">
        <v>101</v>
      </c>
      <c r="G809" t="s">
        <v>2055</v>
      </c>
      <c r="H809" s="10">
        <v>267258</v>
      </c>
      <c r="I809" s="10">
        <v>0</v>
      </c>
      <c r="J809" s="10">
        <v>0</v>
      </c>
      <c r="L809" t="s">
        <v>34</v>
      </c>
      <c r="M809" t="s">
        <v>94</v>
      </c>
      <c r="N809" t="s">
        <v>2056</v>
      </c>
      <c r="O809" s="2">
        <v>43983</v>
      </c>
      <c r="P809" s="2">
        <v>44347</v>
      </c>
      <c r="Q809">
        <v>0</v>
      </c>
      <c r="R809" t="s">
        <v>2057</v>
      </c>
    </row>
    <row r="810" spans="1:18" x14ac:dyDescent="0.25">
      <c r="A810" t="s">
        <v>2058</v>
      </c>
      <c r="B810" t="s">
        <v>4494</v>
      </c>
      <c r="C810" t="s">
        <v>38</v>
      </c>
      <c r="D810" t="s">
        <v>51</v>
      </c>
      <c r="E810" t="s">
        <v>116</v>
      </c>
      <c r="F810" t="s">
        <v>128</v>
      </c>
      <c r="G810" t="s">
        <v>2059</v>
      </c>
      <c r="H810" s="10">
        <v>868276</v>
      </c>
      <c r="I810" s="10">
        <v>0</v>
      </c>
      <c r="J810" s="10">
        <v>0</v>
      </c>
      <c r="L810" t="s">
        <v>42</v>
      </c>
      <c r="M810" t="s">
        <v>26</v>
      </c>
      <c r="N810" t="s">
        <v>135</v>
      </c>
      <c r="O810" s="2">
        <v>43374</v>
      </c>
      <c r="P810" s="2">
        <v>45199</v>
      </c>
      <c r="Q810">
        <v>0</v>
      </c>
      <c r="R810" t="s">
        <v>2060</v>
      </c>
    </row>
    <row r="811" spans="1:18" x14ac:dyDescent="0.25">
      <c r="A811" t="s">
        <v>4784</v>
      </c>
      <c r="B811" t="s">
        <v>360</v>
      </c>
      <c r="C811" t="s">
        <v>20</v>
      </c>
      <c r="D811" t="s">
        <v>4557</v>
      </c>
      <c r="E811" t="s">
        <v>4597</v>
      </c>
      <c r="F811" t="s">
        <v>4559</v>
      </c>
      <c r="G811" t="s">
        <v>4785</v>
      </c>
      <c r="H811" s="10">
        <v>218374</v>
      </c>
      <c r="I811" s="10">
        <v>0</v>
      </c>
      <c r="J811" s="10">
        <v>0</v>
      </c>
      <c r="L811" t="s">
        <v>55</v>
      </c>
      <c r="M811" t="s">
        <v>111</v>
      </c>
      <c r="N811" t="s">
        <v>5864</v>
      </c>
      <c r="O811" s="2">
        <v>42095</v>
      </c>
      <c r="P811" s="2">
        <v>43190</v>
      </c>
      <c r="Q811">
        <v>0</v>
      </c>
      <c r="R811" t="s">
        <v>5863</v>
      </c>
    </row>
    <row r="812" spans="1:18" x14ac:dyDescent="0.25">
      <c r="A812" t="s">
        <v>2061</v>
      </c>
      <c r="B812" t="s">
        <v>162</v>
      </c>
      <c r="C812" t="s">
        <v>149</v>
      </c>
      <c r="D812" t="s">
        <v>21</v>
      </c>
      <c r="E812" t="s">
        <v>572</v>
      </c>
      <c r="F812" t="s">
        <v>32</v>
      </c>
      <c r="G812" t="s">
        <v>2062</v>
      </c>
      <c r="H812" s="10">
        <v>702720</v>
      </c>
      <c r="I812" s="10">
        <v>0</v>
      </c>
      <c r="J812" s="10">
        <v>100000</v>
      </c>
      <c r="K812" t="s">
        <v>153</v>
      </c>
      <c r="L812" t="s">
        <v>25</v>
      </c>
      <c r="M812" t="s">
        <v>26</v>
      </c>
      <c r="N812" t="s">
        <v>2063</v>
      </c>
      <c r="O812" s="2">
        <v>41730</v>
      </c>
      <c r="P812" s="2">
        <v>40816</v>
      </c>
      <c r="Q812">
        <v>0</v>
      </c>
      <c r="R812" t="s">
        <v>2064</v>
      </c>
    </row>
    <row r="813" spans="1:18" x14ac:dyDescent="0.25">
      <c r="A813" t="s">
        <v>2061</v>
      </c>
      <c r="B813" t="s">
        <v>162</v>
      </c>
      <c r="C813" t="s">
        <v>149</v>
      </c>
      <c r="D813" t="s">
        <v>150</v>
      </c>
      <c r="E813" t="s">
        <v>1314</v>
      </c>
      <c r="F813" t="s">
        <v>32</v>
      </c>
      <c r="G813" t="s">
        <v>2062</v>
      </c>
      <c r="H813" s="10">
        <v>0</v>
      </c>
      <c r="I813" s="10">
        <v>0</v>
      </c>
      <c r="J813" s="10">
        <v>100000</v>
      </c>
      <c r="K813" t="s">
        <v>153</v>
      </c>
      <c r="L813" t="s">
        <v>34</v>
      </c>
      <c r="M813" t="s">
        <v>26</v>
      </c>
      <c r="N813" t="s">
        <v>2063</v>
      </c>
      <c r="O813" s="2">
        <v>41183</v>
      </c>
      <c r="P813" s="2">
        <v>41547</v>
      </c>
      <c r="Q813">
        <v>0</v>
      </c>
      <c r="R813" t="s">
        <v>2064</v>
      </c>
    </row>
    <row r="814" spans="1:18" x14ac:dyDescent="0.25">
      <c r="A814" t="s">
        <v>4786</v>
      </c>
      <c r="B814" t="s">
        <v>196</v>
      </c>
      <c r="C814" t="s">
        <v>20</v>
      </c>
      <c r="D814" t="s">
        <v>4557</v>
      </c>
      <c r="E814" t="s">
        <v>4611</v>
      </c>
      <c r="F814" t="s">
        <v>4559</v>
      </c>
      <c r="G814" t="s">
        <v>4787</v>
      </c>
      <c r="H814" s="10">
        <v>274797</v>
      </c>
      <c r="I814" s="10">
        <v>0</v>
      </c>
      <c r="J814" s="10">
        <v>0</v>
      </c>
      <c r="L814" t="s">
        <v>55</v>
      </c>
      <c r="M814" t="s">
        <v>204</v>
      </c>
      <c r="N814" t="s">
        <v>5810</v>
      </c>
      <c r="O814" s="2">
        <v>42461</v>
      </c>
      <c r="P814" s="2">
        <v>43555</v>
      </c>
      <c r="Q814">
        <v>0</v>
      </c>
      <c r="R814" t="s">
        <v>5809</v>
      </c>
    </row>
    <row r="815" spans="1:18" x14ac:dyDescent="0.25">
      <c r="A815" t="s">
        <v>2069</v>
      </c>
      <c r="B815" t="s">
        <v>107</v>
      </c>
      <c r="C815" t="s">
        <v>38</v>
      </c>
      <c r="D815" t="s">
        <v>21</v>
      </c>
      <c r="E815" t="s">
        <v>74</v>
      </c>
      <c r="F815" t="s">
        <v>53</v>
      </c>
      <c r="G815" t="s">
        <v>2070</v>
      </c>
      <c r="H815" s="10">
        <v>433200</v>
      </c>
      <c r="I815" s="10">
        <v>0</v>
      </c>
      <c r="J815" s="10">
        <v>0</v>
      </c>
      <c r="L815" t="s">
        <v>25</v>
      </c>
      <c r="M815" t="s">
        <v>103</v>
      </c>
      <c r="N815" t="s">
        <v>2071</v>
      </c>
      <c r="O815" s="2">
        <v>41000</v>
      </c>
      <c r="P815" s="2">
        <v>42460</v>
      </c>
      <c r="Q815">
        <v>0</v>
      </c>
      <c r="R815" t="s">
        <v>2072</v>
      </c>
    </row>
    <row r="816" spans="1:18" x14ac:dyDescent="0.25">
      <c r="A816" t="s">
        <v>4790</v>
      </c>
      <c r="B816" t="s">
        <v>4624</v>
      </c>
      <c r="C816" t="s">
        <v>38</v>
      </c>
      <c r="D816" t="s">
        <v>4557</v>
      </c>
      <c r="E816" t="s">
        <v>4567</v>
      </c>
      <c r="F816" t="s">
        <v>4559</v>
      </c>
      <c r="G816" t="s">
        <v>4791</v>
      </c>
      <c r="H816" s="10">
        <v>211407</v>
      </c>
      <c r="I816" s="10">
        <v>0</v>
      </c>
      <c r="J816" s="10">
        <v>0</v>
      </c>
      <c r="L816" t="s">
        <v>55</v>
      </c>
      <c r="M816" t="s">
        <v>26</v>
      </c>
      <c r="N816" t="s">
        <v>6014</v>
      </c>
      <c r="O816" s="2">
        <v>41730</v>
      </c>
      <c r="P816" s="2">
        <v>42825</v>
      </c>
      <c r="Q816">
        <v>4</v>
      </c>
      <c r="R816" t="s">
        <v>6013</v>
      </c>
    </row>
    <row r="817" spans="1:18" x14ac:dyDescent="0.25">
      <c r="A817" t="s">
        <v>4788</v>
      </c>
      <c r="B817" t="s">
        <v>4624</v>
      </c>
      <c r="C817" t="s">
        <v>38</v>
      </c>
      <c r="D817" t="s">
        <v>4557</v>
      </c>
      <c r="E817" t="s">
        <v>4611</v>
      </c>
      <c r="F817" t="s">
        <v>4559</v>
      </c>
      <c r="G817" t="s">
        <v>4789</v>
      </c>
      <c r="H817" s="10">
        <v>264929</v>
      </c>
      <c r="I817" s="10">
        <v>0</v>
      </c>
      <c r="J817" s="10">
        <v>0</v>
      </c>
      <c r="L817" t="s">
        <v>55</v>
      </c>
      <c r="M817" t="s">
        <v>26</v>
      </c>
      <c r="N817" t="s">
        <v>5844</v>
      </c>
      <c r="O817" s="2">
        <v>42461</v>
      </c>
      <c r="P817" s="2">
        <v>43555</v>
      </c>
      <c r="Q817">
        <v>2</v>
      </c>
      <c r="R817" t="s">
        <v>5843</v>
      </c>
    </row>
    <row r="818" spans="1:18" x14ac:dyDescent="0.25">
      <c r="A818" t="s">
        <v>5090</v>
      </c>
      <c r="B818" t="s">
        <v>499</v>
      </c>
      <c r="C818" t="s">
        <v>311</v>
      </c>
      <c r="D818" t="s">
        <v>21</v>
      </c>
      <c r="E818" t="s">
        <v>572</v>
      </c>
      <c r="F818" t="s">
        <v>53</v>
      </c>
      <c r="G818" t="s">
        <v>2073</v>
      </c>
      <c r="H818" s="10">
        <v>383948</v>
      </c>
      <c r="I818" s="10">
        <v>0</v>
      </c>
      <c r="J818" s="10">
        <v>0</v>
      </c>
      <c r="L818" t="s">
        <v>25</v>
      </c>
      <c r="M818" t="s">
        <v>204</v>
      </c>
      <c r="N818" t="s">
        <v>2074</v>
      </c>
      <c r="O818" s="2">
        <v>41730</v>
      </c>
      <c r="P818" s="2">
        <v>43190</v>
      </c>
      <c r="Q818">
        <v>1</v>
      </c>
      <c r="R818" t="s">
        <v>2075</v>
      </c>
    </row>
    <row r="819" spans="1:18" x14ac:dyDescent="0.25">
      <c r="A819" t="s">
        <v>4487</v>
      </c>
      <c r="B819" t="s">
        <v>4464</v>
      </c>
      <c r="C819" t="s">
        <v>20</v>
      </c>
      <c r="D819" t="s">
        <v>4484</v>
      </c>
      <c r="E819" t="s">
        <v>4485</v>
      </c>
      <c r="F819" t="s">
        <v>4456</v>
      </c>
      <c r="G819" t="s">
        <v>4488</v>
      </c>
      <c r="H819" s="10">
        <v>89178</v>
      </c>
      <c r="I819" s="10">
        <v>1759</v>
      </c>
      <c r="J819" s="10">
        <v>0</v>
      </c>
      <c r="L819" t="s">
        <v>34</v>
      </c>
      <c r="M819" t="s">
        <v>217</v>
      </c>
      <c r="N819" t="s">
        <v>5668</v>
      </c>
      <c r="O819" s="2">
        <v>41699</v>
      </c>
      <c r="P819" s="2">
        <v>42063</v>
      </c>
      <c r="Q819">
        <v>0</v>
      </c>
      <c r="R819" t="s">
        <v>5667</v>
      </c>
    </row>
    <row r="820" spans="1:18" x14ac:dyDescent="0.25">
      <c r="A820" t="s">
        <v>2076</v>
      </c>
      <c r="B820" t="s">
        <v>148</v>
      </c>
      <c r="C820" t="s">
        <v>149</v>
      </c>
      <c r="D820" t="s">
        <v>51</v>
      </c>
      <c r="E820" t="s">
        <v>208</v>
      </c>
      <c r="F820" t="s">
        <v>128</v>
      </c>
      <c r="G820" t="s">
        <v>2077</v>
      </c>
      <c r="H820" s="10">
        <v>1013625</v>
      </c>
      <c r="I820" s="10">
        <v>0</v>
      </c>
      <c r="J820" s="10">
        <v>0</v>
      </c>
      <c r="L820" t="s">
        <v>42</v>
      </c>
      <c r="M820" t="s">
        <v>26</v>
      </c>
      <c r="N820" t="s">
        <v>118</v>
      </c>
      <c r="O820" s="2">
        <v>45383</v>
      </c>
      <c r="P820" s="2">
        <v>47208</v>
      </c>
      <c r="Q820">
        <v>0</v>
      </c>
      <c r="R820" t="s">
        <v>2078</v>
      </c>
    </row>
    <row r="821" spans="1:18" x14ac:dyDescent="0.25">
      <c r="A821" t="s">
        <v>2079</v>
      </c>
      <c r="B821" t="s">
        <v>499</v>
      </c>
      <c r="C821" t="s">
        <v>311</v>
      </c>
      <c r="D821" t="s">
        <v>21</v>
      </c>
      <c r="E821" t="s">
        <v>194</v>
      </c>
      <c r="F821" t="s">
        <v>32</v>
      </c>
      <c r="G821" t="s">
        <v>2080</v>
      </c>
      <c r="H821" s="11">
        <v>648339</v>
      </c>
      <c r="I821" s="11">
        <v>0</v>
      </c>
      <c r="J821" s="11">
        <v>0</v>
      </c>
      <c r="L821" t="s">
        <v>42</v>
      </c>
      <c r="M821" t="s">
        <v>26</v>
      </c>
      <c r="N821" t="s">
        <v>1565</v>
      </c>
      <c r="O821" s="2">
        <v>40087</v>
      </c>
      <c r="P821" s="2">
        <v>41912</v>
      </c>
      <c r="Q821">
        <v>0</v>
      </c>
      <c r="R821" t="s">
        <v>2081</v>
      </c>
    </row>
    <row r="822" spans="1:18" x14ac:dyDescent="0.25">
      <c r="A822" t="s">
        <v>2079</v>
      </c>
      <c r="B822" t="s">
        <v>499</v>
      </c>
      <c r="C822" t="s">
        <v>311</v>
      </c>
      <c r="D822" t="s">
        <v>21</v>
      </c>
      <c r="E822" t="s">
        <v>1116</v>
      </c>
      <c r="F822" t="s">
        <v>32</v>
      </c>
      <c r="G822" t="s">
        <v>2082</v>
      </c>
      <c r="H822" s="10">
        <v>100000</v>
      </c>
      <c r="I822" s="10">
        <v>0</v>
      </c>
      <c r="J822" s="10">
        <v>0</v>
      </c>
      <c r="L822" t="s">
        <v>34</v>
      </c>
      <c r="M822" t="s">
        <v>26</v>
      </c>
      <c r="N822" t="s">
        <v>1565</v>
      </c>
      <c r="O822" s="2">
        <v>41913</v>
      </c>
      <c r="P822" s="2">
        <v>42277</v>
      </c>
      <c r="Q822">
        <v>0</v>
      </c>
      <c r="R822" t="s">
        <v>2083</v>
      </c>
    </row>
    <row r="823" spans="1:18" x14ac:dyDescent="0.25">
      <c r="A823" t="s">
        <v>2079</v>
      </c>
      <c r="B823" t="s">
        <v>499</v>
      </c>
      <c r="C823" t="s">
        <v>311</v>
      </c>
      <c r="D823" t="s">
        <v>21</v>
      </c>
      <c r="E823" t="s">
        <v>549</v>
      </c>
      <c r="F823" t="s">
        <v>32</v>
      </c>
      <c r="G823" t="s">
        <v>2082</v>
      </c>
      <c r="H823" s="10">
        <v>570028</v>
      </c>
      <c r="I823" s="10">
        <v>0</v>
      </c>
      <c r="J823" s="10">
        <v>0</v>
      </c>
      <c r="L823" t="s">
        <v>25</v>
      </c>
      <c r="M823" t="s">
        <v>26</v>
      </c>
      <c r="N823" t="s">
        <v>1565</v>
      </c>
      <c r="O823" s="2">
        <v>42186</v>
      </c>
      <c r="P823" s="2">
        <v>42277</v>
      </c>
      <c r="Q823">
        <v>0</v>
      </c>
      <c r="R823" t="s">
        <v>2083</v>
      </c>
    </row>
    <row r="824" spans="1:18" x14ac:dyDescent="0.25">
      <c r="A824" t="s">
        <v>2084</v>
      </c>
      <c r="B824" t="s">
        <v>114</v>
      </c>
      <c r="C824" t="s">
        <v>20</v>
      </c>
      <c r="D824" t="s">
        <v>21</v>
      </c>
      <c r="E824" t="s">
        <v>534</v>
      </c>
      <c r="F824" t="s">
        <v>53</v>
      </c>
      <c r="G824" t="s">
        <v>2085</v>
      </c>
      <c r="H824" s="10">
        <v>276484</v>
      </c>
      <c r="I824" s="10">
        <v>0</v>
      </c>
      <c r="J824" s="10">
        <v>0</v>
      </c>
      <c r="L824" t="s">
        <v>55</v>
      </c>
      <c r="M824" t="s">
        <v>85</v>
      </c>
      <c r="N824" t="s">
        <v>2086</v>
      </c>
      <c r="O824" s="2">
        <v>40817</v>
      </c>
      <c r="P824" s="2">
        <v>41912</v>
      </c>
      <c r="Q824">
        <v>6</v>
      </c>
      <c r="R824" t="s">
        <v>2087</v>
      </c>
    </row>
    <row r="825" spans="1:18" x14ac:dyDescent="0.25">
      <c r="A825" t="s">
        <v>2088</v>
      </c>
      <c r="B825" t="s">
        <v>302</v>
      </c>
      <c r="C825" t="s">
        <v>20</v>
      </c>
      <c r="D825" t="s">
        <v>51</v>
      </c>
      <c r="E825" t="s">
        <v>186</v>
      </c>
      <c r="F825" t="s">
        <v>32</v>
      </c>
      <c r="G825" t="s">
        <v>2092</v>
      </c>
      <c r="H825" s="10">
        <v>918000</v>
      </c>
      <c r="I825" s="10">
        <v>0</v>
      </c>
      <c r="J825" s="10">
        <v>0</v>
      </c>
      <c r="L825" t="s">
        <v>42</v>
      </c>
      <c r="M825" t="s">
        <v>26</v>
      </c>
      <c r="N825" t="s">
        <v>135</v>
      </c>
      <c r="O825" s="2">
        <v>44470</v>
      </c>
      <c r="P825" s="2">
        <v>46295</v>
      </c>
      <c r="Q825">
        <v>0</v>
      </c>
      <c r="R825" t="s">
        <v>2093</v>
      </c>
    </row>
    <row r="826" spans="1:18" x14ac:dyDescent="0.25">
      <c r="A826" t="s">
        <v>2088</v>
      </c>
      <c r="B826" t="s">
        <v>302</v>
      </c>
      <c r="C826" t="s">
        <v>20</v>
      </c>
      <c r="D826" t="s">
        <v>51</v>
      </c>
      <c r="E826" t="s">
        <v>223</v>
      </c>
      <c r="F826" t="s">
        <v>32</v>
      </c>
      <c r="G826" t="s">
        <v>2089</v>
      </c>
      <c r="H826" s="10">
        <v>1162800</v>
      </c>
      <c r="I826" s="10">
        <v>0</v>
      </c>
      <c r="J826" s="10">
        <v>0</v>
      </c>
      <c r="L826" t="s">
        <v>42</v>
      </c>
      <c r="M826" t="s">
        <v>26</v>
      </c>
      <c r="N826" t="s">
        <v>2090</v>
      </c>
      <c r="O826" s="2">
        <v>45566</v>
      </c>
      <c r="P826" s="2">
        <v>47391</v>
      </c>
      <c r="Q826">
        <v>0</v>
      </c>
      <c r="R826" t="s">
        <v>2091</v>
      </c>
    </row>
    <row r="827" spans="1:18" x14ac:dyDescent="0.25">
      <c r="A827" t="s">
        <v>5127</v>
      </c>
      <c r="B827" t="s">
        <v>49</v>
      </c>
      <c r="C827" t="s">
        <v>50</v>
      </c>
      <c r="D827" t="s">
        <v>529</v>
      </c>
      <c r="E827" t="s">
        <v>2094</v>
      </c>
      <c r="F827" t="s">
        <v>109</v>
      </c>
      <c r="G827" t="s">
        <v>2095</v>
      </c>
      <c r="H827" s="10">
        <v>85212</v>
      </c>
      <c r="I827" s="10">
        <v>0</v>
      </c>
      <c r="J827" s="10">
        <v>0</v>
      </c>
      <c r="L827" t="s">
        <v>34</v>
      </c>
      <c r="M827" t="s">
        <v>26</v>
      </c>
      <c r="N827" t="s">
        <v>2096</v>
      </c>
      <c r="O827" s="2">
        <v>40452</v>
      </c>
      <c r="P827" s="2">
        <v>40816</v>
      </c>
      <c r="Q827">
        <v>0</v>
      </c>
      <c r="R827" t="s">
        <v>2097</v>
      </c>
    </row>
    <row r="828" spans="1:18" x14ac:dyDescent="0.25">
      <c r="A828" t="s">
        <v>2098</v>
      </c>
      <c r="B828" t="s">
        <v>355</v>
      </c>
      <c r="C828" t="s">
        <v>20</v>
      </c>
      <c r="D828" t="s">
        <v>21</v>
      </c>
      <c r="E828" t="s">
        <v>534</v>
      </c>
      <c r="F828" t="s">
        <v>109</v>
      </c>
      <c r="G828" t="s">
        <v>2099</v>
      </c>
      <c r="H828" s="10">
        <v>456711</v>
      </c>
      <c r="I828" s="10">
        <v>0</v>
      </c>
      <c r="J828" s="10">
        <v>0</v>
      </c>
      <c r="L828" t="s">
        <v>25</v>
      </c>
      <c r="M828" t="s">
        <v>103</v>
      </c>
      <c r="N828" t="s">
        <v>764</v>
      </c>
      <c r="O828" s="2">
        <v>40817</v>
      </c>
      <c r="P828" s="2">
        <v>42277</v>
      </c>
      <c r="Q828">
        <v>3</v>
      </c>
      <c r="R828" t="s">
        <v>2100</v>
      </c>
    </row>
    <row r="829" spans="1:18" x14ac:dyDescent="0.25">
      <c r="A829" t="s">
        <v>2098</v>
      </c>
      <c r="B829" t="s">
        <v>355</v>
      </c>
      <c r="C829" t="s">
        <v>20</v>
      </c>
      <c r="D829" t="s">
        <v>51</v>
      </c>
      <c r="E829" t="s">
        <v>1383</v>
      </c>
      <c r="F829" t="s">
        <v>109</v>
      </c>
      <c r="G829" t="s">
        <v>2101</v>
      </c>
      <c r="H829" s="10">
        <v>100000</v>
      </c>
      <c r="I829" s="10">
        <v>0</v>
      </c>
      <c r="J829" s="10">
        <v>0</v>
      </c>
      <c r="L829" t="s">
        <v>34</v>
      </c>
      <c r="M829" t="s">
        <v>103</v>
      </c>
      <c r="N829" t="s">
        <v>2102</v>
      </c>
      <c r="O829" s="2">
        <v>43922</v>
      </c>
      <c r="P829" s="2">
        <v>45382</v>
      </c>
      <c r="Q829">
        <v>0</v>
      </c>
      <c r="R829" t="s">
        <v>2103</v>
      </c>
    </row>
    <row r="830" spans="1:18" x14ac:dyDescent="0.25">
      <c r="A830" t="s">
        <v>2098</v>
      </c>
      <c r="B830" t="s">
        <v>355</v>
      </c>
      <c r="C830" t="s">
        <v>20</v>
      </c>
      <c r="D830" t="s">
        <v>51</v>
      </c>
      <c r="E830" t="s">
        <v>158</v>
      </c>
      <c r="F830" t="s">
        <v>109</v>
      </c>
      <c r="G830" t="s">
        <v>2104</v>
      </c>
      <c r="H830" s="10">
        <v>543152</v>
      </c>
      <c r="I830" s="10">
        <v>0</v>
      </c>
      <c r="J830" s="10">
        <v>0</v>
      </c>
      <c r="L830" t="s">
        <v>25</v>
      </c>
      <c r="M830" t="s">
        <v>103</v>
      </c>
      <c r="N830" t="s">
        <v>2102</v>
      </c>
      <c r="O830" s="2">
        <v>43922</v>
      </c>
      <c r="P830" s="2">
        <v>45382</v>
      </c>
      <c r="Q830">
        <v>0</v>
      </c>
      <c r="R830" t="s">
        <v>2105</v>
      </c>
    </row>
    <row r="831" spans="1:18" x14ac:dyDescent="0.25">
      <c r="A831" t="s">
        <v>4792</v>
      </c>
      <c r="B831" t="s">
        <v>114</v>
      </c>
      <c r="C831" t="s">
        <v>20</v>
      </c>
      <c r="D831" t="s">
        <v>4557</v>
      </c>
      <c r="E831" t="s">
        <v>4558</v>
      </c>
      <c r="F831" t="s">
        <v>4559</v>
      </c>
      <c r="G831" t="s">
        <v>4793</v>
      </c>
      <c r="H831" s="10">
        <v>362865</v>
      </c>
      <c r="I831" s="10">
        <v>0</v>
      </c>
      <c r="J831" s="10">
        <v>0</v>
      </c>
      <c r="L831" t="s">
        <v>55</v>
      </c>
      <c r="M831" t="s">
        <v>103</v>
      </c>
      <c r="N831" t="s">
        <v>5698</v>
      </c>
      <c r="O831" s="2">
        <v>43191</v>
      </c>
      <c r="P831" s="2">
        <v>44286</v>
      </c>
      <c r="Q831">
        <v>2</v>
      </c>
      <c r="R831" t="s">
        <v>5697</v>
      </c>
    </row>
    <row r="832" spans="1:18" x14ac:dyDescent="0.25">
      <c r="A832" t="s">
        <v>2106</v>
      </c>
      <c r="B832" t="s">
        <v>148</v>
      </c>
      <c r="C832" t="s">
        <v>149</v>
      </c>
      <c r="D832" t="s">
        <v>21</v>
      </c>
      <c r="E832" t="s">
        <v>377</v>
      </c>
      <c r="F832" t="s">
        <v>32</v>
      </c>
      <c r="G832" t="s">
        <v>2107</v>
      </c>
      <c r="H832" s="10">
        <v>978301</v>
      </c>
      <c r="I832" s="10">
        <v>0</v>
      </c>
      <c r="J832" s="10">
        <v>0</v>
      </c>
      <c r="L832" t="s">
        <v>42</v>
      </c>
      <c r="M832" t="s">
        <v>26</v>
      </c>
      <c r="N832" t="s">
        <v>2108</v>
      </c>
      <c r="O832" s="2">
        <v>41183</v>
      </c>
      <c r="P832" s="2">
        <v>43008</v>
      </c>
      <c r="Q832">
        <v>0</v>
      </c>
      <c r="R832" t="s">
        <v>2109</v>
      </c>
    </row>
    <row r="833" spans="1:18" x14ac:dyDescent="0.25">
      <c r="A833" t="s">
        <v>4546</v>
      </c>
      <c r="B833" t="s">
        <v>4492</v>
      </c>
      <c r="C833" t="s">
        <v>38</v>
      </c>
      <c r="D833" t="s">
        <v>80</v>
      </c>
      <c r="E833" t="s">
        <v>81</v>
      </c>
      <c r="F833" t="s">
        <v>82</v>
      </c>
      <c r="G833" t="s">
        <v>2110</v>
      </c>
      <c r="H833" s="10">
        <v>199888</v>
      </c>
      <c r="I833" s="10">
        <v>0</v>
      </c>
      <c r="J833" s="10">
        <v>0</v>
      </c>
      <c r="L833" t="s">
        <v>84</v>
      </c>
      <c r="M833" t="s">
        <v>238</v>
      </c>
      <c r="N833" t="s">
        <v>2111</v>
      </c>
      <c r="O833" s="2">
        <v>42979</v>
      </c>
      <c r="P833" s="2">
        <v>43708</v>
      </c>
      <c r="Q833">
        <v>0</v>
      </c>
      <c r="R833" t="s">
        <v>2112</v>
      </c>
    </row>
    <row r="834" spans="1:18" x14ac:dyDescent="0.25">
      <c r="A834" t="s">
        <v>2113</v>
      </c>
      <c r="B834" t="s">
        <v>162</v>
      </c>
      <c r="C834" t="s">
        <v>149</v>
      </c>
      <c r="D834" t="s">
        <v>99</v>
      </c>
      <c r="E834" t="s">
        <v>100</v>
      </c>
      <c r="F834" t="s">
        <v>101</v>
      </c>
      <c r="G834" t="s">
        <v>2114</v>
      </c>
      <c r="H834" s="10">
        <v>585228</v>
      </c>
      <c r="I834" s="10">
        <v>0</v>
      </c>
      <c r="J834" s="10">
        <v>0</v>
      </c>
      <c r="L834" t="s">
        <v>34</v>
      </c>
      <c r="M834" t="s">
        <v>94</v>
      </c>
      <c r="N834" t="s">
        <v>2115</v>
      </c>
      <c r="O834" s="2">
        <v>43983</v>
      </c>
      <c r="P834" s="2">
        <v>44347</v>
      </c>
      <c r="Q834">
        <v>3</v>
      </c>
      <c r="R834" t="s">
        <v>2116</v>
      </c>
    </row>
    <row r="835" spans="1:18" x14ac:dyDescent="0.25">
      <c r="A835" t="s">
        <v>2117</v>
      </c>
      <c r="B835" t="s">
        <v>162</v>
      </c>
      <c r="C835" t="s">
        <v>149</v>
      </c>
      <c r="D835" t="s">
        <v>30</v>
      </c>
      <c r="E835" t="s">
        <v>228</v>
      </c>
      <c r="F835" t="s">
        <v>23</v>
      </c>
      <c r="G835" t="s">
        <v>2118</v>
      </c>
      <c r="H835" s="10">
        <v>100000</v>
      </c>
      <c r="I835" s="10">
        <v>0</v>
      </c>
      <c r="J835" s="10">
        <v>0</v>
      </c>
      <c r="L835" t="s">
        <v>34</v>
      </c>
      <c r="M835" t="s">
        <v>26</v>
      </c>
      <c r="N835" t="s">
        <v>696</v>
      </c>
      <c r="O835" s="2">
        <v>45352</v>
      </c>
      <c r="P835" s="2">
        <v>45716</v>
      </c>
      <c r="Q835">
        <v>0</v>
      </c>
      <c r="R835" t="s">
        <v>2119</v>
      </c>
    </row>
    <row r="836" spans="1:18" x14ac:dyDescent="0.25">
      <c r="A836" t="s">
        <v>6170</v>
      </c>
      <c r="B836" t="s">
        <v>98</v>
      </c>
      <c r="C836" t="s">
        <v>20</v>
      </c>
      <c r="D836" t="s">
        <v>5042</v>
      </c>
      <c r="E836" t="s">
        <v>5043</v>
      </c>
      <c r="F836" t="s">
        <v>5038</v>
      </c>
      <c r="G836" t="s">
        <v>5048</v>
      </c>
      <c r="H836" s="12">
        <v>598183</v>
      </c>
      <c r="I836" s="12">
        <v>0</v>
      </c>
      <c r="J836" s="10">
        <v>0</v>
      </c>
      <c r="L836" t="s">
        <v>5039</v>
      </c>
      <c r="M836" t="s">
        <v>413</v>
      </c>
      <c r="N836" t="s">
        <v>6171</v>
      </c>
      <c r="O836" s="2">
        <v>45444</v>
      </c>
      <c r="P836" s="2">
        <v>46477</v>
      </c>
      <c r="Q836">
        <v>0</v>
      </c>
      <c r="R836" t="s">
        <v>6172</v>
      </c>
    </row>
    <row r="837" spans="1:18" x14ac:dyDescent="0.25">
      <c r="A837" t="s">
        <v>2120</v>
      </c>
      <c r="B837" t="s">
        <v>4464</v>
      </c>
      <c r="C837" t="s">
        <v>20</v>
      </c>
      <c r="D837" t="s">
        <v>51</v>
      </c>
      <c r="E837" t="s">
        <v>127</v>
      </c>
      <c r="F837" t="s">
        <v>23</v>
      </c>
      <c r="G837" t="s">
        <v>5400</v>
      </c>
      <c r="H837" s="12">
        <v>1637100</v>
      </c>
      <c r="I837" s="12">
        <v>0</v>
      </c>
      <c r="J837" s="10">
        <v>0</v>
      </c>
      <c r="L837" t="s">
        <v>42</v>
      </c>
      <c r="M837" t="s">
        <v>26</v>
      </c>
      <c r="N837" t="s">
        <v>2121</v>
      </c>
      <c r="O837" s="2">
        <v>44835</v>
      </c>
      <c r="P837" s="2">
        <v>46660</v>
      </c>
      <c r="Q837">
        <v>1</v>
      </c>
      <c r="R837" t="s">
        <v>6173</v>
      </c>
    </row>
    <row r="838" spans="1:18" x14ac:dyDescent="0.25">
      <c r="A838" t="s">
        <v>2122</v>
      </c>
      <c r="B838" t="s">
        <v>4494</v>
      </c>
      <c r="C838" t="s">
        <v>38</v>
      </c>
      <c r="D838" t="s">
        <v>21</v>
      </c>
      <c r="E838" t="s">
        <v>255</v>
      </c>
      <c r="F838" t="s">
        <v>109</v>
      </c>
      <c r="G838" t="s">
        <v>2129</v>
      </c>
      <c r="H838" s="11">
        <v>306240</v>
      </c>
      <c r="I838" s="11">
        <v>0</v>
      </c>
      <c r="J838" s="11">
        <v>0</v>
      </c>
      <c r="L838" t="s">
        <v>55</v>
      </c>
      <c r="M838" t="s">
        <v>26</v>
      </c>
      <c r="N838" t="s">
        <v>2130</v>
      </c>
      <c r="O838" s="2">
        <v>39904</v>
      </c>
      <c r="P838" s="2">
        <v>40999</v>
      </c>
      <c r="Q838">
        <v>0</v>
      </c>
      <c r="R838" t="s">
        <v>2131</v>
      </c>
    </row>
    <row r="839" spans="1:18" x14ac:dyDescent="0.25">
      <c r="A839" t="s">
        <v>2122</v>
      </c>
      <c r="B839" t="s">
        <v>4494</v>
      </c>
      <c r="C839" t="s">
        <v>38</v>
      </c>
      <c r="D839" t="s">
        <v>21</v>
      </c>
      <c r="E839" t="s">
        <v>377</v>
      </c>
      <c r="F839" t="s">
        <v>109</v>
      </c>
      <c r="G839" t="s">
        <v>2123</v>
      </c>
      <c r="H839" s="10">
        <v>582717</v>
      </c>
      <c r="I839" s="10">
        <v>0</v>
      </c>
      <c r="J839" s="10">
        <v>0</v>
      </c>
      <c r="L839" t="s">
        <v>42</v>
      </c>
      <c r="M839" t="s">
        <v>26</v>
      </c>
      <c r="N839" t="s">
        <v>2124</v>
      </c>
      <c r="O839" s="2">
        <v>41183</v>
      </c>
      <c r="P839" s="2">
        <v>43008</v>
      </c>
      <c r="Q839">
        <v>0</v>
      </c>
      <c r="R839" t="s">
        <v>2125</v>
      </c>
    </row>
    <row r="840" spans="1:18" x14ac:dyDescent="0.25">
      <c r="A840" t="s">
        <v>2122</v>
      </c>
      <c r="B840" t="s">
        <v>5216</v>
      </c>
      <c r="C840" t="s">
        <v>38</v>
      </c>
      <c r="D840" t="s">
        <v>5165</v>
      </c>
      <c r="E840" t="s">
        <v>5176</v>
      </c>
      <c r="F840" t="s">
        <v>4554</v>
      </c>
      <c r="G840" t="s">
        <v>5217</v>
      </c>
      <c r="H840" s="10">
        <v>568337</v>
      </c>
      <c r="I840" s="10">
        <v>0</v>
      </c>
      <c r="J840" s="10">
        <v>0</v>
      </c>
      <c r="L840" t="s">
        <v>42</v>
      </c>
      <c r="M840" t="s">
        <v>111</v>
      </c>
      <c r="N840" t="s">
        <v>5954</v>
      </c>
      <c r="O840" s="2">
        <v>42278</v>
      </c>
      <c r="P840" s="2">
        <v>44469</v>
      </c>
      <c r="Q840">
        <v>0</v>
      </c>
      <c r="R840" t="s">
        <v>5953</v>
      </c>
    </row>
    <row r="841" spans="1:18" x14ac:dyDescent="0.25">
      <c r="A841" t="s">
        <v>2122</v>
      </c>
      <c r="B841" t="s">
        <v>4494</v>
      </c>
      <c r="C841" t="s">
        <v>38</v>
      </c>
      <c r="D841" t="s">
        <v>51</v>
      </c>
      <c r="E841" t="s">
        <v>197</v>
      </c>
      <c r="F841" t="s">
        <v>109</v>
      </c>
      <c r="G841" t="s">
        <v>2126</v>
      </c>
      <c r="H841" s="10">
        <v>1002150</v>
      </c>
      <c r="I841" s="10">
        <v>0</v>
      </c>
      <c r="J841" s="10">
        <v>0</v>
      </c>
      <c r="L841" t="s">
        <v>42</v>
      </c>
      <c r="M841" t="s">
        <v>111</v>
      </c>
      <c r="N841" t="s">
        <v>2127</v>
      </c>
      <c r="O841" s="2">
        <v>44652</v>
      </c>
      <c r="P841" s="2">
        <v>46477</v>
      </c>
      <c r="Q841">
        <v>0</v>
      </c>
      <c r="R841" t="s">
        <v>2128</v>
      </c>
    </row>
    <row r="842" spans="1:18" x14ac:dyDescent="0.25">
      <c r="A842" t="s">
        <v>2132</v>
      </c>
      <c r="B842" t="s">
        <v>240</v>
      </c>
      <c r="C842" t="s">
        <v>20</v>
      </c>
      <c r="D842" t="s">
        <v>21</v>
      </c>
      <c r="E842" t="s">
        <v>172</v>
      </c>
      <c r="F842" t="s">
        <v>109</v>
      </c>
      <c r="G842" t="s">
        <v>2139</v>
      </c>
      <c r="H842" s="10">
        <v>761924</v>
      </c>
      <c r="I842" s="10">
        <v>0</v>
      </c>
      <c r="J842" s="10">
        <v>0</v>
      </c>
      <c r="L842" t="s">
        <v>42</v>
      </c>
      <c r="M842" t="s">
        <v>143</v>
      </c>
      <c r="N842" t="s">
        <v>2140</v>
      </c>
      <c r="O842" s="2">
        <v>40452</v>
      </c>
      <c r="P842" s="2">
        <v>42185</v>
      </c>
      <c r="Q842">
        <v>0</v>
      </c>
      <c r="R842" t="s">
        <v>2141</v>
      </c>
    </row>
    <row r="843" spans="1:18" x14ac:dyDescent="0.25">
      <c r="A843" t="s">
        <v>2132</v>
      </c>
      <c r="B843" t="s">
        <v>240</v>
      </c>
      <c r="C843" t="s">
        <v>20</v>
      </c>
      <c r="D843" t="s">
        <v>21</v>
      </c>
      <c r="E843" t="s">
        <v>60</v>
      </c>
      <c r="F843" t="s">
        <v>109</v>
      </c>
      <c r="G843" t="s">
        <v>2136</v>
      </c>
      <c r="H843" s="10">
        <v>694870</v>
      </c>
      <c r="I843" s="10">
        <v>0</v>
      </c>
      <c r="J843" s="10">
        <v>0</v>
      </c>
      <c r="L843" t="s">
        <v>42</v>
      </c>
      <c r="M843" t="s">
        <v>111</v>
      </c>
      <c r="N843" t="s">
        <v>2137</v>
      </c>
      <c r="O843" s="2">
        <v>41821</v>
      </c>
      <c r="P843" s="2">
        <v>42185</v>
      </c>
      <c r="Q843">
        <v>0</v>
      </c>
      <c r="R843" t="s">
        <v>2138</v>
      </c>
    </row>
    <row r="844" spans="1:18" x14ac:dyDescent="0.25">
      <c r="A844" t="s">
        <v>5091</v>
      </c>
      <c r="B844" t="s">
        <v>240</v>
      </c>
      <c r="C844" t="s">
        <v>20</v>
      </c>
      <c r="D844" t="s">
        <v>21</v>
      </c>
      <c r="E844" t="s">
        <v>377</v>
      </c>
      <c r="F844" t="s">
        <v>109</v>
      </c>
      <c r="G844" t="s">
        <v>2133</v>
      </c>
      <c r="H844" s="10">
        <v>779591</v>
      </c>
      <c r="I844" s="10">
        <v>0</v>
      </c>
      <c r="J844" s="10">
        <v>0</v>
      </c>
      <c r="L844" t="s">
        <v>42</v>
      </c>
      <c r="M844" t="s">
        <v>111</v>
      </c>
      <c r="N844" t="s">
        <v>2134</v>
      </c>
      <c r="O844" s="2">
        <v>41183</v>
      </c>
      <c r="P844" s="2">
        <v>43008</v>
      </c>
      <c r="Q844">
        <v>0</v>
      </c>
      <c r="R844" t="s">
        <v>2135</v>
      </c>
    </row>
    <row r="845" spans="1:18" x14ac:dyDescent="0.25">
      <c r="A845" t="s">
        <v>4797</v>
      </c>
      <c r="B845" t="s">
        <v>4795</v>
      </c>
      <c r="C845" t="s">
        <v>38</v>
      </c>
      <c r="D845" t="s">
        <v>4557</v>
      </c>
      <c r="E845" t="s">
        <v>4602</v>
      </c>
      <c r="F845" t="s">
        <v>4559</v>
      </c>
      <c r="G845" t="s">
        <v>4798</v>
      </c>
      <c r="H845" s="10">
        <v>305350</v>
      </c>
      <c r="I845" s="10">
        <v>0</v>
      </c>
      <c r="J845" s="10">
        <v>0</v>
      </c>
      <c r="L845" t="s">
        <v>55</v>
      </c>
      <c r="M845" t="s">
        <v>103</v>
      </c>
      <c r="N845" t="s">
        <v>5613</v>
      </c>
      <c r="O845" s="2">
        <v>41365</v>
      </c>
      <c r="P845" s="2">
        <v>42460</v>
      </c>
      <c r="Q845">
        <v>2</v>
      </c>
      <c r="R845" t="s">
        <v>5612</v>
      </c>
    </row>
    <row r="846" spans="1:18" x14ac:dyDescent="0.25">
      <c r="A846" t="s">
        <v>4794</v>
      </c>
      <c r="B846" t="s">
        <v>4795</v>
      </c>
      <c r="C846" t="s">
        <v>38</v>
      </c>
      <c r="D846" t="s">
        <v>4557</v>
      </c>
      <c r="E846" t="s">
        <v>4570</v>
      </c>
      <c r="F846" t="s">
        <v>4559</v>
      </c>
      <c r="G846" t="s">
        <v>4796</v>
      </c>
      <c r="H846" s="10">
        <v>298387</v>
      </c>
      <c r="I846" s="10">
        <v>0</v>
      </c>
      <c r="J846" s="10">
        <v>0</v>
      </c>
      <c r="L846" t="s">
        <v>55</v>
      </c>
      <c r="M846" t="s">
        <v>204</v>
      </c>
      <c r="N846" t="s">
        <v>3843</v>
      </c>
      <c r="O846" s="2">
        <v>42826</v>
      </c>
      <c r="P846" s="2">
        <v>43921</v>
      </c>
      <c r="Q846">
        <v>0</v>
      </c>
      <c r="R846" t="s">
        <v>5841</v>
      </c>
    </row>
    <row r="847" spans="1:18" x14ac:dyDescent="0.25">
      <c r="A847" t="s">
        <v>4497</v>
      </c>
      <c r="B847" t="s">
        <v>2142</v>
      </c>
      <c r="C847" t="s">
        <v>38</v>
      </c>
      <c r="D847" t="s">
        <v>241</v>
      </c>
      <c r="E847" t="s">
        <v>368</v>
      </c>
      <c r="F847" t="s">
        <v>243</v>
      </c>
      <c r="G847" t="s">
        <v>2143</v>
      </c>
      <c r="H847" s="10">
        <v>276850</v>
      </c>
      <c r="I847" s="10">
        <v>0</v>
      </c>
      <c r="J847" s="10">
        <v>0</v>
      </c>
      <c r="L847" t="s">
        <v>55</v>
      </c>
      <c r="M847" t="s">
        <v>26</v>
      </c>
      <c r="N847" t="s">
        <v>2144</v>
      </c>
      <c r="O847" s="2">
        <v>40452</v>
      </c>
      <c r="P847" s="2">
        <v>41547</v>
      </c>
      <c r="Q847">
        <v>0</v>
      </c>
      <c r="R847" t="s">
        <v>2145</v>
      </c>
    </row>
    <row r="848" spans="1:18" x14ac:dyDescent="0.25">
      <c r="A848" t="s">
        <v>4497</v>
      </c>
      <c r="B848" t="s">
        <v>4624</v>
      </c>
      <c r="C848" t="s">
        <v>38</v>
      </c>
      <c r="D848" t="s">
        <v>21</v>
      </c>
      <c r="E848" t="s">
        <v>377</v>
      </c>
      <c r="F848" t="s">
        <v>109</v>
      </c>
      <c r="G848" t="s">
        <v>2146</v>
      </c>
      <c r="H848" s="10">
        <v>424935</v>
      </c>
      <c r="I848" s="10">
        <v>0</v>
      </c>
      <c r="J848" s="10">
        <v>0</v>
      </c>
      <c r="L848" t="s">
        <v>42</v>
      </c>
      <c r="M848" t="s">
        <v>103</v>
      </c>
      <c r="N848" t="s">
        <v>2147</v>
      </c>
      <c r="O848" s="2">
        <v>41183</v>
      </c>
      <c r="P848" s="2">
        <v>43008</v>
      </c>
      <c r="Q848">
        <v>0</v>
      </c>
      <c r="R848" t="s">
        <v>2148</v>
      </c>
    </row>
    <row r="849" spans="1:18" x14ac:dyDescent="0.25">
      <c r="A849" t="s">
        <v>4497</v>
      </c>
      <c r="B849" t="s">
        <v>4624</v>
      </c>
      <c r="C849" t="s">
        <v>38</v>
      </c>
      <c r="D849" t="s">
        <v>21</v>
      </c>
      <c r="E849" t="s">
        <v>108</v>
      </c>
      <c r="F849" t="s">
        <v>109</v>
      </c>
      <c r="G849" t="s">
        <v>2149</v>
      </c>
      <c r="H849" s="10">
        <v>554138</v>
      </c>
      <c r="I849" s="10">
        <v>0</v>
      </c>
      <c r="J849" s="10">
        <v>0</v>
      </c>
      <c r="L849" t="s">
        <v>42</v>
      </c>
      <c r="M849" t="s">
        <v>217</v>
      </c>
      <c r="N849" t="s">
        <v>2150</v>
      </c>
      <c r="O849" s="2">
        <v>41548</v>
      </c>
      <c r="P849" s="2">
        <v>43373</v>
      </c>
      <c r="Q849">
        <v>0</v>
      </c>
      <c r="R849" t="s">
        <v>2151</v>
      </c>
    </row>
    <row r="850" spans="1:18" x14ac:dyDescent="0.25">
      <c r="A850" t="s">
        <v>4801</v>
      </c>
      <c r="B850" t="s">
        <v>4624</v>
      </c>
      <c r="C850" t="s">
        <v>38</v>
      </c>
      <c r="D850" t="s">
        <v>4557</v>
      </c>
      <c r="E850" t="s">
        <v>4558</v>
      </c>
      <c r="F850" t="s">
        <v>4559</v>
      </c>
      <c r="G850" t="s">
        <v>4802</v>
      </c>
      <c r="H850" s="10">
        <v>249000</v>
      </c>
      <c r="I850" s="10">
        <v>0</v>
      </c>
      <c r="J850" s="10">
        <v>0</v>
      </c>
      <c r="L850" t="s">
        <v>55</v>
      </c>
      <c r="M850" t="s">
        <v>111</v>
      </c>
      <c r="N850" t="s">
        <v>6026</v>
      </c>
      <c r="O850" s="2">
        <v>43191</v>
      </c>
      <c r="P850" s="2">
        <v>44286</v>
      </c>
      <c r="Q850">
        <v>0</v>
      </c>
      <c r="R850" t="s">
        <v>6025</v>
      </c>
    </row>
    <row r="851" spans="1:18" x14ac:dyDescent="0.25">
      <c r="A851" t="s">
        <v>4799</v>
      </c>
      <c r="B851" t="s">
        <v>4624</v>
      </c>
      <c r="C851" t="s">
        <v>38</v>
      </c>
      <c r="D851" t="s">
        <v>4557</v>
      </c>
      <c r="E851" t="s">
        <v>4602</v>
      </c>
      <c r="F851" t="s">
        <v>4559</v>
      </c>
      <c r="G851" t="s">
        <v>4800</v>
      </c>
      <c r="H851" s="10">
        <v>189250</v>
      </c>
      <c r="I851" s="10">
        <v>0</v>
      </c>
      <c r="J851" s="10">
        <v>0</v>
      </c>
      <c r="L851" t="s">
        <v>55</v>
      </c>
      <c r="M851" t="s">
        <v>103</v>
      </c>
      <c r="N851" t="s">
        <v>5817</v>
      </c>
      <c r="O851" s="2">
        <v>41365</v>
      </c>
      <c r="P851" s="2">
        <v>42460</v>
      </c>
      <c r="Q851">
        <v>0</v>
      </c>
      <c r="R851" t="s">
        <v>5816</v>
      </c>
    </row>
    <row r="852" spans="1:18" x14ac:dyDescent="0.25">
      <c r="A852" t="s">
        <v>4803</v>
      </c>
      <c r="B852" t="s">
        <v>4624</v>
      </c>
      <c r="C852" t="s">
        <v>38</v>
      </c>
      <c r="D852" t="s">
        <v>4557</v>
      </c>
      <c r="E852" t="s">
        <v>4558</v>
      </c>
      <c r="F852" t="s">
        <v>4559</v>
      </c>
      <c r="G852" t="s">
        <v>4804</v>
      </c>
      <c r="H852" s="10">
        <v>237423</v>
      </c>
      <c r="I852" s="10">
        <v>22613</v>
      </c>
      <c r="J852" s="10">
        <v>0</v>
      </c>
      <c r="L852" t="s">
        <v>55</v>
      </c>
      <c r="M852" t="s">
        <v>217</v>
      </c>
      <c r="N852" t="s">
        <v>6080</v>
      </c>
      <c r="O852" s="2">
        <v>43191</v>
      </c>
      <c r="P852" s="2">
        <v>44286</v>
      </c>
      <c r="Q852">
        <v>0</v>
      </c>
      <c r="R852" t="s">
        <v>6079</v>
      </c>
    </row>
    <row r="853" spans="1:18" x14ac:dyDescent="0.25">
      <c r="A853" t="s">
        <v>5401</v>
      </c>
      <c r="B853" t="s">
        <v>4624</v>
      </c>
      <c r="C853" t="s">
        <v>38</v>
      </c>
      <c r="D853" t="s">
        <v>51</v>
      </c>
      <c r="E853" t="s">
        <v>259</v>
      </c>
      <c r="F853" t="s">
        <v>109</v>
      </c>
      <c r="G853" t="s">
        <v>2152</v>
      </c>
      <c r="H853" s="10">
        <v>761176</v>
      </c>
      <c r="I853" s="10">
        <v>0</v>
      </c>
      <c r="J853" s="10">
        <v>0</v>
      </c>
      <c r="L853" t="s">
        <v>42</v>
      </c>
      <c r="M853" t="s">
        <v>103</v>
      </c>
      <c r="N853" t="s">
        <v>2153</v>
      </c>
      <c r="O853" s="2">
        <v>44105</v>
      </c>
      <c r="P853" s="2">
        <v>45930</v>
      </c>
      <c r="Q853">
        <v>0</v>
      </c>
      <c r="R853" t="s">
        <v>2154</v>
      </c>
    </row>
    <row r="854" spans="1:18" x14ac:dyDescent="0.25">
      <c r="A854" t="s">
        <v>2155</v>
      </c>
      <c r="B854" t="s">
        <v>499</v>
      </c>
      <c r="C854" t="s">
        <v>311</v>
      </c>
      <c r="D854" t="s">
        <v>51</v>
      </c>
      <c r="E854" t="s">
        <v>127</v>
      </c>
      <c r="F854" t="s">
        <v>23</v>
      </c>
      <c r="G854" t="s">
        <v>2156</v>
      </c>
      <c r="H854" s="10">
        <v>573750</v>
      </c>
      <c r="I854" s="10">
        <v>0</v>
      </c>
      <c r="J854" s="10">
        <v>0</v>
      </c>
      <c r="L854" t="s">
        <v>42</v>
      </c>
      <c r="M854" t="s">
        <v>26</v>
      </c>
      <c r="N854" t="s">
        <v>2157</v>
      </c>
      <c r="O854" s="2">
        <v>44835</v>
      </c>
      <c r="P854" s="2">
        <v>46660</v>
      </c>
      <c r="Q854">
        <v>0</v>
      </c>
      <c r="R854" t="s">
        <v>2158</v>
      </c>
    </row>
    <row r="855" spans="1:18" x14ac:dyDescent="0.25">
      <c r="A855" t="s">
        <v>4520</v>
      </c>
      <c r="B855" t="s">
        <v>157</v>
      </c>
      <c r="C855" t="s">
        <v>38</v>
      </c>
      <c r="D855" t="s">
        <v>4499</v>
      </c>
      <c r="E855" t="s">
        <v>4500</v>
      </c>
      <c r="F855" t="s">
        <v>4501</v>
      </c>
      <c r="G855" t="s">
        <v>4521</v>
      </c>
      <c r="H855" s="12">
        <v>150000</v>
      </c>
      <c r="I855" s="12">
        <v>0</v>
      </c>
      <c r="J855" s="10">
        <v>0</v>
      </c>
      <c r="L855" t="s">
        <v>34</v>
      </c>
      <c r="M855" t="s">
        <v>26</v>
      </c>
      <c r="N855" t="s">
        <v>1216</v>
      </c>
      <c r="O855" s="2">
        <v>45323</v>
      </c>
      <c r="P855" s="2">
        <v>45688</v>
      </c>
      <c r="Q855">
        <v>0</v>
      </c>
      <c r="R855" t="s">
        <v>6174</v>
      </c>
    </row>
    <row r="856" spans="1:18" x14ac:dyDescent="0.25">
      <c r="A856" t="s">
        <v>2065</v>
      </c>
      <c r="B856" t="s">
        <v>148</v>
      </c>
      <c r="C856" t="s">
        <v>149</v>
      </c>
      <c r="D856" t="s">
        <v>51</v>
      </c>
      <c r="E856" t="s">
        <v>127</v>
      </c>
      <c r="F856" t="s">
        <v>109</v>
      </c>
      <c r="G856" t="s">
        <v>2066</v>
      </c>
      <c r="H856" s="10">
        <v>631126</v>
      </c>
      <c r="I856" s="10">
        <v>0</v>
      </c>
      <c r="J856" s="10">
        <v>0</v>
      </c>
      <c r="L856" t="s">
        <v>42</v>
      </c>
      <c r="M856" t="s">
        <v>111</v>
      </c>
      <c r="N856" t="s">
        <v>2067</v>
      </c>
      <c r="O856" s="2">
        <v>44835</v>
      </c>
      <c r="P856" s="2">
        <v>46660</v>
      </c>
      <c r="Q856">
        <v>0</v>
      </c>
      <c r="R856" t="s">
        <v>2068</v>
      </c>
    </row>
    <row r="857" spans="1:18" x14ac:dyDescent="0.25">
      <c r="A857" t="s">
        <v>6175</v>
      </c>
      <c r="B857" t="s">
        <v>148</v>
      </c>
      <c r="C857" t="s">
        <v>149</v>
      </c>
      <c r="D857" t="s">
        <v>5136</v>
      </c>
      <c r="E857" t="s">
        <v>5137</v>
      </c>
      <c r="F857" t="s">
        <v>5138</v>
      </c>
      <c r="G857" t="s">
        <v>5140</v>
      </c>
      <c r="H857" s="12">
        <v>675000</v>
      </c>
      <c r="I857" s="12">
        <v>0</v>
      </c>
      <c r="J857" s="10">
        <v>0</v>
      </c>
      <c r="L857" t="s">
        <v>55</v>
      </c>
      <c r="M857" t="s">
        <v>94</v>
      </c>
      <c r="N857" t="s">
        <v>6176</v>
      </c>
      <c r="O857" s="2">
        <v>43466</v>
      </c>
      <c r="P857" s="2">
        <v>44561</v>
      </c>
      <c r="Q857">
        <v>3</v>
      </c>
      <c r="R857" t="s">
        <v>6177</v>
      </c>
    </row>
    <row r="858" spans="1:18" x14ac:dyDescent="0.25">
      <c r="A858" t="s">
        <v>2159</v>
      </c>
      <c r="B858" t="s">
        <v>162</v>
      </c>
      <c r="C858" t="s">
        <v>149</v>
      </c>
      <c r="D858" t="s">
        <v>90</v>
      </c>
      <c r="E858" t="s">
        <v>91</v>
      </c>
      <c r="F858" t="s">
        <v>92</v>
      </c>
      <c r="G858" t="s">
        <v>2160</v>
      </c>
      <c r="H858" s="10">
        <v>4175000</v>
      </c>
      <c r="I858" s="10">
        <v>0</v>
      </c>
      <c r="J858" s="10">
        <v>0</v>
      </c>
      <c r="L858" t="s">
        <v>34</v>
      </c>
      <c r="M858" t="s">
        <v>94</v>
      </c>
      <c r="N858" t="s">
        <v>2161</v>
      </c>
      <c r="O858" s="2">
        <v>43983</v>
      </c>
      <c r="P858" s="2">
        <v>44347</v>
      </c>
      <c r="Q858">
        <v>2</v>
      </c>
      <c r="R858" t="s">
        <v>2162</v>
      </c>
    </row>
    <row r="859" spans="1:18" x14ac:dyDescent="0.25">
      <c r="A859" t="s">
        <v>2203</v>
      </c>
      <c r="B859" t="s">
        <v>107</v>
      </c>
      <c r="C859" t="s">
        <v>38</v>
      </c>
      <c r="D859" t="s">
        <v>51</v>
      </c>
      <c r="E859" t="s">
        <v>406</v>
      </c>
      <c r="F859" t="s">
        <v>53</v>
      </c>
      <c r="G859" t="s">
        <v>2204</v>
      </c>
      <c r="H859" s="10">
        <v>558450</v>
      </c>
      <c r="I859" s="10">
        <v>0</v>
      </c>
      <c r="J859" s="10">
        <v>0</v>
      </c>
      <c r="L859" t="s">
        <v>42</v>
      </c>
      <c r="M859" t="s">
        <v>746</v>
      </c>
      <c r="N859" t="s">
        <v>358</v>
      </c>
      <c r="O859" s="2">
        <v>43191</v>
      </c>
      <c r="P859" s="2">
        <v>45016</v>
      </c>
      <c r="Q859">
        <v>0</v>
      </c>
      <c r="R859" t="s">
        <v>2205</v>
      </c>
    </row>
    <row r="860" spans="1:18" x14ac:dyDescent="0.25">
      <c r="A860" t="s">
        <v>2163</v>
      </c>
      <c r="B860" t="s">
        <v>114</v>
      </c>
      <c r="C860" t="s">
        <v>20</v>
      </c>
      <c r="D860" t="s">
        <v>51</v>
      </c>
      <c r="E860" t="s">
        <v>223</v>
      </c>
      <c r="F860" t="s">
        <v>356</v>
      </c>
      <c r="G860" t="s">
        <v>2164</v>
      </c>
      <c r="H860" s="10">
        <v>1136026</v>
      </c>
      <c r="I860" s="10">
        <v>0</v>
      </c>
      <c r="J860" s="10">
        <v>0</v>
      </c>
      <c r="L860" t="s">
        <v>42</v>
      </c>
      <c r="M860" t="s">
        <v>143</v>
      </c>
      <c r="N860" t="s">
        <v>462</v>
      </c>
      <c r="O860" s="2">
        <v>45566</v>
      </c>
      <c r="P860" s="2">
        <v>47391</v>
      </c>
      <c r="Q860">
        <v>0</v>
      </c>
      <c r="R860" t="s">
        <v>2165</v>
      </c>
    </row>
    <row r="861" spans="1:18" x14ac:dyDescent="0.25">
      <c r="A861" t="s">
        <v>2166</v>
      </c>
      <c r="B861" t="s">
        <v>49</v>
      </c>
      <c r="C861" t="s">
        <v>50</v>
      </c>
      <c r="D861" t="s">
        <v>21</v>
      </c>
      <c r="E861" t="s">
        <v>287</v>
      </c>
      <c r="F861" t="s">
        <v>32</v>
      </c>
      <c r="G861" t="s">
        <v>2168</v>
      </c>
      <c r="H861" s="10">
        <v>746213</v>
      </c>
      <c r="I861" s="10">
        <v>0</v>
      </c>
      <c r="J861" s="10">
        <v>0</v>
      </c>
      <c r="L861" t="s">
        <v>42</v>
      </c>
      <c r="M861" t="s">
        <v>26</v>
      </c>
      <c r="N861" t="s">
        <v>2169</v>
      </c>
      <c r="O861" s="2">
        <v>40634</v>
      </c>
      <c r="P861" s="2">
        <v>42460</v>
      </c>
      <c r="Q861">
        <v>0</v>
      </c>
      <c r="R861" t="s">
        <v>2170</v>
      </c>
    </row>
    <row r="862" spans="1:18" x14ac:dyDescent="0.25">
      <c r="A862" t="s">
        <v>2166</v>
      </c>
      <c r="B862" t="s">
        <v>49</v>
      </c>
      <c r="C862" t="s">
        <v>50</v>
      </c>
      <c r="D862" t="s">
        <v>395</v>
      </c>
      <c r="E862" t="s">
        <v>2167</v>
      </c>
      <c r="F862" t="s">
        <v>32</v>
      </c>
      <c r="G862" t="s">
        <v>2168</v>
      </c>
      <c r="H862" s="10">
        <v>100000</v>
      </c>
      <c r="I862" s="10">
        <v>0</v>
      </c>
      <c r="J862" s="10">
        <v>0</v>
      </c>
      <c r="L862" t="s">
        <v>34</v>
      </c>
      <c r="M862" t="s">
        <v>26</v>
      </c>
      <c r="N862" t="s">
        <v>2169</v>
      </c>
      <c r="O862" s="2">
        <v>40422</v>
      </c>
      <c r="P862" s="2">
        <v>40786</v>
      </c>
      <c r="Q862">
        <v>0</v>
      </c>
      <c r="R862" t="s">
        <v>2170</v>
      </c>
    </row>
    <row r="863" spans="1:18" x14ac:dyDescent="0.25">
      <c r="A863" t="s">
        <v>2171</v>
      </c>
      <c r="B863" t="s">
        <v>49</v>
      </c>
      <c r="C863" t="s">
        <v>50</v>
      </c>
      <c r="D863" t="s">
        <v>21</v>
      </c>
      <c r="E863" t="s">
        <v>194</v>
      </c>
      <c r="F863" t="s">
        <v>53</v>
      </c>
      <c r="G863" t="s">
        <v>2175</v>
      </c>
      <c r="H863" s="11">
        <v>544236</v>
      </c>
      <c r="I863" s="11">
        <v>0</v>
      </c>
      <c r="J863" s="11">
        <v>0</v>
      </c>
      <c r="L863" t="s">
        <v>42</v>
      </c>
      <c r="M863" t="s">
        <v>204</v>
      </c>
      <c r="N863" t="s">
        <v>2176</v>
      </c>
      <c r="O863" s="2">
        <v>40087</v>
      </c>
      <c r="P863" s="2">
        <v>41912</v>
      </c>
      <c r="Q863">
        <v>0</v>
      </c>
      <c r="R863" t="s">
        <v>2177</v>
      </c>
    </row>
    <row r="864" spans="1:18" x14ac:dyDescent="0.25">
      <c r="A864" t="s">
        <v>2171</v>
      </c>
      <c r="B864" t="s">
        <v>49</v>
      </c>
      <c r="C864" t="s">
        <v>50</v>
      </c>
      <c r="D864" t="s">
        <v>51</v>
      </c>
      <c r="E864" t="s">
        <v>197</v>
      </c>
      <c r="F864" t="s">
        <v>53</v>
      </c>
      <c r="G864" t="s">
        <v>2178</v>
      </c>
      <c r="H864" s="10">
        <v>726750</v>
      </c>
      <c r="I864" s="10">
        <v>0</v>
      </c>
      <c r="J864" s="10">
        <v>0</v>
      </c>
      <c r="L864" t="s">
        <v>42</v>
      </c>
      <c r="M864" t="s">
        <v>103</v>
      </c>
      <c r="N864" t="s">
        <v>2179</v>
      </c>
      <c r="O864" s="2">
        <v>44652</v>
      </c>
      <c r="P864" s="2">
        <v>46477</v>
      </c>
      <c r="Q864">
        <v>0</v>
      </c>
      <c r="R864" t="s">
        <v>2180</v>
      </c>
    </row>
    <row r="865" spans="1:18" x14ac:dyDescent="0.25">
      <c r="A865" t="s">
        <v>2171</v>
      </c>
      <c r="B865" t="s">
        <v>49</v>
      </c>
      <c r="C865" t="s">
        <v>50</v>
      </c>
      <c r="D865" t="s">
        <v>51</v>
      </c>
      <c r="E865" t="s">
        <v>223</v>
      </c>
      <c r="F865" t="s">
        <v>53</v>
      </c>
      <c r="G865" t="s">
        <v>2172</v>
      </c>
      <c r="H865" s="10">
        <v>722926</v>
      </c>
      <c r="I865" s="10">
        <v>0</v>
      </c>
      <c r="J865" s="10">
        <v>0</v>
      </c>
      <c r="L865" t="s">
        <v>42</v>
      </c>
      <c r="M865" t="s">
        <v>103</v>
      </c>
      <c r="N865" t="s">
        <v>2173</v>
      </c>
      <c r="O865" s="2">
        <v>45566</v>
      </c>
      <c r="P865" s="2">
        <v>47391</v>
      </c>
      <c r="Q865">
        <v>0</v>
      </c>
      <c r="R865" t="s">
        <v>2174</v>
      </c>
    </row>
    <row r="866" spans="1:18" x14ac:dyDescent="0.25">
      <c r="A866" t="s">
        <v>2181</v>
      </c>
      <c r="B866" t="s">
        <v>107</v>
      </c>
      <c r="C866" t="s">
        <v>38</v>
      </c>
      <c r="D866" t="s">
        <v>51</v>
      </c>
      <c r="E866" t="s">
        <v>122</v>
      </c>
      <c r="F866" t="s">
        <v>53</v>
      </c>
      <c r="G866" t="s">
        <v>2184</v>
      </c>
      <c r="H866" s="10">
        <v>520200</v>
      </c>
      <c r="I866" s="10">
        <v>0</v>
      </c>
      <c r="J866" s="10">
        <v>0</v>
      </c>
      <c r="L866" t="s">
        <v>25</v>
      </c>
      <c r="M866" t="s">
        <v>204</v>
      </c>
      <c r="N866" t="s">
        <v>579</v>
      </c>
      <c r="O866" s="2">
        <v>43739</v>
      </c>
      <c r="P866" s="2">
        <v>45199</v>
      </c>
      <c r="Q866">
        <v>1</v>
      </c>
      <c r="R866" t="s">
        <v>2185</v>
      </c>
    </row>
    <row r="867" spans="1:18" x14ac:dyDescent="0.25">
      <c r="A867" t="s">
        <v>2181</v>
      </c>
      <c r="B867" t="s">
        <v>107</v>
      </c>
      <c r="C867" t="s">
        <v>38</v>
      </c>
      <c r="D867" t="s">
        <v>51</v>
      </c>
      <c r="E867" t="s">
        <v>197</v>
      </c>
      <c r="F867" t="s">
        <v>53</v>
      </c>
      <c r="G867" t="s">
        <v>2182</v>
      </c>
      <c r="H867" s="10">
        <v>677025</v>
      </c>
      <c r="I867" s="10">
        <v>0</v>
      </c>
      <c r="J867" s="10">
        <v>0</v>
      </c>
      <c r="L867" t="s">
        <v>42</v>
      </c>
      <c r="M867" t="s">
        <v>103</v>
      </c>
      <c r="N867" t="s">
        <v>600</v>
      </c>
      <c r="O867" s="2">
        <v>44652</v>
      </c>
      <c r="P867" s="2">
        <v>46477</v>
      </c>
      <c r="Q867">
        <v>0</v>
      </c>
      <c r="R867" t="s">
        <v>2183</v>
      </c>
    </row>
    <row r="868" spans="1:18" x14ac:dyDescent="0.25">
      <c r="A868" t="s">
        <v>2186</v>
      </c>
      <c r="B868" t="s">
        <v>49</v>
      </c>
      <c r="C868" t="s">
        <v>50</v>
      </c>
      <c r="D868" t="s">
        <v>4454</v>
      </c>
      <c r="E868" t="s">
        <v>4455</v>
      </c>
      <c r="F868" t="s">
        <v>4456</v>
      </c>
      <c r="G868" t="s">
        <v>4466</v>
      </c>
      <c r="H868" s="10">
        <v>96661</v>
      </c>
      <c r="I868" s="10">
        <v>0</v>
      </c>
      <c r="J868" s="10">
        <v>0</v>
      </c>
      <c r="L868" t="s">
        <v>34</v>
      </c>
      <c r="M868" t="s">
        <v>204</v>
      </c>
      <c r="N868" t="s">
        <v>5649</v>
      </c>
      <c r="O868" s="2">
        <v>41334</v>
      </c>
      <c r="P868" s="2">
        <v>41698</v>
      </c>
      <c r="Q868">
        <v>0</v>
      </c>
      <c r="R868" t="s">
        <v>5648</v>
      </c>
    </row>
    <row r="869" spans="1:18" x14ac:dyDescent="0.25">
      <c r="A869" t="s">
        <v>4547</v>
      </c>
      <c r="B869" t="s">
        <v>49</v>
      </c>
      <c r="C869" t="s">
        <v>50</v>
      </c>
      <c r="D869" t="s">
        <v>80</v>
      </c>
      <c r="E869" t="s">
        <v>81</v>
      </c>
      <c r="F869" t="s">
        <v>82</v>
      </c>
      <c r="G869" t="s">
        <v>2187</v>
      </c>
      <c r="H869" s="10">
        <v>200000</v>
      </c>
      <c r="I869" s="10">
        <v>0</v>
      </c>
      <c r="J869" s="10">
        <v>0</v>
      </c>
      <c r="L869" t="s">
        <v>84</v>
      </c>
      <c r="M869" t="s">
        <v>238</v>
      </c>
      <c r="N869" t="s">
        <v>2188</v>
      </c>
      <c r="O869" s="2">
        <v>42979</v>
      </c>
      <c r="P869" s="2">
        <v>43708</v>
      </c>
      <c r="Q869">
        <v>0</v>
      </c>
      <c r="R869" t="s">
        <v>2189</v>
      </c>
    </row>
    <row r="870" spans="1:18" x14ac:dyDescent="0.25">
      <c r="A870" t="s">
        <v>4807</v>
      </c>
      <c r="B870" t="s">
        <v>114</v>
      </c>
      <c r="C870" t="s">
        <v>20</v>
      </c>
      <c r="D870" t="s">
        <v>4557</v>
      </c>
      <c r="E870" t="s">
        <v>4558</v>
      </c>
      <c r="F870" t="s">
        <v>4559</v>
      </c>
      <c r="G870" t="s">
        <v>4808</v>
      </c>
      <c r="H870" s="10">
        <v>271119</v>
      </c>
      <c r="I870" s="10">
        <v>0</v>
      </c>
      <c r="J870" s="10">
        <v>0</v>
      </c>
      <c r="L870" t="s">
        <v>55</v>
      </c>
      <c r="M870" t="s">
        <v>103</v>
      </c>
      <c r="N870" t="s">
        <v>6045</v>
      </c>
      <c r="O870" s="2">
        <v>43191</v>
      </c>
      <c r="P870" s="2">
        <v>44286</v>
      </c>
      <c r="Q870">
        <v>3</v>
      </c>
      <c r="R870" t="s">
        <v>6044</v>
      </c>
    </row>
    <row r="871" spans="1:18" x14ac:dyDescent="0.25">
      <c r="A871" t="s">
        <v>2190</v>
      </c>
      <c r="B871" t="s">
        <v>196</v>
      </c>
      <c r="C871" t="s">
        <v>20</v>
      </c>
      <c r="D871" t="s">
        <v>51</v>
      </c>
      <c r="E871" t="s">
        <v>163</v>
      </c>
      <c r="F871" t="s">
        <v>32</v>
      </c>
      <c r="G871" t="s">
        <v>2191</v>
      </c>
      <c r="H871" s="10">
        <v>956250</v>
      </c>
      <c r="I871" s="10">
        <v>0</v>
      </c>
      <c r="J871" s="10">
        <v>0</v>
      </c>
      <c r="L871" t="s">
        <v>42</v>
      </c>
      <c r="M871" t="s">
        <v>26</v>
      </c>
      <c r="N871" t="s">
        <v>135</v>
      </c>
      <c r="O871" s="2">
        <v>43556</v>
      </c>
      <c r="P871" s="2">
        <v>45382</v>
      </c>
      <c r="Q871">
        <v>0</v>
      </c>
      <c r="R871" t="s">
        <v>2192</v>
      </c>
    </row>
    <row r="872" spans="1:18" x14ac:dyDescent="0.25">
      <c r="A872" t="s">
        <v>2193</v>
      </c>
      <c r="B872" t="s">
        <v>98</v>
      </c>
      <c r="C872" t="s">
        <v>20</v>
      </c>
      <c r="D872" t="s">
        <v>241</v>
      </c>
      <c r="E872" t="s">
        <v>242</v>
      </c>
      <c r="F872" t="s">
        <v>243</v>
      </c>
      <c r="G872" t="s">
        <v>2197</v>
      </c>
      <c r="H872" s="10">
        <v>292815</v>
      </c>
      <c r="I872" s="10">
        <v>0</v>
      </c>
      <c r="J872" s="10">
        <v>0</v>
      </c>
      <c r="L872" t="s">
        <v>55</v>
      </c>
      <c r="M872" t="s">
        <v>143</v>
      </c>
      <c r="N872" t="s">
        <v>2198</v>
      </c>
      <c r="O872" s="2">
        <v>40087</v>
      </c>
      <c r="P872" s="2">
        <v>41182</v>
      </c>
      <c r="Q872">
        <v>7</v>
      </c>
      <c r="R872" t="s">
        <v>2199</v>
      </c>
    </row>
    <row r="873" spans="1:18" x14ac:dyDescent="0.25">
      <c r="A873" t="s">
        <v>2193</v>
      </c>
      <c r="B873" t="s">
        <v>98</v>
      </c>
      <c r="C873" t="s">
        <v>20</v>
      </c>
      <c r="D873" t="s">
        <v>21</v>
      </c>
      <c r="E873" t="s">
        <v>751</v>
      </c>
      <c r="F873" t="s">
        <v>32</v>
      </c>
      <c r="G873" t="s">
        <v>2200</v>
      </c>
      <c r="H873" s="11">
        <v>89919</v>
      </c>
      <c r="I873" s="11">
        <v>0</v>
      </c>
      <c r="J873" s="11">
        <v>0</v>
      </c>
      <c r="L873" t="s">
        <v>34</v>
      </c>
      <c r="M873" t="s">
        <v>26</v>
      </c>
      <c r="N873" t="s">
        <v>2201</v>
      </c>
      <c r="O873" s="2">
        <v>39873</v>
      </c>
      <c r="P873" s="2">
        <v>40086</v>
      </c>
      <c r="Q873">
        <v>0</v>
      </c>
      <c r="R873" t="s">
        <v>2202</v>
      </c>
    </row>
    <row r="874" spans="1:18" x14ac:dyDescent="0.25">
      <c r="A874" t="s">
        <v>2193</v>
      </c>
      <c r="B874" t="s">
        <v>98</v>
      </c>
      <c r="C874" t="s">
        <v>20</v>
      </c>
      <c r="D874" t="s">
        <v>21</v>
      </c>
      <c r="E874" t="s">
        <v>194</v>
      </c>
      <c r="F874" t="s">
        <v>32</v>
      </c>
      <c r="G874" t="s">
        <v>2200</v>
      </c>
      <c r="H874" s="11">
        <v>616690</v>
      </c>
      <c r="I874" s="11">
        <v>0</v>
      </c>
      <c r="J874" s="11">
        <v>0</v>
      </c>
      <c r="L874" t="s">
        <v>42</v>
      </c>
      <c r="M874" t="s">
        <v>26</v>
      </c>
      <c r="N874" t="s">
        <v>2201</v>
      </c>
      <c r="O874" s="2">
        <v>40087</v>
      </c>
      <c r="P874" s="2">
        <v>41912</v>
      </c>
      <c r="Q874">
        <v>0</v>
      </c>
      <c r="R874" t="s">
        <v>2202</v>
      </c>
    </row>
    <row r="875" spans="1:18" x14ac:dyDescent="0.25">
      <c r="A875" t="s">
        <v>5145</v>
      </c>
      <c r="B875" t="s">
        <v>98</v>
      </c>
      <c r="C875" t="s">
        <v>20</v>
      </c>
      <c r="D875" t="s">
        <v>139</v>
      </c>
      <c r="E875" t="s">
        <v>140</v>
      </c>
      <c r="F875" t="s">
        <v>141</v>
      </c>
      <c r="G875" t="s">
        <v>2194</v>
      </c>
      <c r="H875" s="10">
        <v>1314083</v>
      </c>
      <c r="I875" s="10">
        <v>0</v>
      </c>
      <c r="J875" s="10">
        <v>0</v>
      </c>
      <c r="L875" t="s">
        <v>34</v>
      </c>
      <c r="M875" t="s">
        <v>94</v>
      </c>
      <c r="N875" t="s">
        <v>2195</v>
      </c>
      <c r="O875" s="2">
        <v>43983</v>
      </c>
      <c r="P875" s="2">
        <v>44347</v>
      </c>
      <c r="Q875">
        <v>9</v>
      </c>
      <c r="R875" t="s">
        <v>2196</v>
      </c>
    </row>
    <row r="876" spans="1:18" x14ac:dyDescent="0.25">
      <c r="A876" t="s">
        <v>4809</v>
      </c>
      <c r="B876" t="s">
        <v>98</v>
      </c>
      <c r="C876" t="s">
        <v>20</v>
      </c>
      <c r="D876" t="s">
        <v>4557</v>
      </c>
      <c r="E876" t="s">
        <v>4570</v>
      </c>
      <c r="F876" t="s">
        <v>4559</v>
      </c>
      <c r="G876" t="s">
        <v>4810</v>
      </c>
      <c r="H876" s="10">
        <v>402900</v>
      </c>
      <c r="I876" s="10">
        <v>0</v>
      </c>
      <c r="J876" s="10">
        <v>0</v>
      </c>
      <c r="L876" t="s">
        <v>55</v>
      </c>
      <c r="M876" t="s">
        <v>26</v>
      </c>
      <c r="N876" t="s">
        <v>5655</v>
      </c>
      <c r="O876" s="2">
        <v>42826</v>
      </c>
      <c r="P876" s="2">
        <v>43921</v>
      </c>
      <c r="Q876">
        <v>2</v>
      </c>
      <c r="R876" t="s">
        <v>5654</v>
      </c>
    </row>
    <row r="877" spans="1:18" x14ac:dyDescent="0.25">
      <c r="A877" t="s">
        <v>2206</v>
      </c>
      <c r="B877" t="s">
        <v>240</v>
      </c>
      <c r="C877" t="s">
        <v>20</v>
      </c>
      <c r="D877" t="s">
        <v>139</v>
      </c>
      <c r="E877" t="s">
        <v>140</v>
      </c>
      <c r="F877" t="s">
        <v>141</v>
      </c>
      <c r="G877" t="s">
        <v>2207</v>
      </c>
      <c r="H877" s="10">
        <v>583472</v>
      </c>
      <c r="I877" s="10">
        <v>0</v>
      </c>
      <c r="J877" s="10">
        <v>0</v>
      </c>
      <c r="L877" t="s">
        <v>34</v>
      </c>
      <c r="M877" t="s">
        <v>103</v>
      </c>
      <c r="N877" t="s">
        <v>2208</v>
      </c>
      <c r="O877" s="2">
        <v>43983</v>
      </c>
      <c r="P877" s="2">
        <v>44347</v>
      </c>
      <c r="Q877">
        <v>0</v>
      </c>
      <c r="R877" t="s">
        <v>2209</v>
      </c>
    </row>
    <row r="878" spans="1:18" x14ac:dyDescent="0.25">
      <c r="A878" t="s">
        <v>2210</v>
      </c>
      <c r="B878" t="s">
        <v>98</v>
      </c>
      <c r="C878" t="s">
        <v>20</v>
      </c>
      <c r="D878" t="s">
        <v>21</v>
      </c>
      <c r="E878" t="s">
        <v>751</v>
      </c>
      <c r="F878" t="s">
        <v>32</v>
      </c>
      <c r="G878" t="s">
        <v>2211</v>
      </c>
      <c r="H878" s="11">
        <v>100000</v>
      </c>
      <c r="I878" s="11">
        <v>0</v>
      </c>
      <c r="J878" s="11">
        <v>0</v>
      </c>
      <c r="L878" t="s">
        <v>34</v>
      </c>
      <c r="M878" t="s">
        <v>26</v>
      </c>
      <c r="N878" t="s">
        <v>2212</v>
      </c>
      <c r="O878" s="2">
        <v>39873</v>
      </c>
      <c r="P878" s="2">
        <v>40237</v>
      </c>
      <c r="Q878">
        <v>0</v>
      </c>
      <c r="R878" t="s">
        <v>2213</v>
      </c>
    </row>
    <row r="879" spans="1:18" x14ac:dyDescent="0.25">
      <c r="A879" t="s">
        <v>2214</v>
      </c>
      <c r="B879" t="s">
        <v>19</v>
      </c>
      <c r="C879" t="s">
        <v>20</v>
      </c>
      <c r="D879" t="s">
        <v>21</v>
      </c>
      <c r="E879" t="s">
        <v>255</v>
      </c>
      <c r="F879" t="s">
        <v>109</v>
      </c>
      <c r="G879" t="s">
        <v>2218</v>
      </c>
      <c r="H879" s="11">
        <v>451912</v>
      </c>
      <c r="I879" s="11">
        <v>0</v>
      </c>
      <c r="J879" s="11">
        <v>0</v>
      </c>
      <c r="L879" t="s">
        <v>25</v>
      </c>
      <c r="M879" t="s">
        <v>26</v>
      </c>
      <c r="N879" t="s">
        <v>2219</v>
      </c>
      <c r="O879" s="2">
        <v>39904</v>
      </c>
      <c r="P879" s="2">
        <v>41364</v>
      </c>
      <c r="Q879">
        <v>3</v>
      </c>
      <c r="R879" t="s">
        <v>2220</v>
      </c>
    </row>
    <row r="880" spans="1:18" x14ac:dyDescent="0.25">
      <c r="A880" t="s">
        <v>2214</v>
      </c>
      <c r="B880" t="s">
        <v>19</v>
      </c>
      <c r="C880" t="s">
        <v>20</v>
      </c>
      <c r="D880" t="s">
        <v>21</v>
      </c>
      <c r="E880" t="s">
        <v>194</v>
      </c>
      <c r="F880" t="s">
        <v>109</v>
      </c>
      <c r="G880" t="s">
        <v>2215</v>
      </c>
      <c r="H880" s="11">
        <v>661302</v>
      </c>
      <c r="I880" s="11">
        <v>0</v>
      </c>
      <c r="J880" s="11">
        <v>0</v>
      </c>
      <c r="L880" t="s">
        <v>42</v>
      </c>
      <c r="M880" t="s">
        <v>26</v>
      </c>
      <c r="N880" t="s">
        <v>2216</v>
      </c>
      <c r="O880" s="2">
        <v>40087</v>
      </c>
      <c r="P880" s="2">
        <v>41912</v>
      </c>
      <c r="Q880">
        <v>0</v>
      </c>
      <c r="R880" t="s">
        <v>2217</v>
      </c>
    </row>
    <row r="881" spans="1:18" x14ac:dyDescent="0.25">
      <c r="A881" t="s">
        <v>2214</v>
      </c>
      <c r="B881" t="s">
        <v>19</v>
      </c>
      <c r="C881" t="s">
        <v>20</v>
      </c>
      <c r="D881" t="s">
        <v>21</v>
      </c>
      <c r="E881" t="s">
        <v>323</v>
      </c>
      <c r="F881" t="s">
        <v>53</v>
      </c>
      <c r="G881" t="s">
        <v>2221</v>
      </c>
      <c r="H881" s="10">
        <v>373708</v>
      </c>
      <c r="I881" s="10">
        <v>0</v>
      </c>
      <c r="J881" s="10">
        <v>0</v>
      </c>
      <c r="L881" t="s">
        <v>25</v>
      </c>
      <c r="M881" t="s">
        <v>26</v>
      </c>
      <c r="N881" t="s">
        <v>2222</v>
      </c>
      <c r="O881" s="2">
        <v>40269</v>
      </c>
      <c r="P881" s="2">
        <v>41729</v>
      </c>
      <c r="Q881">
        <v>0</v>
      </c>
      <c r="R881" t="s">
        <v>2223</v>
      </c>
    </row>
    <row r="882" spans="1:18" x14ac:dyDescent="0.25">
      <c r="A882" t="s">
        <v>5218</v>
      </c>
      <c r="B882" t="s">
        <v>721</v>
      </c>
      <c r="C882" t="s">
        <v>20</v>
      </c>
      <c r="D882" t="s">
        <v>5165</v>
      </c>
      <c r="E882" t="s">
        <v>5171</v>
      </c>
      <c r="F882" t="s">
        <v>4554</v>
      </c>
      <c r="G882" t="s">
        <v>5219</v>
      </c>
      <c r="H882" s="10">
        <v>390000</v>
      </c>
      <c r="I882" s="10">
        <v>0</v>
      </c>
      <c r="J882" s="10">
        <v>0</v>
      </c>
      <c r="L882" t="s">
        <v>55</v>
      </c>
      <c r="M882" t="s">
        <v>103</v>
      </c>
      <c r="N882" t="s">
        <v>5713</v>
      </c>
      <c r="O882" s="2">
        <v>41913</v>
      </c>
      <c r="P882" s="2">
        <v>43008</v>
      </c>
      <c r="Q882">
        <v>0</v>
      </c>
      <c r="R882" t="s">
        <v>5712</v>
      </c>
    </row>
    <row r="883" spans="1:18" x14ac:dyDescent="0.25">
      <c r="A883" t="s">
        <v>5218</v>
      </c>
      <c r="B883" t="s">
        <v>721</v>
      </c>
      <c r="C883" t="s">
        <v>20</v>
      </c>
      <c r="D883" t="s">
        <v>5280</v>
      </c>
      <c r="E883" t="s">
        <v>5281</v>
      </c>
      <c r="F883" t="s">
        <v>4554</v>
      </c>
      <c r="G883" t="s">
        <v>5219</v>
      </c>
      <c r="H883" s="10">
        <v>360000</v>
      </c>
      <c r="I883" s="10">
        <v>0</v>
      </c>
      <c r="J883" s="10">
        <v>0</v>
      </c>
      <c r="L883" t="s">
        <v>55</v>
      </c>
      <c r="M883" t="s">
        <v>103</v>
      </c>
      <c r="N883" t="s">
        <v>5713</v>
      </c>
      <c r="O883" s="2">
        <v>40817</v>
      </c>
      <c r="P883" s="2">
        <v>41912</v>
      </c>
      <c r="Q883">
        <v>0</v>
      </c>
      <c r="R883" t="s">
        <v>5712</v>
      </c>
    </row>
    <row r="884" spans="1:18" x14ac:dyDescent="0.25">
      <c r="A884" t="s">
        <v>2224</v>
      </c>
      <c r="B884" t="s">
        <v>4464</v>
      </c>
      <c r="C884" t="s">
        <v>20</v>
      </c>
      <c r="D884" t="s">
        <v>51</v>
      </c>
      <c r="E884" t="s">
        <v>186</v>
      </c>
      <c r="F884" t="s">
        <v>109</v>
      </c>
      <c r="G884" t="s">
        <v>2225</v>
      </c>
      <c r="H884" s="10">
        <v>863530</v>
      </c>
      <c r="I884" s="10">
        <v>0</v>
      </c>
      <c r="J884" s="10">
        <v>0</v>
      </c>
      <c r="L884" t="s">
        <v>42</v>
      </c>
      <c r="M884" t="s">
        <v>111</v>
      </c>
      <c r="N884" t="s">
        <v>199</v>
      </c>
      <c r="O884" s="2">
        <v>44470</v>
      </c>
      <c r="P884" s="2">
        <v>46295</v>
      </c>
      <c r="Q884">
        <v>1</v>
      </c>
      <c r="R884" t="s">
        <v>2226</v>
      </c>
    </row>
    <row r="885" spans="1:18" x14ac:dyDescent="0.25">
      <c r="A885" t="s">
        <v>4805</v>
      </c>
      <c r="B885" t="s">
        <v>710</v>
      </c>
      <c r="C885" t="s">
        <v>711</v>
      </c>
      <c r="D885" t="s">
        <v>4557</v>
      </c>
      <c r="E885" t="s">
        <v>4567</v>
      </c>
      <c r="F885" t="s">
        <v>4559</v>
      </c>
      <c r="G885" t="s">
        <v>4806</v>
      </c>
      <c r="H885" s="10">
        <v>265170</v>
      </c>
      <c r="I885" s="10">
        <v>0</v>
      </c>
      <c r="J885" s="10">
        <v>0</v>
      </c>
      <c r="L885" t="s">
        <v>55</v>
      </c>
      <c r="M885" t="s">
        <v>217</v>
      </c>
      <c r="N885" t="s">
        <v>5829</v>
      </c>
      <c r="O885" s="2">
        <v>41730</v>
      </c>
      <c r="P885" s="2">
        <v>42825</v>
      </c>
      <c r="Q885">
        <v>3</v>
      </c>
      <c r="R885" t="s">
        <v>5828</v>
      </c>
    </row>
    <row r="886" spans="1:18" x14ac:dyDescent="0.25">
      <c r="A886" t="s">
        <v>2227</v>
      </c>
      <c r="B886" t="s">
        <v>49</v>
      </c>
      <c r="C886" t="s">
        <v>50</v>
      </c>
      <c r="D886" t="s">
        <v>51</v>
      </c>
      <c r="E886" t="s">
        <v>197</v>
      </c>
      <c r="F886" t="s">
        <v>128</v>
      </c>
      <c r="G886" t="s">
        <v>2231</v>
      </c>
      <c r="H886" s="10">
        <v>730575</v>
      </c>
      <c r="I886" s="10">
        <v>0</v>
      </c>
      <c r="J886" s="10">
        <v>0</v>
      </c>
      <c r="L886" t="s">
        <v>42</v>
      </c>
      <c r="M886" t="s">
        <v>26</v>
      </c>
      <c r="N886" t="s">
        <v>2229</v>
      </c>
      <c r="O886" s="2">
        <v>44652</v>
      </c>
      <c r="P886" s="2">
        <v>46477</v>
      </c>
      <c r="Q886">
        <v>0</v>
      </c>
      <c r="R886" t="s">
        <v>2232</v>
      </c>
    </row>
    <row r="887" spans="1:18" x14ac:dyDescent="0.25">
      <c r="A887" t="s">
        <v>2227</v>
      </c>
      <c r="B887" t="s">
        <v>49</v>
      </c>
      <c r="C887" t="s">
        <v>50</v>
      </c>
      <c r="D887" t="s">
        <v>51</v>
      </c>
      <c r="E887" t="s">
        <v>127</v>
      </c>
      <c r="F887" t="s">
        <v>128</v>
      </c>
      <c r="G887" t="s">
        <v>2228</v>
      </c>
      <c r="H887" s="10">
        <v>523260</v>
      </c>
      <c r="I887" s="10">
        <v>0</v>
      </c>
      <c r="J887" s="10">
        <v>0</v>
      </c>
      <c r="L887" t="s">
        <v>55</v>
      </c>
      <c r="M887" t="s">
        <v>26</v>
      </c>
      <c r="N887" t="s">
        <v>2229</v>
      </c>
      <c r="O887" s="2">
        <v>44835</v>
      </c>
      <c r="P887" s="2">
        <v>45930</v>
      </c>
      <c r="Q887">
        <v>4</v>
      </c>
      <c r="R887" t="s">
        <v>2230</v>
      </c>
    </row>
    <row r="888" spans="1:18" x14ac:dyDescent="0.25">
      <c r="A888" t="s">
        <v>2233</v>
      </c>
      <c r="B888" t="s">
        <v>4492</v>
      </c>
      <c r="C888" t="s">
        <v>38</v>
      </c>
      <c r="D888" t="s">
        <v>21</v>
      </c>
      <c r="E888" t="s">
        <v>194</v>
      </c>
      <c r="F888" t="s">
        <v>47</v>
      </c>
      <c r="G888" t="s">
        <v>2234</v>
      </c>
      <c r="H888" s="11">
        <v>773023</v>
      </c>
      <c r="I888" s="11">
        <v>0</v>
      </c>
      <c r="J888" s="11">
        <v>0</v>
      </c>
      <c r="L888" t="s">
        <v>42</v>
      </c>
      <c r="M888" t="s">
        <v>26</v>
      </c>
      <c r="N888" t="s">
        <v>2235</v>
      </c>
      <c r="O888" s="2">
        <v>40087</v>
      </c>
      <c r="P888" s="2">
        <v>41912</v>
      </c>
      <c r="Q888">
        <v>1</v>
      </c>
      <c r="R888" t="s">
        <v>2236</v>
      </c>
    </row>
    <row r="889" spans="1:18" x14ac:dyDescent="0.25">
      <c r="A889" t="s">
        <v>2237</v>
      </c>
      <c r="B889" t="s">
        <v>4464</v>
      </c>
      <c r="C889" t="s">
        <v>20</v>
      </c>
      <c r="D889" t="s">
        <v>2238</v>
      </c>
      <c r="E889" t="s">
        <v>2239</v>
      </c>
      <c r="F889" t="s">
        <v>128</v>
      </c>
      <c r="G889" t="s">
        <v>2240</v>
      </c>
      <c r="H889" s="10">
        <v>100000</v>
      </c>
      <c r="I889" s="10">
        <v>0</v>
      </c>
      <c r="J889" s="10">
        <v>0</v>
      </c>
      <c r="L889" t="s">
        <v>34</v>
      </c>
      <c r="M889" t="s">
        <v>26</v>
      </c>
      <c r="N889" t="s">
        <v>72</v>
      </c>
      <c r="O889" s="2">
        <v>44256</v>
      </c>
      <c r="P889" s="2">
        <v>44620</v>
      </c>
      <c r="Q889">
        <v>1</v>
      </c>
      <c r="R889" t="s">
        <v>2241</v>
      </c>
    </row>
    <row r="890" spans="1:18" x14ac:dyDescent="0.25">
      <c r="A890" t="s">
        <v>2242</v>
      </c>
      <c r="B890" t="s">
        <v>1890</v>
      </c>
      <c r="C890" t="s">
        <v>20</v>
      </c>
      <c r="D890" t="s">
        <v>139</v>
      </c>
      <c r="E890" t="s">
        <v>140</v>
      </c>
      <c r="F890" t="s">
        <v>141</v>
      </c>
      <c r="G890" t="s">
        <v>2243</v>
      </c>
      <c r="H890" s="10">
        <v>0</v>
      </c>
      <c r="I890" s="10">
        <v>0</v>
      </c>
      <c r="J890" s="10">
        <v>235800</v>
      </c>
      <c r="K890" t="s">
        <v>953</v>
      </c>
      <c r="L890" t="s">
        <v>34</v>
      </c>
      <c r="M890" t="s">
        <v>94</v>
      </c>
      <c r="N890" t="s">
        <v>2244</v>
      </c>
      <c r="O890" s="2">
        <v>44075</v>
      </c>
      <c r="P890" s="2">
        <v>44439</v>
      </c>
      <c r="Q890">
        <v>0</v>
      </c>
      <c r="R890" t="s">
        <v>2245</v>
      </c>
    </row>
    <row r="891" spans="1:18" x14ac:dyDescent="0.25">
      <c r="A891" t="s">
        <v>2246</v>
      </c>
      <c r="B891" t="s">
        <v>157</v>
      </c>
      <c r="C891" t="s">
        <v>38</v>
      </c>
      <c r="D891" t="s">
        <v>51</v>
      </c>
      <c r="E891" t="s">
        <v>158</v>
      </c>
      <c r="F891" t="s">
        <v>128</v>
      </c>
      <c r="G891" t="s">
        <v>2247</v>
      </c>
      <c r="H891" s="10">
        <v>573750</v>
      </c>
      <c r="I891" s="10">
        <v>0</v>
      </c>
      <c r="J891" s="10">
        <v>0</v>
      </c>
      <c r="L891" t="s">
        <v>42</v>
      </c>
      <c r="M891" t="s">
        <v>26</v>
      </c>
      <c r="N891" t="s">
        <v>2248</v>
      </c>
      <c r="O891" s="2">
        <v>43922</v>
      </c>
      <c r="P891" s="2">
        <v>45747</v>
      </c>
      <c r="Q891">
        <v>0</v>
      </c>
      <c r="R891" t="s">
        <v>2249</v>
      </c>
    </row>
    <row r="892" spans="1:18" x14ac:dyDescent="0.25">
      <c r="A892" t="s">
        <v>2250</v>
      </c>
      <c r="B892" t="s">
        <v>19</v>
      </c>
      <c r="C892" t="s">
        <v>20</v>
      </c>
      <c r="D892" t="s">
        <v>21</v>
      </c>
      <c r="E892" t="s">
        <v>323</v>
      </c>
      <c r="F892" t="s">
        <v>32</v>
      </c>
      <c r="G892" t="s">
        <v>2257</v>
      </c>
      <c r="H892" s="10">
        <v>422554</v>
      </c>
      <c r="I892" s="10">
        <v>0</v>
      </c>
      <c r="J892" s="10">
        <v>0</v>
      </c>
      <c r="L892" t="s">
        <v>55</v>
      </c>
      <c r="M892" t="s">
        <v>26</v>
      </c>
      <c r="N892" t="s">
        <v>583</v>
      </c>
      <c r="O892" s="2">
        <v>40269</v>
      </c>
      <c r="P892" s="2">
        <v>41364</v>
      </c>
      <c r="Q892">
        <v>3</v>
      </c>
      <c r="R892" t="s">
        <v>2258</v>
      </c>
    </row>
    <row r="893" spans="1:18" x14ac:dyDescent="0.25">
      <c r="A893" t="s">
        <v>2250</v>
      </c>
      <c r="B893" t="s">
        <v>19</v>
      </c>
      <c r="C893" t="s">
        <v>20</v>
      </c>
      <c r="D893" t="s">
        <v>21</v>
      </c>
      <c r="E893" t="s">
        <v>22</v>
      </c>
      <c r="F893" t="s">
        <v>23</v>
      </c>
      <c r="G893" t="s">
        <v>2251</v>
      </c>
      <c r="H893" s="10">
        <v>457488</v>
      </c>
      <c r="I893" s="10">
        <v>0</v>
      </c>
      <c r="J893" s="10">
        <v>0</v>
      </c>
      <c r="L893" t="s">
        <v>55</v>
      </c>
      <c r="M893" t="s">
        <v>26</v>
      </c>
      <c r="N893" t="s">
        <v>1042</v>
      </c>
      <c r="O893" s="2">
        <v>41365</v>
      </c>
      <c r="P893" s="2">
        <v>42460</v>
      </c>
      <c r="Q893">
        <v>0</v>
      </c>
      <c r="R893" t="s">
        <v>2252</v>
      </c>
    </row>
    <row r="894" spans="1:18" x14ac:dyDescent="0.25">
      <c r="A894" t="s">
        <v>2250</v>
      </c>
      <c r="B894" t="s">
        <v>19</v>
      </c>
      <c r="C894" t="s">
        <v>20</v>
      </c>
      <c r="D894" t="s">
        <v>395</v>
      </c>
      <c r="E894" t="s">
        <v>2253</v>
      </c>
      <c r="F894" t="s">
        <v>23</v>
      </c>
      <c r="G894" t="s">
        <v>2254</v>
      </c>
      <c r="H894" s="10">
        <v>100000</v>
      </c>
      <c r="I894" s="10">
        <v>0</v>
      </c>
      <c r="J894" s="10">
        <v>0</v>
      </c>
      <c r="L894" t="s">
        <v>34</v>
      </c>
      <c r="M894" t="s">
        <v>26</v>
      </c>
      <c r="N894" t="s">
        <v>2255</v>
      </c>
      <c r="O894" s="2">
        <v>40603</v>
      </c>
      <c r="P894" s="2">
        <v>40968</v>
      </c>
      <c r="Q894">
        <v>0</v>
      </c>
      <c r="R894" t="s">
        <v>2256</v>
      </c>
    </row>
    <row r="895" spans="1:18" x14ac:dyDescent="0.25">
      <c r="A895" t="s">
        <v>2259</v>
      </c>
      <c r="B895" t="s">
        <v>19</v>
      </c>
      <c r="C895" t="s">
        <v>20</v>
      </c>
      <c r="D895" t="s">
        <v>21</v>
      </c>
      <c r="E895" t="s">
        <v>377</v>
      </c>
      <c r="F895" t="s">
        <v>23</v>
      </c>
      <c r="G895" t="s">
        <v>2262</v>
      </c>
      <c r="H895" s="10">
        <v>390342</v>
      </c>
      <c r="I895" s="10">
        <v>0</v>
      </c>
      <c r="J895" s="10">
        <v>0</v>
      </c>
      <c r="L895" t="s">
        <v>55</v>
      </c>
      <c r="M895" t="s">
        <v>26</v>
      </c>
      <c r="N895" t="s">
        <v>791</v>
      </c>
      <c r="O895" s="2">
        <v>41183</v>
      </c>
      <c r="P895" s="2">
        <v>42277</v>
      </c>
      <c r="Q895">
        <v>0</v>
      </c>
      <c r="R895" t="s">
        <v>2263</v>
      </c>
    </row>
    <row r="896" spans="1:18" x14ac:dyDescent="0.25">
      <c r="A896" t="s">
        <v>2259</v>
      </c>
      <c r="B896" t="s">
        <v>19</v>
      </c>
      <c r="C896" t="s">
        <v>20</v>
      </c>
      <c r="D896" t="s">
        <v>51</v>
      </c>
      <c r="E896" t="s">
        <v>259</v>
      </c>
      <c r="F896" t="s">
        <v>47</v>
      </c>
      <c r="G896" t="s">
        <v>2260</v>
      </c>
      <c r="H896" s="10">
        <v>1147500</v>
      </c>
      <c r="I896" s="10">
        <v>0</v>
      </c>
      <c r="J896" s="10">
        <v>0</v>
      </c>
      <c r="L896" t="s">
        <v>42</v>
      </c>
      <c r="M896" t="s">
        <v>26</v>
      </c>
      <c r="N896" t="s">
        <v>135</v>
      </c>
      <c r="O896" s="2">
        <v>44105</v>
      </c>
      <c r="P896" s="2">
        <v>45930</v>
      </c>
      <c r="Q896">
        <v>0</v>
      </c>
      <c r="R896" t="s">
        <v>2261</v>
      </c>
    </row>
    <row r="897" spans="1:18" x14ac:dyDescent="0.25">
      <c r="A897" t="s">
        <v>2264</v>
      </c>
      <c r="B897" t="s">
        <v>114</v>
      </c>
      <c r="C897" t="s">
        <v>20</v>
      </c>
      <c r="D897" t="s">
        <v>90</v>
      </c>
      <c r="E897" t="s">
        <v>91</v>
      </c>
      <c r="F897" t="s">
        <v>92</v>
      </c>
      <c r="G897" t="s">
        <v>2265</v>
      </c>
      <c r="H897" s="10">
        <v>416483</v>
      </c>
      <c r="I897" s="10">
        <v>0</v>
      </c>
      <c r="J897" s="10">
        <v>0</v>
      </c>
      <c r="L897" t="s">
        <v>34</v>
      </c>
      <c r="M897" t="s">
        <v>94</v>
      </c>
      <c r="N897" t="s">
        <v>2266</v>
      </c>
      <c r="O897" s="2">
        <v>43983</v>
      </c>
      <c r="P897" s="2">
        <v>44347</v>
      </c>
      <c r="Q897">
        <v>2</v>
      </c>
      <c r="R897" t="s">
        <v>2267</v>
      </c>
    </row>
    <row r="898" spans="1:18" x14ac:dyDescent="0.25">
      <c r="A898" t="s">
        <v>5220</v>
      </c>
      <c r="B898" t="s">
        <v>3140</v>
      </c>
      <c r="C898" t="s">
        <v>20</v>
      </c>
      <c r="D898" t="s">
        <v>5165</v>
      </c>
      <c r="E898" t="s">
        <v>5184</v>
      </c>
      <c r="F898" t="s">
        <v>4554</v>
      </c>
      <c r="G898" t="s">
        <v>5221</v>
      </c>
      <c r="H898" s="10">
        <v>525000</v>
      </c>
      <c r="I898" s="10">
        <v>0</v>
      </c>
      <c r="J898" s="10">
        <v>0</v>
      </c>
      <c r="L898" t="s">
        <v>42</v>
      </c>
      <c r="M898" t="s">
        <v>103</v>
      </c>
      <c r="N898" t="s">
        <v>6088</v>
      </c>
      <c r="O898" s="2">
        <v>42461</v>
      </c>
      <c r="P898" s="2">
        <v>44286</v>
      </c>
      <c r="Q898">
        <v>13</v>
      </c>
      <c r="R898" t="s">
        <v>6087</v>
      </c>
    </row>
    <row r="899" spans="1:18" x14ac:dyDescent="0.25">
      <c r="A899" t="s">
        <v>5402</v>
      </c>
      <c r="B899" t="s">
        <v>4464</v>
      </c>
      <c r="C899" t="s">
        <v>20</v>
      </c>
      <c r="D899" t="s">
        <v>51</v>
      </c>
      <c r="E899" t="s">
        <v>163</v>
      </c>
      <c r="F899" t="s">
        <v>23</v>
      </c>
      <c r="G899" t="s">
        <v>2268</v>
      </c>
      <c r="H899" s="10">
        <v>459000</v>
      </c>
      <c r="I899" s="10">
        <v>0</v>
      </c>
      <c r="J899" s="10">
        <v>0</v>
      </c>
      <c r="L899" t="s">
        <v>55</v>
      </c>
      <c r="M899" t="s">
        <v>26</v>
      </c>
      <c r="N899" t="s">
        <v>72</v>
      </c>
      <c r="O899" s="2">
        <v>43556</v>
      </c>
      <c r="P899" s="2">
        <v>44651</v>
      </c>
      <c r="Q899">
        <v>0</v>
      </c>
      <c r="R899" t="s">
        <v>2269</v>
      </c>
    </row>
    <row r="900" spans="1:18" x14ac:dyDescent="0.25">
      <c r="A900" t="s">
        <v>5402</v>
      </c>
      <c r="B900" t="s">
        <v>4464</v>
      </c>
      <c r="C900" t="s">
        <v>20</v>
      </c>
      <c r="D900" t="s">
        <v>51</v>
      </c>
      <c r="E900" t="s">
        <v>70</v>
      </c>
      <c r="F900" t="s">
        <v>47</v>
      </c>
      <c r="G900" t="s">
        <v>2270</v>
      </c>
      <c r="H900" s="10">
        <v>883576</v>
      </c>
      <c r="I900" s="10">
        <v>0</v>
      </c>
      <c r="J900" s="10">
        <v>0</v>
      </c>
      <c r="L900" t="s">
        <v>42</v>
      </c>
      <c r="M900" t="s">
        <v>26</v>
      </c>
      <c r="N900" t="s">
        <v>72</v>
      </c>
      <c r="O900" s="2">
        <v>45200</v>
      </c>
      <c r="P900" s="2">
        <v>47026</v>
      </c>
      <c r="Q900">
        <v>0</v>
      </c>
      <c r="R900" t="s">
        <v>2271</v>
      </c>
    </row>
    <row r="901" spans="1:18" x14ac:dyDescent="0.25">
      <c r="A901" t="s">
        <v>5403</v>
      </c>
      <c r="B901" t="s">
        <v>114</v>
      </c>
      <c r="C901" t="s">
        <v>20</v>
      </c>
      <c r="D901" t="s">
        <v>51</v>
      </c>
      <c r="E901" t="s">
        <v>116</v>
      </c>
      <c r="F901" t="s">
        <v>53</v>
      </c>
      <c r="G901" t="s">
        <v>2272</v>
      </c>
      <c r="H901" s="10">
        <v>593640</v>
      </c>
      <c r="I901" s="10">
        <v>0</v>
      </c>
      <c r="J901" s="10">
        <v>0</v>
      </c>
      <c r="L901" t="s">
        <v>25</v>
      </c>
      <c r="M901" t="s">
        <v>746</v>
      </c>
      <c r="N901" t="s">
        <v>961</v>
      </c>
      <c r="O901" s="2">
        <v>43374</v>
      </c>
      <c r="P901" s="2">
        <v>44834</v>
      </c>
      <c r="Q901">
        <v>1</v>
      </c>
      <c r="R901" t="s">
        <v>2273</v>
      </c>
    </row>
    <row r="902" spans="1:18" x14ac:dyDescent="0.25">
      <c r="A902" t="s">
        <v>2274</v>
      </c>
      <c r="B902" t="s">
        <v>49</v>
      </c>
      <c r="C902" t="s">
        <v>50</v>
      </c>
      <c r="D902" t="s">
        <v>51</v>
      </c>
      <c r="E902" t="s">
        <v>186</v>
      </c>
      <c r="F902" t="s">
        <v>128</v>
      </c>
      <c r="G902" t="s">
        <v>2284</v>
      </c>
      <c r="H902" s="10">
        <v>956250</v>
      </c>
      <c r="I902" s="10">
        <v>0</v>
      </c>
      <c r="J902" s="10">
        <v>0</v>
      </c>
      <c r="L902" t="s">
        <v>42</v>
      </c>
      <c r="M902" t="s">
        <v>26</v>
      </c>
      <c r="N902" t="s">
        <v>135</v>
      </c>
      <c r="O902" s="2">
        <v>44470</v>
      </c>
      <c r="P902" s="2">
        <v>46295</v>
      </c>
      <c r="Q902">
        <v>0</v>
      </c>
      <c r="R902" t="s">
        <v>2285</v>
      </c>
    </row>
    <row r="903" spans="1:18" x14ac:dyDescent="0.25">
      <c r="A903" t="s">
        <v>2274</v>
      </c>
      <c r="B903" t="s">
        <v>49</v>
      </c>
      <c r="C903" t="s">
        <v>50</v>
      </c>
      <c r="D903" t="s">
        <v>1342</v>
      </c>
      <c r="E903" t="s">
        <v>2278</v>
      </c>
      <c r="F903" t="s">
        <v>32</v>
      </c>
      <c r="G903" t="s">
        <v>2279</v>
      </c>
      <c r="H903" s="10">
        <v>100000</v>
      </c>
      <c r="I903" s="10">
        <v>0</v>
      </c>
      <c r="J903" s="10">
        <v>0</v>
      </c>
      <c r="L903" t="s">
        <v>34</v>
      </c>
      <c r="M903" t="s">
        <v>26</v>
      </c>
      <c r="N903" t="s">
        <v>2280</v>
      </c>
      <c r="O903" s="2">
        <v>44986</v>
      </c>
      <c r="P903" s="2">
        <v>45351</v>
      </c>
      <c r="Q903">
        <v>0</v>
      </c>
      <c r="R903" t="s">
        <v>2281</v>
      </c>
    </row>
    <row r="904" spans="1:18" x14ac:dyDescent="0.25">
      <c r="A904" t="s">
        <v>5092</v>
      </c>
      <c r="B904" t="s">
        <v>49</v>
      </c>
      <c r="C904" t="s">
        <v>50</v>
      </c>
      <c r="D904" t="s">
        <v>21</v>
      </c>
      <c r="E904" t="s">
        <v>549</v>
      </c>
      <c r="F904" t="s">
        <v>47</v>
      </c>
      <c r="G904" t="s">
        <v>2275</v>
      </c>
      <c r="H904" s="10">
        <v>704111</v>
      </c>
      <c r="I904" s="10">
        <v>0</v>
      </c>
      <c r="J904" s="10">
        <v>0</v>
      </c>
      <c r="L904" t="s">
        <v>42</v>
      </c>
      <c r="M904" t="s">
        <v>26</v>
      </c>
      <c r="N904" t="s">
        <v>2276</v>
      </c>
      <c r="O904" s="2">
        <v>42186</v>
      </c>
      <c r="P904" s="2">
        <v>44012</v>
      </c>
      <c r="Q904">
        <v>0</v>
      </c>
      <c r="R904" t="s">
        <v>2277</v>
      </c>
    </row>
    <row r="905" spans="1:18" x14ac:dyDescent="0.25">
      <c r="A905" t="s">
        <v>5404</v>
      </c>
      <c r="B905" t="s">
        <v>49</v>
      </c>
      <c r="C905" t="s">
        <v>50</v>
      </c>
      <c r="D905" t="s">
        <v>51</v>
      </c>
      <c r="E905" t="s">
        <v>158</v>
      </c>
      <c r="F905" t="s">
        <v>128</v>
      </c>
      <c r="G905" t="s">
        <v>2282</v>
      </c>
      <c r="H905" s="10">
        <v>688500</v>
      </c>
      <c r="I905" s="10">
        <v>0</v>
      </c>
      <c r="J905" s="10">
        <v>0</v>
      </c>
      <c r="L905" t="s">
        <v>55</v>
      </c>
      <c r="M905" t="s">
        <v>26</v>
      </c>
      <c r="N905" t="s">
        <v>869</v>
      </c>
      <c r="O905" s="2">
        <v>43922</v>
      </c>
      <c r="P905" s="2">
        <v>45016</v>
      </c>
      <c r="Q905">
        <v>0</v>
      </c>
      <c r="R905" t="s">
        <v>2283</v>
      </c>
    </row>
    <row r="906" spans="1:18" x14ac:dyDescent="0.25">
      <c r="A906" t="s">
        <v>2286</v>
      </c>
      <c r="B906" t="s">
        <v>474</v>
      </c>
      <c r="C906" t="s">
        <v>20</v>
      </c>
      <c r="D906" t="s">
        <v>80</v>
      </c>
      <c r="E906" t="s">
        <v>81</v>
      </c>
      <c r="F906" t="s">
        <v>82</v>
      </c>
      <c r="G906" t="s">
        <v>2287</v>
      </c>
      <c r="H906" s="10">
        <v>200000</v>
      </c>
      <c r="I906" s="10">
        <v>0</v>
      </c>
      <c r="J906" s="10">
        <v>0</v>
      </c>
      <c r="L906" t="s">
        <v>84</v>
      </c>
      <c r="M906" t="s">
        <v>238</v>
      </c>
      <c r="N906" t="s">
        <v>2288</v>
      </c>
      <c r="O906" s="2">
        <v>42979</v>
      </c>
      <c r="P906" s="2">
        <v>43708</v>
      </c>
      <c r="Q906">
        <v>0</v>
      </c>
      <c r="R906" t="s">
        <v>2289</v>
      </c>
    </row>
    <row r="907" spans="1:18" x14ac:dyDescent="0.25">
      <c r="A907" t="s">
        <v>5405</v>
      </c>
      <c r="B907" t="s">
        <v>19</v>
      </c>
      <c r="C907" t="s">
        <v>20</v>
      </c>
      <c r="D907" t="s">
        <v>51</v>
      </c>
      <c r="E907" t="s">
        <v>158</v>
      </c>
      <c r="F907" t="s">
        <v>47</v>
      </c>
      <c r="G907" t="s">
        <v>2290</v>
      </c>
      <c r="H907" s="10">
        <v>984555</v>
      </c>
      <c r="I907" s="10">
        <v>0</v>
      </c>
      <c r="J907" s="10">
        <v>0</v>
      </c>
      <c r="L907" t="s">
        <v>42</v>
      </c>
      <c r="M907" t="s">
        <v>26</v>
      </c>
      <c r="N907" t="s">
        <v>2291</v>
      </c>
      <c r="O907" s="2">
        <v>43922</v>
      </c>
      <c r="P907" s="2">
        <v>45747</v>
      </c>
      <c r="Q907">
        <v>0</v>
      </c>
      <c r="R907" t="s">
        <v>2292</v>
      </c>
    </row>
    <row r="908" spans="1:18" x14ac:dyDescent="0.25">
      <c r="A908" t="s">
        <v>2293</v>
      </c>
      <c r="B908" t="s">
        <v>121</v>
      </c>
      <c r="C908" t="s">
        <v>20</v>
      </c>
      <c r="D908" t="s">
        <v>21</v>
      </c>
      <c r="E908" t="s">
        <v>287</v>
      </c>
      <c r="F908" t="s">
        <v>47</v>
      </c>
      <c r="G908" t="s">
        <v>2296</v>
      </c>
      <c r="H908" s="10">
        <v>326658</v>
      </c>
      <c r="I908" s="10">
        <v>0</v>
      </c>
      <c r="J908" s="10">
        <v>0</v>
      </c>
      <c r="L908" t="s">
        <v>55</v>
      </c>
      <c r="M908" t="s">
        <v>26</v>
      </c>
      <c r="N908" t="s">
        <v>1624</v>
      </c>
      <c r="O908" s="2">
        <v>40634</v>
      </c>
      <c r="P908" s="2">
        <v>41729</v>
      </c>
      <c r="Q908">
        <v>0</v>
      </c>
      <c r="R908" t="s">
        <v>2297</v>
      </c>
    </row>
    <row r="909" spans="1:18" x14ac:dyDescent="0.25">
      <c r="A909" t="s">
        <v>2293</v>
      </c>
      <c r="B909" t="s">
        <v>121</v>
      </c>
      <c r="C909" t="s">
        <v>20</v>
      </c>
      <c r="D909" t="s">
        <v>21</v>
      </c>
      <c r="E909" t="s">
        <v>60</v>
      </c>
      <c r="F909" t="s">
        <v>47</v>
      </c>
      <c r="G909" t="s">
        <v>2296</v>
      </c>
      <c r="H909" s="10">
        <v>567572</v>
      </c>
      <c r="I909" s="10">
        <v>0</v>
      </c>
      <c r="J909" s="10">
        <v>0</v>
      </c>
      <c r="L909" t="s">
        <v>25</v>
      </c>
      <c r="M909" t="s">
        <v>26</v>
      </c>
      <c r="N909" t="s">
        <v>1624</v>
      </c>
      <c r="O909" s="2">
        <v>41821</v>
      </c>
      <c r="P909" s="2">
        <v>43281</v>
      </c>
      <c r="Q909">
        <v>0</v>
      </c>
      <c r="R909" t="s">
        <v>2297</v>
      </c>
    </row>
    <row r="910" spans="1:18" x14ac:dyDescent="0.25">
      <c r="A910" t="s">
        <v>2293</v>
      </c>
      <c r="B910" t="s">
        <v>121</v>
      </c>
      <c r="C910" t="s">
        <v>20</v>
      </c>
      <c r="D910" t="s">
        <v>51</v>
      </c>
      <c r="E910" t="s">
        <v>197</v>
      </c>
      <c r="F910" t="s">
        <v>47</v>
      </c>
      <c r="G910" t="s">
        <v>2294</v>
      </c>
      <c r="H910" s="10">
        <v>738225</v>
      </c>
      <c r="I910" s="10">
        <v>0</v>
      </c>
      <c r="J910" s="10">
        <v>0</v>
      </c>
      <c r="L910" t="s">
        <v>42</v>
      </c>
      <c r="M910" t="s">
        <v>26</v>
      </c>
      <c r="N910" t="s">
        <v>135</v>
      </c>
      <c r="O910" s="2">
        <v>44652</v>
      </c>
      <c r="P910" s="2">
        <v>46477</v>
      </c>
      <c r="Q910">
        <v>0</v>
      </c>
      <c r="R910" t="s">
        <v>2295</v>
      </c>
    </row>
    <row r="911" spans="1:18" x14ac:dyDescent="0.25">
      <c r="A911" t="s">
        <v>2298</v>
      </c>
      <c r="B911" t="s">
        <v>360</v>
      </c>
      <c r="C911" t="s">
        <v>20</v>
      </c>
      <c r="D911" t="s">
        <v>21</v>
      </c>
      <c r="E911" t="s">
        <v>323</v>
      </c>
      <c r="F911" t="s">
        <v>109</v>
      </c>
      <c r="G911" t="s">
        <v>2301</v>
      </c>
      <c r="H911" s="10">
        <v>662867</v>
      </c>
      <c r="I911" s="10">
        <v>0</v>
      </c>
      <c r="J911" s="10">
        <v>0</v>
      </c>
      <c r="L911" t="s">
        <v>42</v>
      </c>
      <c r="M911" t="s">
        <v>26</v>
      </c>
      <c r="N911" t="s">
        <v>2302</v>
      </c>
      <c r="O911" s="2">
        <v>40269</v>
      </c>
      <c r="P911" s="2">
        <v>42094</v>
      </c>
      <c r="Q911">
        <v>3</v>
      </c>
      <c r="R911" t="s">
        <v>2303</v>
      </c>
    </row>
    <row r="912" spans="1:18" x14ac:dyDescent="0.25">
      <c r="A912" t="s">
        <v>2298</v>
      </c>
      <c r="B912" t="s">
        <v>360</v>
      </c>
      <c r="C912" t="s">
        <v>20</v>
      </c>
      <c r="D912" t="s">
        <v>51</v>
      </c>
      <c r="E912" t="s">
        <v>122</v>
      </c>
      <c r="F912" t="s">
        <v>109</v>
      </c>
      <c r="G912" t="s">
        <v>2299</v>
      </c>
      <c r="H912" s="10">
        <v>910350</v>
      </c>
      <c r="I912" s="10">
        <v>0</v>
      </c>
      <c r="J912" s="10">
        <v>0</v>
      </c>
      <c r="L912" t="s">
        <v>42</v>
      </c>
      <c r="M912" t="s">
        <v>26</v>
      </c>
      <c r="N912" t="s">
        <v>788</v>
      </c>
      <c r="O912" s="2">
        <v>43739</v>
      </c>
      <c r="P912" s="2">
        <v>45565</v>
      </c>
      <c r="Q912">
        <v>0</v>
      </c>
      <c r="R912" t="s">
        <v>2300</v>
      </c>
    </row>
    <row r="913" spans="1:18" x14ac:dyDescent="0.25">
      <c r="A913" t="s">
        <v>4811</v>
      </c>
      <c r="B913" t="s">
        <v>4496</v>
      </c>
      <c r="C913" t="s">
        <v>38</v>
      </c>
      <c r="D913" t="s">
        <v>4557</v>
      </c>
      <c r="E913" t="s">
        <v>4567</v>
      </c>
      <c r="F913" t="s">
        <v>4559</v>
      </c>
      <c r="G913" t="s">
        <v>4814</v>
      </c>
      <c r="H913" s="10">
        <v>541155</v>
      </c>
      <c r="I913" s="10">
        <v>0</v>
      </c>
      <c r="J913" s="10">
        <v>0</v>
      </c>
      <c r="L913" t="s">
        <v>55</v>
      </c>
      <c r="M913" t="s">
        <v>217</v>
      </c>
      <c r="N913" t="s">
        <v>5977</v>
      </c>
      <c r="O913" s="2">
        <v>41730</v>
      </c>
      <c r="P913" s="2">
        <v>42825</v>
      </c>
      <c r="Q913">
        <v>3</v>
      </c>
      <c r="R913" t="s">
        <v>5976</v>
      </c>
    </row>
    <row r="914" spans="1:18" x14ac:dyDescent="0.25">
      <c r="A914" t="s">
        <v>4811</v>
      </c>
      <c r="B914" t="s">
        <v>4496</v>
      </c>
      <c r="C914" t="s">
        <v>38</v>
      </c>
      <c r="D914" t="s">
        <v>4557</v>
      </c>
      <c r="E914" t="s">
        <v>4597</v>
      </c>
      <c r="F914" t="s">
        <v>4559</v>
      </c>
      <c r="G914" t="s">
        <v>4813</v>
      </c>
      <c r="H914" s="10">
        <v>429975</v>
      </c>
      <c r="I914" s="10">
        <v>0</v>
      </c>
      <c r="J914" s="10">
        <v>0</v>
      </c>
      <c r="L914" t="s">
        <v>55</v>
      </c>
      <c r="M914" t="s">
        <v>217</v>
      </c>
      <c r="N914" t="s">
        <v>6099</v>
      </c>
      <c r="O914" s="2">
        <v>42095</v>
      </c>
      <c r="P914" s="2">
        <v>43190</v>
      </c>
      <c r="Q914">
        <v>1</v>
      </c>
      <c r="R914" t="s">
        <v>6098</v>
      </c>
    </row>
    <row r="915" spans="1:18" x14ac:dyDescent="0.25">
      <c r="A915" t="s">
        <v>4811</v>
      </c>
      <c r="B915" t="s">
        <v>4496</v>
      </c>
      <c r="C915" t="s">
        <v>38</v>
      </c>
      <c r="D915" t="s">
        <v>4557</v>
      </c>
      <c r="E915" t="s">
        <v>4611</v>
      </c>
      <c r="F915" t="s">
        <v>4559</v>
      </c>
      <c r="G915" t="s">
        <v>4812</v>
      </c>
      <c r="H915" s="10">
        <v>375507</v>
      </c>
      <c r="I915" s="10">
        <v>0</v>
      </c>
      <c r="J915" s="10">
        <v>0</v>
      </c>
      <c r="L915" t="s">
        <v>55</v>
      </c>
      <c r="M915" t="s">
        <v>217</v>
      </c>
      <c r="N915" t="s">
        <v>6086</v>
      </c>
      <c r="O915" s="2">
        <v>42461</v>
      </c>
      <c r="P915" s="2">
        <v>43555</v>
      </c>
      <c r="Q915">
        <v>1</v>
      </c>
      <c r="R915" t="s">
        <v>6085</v>
      </c>
    </row>
    <row r="916" spans="1:18" x14ac:dyDescent="0.25">
      <c r="A916" t="s">
        <v>4815</v>
      </c>
      <c r="B916" t="s">
        <v>4496</v>
      </c>
      <c r="C916" t="s">
        <v>38</v>
      </c>
      <c r="D916" t="s">
        <v>4557</v>
      </c>
      <c r="E916" t="s">
        <v>4581</v>
      </c>
      <c r="F916" t="s">
        <v>4559</v>
      </c>
      <c r="G916" t="s">
        <v>4816</v>
      </c>
      <c r="H916" s="10">
        <v>403623</v>
      </c>
      <c r="I916" s="10">
        <v>48053</v>
      </c>
      <c r="J916" s="10">
        <v>0</v>
      </c>
      <c r="L916" t="s">
        <v>55</v>
      </c>
      <c r="M916" t="s">
        <v>217</v>
      </c>
      <c r="N916" t="s">
        <v>6095</v>
      </c>
      <c r="O916" s="2">
        <v>43556</v>
      </c>
      <c r="P916" s="2">
        <v>44651</v>
      </c>
      <c r="Q916">
        <v>0</v>
      </c>
      <c r="R916" t="s">
        <v>6094</v>
      </c>
    </row>
    <row r="917" spans="1:18" x14ac:dyDescent="0.25">
      <c r="A917" t="s">
        <v>2304</v>
      </c>
      <c r="B917" t="s">
        <v>355</v>
      </c>
      <c r="C917" t="s">
        <v>20</v>
      </c>
      <c r="D917" t="s">
        <v>51</v>
      </c>
      <c r="E917" t="s">
        <v>163</v>
      </c>
      <c r="F917" t="s">
        <v>53</v>
      </c>
      <c r="G917" t="s">
        <v>2305</v>
      </c>
      <c r="H917" s="10">
        <v>520200</v>
      </c>
      <c r="I917" s="10">
        <v>0</v>
      </c>
      <c r="J917" s="10">
        <v>0</v>
      </c>
      <c r="L917" t="s">
        <v>25</v>
      </c>
      <c r="M917" t="s">
        <v>143</v>
      </c>
      <c r="N917" t="s">
        <v>2306</v>
      </c>
      <c r="O917" s="2">
        <v>43556</v>
      </c>
      <c r="P917" s="2">
        <v>45016</v>
      </c>
      <c r="Q917">
        <v>0</v>
      </c>
      <c r="R917" t="s">
        <v>2307</v>
      </c>
    </row>
    <row r="918" spans="1:18" x14ac:dyDescent="0.25">
      <c r="A918" t="s">
        <v>2308</v>
      </c>
      <c r="B918" t="s">
        <v>1105</v>
      </c>
      <c r="C918" t="s">
        <v>138</v>
      </c>
      <c r="D918" t="s">
        <v>39</v>
      </c>
      <c r="E918" t="s">
        <v>40</v>
      </c>
      <c r="F918" t="s">
        <v>47</v>
      </c>
      <c r="G918" t="s">
        <v>2309</v>
      </c>
      <c r="H918" s="10">
        <v>270471</v>
      </c>
      <c r="I918" s="10">
        <v>0</v>
      </c>
      <c r="J918" s="10">
        <v>0</v>
      </c>
      <c r="L918" t="s">
        <v>55</v>
      </c>
      <c r="M918" t="s">
        <v>26</v>
      </c>
      <c r="N918" t="s">
        <v>2310</v>
      </c>
      <c r="O918" s="2">
        <v>40452</v>
      </c>
      <c r="P918" s="2">
        <v>41547</v>
      </c>
      <c r="Q918">
        <v>0</v>
      </c>
      <c r="R918" t="s">
        <v>2311</v>
      </c>
    </row>
    <row r="919" spans="1:18" x14ac:dyDescent="0.25">
      <c r="A919" t="s">
        <v>2312</v>
      </c>
      <c r="B919" t="s">
        <v>672</v>
      </c>
      <c r="C919" t="s">
        <v>50</v>
      </c>
      <c r="D919" t="s">
        <v>51</v>
      </c>
      <c r="E919" t="s">
        <v>163</v>
      </c>
      <c r="F919" t="s">
        <v>32</v>
      </c>
      <c r="G919" t="s">
        <v>2315</v>
      </c>
      <c r="H919" s="10">
        <v>1082475</v>
      </c>
      <c r="I919" s="10">
        <v>0</v>
      </c>
      <c r="J919" s="10">
        <v>0</v>
      </c>
      <c r="L919" t="s">
        <v>42</v>
      </c>
      <c r="M919" t="s">
        <v>26</v>
      </c>
      <c r="N919" t="s">
        <v>2316</v>
      </c>
      <c r="O919" s="2">
        <v>43556</v>
      </c>
      <c r="P919" s="2">
        <v>45382</v>
      </c>
      <c r="Q919">
        <v>1</v>
      </c>
      <c r="R919" t="s">
        <v>2317</v>
      </c>
    </row>
    <row r="920" spans="1:18" x14ac:dyDescent="0.25">
      <c r="A920" t="s">
        <v>2312</v>
      </c>
      <c r="B920" t="s">
        <v>672</v>
      </c>
      <c r="C920" t="s">
        <v>50</v>
      </c>
      <c r="D920" t="s">
        <v>51</v>
      </c>
      <c r="E920" t="s">
        <v>208</v>
      </c>
      <c r="F920" t="s">
        <v>32</v>
      </c>
      <c r="G920" t="s">
        <v>2313</v>
      </c>
      <c r="H920" s="10">
        <v>1101600</v>
      </c>
      <c r="I920" s="10">
        <v>0</v>
      </c>
      <c r="J920" s="10">
        <v>0</v>
      </c>
      <c r="L920" t="s">
        <v>42</v>
      </c>
      <c r="M920" t="s">
        <v>26</v>
      </c>
      <c r="N920" t="s">
        <v>1055</v>
      </c>
      <c r="O920" s="2">
        <v>45383</v>
      </c>
      <c r="P920" s="2">
        <v>47208</v>
      </c>
      <c r="Q920">
        <v>0</v>
      </c>
      <c r="R920" t="s">
        <v>2314</v>
      </c>
    </row>
    <row r="921" spans="1:18" x14ac:dyDescent="0.25">
      <c r="A921" t="s">
        <v>2318</v>
      </c>
      <c r="B921" t="s">
        <v>710</v>
      </c>
      <c r="C921" t="s">
        <v>711</v>
      </c>
      <c r="D921" t="s">
        <v>1027</v>
      </c>
      <c r="E921" t="s">
        <v>1028</v>
      </c>
      <c r="F921" t="s">
        <v>1029</v>
      </c>
      <c r="G921" t="s">
        <v>2319</v>
      </c>
      <c r="H921" s="10">
        <v>100000</v>
      </c>
      <c r="I921" s="10">
        <v>0</v>
      </c>
      <c r="J921" s="10">
        <v>0</v>
      </c>
      <c r="L921" t="s">
        <v>34</v>
      </c>
      <c r="M921" t="s">
        <v>94</v>
      </c>
      <c r="N921" t="s">
        <v>1177</v>
      </c>
      <c r="O921" s="2">
        <v>40087</v>
      </c>
      <c r="P921" s="2">
        <v>40451</v>
      </c>
      <c r="Q921">
        <v>1</v>
      </c>
      <c r="R921" t="s">
        <v>2320</v>
      </c>
    </row>
    <row r="922" spans="1:18" x14ac:dyDescent="0.25">
      <c r="A922" t="s">
        <v>2321</v>
      </c>
      <c r="B922" t="s">
        <v>49</v>
      </c>
      <c r="C922" t="s">
        <v>50</v>
      </c>
      <c r="D922" t="s">
        <v>21</v>
      </c>
      <c r="E922" t="s">
        <v>74</v>
      </c>
      <c r="F922" t="s">
        <v>53</v>
      </c>
      <c r="G922" t="s">
        <v>2325</v>
      </c>
      <c r="H922" s="10">
        <v>318353</v>
      </c>
      <c r="I922" s="10">
        <v>0</v>
      </c>
      <c r="J922" s="10">
        <v>0</v>
      </c>
      <c r="L922" t="s">
        <v>55</v>
      </c>
      <c r="M922" t="s">
        <v>103</v>
      </c>
      <c r="N922" t="s">
        <v>2326</v>
      </c>
      <c r="O922" s="2">
        <v>41000</v>
      </c>
      <c r="P922" s="2">
        <v>42094</v>
      </c>
      <c r="Q922">
        <v>0</v>
      </c>
      <c r="R922" t="s">
        <v>2327</v>
      </c>
    </row>
    <row r="923" spans="1:18" x14ac:dyDescent="0.25">
      <c r="A923" t="s">
        <v>2321</v>
      </c>
      <c r="B923" t="s">
        <v>49</v>
      </c>
      <c r="C923" t="s">
        <v>50</v>
      </c>
      <c r="D923" t="s">
        <v>21</v>
      </c>
      <c r="E923" t="s">
        <v>572</v>
      </c>
      <c r="F923" t="s">
        <v>53</v>
      </c>
      <c r="G923" t="s">
        <v>2332</v>
      </c>
      <c r="H923" s="10">
        <v>632779</v>
      </c>
      <c r="I923" s="10">
        <v>0</v>
      </c>
      <c r="J923" s="10">
        <v>0</v>
      </c>
      <c r="L923" t="s">
        <v>25</v>
      </c>
      <c r="M923" t="s">
        <v>26</v>
      </c>
      <c r="N923" t="s">
        <v>2333</v>
      </c>
      <c r="O923" s="2">
        <v>41730</v>
      </c>
      <c r="P923" s="2">
        <v>43190</v>
      </c>
      <c r="Q923">
        <v>0</v>
      </c>
      <c r="R923" t="s">
        <v>2334</v>
      </c>
    </row>
    <row r="924" spans="1:18" x14ac:dyDescent="0.25">
      <c r="A924" t="s">
        <v>2321</v>
      </c>
      <c r="B924" t="s">
        <v>49</v>
      </c>
      <c r="C924" t="s">
        <v>50</v>
      </c>
      <c r="D924" t="s">
        <v>2328</v>
      </c>
      <c r="E924" t="s">
        <v>2329</v>
      </c>
      <c r="F924" t="s">
        <v>53</v>
      </c>
      <c r="G924" t="s">
        <v>2330</v>
      </c>
      <c r="H924" s="10">
        <v>0</v>
      </c>
      <c r="I924" s="10">
        <v>0</v>
      </c>
      <c r="J924" s="10">
        <v>398301</v>
      </c>
      <c r="K924" t="s">
        <v>2331</v>
      </c>
      <c r="L924" t="s">
        <v>55</v>
      </c>
      <c r="M924" t="s">
        <v>103</v>
      </c>
      <c r="N924" t="s">
        <v>2326</v>
      </c>
      <c r="O924" s="2">
        <v>41913</v>
      </c>
      <c r="P924" s="2">
        <v>43008</v>
      </c>
      <c r="Q924">
        <v>1</v>
      </c>
      <c r="R924" t="s">
        <v>2327</v>
      </c>
    </row>
    <row r="925" spans="1:18" x14ac:dyDescent="0.25">
      <c r="A925" t="s">
        <v>2321</v>
      </c>
      <c r="B925" t="s">
        <v>49</v>
      </c>
      <c r="C925" t="s">
        <v>50</v>
      </c>
      <c r="D925" t="s">
        <v>51</v>
      </c>
      <c r="E925" t="s">
        <v>127</v>
      </c>
      <c r="F925" t="s">
        <v>356</v>
      </c>
      <c r="G925" t="s">
        <v>2322</v>
      </c>
      <c r="H925" s="10">
        <v>864450</v>
      </c>
      <c r="I925" s="10">
        <v>0</v>
      </c>
      <c r="J925" s="10">
        <v>0</v>
      </c>
      <c r="L925" t="s">
        <v>42</v>
      </c>
      <c r="M925" t="s">
        <v>26</v>
      </c>
      <c r="N925" t="s">
        <v>2323</v>
      </c>
      <c r="O925" s="2">
        <v>44835</v>
      </c>
      <c r="P925" s="2">
        <v>46660</v>
      </c>
      <c r="Q925">
        <v>0</v>
      </c>
      <c r="R925" t="s">
        <v>2324</v>
      </c>
    </row>
    <row r="926" spans="1:18" x14ac:dyDescent="0.25">
      <c r="A926" t="s">
        <v>4821</v>
      </c>
      <c r="B926" t="s">
        <v>49</v>
      </c>
      <c r="C926" t="s">
        <v>50</v>
      </c>
      <c r="D926" t="s">
        <v>4557</v>
      </c>
      <c r="E926" t="s">
        <v>4581</v>
      </c>
      <c r="F926" t="s">
        <v>4559</v>
      </c>
      <c r="G926" t="s">
        <v>4822</v>
      </c>
      <c r="H926" s="10">
        <v>312155</v>
      </c>
      <c r="I926" s="10">
        <v>0</v>
      </c>
      <c r="J926" s="10">
        <v>0</v>
      </c>
      <c r="L926" t="s">
        <v>55</v>
      </c>
      <c r="M926" t="s">
        <v>103</v>
      </c>
      <c r="N926" t="s">
        <v>2326</v>
      </c>
      <c r="O926" s="2">
        <v>43556</v>
      </c>
      <c r="P926" s="2">
        <v>44651</v>
      </c>
      <c r="Q926">
        <v>0</v>
      </c>
      <c r="R926" t="s">
        <v>5662</v>
      </c>
    </row>
    <row r="927" spans="1:18" x14ac:dyDescent="0.25">
      <c r="A927" t="s">
        <v>4819</v>
      </c>
      <c r="B927" t="s">
        <v>49</v>
      </c>
      <c r="C927" t="s">
        <v>50</v>
      </c>
      <c r="D927" t="s">
        <v>4557</v>
      </c>
      <c r="E927" t="s">
        <v>4570</v>
      </c>
      <c r="F927" t="s">
        <v>4559</v>
      </c>
      <c r="G927" t="s">
        <v>4820</v>
      </c>
      <c r="H927" s="10">
        <v>489780</v>
      </c>
      <c r="I927" s="10">
        <v>0</v>
      </c>
      <c r="J927" s="10">
        <v>0</v>
      </c>
      <c r="L927" t="s">
        <v>55</v>
      </c>
      <c r="M927" t="s">
        <v>26</v>
      </c>
      <c r="N927" t="s">
        <v>5672</v>
      </c>
      <c r="O927" s="2">
        <v>42826</v>
      </c>
      <c r="P927" s="2">
        <v>43921</v>
      </c>
      <c r="Q927">
        <v>0</v>
      </c>
      <c r="R927" t="s">
        <v>5671</v>
      </c>
    </row>
    <row r="928" spans="1:18" x14ac:dyDescent="0.25">
      <c r="A928" t="s">
        <v>2339</v>
      </c>
      <c r="B928" t="s">
        <v>49</v>
      </c>
      <c r="C928" t="s">
        <v>50</v>
      </c>
      <c r="D928" t="s">
        <v>395</v>
      </c>
      <c r="E928" t="s">
        <v>1935</v>
      </c>
      <c r="F928" t="s">
        <v>53</v>
      </c>
      <c r="G928" t="s">
        <v>2349</v>
      </c>
      <c r="H928" s="10">
        <v>100000</v>
      </c>
      <c r="I928" s="10">
        <v>0</v>
      </c>
      <c r="J928" s="10">
        <v>0</v>
      </c>
      <c r="L928" t="s">
        <v>34</v>
      </c>
      <c r="M928" t="s">
        <v>26</v>
      </c>
      <c r="N928" t="s">
        <v>2341</v>
      </c>
      <c r="O928" s="2">
        <v>39814</v>
      </c>
      <c r="P928" s="2">
        <v>40178</v>
      </c>
      <c r="Q928">
        <v>0</v>
      </c>
      <c r="R928" t="s">
        <v>2350</v>
      </c>
    </row>
    <row r="929" spans="1:18" x14ac:dyDescent="0.25">
      <c r="A929" t="s">
        <v>2339</v>
      </c>
      <c r="B929" t="s">
        <v>49</v>
      </c>
      <c r="C929" t="s">
        <v>50</v>
      </c>
      <c r="D929" t="s">
        <v>45</v>
      </c>
      <c r="E929" t="s">
        <v>46</v>
      </c>
      <c r="F929" t="s">
        <v>53</v>
      </c>
      <c r="G929" t="s">
        <v>2340</v>
      </c>
      <c r="H929" s="10">
        <v>100000</v>
      </c>
      <c r="I929" s="10">
        <v>0</v>
      </c>
      <c r="J929" s="10">
        <v>0</v>
      </c>
      <c r="L929" t="s">
        <v>34</v>
      </c>
      <c r="M929" t="s">
        <v>26</v>
      </c>
      <c r="N929" t="s">
        <v>2341</v>
      </c>
      <c r="O929" s="2">
        <v>40238</v>
      </c>
      <c r="P929" s="2">
        <v>40602</v>
      </c>
      <c r="Q929">
        <v>1</v>
      </c>
      <c r="R929" t="s">
        <v>2342</v>
      </c>
    </row>
    <row r="930" spans="1:18" x14ac:dyDescent="0.25">
      <c r="A930" t="s">
        <v>2339</v>
      </c>
      <c r="B930" t="s">
        <v>49</v>
      </c>
      <c r="C930" t="s">
        <v>50</v>
      </c>
      <c r="D930" t="s">
        <v>51</v>
      </c>
      <c r="E930" t="s">
        <v>186</v>
      </c>
      <c r="F930" t="s">
        <v>109</v>
      </c>
      <c r="G930" t="s">
        <v>2343</v>
      </c>
      <c r="H930" s="10">
        <v>386326</v>
      </c>
      <c r="I930" s="10">
        <v>0</v>
      </c>
      <c r="J930" s="10">
        <v>0</v>
      </c>
      <c r="L930" t="s">
        <v>55</v>
      </c>
      <c r="M930" t="s">
        <v>26</v>
      </c>
      <c r="N930" t="s">
        <v>2344</v>
      </c>
      <c r="O930" s="2">
        <v>44470</v>
      </c>
      <c r="P930" s="2">
        <v>45565</v>
      </c>
      <c r="Q930">
        <v>1</v>
      </c>
      <c r="R930" t="s">
        <v>2345</v>
      </c>
    </row>
    <row r="931" spans="1:18" x14ac:dyDescent="0.25">
      <c r="A931" t="s">
        <v>5093</v>
      </c>
      <c r="B931" t="s">
        <v>49</v>
      </c>
      <c r="C931" t="s">
        <v>50</v>
      </c>
      <c r="D931" t="s">
        <v>21</v>
      </c>
      <c r="E931" t="s">
        <v>549</v>
      </c>
      <c r="F931" t="s">
        <v>109</v>
      </c>
      <c r="G931" t="s">
        <v>2346</v>
      </c>
      <c r="H931" s="10">
        <v>511228</v>
      </c>
      <c r="I931" s="10">
        <v>0</v>
      </c>
      <c r="J931" s="10">
        <v>0</v>
      </c>
      <c r="L931" t="s">
        <v>25</v>
      </c>
      <c r="M931" t="s">
        <v>26</v>
      </c>
      <c r="N931" t="s">
        <v>2347</v>
      </c>
      <c r="O931" s="2">
        <v>42186</v>
      </c>
      <c r="P931" s="2">
        <v>43646</v>
      </c>
      <c r="Q931">
        <v>0</v>
      </c>
      <c r="R931" t="s">
        <v>2348</v>
      </c>
    </row>
    <row r="932" spans="1:18" x14ac:dyDescent="0.25">
      <c r="A932" t="s">
        <v>4817</v>
      </c>
      <c r="B932" t="s">
        <v>49</v>
      </c>
      <c r="C932" t="s">
        <v>50</v>
      </c>
      <c r="D932" t="s">
        <v>4557</v>
      </c>
      <c r="E932" t="s">
        <v>4567</v>
      </c>
      <c r="F932" t="s">
        <v>4559</v>
      </c>
      <c r="G932" t="s">
        <v>4818</v>
      </c>
      <c r="H932" s="10">
        <v>289499</v>
      </c>
      <c r="I932" s="10">
        <v>0</v>
      </c>
      <c r="J932" s="10">
        <v>0</v>
      </c>
      <c r="L932" t="s">
        <v>55</v>
      </c>
      <c r="M932" t="s">
        <v>26</v>
      </c>
      <c r="N932" t="s">
        <v>2130</v>
      </c>
      <c r="O932" s="2">
        <v>41730</v>
      </c>
      <c r="P932" s="2">
        <v>42825</v>
      </c>
      <c r="Q932">
        <v>2</v>
      </c>
      <c r="R932" t="s">
        <v>6074</v>
      </c>
    </row>
    <row r="933" spans="1:18" x14ac:dyDescent="0.25">
      <c r="A933" t="s">
        <v>2351</v>
      </c>
      <c r="B933" t="s">
        <v>240</v>
      </c>
      <c r="C933" t="s">
        <v>20</v>
      </c>
      <c r="D933" t="s">
        <v>21</v>
      </c>
      <c r="E933" t="s">
        <v>194</v>
      </c>
      <c r="F933" t="s">
        <v>109</v>
      </c>
      <c r="G933" t="s">
        <v>2357</v>
      </c>
      <c r="H933" s="11">
        <v>233833</v>
      </c>
      <c r="I933" s="11">
        <v>0</v>
      </c>
      <c r="J933" s="11">
        <v>0</v>
      </c>
      <c r="L933" t="s">
        <v>55</v>
      </c>
      <c r="M933" t="s">
        <v>103</v>
      </c>
      <c r="N933" t="s">
        <v>2358</v>
      </c>
      <c r="O933" s="2">
        <v>40087</v>
      </c>
      <c r="P933" s="2">
        <v>41182</v>
      </c>
      <c r="Q933">
        <v>0</v>
      </c>
      <c r="R933" t="s">
        <v>2359</v>
      </c>
    </row>
    <row r="934" spans="1:18" x14ac:dyDescent="0.25">
      <c r="A934" t="s">
        <v>2351</v>
      </c>
      <c r="B934" t="s">
        <v>240</v>
      </c>
      <c r="C934" t="s">
        <v>20</v>
      </c>
      <c r="D934" t="s">
        <v>51</v>
      </c>
      <c r="E934" t="s">
        <v>158</v>
      </c>
      <c r="F934" t="s">
        <v>109</v>
      </c>
      <c r="G934" t="s">
        <v>2355</v>
      </c>
      <c r="H934" s="10">
        <v>722925</v>
      </c>
      <c r="I934" s="10">
        <v>0</v>
      </c>
      <c r="J934" s="10">
        <v>0</v>
      </c>
      <c r="L934" t="s">
        <v>42</v>
      </c>
      <c r="M934" t="s">
        <v>103</v>
      </c>
      <c r="N934" t="s">
        <v>2353</v>
      </c>
      <c r="O934" s="2">
        <v>43922</v>
      </c>
      <c r="P934" s="2">
        <v>45747</v>
      </c>
      <c r="Q934">
        <v>0</v>
      </c>
      <c r="R934" t="s">
        <v>2356</v>
      </c>
    </row>
    <row r="935" spans="1:18" x14ac:dyDescent="0.25">
      <c r="A935" t="s">
        <v>2351</v>
      </c>
      <c r="B935" t="s">
        <v>240</v>
      </c>
      <c r="C935" t="s">
        <v>20</v>
      </c>
      <c r="D935" t="s">
        <v>51</v>
      </c>
      <c r="E935" t="s">
        <v>70</v>
      </c>
      <c r="F935" t="s">
        <v>109</v>
      </c>
      <c r="G935" t="s">
        <v>2352</v>
      </c>
      <c r="H935" s="10">
        <v>1048050</v>
      </c>
      <c r="I935" s="10">
        <v>0</v>
      </c>
      <c r="J935" s="10">
        <v>0</v>
      </c>
      <c r="L935" t="s">
        <v>42</v>
      </c>
      <c r="M935" t="s">
        <v>103</v>
      </c>
      <c r="N935" t="s">
        <v>2353</v>
      </c>
      <c r="O935" s="2">
        <v>45200</v>
      </c>
      <c r="P935" s="2">
        <v>47026</v>
      </c>
      <c r="Q935">
        <v>0</v>
      </c>
      <c r="R935" t="s">
        <v>2354</v>
      </c>
    </row>
    <row r="936" spans="1:18" x14ac:dyDescent="0.25">
      <c r="A936" t="s">
        <v>2335</v>
      </c>
      <c r="B936" t="s">
        <v>4464</v>
      </c>
      <c r="C936" t="s">
        <v>20</v>
      </c>
      <c r="D936" t="s">
        <v>51</v>
      </c>
      <c r="E936" t="s">
        <v>122</v>
      </c>
      <c r="F936" t="s">
        <v>109</v>
      </c>
      <c r="G936" t="s">
        <v>2336</v>
      </c>
      <c r="H936" s="10">
        <v>665550</v>
      </c>
      <c r="I936" s="10">
        <v>0</v>
      </c>
      <c r="J936" s="10">
        <v>0</v>
      </c>
      <c r="L936" t="s">
        <v>42</v>
      </c>
      <c r="M936" t="s">
        <v>217</v>
      </c>
      <c r="N936" t="s">
        <v>2337</v>
      </c>
      <c r="O936" s="2">
        <v>43739</v>
      </c>
      <c r="P936" s="2">
        <v>45565</v>
      </c>
      <c r="Q936">
        <v>0</v>
      </c>
      <c r="R936" t="s">
        <v>2338</v>
      </c>
    </row>
    <row r="937" spans="1:18" x14ac:dyDescent="0.25">
      <c r="A937" t="s">
        <v>4522</v>
      </c>
      <c r="B937" t="s">
        <v>4518</v>
      </c>
      <c r="C937" t="s">
        <v>20</v>
      </c>
      <c r="D937" t="s">
        <v>4499</v>
      </c>
      <c r="E937" t="s">
        <v>4500</v>
      </c>
      <c r="F937" t="s">
        <v>4501</v>
      </c>
      <c r="G937" t="s">
        <v>4523</v>
      </c>
      <c r="H937" s="12">
        <v>130000</v>
      </c>
      <c r="I937" s="12">
        <v>0</v>
      </c>
      <c r="J937" s="10">
        <v>0</v>
      </c>
      <c r="L937" t="s">
        <v>34</v>
      </c>
      <c r="M937" t="s">
        <v>111</v>
      </c>
      <c r="N937" t="s">
        <v>6178</v>
      </c>
      <c r="O937" s="2">
        <v>45323</v>
      </c>
      <c r="P937" s="2">
        <v>45688</v>
      </c>
      <c r="Q937">
        <v>0</v>
      </c>
      <c r="R937" t="s">
        <v>6179</v>
      </c>
    </row>
    <row r="938" spans="1:18" x14ac:dyDescent="0.25">
      <c r="A938" t="s">
        <v>5124</v>
      </c>
      <c r="B938" t="s">
        <v>4496</v>
      </c>
      <c r="C938" t="s">
        <v>38</v>
      </c>
      <c r="D938" t="s">
        <v>395</v>
      </c>
      <c r="E938" t="s">
        <v>921</v>
      </c>
      <c r="F938" t="s">
        <v>47</v>
      </c>
      <c r="G938" t="s">
        <v>2360</v>
      </c>
      <c r="H938" s="10">
        <v>100000</v>
      </c>
      <c r="I938" s="10">
        <v>0</v>
      </c>
      <c r="J938" s="10">
        <v>0</v>
      </c>
      <c r="L938" t="s">
        <v>34</v>
      </c>
      <c r="M938" t="s">
        <v>26</v>
      </c>
      <c r="N938" t="s">
        <v>2361</v>
      </c>
      <c r="O938" s="2">
        <v>41183</v>
      </c>
      <c r="P938" s="2">
        <v>41547</v>
      </c>
      <c r="Q938">
        <v>1</v>
      </c>
      <c r="R938" t="s">
        <v>2362</v>
      </c>
    </row>
    <row r="939" spans="1:18" x14ac:dyDescent="0.25">
      <c r="A939" t="s">
        <v>2363</v>
      </c>
      <c r="B939" t="s">
        <v>148</v>
      </c>
      <c r="C939" t="s">
        <v>149</v>
      </c>
      <c r="D939" t="s">
        <v>51</v>
      </c>
      <c r="E939" t="s">
        <v>122</v>
      </c>
      <c r="F939" t="s">
        <v>32</v>
      </c>
      <c r="G939" t="s">
        <v>2364</v>
      </c>
      <c r="H939" s="10">
        <v>822376</v>
      </c>
      <c r="I939" s="10">
        <v>0</v>
      </c>
      <c r="J939" s="10">
        <v>0</v>
      </c>
      <c r="L939" t="s">
        <v>42</v>
      </c>
      <c r="M939" t="s">
        <v>26</v>
      </c>
      <c r="N939" t="s">
        <v>2365</v>
      </c>
      <c r="O939" s="2">
        <v>43739</v>
      </c>
      <c r="P939" s="2">
        <v>45565</v>
      </c>
      <c r="Q939">
        <v>0</v>
      </c>
      <c r="R939" t="s">
        <v>2366</v>
      </c>
    </row>
    <row r="940" spans="1:18" x14ac:dyDescent="0.25">
      <c r="A940" t="s">
        <v>5481</v>
      </c>
      <c r="B940" t="s">
        <v>107</v>
      </c>
      <c r="C940" t="s">
        <v>38</v>
      </c>
      <c r="D940" t="s">
        <v>2369</v>
      </c>
      <c r="E940" t="s">
        <v>2370</v>
      </c>
      <c r="F940" t="s">
        <v>356</v>
      </c>
      <c r="G940" t="s">
        <v>2371</v>
      </c>
      <c r="H940" s="10">
        <v>100000</v>
      </c>
      <c r="I940" s="10">
        <v>0</v>
      </c>
      <c r="J940" s="10">
        <v>0</v>
      </c>
      <c r="L940" t="s">
        <v>34</v>
      </c>
      <c r="M940" t="s">
        <v>94</v>
      </c>
      <c r="N940" t="s">
        <v>2372</v>
      </c>
      <c r="O940" s="2">
        <v>44986</v>
      </c>
      <c r="P940" s="2">
        <v>45351</v>
      </c>
      <c r="Q940">
        <v>1</v>
      </c>
      <c r="R940" t="s">
        <v>2373</v>
      </c>
    </row>
    <row r="941" spans="1:18" x14ac:dyDescent="0.25">
      <c r="A941" t="s">
        <v>5406</v>
      </c>
      <c r="B941" t="s">
        <v>107</v>
      </c>
      <c r="C941" t="s">
        <v>38</v>
      </c>
      <c r="D941" t="s">
        <v>51</v>
      </c>
      <c r="E941" t="s">
        <v>223</v>
      </c>
      <c r="F941" t="s">
        <v>356</v>
      </c>
      <c r="G941" t="s">
        <v>2367</v>
      </c>
      <c r="H941" s="10">
        <v>677026</v>
      </c>
      <c r="I941" s="10">
        <v>0</v>
      </c>
      <c r="J941" s="10">
        <v>0</v>
      </c>
      <c r="L941" t="s">
        <v>42</v>
      </c>
      <c r="M941" t="s">
        <v>26</v>
      </c>
      <c r="N941" t="s">
        <v>961</v>
      </c>
      <c r="O941" s="2">
        <v>45566</v>
      </c>
      <c r="P941" s="2">
        <v>47391</v>
      </c>
      <c r="Q941">
        <v>0</v>
      </c>
      <c r="R941" t="s">
        <v>2368</v>
      </c>
    </row>
    <row r="942" spans="1:18" x14ac:dyDescent="0.25">
      <c r="A942" t="s">
        <v>2374</v>
      </c>
      <c r="B942" t="s">
        <v>710</v>
      </c>
      <c r="C942" t="s">
        <v>711</v>
      </c>
      <c r="D942" t="s">
        <v>21</v>
      </c>
      <c r="E942" t="s">
        <v>255</v>
      </c>
      <c r="F942" t="s">
        <v>32</v>
      </c>
      <c r="G942" t="s">
        <v>2375</v>
      </c>
      <c r="H942" s="11">
        <v>388829</v>
      </c>
      <c r="I942" s="11">
        <v>0</v>
      </c>
      <c r="J942" s="11">
        <v>0</v>
      </c>
      <c r="L942" t="s">
        <v>55</v>
      </c>
      <c r="M942" t="s">
        <v>26</v>
      </c>
      <c r="N942" t="s">
        <v>2376</v>
      </c>
      <c r="O942" s="2">
        <v>39904</v>
      </c>
      <c r="P942" s="2">
        <v>40999</v>
      </c>
      <c r="Q942">
        <v>6</v>
      </c>
      <c r="R942" t="s">
        <v>2377</v>
      </c>
    </row>
    <row r="943" spans="1:18" x14ac:dyDescent="0.25">
      <c r="A943" t="s">
        <v>2378</v>
      </c>
      <c r="B943" t="s">
        <v>19</v>
      </c>
      <c r="C943" t="s">
        <v>20</v>
      </c>
      <c r="D943" t="s">
        <v>21</v>
      </c>
      <c r="E943" t="s">
        <v>172</v>
      </c>
      <c r="F943" t="s">
        <v>32</v>
      </c>
      <c r="G943" t="s">
        <v>2383</v>
      </c>
      <c r="H943" s="10">
        <v>851814</v>
      </c>
      <c r="I943" s="10">
        <v>0</v>
      </c>
      <c r="J943" s="10">
        <v>0</v>
      </c>
      <c r="L943" t="s">
        <v>42</v>
      </c>
      <c r="M943" t="s">
        <v>26</v>
      </c>
      <c r="N943" t="s">
        <v>2384</v>
      </c>
      <c r="O943" s="2">
        <v>40452</v>
      </c>
      <c r="P943" s="2">
        <v>42185</v>
      </c>
      <c r="Q943">
        <v>0</v>
      </c>
      <c r="R943" t="s">
        <v>2385</v>
      </c>
    </row>
    <row r="944" spans="1:18" x14ac:dyDescent="0.25">
      <c r="A944" t="s">
        <v>2378</v>
      </c>
      <c r="B944" t="s">
        <v>19</v>
      </c>
      <c r="C944" t="s">
        <v>20</v>
      </c>
      <c r="D944" t="s">
        <v>51</v>
      </c>
      <c r="E944" t="s">
        <v>167</v>
      </c>
      <c r="F944" t="s">
        <v>32</v>
      </c>
      <c r="G944" t="s">
        <v>2381</v>
      </c>
      <c r="H944" s="10">
        <v>1032750</v>
      </c>
      <c r="I944" s="10">
        <v>0</v>
      </c>
      <c r="J944" s="10">
        <v>0</v>
      </c>
      <c r="L944" t="s">
        <v>42</v>
      </c>
      <c r="M944" t="s">
        <v>26</v>
      </c>
      <c r="N944" t="s">
        <v>1329</v>
      </c>
      <c r="O944" s="2">
        <v>45017</v>
      </c>
      <c r="P944" s="2">
        <v>46843</v>
      </c>
      <c r="Q944">
        <v>1</v>
      </c>
      <c r="R944" t="s">
        <v>2382</v>
      </c>
    </row>
    <row r="945" spans="1:18" x14ac:dyDescent="0.25">
      <c r="A945" t="s">
        <v>2378</v>
      </c>
      <c r="B945" t="s">
        <v>19</v>
      </c>
      <c r="C945" t="s">
        <v>20</v>
      </c>
      <c r="D945" t="s">
        <v>51</v>
      </c>
      <c r="E945" t="s">
        <v>223</v>
      </c>
      <c r="F945" t="s">
        <v>47</v>
      </c>
      <c r="G945" t="s">
        <v>2379</v>
      </c>
      <c r="H945" s="10">
        <v>1147500</v>
      </c>
      <c r="I945" s="10">
        <v>0</v>
      </c>
      <c r="J945" s="10">
        <v>0</v>
      </c>
      <c r="L945" t="s">
        <v>42</v>
      </c>
      <c r="M945" t="s">
        <v>26</v>
      </c>
      <c r="N945" t="s">
        <v>118</v>
      </c>
      <c r="O945" s="2">
        <v>45566</v>
      </c>
      <c r="P945" s="2">
        <v>47391</v>
      </c>
      <c r="Q945">
        <v>0</v>
      </c>
      <c r="R945" t="s">
        <v>2380</v>
      </c>
    </row>
    <row r="946" spans="1:18" x14ac:dyDescent="0.25">
      <c r="A946" t="s">
        <v>2386</v>
      </c>
      <c r="B946" t="s">
        <v>240</v>
      </c>
      <c r="C946" t="s">
        <v>20</v>
      </c>
      <c r="D946" t="s">
        <v>21</v>
      </c>
      <c r="E946" t="s">
        <v>194</v>
      </c>
      <c r="F946" t="s">
        <v>32</v>
      </c>
      <c r="G946" t="s">
        <v>2387</v>
      </c>
      <c r="H946" s="11">
        <v>769785</v>
      </c>
      <c r="I946" s="11">
        <v>0</v>
      </c>
      <c r="J946" s="11">
        <v>0</v>
      </c>
      <c r="L946" t="s">
        <v>25</v>
      </c>
      <c r="M946" t="s">
        <v>26</v>
      </c>
      <c r="N946" t="s">
        <v>2384</v>
      </c>
      <c r="O946" s="2">
        <v>40087</v>
      </c>
      <c r="P946" s="2">
        <v>41547</v>
      </c>
      <c r="Q946">
        <v>0</v>
      </c>
      <c r="R946" t="s">
        <v>2388</v>
      </c>
    </row>
    <row r="947" spans="1:18" x14ac:dyDescent="0.25">
      <c r="A947" t="s">
        <v>2386</v>
      </c>
      <c r="B947" t="s">
        <v>240</v>
      </c>
      <c r="C947" t="s">
        <v>20</v>
      </c>
      <c r="D947" t="s">
        <v>21</v>
      </c>
      <c r="E947" t="s">
        <v>172</v>
      </c>
      <c r="F947" t="s">
        <v>47</v>
      </c>
      <c r="G947" t="s">
        <v>2391</v>
      </c>
      <c r="H947" s="10">
        <v>748696</v>
      </c>
      <c r="I947" s="10">
        <v>0</v>
      </c>
      <c r="J947" s="10">
        <v>0</v>
      </c>
      <c r="L947" t="s">
        <v>42</v>
      </c>
      <c r="M947" t="s">
        <v>26</v>
      </c>
      <c r="N947" t="s">
        <v>2384</v>
      </c>
      <c r="O947" s="2">
        <v>40452</v>
      </c>
      <c r="P947" s="2">
        <v>42185</v>
      </c>
      <c r="Q947">
        <v>0</v>
      </c>
      <c r="R947" t="s">
        <v>2392</v>
      </c>
    </row>
    <row r="948" spans="1:18" x14ac:dyDescent="0.25">
      <c r="A948" t="s">
        <v>2386</v>
      </c>
      <c r="B948" t="s">
        <v>240</v>
      </c>
      <c r="C948" t="s">
        <v>20</v>
      </c>
      <c r="D948" t="s">
        <v>21</v>
      </c>
      <c r="E948" t="s">
        <v>534</v>
      </c>
      <c r="F948" t="s">
        <v>47</v>
      </c>
      <c r="G948" t="s">
        <v>2393</v>
      </c>
      <c r="H948" s="10">
        <v>295309</v>
      </c>
      <c r="I948" s="10">
        <v>0</v>
      </c>
      <c r="J948" s="10">
        <v>0</v>
      </c>
      <c r="L948" t="s">
        <v>55</v>
      </c>
      <c r="M948" t="s">
        <v>26</v>
      </c>
      <c r="N948" t="s">
        <v>2394</v>
      </c>
      <c r="O948" s="2">
        <v>40817</v>
      </c>
      <c r="P948" s="2">
        <v>41912</v>
      </c>
      <c r="Q948">
        <v>0</v>
      </c>
      <c r="R948" t="s">
        <v>2395</v>
      </c>
    </row>
    <row r="949" spans="1:18" x14ac:dyDescent="0.25">
      <c r="A949" t="s">
        <v>2386</v>
      </c>
      <c r="B949" t="s">
        <v>240</v>
      </c>
      <c r="C949" t="s">
        <v>20</v>
      </c>
      <c r="D949" t="s">
        <v>21</v>
      </c>
      <c r="E949" t="s">
        <v>108</v>
      </c>
      <c r="F949" t="s">
        <v>47</v>
      </c>
      <c r="G949" t="s">
        <v>2387</v>
      </c>
      <c r="H949" s="10">
        <v>1075723</v>
      </c>
      <c r="I949" s="10">
        <v>0</v>
      </c>
      <c r="J949" s="10">
        <v>0</v>
      </c>
      <c r="L949" t="s">
        <v>42</v>
      </c>
      <c r="M949" t="s">
        <v>26</v>
      </c>
      <c r="N949" t="s">
        <v>2384</v>
      </c>
      <c r="O949" s="2">
        <v>41548</v>
      </c>
      <c r="P949" s="2">
        <v>42185</v>
      </c>
      <c r="Q949">
        <v>0</v>
      </c>
      <c r="R949" t="s">
        <v>2388</v>
      </c>
    </row>
    <row r="950" spans="1:18" x14ac:dyDescent="0.25">
      <c r="A950" t="s">
        <v>2386</v>
      </c>
      <c r="B950" t="s">
        <v>240</v>
      </c>
      <c r="C950" t="s">
        <v>20</v>
      </c>
      <c r="D950" t="s">
        <v>51</v>
      </c>
      <c r="E950" t="s">
        <v>70</v>
      </c>
      <c r="F950" t="s">
        <v>47</v>
      </c>
      <c r="G950" t="s">
        <v>2389</v>
      </c>
      <c r="H950" s="10">
        <v>906526</v>
      </c>
      <c r="I950" s="10">
        <v>0</v>
      </c>
      <c r="J950" s="10">
        <v>0</v>
      </c>
      <c r="L950" t="s">
        <v>42</v>
      </c>
      <c r="M950" t="s">
        <v>26</v>
      </c>
      <c r="N950" t="s">
        <v>308</v>
      </c>
      <c r="O950" s="2">
        <v>45200</v>
      </c>
      <c r="P950" s="2">
        <v>47026</v>
      </c>
      <c r="Q950">
        <v>0</v>
      </c>
      <c r="R950" t="s">
        <v>2390</v>
      </c>
    </row>
    <row r="951" spans="1:18" x14ac:dyDescent="0.25">
      <c r="A951" t="s">
        <v>5408</v>
      </c>
      <c r="B951" t="s">
        <v>5069</v>
      </c>
      <c r="C951" t="s">
        <v>38</v>
      </c>
      <c r="D951" t="s">
        <v>51</v>
      </c>
      <c r="E951" t="s">
        <v>223</v>
      </c>
      <c r="F951" t="s">
        <v>32</v>
      </c>
      <c r="G951" t="s">
        <v>2396</v>
      </c>
      <c r="H951" s="10">
        <v>940950</v>
      </c>
      <c r="I951" s="10">
        <v>0</v>
      </c>
      <c r="J951" s="10">
        <v>0</v>
      </c>
      <c r="L951" t="s">
        <v>42</v>
      </c>
      <c r="M951" t="s">
        <v>26</v>
      </c>
      <c r="N951" t="s">
        <v>2397</v>
      </c>
      <c r="O951" s="2">
        <v>45566</v>
      </c>
      <c r="P951" s="2">
        <v>47391</v>
      </c>
      <c r="Q951">
        <v>0</v>
      </c>
      <c r="R951" t="s">
        <v>2398</v>
      </c>
    </row>
    <row r="952" spans="1:18" x14ac:dyDescent="0.25">
      <c r="A952" t="s">
        <v>5408</v>
      </c>
      <c r="B952" t="s">
        <v>5069</v>
      </c>
      <c r="C952" t="s">
        <v>38</v>
      </c>
      <c r="D952" t="s">
        <v>30</v>
      </c>
      <c r="E952" t="s">
        <v>228</v>
      </c>
      <c r="F952" t="s">
        <v>128</v>
      </c>
      <c r="G952" t="s">
        <v>2396</v>
      </c>
      <c r="H952" s="10">
        <v>100000</v>
      </c>
      <c r="I952" s="10">
        <v>0</v>
      </c>
      <c r="J952" s="10">
        <v>0</v>
      </c>
      <c r="L952" t="s">
        <v>34</v>
      </c>
      <c r="M952" t="s">
        <v>26</v>
      </c>
      <c r="N952" t="s">
        <v>2397</v>
      </c>
      <c r="O952" s="2">
        <v>45566</v>
      </c>
      <c r="P952" s="2">
        <v>47391</v>
      </c>
      <c r="Q952">
        <v>0</v>
      </c>
      <c r="R952" t="s">
        <v>2398</v>
      </c>
    </row>
    <row r="953" spans="1:18" x14ac:dyDescent="0.25">
      <c r="A953" t="s">
        <v>5408</v>
      </c>
      <c r="B953" t="s">
        <v>5069</v>
      </c>
      <c r="C953" t="s">
        <v>38</v>
      </c>
      <c r="D953" t="s">
        <v>64</v>
      </c>
      <c r="E953" t="s">
        <v>2402</v>
      </c>
      <c r="F953" t="s">
        <v>23</v>
      </c>
      <c r="G953" t="s">
        <v>2403</v>
      </c>
      <c r="H953" s="10">
        <v>100000</v>
      </c>
      <c r="I953" s="10">
        <v>0</v>
      </c>
      <c r="J953" s="10">
        <v>0</v>
      </c>
      <c r="L953" t="s">
        <v>34</v>
      </c>
      <c r="M953" t="s">
        <v>26</v>
      </c>
      <c r="N953" t="s">
        <v>2400</v>
      </c>
      <c r="O953" s="2">
        <v>45352</v>
      </c>
      <c r="P953" s="2">
        <v>45716</v>
      </c>
      <c r="Q953">
        <v>0</v>
      </c>
      <c r="R953" t="s">
        <v>2404</v>
      </c>
    </row>
    <row r="954" spans="1:18" x14ac:dyDescent="0.25">
      <c r="A954" t="s">
        <v>5407</v>
      </c>
      <c r="B954" t="s">
        <v>5069</v>
      </c>
      <c r="C954" t="s">
        <v>38</v>
      </c>
      <c r="D954" t="s">
        <v>51</v>
      </c>
      <c r="E954" t="s">
        <v>406</v>
      </c>
      <c r="F954" t="s">
        <v>47</v>
      </c>
      <c r="G954" t="s">
        <v>2399</v>
      </c>
      <c r="H954" s="10">
        <v>765000</v>
      </c>
      <c r="I954" s="10">
        <v>0</v>
      </c>
      <c r="J954" s="10">
        <v>0</v>
      </c>
      <c r="L954" t="s">
        <v>42</v>
      </c>
      <c r="M954" t="s">
        <v>26</v>
      </c>
      <c r="N954" t="s">
        <v>2400</v>
      </c>
      <c r="O954" s="2">
        <v>43191</v>
      </c>
      <c r="P954" s="2">
        <v>45016</v>
      </c>
      <c r="Q954">
        <v>0</v>
      </c>
      <c r="R954" t="s">
        <v>2401</v>
      </c>
    </row>
    <row r="955" spans="1:18" x14ac:dyDescent="0.25">
      <c r="A955" t="s">
        <v>6180</v>
      </c>
      <c r="B955" t="s">
        <v>59</v>
      </c>
      <c r="C955" t="s">
        <v>38</v>
      </c>
      <c r="D955" t="s">
        <v>5056</v>
      </c>
      <c r="E955" t="s">
        <v>5057</v>
      </c>
      <c r="F955" t="s">
        <v>5058</v>
      </c>
      <c r="G955" t="s">
        <v>6181</v>
      </c>
      <c r="H955" s="12">
        <v>384683</v>
      </c>
      <c r="I955" s="12">
        <v>0</v>
      </c>
      <c r="J955" s="10">
        <v>0</v>
      </c>
      <c r="L955" t="s">
        <v>25</v>
      </c>
      <c r="M955" t="s">
        <v>103</v>
      </c>
      <c r="N955" t="s">
        <v>6182</v>
      </c>
      <c r="O955" s="2">
        <v>42278</v>
      </c>
      <c r="P955" s="2">
        <v>43738</v>
      </c>
      <c r="Q955">
        <v>0</v>
      </c>
      <c r="R955" t="s">
        <v>6183</v>
      </c>
    </row>
    <row r="956" spans="1:18" x14ac:dyDescent="0.25">
      <c r="A956" t="s">
        <v>4825</v>
      </c>
      <c r="B956" t="s">
        <v>114</v>
      </c>
      <c r="C956" t="s">
        <v>20</v>
      </c>
      <c r="D956" t="s">
        <v>4557</v>
      </c>
      <c r="E956" t="s">
        <v>4602</v>
      </c>
      <c r="F956" t="s">
        <v>4559</v>
      </c>
      <c r="G956" t="s">
        <v>4826</v>
      </c>
      <c r="H956" s="10">
        <v>404580</v>
      </c>
      <c r="I956" s="10">
        <v>0</v>
      </c>
      <c r="J956" s="10">
        <v>0</v>
      </c>
      <c r="L956" t="s">
        <v>55</v>
      </c>
      <c r="M956" t="s">
        <v>103</v>
      </c>
      <c r="N956" t="s">
        <v>5641</v>
      </c>
      <c r="O956" s="2">
        <v>41365</v>
      </c>
      <c r="P956" s="2">
        <v>42460</v>
      </c>
      <c r="Q956">
        <v>1</v>
      </c>
      <c r="R956" t="s">
        <v>5640</v>
      </c>
    </row>
    <row r="957" spans="1:18" x14ac:dyDescent="0.25">
      <c r="A957" t="s">
        <v>4823</v>
      </c>
      <c r="B957" t="s">
        <v>114</v>
      </c>
      <c r="C957" t="s">
        <v>20</v>
      </c>
      <c r="D957" t="s">
        <v>4557</v>
      </c>
      <c r="E957" t="s">
        <v>4570</v>
      </c>
      <c r="F957" t="s">
        <v>4559</v>
      </c>
      <c r="G957" t="s">
        <v>4824</v>
      </c>
      <c r="H957" s="10">
        <v>358647</v>
      </c>
      <c r="I957" s="10">
        <v>0</v>
      </c>
      <c r="J957" s="10">
        <v>0</v>
      </c>
      <c r="L957" t="s">
        <v>55</v>
      </c>
      <c r="M957" t="s">
        <v>204</v>
      </c>
      <c r="N957" t="s">
        <v>5997</v>
      </c>
      <c r="O957" s="2">
        <v>42826</v>
      </c>
      <c r="P957" s="2">
        <v>43921</v>
      </c>
      <c r="Q957">
        <v>1</v>
      </c>
      <c r="R957" t="s">
        <v>5996</v>
      </c>
    </row>
    <row r="958" spans="1:18" x14ac:dyDescent="0.25">
      <c r="A958" t="s">
        <v>2405</v>
      </c>
      <c r="B958" t="s">
        <v>499</v>
      </c>
      <c r="C958" t="s">
        <v>311</v>
      </c>
      <c r="D958" t="s">
        <v>21</v>
      </c>
      <c r="E958" t="s">
        <v>108</v>
      </c>
      <c r="F958" t="s">
        <v>47</v>
      </c>
      <c r="G958" t="s">
        <v>2414</v>
      </c>
      <c r="H958" s="10">
        <v>627147</v>
      </c>
      <c r="I958" s="10">
        <v>0</v>
      </c>
      <c r="J958" s="10">
        <v>0</v>
      </c>
      <c r="L958" t="s">
        <v>42</v>
      </c>
      <c r="M958" t="s">
        <v>26</v>
      </c>
      <c r="N958" t="s">
        <v>1048</v>
      </c>
      <c r="O958" s="2">
        <v>41548</v>
      </c>
      <c r="P958" s="2">
        <v>43373</v>
      </c>
      <c r="Q958">
        <v>0</v>
      </c>
      <c r="R958" t="s">
        <v>2415</v>
      </c>
    </row>
    <row r="959" spans="1:18" x14ac:dyDescent="0.25">
      <c r="A959" t="s">
        <v>2405</v>
      </c>
      <c r="B959" t="s">
        <v>499</v>
      </c>
      <c r="C959" t="s">
        <v>311</v>
      </c>
      <c r="D959" t="s">
        <v>51</v>
      </c>
      <c r="E959" t="s">
        <v>163</v>
      </c>
      <c r="F959" t="s">
        <v>128</v>
      </c>
      <c r="G959" t="s">
        <v>2406</v>
      </c>
      <c r="H959" s="10">
        <v>918000</v>
      </c>
      <c r="I959" s="10">
        <v>0</v>
      </c>
      <c r="J959" s="10">
        <v>0</v>
      </c>
      <c r="L959" t="s">
        <v>42</v>
      </c>
      <c r="M959" t="s">
        <v>26</v>
      </c>
      <c r="N959" t="s">
        <v>72</v>
      </c>
      <c r="O959" s="2">
        <v>43556</v>
      </c>
      <c r="P959" s="2">
        <v>45382</v>
      </c>
      <c r="Q959">
        <v>0</v>
      </c>
      <c r="R959" t="s">
        <v>2407</v>
      </c>
    </row>
    <row r="960" spans="1:18" x14ac:dyDescent="0.25">
      <c r="A960" t="s">
        <v>2405</v>
      </c>
      <c r="B960" t="s">
        <v>499</v>
      </c>
      <c r="C960" t="s">
        <v>311</v>
      </c>
      <c r="D960" t="s">
        <v>51</v>
      </c>
      <c r="E960" t="s">
        <v>70</v>
      </c>
      <c r="F960" t="s">
        <v>47</v>
      </c>
      <c r="G960" t="s">
        <v>2410</v>
      </c>
      <c r="H960" s="10">
        <v>1093950</v>
      </c>
      <c r="I960" s="10">
        <v>0</v>
      </c>
      <c r="J960" s="10">
        <v>0</v>
      </c>
      <c r="L960" t="s">
        <v>42</v>
      </c>
      <c r="M960" t="s">
        <v>26</v>
      </c>
      <c r="N960" t="s">
        <v>72</v>
      </c>
      <c r="O960" s="2">
        <v>45200</v>
      </c>
      <c r="P960" s="2">
        <v>47026</v>
      </c>
      <c r="Q960">
        <v>0</v>
      </c>
      <c r="R960" t="s">
        <v>2411</v>
      </c>
    </row>
    <row r="961" spans="1:18" x14ac:dyDescent="0.25">
      <c r="A961" t="s">
        <v>2405</v>
      </c>
      <c r="B961" t="s">
        <v>499</v>
      </c>
      <c r="C961" t="s">
        <v>311</v>
      </c>
      <c r="D961" t="s">
        <v>51</v>
      </c>
      <c r="E961" t="s">
        <v>208</v>
      </c>
      <c r="F961" t="s">
        <v>47</v>
      </c>
      <c r="G961" t="s">
        <v>2412</v>
      </c>
      <c r="H961" s="10">
        <v>1090125</v>
      </c>
      <c r="I961" s="10">
        <v>0</v>
      </c>
      <c r="J961" s="10">
        <v>0</v>
      </c>
      <c r="L961" t="s">
        <v>42</v>
      </c>
      <c r="M961" t="s">
        <v>26</v>
      </c>
      <c r="N961" t="s">
        <v>293</v>
      </c>
      <c r="O961" s="2">
        <v>45383</v>
      </c>
      <c r="P961" s="2">
        <v>47208</v>
      </c>
      <c r="Q961">
        <v>1</v>
      </c>
      <c r="R961" t="s">
        <v>2413</v>
      </c>
    </row>
    <row r="962" spans="1:18" x14ac:dyDescent="0.25">
      <c r="A962" t="s">
        <v>2405</v>
      </c>
      <c r="B962" t="s">
        <v>499</v>
      </c>
      <c r="C962" t="s">
        <v>311</v>
      </c>
      <c r="D962" t="s">
        <v>30</v>
      </c>
      <c r="E962" t="s">
        <v>31</v>
      </c>
      <c r="F962" t="s">
        <v>23</v>
      </c>
      <c r="G962" t="s">
        <v>2408</v>
      </c>
      <c r="H962" s="10">
        <v>100000</v>
      </c>
      <c r="I962" s="10">
        <v>0</v>
      </c>
      <c r="J962" s="10">
        <v>0</v>
      </c>
      <c r="L962" t="s">
        <v>34</v>
      </c>
      <c r="M962" t="s">
        <v>26</v>
      </c>
      <c r="N962" t="s">
        <v>72</v>
      </c>
      <c r="O962" s="2">
        <v>44986</v>
      </c>
      <c r="P962" s="2">
        <v>45351</v>
      </c>
      <c r="Q962">
        <v>0</v>
      </c>
      <c r="R962" t="s">
        <v>2409</v>
      </c>
    </row>
    <row r="963" spans="1:18" x14ac:dyDescent="0.25">
      <c r="A963" t="s">
        <v>4827</v>
      </c>
      <c r="B963" t="s">
        <v>114</v>
      </c>
      <c r="C963" t="s">
        <v>20</v>
      </c>
      <c r="D963" t="s">
        <v>4557</v>
      </c>
      <c r="E963" t="s">
        <v>4597</v>
      </c>
      <c r="F963" t="s">
        <v>4559</v>
      </c>
      <c r="G963" t="s">
        <v>4828</v>
      </c>
      <c r="H963" s="10">
        <v>378611</v>
      </c>
      <c r="I963" s="10">
        <v>0</v>
      </c>
      <c r="J963" s="10">
        <v>0</v>
      </c>
      <c r="L963" t="s">
        <v>55</v>
      </c>
      <c r="M963" t="s">
        <v>204</v>
      </c>
      <c r="N963" t="s">
        <v>5792</v>
      </c>
      <c r="O963" s="2">
        <v>42095</v>
      </c>
      <c r="P963" s="2">
        <v>43190</v>
      </c>
      <c r="Q963">
        <v>0</v>
      </c>
      <c r="R963" t="s">
        <v>5791</v>
      </c>
    </row>
    <row r="964" spans="1:18" x14ac:dyDescent="0.25">
      <c r="A964" t="s">
        <v>2416</v>
      </c>
      <c r="B964" t="s">
        <v>4464</v>
      </c>
      <c r="C964" t="s">
        <v>20</v>
      </c>
      <c r="D964" t="s">
        <v>21</v>
      </c>
      <c r="E964" t="s">
        <v>534</v>
      </c>
      <c r="F964" t="s">
        <v>109</v>
      </c>
      <c r="G964" t="s">
        <v>2417</v>
      </c>
      <c r="H964" s="10">
        <v>198878</v>
      </c>
      <c r="I964" s="10">
        <v>0</v>
      </c>
      <c r="J964" s="10">
        <v>0</v>
      </c>
      <c r="L964" t="s">
        <v>55</v>
      </c>
      <c r="M964" t="s">
        <v>26</v>
      </c>
      <c r="N964" t="s">
        <v>2418</v>
      </c>
      <c r="O964" s="2">
        <v>40817</v>
      </c>
      <c r="P964" s="2">
        <v>41912</v>
      </c>
      <c r="Q964">
        <v>0</v>
      </c>
      <c r="R964" t="s">
        <v>2419</v>
      </c>
    </row>
    <row r="965" spans="1:18" x14ac:dyDescent="0.25">
      <c r="A965" t="s">
        <v>5410</v>
      </c>
      <c r="B965" t="s">
        <v>4464</v>
      </c>
      <c r="C965" t="s">
        <v>20</v>
      </c>
      <c r="D965" t="s">
        <v>51</v>
      </c>
      <c r="E965" t="s">
        <v>158</v>
      </c>
      <c r="F965" t="s">
        <v>109</v>
      </c>
      <c r="G965" t="s">
        <v>2422</v>
      </c>
      <c r="H965" s="10">
        <v>925650</v>
      </c>
      <c r="I965" s="10">
        <v>0</v>
      </c>
      <c r="J965" s="10">
        <v>0</v>
      </c>
      <c r="L965" t="s">
        <v>42</v>
      </c>
      <c r="M965" t="s">
        <v>26</v>
      </c>
      <c r="N965" t="s">
        <v>2423</v>
      </c>
      <c r="O965" s="2">
        <v>43922</v>
      </c>
      <c r="P965" s="2">
        <v>45747</v>
      </c>
      <c r="Q965">
        <v>0</v>
      </c>
      <c r="R965" t="s">
        <v>2424</v>
      </c>
    </row>
    <row r="966" spans="1:18" x14ac:dyDescent="0.25">
      <c r="A966" t="s">
        <v>5411</v>
      </c>
      <c r="B966" t="s">
        <v>4464</v>
      </c>
      <c r="C966" t="s">
        <v>20</v>
      </c>
      <c r="D966" t="s">
        <v>51</v>
      </c>
      <c r="E966" t="s">
        <v>127</v>
      </c>
      <c r="F966" t="s">
        <v>109</v>
      </c>
      <c r="G966" t="s">
        <v>2420</v>
      </c>
      <c r="H966" s="10">
        <v>887400</v>
      </c>
      <c r="I966" s="10">
        <v>0</v>
      </c>
      <c r="J966" s="10">
        <v>0</v>
      </c>
      <c r="L966" t="s">
        <v>42</v>
      </c>
      <c r="M966" t="s">
        <v>26</v>
      </c>
      <c r="N966" t="s">
        <v>225</v>
      </c>
      <c r="O966" s="2">
        <v>44835</v>
      </c>
      <c r="P966" s="2">
        <v>46660</v>
      </c>
      <c r="Q966">
        <v>0</v>
      </c>
      <c r="R966" t="s">
        <v>2421</v>
      </c>
    </row>
    <row r="967" spans="1:18" x14ac:dyDescent="0.25">
      <c r="A967" t="s">
        <v>5409</v>
      </c>
      <c r="B967" t="s">
        <v>4464</v>
      </c>
      <c r="C967" t="s">
        <v>20</v>
      </c>
      <c r="D967" t="s">
        <v>51</v>
      </c>
      <c r="E967" t="s">
        <v>163</v>
      </c>
      <c r="F967" t="s">
        <v>109</v>
      </c>
      <c r="G967" t="s">
        <v>2425</v>
      </c>
      <c r="H967" s="10">
        <v>780300</v>
      </c>
      <c r="I967" s="10">
        <v>0</v>
      </c>
      <c r="J967" s="10">
        <v>0</v>
      </c>
      <c r="L967" t="s">
        <v>42</v>
      </c>
      <c r="M967" t="s">
        <v>26</v>
      </c>
      <c r="N967" t="s">
        <v>2423</v>
      </c>
      <c r="O967" s="2">
        <v>43556</v>
      </c>
      <c r="P967" s="2">
        <v>45382</v>
      </c>
      <c r="Q967">
        <v>1</v>
      </c>
      <c r="R967" t="s">
        <v>2426</v>
      </c>
    </row>
    <row r="968" spans="1:18" x14ac:dyDescent="0.25">
      <c r="A968" t="s">
        <v>4829</v>
      </c>
      <c r="B968" t="s">
        <v>4624</v>
      </c>
      <c r="C968" t="s">
        <v>38</v>
      </c>
      <c r="D968" t="s">
        <v>4557</v>
      </c>
      <c r="E968" t="s">
        <v>4597</v>
      </c>
      <c r="F968" t="s">
        <v>4559</v>
      </c>
      <c r="G968" t="s">
        <v>4830</v>
      </c>
      <c r="H968" s="10">
        <v>252318</v>
      </c>
      <c r="I968" s="10">
        <v>0</v>
      </c>
      <c r="J968" s="10">
        <v>0</v>
      </c>
      <c r="L968" t="s">
        <v>55</v>
      </c>
      <c r="M968" t="s">
        <v>26</v>
      </c>
      <c r="N968" t="s">
        <v>5586</v>
      </c>
      <c r="O968" s="2">
        <v>42095</v>
      </c>
      <c r="P968" s="2">
        <v>43190</v>
      </c>
      <c r="Q968">
        <v>0</v>
      </c>
      <c r="R968" t="s">
        <v>5585</v>
      </c>
    </row>
    <row r="969" spans="1:18" x14ac:dyDescent="0.25">
      <c r="A969" t="s">
        <v>2427</v>
      </c>
      <c r="B969" t="s">
        <v>114</v>
      </c>
      <c r="C969" t="s">
        <v>20</v>
      </c>
      <c r="D969" t="s">
        <v>51</v>
      </c>
      <c r="E969" t="s">
        <v>259</v>
      </c>
      <c r="F969" t="s">
        <v>32</v>
      </c>
      <c r="G969" t="s">
        <v>2428</v>
      </c>
      <c r="H969" s="10">
        <v>1005976</v>
      </c>
      <c r="I969" s="10">
        <v>0</v>
      </c>
      <c r="J969" s="10">
        <v>0</v>
      </c>
      <c r="L969" t="s">
        <v>42</v>
      </c>
      <c r="M969" t="s">
        <v>26</v>
      </c>
      <c r="N969" t="s">
        <v>2429</v>
      </c>
      <c r="O969" s="2">
        <v>44105</v>
      </c>
      <c r="P969" s="2">
        <v>45930</v>
      </c>
      <c r="Q969">
        <v>1</v>
      </c>
      <c r="R969" t="s">
        <v>2430</v>
      </c>
    </row>
    <row r="970" spans="1:18" x14ac:dyDescent="0.25">
      <c r="A970" t="s">
        <v>2431</v>
      </c>
      <c r="B970" t="s">
        <v>2437</v>
      </c>
      <c r="C970" t="s">
        <v>20</v>
      </c>
      <c r="D970" t="s">
        <v>21</v>
      </c>
      <c r="E970" t="s">
        <v>287</v>
      </c>
      <c r="F970" t="s">
        <v>53</v>
      </c>
      <c r="G970" t="s">
        <v>2438</v>
      </c>
      <c r="H970" s="10">
        <v>120364</v>
      </c>
      <c r="I970" s="10">
        <v>0</v>
      </c>
      <c r="J970" s="10">
        <v>0</v>
      </c>
      <c r="L970" t="s">
        <v>84</v>
      </c>
      <c r="M970" t="s">
        <v>204</v>
      </c>
      <c r="N970" t="s">
        <v>2435</v>
      </c>
      <c r="O970" s="2">
        <v>40634</v>
      </c>
      <c r="P970" s="2">
        <v>41364</v>
      </c>
      <c r="Q970">
        <v>0</v>
      </c>
      <c r="R970" t="s">
        <v>2439</v>
      </c>
    </row>
    <row r="971" spans="1:18" x14ac:dyDescent="0.25">
      <c r="A971" t="s">
        <v>2431</v>
      </c>
      <c r="B971" t="s">
        <v>19</v>
      </c>
      <c r="C971" t="s">
        <v>20</v>
      </c>
      <c r="D971" t="s">
        <v>2432</v>
      </c>
      <c r="E971" t="s">
        <v>2433</v>
      </c>
      <c r="F971" t="s">
        <v>53</v>
      </c>
      <c r="G971" t="s">
        <v>2434</v>
      </c>
      <c r="H971" s="10">
        <v>100000</v>
      </c>
      <c r="I971" s="10">
        <v>0</v>
      </c>
      <c r="J971" s="10">
        <v>0</v>
      </c>
      <c r="L971" t="s">
        <v>34</v>
      </c>
      <c r="M971" t="s">
        <v>204</v>
      </c>
      <c r="N971" t="s">
        <v>2435</v>
      </c>
      <c r="O971" s="2">
        <v>41548</v>
      </c>
      <c r="P971" s="2">
        <v>41912</v>
      </c>
      <c r="Q971">
        <v>0</v>
      </c>
      <c r="R971" t="s">
        <v>2436</v>
      </c>
    </row>
    <row r="972" spans="1:18" x14ac:dyDescent="0.25">
      <c r="A972" t="s">
        <v>2440</v>
      </c>
      <c r="B972" t="s">
        <v>4492</v>
      </c>
      <c r="C972" t="s">
        <v>38</v>
      </c>
      <c r="D972" t="s">
        <v>21</v>
      </c>
      <c r="E972" t="s">
        <v>323</v>
      </c>
      <c r="F972" t="s">
        <v>32</v>
      </c>
      <c r="G972" t="s">
        <v>2447</v>
      </c>
      <c r="H972" s="10">
        <v>821551</v>
      </c>
      <c r="I972" s="10">
        <v>0</v>
      </c>
      <c r="J972" s="10">
        <v>0</v>
      </c>
      <c r="L972" t="s">
        <v>42</v>
      </c>
      <c r="M972" t="s">
        <v>143</v>
      </c>
      <c r="N972" t="s">
        <v>2442</v>
      </c>
      <c r="O972" s="2">
        <v>40269</v>
      </c>
      <c r="P972" s="2">
        <v>42094</v>
      </c>
      <c r="Q972">
        <v>0</v>
      </c>
      <c r="R972" t="s">
        <v>2448</v>
      </c>
    </row>
    <row r="973" spans="1:18" x14ac:dyDescent="0.25">
      <c r="A973" t="s">
        <v>2440</v>
      </c>
      <c r="B973" t="s">
        <v>4492</v>
      </c>
      <c r="C973" t="s">
        <v>38</v>
      </c>
      <c r="D973" t="s">
        <v>21</v>
      </c>
      <c r="E973" t="s">
        <v>287</v>
      </c>
      <c r="F973" t="s">
        <v>32</v>
      </c>
      <c r="G973" t="s">
        <v>2441</v>
      </c>
      <c r="H973" s="10">
        <v>742371</v>
      </c>
      <c r="I973" s="10">
        <v>0</v>
      </c>
      <c r="J973" s="10">
        <v>0</v>
      </c>
      <c r="L973" t="s">
        <v>42</v>
      </c>
      <c r="M973" t="s">
        <v>143</v>
      </c>
      <c r="N973" t="s">
        <v>2442</v>
      </c>
      <c r="O973" s="2">
        <v>40634</v>
      </c>
      <c r="P973" s="2">
        <v>42460</v>
      </c>
      <c r="Q973">
        <v>0</v>
      </c>
      <c r="R973" t="s">
        <v>2443</v>
      </c>
    </row>
    <row r="974" spans="1:18" x14ac:dyDescent="0.25">
      <c r="A974" t="s">
        <v>2440</v>
      </c>
      <c r="B974" t="s">
        <v>4492</v>
      </c>
      <c r="C974" t="s">
        <v>38</v>
      </c>
      <c r="D974" t="s">
        <v>21</v>
      </c>
      <c r="E974" t="s">
        <v>108</v>
      </c>
      <c r="F974" t="s">
        <v>32</v>
      </c>
      <c r="G974" t="s">
        <v>2444</v>
      </c>
      <c r="H974" s="10">
        <v>514295</v>
      </c>
      <c r="I974" s="10">
        <v>0</v>
      </c>
      <c r="J974" s="10">
        <v>0</v>
      </c>
      <c r="L974" t="s">
        <v>42</v>
      </c>
      <c r="M974" t="s">
        <v>143</v>
      </c>
      <c r="N974" t="s">
        <v>2445</v>
      </c>
      <c r="O974" s="2">
        <v>41548</v>
      </c>
      <c r="P974" s="2">
        <v>43281</v>
      </c>
      <c r="Q974">
        <v>0</v>
      </c>
      <c r="R974" t="s">
        <v>2446</v>
      </c>
    </row>
    <row r="975" spans="1:18" x14ac:dyDescent="0.25">
      <c r="A975" t="s">
        <v>2449</v>
      </c>
      <c r="B975" t="s">
        <v>49</v>
      </c>
      <c r="C975" t="s">
        <v>50</v>
      </c>
      <c r="D975" t="s">
        <v>51</v>
      </c>
      <c r="E975" t="s">
        <v>122</v>
      </c>
      <c r="F975" t="s">
        <v>53</v>
      </c>
      <c r="G975" t="s">
        <v>2450</v>
      </c>
      <c r="H975" s="10">
        <v>856800</v>
      </c>
      <c r="I975" s="10">
        <v>0</v>
      </c>
      <c r="J975" s="10">
        <v>0</v>
      </c>
      <c r="L975" t="s">
        <v>25</v>
      </c>
      <c r="M975" t="s">
        <v>217</v>
      </c>
      <c r="N975" t="s">
        <v>2451</v>
      </c>
      <c r="O975" s="2">
        <v>43739</v>
      </c>
      <c r="P975" s="2">
        <v>45199</v>
      </c>
      <c r="Q975">
        <v>0</v>
      </c>
      <c r="R975" t="s">
        <v>2452</v>
      </c>
    </row>
    <row r="976" spans="1:18" x14ac:dyDescent="0.25">
      <c r="A976" t="s">
        <v>5412</v>
      </c>
      <c r="B976" t="s">
        <v>114</v>
      </c>
      <c r="C976" t="s">
        <v>20</v>
      </c>
      <c r="D976" t="s">
        <v>51</v>
      </c>
      <c r="E976" t="s">
        <v>158</v>
      </c>
      <c r="F976" t="s">
        <v>53</v>
      </c>
      <c r="G976" t="s">
        <v>2455</v>
      </c>
      <c r="H976" s="10">
        <v>455176</v>
      </c>
      <c r="I976" s="10">
        <v>0</v>
      </c>
      <c r="J976" s="10">
        <v>0</v>
      </c>
      <c r="L976" t="s">
        <v>25</v>
      </c>
      <c r="M976" t="s">
        <v>26</v>
      </c>
      <c r="N976" t="s">
        <v>1051</v>
      </c>
      <c r="O976" s="2">
        <v>43922</v>
      </c>
      <c r="P976" s="2">
        <v>45382</v>
      </c>
      <c r="Q976">
        <v>0</v>
      </c>
      <c r="R976" t="s">
        <v>2456</v>
      </c>
    </row>
    <row r="977" spans="1:18" x14ac:dyDescent="0.25">
      <c r="A977" t="s">
        <v>5413</v>
      </c>
      <c r="B977" t="s">
        <v>114</v>
      </c>
      <c r="C977" t="s">
        <v>20</v>
      </c>
      <c r="D977" t="s">
        <v>51</v>
      </c>
      <c r="E977" t="s">
        <v>223</v>
      </c>
      <c r="F977" t="s">
        <v>23</v>
      </c>
      <c r="G977" t="s">
        <v>2453</v>
      </c>
      <c r="H977" s="10">
        <v>753526</v>
      </c>
      <c r="I977" s="10">
        <v>0</v>
      </c>
      <c r="J977" s="10">
        <v>0</v>
      </c>
      <c r="L977" t="s">
        <v>42</v>
      </c>
      <c r="M977" t="s">
        <v>26</v>
      </c>
      <c r="N977" t="s">
        <v>135</v>
      </c>
      <c r="O977" s="2">
        <v>45566</v>
      </c>
      <c r="P977" s="2">
        <v>47391</v>
      </c>
      <c r="Q977">
        <v>0</v>
      </c>
      <c r="R977" t="s">
        <v>2454</v>
      </c>
    </row>
    <row r="978" spans="1:18" x14ac:dyDescent="0.25">
      <c r="A978" t="s">
        <v>2457</v>
      </c>
      <c r="B978" t="s">
        <v>49</v>
      </c>
      <c r="C978" t="s">
        <v>50</v>
      </c>
      <c r="D978" t="s">
        <v>1337</v>
      </c>
      <c r="E978" t="s">
        <v>2458</v>
      </c>
      <c r="F978" t="s">
        <v>32</v>
      </c>
      <c r="G978" t="s">
        <v>2459</v>
      </c>
      <c r="H978" s="10">
        <v>0</v>
      </c>
      <c r="I978" s="10">
        <v>0</v>
      </c>
      <c r="J978" s="10">
        <v>631358</v>
      </c>
      <c r="K978" t="s">
        <v>1340</v>
      </c>
      <c r="L978" t="s">
        <v>42</v>
      </c>
      <c r="M978" t="s">
        <v>26</v>
      </c>
      <c r="N978" t="s">
        <v>1073</v>
      </c>
      <c r="O978" s="2">
        <v>41730</v>
      </c>
      <c r="P978" s="2">
        <v>43555</v>
      </c>
      <c r="Q978">
        <v>0</v>
      </c>
      <c r="R978" t="s">
        <v>2460</v>
      </c>
    </row>
    <row r="979" spans="1:18" x14ac:dyDescent="0.25">
      <c r="A979" t="s">
        <v>4833</v>
      </c>
      <c r="B979" t="s">
        <v>114</v>
      </c>
      <c r="C979" t="s">
        <v>20</v>
      </c>
      <c r="D979" t="s">
        <v>4557</v>
      </c>
      <c r="E979" t="s">
        <v>4581</v>
      </c>
      <c r="F979" t="s">
        <v>4559</v>
      </c>
      <c r="G979" t="s">
        <v>4834</v>
      </c>
      <c r="H979" s="10">
        <v>318560</v>
      </c>
      <c r="I979" s="10">
        <v>0</v>
      </c>
      <c r="J979" s="10">
        <v>0</v>
      </c>
      <c r="L979" t="s">
        <v>55</v>
      </c>
      <c r="M979" t="s">
        <v>103</v>
      </c>
      <c r="N979" t="s">
        <v>5548</v>
      </c>
      <c r="O979" s="2">
        <v>43556</v>
      </c>
      <c r="P979" s="2">
        <v>44651</v>
      </c>
      <c r="Q979">
        <v>1</v>
      </c>
      <c r="R979" t="s">
        <v>5547</v>
      </c>
    </row>
    <row r="980" spans="1:18" x14ac:dyDescent="0.25">
      <c r="A980" t="s">
        <v>4831</v>
      </c>
      <c r="B980" t="s">
        <v>114</v>
      </c>
      <c r="C980" t="s">
        <v>20</v>
      </c>
      <c r="D980" t="s">
        <v>4557</v>
      </c>
      <c r="E980" t="s">
        <v>4611</v>
      </c>
      <c r="F980" t="s">
        <v>4559</v>
      </c>
      <c r="G980" t="s">
        <v>4832</v>
      </c>
      <c r="H980" s="10">
        <v>357480</v>
      </c>
      <c r="I980" s="10">
        <v>0</v>
      </c>
      <c r="J980" s="10">
        <v>0</v>
      </c>
      <c r="L980" t="s">
        <v>55</v>
      </c>
      <c r="M980" t="s">
        <v>103</v>
      </c>
      <c r="N980" t="s">
        <v>5933</v>
      </c>
      <c r="O980" s="2">
        <v>42461</v>
      </c>
      <c r="P980" s="2">
        <v>43555</v>
      </c>
      <c r="Q980">
        <v>1</v>
      </c>
      <c r="R980" t="s">
        <v>5932</v>
      </c>
    </row>
    <row r="981" spans="1:18" x14ac:dyDescent="0.25">
      <c r="A981" t="s">
        <v>5265</v>
      </c>
      <c r="B981" t="s">
        <v>157</v>
      </c>
      <c r="C981" t="s">
        <v>38</v>
      </c>
      <c r="D981" t="s">
        <v>5248</v>
      </c>
      <c r="E981" t="s">
        <v>5252</v>
      </c>
      <c r="F981" t="s">
        <v>4554</v>
      </c>
      <c r="G981" t="s">
        <v>5266</v>
      </c>
      <c r="H981" s="10">
        <v>165000</v>
      </c>
      <c r="I981" s="10">
        <v>0</v>
      </c>
      <c r="J981" s="10">
        <v>0</v>
      </c>
      <c r="L981" t="s">
        <v>55</v>
      </c>
      <c r="M981" t="s">
        <v>103</v>
      </c>
      <c r="N981" t="s">
        <v>5902</v>
      </c>
      <c r="O981" s="2">
        <v>40817</v>
      </c>
      <c r="P981" s="2">
        <v>41912</v>
      </c>
      <c r="Q981">
        <v>0</v>
      </c>
      <c r="R981" t="s">
        <v>5901</v>
      </c>
    </row>
    <row r="982" spans="1:18" x14ac:dyDescent="0.25">
      <c r="A982" t="s">
        <v>2461</v>
      </c>
      <c r="B982" t="s">
        <v>4492</v>
      </c>
      <c r="C982" t="s">
        <v>38</v>
      </c>
      <c r="D982" t="s">
        <v>21</v>
      </c>
      <c r="E982" t="s">
        <v>172</v>
      </c>
      <c r="F982" t="s">
        <v>32</v>
      </c>
      <c r="G982" t="s">
        <v>2462</v>
      </c>
      <c r="H982" s="10">
        <v>421824</v>
      </c>
      <c r="I982" s="10">
        <v>0</v>
      </c>
      <c r="J982" s="10">
        <v>0</v>
      </c>
      <c r="L982" t="s">
        <v>55</v>
      </c>
      <c r="M982" t="s">
        <v>26</v>
      </c>
      <c r="N982" t="s">
        <v>2463</v>
      </c>
      <c r="O982" s="2">
        <v>40725</v>
      </c>
      <c r="P982" s="2">
        <v>42551</v>
      </c>
      <c r="Q982">
        <v>0</v>
      </c>
      <c r="R982" t="s">
        <v>2464</v>
      </c>
    </row>
    <row r="983" spans="1:18" x14ac:dyDescent="0.25">
      <c r="A983" t="s">
        <v>5414</v>
      </c>
      <c r="B983" t="s">
        <v>240</v>
      </c>
      <c r="C983" t="s">
        <v>20</v>
      </c>
      <c r="D983" t="s">
        <v>51</v>
      </c>
      <c r="E983" t="s">
        <v>127</v>
      </c>
      <c r="F983" t="s">
        <v>356</v>
      </c>
      <c r="G983" t="s">
        <v>2465</v>
      </c>
      <c r="H983" s="10">
        <v>657900</v>
      </c>
      <c r="I983" s="10">
        <v>0</v>
      </c>
      <c r="J983" s="10">
        <v>0</v>
      </c>
      <c r="L983" t="s">
        <v>55</v>
      </c>
      <c r="M983" t="s">
        <v>103</v>
      </c>
      <c r="N983" t="s">
        <v>2466</v>
      </c>
      <c r="O983" s="2">
        <v>44835</v>
      </c>
      <c r="P983" s="2">
        <v>45930</v>
      </c>
      <c r="Q983">
        <v>0</v>
      </c>
      <c r="R983" t="s">
        <v>2467</v>
      </c>
    </row>
    <row r="984" spans="1:18" x14ac:dyDescent="0.25">
      <c r="A984" t="s">
        <v>6184</v>
      </c>
      <c r="B984" t="s">
        <v>474</v>
      </c>
      <c r="C984" t="s">
        <v>20</v>
      </c>
      <c r="D984" t="s">
        <v>5136</v>
      </c>
      <c r="E984" t="s">
        <v>5137</v>
      </c>
      <c r="F984" t="s">
        <v>5138</v>
      </c>
      <c r="G984" t="s">
        <v>5141</v>
      </c>
      <c r="H984" s="12">
        <v>673199</v>
      </c>
      <c r="I984" s="12">
        <v>0</v>
      </c>
      <c r="J984" s="10">
        <v>0</v>
      </c>
      <c r="L984" t="s">
        <v>55</v>
      </c>
      <c r="M984" t="s">
        <v>94</v>
      </c>
      <c r="N984" t="s">
        <v>6185</v>
      </c>
      <c r="O984" s="2">
        <v>43466</v>
      </c>
      <c r="P984" s="2">
        <v>44561</v>
      </c>
      <c r="Q984">
        <v>0</v>
      </c>
      <c r="R984" t="s">
        <v>6186</v>
      </c>
    </row>
    <row r="985" spans="1:18" x14ac:dyDescent="0.25">
      <c r="A985" t="s">
        <v>2468</v>
      </c>
      <c r="B985" t="s">
        <v>107</v>
      </c>
      <c r="C985" t="s">
        <v>38</v>
      </c>
      <c r="D985" t="s">
        <v>51</v>
      </c>
      <c r="E985" t="s">
        <v>406</v>
      </c>
      <c r="F985" t="s">
        <v>128</v>
      </c>
      <c r="G985" t="s">
        <v>2469</v>
      </c>
      <c r="H985" s="10">
        <v>898875</v>
      </c>
      <c r="I985" s="10">
        <v>0</v>
      </c>
      <c r="J985" s="10">
        <v>0</v>
      </c>
      <c r="L985" t="s">
        <v>42</v>
      </c>
      <c r="M985" t="s">
        <v>26</v>
      </c>
      <c r="N985" t="s">
        <v>1329</v>
      </c>
      <c r="O985" s="2">
        <v>43191</v>
      </c>
      <c r="P985" s="2">
        <v>45016</v>
      </c>
      <c r="Q985">
        <v>0</v>
      </c>
      <c r="R985" t="s">
        <v>2470</v>
      </c>
    </row>
    <row r="986" spans="1:18" x14ac:dyDescent="0.25">
      <c r="A986" t="s">
        <v>2468</v>
      </c>
      <c r="B986" t="s">
        <v>107</v>
      </c>
      <c r="C986" t="s">
        <v>38</v>
      </c>
      <c r="D986" t="s">
        <v>51</v>
      </c>
      <c r="E986" t="s">
        <v>259</v>
      </c>
      <c r="F986" t="s">
        <v>23</v>
      </c>
      <c r="G986" t="s">
        <v>2471</v>
      </c>
      <c r="H986" s="10">
        <v>1338750</v>
      </c>
      <c r="I986" s="10">
        <v>0</v>
      </c>
      <c r="J986" s="10">
        <v>0</v>
      </c>
      <c r="L986" t="s">
        <v>42</v>
      </c>
      <c r="M986" t="s">
        <v>26</v>
      </c>
      <c r="N986" t="s">
        <v>72</v>
      </c>
      <c r="O986" s="2">
        <v>44105</v>
      </c>
      <c r="P986" s="2">
        <v>45930</v>
      </c>
      <c r="Q986">
        <v>0</v>
      </c>
      <c r="R986" t="s">
        <v>2472</v>
      </c>
    </row>
    <row r="987" spans="1:18" x14ac:dyDescent="0.25">
      <c r="A987" t="s">
        <v>2473</v>
      </c>
      <c r="B987" t="s">
        <v>148</v>
      </c>
      <c r="C987" t="s">
        <v>149</v>
      </c>
      <c r="D987" t="s">
        <v>51</v>
      </c>
      <c r="E987" t="s">
        <v>186</v>
      </c>
      <c r="F987" t="s">
        <v>32</v>
      </c>
      <c r="G987" t="s">
        <v>2474</v>
      </c>
      <c r="H987" s="10">
        <v>975376</v>
      </c>
      <c r="I987" s="10">
        <v>0</v>
      </c>
      <c r="J987" s="10">
        <v>0</v>
      </c>
      <c r="L987" t="s">
        <v>42</v>
      </c>
      <c r="M987" t="s">
        <v>26</v>
      </c>
      <c r="N987" t="s">
        <v>118</v>
      </c>
      <c r="O987" s="2">
        <v>44470</v>
      </c>
      <c r="P987" s="2">
        <v>46295</v>
      </c>
      <c r="Q987">
        <v>0</v>
      </c>
      <c r="R987" t="s">
        <v>2475</v>
      </c>
    </row>
    <row r="988" spans="1:18" x14ac:dyDescent="0.25">
      <c r="A988" t="s">
        <v>4835</v>
      </c>
      <c r="B988" t="s">
        <v>114</v>
      </c>
      <c r="C988" t="s">
        <v>20</v>
      </c>
      <c r="D988" t="s">
        <v>4557</v>
      </c>
      <c r="E988" t="s">
        <v>4597</v>
      </c>
      <c r="F988" t="s">
        <v>4559</v>
      </c>
      <c r="G988" t="s">
        <v>4836</v>
      </c>
      <c r="H988" s="10">
        <v>354383</v>
      </c>
      <c r="I988" s="10">
        <v>0</v>
      </c>
      <c r="J988" s="10">
        <v>0</v>
      </c>
      <c r="L988" t="s">
        <v>55</v>
      </c>
      <c r="M988" t="s">
        <v>26</v>
      </c>
      <c r="N988" t="s">
        <v>6092</v>
      </c>
      <c r="O988" s="2">
        <v>42095</v>
      </c>
      <c r="P988" s="2">
        <v>43190</v>
      </c>
      <c r="Q988">
        <v>0</v>
      </c>
      <c r="R988" t="s">
        <v>6091</v>
      </c>
    </row>
    <row r="989" spans="1:18" x14ac:dyDescent="0.25">
      <c r="A989" t="s">
        <v>2476</v>
      </c>
      <c r="B989" t="s">
        <v>49</v>
      </c>
      <c r="C989" t="s">
        <v>50</v>
      </c>
      <c r="D989" t="s">
        <v>702</v>
      </c>
      <c r="E989" t="s">
        <v>703</v>
      </c>
      <c r="F989" t="s">
        <v>32</v>
      </c>
      <c r="G989" t="s">
        <v>2477</v>
      </c>
      <c r="H989" s="10">
        <v>84507</v>
      </c>
      <c r="I989" s="10">
        <v>0</v>
      </c>
      <c r="J989" s="10">
        <v>0</v>
      </c>
      <c r="L989" t="s">
        <v>34</v>
      </c>
      <c r="M989" t="s">
        <v>204</v>
      </c>
      <c r="N989" t="s">
        <v>2478</v>
      </c>
      <c r="O989" s="2">
        <v>39814</v>
      </c>
      <c r="P989" s="2">
        <v>40178</v>
      </c>
      <c r="Q989">
        <v>0</v>
      </c>
      <c r="R989" t="s">
        <v>2479</v>
      </c>
    </row>
    <row r="990" spans="1:18" x14ac:dyDescent="0.25">
      <c r="A990" t="s">
        <v>4837</v>
      </c>
      <c r="B990" t="s">
        <v>4492</v>
      </c>
      <c r="C990" t="s">
        <v>38</v>
      </c>
      <c r="D990" t="s">
        <v>4557</v>
      </c>
      <c r="E990" t="s">
        <v>4597</v>
      </c>
      <c r="F990" t="s">
        <v>4559</v>
      </c>
      <c r="G990" t="s">
        <v>4838</v>
      </c>
      <c r="H990" s="10">
        <v>181578</v>
      </c>
      <c r="I990" s="10">
        <v>0</v>
      </c>
      <c r="J990" s="10">
        <v>0</v>
      </c>
      <c r="L990" t="s">
        <v>55</v>
      </c>
      <c r="M990" t="s">
        <v>204</v>
      </c>
      <c r="N990" t="s">
        <v>5703</v>
      </c>
      <c r="O990" s="2">
        <v>42095</v>
      </c>
      <c r="P990" s="2">
        <v>43190</v>
      </c>
      <c r="Q990">
        <v>0</v>
      </c>
      <c r="R990" t="s">
        <v>5702</v>
      </c>
    </row>
    <row r="991" spans="1:18" x14ac:dyDescent="0.25">
      <c r="A991" t="s">
        <v>2480</v>
      </c>
      <c r="B991" t="s">
        <v>19</v>
      </c>
      <c r="C991" t="s">
        <v>20</v>
      </c>
      <c r="D991" t="s">
        <v>51</v>
      </c>
      <c r="E991" t="s">
        <v>163</v>
      </c>
      <c r="F991" t="s">
        <v>32</v>
      </c>
      <c r="G991" t="s">
        <v>2481</v>
      </c>
      <c r="H991" s="10">
        <v>1059525</v>
      </c>
      <c r="I991" s="10">
        <v>0</v>
      </c>
      <c r="J991" s="10">
        <v>0</v>
      </c>
      <c r="L991" t="s">
        <v>42</v>
      </c>
      <c r="M991" t="s">
        <v>94</v>
      </c>
      <c r="N991" t="s">
        <v>1358</v>
      </c>
      <c r="O991" s="2">
        <v>43556</v>
      </c>
      <c r="P991" s="2">
        <v>45382</v>
      </c>
      <c r="Q991">
        <v>1</v>
      </c>
      <c r="R991" t="s">
        <v>2482</v>
      </c>
    </row>
    <row r="992" spans="1:18" x14ac:dyDescent="0.25">
      <c r="A992" t="s">
        <v>2483</v>
      </c>
      <c r="B992" t="s">
        <v>2484</v>
      </c>
      <c r="C992" t="s">
        <v>2485</v>
      </c>
      <c r="D992" t="s">
        <v>482</v>
      </c>
      <c r="E992" t="s">
        <v>483</v>
      </c>
      <c r="F992" t="s">
        <v>53</v>
      </c>
      <c r="G992" t="s">
        <v>2486</v>
      </c>
      <c r="H992" s="10">
        <v>100000</v>
      </c>
      <c r="I992" s="10">
        <v>0</v>
      </c>
      <c r="J992" s="10">
        <v>0</v>
      </c>
      <c r="L992" t="s">
        <v>34</v>
      </c>
      <c r="M992" t="s">
        <v>111</v>
      </c>
      <c r="N992" t="s">
        <v>2487</v>
      </c>
      <c r="O992" s="2">
        <v>39814</v>
      </c>
      <c r="P992" s="2">
        <v>40178</v>
      </c>
      <c r="Q992">
        <v>0</v>
      </c>
      <c r="R992" t="s">
        <v>2488</v>
      </c>
    </row>
    <row r="993" spans="1:18" x14ac:dyDescent="0.25">
      <c r="A993" t="s">
        <v>6187</v>
      </c>
      <c r="B993" t="s">
        <v>98</v>
      </c>
      <c r="C993" t="s">
        <v>20</v>
      </c>
      <c r="D993" t="s">
        <v>5056</v>
      </c>
      <c r="E993" t="s">
        <v>5057</v>
      </c>
      <c r="F993" t="s">
        <v>5058</v>
      </c>
      <c r="G993" t="s">
        <v>5059</v>
      </c>
      <c r="H993" s="12">
        <v>749876</v>
      </c>
      <c r="I993" s="12">
        <v>0</v>
      </c>
      <c r="J993" s="10">
        <v>0</v>
      </c>
      <c r="L993" t="s">
        <v>25</v>
      </c>
      <c r="M993" t="s">
        <v>103</v>
      </c>
      <c r="N993" t="s">
        <v>6188</v>
      </c>
      <c r="O993" s="2">
        <v>42278</v>
      </c>
      <c r="P993" s="2">
        <v>43738</v>
      </c>
      <c r="Q993">
        <v>0</v>
      </c>
      <c r="R993" t="s">
        <v>6189</v>
      </c>
    </row>
    <row r="994" spans="1:18" x14ac:dyDescent="0.25">
      <c r="A994" t="s">
        <v>2528</v>
      </c>
      <c r="B994" t="s">
        <v>19</v>
      </c>
      <c r="C994" t="s">
        <v>20</v>
      </c>
      <c r="D994" t="s">
        <v>21</v>
      </c>
      <c r="E994" t="s">
        <v>60</v>
      </c>
      <c r="F994" t="s">
        <v>23</v>
      </c>
      <c r="G994" t="s">
        <v>2532</v>
      </c>
      <c r="H994" s="10">
        <v>483813</v>
      </c>
      <c r="I994" s="10">
        <v>0</v>
      </c>
      <c r="J994" s="10">
        <v>0</v>
      </c>
      <c r="L994" t="s">
        <v>55</v>
      </c>
      <c r="M994" t="s">
        <v>26</v>
      </c>
      <c r="N994" t="s">
        <v>2533</v>
      </c>
      <c r="O994" s="2">
        <v>41821</v>
      </c>
      <c r="P994" s="2">
        <v>42916</v>
      </c>
      <c r="Q994">
        <v>0</v>
      </c>
      <c r="R994" t="s">
        <v>2534</v>
      </c>
    </row>
    <row r="995" spans="1:18" x14ac:dyDescent="0.25">
      <c r="A995" t="s">
        <v>2528</v>
      </c>
      <c r="B995" t="s">
        <v>19</v>
      </c>
      <c r="C995" t="s">
        <v>20</v>
      </c>
      <c r="D995" t="s">
        <v>51</v>
      </c>
      <c r="E995" t="s">
        <v>208</v>
      </c>
      <c r="F995" t="s">
        <v>356</v>
      </c>
      <c r="G995" t="s">
        <v>2529</v>
      </c>
      <c r="H995" s="10">
        <v>1067175</v>
      </c>
      <c r="I995" s="10">
        <v>0</v>
      </c>
      <c r="J995" s="10">
        <v>0</v>
      </c>
      <c r="L995" t="s">
        <v>42</v>
      </c>
      <c r="M995" t="s">
        <v>94</v>
      </c>
      <c r="N995" t="s">
        <v>2530</v>
      </c>
      <c r="O995" s="2">
        <v>45383</v>
      </c>
      <c r="P995" s="2">
        <v>47208</v>
      </c>
      <c r="Q995">
        <v>0</v>
      </c>
      <c r="R995" t="s">
        <v>2531</v>
      </c>
    </row>
    <row r="996" spans="1:18" x14ac:dyDescent="0.25">
      <c r="A996" t="s">
        <v>2489</v>
      </c>
      <c r="B996" t="s">
        <v>240</v>
      </c>
      <c r="C996" t="s">
        <v>20</v>
      </c>
      <c r="D996" t="s">
        <v>21</v>
      </c>
      <c r="E996" t="s">
        <v>172</v>
      </c>
      <c r="F996" t="s">
        <v>32</v>
      </c>
      <c r="G996" t="s">
        <v>2496</v>
      </c>
      <c r="H996" s="10">
        <v>654230</v>
      </c>
      <c r="I996" s="10">
        <v>0</v>
      </c>
      <c r="J996" s="10">
        <v>0</v>
      </c>
      <c r="L996" t="s">
        <v>42</v>
      </c>
      <c r="M996" t="s">
        <v>26</v>
      </c>
      <c r="N996" t="s">
        <v>2497</v>
      </c>
      <c r="O996" s="2">
        <v>40452</v>
      </c>
      <c r="P996" s="2">
        <v>42277</v>
      </c>
      <c r="Q996">
        <v>0</v>
      </c>
      <c r="R996" t="s">
        <v>2498</v>
      </c>
    </row>
    <row r="997" spans="1:18" x14ac:dyDescent="0.25">
      <c r="A997" t="s">
        <v>2489</v>
      </c>
      <c r="B997" t="s">
        <v>240</v>
      </c>
      <c r="C997" t="s">
        <v>20</v>
      </c>
      <c r="D997" t="s">
        <v>21</v>
      </c>
      <c r="E997" t="s">
        <v>549</v>
      </c>
      <c r="F997" t="s">
        <v>23</v>
      </c>
      <c r="G997" t="s">
        <v>2499</v>
      </c>
      <c r="H997" s="10">
        <v>817497</v>
      </c>
      <c r="I997" s="10">
        <v>0</v>
      </c>
      <c r="J997" s="10">
        <v>0</v>
      </c>
      <c r="L997" t="s">
        <v>42</v>
      </c>
      <c r="M997" t="s">
        <v>26</v>
      </c>
      <c r="N997" t="s">
        <v>2500</v>
      </c>
      <c r="O997" s="2">
        <v>42186</v>
      </c>
      <c r="P997" s="2">
        <v>44012</v>
      </c>
      <c r="Q997">
        <v>0</v>
      </c>
      <c r="R997" t="s">
        <v>2501</v>
      </c>
    </row>
    <row r="998" spans="1:18" x14ac:dyDescent="0.25">
      <c r="A998" t="s">
        <v>2489</v>
      </c>
      <c r="B998" t="s">
        <v>240</v>
      </c>
      <c r="C998" t="s">
        <v>20</v>
      </c>
      <c r="D998" t="s">
        <v>51</v>
      </c>
      <c r="E998" t="s">
        <v>122</v>
      </c>
      <c r="F998" t="s">
        <v>23</v>
      </c>
      <c r="G998" t="s">
        <v>2493</v>
      </c>
      <c r="H998" s="10">
        <v>906526</v>
      </c>
      <c r="I998" s="10">
        <v>0</v>
      </c>
      <c r="J998" s="10">
        <v>0</v>
      </c>
      <c r="L998" t="s">
        <v>42</v>
      </c>
      <c r="M998" t="s">
        <v>26</v>
      </c>
      <c r="N998" t="s">
        <v>2494</v>
      </c>
      <c r="O998" s="2">
        <v>43739</v>
      </c>
      <c r="P998" s="2">
        <v>45565</v>
      </c>
      <c r="Q998">
        <v>0</v>
      </c>
      <c r="R998" t="s">
        <v>2495</v>
      </c>
    </row>
    <row r="999" spans="1:18" x14ac:dyDescent="0.25">
      <c r="A999" t="s">
        <v>2489</v>
      </c>
      <c r="B999" t="s">
        <v>240</v>
      </c>
      <c r="C999" t="s">
        <v>20</v>
      </c>
      <c r="D999" t="s">
        <v>51</v>
      </c>
      <c r="E999" t="s">
        <v>197</v>
      </c>
      <c r="F999" t="s">
        <v>47</v>
      </c>
      <c r="G999" t="s">
        <v>2490</v>
      </c>
      <c r="H999" s="10">
        <v>860625</v>
      </c>
      <c r="I999" s="10">
        <v>0</v>
      </c>
      <c r="J999" s="10">
        <v>0</v>
      </c>
      <c r="L999" t="s">
        <v>42</v>
      </c>
      <c r="M999" t="s">
        <v>26</v>
      </c>
      <c r="N999" t="s">
        <v>2491</v>
      </c>
      <c r="O999" s="2">
        <v>44652</v>
      </c>
      <c r="P999" s="2">
        <v>46477</v>
      </c>
      <c r="Q999">
        <v>0</v>
      </c>
      <c r="R999" t="s">
        <v>2492</v>
      </c>
    </row>
    <row r="1000" spans="1:18" x14ac:dyDescent="0.25">
      <c r="A1000" t="s">
        <v>2502</v>
      </c>
      <c r="B1000" t="s">
        <v>114</v>
      </c>
      <c r="C1000" t="s">
        <v>20</v>
      </c>
      <c r="D1000" t="s">
        <v>51</v>
      </c>
      <c r="E1000" t="s">
        <v>52</v>
      </c>
      <c r="F1000" t="s">
        <v>128</v>
      </c>
      <c r="G1000" t="s">
        <v>2503</v>
      </c>
      <c r="H1000" s="10">
        <v>669375</v>
      </c>
      <c r="I1000" s="10">
        <v>0</v>
      </c>
      <c r="J1000" s="10">
        <v>0</v>
      </c>
      <c r="L1000" t="s">
        <v>42</v>
      </c>
      <c r="M1000" t="s">
        <v>26</v>
      </c>
      <c r="N1000" t="s">
        <v>2504</v>
      </c>
      <c r="O1000" s="2">
        <v>44287</v>
      </c>
      <c r="P1000" s="2">
        <v>46112</v>
      </c>
      <c r="Q1000">
        <v>0</v>
      </c>
      <c r="R1000" t="s">
        <v>2505</v>
      </c>
    </row>
    <row r="1001" spans="1:18" x14ac:dyDescent="0.25">
      <c r="A1001" t="s">
        <v>4839</v>
      </c>
      <c r="B1001" t="s">
        <v>114</v>
      </c>
      <c r="C1001" t="s">
        <v>20</v>
      </c>
      <c r="D1001" t="s">
        <v>4557</v>
      </c>
      <c r="E1001" t="s">
        <v>4611</v>
      </c>
      <c r="F1001" t="s">
        <v>4559</v>
      </c>
      <c r="G1001" t="s">
        <v>4840</v>
      </c>
      <c r="H1001" s="10">
        <v>207800</v>
      </c>
      <c r="I1001" s="10">
        <v>0</v>
      </c>
      <c r="J1001" s="10">
        <v>0</v>
      </c>
      <c r="L1001" t="s">
        <v>55</v>
      </c>
      <c r="M1001" t="s">
        <v>26</v>
      </c>
      <c r="N1001" t="s">
        <v>1042</v>
      </c>
      <c r="O1001" s="2">
        <v>42461</v>
      </c>
      <c r="P1001" s="2">
        <v>43555</v>
      </c>
      <c r="Q1001">
        <v>0</v>
      </c>
      <c r="R1001" t="s">
        <v>5551</v>
      </c>
    </row>
    <row r="1002" spans="1:18" x14ac:dyDescent="0.25">
      <c r="A1002" t="s">
        <v>2506</v>
      </c>
      <c r="B1002" t="s">
        <v>196</v>
      </c>
      <c r="C1002" t="s">
        <v>20</v>
      </c>
      <c r="D1002" t="s">
        <v>51</v>
      </c>
      <c r="E1002" t="s">
        <v>163</v>
      </c>
      <c r="F1002" t="s">
        <v>109</v>
      </c>
      <c r="G1002" t="s">
        <v>2507</v>
      </c>
      <c r="H1002" s="10">
        <v>638776</v>
      </c>
      <c r="I1002" s="10">
        <v>0</v>
      </c>
      <c r="J1002" s="10">
        <v>0</v>
      </c>
      <c r="L1002" t="s">
        <v>25</v>
      </c>
      <c r="M1002" t="s">
        <v>831</v>
      </c>
      <c r="N1002" t="s">
        <v>2508</v>
      </c>
      <c r="O1002" s="2">
        <v>43556</v>
      </c>
      <c r="P1002" s="2">
        <v>45016</v>
      </c>
      <c r="Q1002">
        <v>0</v>
      </c>
      <c r="R1002" t="s">
        <v>2509</v>
      </c>
    </row>
    <row r="1003" spans="1:18" x14ac:dyDescent="0.25">
      <c r="A1003" t="s">
        <v>4841</v>
      </c>
      <c r="B1003" t="s">
        <v>49</v>
      </c>
      <c r="C1003" t="s">
        <v>50</v>
      </c>
      <c r="D1003" t="s">
        <v>4557</v>
      </c>
      <c r="E1003" t="s">
        <v>4581</v>
      </c>
      <c r="F1003" t="s">
        <v>4559</v>
      </c>
      <c r="G1003" t="s">
        <v>4842</v>
      </c>
      <c r="H1003" s="10">
        <v>517818</v>
      </c>
      <c r="I1003" s="10">
        <v>61140</v>
      </c>
      <c r="J1003" s="10">
        <v>0</v>
      </c>
      <c r="L1003" t="s">
        <v>55</v>
      </c>
      <c r="M1003" t="s">
        <v>111</v>
      </c>
      <c r="N1003" t="s">
        <v>5979</v>
      </c>
      <c r="O1003" s="2">
        <v>43556</v>
      </c>
      <c r="P1003" s="2">
        <v>44651</v>
      </c>
      <c r="Q1003">
        <v>0</v>
      </c>
      <c r="R1003" t="s">
        <v>5978</v>
      </c>
    </row>
    <row r="1004" spans="1:18" x14ac:dyDescent="0.25">
      <c r="A1004" t="s">
        <v>2510</v>
      </c>
      <c r="B1004" t="s">
        <v>360</v>
      </c>
      <c r="C1004" t="s">
        <v>20</v>
      </c>
      <c r="D1004" t="s">
        <v>2511</v>
      </c>
      <c r="E1004" t="s">
        <v>2512</v>
      </c>
      <c r="F1004" t="s">
        <v>53</v>
      </c>
      <c r="G1004" t="s">
        <v>2513</v>
      </c>
      <c r="H1004" s="10">
        <v>100000</v>
      </c>
      <c r="I1004" s="10">
        <v>0</v>
      </c>
      <c r="J1004" s="10">
        <v>0</v>
      </c>
      <c r="L1004" t="s">
        <v>34</v>
      </c>
      <c r="M1004" t="s">
        <v>204</v>
      </c>
      <c r="N1004" t="s">
        <v>1051</v>
      </c>
      <c r="O1004" s="2">
        <v>44621</v>
      </c>
      <c r="P1004" s="2">
        <v>44985</v>
      </c>
      <c r="Q1004">
        <v>0</v>
      </c>
      <c r="R1004" t="s">
        <v>2514</v>
      </c>
    </row>
    <row r="1005" spans="1:18" x14ac:dyDescent="0.25">
      <c r="A1005" t="s">
        <v>6190</v>
      </c>
      <c r="B1005" t="s">
        <v>474</v>
      </c>
      <c r="C1005" t="s">
        <v>20</v>
      </c>
      <c r="D1005" t="s">
        <v>4499</v>
      </c>
      <c r="E1005" t="s">
        <v>4500</v>
      </c>
      <c r="F1005" t="s">
        <v>4501</v>
      </c>
      <c r="G1005" t="s">
        <v>4524</v>
      </c>
      <c r="H1005" s="12">
        <v>123234</v>
      </c>
      <c r="I1005" s="12">
        <v>0</v>
      </c>
      <c r="J1005" s="10">
        <v>0</v>
      </c>
      <c r="L1005" t="s">
        <v>34</v>
      </c>
      <c r="M1005" t="s">
        <v>103</v>
      </c>
      <c r="N1005" t="s">
        <v>6191</v>
      </c>
      <c r="O1005" s="2">
        <v>45323</v>
      </c>
      <c r="P1005" s="2">
        <v>45688</v>
      </c>
      <c r="Q1005">
        <v>0</v>
      </c>
      <c r="R1005" t="s">
        <v>6192</v>
      </c>
    </row>
    <row r="1006" spans="1:18" x14ac:dyDescent="0.25">
      <c r="A1006" t="s">
        <v>6193</v>
      </c>
      <c r="B1006" t="s">
        <v>302</v>
      </c>
      <c r="C1006" t="s">
        <v>20</v>
      </c>
      <c r="D1006" t="s">
        <v>5042</v>
      </c>
      <c r="E1006" t="s">
        <v>5043</v>
      </c>
      <c r="F1006" t="s">
        <v>5038</v>
      </c>
      <c r="G1006" t="s">
        <v>5049</v>
      </c>
      <c r="H1006" s="12">
        <v>600000</v>
      </c>
      <c r="I1006" s="12">
        <v>0</v>
      </c>
      <c r="J1006" s="10">
        <v>0</v>
      </c>
      <c r="L1006" t="s">
        <v>5039</v>
      </c>
      <c r="M1006" t="s">
        <v>413</v>
      </c>
      <c r="N1006" t="s">
        <v>6194</v>
      </c>
      <c r="O1006" s="2">
        <v>45444</v>
      </c>
      <c r="P1006" s="2">
        <v>46477</v>
      </c>
      <c r="Q1006">
        <v>0</v>
      </c>
      <c r="R1006" t="s">
        <v>6195</v>
      </c>
    </row>
    <row r="1007" spans="1:18" x14ac:dyDescent="0.25">
      <c r="A1007" t="s">
        <v>2515</v>
      </c>
      <c r="B1007" t="s">
        <v>710</v>
      </c>
      <c r="C1007" t="s">
        <v>711</v>
      </c>
      <c r="D1007" t="s">
        <v>51</v>
      </c>
      <c r="E1007" t="s">
        <v>163</v>
      </c>
      <c r="F1007" t="s">
        <v>47</v>
      </c>
      <c r="G1007" t="s">
        <v>2516</v>
      </c>
      <c r="H1007" s="10">
        <v>807075</v>
      </c>
      <c r="I1007" s="10">
        <v>0</v>
      </c>
      <c r="J1007" s="10">
        <v>0</v>
      </c>
      <c r="L1007" t="s">
        <v>42</v>
      </c>
      <c r="M1007" t="s">
        <v>26</v>
      </c>
      <c r="N1007" t="s">
        <v>2517</v>
      </c>
      <c r="O1007" s="2">
        <v>43556</v>
      </c>
      <c r="P1007" s="2">
        <v>45382</v>
      </c>
      <c r="Q1007">
        <v>0</v>
      </c>
      <c r="R1007" t="s">
        <v>2518</v>
      </c>
    </row>
    <row r="1008" spans="1:18" x14ac:dyDescent="0.25">
      <c r="A1008" t="s">
        <v>2535</v>
      </c>
      <c r="B1008" t="s">
        <v>114</v>
      </c>
      <c r="C1008" t="s">
        <v>20</v>
      </c>
      <c r="D1008" t="s">
        <v>139</v>
      </c>
      <c r="E1008" t="s">
        <v>140</v>
      </c>
      <c r="F1008" t="s">
        <v>141</v>
      </c>
      <c r="G1008" t="s">
        <v>2536</v>
      </c>
      <c r="H1008" s="10">
        <v>179140</v>
      </c>
      <c r="I1008" s="10">
        <v>0</v>
      </c>
      <c r="J1008" s="10">
        <v>0</v>
      </c>
      <c r="L1008" t="s">
        <v>34</v>
      </c>
      <c r="M1008" t="s">
        <v>94</v>
      </c>
      <c r="N1008" t="s">
        <v>2537</v>
      </c>
      <c r="O1008" s="2">
        <v>43983</v>
      </c>
      <c r="P1008" s="2">
        <v>44347</v>
      </c>
      <c r="Q1008">
        <v>0</v>
      </c>
      <c r="R1008" t="s">
        <v>2538</v>
      </c>
    </row>
    <row r="1009" spans="1:18" x14ac:dyDescent="0.25">
      <c r="A1009" t="s">
        <v>2519</v>
      </c>
      <c r="B1009" t="s">
        <v>162</v>
      </c>
      <c r="C1009" t="s">
        <v>149</v>
      </c>
      <c r="D1009" t="s">
        <v>21</v>
      </c>
      <c r="E1009" t="s">
        <v>22</v>
      </c>
      <c r="F1009" t="s">
        <v>23</v>
      </c>
      <c r="G1009" t="s">
        <v>2523</v>
      </c>
      <c r="H1009" s="10">
        <v>642147</v>
      </c>
      <c r="I1009" s="10">
        <v>0</v>
      </c>
      <c r="J1009" s="10">
        <v>0</v>
      </c>
      <c r="L1009" t="s">
        <v>42</v>
      </c>
      <c r="M1009" t="s">
        <v>26</v>
      </c>
      <c r="N1009" t="s">
        <v>2524</v>
      </c>
      <c r="O1009" s="2">
        <v>41365</v>
      </c>
      <c r="P1009" s="2">
        <v>43190</v>
      </c>
      <c r="Q1009">
        <v>2</v>
      </c>
      <c r="R1009" t="s">
        <v>2525</v>
      </c>
    </row>
    <row r="1010" spans="1:18" x14ac:dyDescent="0.25">
      <c r="A1010" t="s">
        <v>2519</v>
      </c>
      <c r="B1010" t="s">
        <v>162</v>
      </c>
      <c r="C1010" t="s">
        <v>149</v>
      </c>
      <c r="D1010" t="s">
        <v>51</v>
      </c>
      <c r="E1010" t="s">
        <v>784</v>
      </c>
      <c r="F1010" t="s">
        <v>662</v>
      </c>
      <c r="G1010" t="s">
        <v>2520</v>
      </c>
      <c r="H1010" s="10">
        <v>100000</v>
      </c>
      <c r="I1010" s="10">
        <v>0</v>
      </c>
      <c r="J1010" s="10">
        <v>0</v>
      </c>
      <c r="L1010" t="s">
        <v>34</v>
      </c>
      <c r="M1010" t="s">
        <v>26</v>
      </c>
      <c r="N1010" t="s">
        <v>2521</v>
      </c>
      <c r="O1010" s="2">
        <v>43191</v>
      </c>
      <c r="P1010" s="2">
        <v>43555</v>
      </c>
      <c r="Q1010">
        <v>0</v>
      </c>
      <c r="R1010" t="s">
        <v>2522</v>
      </c>
    </row>
    <row r="1011" spans="1:18" x14ac:dyDescent="0.25">
      <c r="A1011" t="s">
        <v>5485</v>
      </c>
      <c r="B1011" t="s">
        <v>49</v>
      </c>
      <c r="C1011" t="s">
        <v>50</v>
      </c>
      <c r="D1011" t="s">
        <v>30</v>
      </c>
      <c r="E1011" t="s">
        <v>31</v>
      </c>
      <c r="F1011" t="s">
        <v>32</v>
      </c>
      <c r="G1011" t="s">
        <v>2526</v>
      </c>
      <c r="H1011" s="10">
        <v>100000</v>
      </c>
      <c r="I1011" s="10">
        <v>0</v>
      </c>
      <c r="J1011" s="10">
        <v>0</v>
      </c>
      <c r="L1011" t="s">
        <v>34</v>
      </c>
      <c r="M1011" t="s">
        <v>26</v>
      </c>
      <c r="N1011" t="s">
        <v>1055</v>
      </c>
      <c r="O1011" s="2">
        <v>44986</v>
      </c>
      <c r="P1011" s="2">
        <v>45351</v>
      </c>
      <c r="Q1011">
        <v>0</v>
      </c>
      <c r="R1011" t="s">
        <v>2527</v>
      </c>
    </row>
    <row r="1012" spans="1:18" x14ac:dyDescent="0.25">
      <c r="A1012" t="s">
        <v>5222</v>
      </c>
      <c r="B1012" t="s">
        <v>240</v>
      </c>
      <c r="C1012" t="s">
        <v>20</v>
      </c>
      <c r="D1012" t="s">
        <v>5165</v>
      </c>
      <c r="E1012" t="s">
        <v>5166</v>
      </c>
      <c r="F1012" t="s">
        <v>4554</v>
      </c>
      <c r="G1012" t="s">
        <v>5223</v>
      </c>
      <c r="H1012" s="10">
        <v>499795</v>
      </c>
      <c r="I1012" s="10">
        <v>0</v>
      </c>
      <c r="J1012" s="10">
        <v>0</v>
      </c>
      <c r="L1012" t="s">
        <v>42</v>
      </c>
      <c r="M1012" t="s">
        <v>94</v>
      </c>
      <c r="N1012" t="s">
        <v>5599</v>
      </c>
      <c r="O1012" s="2">
        <v>41365</v>
      </c>
      <c r="P1012" s="2">
        <v>43190</v>
      </c>
      <c r="Q1012">
        <v>6</v>
      </c>
      <c r="R1012" t="s">
        <v>5598</v>
      </c>
    </row>
    <row r="1013" spans="1:18" x14ac:dyDescent="0.25">
      <c r="A1013" t="s">
        <v>4843</v>
      </c>
      <c r="B1013" t="s">
        <v>1336</v>
      </c>
      <c r="C1013" t="s">
        <v>50</v>
      </c>
      <c r="D1013" t="s">
        <v>4557</v>
      </c>
      <c r="E1013" t="s">
        <v>4611</v>
      </c>
      <c r="F1013" t="s">
        <v>4559</v>
      </c>
      <c r="G1013" t="s">
        <v>4844</v>
      </c>
      <c r="H1013" s="10">
        <v>225500</v>
      </c>
      <c r="I1013" s="10">
        <v>0</v>
      </c>
      <c r="J1013" s="10">
        <v>0</v>
      </c>
      <c r="L1013" t="s">
        <v>55</v>
      </c>
      <c r="M1013" t="s">
        <v>111</v>
      </c>
      <c r="N1013" t="s">
        <v>5728</v>
      </c>
      <c r="O1013" s="2">
        <v>42461</v>
      </c>
      <c r="P1013" s="2">
        <v>43555</v>
      </c>
      <c r="Q1013">
        <v>0</v>
      </c>
      <c r="R1013" t="s">
        <v>5847</v>
      </c>
    </row>
    <row r="1014" spans="1:18" x14ac:dyDescent="0.25">
      <c r="A1014" t="s">
        <v>4843</v>
      </c>
      <c r="B1014" t="s">
        <v>1336</v>
      </c>
      <c r="C1014" t="s">
        <v>50</v>
      </c>
      <c r="D1014" t="s">
        <v>4557</v>
      </c>
      <c r="E1014" t="s">
        <v>4570</v>
      </c>
      <c r="F1014" t="s">
        <v>4559</v>
      </c>
      <c r="G1014" t="s">
        <v>4845</v>
      </c>
      <c r="H1014" s="10">
        <v>251314</v>
      </c>
      <c r="I1014" s="10">
        <v>0</v>
      </c>
      <c r="J1014" s="10">
        <v>0</v>
      </c>
      <c r="L1014" t="s">
        <v>55</v>
      </c>
      <c r="M1014" t="s">
        <v>217</v>
      </c>
      <c r="N1014" t="s">
        <v>5546</v>
      </c>
      <c r="O1014" s="2">
        <v>42826</v>
      </c>
      <c r="P1014" s="2">
        <v>43921</v>
      </c>
      <c r="Q1014">
        <v>0</v>
      </c>
      <c r="R1014" t="s">
        <v>5545</v>
      </c>
    </row>
    <row r="1015" spans="1:18" x14ac:dyDescent="0.25">
      <c r="A1015" t="s">
        <v>4846</v>
      </c>
      <c r="B1015" t="s">
        <v>1336</v>
      </c>
      <c r="C1015" t="s">
        <v>50</v>
      </c>
      <c r="D1015" t="s">
        <v>4557</v>
      </c>
      <c r="E1015" t="s">
        <v>4567</v>
      </c>
      <c r="F1015" t="s">
        <v>4559</v>
      </c>
      <c r="G1015" t="s">
        <v>4847</v>
      </c>
      <c r="H1015" s="10">
        <v>358351</v>
      </c>
      <c r="I1015" s="10">
        <v>0</v>
      </c>
      <c r="J1015" s="10">
        <v>0</v>
      </c>
      <c r="L1015" t="s">
        <v>55</v>
      </c>
      <c r="M1015" t="s">
        <v>26</v>
      </c>
      <c r="N1015" t="s">
        <v>5854</v>
      </c>
      <c r="O1015" s="2">
        <v>41730</v>
      </c>
      <c r="P1015" s="2">
        <v>42825</v>
      </c>
      <c r="Q1015">
        <v>0</v>
      </c>
      <c r="R1015" t="s">
        <v>5853</v>
      </c>
    </row>
    <row r="1016" spans="1:18" x14ac:dyDescent="0.25">
      <c r="A1016" t="s">
        <v>4848</v>
      </c>
      <c r="B1016" t="s">
        <v>1336</v>
      </c>
      <c r="C1016" t="s">
        <v>50</v>
      </c>
      <c r="D1016" t="s">
        <v>4557</v>
      </c>
      <c r="E1016" t="s">
        <v>4558</v>
      </c>
      <c r="F1016" t="s">
        <v>4559</v>
      </c>
      <c r="G1016" t="s">
        <v>4849</v>
      </c>
      <c r="H1016" s="10">
        <v>231245</v>
      </c>
      <c r="I1016" s="10">
        <v>6500</v>
      </c>
      <c r="J1016" s="10">
        <v>0</v>
      </c>
      <c r="L1016" t="s">
        <v>55</v>
      </c>
      <c r="M1016" t="s">
        <v>111</v>
      </c>
      <c r="N1016" t="s">
        <v>5728</v>
      </c>
      <c r="O1016" s="2">
        <v>43191</v>
      </c>
      <c r="P1016" s="2">
        <v>44286</v>
      </c>
      <c r="Q1016">
        <v>1</v>
      </c>
      <c r="R1016" t="s">
        <v>5727</v>
      </c>
    </row>
    <row r="1017" spans="1:18" x14ac:dyDescent="0.25">
      <c r="A1017" t="s">
        <v>2539</v>
      </c>
      <c r="B1017" t="s">
        <v>196</v>
      </c>
      <c r="C1017" t="s">
        <v>20</v>
      </c>
      <c r="D1017" t="s">
        <v>21</v>
      </c>
      <c r="E1017" t="s">
        <v>287</v>
      </c>
      <c r="F1017" t="s">
        <v>109</v>
      </c>
      <c r="G1017" t="s">
        <v>2543</v>
      </c>
      <c r="H1017" s="10">
        <v>912635</v>
      </c>
      <c r="I1017" s="10">
        <v>0</v>
      </c>
      <c r="J1017" s="10">
        <v>0</v>
      </c>
      <c r="L1017" t="s">
        <v>42</v>
      </c>
      <c r="M1017" t="s">
        <v>111</v>
      </c>
      <c r="N1017" t="s">
        <v>2544</v>
      </c>
      <c r="O1017" s="2">
        <v>40634</v>
      </c>
      <c r="P1017" s="2">
        <v>42460</v>
      </c>
      <c r="Q1017">
        <v>0</v>
      </c>
      <c r="R1017" t="s">
        <v>2545</v>
      </c>
    </row>
    <row r="1018" spans="1:18" x14ac:dyDescent="0.25">
      <c r="A1018" t="s">
        <v>2539</v>
      </c>
      <c r="B1018" t="s">
        <v>196</v>
      </c>
      <c r="C1018" t="s">
        <v>20</v>
      </c>
      <c r="D1018" t="s">
        <v>21</v>
      </c>
      <c r="E1018" t="s">
        <v>60</v>
      </c>
      <c r="F1018" t="s">
        <v>109</v>
      </c>
      <c r="G1018" t="s">
        <v>2540</v>
      </c>
      <c r="H1018" s="10">
        <v>773740</v>
      </c>
      <c r="I1018" s="10">
        <v>0</v>
      </c>
      <c r="J1018" s="10">
        <v>0</v>
      </c>
      <c r="L1018" t="s">
        <v>42</v>
      </c>
      <c r="M1018" t="s">
        <v>111</v>
      </c>
      <c r="N1018" t="s">
        <v>2541</v>
      </c>
      <c r="O1018" s="2">
        <v>41821</v>
      </c>
      <c r="P1018" s="2">
        <v>42551</v>
      </c>
      <c r="Q1018">
        <v>0</v>
      </c>
      <c r="R1018" t="s">
        <v>2542</v>
      </c>
    </row>
    <row r="1019" spans="1:18" x14ac:dyDescent="0.25">
      <c r="A1019" t="s">
        <v>4850</v>
      </c>
      <c r="B1019" t="s">
        <v>196</v>
      </c>
      <c r="C1019" t="s">
        <v>20</v>
      </c>
      <c r="D1019" t="s">
        <v>4557</v>
      </c>
      <c r="E1019" t="s">
        <v>4611</v>
      </c>
      <c r="F1019" t="s">
        <v>4559</v>
      </c>
      <c r="G1019" t="s">
        <v>4851</v>
      </c>
      <c r="H1019" s="10">
        <v>213650</v>
      </c>
      <c r="I1019" s="10">
        <v>0</v>
      </c>
      <c r="J1019" s="10">
        <v>0</v>
      </c>
      <c r="L1019" t="s">
        <v>55</v>
      </c>
      <c r="M1019" t="s">
        <v>26</v>
      </c>
      <c r="N1019" t="s">
        <v>1042</v>
      </c>
      <c r="O1019" s="2">
        <v>42461</v>
      </c>
      <c r="P1019" s="2">
        <v>43555</v>
      </c>
      <c r="Q1019">
        <v>0</v>
      </c>
      <c r="R1019" t="s">
        <v>5870</v>
      </c>
    </row>
    <row r="1020" spans="1:18" x14ac:dyDescent="0.25">
      <c r="A1020" t="s">
        <v>5415</v>
      </c>
      <c r="B1020" t="s">
        <v>5063</v>
      </c>
      <c r="C1020" t="s">
        <v>38</v>
      </c>
      <c r="D1020" t="s">
        <v>51</v>
      </c>
      <c r="E1020" t="s">
        <v>167</v>
      </c>
      <c r="F1020" t="s">
        <v>47</v>
      </c>
      <c r="G1020" t="s">
        <v>2546</v>
      </c>
      <c r="H1020" s="10">
        <v>929475</v>
      </c>
      <c r="I1020" s="10">
        <v>0</v>
      </c>
      <c r="J1020" s="10">
        <v>0</v>
      </c>
      <c r="L1020" t="s">
        <v>42</v>
      </c>
      <c r="M1020" t="s">
        <v>26</v>
      </c>
      <c r="N1020" t="s">
        <v>2280</v>
      </c>
      <c r="O1020" s="2">
        <v>45017</v>
      </c>
      <c r="P1020" s="2">
        <v>46843</v>
      </c>
      <c r="Q1020">
        <v>0</v>
      </c>
      <c r="R1020" t="s">
        <v>2547</v>
      </c>
    </row>
    <row r="1021" spans="1:18" x14ac:dyDescent="0.25">
      <c r="A1021" t="s">
        <v>4525</v>
      </c>
      <c r="B1021" t="s">
        <v>347</v>
      </c>
      <c r="C1021" t="s">
        <v>38</v>
      </c>
      <c r="D1021" t="s">
        <v>4499</v>
      </c>
      <c r="E1021" t="s">
        <v>4500</v>
      </c>
      <c r="F1021" t="s">
        <v>4501</v>
      </c>
      <c r="G1021" t="s">
        <v>4526</v>
      </c>
      <c r="H1021" s="12">
        <v>108000</v>
      </c>
      <c r="I1021" s="12">
        <v>0</v>
      </c>
      <c r="J1021" s="10">
        <v>0</v>
      </c>
      <c r="L1021" t="s">
        <v>34</v>
      </c>
      <c r="M1021" t="s">
        <v>413</v>
      </c>
      <c r="N1021" t="s">
        <v>6196</v>
      </c>
      <c r="O1021" s="2">
        <v>45323</v>
      </c>
      <c r="P1021" s="2">
        <v>45688</v>
      </c>
      <c r="Q1021">
        <v>0</v>
      </c>
      <c r="R1021" t="s">
        <v>6197</v>
      </c>
    </row>
    <row r="1022" spans="1:18" x14ac:dyDescent="0.25">
      <c r="A1022" t="s">
        <v>4852</v>
      </c>
      <c r="B1022" t="s">
        <v>4492</v>
      </c>
      <c r="C1022" t="s">
        <v>38</v>
      </c>
      <c r="D1022" t="s">
        <v>4557</v>
      </c>
      <c r="E1022" t="s">
        <v>4597</v>
      </c>
      <c r="F1022" t="s">
        <v>4559</v>
      </c>
      <c r="G1022" t="s">
        <v>4853</v>
      </c>
      <c r="H1022" s="10">
        <v>375000</v>
      </c>
      <c r="I1022" s="10">
        <v>0</v>
      </c>
      <c r="J1022" s="10">
        <v>0</v>
      </c>
      <c r="L1022" t="s">
        <v>55</v>
      </c>
      <c r="M1022" t="s">
        <v>111</v>
      </c>
      <c r="N1022" t="s">
        <v>5785</v>
      </c>
      <c r="O1022" s="2">
        <v>42095</v>
      </c>
      <c r="P1022" s="2">
        <v>43190</v>
      </c>
      <c r="Q1022">
        <v>0</v>
      </c>
      <c r="R1022" t="s">
        <v>5784</v>
      </c>
    </row>
    <row r="1023" spans="1:18" x14ac:dyDescent="0.25">
      <c r="A1023" t="s">
        <v>4854</v>
      </c>
      <c r="B1023" t="s">
        <v>4624</v>
      </c>
      <c r="C1023" t="s">
        <v>38</v>
      </c>
      <c r="D1023" t="s">
        <v>4557</v>
      </c>
      <c r="E1023" t="s">
        <v>4602</v>
      </c>
      <c r="F1023" t="s">
        <v>4559</v>
      </c>
      <c r="G1023" t="s">
        <v>4855</v>
      </c>
      <c r="H1023" s="10">
        <v>269000</v>
      </c>
      <c r="I1023" s="10">
        <v>0</v>
      </c>
      <c r="J1023" s="10">
        <v>0</v>
      </c>
      <c r="L1023" t="s">
        <v>55</v>
      </c>
      <c r="M1023" t="s">
        <v>217</v>
      </c>
      <c r="N1023" t="s">
        <v>5939</v>
      </c>
      <c r="O1023" s="2">
        <v>41365</v>
      </c>
      <c r="P1023" s="2">
        <v>42460</v>
      </c>
      <c r="Q1023">
        <v>0</v>
      </c>
      <c r="R1023" t="s">
        <v>5938</v>
      </c>
    </row>
    <row r="1024" spans="1:18" x14ac:dyDescent="0.25">
      <c r="A1024" t="s">
        <v>4858</v>
      </c>
      <c r="B1024" t="s">
        <v>4624</v>
      </c>
      <c r="C1024" t="s">
        <v>38</v>
      </c>
      <c r="D1024" t="s">
        <v>4557</v>
      </c>
      <c r="E1024" t="s">
        <v>4558</v>
      </c>
      <c r="F1024" t="s">
        <v>4559</v>
      </c>
      <c r="G1024" t="s">
        <v>4859</v>
      </c>
      <c r="H1024" s="10">
        <v>369433</v>
      </c>
      <c r="I1024" s="10">
        <v>4750</v>
      </c>
      <c r="J1024" s="10">
        <v>0</v>
      </c>
      <c r="L1024" t="s">
        <v>55</v>
      </c>
      <c r="M1024" t="s">
        <v>111</v>
      </c>
      <c r="N1024" t="s">
        <v>5971</v>
      </c>
      <c r="O1024" s="2">
        <v>43191</v>
      </c>
      <c r="P1024" s="2">
        <v>44286</v>
      </c>
      <c r="Q1024">
        <v>1</v>
      </c>
      <c r="R1024" t="s">
        <v>5970</v>
      </c>
    </row>
    <row r="1025" spans="1:18" x14ac:dyDescent="0.25">
      <c r="A1025" t="s">
        <v>4856</v>
      </c>
      <c r="B1025" t="s">
        <v>4624</v>
      </c>
      <c r="C1025" t="s">
        <v>38</v>
      </c>
      <c r="D1025" t="s">
        <v>4557</v>
      </c>
      <c r="E1025" t="s">
        <v>4558</v>
      </c>
      <c r="F1025" t="s">
        <v>4559</v>
      </c>
      <c r="G1025" t="s">
        <v>4857</v>
      </c>
      <c r="H1025" s="10">
        <v>301500</v>
      </c>
      <c r="I1025" s="10">
        <v>0</v>
      </c>
      <c r="J1025" s="10">
        <v>0</v>
      </c>
      <c r="L1025" t="s">
        <v>55</v>
      </c>
      <c r="M1025" t="s">
        <v>26</v>
      </c>
      <c r="N1025" t="s">
        <v>5886</v>
      </c>
      <c r="O1025" s="2">
        <v>43191</v>
      </c>
      <c r="P1025" s="2">
        <v>44286</v>
      </c>
      <c r="Q1025">
        <v>0</v>
      </c>
      <c r="R1025" t="s">
        <v>5885</v>
      </c>
    </row>
    <row r="1026" spans="1:18" x14ac:dyDescent="0.25">
      <c r="A1026" t="s">
        <v>4467</v>
      </c>
      <c r="B1026" t="s">
        <v>49</v>
      </c>
      <c r="C1026" t="s">
        <v>50</v>
      </c>
      <c r="D1026" t="s">
        <v>4454</v>
      </c>
      <c r="E1026" t="s">
        <v>4455</v>
      </c>
      <c r="F1026" t="s">
        <v>4456</v>
      </c>
      <c r="G1026" t="s">
        <v>4468</v>
      </c>
      <c r="H1026" s="10">
        <v>100000</v>
      </c>
      <c r="I1026" s="10">
        <v>0</v>
      </c>
      <c r="J1026" s="10">
        <v>0</v>
      </c>
      <c r="L1026" t="s">
        <v>34</v>
      </c>
      <c r="M1026" t="s">
        <v>111</v>
      </c>
      <c r="N1026" t="s">
        <v>5833</v>
      </c>
      <c r="O1026" s="2">
        <v>41334</v>
      </c>
      <c r="P1026" s="2">
        <v>41698</v>
      </c>
      <c r="Q1026">
        <v>0</v>
      </c>
      <c r="R1026" t="s">
        <v>5832</v>
      </c>
    </row>
    <row r="1027" spans="1:18" x14ac:dyDescent="0.25">
      <c r="A1027" t="s">
        <v>4860</v>
      </c>
      <c r="B1027" t="s">
        <v>114</v>
      </c>
      <c r="C1027" t="s">
        <v>20</v>
      </c>
      <c r="D1027" t="s">
        <v>4557</v>
      </c>
      <c r="E1027" t="s">
        <v>4602</v>
      </c>
      <c r="F1027" t="s">
        <v>4559</v>
      </c>
      <c r="G1027" t="s">
        <v>4861</v>
      </c>
      <c r="H1027" s="10">
        <v>286788</v>
      </c>
      <c r="I1027" s="10">
        <v>0</v>
      </c>
      <c r="J1027" s="10">
        <v>0</v>
      </c>
      <c r="L1027" t="s">
        <v>55</v>
      </c>
      <c r="M1027" t="s">
        <v>217</v>
      </c>
      <c r="N1027" t="s">
        <v>5709</v>
      </c>
      <c r="O1027" s="2">
        <v>41365</v>
      </c>
      <c r="P1027" s="2">
        <v>42460</v>
      </c>
      <c r="Q1027">
        <v>1</v>
      </c>
      <c r="R1027" t="s">
        <v>5708</v>
      </c>
    </row>
    <row r="1028" spans="1:18" x14ac:dyDescent="0.25">
      <c r="A1028" t="s">
        <v>5094</v>
      </c>
      <c r="B1028" t="s">
        <v>19</v>
      </c>
      <c r="C1028" t="s">
        <v>20</v>
      </c>
      <c r="D1028" t="s">
        <v>21</v>
      </c>
      <c r="E1028" t="s">
        <v>108</v>
      </c>
      <c r="F1028" t="s">
        <v>109</v>
      </c>
      <c r="G1028" t="s">
        <v>2548</v>
      </c>
      <c r="H1028" s="10">
        <v>324598</v>
      </c>
      <c r="I1028" s="10">
        <v>0</v>
      </c>
      <c r="J1028" s="10">
        <v>0</v>
      </c>
      <c r="L1028" t="s">
        <v>25</v>
      </c>
      <c r="M1028" t="s">
        <v>217</v>
      </c>
      <c r="N1028" t="s">
        <v>2549</v>
      </c>
      <c r="O1028" s="2">
        <v>41548</v>
      </c>
      <c r="P1028" s="2">
        <v>43190</v>
      </c>
      <c r="Q1028">
        <v>0</v>
      </c>
      <c r="R1028" t="s">
        <v>2550</v>
      </c>
    </row>
    <row r="1029" spans="1:18" x14ac:dyDescent="0.25">
      <c r="A1029" t="s">
        <v>4864</v>
      </c>
      <c r="B1029" t="s">
        <v>710</v>
      </c>
      <c r="C1029" t="s">
        <v>711</v>
      </c>
      <c r="D1029" t="s">
        <v>4557</v>
      </c>
      <c r="E1029" t="s">
        <v>4581</v>
      </c>
      <c r="F1029" t="s">
        <v>4559</v>
      </c>
      <c r="G1029" t="s">
        <v>4865</v>
      </c>
      <c r="H1029" s="10">
        <v>405529</v>
      </c>
      <c r="I1029" s="10">
        <v>5232</v>
      </c>
      <c r="J1029" s="10">
        <v>0</v>
      </c>
      <c r="L1029" t="s">
        <v>55</v>
      </c>
      <c r="M1029" t="s">
        <v>26</v>
      </c>
      <c r="N1029" t="s">
        <v>1427</v>
      </c>
      <c r="O1029" s="2">
        <v>43556</v>
      </c>
      <c r="P1029" s="2">
        <v>44651</v>
      </c>
      <c r="Q1029">
        <v>1</v>
      </c>
      <c r="R1029" t="s">
        <v>6065</v>
      </c>
    </row>
    <row r="1030" spans="1:18" x14ac:dyDescent="0.25">
      <c r="A1030" t="s">
        <v>4862</v>
      </c>
      <c r="B1030" t="s">
        <v>710</v>
      </c>
      <c r="C1030" t="s">
        <v>711</v>
      </c>
      <c r="D1030" t="s">
        <v>4557</v>
      </c>
      <c r="E1030" t="s">
        <v>4602</v>
      </c>
      <c r="F1030" t="s">
        <v>4559</v>
      </c>
      <c r="G1030" t="s">
        <v>4863</v>
      </c>
      <c r="H1030" s="10">
        <v>440666</v>
      </c>
      <c r="I1030" s="10">
        <v>0</v>
      </c>
      <c r="J1030" s="10">
        <v>0</v>
      </c>
      <c r="L1030" t="s">
        <v>55</v>
      </c>
      <c r="M1030" t="s">
        <v>111</v>
      </c>
      <c r="N1030" t="s">
        <v>6090</v>
      </c>
      <c r="O1030" s="2">
        <v>41365</v>
      </c>
      <c r="P1030" s="2">
        <v>42460</v>
      </c>
      <c r="Q1030">
        <v>2</v>
      </c>
      <c r="R1030" t="s">
        <v>6089</v>
      </c>
    </row>
    <row r="1031" spans="1:18" x14ac:dyDescent="0.25">
      <c r="A1031" t="s">
        <v>2551</v>
      </c>
      <c r="B1031" t="s">
        <v>114</v>
      </c>
      <c r="C1031" t="s">
        <v>20</v>
      </c>
      <c r="D1031" t="s">
        <v>241</v>
      </c>
      <c r="E1031" t="s">
        <v>554</v>
      </c>
      <c r="F1031" t="s">
        <v>243</v>
      </c>
      <c r="G1031" t="s">
        <v>2552</v>
      </c>
      <c r="H1031" s="10">
        <v>89450</v>
      </c>
      <c r="I1031" s="10">
        <v>0</v>
      </c>
      <c r="J1031" s="10">
        <v>0</v>
      </c>
      <c r="L1031" t="s">
        <v>34</v>
      </c>
      <c r="M1031" t="s">
        <v>143</v>
      </c>
      <c r="N1031" t="s">
        <v>2553</v>
      </c>
      <c r="O1031" s="2">
        <v>39845</v>
      </c>
      <c r="P1031" s="2">
        <v>40209</v>
      </c>
      <c r="Q1031">
        <v>0</v>
      </c>
      <c r="R1031" t="s">
        <v>2554</v>
      </c>
    </row>
    <row r="1032" spans="1:18" x14ac:dyDescent="0.25">
      <c r="A1032" t="s">
        <v>2555</v>
      </c>
      <c r="B1032" t="s">
        <v>5063</v>
      </c>
      <c r="C1032" t="s">
        <v>38</v>
      </c>
      <c r="D1032" t="s">
        <v>21</v>
      </c>
      <c r="E1032" t="s">
        <v>255</v>
      </c>
      <c r="F1032" t="s">
        <v>47</v>
      </c>
      <c r="G1032" t="s">
        <v>2560</v>
      </c>
      <c r="H1032" s="11">
        <v>851780</v>
      </c>
      <c r="I1032" s="11">
        <v>0</v>
      </c>
      <c r="J1032" s="11">
        <v>0</v>
      </c>
      <c r="L1032" t="s">
        <v>42</v>
      </c>
      <c r="M1032" t="s">
        <v>26</v>
      </c>
      <c r="N1032" t="s">
        <v>1042</v>
      </c>
      <c r="O1032" s="2">
        <v>39904</v>
      </c>
      <c r="P1032" s="2">
        <v>41729</v>
      </c>
      <c r="Q1032">
        <v>0</v>
      </c>
      <c r="R1032" t="s">
        <v>2561</v>
      </c>
    </row>
    <row r="1033" spans="1:18" x14ac:dyDescent="0.25">
      <c r="A1033" t="s">
        <v>2555</v>
      </c>
      <c r="B1033" t="s">
        <v>5063</v>
      </c>
      <c r="C1033" t="s">
        <v>38</v>
      </c>
      <c r="D1033" t="s">
        <v>21</v>
      </c>
      <c r="E1033" t="s">
        <v>534</v>
      </c>
      <c r="F1033" t="s">
        <v>47</v>
      </c>
      <c r="G1033" t="s">
        <v>2565</v>
      </c>
      <c r="H1033" s="10">
        <v>425282</v>
      </c>
      <c r="I1033" s="10">
        <v>0</v>
      </c>
      <c r="J1033" s="10">
        <v>0</v>
      </c>
      <c r="L1033" t="s">
        <v>55</v>
      </c>
      <c r="M1033" t="s">
        <v>26</v>
      </c>
      <c r="N1033" t="s">
        <v>2566</v>
      </c>
      <c r="O1033" s="2">
        <v>40817</v>
      </c>
      <c r="P1033" s="2">
        <v>41912</v>
      </c>
      <c r="Q1033">
        <v>0</v>
      </c>
      <c r="R1033" t="s">
        <v>2567</v>
      </c>
    </row>
    <row r="1034" spans="1:18" x14ac:dyDescent="0.25">
      <c r="A1034" t="s">
        <v>2555</v>
      </c>
      <c r="B1034" t="s">
        <v>5063</v>
      </c>
      <c r="C1034" t="s">
        <v>38</v>
      </c>
      <c r="D1034" t="s">
        <v>21</v>
      </c>
      <c r="E1034" t="s">
        <v>22</v>
      </c>
      <c r="F1034" t="s">
        <v>23</v>
      </c>
      <c r="G1034" t="s">
        <v>2558</v>
      </c>
      <c r="H1034" s="10">
        <v>729885</v>
      </c>
      <c r="I1034" s="10">
        <v>0</v>
      </c>
      <c r="J1034" s="10">
        <v>0</v>
      </c>
      <c r="L1034" t="s">
        <v>42</v>
      </c>
      <c r="M1034" t="s">
        <v>26</v>
      </c>
      <c r="N1034" t="s">
        <v>1565</v>
      </c>
      <c r="O1034" s="2">
        <v>41365</v>
      </c>
      <c r="P1034" s="2">
        <v>43190</v>
      </c>
      <c r="Q1034">
        <v>0</v>
      </c>
      <c r="R1034" t="s">
        <v>2559</v>
      </c>
    </row>
    <row r="1035" spans="1:18" x14ac:dyDescent="0.25">
      <c r="A1035" t="s">
        <v>2555</v>
      </c>
      <c r="B1035" t="s">
        <v>5063</v>
      </c>
      <c r="C1035" t="s">
        <v>38</v>
      </c>
      <c r="D1035" t="s">
        <v>21</v>
      </c>
      <c r="E1035" t="s">
        <v>549</v>
      </c>
      <c r="F1035" t="s">
        <v>23</v>
      </c>
      <c r="G1035" t="s">
        <v>2568</v>
      </c>
      <c r="H1035" s="10">
        <v>720155</v>
      </c>
      <c r="I1035" s="10">
        <v>0</v>
      </c>
      <c r="J1035" s="10">
        <v>0</v>
      </c>
      <c r="L1035" t="s">
        <v>42</v>
      </c>
      <c r="M1035" t="s">
        <v>26</v>
      </c>
      <c r="N1035" t="s">
        <v>2569</v>
      </c>
      <c r="O1035" s="2">
        <v>42186</v>
      </c>
      <c r="P1035" s="2">
        <v>44012</v>
      </c>
      <c r="Q1035">
        <v>0</v>
      </c>
      <c r="R1035" t="s">
        <v>2570</v>
      </c>
    </row>
    <row r="1036" spans="1:18" x14ac:dyDescent="0.25">
      <c r="A1036" t="s">
        <v>2555</v>
      </c>
      <c r="B1036" t="s">
        <v>5063</v>
      </c>
      <c r="C1036" t="s">
        <v>38</v>
      </c>
      <c r="D1036" t="s">
        <v>51</v>
      </c>
      <c r="E1036" t="s">
        <v>406</v>
      </c>
      <c r="F1036" t="s">
        <v>32</v>
      </c>
      <c r="G1036" t="s">
        <v>2562</v>
      </c>
      <c r="H1036" s="10">
        <v>692325</v>
      </c>
      <c r="I1036" s="10">
        <v>0</v>
      </c>
      <c r="J1036" s="10">
        <v>0</v>
      </c>
      <c r="L1036" t="s">
        <v>42</v>
      </c>
      <c r="M1036" t="s">
        <v>26</v>
      </c>
      <c r="N1036" t="s">
        <v>2563</v>
      </c>
      <c r="O1036" s="2">
        <v>43191</v>
      </c>
      <c r="P1036" s="2">
        <v>45016</v>
      </c>
      <c r="Q1036">
        <v>0</v>
      </c>
      <c r="R1036" t="s">
        <v>2564</v>
      </c>
    </row>
    <row r="1037" spans="1:18" x14ac:dyDescent="0.25">
      <c r="A1037" t="s">
        <v>2555</v>
      </c>
      <c r="B1037" t="s">
        <v>5063</v>
      </c>
      <c r="C1037" t="s">
        <v>38</v>
      </c>
      <c r="D1037" t="s">
        <v>51</v>
      </c>
      <c r="E1037" t="s">
        <v>127</v>
      </c>
      <c r="F1037" t="s">
        <v>32</v>
      </c>
      <c r="G1037" t="s">
        <v>2556</v>
      </c>
      <c r="H1037" s="10">
        <v>841500</v>
      </c>
      <c r="I1037" s="10">
        <v>0</v>
      </c>
      <c r="J1037" s="10">
        <v>0</v>
      </c>
      <c r="L1037" t="s">
        <v>42</v>
      </c>
      <c r="M1037" t="s">
        <v>26</v>
      </c>
      <c r="N1037" t="s">
        <v>135</v>
      </c>
      <c r="O1037" s="2">
        <v>44835</v>
      </c>
      <c r="P1037" s="2">
        <v>46660</v>
      </c>
      <c r="Q1037">
        <v>0</v>
      </c>
      <c r="R1037" t="s">
        <v>2557</v>
      </c>
    </row>
    <row r="1038" spans="1:18" x14ac:dyDescent="0.25">
      <c r="A1038" t="s">
        <v>2571</v>
      </c>
      <c r="B1038" t="s">
        <v>5069</v>
      </c>
      <c r="C1038" t="s">
        <v>38</v>
      </c>
      <c r="D1038" t="s">
        <v>51</v>
      </c>
      <c r="E1038" t="s">
        <v>197</v>
      </c>
      <c r="F1038" t="s">
        <v>32</v>
      </c>
      <c r="G1038" t="s">
        <v>2572</v>
      </c>
      <c r="H1038" s="10">
        <v>868275</v>
      </c>
      <c r="I1038" s="10">
        <v>0</v>
      </c>
      <c r="J1038" s="10">
        <v>0</v>
      </c>
      <c r="L1038" t="s">
        <v>42</v>
      </c>
      <c r="M1038" t="s">
        <v>26</v>
      </c>
      <c r="N1038" t="s">
        <v>2573</v>
      </c>
      <c r="O1038" s="2">
        <v>44652</v>
      </c>
      <c r="P1038" s="2">
        <v>46477</v>
      </c>
      <c r="Q1038">
        <v>0</v>
      </c>
      <c r="R1038" t="s">
        <v>2574</v>
      </c>
    </row>
    <row r="1039" spans="1:18" x14ac:dyDescent="0.25">
      <c r="A1039" t="s">
        <v>2575</v>
      </c>
      <c r="B1039" t="s">
        <v>196</v>
      </c>
      <c r="C1039" t="s">
        <v>20</v>
      </c>
      <c r="D1039" t="s">
        <v>21</v>
      </c>
      <c r="E1039" t="s">
        <v>22</v>
      </c>
      <c r="F1039" t="s">
        <v>47</v>
      </c>
      <c r="G1039" t="s">
        <v>2576</v>
      </c>
      <c r="H1039" s="10">
        <v>313349</v>
      </c>
      <c r="I1039" s="10">
        <v>0</v>
      </c>
      <c r="J1039" s="10">
        <v>0</v>
      </c>
      <c r="L1039" t="s">
        <v>55</v>
      </c>
      <c r="M1039" t="s">
        <v>26</v>
      </c>
      <c r="N1039" t="s">
        <v>1669</v>
      </c>
      <c r="O1039" s="2">
        <v>41365</v>
      </c>
      <c r="P1039" s="2">
        <v>42460</v>
      </c>
      <c r="Q1039">
        <v>0</v>
      </c>
      <c r="R1039" t="s">
        <v>2577</v>
      </c>
    </row>
    <row r="1040" spans="1:18" x14ac:dyDescent="0.25">
      <c r="A1040" t="s">
        <v>2578</v>
      </c>
      <c r="B1040" t="s">
        <v>49</v>
      </c>
      <c r="C1040" t="s">
        <v>50</v>
      </c>
      <c r="D1040" t="s">
        <v>21</v>
      </c>
      <c r="E1040" t="s">
        <v>255</v>
      </c>
      <c r="F1040" t="s">
        <v>32</v>
      </c>
      <c r="G1040" t="s">
        <v>2582</v>
      </c>
      <c r="H1040" s="11">
        <v>560232</v>
      </c>
      <c r="I1040" s="11">
        <v>0</v>
      </c>
      <c r="J1040" s="11">
        <v>0</v>
      </c>
      <c r="L1040" t="s">
        <v>25</v>
      </c>
      <c r="M1040" t="s">
        <v>26</v>
      </c>
      <c r="N1040" t="s">
        <v>1042</v>
      </c>
      <c r="O1040" s="2">
        <v>39904</v>
      </c>
      <c r="P1040" s="2">
        <v>41364</v>
      </c>
      <c r="Q1040">
        <v>0</v>
      </c>
      <c r="R1040" t="s">
        <v>2583</v>
      </c>
    </row>
    <row r="1041" spans="1:18" x14ac:dyDescent="0.25">
      <c r="A1041" t="s">
        <v>2578</v>
      </c>
      <c r="B1041" t="s">
        <v>49</v>
      </c>
      <c r="C1041" t="s">
        <v>50</v>
      </c>
      <c r="D1041" t="s">
        <v>21</v>
      </c>
      <c r="E1041" t="s">
        <v>74</v>
      </c>
      <c r="F1041" t="s">
        <v>32</v>
      </c>
      <c r="G1041" t="s">
        <v>2588</v>
      </c>
      <c r="H1041" s="10">
        <v>662588</v>
      </c>
      <c r="I1041" s="10">
        <v>0</v>
      </c>
      <c r="J1041" s="10">
        <v>0</v>
      </c>
      <c r="L1041" t="s">
        <v>25</v>
      </c>
      <c r="M1041" t="s">
        <v>26</v>
      </c>
      <c r="N1041" t="s">
        <v>1042</v>
      </c>
      <c r="O1041" s="2">
        <v>41000</v>
      </c>
      <c r="P1041" s="2">
        <v>42460</v>
      </c>
      <c r="Q1041">
        <v>0</v>
      </c>
      <c r="R1041" t="s">
        <v>2589</v>
      </c>
    </row>
    <row r="1042" spans="1:18" x14ac:dyDescent="0.25">
      <c r="A1042" t="s">
        <v>2578</v>
      </c>
      <c r="B1042" t="s">
        <v>49</v>
      </c>
      <c r="C1042" t="s">
        <v>50</v>
      </c>
      <c r="D1042" t="s">
        <v>21</v>
      </c>
      <c r="E1042" t="s">
        <v>572</v>
      </c>
      <c r="F1042" t="s">
        <v>32</v>
      </c>
      <c r="G1042" t="s">
        <v>2584</v>
      </c>
      <c r="H1042" s="10">
        <v>727090</v>
      </c>
      <c r="I1042" s="10">
        <v>0</v>
      </c>
      <c r="J1042" s="10">
        <v>0</v>
      </c>
      <c r="L1042" t="s">
        <v>42</v>
      </c>
      <c r="M1042" t="s">
        <v>26</v>
      </c>
      <c r="N1042" t="s">
        <v>791</v>
      </c>
      <c r="O1042" s="2">
        <v>41730</v>
      </c>
      <c r="P1042" s="2">
        <v>43555</v>
      </c>
      <c r="Q1042">
        <v>2</v>
      </c>
      <c r="R1042" t="s">
        <v>2585</v>
      </c>
    </row>
    <row r="1043" spans="1:18" x14ac:dyDescent="0.25">
      <c r="A1043" t="s">
        <v>2578</v>
      </c>
      <c r="B1043" t="s">
        <v>49</v>
      </c>
      <c r="C1043" t="s">
        <v>50</v>
      </c>
      <c r="D1043" t="s">
        <v>51</v>
      </c>
      <c r="E1043" t="s">
        <v>186</v>
      </c>
      <c r="F1043" t="s">
        <v>128</v>
      </c>
      <c r="G1043" t="s">
        <v>2579</v>
      </c>
      <c r="H1043" s="10">
        <v>918000</v>
      </c>
      <c r="I1043" s="10">
        <v>0</v>
      </c>
      <c r="J1043" s="10">
        <v>0</v>
      </c>
      <c r="L1043" t="s">
        <v>25</v>
      </c>
      <c r="M1043" t="s">
        <v>26</v>
      </c>
      <c r="N1043" t="s">
        <v>2580</v>
      </c>
      <c r="O1043" s="2">
        <v>44470</v>
      </c>
      <c r="P1043" s="2">
        <v>45930</v>
      </c>
      <c r="Q1043">
        <v>0</v>
      </c>
      <c r="R1043" t="s">
        <v>2581</v>
      </c>
    </row>
    <row r="1044" spans="1:18" x14ac:dyDescent="0.25">
      <c r="A1044" t="s">
        <v>2578</v>
      </c>
      <c r="B1044" t="s">
        <v>49</v>
      </c>
      <c r="C1044" t="s">
        <v>50</v>
      </c>
      <c r="D1044" t="s">
        <v>51</v>
      </c>
      <c r="E1044" t="s">
        <v>197</v>
      </c>
      <c r="F1044" t="s">
        <v>128</v>
      </c>
      <c r="G1044" t="s">
        <v>2586</v>
      </c>
      <c r="H1044" s="10">
        <v>677024</v>
      </c>
      <c r="I1044" s="10">
        <v>0</v>
      </c>
      <c r="J1044" s="10">
        <v>0</v>
      </c>
      <c r="L1044" t="s">
        <v>25</v>
      </c>
      <c r="M1044" t="s">
        <v>26</v>
      </c>
      <c r="N1044" t="s">
        <v>135</v>
      </c>
      <c r="O1044" s="2">
        <v>44652</v>
      </c>
      <c r="P1044" s="2">
        <v>46112</v>
      </c>
      <c r="Q1044">
        <v>1</v>
      </c>
      <c r="R1044" t="s">
        <v>2587</v>
      </c>
    </row>
    <row r="1045" spans="1:18" x14ac:dyDescent="0.25">
      <c r="A1045" t="s">
        <v>4866</v>
      </c>
      <c r="B1045" t="s">
        <v>49</v>
      </c>
      <c r="C1045" t="s">
        <v>50</v>
      </c>
      <c r="D1045" t="s">
        <v>4557</v>
      </c>
      <c r="E1045" t="s">
        <v>4558</v>
      </c>
      <c r="F1045" t="s">
        <v>4559</v>
      </c>
      <c r="G1045" t="s">
        <v>4867</v>
      </c>
      <c r="H1045" s="10">
        <v>259381</v>
      </c>
      <c r="I1045" s="10">
        <v>0</v>
      </c>
      <c r="J1045" s="10">
        <v>0</v>
      </c>
      <c r="L1045" t="s">
        <v>55</v>
      </c>
      <c r="M1045" t="s">
        <v>26</v>
      </c>
      <c r="N1045" t="s">
        <v>5571</v>
      </c>
      <c r="O1045" s="2">
        <v>43191</v>
      </c>
      <c r="P1045" s="2">
        <v>44286</v>
      </c>
      <c r="Q1045">
        <v>3</v>
      </c>
      <c r="R1045" t="s">
        <v>5570</v>
      </c>
    </row>
    <row r="1046" spans="1:18" x14ac:dyDescent="0.25">
      <c r="A1046" t="s">
        <v>2590</v>
      </c>
      <c r="B1046" t="s">
        <v>19</v>
      </c>
      <c r="C1046" t="s">
        <v>20</v>
      </c>
      <c r="D1046" t="s">
        <v>21</v>
      </c>
      <c r="E1046" t="s">
        <v>194</v>
      </c>
      <c r="F1046" t="s">
        <v>47</v>
      </c>
      <c r="G1046" t="s">
        <v>2593</v>
      </c>
      <c r="H1046" s="11">
        <v>391824</v>
      </c>
      <c r="I1046" s="11">
        <v>0</v>
      </c>
      <c r="J1046" s="11">
        <v>0</v>
      </c>
      <c r="L1046" t="s">
        <v>55</v>
      </c>
      <c r="M1046" t="s">
        <v>26</v>
      </c>
      <c r="N1046" t="s">
        <v>2594</v>
      </c>
      <c r="O1046" s="2">
        <v>40087</v>
      </c>
      <c r="P1046" s="2">
        <v>41182</v>
      </c>
      <c r="Q1046">
        <v>2</v>
      </c>
      <c r="R1046" t="s">
        <v>2595</v>
      </c>
    </row>
    <row r="1047" spans="1:18" x14ac:dyDescent="0.25">
      <c r="A1047" t="s">
        <v>2590</v>
      </c>
      <c r="B1047" t="s">
        <v>19</v>
      </c>
      <c r="C1047" t="s">
        <v>20</v>
      </c>
      <c r="D1047" t="s">
        <v>21</v>
      </c>
      <c r="E1047" t="s">
        <v>74</v>
      </c>
      <c r="F1047" t="s">
        <v>23</v>
      </c>
      <c r="G1047" t="s">
        <v>2591</v>
      </c>
      <c r="H1047" s="10">
        <v>361800</v>
      </c>
      <c r="I1047" s="10">
        <v>0</v>
      </c>
      <c r="J1047" s="10">
        <v>0</v>
      </c>
      <c r="L1047" t="s">
        <v>55</v>
      </c>
      <c r="M1047" t="s">
        <v>26</v>
      </c>
      <c r="N1047" t="s">
        <v>1333</v>
      </c>
      <c r="O1047" s="2">
        <v>41000</v>
      </c>
      <c r="P1047" s="2">
        <v>42094</v>
      </c>
      <c r="Q1047">
        <v>0</v>
      </c>
      <c r="R1047" t="s">
        <v>2592</v>
      </c>
    </row>
    <row r="1048" spans="1:18" x14ac:dyDescent="0.25">
      <c r="A1048" t="s">
        <v>2590</v>
      </c>
      <c r="B1048" t="s">
        <v>19</v>
      </c>
      <c r="C1048" t="s">
        <v>20</v>
      </c>
      <c r="D1048" t="s">
        <v>51</v>
      </c>
      <c r="E1048" t="s">
        <v>406</v>
      </c>
      <c r="F1048" t="s">
        <v>23</v>
      </c>
      <c r="G1048" t="s">
        <v>2596</v>
      </c>
      <c r="H1048" s="10">
        <v>688500</v>
      </c>
      <c r="I1048" s="10">
        <v>0</v>
      </c>
      <c r="J1048" s="10">
        <v>0</v>
      </c>
      <c r="L1048" t="s">
        <v>42</v>
      </c>
      <c r="M1048" t="s">
        <v>26</v>
      </c>
      <c r="N1048" t="s">
        <v>2597</v>
      </c>
      <c r="O1048" s="2">
        <v>43191</v>
      </c>
      <c r="P1048" s="2">
        <v>45016</v>
      </c>
      <c r="Q1048">
        <v>0</v>
      </c>
      <c r="R1048" t="s">
        <v>2598</v>
      </c>
    </row>
    <row r="1049" spans="1:18" x14ac:dyDescent="0.25">
      <c r="A1049" t="s">
        <v>2599</v>
      </c>
      <c r="B1049" t="s">
        <v>114</v>
      </c>
      <c r="C1049" t="s">
        <v>20</v>
      </c>
      <c r="D1049" t="s">
        <v>51</v>
      </c>
      <c r="E1049" t="s">
        <v>259</v>
      </c>
      <c r="F1049" t="s">
        <v>32</v>
      </c>
      <c r="G1049" t="s">
        <v>2600</v>
      </c>
      <c r="H1049" s="10">
        <v>956250</v>
      </c>
      <c r="I1049" s="10">
        <v>0</v>
      </c>
      <c r="J1049" s="10">
        <v>0</v>
      </c>
      <c r="L1049" t="s">
        <v>42</v>
      </c>
      <c r="M1049" t="s">
        <v>26</v>
      </c>
      <c r="N1049" t="s">
        <v>2601</v>
      </c>
      <c r="O1049" s="2">
        <v>44105</v>
      </c>
      <c r="P1049" s="2">
        <v>45930</v>
      </c>
      <c r="Q1049">
        <v>1</v>
      </c>
      <c r="R1049" t="s">
        <v>2602</v>
      </c>
    </row>
    <row r="1050" spans="1:18" x14ac:dyDescent="0.25">
      <c r="A1050" t="s">
        <v>5416</v>
      </c>
      <c r="B1050" t="s">
        <v>19</v>
      </c>
      <c r="C1050" t="s">
        <v>20</v>
      </c>
      <c r="D1050" t="s">
        <v>51</v>
      </c>
      <c r="E1050" t="s">
        <v>52</v>
      </c>
      <c r="F1050" t="s">
        <v>47</v>
      </c>
      <c r="G1050" t="s">
        <v>2603</v>
      </c>
      <c r="H1050" s="10">
        <v>650252</v>
      </c>
      <c r="I1050" s="10">
        <v>0</v>
      </c>
      <c r="J1050" s="10">
        <v>0</v>
      </c>
      <c r="L1050" t="s">
        <v>25</v>
      </c>
      <c r="M1050" t="s">
        <v>26</v>
      </c>
      <c r="N1050" t="s">
        <v>135</v>
      </c>
      <c r="O1050" s="2">
        <v>44287</v>
      </c>
      <c r="P1050" s="2">
        <v>45747</v>
      </c>
      <c r="Q1050">
        <v>0</v>
      </c>
      <c r="R1050" t="s">
        <v>2604</v>
      </c>
    </row>
    <row r="1051" spans="1:18" x14ac:dyDescent="0.25">
      <c r="A1051" t="s">
        <v>4527</v>
      </c>
      <c r="B1051" t="s">
        <v>49</v>
      </c>
      <c r="C1051" t="s">
        <v>50</v>
      </c>
      <c r="D1051" t="s">
        <v>4499</v>
      </c>
      <c r="E1051" t="s">
        <v>4500</v>
      </c>
      <c r="F1051" t="s">
        <v>4501</v>
      </c>
      <c r="G1051" t="s">
        <v>4528</v>
      </c>
      <c r="H1051" s="12">
        <v>111386</v>
      </c>
      <c r="I1051" s="12">
        <v>0</v>
      </c>
      <c r="J1051" s="10">
        <v>0</v>
      </c>
      <c r="L1051" t="s">
        <v>34</v>
      </c>
      <c r="M1051" t="s">
        <v>413</v>
      </c>
      <c r="N1051" t="s">
        <v>6198</v>
      </c>
      <c r="O1051" s="2">
        <v>45323</v>
      </c>
      <c r="P1051" s="2">
        <v>45688</v>
      </c>
      <c r="Q1051">
        <v>0</v>
      </c>
      <c r="R1051" t="s">
        <v>6199</v>
      </c>
    </row>
    <row r="1052" spans="1:18" x14ac:dyDescent="0.25">
      <c r="A1052" t="s">
        <v>2606</v>
      </c>
      <c r="B1052" t="s">
        <v>148</v>
      </c>
      <c r="C1052" t="s">
        <v>149</v>
      </c>
      <c r="D1052" t="s">
        <v>51</v>
      </c>
      <c r="E1052" t="s">
        <v>52</v>
      </c>
      <c r="F1052" t="s">
        <v>32</v>
      </c>
      <c r="G1052" t="s">
        <v>2607</v>
      </c>
      <c r="H1052" s="10">
        <v>1071000</v>
      </c>
      <c r="I1052" s="10">
        <v>0</v>
      </c>
      <c r="J1052" s="10">
        <v>0</v>
      </c>
      <c r="L1052" t="s">
        <v>42</v>
      </c>
      <c r="M1052" t="s">
        <v>26</v>
      </c>
      <c r="N1052" t="s">
        <v>1525</v>
      </c>
      <c r="O1052" s="2">
        <v>44287</v>
      </c>
      <c r="P1052" s="2">
        <v>46112</v>
      </c>
      <c r="Q1052">
        <v>0</v>
      </c>
      <c r="R1052" t="s">
        <v>2608</v>
      </c>
    </row>
    <row r="1053" spans="1:18" x14ac:dyDescent="0.25">
      <c r="A1053" t="s">
        <v>2609</v>
      </c>
      <c r="B1053" t="s">
        <v>2610</v>
      </c>
      <c r="C1053" t="s">
        <v>20</v>
      </c>
      <c r="D1053" t="s">
        <v>21</v>
      </c>
      <c r="E1053" t="s">
        <v>172</v>
      </c>
      <c r="F1053" t="s">
        <v>47</v>
      </c>
      <c r="G1053" t="s">
        <v>2611</v>
      </c>
      <c r="H1053" s="10">
        <v>453972</v>
      </c>
      <c r="I1053" s="10">
        <v>0</v>
      </c>
      <c r="J1053" s="10">
        <v>0</v>
      </c>
      <c r="L1053" t="s">
        <v>25</v>
      </c>
      <c r="M1053" t="s">
        <v>26</v>
      </c>
      <c r="N1053" t="s">
        <v>1073</v>
      </c>
      <c r="O1053" s="2">
        <v>40452</v>
      </c>
      <c r="P1053" s="2">
        <v>41912</v>
      </c>
      <c r="Q1053">
        <v>0</v>
      </c>
      <c r="R1053" t="s">
        <v>2612</v>
      </c>
    </row>
    <row r="1054" spans="1:18" x14ac:dyDescent="0.25">
      <c r="A1054" t="s">
        <v>2609</v>
      </c>
      <c r="B1054" t="s">
        <v>2610</v>
      </c>
      <c r="C1054" t="s">
        <v>20</v>
      </c>
      <c r="D1054" t="s">
        <v>21</v>
      </c>
      <c r="E1054" t="s">
        <v>60</v>
      </c>
      <c r="F1054" t="s">
        <v>32</v>
      </c>
      <c r="G1054" t="s">
        <v>2617</v>
      </c>
      <c r="H1054" s="10">
        <v>589508</v>
      </c>
      <c r="I1054" s="10">
        <v>0</v>
      </c>
      <c r="J1054" s="10">
        <v>0</v>
      </c>
      <c r="L1054" t="s">
        <v>42</v>
      </c>
      <c r="M1054" t="s">
        <v>26</v>
      </c>
      <c r="N1054" t="s">
        <v>1073</v>
      </c>
      <c r="O1054" s="2">
        <v>41821</v>
      </c>
      <c r="P1054" s="2">
        <v>43646</v>
      </c>
      <c r="Q1054">
        <v>0</v>
      </c>
      <c r="R1054" t="s">
        <v>2618</v>
      </c>
    </row>
    <row r="1055" spans="1:18" x14ac:dyDescent="0.25">
      <c r="A1055" t="s">
        <v>2609</v>
      </c>
      <c r="B1055" t="s">
        <v>2610</v>
      </c>
      <c r="C1055" t="s">
        <v>20</v>
      </c>
      <c r="D1055" t="s">
        <v>51</v>
      </c>
      <c r="E1055" t="s">
        <v>163</v>
      </c>
      <c r="F1055" t="s">
        <v>128</v>
      </c>
      <c r="G1055" t="s">
        <v>2615</v>
      </c>
      <c r="H1055" s="10">
        <v>837675</v>
      </c>
      <c r="I1055" s="10">
        <v>0</v>
      </c>
      <c r="J1055" s="10">
        <v>0</v>
      </c>
      <c r="L1055" t="s">
        <v>42</v>
      </c>
      <c r="M1055" t="s">
        <v>26</v>
      </c>
      <c r="N1055" t="s">
        <v>382</v>
      </c>
      <c r="O1055" s="2">
        <v>43556</v>
      </c>
      <c r="P1055" s="2">
        <v>45382</v>
      </c>
      <c r="Q1055">
        <v>0</v>
      </c>
      <c r="R1055" t="s">
        <v>2616</v>
      </c>
    </row>
    <row r="1056" spans="1:18" x14ac:dyDescent="0.25">
      <c r="A1056" t="s">
        <v>2609</v>
      </c>
      <c r="B1056" t="s">
        <v>2610</v>
      </c>
      <c r="C1056" t="s">
        <v>20</v>
      </c>
      <c r="D1056" t="s">
        <v>30</v>
      </c>
      <c r="E1056" t="s">
        <v>228</v>
      </c>
      <c r="F1056" t="s">
        <v>23</v>
      </c>
      <c r="G1056" t="s">
        <v>2613</v>
      </c>
      <c r="H1056" s="10">
        <v>100000</v>
      </c>
      <c r="I1056" s="10">
        <v>0</v>
      </c>
      <c r="J1056" s="10">
        <v>0</v>
      </c>
      <c r="L1056" t="s">
        <v>34</v>
      </c>
      <c r="M1056" t="s">
        <v>26</v>
      </c>
      <c r="N1056" t="s">
        <v>72</v>
      </c>
      <c r="O1056" s="2">
        <v>45352</v>
      </c>
      <c r="P1056" s="2">
        <v>45716</v>
      </c>
      <c r="Q1056">
        <v>0</v>
      </c>
      <c r="R1056" t="s">
        <v>2614</v>
      </c>
    </row>
    <row r="1057" spans="1:18" x14ac:dyDescent="0.25">
      <c r="A1057" t="s">
        <v>5125</v>
      </c>
      <c r="B1057" t="s">
        <v>49</v>
      </c>
      <c r="C1057" t="s">
        <v>50</v>
      </c>
      <c r="D1057" t="s">
        <v>395</v>
      </c>
      <c r="E1057" t="s">
        <v>2619</v>
      </c>
      <c r="F1057" t="s">
        <v>109</v>
      </c>
      <c r="G1057" t="s">
        <v>2620</v>
      </c>
      <c r="H1057" s="10">
        <v>100000</v>
      </c>
      <c r="I1057" s="10">
        <v>0</v>
      </c>
      <c r="J1057" s="10">
        <v>0</v>
      </c>
      <c r="L1057" t="s">
        <v>34</v>
      </c>
      <c r="M1057" t="s">
        <v>26</v>
      </c>
      <c r="N1057" t="s">
        <v>1980</v>
      </c>
      <c r="O1057" s="2">
        <v>41699</v>
      </c>
      <c r="P1057" s="2">
        <v>42063</v>
      </c>
      <c r="Q1057">
        <v>3</v>
      </c>
      <c r="R1057" t="s">
        <v>2621</v>
      </c>
    </row>
    <row r="1058" spans="1:18" x14ac:dyDescent="0.25">
      <c r="A1058" t="s">
        <v>2622</v>
      </c>
      <c r="B1058" t="s">
        <v>240</v>
      </c>
      <c r="C1058" t="s">
        <v>20</v>
      </c>
      <c r="D1058" t="s">
        <v>1342</v>
      </c>
      <c r="E1058" t="s">
        <v>2278</v>
      </c>
      <c r="F1058" t="s">
        <v>23</v>
      </c>
      <c r="G1058" t="s">
        <v>2623</v>
      </c>
      <c r="H1058" s="10">
        <v>100000</v>
      </c>
      <c r="I1058" s="10">
        <v>0</v>
      </c>
      <c r="J1058" s="10">
        <v>0</v>
      </c>
      <c r="L1058" t="s">
        <v>34</v>
      </c>
      <c r="M1058" t="s">
        <v>26</v>
      </c>
      <c r="N1058" t="s">
        <v>304</v>
      </c>
      <c r="O1058" s="2">
        <v>44986</v>
      </c>
      <c r="P1058" s="2">
        <v>45351</v>
      </c>
      <c r="Q1058">
        <v>0</v>
      </c>
      <c r="R1058" t="s">
        <v>2624</v>
      </c>
    </row>
    <row r="1059" spans="1:18" x14ac:dyDescent="0.25">
      <c r="A1059" t="s">
        <v>2625</v>
      </c>
      <c r="B1059" t="s">
        <v>240</v>
      </c>
      <c r="C1059" t="s">
        <v>20</v>
      </c>
      <c r="D1059" t="s">
        <v>64</v>
      </c>
      <c r="E1059" t="s">
        <v>1222</v>
      </c>
      <c r="F1059" t="s">
        <v>128</v>
      </c>
      <c r="G1059" t="s">
        <v>2626</v>
      </c>
      <c r="H1059" s="10">
        <v>545625</v>
      </c>
      <c r="I1059" s="10">
        <v>0</v>
      </c>
      <c r="J1059" s="10">
        <v>0</v>
      </c>
      <c r="L1059" t="s">
        <v>1224</v>
      </c>
      <c r="M1059" t="s">
        <v>26</v>
      </c>
      <c r="N1059" t="s">
        <v>135</v>
      </c>
      <c r="O1059" s="2">
        <v>44835</v>
      </c>
      <c r="P1059" s="2">
        <v>45382</v>
      </c>
      <c r="Q1059">
        <v>0</v>
      </c>
      <c r="R1059" t="s">
        <v>2627</v>
      </c>
    </row>
    <row r="1060" spans="1:18" x14ac:dyDescent="0.25">
      <c r="A1060" t="s">
        <v>4868</v>
      </c>
      <c r="B1060" t="s">
        <v>114</v>
      </c>
      <c r="C1060" t="s">
        <v>20</v>
      </c>
      <c r="D1060" t="s">
        <v>4557</v>
      </c>
      <c r="E1060" t="s">
        <v>4602</v>
      </c>
      <c r="F1060" t="s">
        <v>4559</v>
      </c>
      <c r="G1060" t="s">
        <v>4869</v>
      </c>
      <c r="H1060" s="10">
        <v>313633</v>
      </c>
      <c r="I1060" s="10">
        <v>0</v>
      </c>
      <c r="J1060" s="10">
        <v>0</v>
      </c>
      <c r="L1060" t="s">
        <v>55</v>
      </c>
      <c r="M1060" t="s">
        <v>94</v>
      </c>
      <c r="N1060" t="s">
        <v>5831</v>
      </c>
      <c r="O1060" s="2">
        <v>41365</v>
      </c>
      <c r="P1060" s="2">
        <v>42460</v>
      </c>
      <c r="Q1060">
        <v>0</v>
      </c>
      <c r="R1060" t="s">
        <v>5830</v>
      </c>
    </row>
    <row r="1061" spans="1:18" x14ac:dyDescent="0.25">
      <c r="A1061" t="s">
        <v>4529</v>
      </c>
      <c r="B1061" t="s">
        <v>133</v>
      </c>
      <c r="C1061" t="s">
        <v>38</v>
      </c>
      <c r="D1061" t="s">
        <v>4499</v>
      </c>
      <c r="E1061" t="s">
        <v>4500</v>
      </c>
      <c r="F1061" t="s">
        <v>4501</v>
      </c>
      <c r="G1061" t="s">
        <v>6200</v>
      </c>
      <c r="H1061" s="12">
        <v>149971</v>
      </c>
      <c r="I1061" s="12">
        <v>0</v>
      </c>
      <c r="J1061" s="10">
        <v>0</v>
      </c>
      <c r="L1061" t="s">
        <v>34</v>
      </c>
      <c r="M1061" t="s">
        <v>413</v>
      </c>
      <c r="N1061" t="s">
        <v>6201</v>
      </c>
      <c r="O1061" s="2">
        <v>45323</v>
      </c>
      <c r="P1061" s="2">
        <v>45688</v>
      </c>
      <c r="Q1061">
        <v>0</v>
      </c>
      <c r="R1061" t="s">
        <v>6202</v>
      </c>
    </row>
    <row r="1062" spans="1:18" x14ac:dyDescent="0.25">
      <c r="A1062" t="s">
        <v>2628</v>
      </c>
      <c r="B1062" t="s">
        <v>1336</v>
      </c>
      <c r="C1062" t="s">
        <v>50</v>
      </c>
      <c r="D1062" t="s">
        <v>21</v>
      </c>
      <c r="E1062" t="s">
        <v>108</v>
      </c>
      <c r="F1062" t="s">
        <v>32</v>
      </c>
      <c r="G1062" t="s">
        <v>2632</v>
      </c>
      <c r="H1062" s="10">
        <v>612722</v>
      </c>
      <c r="I1062" s="10">
        <v>0</v>
      </c>
      <c r="J1062" s="10">
        <v>0</v>
      </c>
      <c r="L1062" t="s">
        <v>42</v>
      </c>
      <c r="M1062" t="s">
        <v>26</v>
      </c>
      <c r="N1062" t="s">
        <v>2633</v>
      </c>
      <c r="O1062" s="2">
        <v>41548</v>
      </c>
      <c r="P1062" s="2">
        <v>43373</v>
      </c>
      <c r="Q1062">
        <v>0</v>
      </c>
      <c r="R1062" t="s">
        <v>2634</v>
      </c>
    </row>
    <row r="1063" spans="1:18" x14ac:dyDescent="0.25">
      <c r="A1063" t="s">
        <v>2628</v>
      </c>
      <c r="B1063" t="s">
        <v>1336</v>
      </c>
      <c r="C1063" t="s">
        <v>50</v>
      </c>
      <c r="D1063" t="s">
        <v>51</v>
      </c>
      <c r="E1063" t="s">
        <v>122</v>
      </c>
      <c r="F1063" t="s">
        <v>47</v>
      </c>
      <c r="G1063" t="s">
        <v>2635</v>
      </c>
      <c r="H1063" s="10">
        <v>784126</v>
      </c>
      <c r="I1063" s="10">
        <v>0</v>
      </c>
      <c r="J1063" s="10">
        <v>0</v>
      </c>
      <c r="L1063" t="s">
        <v>42</v>
      </c>
      <c r="M1063" t="s">
        <v>26</v>
      </c>
      <c r="N1063" t="s">
        <v>2636</v>
      </c>
      <c r="O1063" s="2">
        <v>43739</v>
      </c>
      <c r="P1063" s="2">
        <v>45565</v>
      </c>
      <c r="Q1063">
        <v>2</v>
      </c>
      <c r="R1063" t="s">
        <v>2637</v>
      </c>
    </row>
    <row r="1064" spans="1:18" x14ac:dyDescent="0.25">
      <c r="A1064" t="s">
        <v>2628</v>
      </c>
      <c r="B1064" t="s">
        <v>1336</v>
      </c>
      <c r="C1064" t="s">
        <v>50</v>
      </c>
      <c r="D1064" t="s">
        <v>51</v>
      </c>
      <c r="E1064" t="s">
        <v>127</v>
      </c>
      <c r="F1064" t="s">
        <v>23</v>
      </c>
      <c r="G1064" t="s">
        <v>2629</v>
      </c>
      <c r="H1064" s="10">
        <v>1017450</v>
      </c>
      <c r="I1064" s="10">
        <v>0</v>
      </c>
      <c r="J1064" s="10">
        <v>0</v>
      </c>
      <c r="L1064" t="s">
        <v>42</v>
      </c>
      <c r="M1064" t="s">
        <v>26</v>
      </c>
      <c r="N1064" t="s">
        <v>2630</v>
      </c>
      <c r="O1064" s="2">
        <v>44835</v>
      </c>
      <c r="P1064" s="2">
        <v>46660</v>
      </c>
      <c r="Q1064">
        <v>0</v>
      </c>
      <c r="R1064" t="s">
        <v>2631</v>
      </c>
    </row>
    <row r="1065" spans="1:18" x14ac:dyDescent="0.25">
      <c r="A1065" t="s">
        <v>2638</v>
      </c>
      <c r="B1065" t="s">
        <v>4491</v>
      </c>
      <c r="C1065" t="s">
        <v>38</v>
      </c>
      <c r="D1065" t="s">
        <v>21</v>
      </c>
      <c r="E1065" t="s">
        <v>287</v>
      </c>
      <c r="F1065" t="s">
        <v>32</v>
      </c>
      <c r="G1065" t="s">
        <v>2639</v>
      </c>
      <c r="H1065" s="10">
        <v>339678</v>
      </c>
      <c r="I1065" s="10">
        <v>0</v>
      </c>
      <c r="J1065" s="10">
        <v>0</v>
      </c>
      <c r="L1065" t="s">
        <v>55</v>
      </c>
      <c r="M1065" t="s">
        <v>26</v>
      </c>
      <c r="N1065" t="s">
        <v>2640</v>
      </c>
      <c r="O1065" s="2">
        <v>40634</v>
      </c>
      <c r="P1065" s="2">
        <v>41729</v>
      </c>
      <c r="Q1065">
        <v>1</v>
      </c>
      <c r="R1065" t="s">
        <v>2641</v>
      </c>
    </row>
    <row r="1066" spans="1:18" x14ac:dyDescent="0.25">
      <c r="A1066" t="s">
        <v>2638</v>
      </c>
      <c r="B1066" t="s">
        <v>4491</v>
      </c>
      <c r="C1066" t="s">
        <v>38</v>
      </c>
      <c r="D1066" t="s">
        <v>21</v>
      </c>
      <c r="E1066" t="s">
        <v>534</v>
      </c>
      <c r="F1066" t="s">
        <v>32</v>
      </c>
      <c r="G1066" t="s">
        <v>2642</v>
      </c>
      <c r="H1066" s="10">
        <v>706460</v>
      </c>
      <c r="I1066" s="10">
        <v>0</v>
      </c>
      <c r="J1066" s="10">
        <v>0</v>
      </c>
      <c r="L1066" t="s">
        <v>42</v>
      </c>
      <c r="M1066" t="s">
        <v>26</v>
      </c>
      <c r="N1066" t="s">
        <v>2643</v>
      </c>
      <c r="O1066" s="2">
        <v>40817</v>
      </c>
      <c r="P1066" s="2">
        <v>42643</v>
      </c>
      <c r="Q1066">
        <v>0</v>
      </c>
      <c r="R1066" t="s">
        <v>2644</v>
      </c>
    </row>
    <row r="1067" spans="1:18" x14ac:dyDescent="0.25">
      <c r="A1067" t="s">
        <v>2638</v>
      </c>
      <c r="B1067" t="s">
        <v>4491</v>
      </c>
      <c r="C1067" t="s">
        <v>38</v>
      </c>
      <c r="D1067" t="s">
        <v>21</v>
      </c>
      <c r="E1067" t="s">
        <v>22</v>
      </c>
      <c r="F1067" t="s">
        <v>32</v>
      </c>
      <c r="G1067" t="s">
        <v>2645</v>
      </c>
      <c r="H1067" s="10">
        <v>686375</v>
      </c>
      <c r="I1067" s="10">
        <v>0</v>
      </c>
      <c r="J1067" s="10">
        <v>0</v>
      </c>
      <c r="L1067" t="s">
        <v>42</v>
      </c>
      <c r="M1067" t="s">
        <v>26</v>
      </c>
      <c r="N1067" t="s">
        <v>289</v>
      </c>
      <c r="O1067" s="2">
        <v>41365</v>
      </c>
      <c r="P1067" s="2">
        <v>43190</v>
      </c>
      <c r="Q1067">
        <v>0</v>
      </c>
      <c r="R1067" t="s">
        <v>2646</v>
      </c>
    </row>
    <row r="1068" spans="1:18" x14ac:dyDescent="0.25">
      <c r="A1068" t="s">
        <v>2638</v>
      </c>
      <c r="B1068" t="s">
        <v>4491</v>
      </c>
      <c r="C1068" t="s">
        <v>38</v>
      </c>
      <c r="D1068" t="s">
        <v>51</v>
      </c>
      <c r="E1068" t="s">
        <v>167</v>
      </c>
      <c r="F1068" t="s">
        <v>32</v>
      </c>
      <c r="G1068" t="s">
        <v>2652</v>
      </c>
      <c r="H1068" s="10">
        <v>992014</v>
      </c>
      <c r="I1068" s="10">
        <v>0</v>
      </c>
      <c r="J1068" s="10">
        <v>0</v>
      </c>
      <c r="L1068" t="s">
        <v>42</v>
      </c>
      <c r="M1068" t="s">
        <v>26</v>
      </c>
      <c r="N1068" t="s">
        <v>382</v>
      </c>
      <c r="O1068" s="2">
        <v>45017</v>
      </c>
      <c r="P1068" s="2">
        <v>46843</v>
      </c>
      <c r="Q1068">
        <v>0</v>
      </c>
      <c r="R1068" t="s">
        <v>2653</v>
      </c>
    </row>
    <row r="1069" spans="1:18" x14ac:dyDescent="0.25">
      <c r="A1069" t="s">
        <v>2638</v>
      </c>
      <c r="B1069" t="s">
        <v>4491</v>
      </c>
      <c r="C1069" t="s">
        <v>38</v>
      </c>
      <c r="D1069" t="s">
        <v>51</v>
      </c>
      <c r="E1069" t="s">
        <v>127</v>
      </c>
      <c r="F1069" t="s">
        <v>32</v>
      </c>
      <c r="G1069" t="s">
        <v>2650</v>
      </c>
      <c r="H1069" s="10">
        <v>1162800</v>
      </c>
      <c r="I1069" s="10">
        <v>0</v>
      </c>
      <c r="J1069" s="10">
        <v>0</v>
      </c>
      <c r="L1069" t="s">
        <v>42</v>
      </c>
      <c r="M1069" t="s">
        <v>26</v>
      </c>
      <c r="N1069" t="s">
        <v>1329</v>
      </c>
      <c r="O1069" s="2">
        <v>45108</v>
      </c>
      <c r="P1069" s="2">
        <v>46934</v>
      </c>
      <c r="Q1069">
        <v>0</v>
      </c>
      <c r="R1069" t="s">
        <v>2651</v>
      </c>
    </row>
    <row r="1070" spans="1:18" x14ac:dyDescent="0.25">
      <c r="A1070" t="s">
        <v>2638</v>
      </c>
      <c r="B1070" t="s">
        <v>4491</v>
      </c>
      <c r="C1070" t="s">
        <v>38</v>
      </c>
      <c r="D1070" t="s">
        <v>64</v>
      </c>
      <c r="E1070" t="s">
        <v>929</v>
      </c>
      <c r="F1070" t="s">
        <v>32</v>
      </c>
      <c r="G1070" t="s">
        <v>2647</v>
      </c>
      <c r="H1070" s="10">
        <v>100000</v>
      </c>
      <c r="I1070" s="10">
        <v>0</v>
      </c>
      <c r="J1070" s="10">
        <v>0</v>
      </c>
      <c r="L1070" t="s">
        <v>34</v>
      </c>
      <c r="M1070" t="s">
        <v>26</v>
      </c>
      <c r="N1070" t="s">
        <v>2648</v>
      </c>
      <c r="O1070" s="2">
        <v>45200</v>
      </c>
      <c r="P1070" s="2">
        <v>45565</v>
      </c>
      <c r="Q1070">
        <v>0</v>
      </c>
      <c r="R1070" t="s">
        <v>2649</v>
      </c>
    </row>
    <row r="1071" spans="1:18" x14ac:dyDescent="0.25">
      <c r="A1071" t="s">
        <v>5224</v>
      </c>
      <c r="B1071" t="s">
        <v>114</v>
      </c>
      <c r="C1071" t="s">
        <v>20</v>
      </c>
      <c r="D1071" t="s">
        <v>5165</v>
      </c>
      <c r="E1071" t="s">
        <v>5191</v>
      </c>
      <c r="F1071" t="s">
        <v>4554</v>
      </c>
      <c r="G1071" t="s">
        <v>5225</v>
      </c>
      <c r="H1071" s="10">
        <v>1250000</v>
      </c>
      <c r="I1071" s="10">
        <v>0</v>
      </c>
      <c r="J1071" s="10">
        <v>0</v>
      </c>
      <c r="L1071" t="s">
        <v>42</v>
      </c>
      <c r="M1071" t="s">
        <v>111</v>
      </c>
      <c r="N1071" t="s">
        <v>5850</v>
      </c>
      <c r="O1071" s="2">
        <v>41730</v>
      </c>
      <c r="P1071" s="2">
        <v>43555</v>
      </c>
      <c r="Q1071">
        <v>1</v>
      </c>
      <c r="R1071" t="s">
        <v>5849</v>
      </c>
    </row>
    <row r="1072" spans="1:18" x14ac:dyDescent="0.25">
      <c r="A1072" t="s">
        <v>4870</v>
      </c>
      <c r="B1072" t="s">
        <v>114</v>
      </c>
      <c r="C1072" t="s">
        <v>20</v>
      </c>
      <c r="D1072" t="s">
        <v>4557</v>
      </c>
      <c r="E1072" t="s">
        <v>4562</v>
      </c>
      <c r="F1072" t="s">
        <v>4559</v>
      </c>
      <c r="G1072" t="s">
        <v>4871</v>
      </c>
      <c r="H1072" s="10">
        <v>551700</v>
      </c>
      <c r="I1072" s="10">
        <v>0</v>
      </c>
      <c r="J1072" s="10">
        <v>0</v>
      </c>
      <c r="L1072" t="s">
        <v>55</v>
      </c>
      <c r="M1072" t="s">
        <v>111</v>
      </c>
      <c r="N1072" t="s">
        <v>5904</v>
      </c>
      <c r="O1072" s="2">
        <v>43922</v>
      </c>
      <c r="P1072" s="2">
        <v>45016</v>
      </c>
      <c r="Q1072">
        <v>0</v>
      </c>
      <c r="R1072" t="s">
        <v>5903</v>
      </c>
    </row>
    <row r="1073" spans="1:18" x14ac:dyDescent="0.25">
      <c r="A1073" t="s">
        <v>5417</v>
      </c>
      <c r="B1073" t="s">
        <v>721</v>
      </c>
      <c r="C1073" t="s">
        <v>20</v>
      </c>
      <c r="D1073" t="s">
        <v>51</v>
      </c>
      <c r="E1073" t="s">
        <v>70</v>
      </c>
      <c r="F1073" t="s">
        <v>109</v>
      </c>
      <c r="G1073" t="s">
        <v>2654</v>
      </c>
      <c r="H1073" s="10">
        <v>692326</v>
      </c>
      <c r="I1073" s="10">
        <v>0</v>
      </c>
      <c r="J1073" s="10">
        <v>0</v>
      </c>
      <c r="L1073" t="s">
        <v>42</v>
      </c>
      <c r="M1073" t="s">
        <v>26</v>
      </c>
      <c r="N1073" t="s">
        <v>458</v>
      </c>
      <c r="O1073" s="2">
        <v>45200</v>
      </c>
      <c r="P1073" s="2">
        <v>47026</v>
      </c>
      <c r="Q1073">
        <v>0</v>
      </c>
      <c r="R1073" t="s">
        <v>2655</v>
      </c>
    </row>
    <row r="1074" spans="1:18" x14ac:dyDescent="0.25">
      <c r="A1074" t="s">
        <v>4872</v>
      </c>
      <c r="B1074" t="s">
        <v>721</v>
      </c>
      <c r="C1074" t="s">
        <v>20</v>
      </c>
      <c r="D1074" t="s">
        <v>4557</v>
      </c>
      <c r="E1074" t="s">
        <v>4567</v>
      </c>
      <c r="F1074" t="s">
        <v>4559</v>
      </c>
      <c r="G1074" t="s">
        <v>4873</v>
      </c>
      <c r="H1074" s="10">
        <v>126440</v>
      </c>
      <c r="I1074" s="10">
        <v>0</v>
      </c>
      <c r="J1074" s="10">
        <v>0</v>
      </c>
      <c r="L1074" t="s">
        <v>55</v>
      </c>
      <c r="M1074" t="s">
        <v>26</v>
      </c>
      <c r="N1074" t="s">
        <v>5913</v>
      </c>
      <c r="O1074" s="2">
        <v>41730</v>
      </c>
      <c r="P1074" s="2">
        <v>42825</v>
      </c>
      <c r="Q1074">
        <v>2</v>
      </c>
      <c r="R1074" t="s">
        <v>5912</v>
      </c>
    </row>
    <row r="1075" spans="1:18" x14ac:dyDescent="0.25">
      <c r="A1075" t="s">
        <v>4874</v>
      </c>
      <c r="B1075" t="s">
        <v>721</v>
      </c>
      <c r="C1075" t="s">
        <v>20</v>
      </c>
      <c r="D1075" t="s">
        <v>4557</v>
      </c>
      <c r="E1075" t="s">
        <v>4581</v>
      </c>
      <c r="F1075" t="s">
        <v>4559</v>
      </c>
      <c r="G1075" t="s">
        <v>4875</v>
      </c>
      <c r="H1075" s="10">
        <v>188350</v>
      </c>
      <c r="I1075" s="10">
        <v>10000</v>
      </c>
      <c r="J1075" s="10">
        <v>0</v>
      </c>
      <c r="L1075" t="s">
        <v>55</v>
      </c>
      <c r="M1075" t="s">
        <v>26</v>
      </c>
      <c r="N1075" t="s">
        <v>569</v>
      </c>
      <c r="O1075" s="2">
        <v>43556</v>
      </c>
      <c r="P1075" s="2">
        <v>44651</v>
      </c>
      <c r="Q1075">
        <v>1</v>
      </c>
      <c r="R1075" t="s">
        <v>5544</v>
      </c>
    </row>
    <row r="1076" spans="1:18" x14ac:dyDescent="0.25">
      <c r="A1076" t="s">
        <v>5418</v>
      </c>
      <c r="B1076" t="s">
        <v>5063</v>
      </c>
      <c r="C1076" t="s">
        <v>38</v>
      </c>
      <c r="D1076" t="s">
        <v>51</v>
      </c>
      <c r="E1076" t="s">
        <v>186</v>
      </c>
      <c r="F1076" t="s">
        <v>23</v>
      </c>
      <c r="G1076" t="s">
        <v>2656</v>
      </c>
      <c r="H1076" s="10">
        <v>1514700</v>
      </c>
      <c r="I1076" s="10">
        <v>0</v>
      </c>
      <c r="J1076" s="10">
        <v>0</v>
      </c>
      <c r="L1076" t="s">
        <v>2657</v>
      </c>
      <c r="M1076" t="s">
        <v>26</v>
      </c>
      <c r="N1076" t="s">
        <v>261</v>
      </c>
      <c r="O1076" s="2">
        <v>44470</v>
      </c>
      <c r="P1076" s="2">
        <v>48121</v>
      </c>
      <c r="Q1076">
        <v>0</v>
      </c>
      <c r="R1076" t="s">
        <v>2658</v>
      </c>
    </row>
    <row r="1077" spans="1:18" x14ac:dyDescent="0.25">
      <c r="A1077" t="s">
        <v>4876</v>
      </c>
      <c r="B1077" t="s">
        <v>114</v>
      </c>
      <c r="C1077" t="s">
        <v>20</v>
      </c>
      <c r="D1077" t="s">
        <v>4557</v>
      </c>
      <c r="E1077" t="s">
        <v>4597</v>
      </c>
      <c r="F1077" t="s">
        <v>4559</v>
      </c>
      <c r="G1077" t="s">
        <v>4877</v>
      </c>
      <c r="H1077" s="10">
        <v>241032</v>
      </c>
      <c r="I1077" s="10">
        <v>0</v>
      </c>
      <c r="J1077" s="10">
        <v>0</v>
      </c>
      <c r="L1077" t="s">
        <v>55</v>
      </c>
      <c r="M1077" t="s">
        <v>94</v>
      </c>
      <c r="N1077" t="s">
        <v>5553</v>
      </c>
      <c r="O1077" s="2">
        <v>42095</v>
      </c>
      <c r="P1077" s="2">
        <v>43190</v>
      </c>
      <c r="Q1077">
        <v>0</v>
      </c>
      <c r="R1077" t="s">
        <v>5552</v>
      </c>
    </row>
    <row r="1078" spans="1:18" x14ac:dyDescent="0.25">
      <c r="A1078" t="s">
        <v>2659</v>
      </c>
      <c r="B1078" t="s">
        <v>49</v>
      </c>
      <c r="C1078" t="s">
        <v>50</v>
      </c>
      <c r="D1078" t="s">
        <v>21</v>
      </c>
      <c r="E1078" t="s">
        <v>172</v>
      </c>
      <c r="F1078" t="s">
        <v>23</v>
      </c>
      <c r="G1078" t="s">
        <v>2660</v>
      </c>
      <c r="H1078" s="10">
        <v>390802</v>
      </c>
      <c r="I1078" s="10">
        <v>0</v>
      </c>
      <c r="J1078" s="10">
        <v>0</v>
      </c>
      <c r="L1078" t="s">
        <v>55</v>
      </c>
      <c r="M1078" t="s">
        <v>26</v>
      </c>
      <c r="N1078" t="s">
        <v>2661</v>
      </c>
      <c r="O1078" s="2">
        <v>40452</v>
      </c>
      <c r="P1078" s="2">
        <v>41547</v>
      </c>
      <c r="Q1078">
        <v>0</v>
      </c>
      <c r="R1078" t="s">
        <v>2662</v>
      </c>
    </row>
    <row r="1079" spans="1:18" x14ac:dyDescent="0.25">
      <c r="A1079" t="s">
        <v>2659</v>
      </c>
      <c r="B1079" t="s">
        <v>49</v>
      </c>
      <c r="C1079" t="s">
        <v>50</v>
      </c>
      <c r="D1079" t="s">
        <v>99</v>
      </c>
      <c r="E1079" t="s">
        <v>100</v>
      </c>
      <c r="F1079" t="s">
        <v>101</v>
      </c>
      <c r="G1079" t="s">
        <v>2663</v>
      </c>
      <c r="H1079" s="10">
        <v>150072</v>
      </c>
      <c r="I1079" s="10">
        <v>0</v>
      </c>
      <c r="J1079" s="10">
        <v>0</v>
      </c>
      <c r="L1079" t="s">
        <v>34</v>
      </c>
      <c r="M1079" t="s">
        <v>94</v>
      </c>
      <c r="N1079" t="s">
        <v>2664</v>
      </c>
      <c r="O1079" s="2">
        <v>43983</v>
      </c>
      <c r="P1079" s="2">
        <v>44347</v>
      </c>
      <c r="Q1079">
        <v>1</v>
      </c>
      <c r="R1079" t="s">
        <v>2665</v>
      </c>
    </row>
    <row r="1080" spans="1:18" x14ac:dyDescent="0.25">
      <c r="A1080" t="s">
        <v>2666</v>
      </c>
      <c r="B1080" t="s">
        <v>107</v>
      </c>
      <c r="C1080" t="s">
        <v>38</v>
      </c>
      <c r="D1080" t="s">
        <v>21</v>
      </c>
      <c r="E1080" t="s">
        <v>572</v>
      </c>
      <c r="F1080" t="s">
        <v>47</v>
      </c>
      <c r="G1080" t="s">
        <v>2669</v>
      </c>
      <c r="H1080" s="10">
        <v>841225</v>
      </c>
      <c r="I1080" s="10">
        <v>0</v>
      </c>
      <c r="J1080" s="10">
        <v>0</v>
      </c>
      <c r="L1080" t="s">
        <v>42</v>
      </c>
      <c r="M1080" t="s">
        <v>26</v>
      </c>
      <c r="N1080" t="s">
        <v>2310</v>
      </c>
      <c r="O1080" s="2">
        <v>41730</v>
      </c>
      <c r="P1080" s="2">
        <v>42551</v>
      </c>
      <c r="Q1080">
        <v>0</v>
      </c>
      <c r="R1080" t="s">
        <v>2670</v>
      </c>
    </row>
    <row r="1081" spans="1:18" x14ac:dyDescent="0.25">
      <c r="A1081" t="s">
        <v>2666</v>
      </c>
      <c r="B1081" t="s">
        <v>107</v>
      </c>
      <c r="C1081" t="s">
        <v>38</v>
      </c>
      <c r="D1081" t="s">
        <v>51</v>
      </c>
      <c r="E1081" t="s">
        <v>70</v>
      </c>
      <c r="F1081" t="s">
        <v>32</v>
      </c>
      <c r="G1081" t="s">
        <v>2667</v>
      </c>
      <c r="H1081" s="10">
        <v>1277550</v>
      </c>
      <c r="I1081" s="10">
        <v>0</v>
      </c>
      <c r="J1081" s="10">
        <v>0</v>
      </c>
      <c r="L1081" t="s">
        <v>42</v>
      </c>
      <c r="M1081" t="s">
        <v>26</v>
      </c>
      <c r="N1081" t="s">
        <v>1329</v>
      </c>
      <c r="O1081" s="2">
        <v>45200</v>
      </c>
      <c r="P1081" s="2">
        <v>47026</v>
      </c>
      <c r="Q1081">
        <v>0</v>
      </c>
      <c r="R1081" t="s">
        <v>2668</v>
      </c>
    </row>
    <row r="1082" spans="1:18" x14ac:dyDescent="0.25">
      <c r="A1082" t="s">
        <v>2666</v>
      </c>
      <c r="B1082" t="s">
        <v>107</v>
      </c>
      <c r="C1082" t="s">
        <v>38</v>
      </c>
      <c r="D1082" t="s">
        <v>30</v>
      </c>
      <c r="E1082" t="s">
        <v>31</v>
      </c>
      <c r="F1082" t="s">
        <v>32</v>
      </c>
      <c r="G1082" t="s">
        <v>2667</v>
      </c>
      <c r="H1082" s="10">
        <v>100000</v>
      </c>
      <c r="I1082" s="10">
        <v>0</v>
      </c>
      <c r="J1082" s="10">
        <v>0</v>
      </c>
      <c r="L1082" t="s">
        <v>34</v>
      </c>
      <c r="M1082" t="s">
        <v>26</v>
      </c>
      <c r="N1082" t="s">
        <v>1329</v>
      </c>
      <c r="O1082" s="2">
        <v>45200</v>
      </c>
      <c r="P1082" s="2">
        <v>47026</v>
      </c>
      <c r="Q1082">
        <v>0</v>
      </c>
      <c r="R1082" t="s">
        <v>2668</v>
      </c>
    </row>
    <row r="1083" spans="1:18" x14ac:dyDescent="0.25">
      <c r="A1083" t="s">
        <v>2666</v>
      </c>
      <c r="B1083" t="s">
        <v>107</v>
      </c>
      <c r="C1083" t="s">
        <v>38</v>
      </c>
      <c r="D1083" t="s">
        <v>30</v>
      </c>
      <c r="E1083" t="s">
        <v>1070</v>
      </c>
      <c r="F1083" t="s">
        <v>47</v>
      </c>
      <c r="G1083" t="s">
        <v>2671</v>
      </c>
      <c r="H1083" s="10">
        <v>100000</v>
      </c>
      <c r="I1083" s="10">
        <v>0</v>
      </c>
      <c r="J1083" s="10">
        <v>0</v>
      </c>
      <c r="L1083" t="s">
        <v>34</v>
      </c>
      <c r="M1083" t="s">
        <v>26</v>
      </c>
      <c r="N1083" t="s">
        <v>72</v>
      </c>
      <c r="O1083" s="2">
        <v>45383</v>
      </c>
      <c r="P1083" s="2">
        <v>47208</v>
      </c>
      <c r="Q1083">
        <v>0</v>
      </c>
      <c r="R1083" t="s">
        <v>2672</v>
      </c>
    </row>
    <row r="1084" spans="1:18" x14ac:dyDescent="0.25">
      <c r="A1084" t="s">
        <v>2673</v>
      </c>
      <c r="B1084" t="s">
        <v>721</v>
      </c>
      <c r="C1084" t="s">
        <v>20</v>
      </c>
      <c r="D1084" t="s">
        <v>21</v>
      </c>
      <c r="E1084" t="s">
        <v>549</v>
      </c>
      <c r="F1084" t="s">
        <v>32</v>
      </c>
      <c r="G1084" t="s">
        <v>2677</v>
      </c>
      <c r="H1084" s="10">
        <v>695582</v>
      </c>
      <c r="I1084" s="10">
        <v>0</v>
      </c>
      <c r="J1084" s="10">
        <v>0</v>
      </c>
      <c r="L1084" t="s">
        <v>42</v>
      </c>
      <c r="M1084" t="s">
        <v>26</v>
      </c>
      <c r="N1084" t="s">
        <v>864</v>
      </c>
      <c r="O1084" s="2">
        <v>42186</v>
      </c>
      <c r="P1084" s="2">
        <v>44377</v>
      </c>
      <c r="Q1084">
        <v>0</v>
      </c>
      <c r="R1084" t="s">
        <v>2678</v>
      </c>
    </row>
    <row r="1085" spans="1:18" x14ac:dyDescent="0.25">
      <c r="A1085" t="s">
        <v>2673</v>
      </c>
      <c r="B1085" t="s">
        <v>721</v>
      </c>
      <c r="C1085" t="s">
        <v>20</v>
      </c>
      <c r="D1085" t="s">
        <v>51</v>
      </c>
      <c r="E1085" t="s">
        <v>186</v>
      </c>
      <c r="F1085" t="s">
        <v>128</v>
      </c>
      <c r="G1085" t="s">
        <v>2674</v>
      </c>
      <c r="H1085" s="10">
        <v>887400</v>
      </c>
      <c r="I1085" s="10">
        <v>0</v>
      </c>
      <c r="J1085" s="10">
        <v>0</v>
      </c>
      <c r="L1085" t="s">
        <v>42</v>
      </c>
      <c r="M1085" t="s">
        <v>26</v>
      </c>
      <c r="N1085" t="s">
        <v>2675</v>
      </c>
      <c r="O1085" s="2">
        <v>44470</v>
      </c>
      <c r="P1085" s="2">
        <v>46295</v>
      </c>
      <c r="Q1085">
        <v>0</v>
      </c>
      <c r="R1085" t="s">
        <v>2676</v>
      </c>
    </row>
    <row r="1086" spans="1:18" x14ac:dyDescent="0.25">
      <c r="A1086" t="s">
        <v>2679</v>
      </c>
      <c r="B1086" t="s">
        <v>710</v>
      </c>
      <c r="C1086" t="s">
        <v>711</v>
      </c>
      <c r="D1086" t="s">
        <v>21</v>
      </c>
      <c r="E1086" t="s">
        <v>194</v>
      </c>
      <c r="F1086" t="s">
        <v>47</v>
      </c>
      <c r="G1086" t="s">
        <v>2680</v>
      </c>
      <c r="H1086" s="11">
        <v>729830</v>
      </c>
      <c r="I1086" s="11">
        <v>0</v>
      </c>
      <c r="J1086" s="11">
        <v>0</v>
      </c>
      <c r="L1086" t="s">
        <v>42</v>
      </c>
      <c r="M1086" t="s">
        <v>26</v>
      </c>
      <c r="N1086" t="s">
        <v>2681</v>
      </c>
      <c r="O1086" s="2">
        <v>40087</v>
      </c>
      <c r="P1086" s="2">
        <v>41912</v>
      </c>
      <c r="Q1086">
        <v>1</v>
      </c>
      <c r="R1086" t="s">
        <v>2682</v>
      </c>
    </row>
    <row r="1087" spans="1:18" x14ac:dyDescent="0.25">
      <c r="A1087" t="s">
        <v>2683</v>
      </c>
      <c r="B1087" t="s">
        <v>162</v>
      </c>
      <c r="C1087" t="s">
        <v>149</v>
      </c>
      <c r="D1087" t="s">
        <v>21</v>
      </c>
      <c r="E1087" t="s">
        <v>377</v>
      </c>
      <c r="F1087" t="s">
        <v>53</v>
      </c>
      <c r="G1087" t="s">
        <v>2690</v>
      </c>
      <c r="H1087" s="10">
        <v>459602</v>
      </c>
      <c r="I1087" s="10">
        <v>0</v>
      </c>
      <c r="J1087" s="10">
        <v>0</v>
      </c>
      <c r="L1087" t="s">
        <v>2691</v>
      </c>
      <c r="M1087" t="s">
        <v>111</v>
      </c>
      <c r="N1087" t="s">
        <v>2685</v>
      </c>
      <c r="O1087" s="2">
        <v>41183</v>
      </c>
      <c r="P1087" s="2">
        <v>42460</v>
      </c>
      <c r="Q1087">
        <v>2</v>
      </c>
      <c r="R1087" t="s">
        <v>2692</v>
      </c>
    </row>
    <row r="1088" spans="1:18" x14ac:dyDescent="0.25">
      <c r="A1088" t="s">
        <v>2683</v>
      </c>
      <c r="B1088" t="s">
        <v>162</v>
      </c>
      <c r="C1088" t="s">
        <v>149</v>
      </c>
      <c r="D1088" t="s">
        <v>21</v>
      </c>
      <c r="E1088" t="s">
        <v>108</v>
      </c>
      <c r="F1088" t="s">
        <v>53</v>
      </c>
      <c r="G1088" t="s">
        <v>2684</v>
      </c>
      <c r="H1088" s="10">
        <v>661685</v>
      </c>
      <c r="I1088" s="10">
        <v>0</v>
      </c>
      <c r="J1088" s="10">
        <v>0</v>
      </c>
      <c r="L1088" t="s">
        <v>25</v>
      </c>
      <c r="M1088" t="s">
        <v>111</v>
      </c>
      <c r="N1088" t="s">
        <v>2685</v>
      </c>
      <c r="O1088" s="2">
        <v>41548</v>
      </c>
      <c r="P1088" s="2">
        <v>43190</v>
      </c>
      <c r="Q1088">
        <v>0</v>
      </c>
      <c r="R1088" t="s">
        <v>2686</v>
      </c>
    </row>
    <row r="1089" spans="1:18" x14ac:dyDescent="0.25">
      <c r="A1089" t="s">
        <v>2683</v>
      </c>
      <c r="B1089" t="s">
        <v>162</v>
      </c>
      <c r="C1089" t="s">
        <v>149</v>
      </c>
      <c r="D1089" t="s">
        <v>21</v>
      </c>
      <c r="E1089" t="s">
        <v>572</v>
      </c>
      <c r="F1089" t="s">
        <v>53</v>
      </c>
      <c r="G1089" t="s">
        <v>2687</v>
      </c>
      <c r="H1089" s="10">
        <v>994127</v>
      </c>
      <c r="I1089" s="10">
        <v>0</v>
      </c>
      <c r="J1089" s="10">
        <v>0</v>
      </c>
      <c r="L1089" t="s">
        <v>42</v>
      </c>
      <c r="M1089" t="s">
        <v>111</v>
      </c>
      <c r="N1089" t="s">
        <v>2688</v>
      </c>
      <c r="O1089" s="2">
        <v>41730</v>
      </c>
      <c r="P1089" s="2">
        <v>43555</v>
      </c>
      <c r="Q1089">
        <v>1</v>
      </c>
      <c r="R1089" t="s">
        <v>2689</v>
      </c>
    </row>
    <row r="1090" spans="1:18" x14ac:dyDescent="0.25">
      <c r="A1090" t="s">
        <v>4878</v>
      </c>
      <c r="B1090" t="s">
        <v>114</v>
      </c>
      <c r="C1090" t="s">
        <v>20</v>
      </c>
      <c r="D1090" t="s">
        <v>4557</v>
      </c>
      <c r="E1090" t="s">
        <v>4562</v>
      </c>
      <c r="F1090" t="s">
        <v>4559</v>
      </c>
      <c r="G1090" t="s">
        <v>4879</v>
      </c>
      <c r="H1090" s="10">
        <v>297385</v>
      </c>
      <c r="I1090" s="10">
        <v>4064</v>
      </c>
      <c r="J1090" s="10">
        <v>0</v>
      </c>
      <c r="L1090" t="s">
        <v>55</v>
      </c>
      <c r="M1090" t="s">
        <v>111</v>
      </c>
      <c r="N1090" t="s">
        <v>6084</v>
      </c>
      <c r="O1090" s="2">
        <v>43922</v>
      </c>
      <c r="P1090" s="2">
        <v>45016</v>
      </c>
      <c r="Q1090">
        <v>0</v>
      </c>
      <c r="R1090" t="s">
        <v>6083</v>
      </c>
    </row>
    <row r="1091" spans="1:18" x14ac:dyDescent="0.25">
      <c r="A1091" t="s">
        <v>2693</v>
      </c>
      <c r="B1091" t="s">
        <v>5063</v>
      </c>
      <c r="C1091" t="s">
        <v>38</v>
      </c>
      <c r="D1091" t="s">
        <v>21</v>
      </c>
      <c r="E1091" t="s">
        <v>74</v>
      </c>
      <c r="F1091" t="s">
        <v>53</v>
      </c>
      <c r="G1091" t="s">
        <v>2696</v>
      </c>
      <c r="H1091" s="10">
        <v>454098</v>
      </c>
      <c r="I1091" s="10">
        <v>0</v>
      </c>
      <c r="J1091" s="10">
        <v>0</v>
      </c>
      <c r="L1091" t="s">
        <v>25</v>
      </c>
      <c r="M1091" t="s">
        <v>204</v>
      </c>
      <c r="N1091" t="s">
        <v>2697</v>
      </c>
      <c r="O1091" s="2">
        <v>41000</v>
      </c>
      <c r="P1091" s="2">
        <v>42460</v>
      </c>
      <c r="Q1091">
        <v>1</v>
      </c>
      <c r="R1091" t="s">
        <v>2698</v>
      </c>
    </row>
    <row r="1092" spans="1:18" x14ac:dyDescent="0.25">
      <c r="A1092" t="s">
        <v>5419</v>
      </c>
      <c r="B1092" t="s">
        <v>5063</v>
      </c>
      <c r="C1092" t="s">
        <v>38</v>
      </c>
      <c r="D1092" t="s">
        <v>51</v>
      </c>
      <c r="E1092" t="s">
        <v>167</v>
      </c>
      <c r="F1092" t="s">
        <v>53</v>
      </c>
      <c r="G1092" t="s">
        <v>2694</v>
      </c>
      <c r="H1092" s="10">
        <v>734400</v>
      </c>
      <c r="I1092" s="10">
        <v>0</v>
      </c>
      <c r="J1092" s="10">
        <v>0</v>
      </c>
      <c r="L1092" t="s">
        <v>42</v>
      </c>
      <c r="M1092" t="s">
        <v>217</v>
      </c>
      <c r="N1092" t="s">
        <v>339</v>
      </c>
      <c r="O1092" s="2">
        <v>45017</v>
      </c>
      <c r="P1092" s="2">
        <v>46843</v>
      </c>
      <c r="Q1092">
        <v>0</v>
      </c>
      <c r="R1092" t="s">
        <v>2695</v>
      </c>
    </row>
    <row r="1093" spans="1:18" x14ac:dyDescent="0.25">
      <c r="A1093" t="s">
        <v>2699</v>
      </c>
      <c r="B1093" t="s">
        <v>49</v>
      </c>
      <c r="C1093" t="s">
        <v>50</v>
      </c>
      <c r="D1093" t="s">
        <v>21</v>
      </c>
      <c r="E1093" t="s">
        <v>287</v>
      </c>
      <c r="F1093" t="s">
        <v>23</v>
      </c>
      <c r="G1093" t="s">
        <v>2700</v>
      </c>
      <c r="H1093" s="10">
        <v>405657</v>
      </c>
      <c r="I1093" s="10">
        <v>0</v>
      </c>
      <c r="J1093" s="10">
        <v>0</v>
      </c>
      <c r="L1093" t="s">
        <v>55</v>
      </c>
      <c r="M1093" t="s">
        <v>26</v>
      </c>
      <c r="N1093" t="s">
        <v>1565</v>
      </c>
      <c r="O1093" s="2">
        <v>40634</v>
      </c>
      <c r="P1093" s="2">
        <v>41729</v>
      </c>
      <c r="Q1093">
        <v>0</v>
      </c>
      <c r="R1093" t="s">
        <v>2701</v>
      </c>
    </row>
    <row r="1094" spans="1:18" x14ac:dyDescent="0.25">
      <c r="A1094" t="s">
        <v>4880</v>
      </c>
      <c r="B1094" t="s">
        <v>49</v>
      </c>
      <c r="C1094" t="s">
        <v>50</v>
      </c>
      <c r="D1094" t="s">
        <v>4557</v>
      </c>
      <c r="E1094" t="s">
        <v>4581</v>
      </c>
      <c r="F1094" t="s">
        <v>4559</v>
      </c>
      <c r="G1094" t="s">
        <v>4881</v>
      </c>
      <c r="H1094" s="10">
        <v>390330</v>
      </c>
      <c r="I1094" s="10">
        <v>18000</v>
      </c>
      <c r="J1094" s="10">
        <v>0</v>
      </c>
      <c r="L1094" t="s">
        <v>55</v>
      </c>
      <c r="M1094" t="s">
        <v>103</v>
      </c>
      <c r="N1094" t="s">
        <v>5543</v>
      </c>
      <c r="O1094" s="2">
        <v>43556</v>
      </c>
      <c r="P1094" s="2">
        <v>44651</v>
      </c>
      <c r="Q1094">
        <v>0</v>
      </c>
      <c r="R1094" t="s">
        <v>5542</v>
      </c>
    </row>
    <row r="1095" spans="1:18" x14ac:dyDescent="0.25">
      <c r="A1095" t="s">
        <v>5095</v>
      </c>
      <c r="B1095" t="s">
        <v>49</v>
      </c>
      <c r="C1095" t="s">
        <v>50</v>
      </c>
      <c r="D1095" t="s">
        <v>21</v>
      </c>
      <c r="E1095" t="s">
        <v>22</v>
      </c>
      <c r="F1095" t="s">
        <v>32</v>
      </c>
      <c r="G1095" t="s">
        <v>2702</v>
      </c>
      <c r="H1095" s="10">
        <v>867203</v>
      </c>
      <c r="I1095" s="10">
        <v>0</v>
      </c>
      <c r="J1095" s="10">
        <v>0</v>
      </c>
      <c r="L1095" t="s">
        <v>42</v>
      </c>
      <c r="M1095" t="s">
        <v>26</v>
      </c>
      <c r="N1095" t="s">
        <v>2703</v>
      </c>
      <c r="O1095" s="2">
        <v>41365</v>
      </c>
      <c r="P1095" s="2">
        <v>43190</v>
      </c>
      <c r="Q1095">
        <v>1</v>
      </c>
      <c r="R1095" t="s">
        <v>2704</v>
      </c>
    </row>
    <row r="1096" spans="1:18" x14ac:dyDescent="0.25">
      <c r="A1096" t="s">
        <v>2705</v>
      </c>
      <c r="B1096" t="s">
        <v>107</v>
      </c>
      <c r="C1096" t="s">
        <v>38</v>
      </c>
      <c r="D1096" t="s">
        <v>21</v>
      </c>
      <c r="E1096" t="s">
        <v>572</v>
      </c>
      <c r="F1096" t="s">
        <v>109</v>
      </c>
      <c r="G1096" t="s">
        <v>2706</v>
      </c>
      <c r="H1096" s="10">
        <v>325851</v>
      </c>
      <c r="I1096" s="10">
        <v>0</v>
      </c>
      <c r="J1096" s="10">
        <v>0</v>
      </c>
      <c r="L1096" t="s">
        <v>55</v>
      </c>
      <c r="M1096" t="s">
        <v>26</v>
      </c>
      <c r="N1096" t="s">
        <v>2707</v>
      </c>
      <c r="O1096" s="2">
        <v>41730</v>
      </c>
      <c r="P1096" s="2">
        <v>42825</v>
      </c>
      <c r="Q1096">
        <v>0</v>
      </c>
      <c r="R1096" t="s">
        <v>2708</v>
      </c>
    </row>
    <row r="1097" spans="1:18" x14ac:dyDescent="0.25">
      <c r="A1097" t="s">
        <v>4882</v>
      </c>
      <c r="B1097" t="s">
        <v>98</v>
      </c>
      <c r="C1097" t="s">
        <v>20</v>
      </c>
      <c r="D1097" t="s">
        <v>4557</v>
      </c>
      <c r="E1097" t="s">
        <v>4602</v>
      </c>
      <c r="F1097" t="s">
        <v>4559</v>
      </c>
      <c r="G1097" t="s">
        <v>4883</v>
      </c>
      <c r="H1097" s="10">
        <v>300000</v>
      </c>
      <c r="I1097" s="10">
        <v>0</v>
      </c>
      <c r="J1097" s="10">
        <v>0</v>
      </c>
      <c r="L1097" t="s">
        <v>55</v>
      </c>
      <c r="M1097" t="s">
        <v>103</v>
      </c>
      <c r="N1097" t="s">
        <v>5840</v>
      </c>
      <c r="O1097" s="2">
        <v>41365</v>
      </c>
      <c r="P1097" s="2">
        <v>42460</v>
      </c>
      <c r="Q1097">
        <v>0</v>
      </c>
      <c r="R1097" t="s">
        <v>5839</v>
      </c>
    </row>
    <row r="1098" spans="1:18" x14ac:dyDescent="0.25">
      <c r="A1098" t="s">
        <v>2709</v>
      </c>
      <c r="B1098" t="s">
        <v>1676</v>
      </c>
      <c r="C1098" t="s">
        <v>20</v>
      </c>
      <c r="D1098" t="s">
        <v>51</v>
      </c>
      <c r="E1098" t="s">
        <v>208</v>
      </c>
      <c r="F1098" t="s">
        <v>47</v>
      </c>
      <c r="G1098" t="s">
        <v>2710</v>
      </c>
      <c r="H1098" s="10">
        <v>765000</v>
      </c>
      <c r="I1098" s="10">
        <v>0</v>
      </c>
      <c r="J1098" s="10">
        <v>0</v>
      </c>
      <c r="L1098" t="s">
        <v>42</v>
      </c>
      <c r="M1098" t="s">
        <v>26</v>
      </c>
      <c r="N1098" t="s">
        <v>2711</v>
      </c>
      <c r="O1098" s="2">
        <v>45474</v>
      </c>
      <c r="P1098" s="2">
        <v>47299</v>
      </c>
      <c r="Q1098">
        <v>0</v>
      </c>
      <c r="R1098" t="s">
        <v>2712</v>
      </c>
    </row>
    <row r="1099" spans="1:18" x14ac:dyDescent="0.25">
      <c r="A1099" t="s">
        <v>5096</v>
      </c>
      <c r="B1099" t="s">
        <v>1676</v>
      </c>
      <c r="C1099" t="s">
        <v>20</v>
      </c>
      <c r="D1099" t="s">
        <v>21</v>
      </c>
      <c r="E1099" t="s">
        <v>377</v>
      </c>
      <c r="F1099" t="s">
        <v>32</v>
      </c>
      <c r="G1099" t="s">
        <v>2713</v>
      </c>
      <c r="H1099" s="10">
        <v>382243</v>
      </c>
      <c r="I1099" s="10">
        <v>0</v>
      </c>
      <c r="J1099" s="10">
        <v>0</v>
      </c>
      <c r="L1099" t="s">
        <v>55</v>
      </c>
      <c r="M1099" t="s">
        <v>26</v>
      </c>
      <c r="N1099" t="s">
        <v>2714</v>
      </c>
      <c r="O1099" s="2">
        <v>41183</v>
      </c>
      <c r="P1099" s="2">
        <v>42277</v>
      </c>
      <c r="Q1099">
        <v>0</v>
      </c>
      <c r="R1099" t="s">
        <v>2715</v>
      </c>
    </row>
    <row r="1100" spans="1:18" x14ac:dyDescent="0.25">
      <c r="A1100" t="s">
        <v>2716</v>
      </c>
      <c r="B1100" t="s">
        <v>49</v>
      </c>
      <c r="C1100" t="s">
        <v>50</v>
      </c>
      <c r="D1100" t="s">
        <v>21</v>
      </c>
      <c r="E1100" t="s">
        <v>255</v>
      </c>
      <c r="F1100" t="s">
        <v>47</v>
      </c>
      <c r="G1100" t="s">
        <v>2720</v>
      </c>
      <c r="H1100" s="11">
        <v>645690</v>
      </c>
      <c r="I1100" s="11">
        <v>0</v>
      </c>
      <c r="J1100" s="11">
        <v>0</v>
      </c>
      <c r="L1100" t="s">
        <v>42</v>
      </c>
      <c r="M1100" t="s">
        <v>26</v>
      </c>
      <c r="N1100" t="s">
        <v>2721</v>
      </c>
      <c r="O1100" s="2">
        <v>39904</v>
      </c>
      <c r="P1100" s="2">
        <v>41729</v>
      </c>
      <c r="Q1100">
        <v>0</v>
      </c>
      <c r="R1100" t="s">
        <v>2722</v>
      </c>
    </row>
    <row r="1101" spans="1:18" x14ac:dyDescent="0.25">
      <c r="A1101" t="s">
        <v>2716</v>
      </c>
      <c r="B1101" t="s">
        <v>49</v>
      </c>
      <c r="C1101" t="s">
        <v>50</v>
      </c>
      <c r="D1101" t="s">
        <v>21</v>
      </c>
      <c r="E1101" t="s">
        <v>323</v>
      </c>
      <c r="F1101" t="s">
        <v>47</v>
      </c>
      <c r="G1101" t="s">
        <v>2717</v>
      </c>
      <c r="H1101" s="10">
        <v>693965</v>
      </c>
      <c r="I1101" s="10">
        <v>0</v>
      </c>
      <c r="J1101" s="10">
        <v>0</v>
      </c>
      <c r="L1101" t="s">
        <v>42</v>
      </c>
      <c r="M1101" t="s">
        <v>26</v>
      </c>
      <c r="N1101" t="s">
        <v>2718</v>
      </c>
      <c r="O1101" s="2">
        <v>40269</v>
      </c>
      <c r="P1101" s="2">
        <v>42094</v>
      </c>
      <c r="Q1101">
        <v>0</v>
      </c>
      <c r="R1101" t="s">
        <v>2719</v>
      </c>
    </row>
    <row r="1102" spans="1:18" x14ac:dyDescent="0.25">
      <c r="A1102" t="s">
        <v>2723</v>
      </c>
      <c r="B1102" t="s">
        <v>98</v>
      </c>
      <c r="C1102" t="s">
        <v>20</v>
      </c>
      <c r="D1102" t="s">
        <v>139</v>
      </c>
      <c r="E1102" t="s">
        <v>140</v>
      </c>
      <c r="F1102" t="s">
        <v>141</v>
      </c>
      <c r="G1102" t="s">
        <v>2724</v>
      </c>
      <c r="H1102" s="10">
        <v>0</v>
      </c>
      <c r="I1102" s="10">
        <v>0</v>
      </c>
      <c r="J1102" s="10">
        <v>350000</v>
      </c>
      <c r="K1102" t="s">
        <v>953</v>
      </c>
      <c r="L1102" t="s">
        <v>34</v>
      </c>
      <c r="M1102" t="s">
        <v>94</v>
      </c>
      <c r="N1102" t="s">
        <v>2725</v>
      </c>
      <c r="O1102" s="2">
        <v>44075</v>
      </c>
      <c r="P1102" s="2">
        <v>44439</v>
      </c>
      <c r="Q1102">
        <v>1</v>
      </c>
      <c r="R1102" t="s">
        <v>2726</v>
      </c>
    </row>
    <row r="1103" spans="1:18" x14ac:dyDescent="0.25">
      <c r="A1103" t="s">
        <v>5420</v>
      </c>
      <c r="B1103" t="s">
        <v>5216</v>
      </c>
      <c r="C1103" t="s">
        <v>38</v>
      </c>
      <c r="D1103" t="s">
        <v>51</v>
      </c>
      <c r="E1103" t="s">
        <v>122</v>
      </c>
      <c r="F1103" t="s">
        <v>109</v>
      </c>
      <c r="G1103" t="s">
        <v>2727</v>
      </c>
      <c r="H1103" s="10">
        <v>772651</v>
      </c>
      <c r="I1103" s="10">
        <v>0</v>
      </c>
      <c r="J1103" s="10">
        <v>0</v>
      </c>
      <c r="L1103" t="s">
        <v>25</v>
      </c>
      <c r="M1103" t="s">
        <v>111</v>
      </c>
      <c r="N1103" t="s">
        <v>2728</v>
      </c>
      <c r="O1103" s="2">
        <v>43739</v>
      </c>
      <c r="P1103" s="2">
        <v>45199</v>
      </c>
      <c r="Q1103">
        <v>0</v>
      </c>
      <c r="R1103" t="s">
        <v>2729</v>
      </c>
    </row>
    <row r="1104" spans="1:18" x14ac:dyDescent="0.25">
      <c r="A1104" t="s">
        <v>5421</v>
      </c>
      <c r="B1104" t="s">
        <v>4464</v>
      </c>
      <c r="C1104" t="s">
        <v>20</v>
      </c>
      <c r="D1104" t="s">
        <v>51</v>
      </c>
      <c r="E1104" t="s">
        <v>127</v>
      </c>
      <c r="F1104" t="s">
        <v>109</v>
      </c>
      <c r="G1104" t="s">
        <v>2730</v>
      </c>
      <c r="H1104" s="10">
        <v>940950</v>
      </c>
      <c r="I1104" s="10">
        <v>0</v>
      </c>
      <c r="J1104" s="10">
        <v>0</v>
      </c>
      <c r="L1104" t="s">
        <v>42</v>
      </c>
      <c r="M1104" t="s">
        <v>217</v>
      </c>
      <c r="N1104" t="s">
        <v>2731</v>
      </c>
      <c r="O1104" s="2">
        <v>44835</v>
      </c>
      <c r="P1104" s="2">
        <v>46660</v>
      </c>
      <c r="Q1104">
        <v>0</v>
      </c>
      <c r="R1104" t="s">
        <v>2732</v>
      </c>
    </row>
    <row r="1105" spans="1:18" x14ac:dyDescent="0.25">
      <c r="A1105" t="s">
        <v>2733</v>
      </c>
      <c r="B1105" t="s">
        <v>19</v>
      </c>
      <c r="C1105" t="s">
        <v>20</v>
      </c>
      <c r="D1105" t="s">
        <v>21</v>
      </c>
      <c r="E1105" t="s">
        <v>751</v>
      </c>
      <c r="F1105" t="s">
        <v>32</v>
      </c>
      <c r="G1105" t="s">
        <v>2737</v>
      </c>
      <c r="H1105" s="11">
        <v>100000</v>
      </c>
      <c r="I1105" s="11">
        <v>0</v>
      </c>
      <c r="J1105" s="11">
        <v>0</v>
      </c>
      <c r="L1105" t="s">
        <v>34</v>
      </c>
      <c r="M1105" t="s">
        <v>26</v>
      </c>
      <c r="N1105" t="s">
        <v>1746</v>
      </c>
      <c r="O1105" s="2">
        <v>39873</v>
      </c>
      <c r="P1105" s="2">
        <v>40237</v>
      </c>
      <c r="Q1105">
        <v>0</v>
      </c>
      <c r="R1105" t="s">
        <v>2738</v>
      </c>
    </row>
    <row r="1106" spans="1:18" x14ac:dyDescent="0.25">
      <c r="A1106" t="s">
        <v>2733</v>
      </c>
      <c r="B1106" t="s">
        <v>19</v>
      </c>
      <c r="C1106" t="s">
        <v>20</v>
      </c>
      <c r="D1106" t="s">
        <v>21</v>
      </c>
      <c r="E1106" t="s">
        <v>60</v>
      </c>
      <c r="F1106" t="s">
        <v>23</v>
      </c>
      <c r="G1106" t="s">
        <v>2734</v>
      </c>
      <c r="H1106" s="10">
        <v>804047</v>
      </c>
      <c r="I1106" s="10">
        <v>0</v>
      </c>
      <c r="J1106" s="10">
        <v>0</v>
      </c>
      <c r="L1106" t="s">
        <v>42</v>
      </c>
      <c r="M1106" t="s">
        <v>26</v>
      </c>
      <c r="N1106" t="s">
        <v>2735</v>
      </c>
      <c r="O1106" s="2">
        <v>41821</v>
      </c>
      <c r="P1106" s="2">
        <v>43646</v>
      </c>
      <c r="Q1106">
        <v>5</v>
      </c>
      <c r="R1106" t="s">
        <v>2736</v>
      </c>
    </row>
    <row r="1107" spans="1:18" x14ac:dyDescent="0.25">
      <c r="A1107" t="s">
        <v>2739</v>
      </c>
      <c r="B1107" t="s">
        <v>49</v>
      </c>
      <c r="C1107" t="s">
        <v>50</v>
      </c>
      <c r="D1107" t="s">
        <v>21</v>
      </c>
      <c r="E1107" t="s">
        <v>172</v>
      </c>
      <c r="F1107" t="s">
        <v>32</v>
      </c>
      <c r="G1107" t="s">
        <v>5097</v>
      </c>
      <c r="H1107" s="10">
        <v>671932</v>
      </c>
      <c r="I1107" s="10">
        <v>0</v>
      </c>
      <c r="J1107" s="10">
        <v>0</v>
      </c>
      <c r="L1107" t="s">
        <v>42</v>
      </c>
      <c r="M1107" t="s">
        <v>26</v>
      </c>
      <c r="N1107" t="s">
        <v>5502</v>
      </c>
      <c r="O1107" s="2">
        <v>40452</v>
      </c>
      <c r="P1107" s="2">
        <v>42277</v>
      </c>
      <c r="Q1107">
        <v>1</v>
      </c>
      <c r="R1107" t="s">
        <v>5503</v>
      </c>
    </row>
    <row r="1108" spans="1:18" x14ac:dyDescent="0.25">
      <c r="A1108" t="s">
        <v>2739</v>
      </c>
      <c r="B1108" t="s">
        <v>49</v>
      </c>
      <c r="C1108" t="s">
        <v>50</v>
      </c>
      <c r="D1108" t="s">
        <v>21</v>
      </c>
      <c r="E1108" t="s">
        <v>1116</v>
      </c>
      <c r="F1108" t="s">
        <v>23</v>
      </c>
      <c r="G1108" t="s">
        <v>2744</v>
      </c>
      <c r="H1108" s="10">
        <v>100000</v>
      </c>
      <c r="I1108" s="10">
        <v>0</v>
      </c>
      <c r="J1108" s="10">
        <v>0</v>
      </c>
      <c r="L1108" t="s">
        <v>34</v>
      </c>
      <c r="M1108" t="s">
        <v>26</v>
      </c>
      <c r="N1108" t="s">
        <v>1669</v>
      </c>
      <c r="O1108" s="2">
        <v>42186</v>
      </c>
      <c r="P1108" s="2">
        <v>44012</v>
      </c>
      <c r="Q1108">
        <v>0</v>
      </c>
      <c r="R1108" t="s">
        <v>2745</v>
      </c>
    </row>
    <row r="1109" spans="1:18" x14ac:dyDescent="0.25">
      <c r="A1109" t="s">
        <v>2739</v>
      </c>
      <c r="B1109" t="s">
        <v>49</v>
      </c>
      <c r="C1109" t="s">
        <v>50</v>
      </c>
      <c r="D1109" t="s">
        <v>21</v>
      </c>
      <c r="E1109" t="s">
        <v>549</v>
      </c>
      <c r="F1109" t="s">
        <v>23</v>
      </c>
      <c r="G1109" t="s">
        <v>2744</v>
      </c>
      <c r="H1109" s="10">
        <v>639477</v>
      </c>
      <c r="I1109" s="10">
        <v>0</v>
      </c>
      <c r="J1109" s="10">
        <v>0</v>
      </c>
      <c r="L1109" t="s">
        <v>42</v>
      </c>
      <c r="M1109" t="s">
        <v>26</v>
      </c>
      <c r="N1109" t="s">
        <v>1669</v>
      </c>
      <c r="O1109" s="2">
        <v>42186</v>
      </c>
      <c r="P1109" s="2">
        <v>44012</v>
      </c>
      <c r="Q1109">
        <v>0</v>
      </c>
      <c r="R1109" t="s">
        <v>2745</v>
      </c>
    </row>
    <row r="1110" spans="1:18" x14ac:dyDescent="0.25">
      <c r="A1110" t="s">
        <v>2739</v>
      </c>
      <c r="B1110" t="s">
        <v>672</v>
      </c>
      <c r="C1110" t="s">
        <v>50</v>
      </c>
      <c r="D1110" t="s">
        <v>21</v>
      </c>
      <c r="E1110" t="s">
        <v>194</v>
      </c>
      <c r="F1110" t="s">
        <v>32</v>
      </c>
      <c r="G1110" t="s">
        <v>2746</v>
      </c>
      <c r="H1110" s="11">
        <v>421287</v>
      </c>
      <c r="I1110" s="11">
        <v>0</v>
      </c>
      <c r="J1110" s="11">
        <v>0</v>
      </c>
      <c r="L1110" t="s">
        <v>55</v>
      </c>
      <c r="M1110" t="s">
        <v>26</v>
      </c>
      <c r="N1110" t="s">
        <v>2747</v>
      </c>
      <c r="O1110" s="2">
        <v>40087</v>
      </c>
      <c r="P1110" s="2">
        <v>41182</v>
      </c>
      <c r="Q1110">
        <v>1</v>
      </c>
      <c r="R1110" t="s">
        <v>2748</v>
      </c>
    </row>
    <row r="1111" spans="1:18" x14ac:dyDescent="0.25">
      <c r="A1111" t="s">
        <v>2739</v>
      </c>
      <c r="B1111" t="s">
        <v>49</v>
      </c>
      <c r="C1111" t="s">
        <v>50</v>
      </c>
      <c r="D1111" t="s">
        <v>51</v>
      </c>
      <c r="E1111" t="s">
        <v>158</v>
      </c>
      <c r="F1111" t="s">
        <v>23</v>
      </c>
      <c r="G1111" t="s">
        <v>2742</v>
      </c>
      <c r="H1111" s="10">
        <v>1193400</v>
      </c>
      <c r="I1111" s="10">
        <v>0</v>
      </c>
      <c r="J1111" s="10">
        <v>0</v>
      </c>
      <c r="L1111" t="s">
        <v>42</v>
      </c>
      <c r="M1111" t="s">
        <v>26</v>
      </c>
      <c r="N1111" t="s">
        <v>165</v>
      </c>
      <c r="O1111" s="2">
        <v>43922</v>
      </c>
      <c r="P1111" s="2">
        <v>45747</v>
      </c>
      <c r="Q1111">
        <v>6</v>
      </c>
      <c r="R1111" t="s">
        <v>2743</v>
      </c>
    </row>
    <row r="1112" spans="1:18" x14ac:dyDescent="0.25">
      <c r="A1112" t="s">
        <v>2739</v>
      </c>
      <c r="B1112" t="s">
        <v>49</v>
      </c>
      <c r="C1112" t="s">
        <v>50</v>
      </c>
      <c r="D1112" t="s">
        <v>51</v>
      </c>
      <c r="E1112" t="s">
        <v>167</v>
      </c>
      <c r="F1112" t="s">
        <v>32</v>
      </c>
      <c r="G1112" t="s">
        <v>2740</v>
      </c>
      <c r="H1112" s="10">
        <v>983025</v>
      </c>
      <c r="I1112" s="10">
        <v>0</v>
      </c>
      <c r="J1112" s="10">
        <v>0</v>
      </c>
      <c r="L1112" t="s">
        <v>42</v>
      </c>
      <c r="M1112" t="s">
        <v>26</v>
      </c>
      <c r="N1112" t="s">
        <v>1358</v>
      </c>
      <c r="O1112" s="2">
        <v>45017</v>
      </c>
      <c r="P1112" s="2">
        <v>46843</v>
      </c>
      <c r="Q1112">
        <v>0</v>
      </c>
      <c r="R1112" t="s">
        <v>2741</v>
      </c>
    </row>
    <row r="1113" spans="1:18" x14ac:dyDescent="0.25">
      <c r="A1113" t="s">
        <v>2749</v>
      </c>
      <c r="B1113" t="s">
        <v>107</v>
      </c>
      <c r="C1113" t="s">
        <v>38</v>
      </c>
      <c r="D1113" t="s">
        <v>21</v>
      </c>
      <c r="E1113" t="s">
        <v>194</v>
      </c>
      <c r="F1113" t="s">
        <v>32</v>
      </c>
      <c r="G1113" t="s">
        <v>2759</v>
      </c>
      <c r="H1113" s="11">
        <v>699673</v>
      </c>
      <c r="I1113" s="11">
        <v>0</v>
      </c>
      <c r="J1113" s="11">
        <v>0</v>
      </c>
      <c r="L1113" t="s">
        <v>42</v>
      </c>
      <c r="M1113" t="s">
        <v>26</v>
      </c>
      <c r="N1113" t="s">
        <v>2760</v>
      </c>
      <c r="O1113" s="2">
        <v>40087</v>
      </c>
      <c r="P1113" s="2">
        <v>41912</v>
      </c>
      <c r="Q1113">
        <v>1</v>
      </c>
      <c r="R1113" t="s">
        <v>2761</v>
      </c>
    </row>
    <row r="1114" spans="1:18" x14ac:dyDescent="0.25">
      <c r="A1114" t="s">
        <v>2749</v>
      </c>
      <c r="B1114" t="s">
        <v>107</v>
      </c>
      <c r="C1114" t="s">
        <v>38</v>
      </c>
      <c r="D1114" t="s">
        <v>21</v>
      </c>
      <c r="E1114" t="s">
        <v>60</v>
      </c>
      <c r="F1114" t="s">
        <v>32</v>
      </c>
      <c r="G1114" t="s">
        <v>2753</v>
      </c>
      <c r="H1114" s="10">
        <v>604954</v>
      </c>
      <c r="I1114" s="10">
        <v>0</v>
      </c>
      <c r="J1114" s="10">
        <v>0</v>
      </c>
      <c r="L1114" t="s">
        <v>42</v>
      </c>
      <c r="M1114" t="s">
        <v>26</v>
      </c>
      <c r="N1114" t="s">
        <v>2754</v>
      </c>
      <c r="O1114" s="2">
        <v>41913</v>
      </c>
      <c r="P1114" s="2">
        <v>43738</v>
      </c>
      <c r="Q1114">
        <v>0</v>
      </c>
      <c r="R1114" t="s">
        <v>2755</v>
      </c>
    </row>
    <row r="1115" spans="1:18" x14ac:dyDescent="0.25">
      <c r="A1115" t="s">
        <v>2749</v>
      </c>
      <c r="B1115" t="s">
        <v>107</v>
      </c>
      <c r="C1115" t="s">
        <v>38</v>
      </c>
      <c r="D1115" t="s">
        <v>51</v>
      </c>
      <c r="E1115" t="s">
        <v>406</v>
      </c>
      <c r="F1115" t="s">
        <v>32</v>
      </c>
      <c r="G1115" t="s">
        <v>2750</v>
      </c>
      <c r="H1115" s="10">
        <v>826200</v>
      </c>
      <c r="I1115" s="10">
        <v>0</v>
      </c>
      <c r="J1115" s="10">
        <v>0</v>
      </c>
      <c r="L1115" t="s">
        <v>42</v>
      </c>
      <c r="M1115" t="s">
        <v>26</v>
      </c>
      <c r="N1115" t="s">
        <v>2751</v>
      </c>
      <c r="O1115" s="2">
        <v>43191</v>
      </c>
      <c r="P1115" s="2">
        <v>45016</v>
      </c>
      <c r="Q1115">
        <v>0</v>
      </c>
      <c r="R1115" t="s">
        <v>2752</v>
      </c>
    </row>
    <row r="1116" spans="1:18" x14ac:dyDescent="0.25">
      <c r="A1116" t="s">
        <v>2749</v>
      </c>
      <c r="B1116" t="s">
        <v>107</v>
      </c>
      <c r="C1116" t="s">
        <v>38</v>
      </c>
      <c r="D1116" t="s">
        <v>51</v>
      </c>
      <c r="E1116" t="s">
        <v>158</v>
      </c>
      <c r="F1116" t="s">
        <v>32</v>
      </c>
      <c r="G1116" t="s">
        <v>2756</v>
      </c>
      <c r="H1116" s="10">
        <v>673200</v>
      </c>
      <c r="I1116" s="10">
        <v>0</v>
      </c>
      <c r="J1116" s="10">
        <v>0</v>
      </c>
      <c r="L1116" t="s">
        <v>25</v>
      </c>
      <c r="M1116" t="s">
        <v>26</v>
      </c>
      <c r="N1116" t="s">
        <v>2757</v>
      </c>
      <c r="O1116" s="2">
        <v>43922</v>
      </c>
      <c r="P1116" s="2">
        <v>45382</v>
      </c>
      <c r="Q1116">
        <v>0</v>
      </c>
      <c r="R1116" t="s">
        <v>2758</v>
      </c>
    </row>
    <row r="1117" spans="1:18" x14ac:dyDescent="0.25">
      <c r="A1117" t="s">
        <v>2762</v>
      </c>
      <c r="B1117" t="s">
        <v>49</v>
      </c>
      <c r="C1117" t="s">
        <v>50</v>
      </c>
      <c r="D1117" t="s">
        <v>21</v>
      </c>
      <c r="E1117" t="s">
        <v>255</v>
      </c>
      <c r="F1117" t="s">
        <v>47</v>
      </c>
      <c r="G1117" t="s">
        <v>2766</v>
      </c>
      <c r="H1117" s="11">
        <v>367857</v>
      </c>
      <c r="I1117" s="11">
        <v>0</v>
      </c>
      <c r="J1117" s="11">
        <v>0</v>
      </c>
      <c r="L1117" t="s">
        <v>55</v>
      </c>
      <c r="M1117" t="s">
        <v>26</v>
      </c>
      <c r="N1117" t="s">
        <v>249</v>
      </c>
      <c r="O1117" s="2">
        <v>39904</v>
      </c>
      <c r="P1117" s="2">
        <v>40999</v>
      </c>
      <c r="Q1117">
        <v>0</v>
      </c>
      <c r="R1117" t="s">
        <v>2767</v>
      </c>
    </row>
    <row r="1118" spans="1:18" x14ac:dyDescent="0.25">
      <c r="A1118" t="s">
        <v>2762</v>
      </c>
      <c r="B1118" t="s">
        <v>49</v>
      </c>
      <c r="C1118" t="s">
        <v>50</v>
      </c>
      <c r="D1118" t="s">
        <v>395</v>
      </c>
      <c r="E1118" t="s">
        <v>2167</v>
      </c>
      <c r="F1118" t="s">
        <v>47</v>
      </c>
      <c r="G1118" t="s">
        <v>2763</v>
      </c>
      <c r="H1118" s="10">
        <v>100000</v>
      </c>
      <c r="I1118" s="10">
        <v>0</v>
      </c>
      <c r="J1118" s="10">
        <v>0</v>
      </c>
      <c r="L1118" t="s">
        <v>34</v>
      </c>
      <c r="M1118" t="s">
        <v>26</v>
      </c>
      <c r="N1118" t="s">
        <v>2764</v>
      </c>
      <c r="O1118" s="2">
        <v>40422</v>
      </c>
      <c r="P1118" s="2">
        <v>40786</v>
      </c>
      <c r="Q1118">
        <v>0</v>
      </c>
      <c r="R1118" t="s">
        <v>2765</v>
      </c>
    </row>
    <row r="1119" spans="1:18" x14ac:dyDescent="0.25">
      <c r="A1119" t="s">
        <v>4884</v>
      </c>
      <c r="B1119" t="s">
        <v>49</v>
      </c>
      <c r="C1119" t="s">
        <v>50</v>
      </c>
      <c r="D1119" t="s">
        <v>4557</v>
      </c>
      <c r="E1119" t="s">
        <v>4567</v>
      </c>
      <c r="F1119" t="s">
        <v>4559</v>
      </c>
      <c r="G1119" t="s">
        <v>4885</v>
      </c>
      <c r="H1119" s="10">
        <v>194000</v>
      </c>
      <c r="I1119" s="10">
        <v>0</v>
      </c>
      <c r="J1119" s="10">
        <v>0</v>
      </c>
      <c r="L1119" t="s">
        <v>55</v>
      </c>
      <c r="M1119" t="s">
        <v>94</v>
      </c>
      <c r="N1119" t="s">
        <v>5981</v>
      </c>
      <c r="O1119" s="2">
        <v>41730</v>
      </c>
      <c r="P1119" s="2">
        <v>42825</v>
      </c>
      <c r="Q1119">
        <v>0</v>
      </c>
      <c r="R1119" t="s">
        <v>5980</v>
      </c>
    </row>
    <row r="1120" spans="1:18" x14ac:dyDescent="0.25">
      <c r="A1120" t="s">
        <v>4886</v>
      </c>
      <c r="B1120" t="s">
        <v>4496</v>
      </c>
      <c r="C1120" t="s">
        <v>38</v>
      </c>
      <c r="D1120" t="s">
        <v>4557</v>
      </c>
      <c r="E1120" t="s">
        <v>4581</v>
      </c>
      <c r="F1120" t="s">
        <v>4559</v>
      </c>
      <c r="G1120" t="s">
        <v>4887</v>
      </c>
      <c r="H1120" s="10">
        <v>435407</v>
      </c>
      <c r="I1120" s="10">
        <v>45186</v>
      </c>
      <c r="J1120" s="10">
        <v>0</v>
      </c>
      <c r="L1120" t="s">
        <v>55</v>
      </c>
      <c r="M1120" t="s">
        <v>111</v>
      </c>
      <c r="N1120">
        <v>0</v>
      </c>
      <c r="O1120" s="2">
        <v>43556</v>
      </c>
      <c r="P1120" s="2">
        <v>44651</v>
      </c>
      <c r="Q1120">
        <v>0</v>
      </c>
      <c r="R1120" t="s">
        <v>5993</v>
      </c>
    </row>
    <row r="1121" spans="1:18" x14ac:dyDescent="0.25">
      <c r="A1121" t="s">
        <v>2768</v>
      </c>
      <c r="B1121" t="s">
        <v>148</v>
      </c>
      <c r="C1121" t="s">
        <v>149</v>
      </c>
      <c r="D1121" t="s">
        <v>21</v>
      </c>
      <c r="E1121" t="s">
        <v>534</v>
      </c>
      <c r="F1121" t="s">
        <v>32</v>
      </c>
      <c r="G1121" t="s">
        <v>2769</v>
      </c>
      <c r="H1121" s="10">
        <v>272532</v>
      </c>
      <c r="I1121" s="10">
        <v>0</v>
      </c>
      <c r="J1121" s="10">
        <v>0</v>
      </c>
      <c r="L1121" t="s">
        <v>55</v>
      </c>
      <c r="M1121" t="s">
        <v>26</v>
      </c>
      <c r="N1121" t="s">
        <v>2770</v>
      </c>
      <c r="O1121" s="2">
        <v>40817</v>
      </c>
      <c r="P1121" s="2">
        <v>41912</v>
      </c>
      <c r="Q1121">
        <v>0</v>
      </c>
      <c r="R1121" t="s">
        <v>2771</v>
      </c>
    </row>
    <row r="1122" spans="1:18" x14ac:dyDescent="0.25">
      <c r="A1122" t="s">
        <v>2772</v>
      </c>
      <c r="B1122" t="s">
        <v>196</v>
      </c>
      <c r="C1122" t="s">
        <v>20</v>
      </c>
      <c r="D1122" t="s">
        <v>21</v>
      </c>
      <c r="E1122" t="s">
        <v>549</v>
      </c>
      <c r="F1122" t="s">
        <v>47</v>
      </c>
      <c r="G1122" t="s">
        <v>2777</v>
      </c>
      <c r="H1122" s="10">
        <v>515090</v>
      </c>
      <c r="I1122" s="10">
        <v>0</v>
      </c>
      <c r="J1122" s="10">
        <v>0</v>
      </c>
      <c r="L1122" t="s">
        <v>42</v>
      </c>
      <c r="M1122" t="s">
        <v>26</v>
      </c>
      <c r="N1122" t="s">
        <v>2778</v>
      </c>
      <c r="O1122" s="2">
        <v>42186</v>
      </c>
      <c r="P1122" s="2">
        <v>44012</v>
      </c>
      <c r="Q1122">
        <v>1</v>
      </c>
      <c r="R1122" t="s">
        <v>2779</v>
      </c>
    </row>
    <row r="1123" spans="1:18" x14ac:dyDescent="0.25">
      <c r="A1123" t="s">
        <v>2772</v>
      </c>
      <c r="B1123" t="s">
        <v>196</v>
      </c>
      <c r="C1123" t="s">
        <v>20</v>
      </c>
      <c r="D1123" t="s">
        <v>51</v>
      </c>
      <c r="E1123" t="s">
        <v>167</v>
      </c>
      <c r="F1123" t="s">
        <v>47</v>
      </c>
      <c r="G1123" t="s">
        <v>4325</v>
      </c>
      <c r="H1123" s="10">
        <v>990675</v>
      </c>
      <c r="I1123" s="10">
        <v>0</v>
      </c>
      <c r="J1123" s="10">
        <v>0</v>
      </c>
      <c r="L1123" t="s">
        <v>42</v>
      </c>
      <c r="M1123" t="s">
        <v>26</v>
      </c>
      <c r="N1123" t="s">
        <v>729</v>
      </c>
      <c r="O1123" s="2">
        <v>45017</v>
      </c>
      <c r="P1123" s="2">
        <v>46843</v>
      </c>
      <c r="Q1123">
        <v>0</v>
      </c>
      <c r="R1123" t="s">
        <v>4326</v>
      </c>
    </row>
    <row r="1124" spans="1:18" x14ac:dyDescent="0.25">
      <c r="A1124" t="s">
        <v>2772</v>
      </c>
      <c r="B1124" t="s">
        <v>196</v>
      </c>
      <c r="C1124" t="s">
        <v>20</v>
      </c>
      <c r="D1124" t="s">
        <v>2780</v>
      </c>
      <c r="E1124" t="s">
        <v>2781</v>
      </c>
      <c r="F1124" t="s">
        <v>23</v>
      </c>
      <c r="G1124" t="s">
        <v>2782</v>
      </c>
      <c r="H1124" s="10">
        <v>100000</v>
      </c>
      <c r="I1124" s="10">
        <v>0</v>
      </c>
      <c r="J1124" s="10">
        <v>0</v>
      </c>
      <c r="L1124" t="s">
        <v>34</v>
      </c>
      <c r="M1124" t="s">
        <v>26</v>
      </c>
      <c r="N1124" t="s">
        <v>869</v>
      </c>
      <c r="O1124" s="2">
        <v>44105</v>
      </c>
      <c r="P1124" s="2">
        <v>44469</v>
      </c>
      <c r="Q1124">
        <v>1</v>
      </c>
      <c r="R1124" t="s">
        <v>2783</v>
      </c>
    </row>
    <row r="1125" spans="1:18" x14ac:dyDescent="0.25">
      <c r="A1125" t="s">
        <v>2772</v>
      </c>
      <c r="B1125" t="s">
        <v>196</v>
      </c>
      <c r="C1125" t="s">
        <v>20</v>
      </c>
      <c r="D1125" t="s">
        <v>2773</v>
      </c>
      <c r="E1125" t="s">
        <v>2774</v>
      </c>
      <c r="F1125" t="s">
        <v>47</v>
      </c>
      <c r="G1125" t="s">
        <v>2775</v>
      </c>
      <c r="H1125" s="10">
        <v>100000</v>
      </c>
      <c r="I1125" s="10">
        <v>0</v>
      </c>
      <c r="J1125" s="10">
        <v>0</v>
      </c>
      <c r="L1125" t="s">
        <v>34</v>
      </c>
      <c r="M1125" t="s">
        <v>26</v>
      </c>
      <c r="N1125" t="s">
        <v>1688</v>
      </c>
      <c r="O1125" s="2">
        <v>44835</v>
      </c>
      <c r="P1125" s="2">
        <v>45199</v>
      </c>
      <c r="Q1125">
        <v>1</v>
      </c>
      <c r="R1125" t="s">
        <v>2776</v>
      </c>
    </row>
    <row r="1126" spans="1:18" x14ac:dyDescent="0.25">
      <c r="A1126" t="s">
        <v>2784</v>
      </c>
      <c r="B1126" t="s">
        <v>49</v>
      </c>
      <c r="C1126" t="s">
        <v>50</v>
      </c>
      <c r="D1126" t="s">
        <v>2785</v>
      </c>
      <c r="E1126" t="s">
        <v>2786</v>
      </c>
      <c r="F1126" t="s">
        <v>109</v>
      </c>
      <c r="G1126" t="s">
        <v>2787</v>
      </c>
      <c r="H1126" s="10">
        <v>100000</v>
      </c>
      <c r="I1126" s="10">
        <v>0</v>
      </c>
      <c r="J1126" s="10">
        <v>0</v>
      </c>
      <c r="L1126" t="s">
        <v>34</v>
      </c>
      <c r="M1126" t="s">
        <v>238</v>
      </c>
      <c r="N1126" t="s">
        <v>2788</v>
      </c>
      <c r="O1126" s="2">
        <v>44986</v>
      </c>
      <c r="P1126" s="2">
        <v>45351</v>
      </c>
      <c r="Q1126">
        <v>0</v>
      </c>
      <c r="R1126" t="s">
        <v>2789</v>
      </c>
    </row>
    <row r="1127" spans="1:18" x14ac:dyDescent="0.25">
      <c r="A1127" t="s">
        <v>2790</v>
      </c>
      <c r="B1127" t="s">
        <v>49</v>
      </c>
      <c r="C1127" t="s">
        <v>50</v>
      </c>
      <c r="D1127" t="s">
        <v>21</v>
      </c>
      <c r="E1127" t="s">
        <v>172</v>
      </c>
      <c r="F1127" t="s">
        <v>23</v>
      </c>
      <c r="G1127" t="s">
        <v>2791</v>
      </c>
      <c r="H1127" s="10">
        <v>289885</v>
      </c>
      <c r="I1127" s="10">
        <v>0</v>
      </c>
      <c r="J1127" s="10">
        <v>0</v>
      </c>
      <c r="L1127" t="s">
        <v>55</v>
      </c>
      <c r="M1127" t="s">
        <v>26</v>
      </c>
      <c r="N1127" t="s">
        <v>2792</v>
      </c>
      <c r="O1127" s="2">
        <v>40452</v>
      </c>
      <c r="P1127" s="2">
        <v>41547</v>
      </c>
      <c r="Q1127">
        <v>0</v>
      </c>
      <c r="R1127" t="s">
        <v>2793</v>
      </c>
    </row>
    <row r="1128" spans="1:18" x14ac:dyDescent="0.25">
      <c r="A1128" t="s">
        <v>2790</v>
      </c>
      <c r="B1128" t="s">
        <v>49</v>
      </c>
      <c r="C1128" t="s">
        <v>50</v>
      </c>
      <c r="D1128" t="s">
        <v>51</v>
      </c>
      <c r="E1128" t="s">
        <v>70</v>
      </c>
      <c r="F1128" t="s">
        <v>47</v>
      </c>
      <c r="G1128" t="s">
        <v>2794</v>
      </c>
      <c r="H1128" s="10">
        <v>948600</v>
      </c>
      <c r="I1128" s="10">
        <v>0</v>
      </c>
      <c r="J1128" s="10">
        <v>0</v>
      </c>
      <c r="L1128" t="s">
        <v>42</v>
      </c>
      <c r="M1128" t="s">
        <v>26</v>
      </c>
      <c r="N1128" t="s">
        <v>2795</v>
      </c>
      <c r="O1128" s="2">
        <v>45200</v>
      </c>
      <c r="P1128" s="2">
        <v>47026</v>
      </c>
      <c r="Q1128">
        <v>0</v>
      </c>
      <c r="R1128" t="s">
        <v>2796</v>
      </c>
    </row>
    <row r="1129" spans="1:18" x14ac:dyDescent="0.25">
      <c r="A1129" t="s">
        <v>2790</v>
      </c>
      <c r="B1129" t="s">
        <v>49</v>
      </c>
      <c r="C1129" t="s">
        <v>50</v>
      </c>
      <c r="D1129" t="s">
        <v>64</v>
      </c>
      <c r="E1129" t="s">
        <v>65</v>
      </c>
      <c r="F1129" t="s">
        <v>23</v>
      </c>
      <c r="G1129" t="s">
        <v>2794</v>
      </c>
      <c r="H1129" s="10">
        <v>100000</v>
      </c>
      <c r="I1129" s="10">
        <v>0</v>
      </c>
      <c r="J1129" s="10">
        <v>0</v>
      </c>
      <c r="L1129" t="s">
        <v>34</v>
      </c>
      <c r="M1129" t="s">
        <v>26</v>
      </c>
      <c r="N1129" t="s">
        <v>2795</v>
      </c>
      <c r="O1129" s="2">
        <v>45200</v>
      </c>
      <c r="P1129" s="2">
        <v>47026</v>
      </c>
      <c r="Q1129">
        <v>0</v>
      </c>
      <c r="R1129" t="s">
        <v>2796</v>
      </c>
    </row>
    <row r="1130" spans="1:18" x14ac:dyDescent="0.25">
      <c r="A1130" t="s">
        <v>2797</v>
      </c>
      <c r="B1130" t="s">
        <v>240</v>
      </c>
      <c r="C1130" t="s">
        <v>20</v>
      </c>
      <c r="D1130" t="s">
        <v>21</v>
      </c>
      <c r="E1130" t="s">
        <v>74</v>
      </c>
      <c r="F1130" t="s">
        <v>109</v>
      </c>
      <c r="G1130" t="s">
        <v>2804</v>
      </c>
      <c r="H1130" s="10">
        <v>705269</v>
      </c>
      <c r="I1130" s="10">
        <v>0</v>
      </c>
      <c r="J1130" s="10">
        <v>0</v>
      </c>
      <c r="L1130" t="s">
        <v>42</v>
      </c>
      <c r="M1130" t="s">
        <v>26</v>
      </c>
      <c r="N1130" t="s">
        <v>2805</v>
      </c>
      <c r="O1130" s="2">
        <v>41000</v>
      </c>
      <c r="P1130" s="2">
        <v>42825</v>
      </c>
      <c r="Q1130">
        <v>0</v>
      </c>
      <c r="R1130" t="s">
        <v>2806</v>
      </c>
    </row>
    <row r="1131" spans="1:18" x14ac:dyDescent="0.25">
      <c r="A1131" t="s">
        <v>2797</v>
      </c>
      <c r="B1131" t="s">
        <v>240</v>
      </c>
      <c r="C1131" t="s">
        <v>20</v>
      </c>
      <c r="D1131" t="s">
        <v>51</v>
      </c>
      <c r="E1131" t="s">
        <v>406</v>
      </c>
      <c r="F1131" t="s">
        <v>662</v>
      </c>
      <c r="G1131" t="s">
        <v>2801</v>
      </c>
      <c r="H1131" s="10">
        <v>994500</v>
      </c>
      <c r="I1131" s="10">
        <v>0</v>
      </c>
      <c r="J1131" s="10">
        <v>0</v>
      </c>
      <c r="L1131" t="s">
        <v>42</v>
      </c>
      <c r="M1131" t="s">
        <v>26</v>
      </c>
      <c r="N1131" t="s">
        <v>2802</v>
      </c>
      <c r="O1131" s="2">
        <v>43191</v>
      </c>
      <c r="P1131" s="2">
        <v>45016</v>
      </c>
      <c r="Q1131">
        <v>0</v>
      </c>
      <c r="R1131" t="s">
        <v>2803</v>
      </c>
    </row>
    <row r="1132" spans="1:18" x14ac:dyDescent="0.25">
      <c r="A1132" t="s">
        <v>2797</v>
      </c>
      <c r="B1132" t="s">
        <v>240</v>
      </c>
      <c r="C1132" t="s">
        <v>20</v>
      </c>
      <c r="D1132" t="s">
        <v>51</v>
      </c>
      <c r="E1132" t="s">
        <v>208</v>
      </c>
      <c r="F1132" t="s">
        <v>109</v>
      </c>
      <c r="G1132" t="s">
        <v>2798</v>
      </c>
      <c r="H1132" s="10">
        <v>1143675</v>
      </c>
      <c r="I1132" s="10">
        <v>0</v>
      </c>
      <c r="J1132" s="10">
        <v>0</v>
      </c>
      <c r="L1132" t="s">
        <v>42</v>
      </c>
      <c r="M1132" t="s">
        <v>26</v>
      </c>
      <c r="N1132" t="s">
        <v>2799</v>
      </c>
      <c r="O1132" s="2">
        <v>45383</v>
      </c>
      <c r="P1132" s="2">
        <v>47208</v>
      </c>
      <c r="Q1132">
        <v>0</v>
      </c>
      <c r="R1132" t="s">
        <v>2800</v>
      </c>
    </row>
    <row r="1133" spans="1:18" x14ac:dyDescent="0.25">
      <c r="A1133" t="s">
        <v>5422</v>
      </c>
      <c r="B1133" t="s">
        <v>107</v>
      </c>
      <c r="C1133" t="s">
        <v>38</v>
      </c>
      <c r="D1133" t="s">
        <v>51</v>
      </c>
      <c r="E1133" t="s">
        <v>70</v>
      </c>
      <c r="F1133" t="s">
        <v>47</v>
      </c>
      <c r="G1133" t="s">
        <v>2807</v>
      </c>
      <c r="H1133" s="10">
        <v>761176</v>
      </c>
      <c r="I1133" s="10">
        <v>0</v>
      </c>
      <c r="J1133" s="10">
        <v>0</v>
      </c>
      <c r="L1133" t="s">
        <v>42</v>
      </c>
      <c r="M1133" t="s">
        <v>26</v>
      </c>
      <c r="N1133" t="s">
        <v>2808</v>
      </c>
      <c r="O1133" s="2">
        <v>45200</v>
      </c>
      <c r="P1133" s="2">
        <v>47026</v>
      </c>
      <c r="Q1133">
        <v>0</v>
      </c>
      <c r="R1133" t="s">
        <v>2809</v>
      </c>
    </row>
    <row r="1134" spans="1:18" x14ac:dyDescent="0.25">
      <c r="A1134" t="s">
        <v>4888</v>
      </c>
      <c r="B1134" t="s">
        <v>162</v>
      </c>
      <c r="C1134" t="s">
        <v>149</v>
      </c>
      <c r="D1134" t="s">
        <v>4557</v>
      </c>
      <c r="E1134" t="s">
        <v>4562</v>
      </c>
      <c r="F1134" t="s">
        <v>4559</v>
      </c>
      <c r="G1134" t="s">
        <v>4889</v>
      </c>
      <c r="H1134" s="10">
        <v>387264</v>
      </c>
      <c r="I1134" s="10">
        <v>69700</v>
      </c>
      <c r="J1134" s="10">
        <v>0</v>
      </c>
      <c r="L1134" t="s">
        <v>55</v>
      </c>
      <c r="M1134" t="s">
        <v>103</v>
      </c>
      <c r="N1134" t="s">
        <v>5680</v>
      </c>
      <c r="O1134" s="2">
        <v>43922</v>
      </c>
      <c r="P1134" s="2">
        <v>45016</v>
      </c>
      <c r="Q1134">
        <v>0</v>
      </c>
      <c r="R1134" t="s">
        <v>5679</v>
      </c>
    </row>
    <row r="1135" spans="1:18" x14ac:dyDescent="0.25">
      <c r="A1135" t="s">
        <v>5226</v>
      </c>
      <c r="B1135" t="s">
        <v>4493</v>
      </c>
      <c r="C1135" t="s">
        <v>38</v>
      </c>
      <c r="D1135" t="s">
        <v>5165</v>
      </c>
      <c r="E1135" t="s">
        <v>5176</v>
      </c>
      <c r="F1135" t="s">
        <v>4554</v>
      </c>
      <c r="G1135" t="s">
        <v>5227</v>
      </c>
      <c r="H1135" s="10">
        <v>79872</v>
      </c>
      <c r="I1135" s="10">
        <v>0</v>
      </c>
      <c r="J1135" s="10">
        <v>0</v>
      </c>
      <c r="L1135" t="s">
        <v>34</v>
      </c>
      <c r="M1135" t="s">
        <v>103</v>
      </c>
      <c r="N1135" t="s">
        <v>5937</v>
      </c>
      <c r="O1135" s="2">
        <v>42278</v>
      </c>
      <c r="P1135" s="2">
        <v>42643</v>
      </c>
      <c r="Q1135">
        <v>0</v>
      </c>
      <c r="R1135" t="s">
        <v>5936</v>
      </c>
    </row>
    <row r="1136" spans="1:18" x14ac:dyDescent="0.25">
      <c r="A1136" t="s">
        <v>2810</v>
      </c>
      <c r="B1136" t="s">
        <v>19</v>
      </c>
      <c r="C1136" t="s">
        <v>20</v>
      </c>
      <c r="D1136" t="s">
        <v>51</v>
      </c>
      <c r="E1136" t="s">
        <v>52</v>
      </c>
      <c r="F1136" t="s">
        <v>23</v>
      </c>
      <c r="G1136" t="s">
        <v>2811</v>
      </c>
      <c r="H1136" s="10">
        <v>765000</v>
      </c>
      <c r="I1136" s="10">
        <v>0</v>
      </c>
      <c r="J1136" s="10">
        <v>0</v>
      </c>
      <c r="L1136" t="s">
        <v>42</v>
      </c>
      <c r="M1136" t="s">
        <v>26</v>
      </c>
      <c r="N1136" t="s">
        <v>72</v>
      </c>
      <c r="O1136" s="2">
        <v>44287</v>
      </c>
      <c r="P1136" s="2">
        <v>46112</v>
      </c>
      <c r="Q1136">
        <v>0</v>
      </c>
      <c r="R1136" t="s">
        <v>2812</v>
      </c>
    </row>
    <row r="1137" spans="1:18" x14ac:dyDescent="0.25">
      <c r="A1137" t="s">
        <v>2813</v>
      </c>
      <c r="B1137" t="s">
        <v>19</v>
      </c>
      <c r="C1137" t="s">
        <v>20</v>
      </c>
      <c r="D1137" t="s">
        <v>21</v>
      </c>
      <c r="E1137" t="s">
        <v>108</v>
      </c>
      <c r="F1137" t="s">
        <v>32</v>
      </c>
      <c r="G1137" t="s">
        <v>2818</v>
      </c>
      <c r="H1137" s="10">
        <v>625730</v>
      </c>
      <c r="I1137" s="10">
        <v>0</v>
      </c>
      <c r="J1137" s="10">
        <v>0</v>
      </c>
      <c r="L1137" t="s">
        <v>25</v>
      </c>
      <c r="M1137" t="s">
        <v>26</v>
      </c>
      <c r="N1137" t="s">
        <v>2819</v>
      </c>
      <c r="O1137" s="2">
        <v>41883</v>
      </c>
      <c r="P1137" s="2">
        <v>44012</v>
      </c>
      <c r="Q1137">
        <v>0</v>
      </c>
      <c r="R1137" t="s">
        <v>2820</v>
      </c>
    </row>
    <row r="1138" spans="1:18" x14ac:dyDescent="0.25">
      <c r="A1138" t="s">
        <v>2813</v>
      </c>
      <c r="B1138" t="s">
        <v>19</v>
      </c>
      <c r="C1138" t="s">
        <v>20</v>
      </c>
      <c r="D1138" t="s">
        <v>51</v>
      </c>
      <c r="E1138" t="s">
        <v>52</v>
      </c>
      <c r="F1138" t="s">
        <v>47</v>
      </c>
      <c r="G1138" t="s">
        <v>2816</v>
      </c>
      <c r="H1138" s="10">
        <v>960075</v>
      </c>
      <c r="I1138" s="10">
        <v>0</v>
      </c>
      <c r="J1138" s="10">
        <v>0</v>
      </c>
      <c r="L1138" t="s">
        <v>42</v>
      </c>
      <c r="M1138" t="s">
        <v>26</v>
      </c>
      <c r="N1138" t="s">
        <v>72</v>
      </c>
      <c r="O1138" s="2">
        <v>44287</v>
      </c>
      <c r="P1138" s="2">
        <v>46112</v>
      </c>
      <c r="Q1138">
        <v>0</v>
      </c>
      <c r="R1138" t="s">
        <v>2817</v>
      </c>
    </row>
    <row r="1139" spans="1:18" x14ac:dyDescent="0.25">
      <c r="A1139" t="s">
        <v>2813</v>
      </c>
      <c r="B1139" t="s">
        <v>19</v>
      </c>
      <c r="C1139" t="s">
        <v>20</v>
      </c>
      <c r="D1139" t="s">
        <v>1342</v>
      </c>
      <c r="E1139" t="s">
        <v>2278</v>
      </c>
      <c r="F1139" t="s">
        <v>32</v>
      </c>
      <c r="G1139" t="s">
        <v>2814</v>
      </c>
      <c r="H1139" s="10">
        <v>100000</v>
      </c>
      <c r="I1139" s="10">
        <v>0</v>
      </c>
      <c r="J1139" s="10">
        <v>0</v>
      </c>
      <c r="L1139" t="s">
        <v>34</v>
      </c>
      <c r="M1139" t="s">
        <v>26</v>
      </c>
      <c r="N1139" t="s">
        <v>135</v>
      </c>
      <c r="O1139" s="2">
        <v>44986</v>
      </c>
      <c r="P1139" s="2">
        <v>45351</v>
      </c>
      <c r="Q1139">
        <v>0</v>
      </c>
      <c r="R1139" t="s">
        <v>2815</v>
      </c>
    </row>
    <row r="1140" spans="1:18" x14ac:dyDescent="0.25">
      <c r="A1140" t="s">
        <v>5267</v>
      </c>
      <c r="B1140" t="s">
        <v>3140</v>
      </c>
      <c r="C1140" t="s">
        <v>20</v>
      </c>
      <c r="D1140" t="s">
        <v>5248</v>
      </c>
      <c r="E1140" t="s">
        <v>5268</v>
      </c>
      <c r="F1140" t="s">
        <v>4554</v>
      </c>
      <c r="G1140" t="s">
        <v>5269</v>
      </c>
      <c r="H1140" s="10">
        <v>623749</v>
      </c>
      <c r="I1140" s="10">
        <v>0</v>
      </c>
      <c r="J1140" s="10">
        <v>0</v>
      </c>
      <c r="L1140" t="s">
        <v>42</v>
      </c>
      <c r="M1140" t="s">
        <v>103</v>
      </c>
      <c r="N1140" t="s">
        <v>5603</v>
      </c>
      <c r="O1140" s="2">
        <v>40634</v>
      </c>
      <c r="P1140" s="2">
        <v>42460</v>
      </c>
      <c r="Q1140">
        <v>4</v>
      </c>
      <c r="R1140" t="s">
        <v>5602</v>
      </c>
    </row>
    <row r="1141" spans="1:18" x14ac:dyDescent="0.25">
      <c r="A1141" t="s">
        <v>2821</v>
      </c>
      <c r="B1141" t="s">
        <v>4464</v>
      </c>
      <c r="C1141" t="s">
        <v>20</v>
      </c>
      <c r="D1141" t="s">
        <v>51</v>
      </c>
      <c r="E1141" t="s">
        <v>163</v>
      </c>
      <c r="F1141" t="s">
        <v>109</v>
      </c>
      <c r="G1141" t="s">
        <v>2825</v>
      </c>
      <c r="H1141" s="10">
        <v>673200</v>
      </c>
      <c r="I1141" s="10">
        <v>0</v>
      </c>
      <c r="J1141" s="10">
        <v>0</v>
      </c>
      <c r="L1141" t="s">
        <v>42</v>
      </c>
      <c r="M1141" t="s">
        <v>111</v>
      </c>
      <c r="N1141" t="s">
        <v>445</v>
      </c>
      <c r="O1141" s="2">
        <v>43556</v>
      </c>
      <c r="P1141" s="2">
        <v>45382</v>
      </c>
      <c r="Q1141">
        <v>0</v>
      </c>
      <c r="R1141" t="s">
        <v>2826</v>
      </c>
    </row>
    <row r="1142" spans="1:18" x14ac:dyDescent="0.25">
      <c r="A1142" t="s">
        <v>5423</v>
      </c>
      <c r="B1142" t="s">
        <v>4464</v>
      </c>
      <c r="C1142" t="s">
        <v>20</v>
      </c>
      <c r="D1142" t="s">
        <v>51</v>
      </c>
      <c r="E1142" t="s">
        <v>211</v>
      </c>
      <c r="F1142" t="s">
        <v>109</v>
      </c>
      <c r="G1142" t="s">
        <v>2822</v>
      </c>
      <c r="H1142" s="10">
        <v>100000</v>
      </c>
      <c r="I1142" s="10">
        <v>0</v>
      </c>
      <c r="J1142" s="10">
        <v>0</v>
      </c>
      <c r="L1142" t="s">
        <v>34</v>
      </c>
      <c r="M1142" t="s">
        <v>111</v>
      </c>
      <c r="N1142" t="s">
        <v>445</v>
      </c>
      <c r="O1142" s="2">
        <v>45017</v>
      </c>
      <c r="P1142" s="2">
        <v>45382</v>
      </c>
      <c r="Q1142">
        <v>0</v>
      </c>
      <c r="R1142" t="s">
        <v>2823</v>
      </c>
    </row>
    <row r="1143" spans="1:18" x14ac:dyDescent="0.25">
      <c r="A1143" t="s">
        <v>5423</v>
      </c>
      <c r="B1143" t="s">
        <v>4464</v>
      </c>
      <c r="C1143" t="s">
        <v>20</v>
      </c>
      <c r="D1143" t="s">
        <v>51</v>
      </c>
      <c r="E1143" t="s">
        <v>70</v>
      </c>
      <c r="F1143" t="s">
        <v>109</v>
      </c>
      <c r="G1143" t="s">
        <v>2824</v>
      </c>
      <c r="H1143" s="10">
        <v>860626</v>
      </c>
      <c r="I1143" s="10">
        <v>0</v>
      </c>
      <c r="J1143" s="10">
        <v>0</v>
      </c>
      <c r="L1143" t="s">
        <v>42</v>
      </c>
      <c r="M1143" t="s">
        <v>111</v>
      </c>
      <c r="N1143" t="s">
        <v>445</v>
      </c>
      <c r="O1143" s="2">
        <v>45017</v>
      </c>
      <c r="P1143" s="2">
        <v>45382</v>
      </c>
      <c r="Q1143">
        <v>0</v>
      </c>
      <c r="R1143" t="s">
        <v>2823</v>
      </c>
    </row>
    <row r="1144" spans="1:18" x14ac:dyDescent="0.25">
      <c r="A1144" t="s">
        <v>2827</v>
      </c>
      <c r="B1144" t="s">
        <v>114</v>
      </c>
      <c r="C1144" t="s">
        <v>20</v>
      </c>
      <c r="D1144" t="s">
        <v>21</v>
      </c>
      <c r="E1144" t="s">
        <v>74</v>
      </c>
      <c r="F1144" t="s">
        <v>47</v>
      </c>
      <c r="G1144" t="s">
        <v>2831</v>
      </c>
      <c r="H1144" s="10">
        <v>782020</v>
      </c>
      <c r="I1144" s="10">
        <v>0</v>
      </c>
      <c r="J1144" s="10">
        <v>0</v>
      </c>
      <c r="L1144" t="s">
        <v>42</v>
      </c>
      <c r="M1144" t="s">
        <v>26</v>
      </c>
      <c r="N1144" t="s">
        <v>1276</v>
      </c>
      <c r="O1144" s="2">
        <v>41000</v>
      </c>
      <c r="P1144" s="2">
        <v>42825</v>
      </c>
      <c r="Q1144">
        <v>0</v>
      </c>
      <c r="R1144" t="s">
        <v>2832</v>
      </c>
    </row>
    <row r="1145" spans="1:18" x14ac:dyDescent="0.25">
      <c r="A1145" t="s">
        <v>2827</v>
      </c>
      <c r="B1145" t="s">
        <v>114</v>
      </c>
      <c r="C1145" t="s">
        <v>20</v>
      </c>
      <c r="D1145" t="s">
        <v>21</v>
      </c>
      <c r="E1145" t="s">
        <v>60</v>
      </c>
      <c r="F1145" t="s">
        <v>47</v>
      </c>
      <c r="G1145" t="s">
        <v>2828</v>
      </c>
      <c r="H1145" s="10">
        <v>834840</v>
      </c>
      <c r="I1145" s="10">
        <v>0</v>
      </c>
      <c r="J1145" s="10">
        <v>0</v>
      </c>
      <c r="L1145" t="s">
        <v>42</v>
      </c>
      <c r="M1145" t="s">
        <v>26</v>
      </c>
      <c r="N1145" t="s">
        <v>2829</v>
      </c>
      <c r="O1145" s="2">
        <v>41821</v>
      </c>
      <c r="P1145" s="2">
        <v>43646</v>
      </c>
      <c r="Q1145">
        <v>0</v>
      </c>
      <c r="R1145" t="s">
        <v>2830</v>
      </c>
    </row>
    <row r="1146" spans="1:18" x14ac:dyDescent="0.25">
      <c r="A1146" t="s">
        <v>2833</v>
      </c>
      <c r="B1146" t="s">
        <v>19</v>
      </c>
      <c r="C1146" t="s">
        <v>20</v>
      </c>
      <c r="D1146" t="s">
        <v>395</v>
      </c>
      <c r="E1146" t="s">
        <v>2253</v>
      </c>
      <c r="F1146" t="s">
        <v>32</v>
      </c>
      <c r="G1146" t="s">
        <v>2834</v>
      </c>
      <c r="H1146" s="10">
        <v>100000</v>
      </c>
      <c r="I1146" s="10">
        <v>0</v>
      </c>
      <c r="J1146" s="10">
        <v>0</v>
      </c>
      <c r="L1146" t="s">
        <v>34</v>
      </c>
      <c r="M1146" t="s">
        <v>26</v>
      </c>
      <c r="N1146" t="s">
        <v>2835</v>
      </c>
      <c r="O1146" s="2">
        <v>40603</v>
      </c>
      <c r="P1146" s="2">
        <v>40968</v>
      </c>
      <c r="Q1146">
        <v>0</v>
      </c>
      <c r="R1146" t="s">
        <v>2836</v>
      </c>
    </row>
    <row r="1147" spans="1:18" x14ac:dyDescent="0.25">
      <c r="A1147" t="s">
        <v>2837</v>
      </c>
      <c r="B1147" t="s">
        <v>1890</v>
      </c>
      <c r="C1147" t="s">
        <v>20</v>
      </c>
      <c r="D1147" t="s">
        <v>51</v>
      </c>
      <c r="E1147" t="s">
        <v>158</v>
      </c>
      <c r="F1147" t="s">
        <v>32</v>
      </c>
      <c r="G1147" t="s">
        <v>2838</v>
      </c>
      <c r="H1147" s="10">
        <v>979200</v>
      </c>
      <c r="I1147" s="10">
        <v>0</v>
      </c>
      <c r="J1147" s="10">
        <v>0</v>
      </c>
      <c r="L1147" t="s">
        <v>42</v>
      </c>
      <c r="M1147" t="s">
        <v>26</v>
      </c>
      <c r="N1147" t="s">
        <v>2839</v>
      </c>
      <c r="O1147" s="2">
        <v>43922</v>
      </c>
      <c r="P1147" s="2">
        <v>45747</v>
      </c>
      <c r="Q1147">
        <v>0</v>
      </c>
      <c r="R1147" t="s">
        <v>2840</v>
      </c>
    </row>
    <row r="1148" spans="1:18" x14ac:dyDescent="0.25">
      <c r="A1148" t="s">
        <v>2841</v>
      </c>
      <c r="B1148" t="s">
        <v>19</v>
      </c>
      <c r="C1148" t="s">
        <v>20</v>
      </c>
      <c r="D1148" t="s">
        <v>51</v>
      </c>
      <c r="E1148" t="s">
        <v>259</v>
      </c>
      <c r="F1148" t="s">
        <v>128</v>
      </c>
      <c r="G1148" t="s">
        <v>2845</v>
      </c>
      <c r="H1148" s="10">
        <v>814726</v>
      </c>
      <c r="I1148" s="10">
        <v>0</v>
      </c>
      <c r="J1148" s="10">
        <v>0</v>
      </c>
      <c r="L1148" t="s">
        <v>42</v>
      </c>
      <c r="M1148" t="s">
        <v>26</v>
      </c>
      <c r="N1148" t="s">
        <v>2846</v>
      </c>
      <c r="O1148" s="2">
        <v>44105</v>
      </c>
      <c r="P1148" s="2">
        <v>45930</v>
      </c>
      <c r="Q1148">
        <v>0</v>
      </c>
      <c r="R1148" t="s">
        <v>2847</v>
      </c>
    </row>
    <row r="1149" spans="1:18" x14ac:dyDescent="0.25">
      <c r="A1149" t="s">
        <v>2841</v>
      </c>
      <c r="B1149" t="s">
        <v>19</v>
      </c>
      <c r="C1149" t="s">
        <v>20</v>
      </c>
      <c r="D1149" t="s">
        <v>51</v>
      </c>
      <c r="E1149" t="s">
        <v>70</v>
      </c>
      <c r="F1149" t="s">
        <v>32</v>
      </c>
      <c r="G1149" t="s">
        <v>2842</v>
      </c>
      <c r="H1149" s="10">
        <v>784126</v>
      </c>
      <c r="I1149" s="10">
        <v>0</v>
      </c>
      <c r="J1149" s="10">
        <v>0</v>
      </c>
      <c r="L1149" t="s">
        <v>42</v>
      </c>
      <c r="M1149" t="s">
        <v>26</v>
      </c>
      <c r="N1149" t="s">
        <v>2843</v>
      </c>
      <c r="O1149" s="2">
        <v>45200</v>
      </c>
      <c r="P1149" s="2">
        <v>47026</v>
      </c>
      <c r="Q1149">
        <v>0</v>
      </c>
      <c r="R1149" t="s">
        <v>2844</v>
      </c>
    </row>
    <row r="1150" spans="1:18" x14ac:dyDescent="0.25">
      <c r="A1150" t="s">
        <v>4890</v>
      </c>
      <c r="B1150" t="s">
        <v>49</v>
      </c>
      <c r="C1150" t="s">
        <v>50</v>
      </c>
      <c r="D1150" t="s">
        <v>4557</v>
      </c>
      <c r="E1150" t="s">
        <v>4611</v>
      </c>
      <c r="F1150" t="s">
        <v>4559</v>
      </c>
      <c r="G1150" t="s">
        <v>4891</v>
      </c>
      <c r="H1150" s="10">
        <v>359446</v>
      </c>
      <c r="I1150" s="10">
        <v>0</v>
      </c>
      <c r="J1150" s="10">
        <v>0</v>
      </c>
      <c r="L1150" t="s">
        <v>55</v>
      </c>
      <c r="M1150" t="s">
        <v>26</v>
      </c>
      <c r="N1150" t="s">
        <v>489</v>
      </c>
      <c r="O1150" s="2">
        <v>42461</v>
      </c>
      <c r="P1150" s="2">
        <v>43555</v>
      </c>
      <c r="Q1150">
        <v>0</v>
      </c>
      <c r="R1150" t="s">
        <v>5623</v>
      </c>
    </row>
    <row r="1151" spans="1:18" x14ac:dyDescent="0.25">
      <c r="A1151" t="s">
        <v>2848</v>
      </c>
      <c r="B1151" t="s">
        <v>114</v>
      </c>
      <c r="C1151" t="s">
        <v>20</v>
      </c>
      <c r="D1151" t="s">
        <v>273</v>
      </c>
      <c r="E1151" t="s">
        <v>274</v>
      </c>
      <c r="F1151" t="s">
        <v>275</v>
      </c>
      <c r="G1151" t="s">
        <v>2851</v>
      </c>
      <c r="H1151" s="10">
        <v>100000</v>
      </c>
      <c r="I1151" s="10">
        <v>0</v>
      </c>
      <c r="J1151" s="10">
        <v>0</v>
      </c>
      <c r="L1151" t="s">
        <v>34</v>
      </c>
      <c r="M1151" t="s">
        <v>94</v>
      </c>
      <c r="N1151" t="s">
        <v>329</v>
      </c>
      <c r="O1151" s="2">
        <v>41334</v>
      </c>
      <c r="P1151" s="2">
        <v>41698</v>
      </c>
      <c r="Q1151">
        <v>0</v>
      </c>
      <c r="R1151" t="s">
        <v>2852</v>
      </c>
    </row>
    <row r="1152" spans="1:18" x14ac:dyDescent="0.25">
      <c r="A1152" t="s">
        <v>2848</v>
      </c>
      <c r="B1152" t="s">
        <v>114</v>
      </c>
      <c r="C1152" t="s">
        <v>20</v>
      </c>
      <c r="D1152" t="s">
        <v>1027</v>
      </c>
      <c r="E1152" t="s">
        <v>1028</v>
      </c>
      <c r="F1152" t="s">
        <v>1029</v>
      </c>
      <c r="G1152" t="s">
        <v>2849</v>
      </c>
      <c r="H1152" s="10">
        <v>99252</v>
      </c>
      <c r="I1152" s="10">
        <v>0</v>
      </c>
      <c r="J1152" s="10">
        <v>0</v>
      </c>
      <c r="L1152" t="s">
        <v>34</v>
      </c>
      <c r="M1152" t="s">
        <v>94</v>
      </c>
      <c r="N1152" t="s">
        <v>329</v>
      </c>
      <c r="O1152" s="2">
        <v>40087</v>
      </c>
      <c r="P1152" s="2">
        <v>40451</v>
      </c>
      <c r="Q1152">
        <v>3</v>
      </c>
      <c r="R1152" t="s">
        <v>2850</v>
      </c>
    </row>
    <row r="1153" spans="1:18" x14ac:dyDescent="0.25">
      <c r="A1153" t="s">
        <v>2853</v>
      </c>
      <c r="B1153" t="s">
        <v>49</v>
      </c>
      <c r="C1153" t="s">
        <v>50</v>
      </c>
      <c r="D1153" t="s">
        <v>21</v>
      </c>
      <c r="E1153" t="s">
        <v>287</v>
      </c>
      <c r="F1153" t="s">
        <v>47</v>
      </c>
      <c r="G1153" t="s">
        <v>2854</v>
      </c>
      <c r="H1153" s="10">
        <v>890620</v>
      </c>
      <c r="I1153" s="10">
        <v>0</v>
      </c>
      <c r="J1153" s="10">
        <v>0</v>
      </c>
      <c r="L1153" t="s">
        <v>42</v>
      </c>
      <c r="M1153" t="s">
        <v>26</v>
      </c>
      <c r="N1153" t="s">
        <v>2855</v>
      </c>
      <c r="O1153" s="2">
        <v>40634</v>
      </c>
      <c r="P1153" s="2">
        <v>42460</v>
      </c>
      <c r="Q1153">
        <v>0</v>
      </c>
      <c r="R1153" t="s">
        <v>2856</v>
      </c>
    </row>
    <row r="1154" spans="1:18" x14ac:dyDescent="0.25">
      <c r="A1154" t="s">
        <v>4892</v>
      </c>
      <c r="B1154" t="s">
        <v>49</v>
      </c>
      <c r="C1154" t="s">
        <v>50</v>
      </c>
      <c r="D1154" t="s">
        <v>4557</v>
      </c>
      <c r="E1154" t="s">
        <v>4602</v>
      </c>
      <c r="F1154" t="s">
        <v>4559</v>
      </c>
      <c r="G1154" t="s">
        <v>4893</v>
      </c>
      <c r="H1154" s="10">
        <v>452322</v>
      </c>
      <c r="I1154" s="10">
        <v>0</v>
      </c>
      <c r="J1154" s="10">
        <v>0</v>
      </c>
      <c r="L1154" t="s">
        <v>55</v>
      </c>
      <c r="M1154" t="s">
        <v>26</v>
      </c>
      <c r="N1154" t="s">
        <v>5736</v>
      </c>
      <c r="O1154" s="2">
        <v>41365</v>
      </c>
      <c r="P1154" s="2">
        <v>42460</v>
      </c>
      <c r="Q1154">
        <v>0</v>
      </c>
      <c r="R1154" t="s">
        <v>5735</v>
      </c>
    </row>
    <row r="1155" spans="1:18" x14ac:dyDescent="0.25">
      <c r="A1155" t="s">
        <v>2857</v>
      </c>
      <c r="B1155" t="s">
        <v>49</v>
      </c>
      <c r="C1155" t="s">
        <v>50</v>
      </c>
      <c r="D1155" t="s">
        <v>21</v>
      </c>
      <c r="E1155" t="s">
        <v>572</v>
      </c>
      <c r="F1155" t="s">
        <v>53</v>
      </c>
      <c r="G1155" t="s">
        <v>2858</v>
      </c>
      <c r="H1155" s="10">
        <v>423361</v>
      </c>
      <c r="I1155" s="10">
        <v>0</v>
      </c>
      <c r="J1155" s="10">
        <v>0</v>
      </c>
      <c r="L1155" t="s">
        <v>25</v>
      </c>
      <c r="M1155" t="s">
        <v>111</v>
      </c>
      <c r="N1155" t="s">
        <v>2859</v>
      </c>
      <c r="O1155" s="2">
        <v>41730</v>
      </c>
      <c r="P1155" s="2">
        <v>43190</v>
      </c>
      <c r="Q1155">
        <v>0</v>
      </c>
      <c r="R1155" t="s">
        <v>2860</v>
      </c>
    </row>
    <row r="1156" spans="1:18" x14ac:dyDescent="0.25">
      <c r="A1156" t="s">
        <v>2857</v>
      </c>
      <c r="B1156" t="s">
        <v>49</v>
      </c>
      <c r="C1156" t="s">
        <v>50</v>
      </c>
      <c r="D1156" t="s">
        <v>51</v>
      </c>
      <c r="E1156" t="s">
        <v>197</v>
      </c>
      <c r="F1156" t="s">
        <v>53</v>
      </c>
      <c r="G1156" t="s">
        <v>2861</v>
      </c>
      <c r="H1156" s="10">
        <v>795600</v>
      </c>
      <c r="I1156" s="10">
        <v>0</v>
      </c>
      <c r="J1156" s="10">
        <v>0</v>
      </c>
      <c r="L1156" t="s">
        <v>42</v>
      </c>
      <c r="M1156" t="s">
        <v>204</v>
      </c>
      <c r="N1156" t="s">
        <v>2862</v>
      </c>
      <c r="O1156" s="2">
        <v>44652</v>
      </c>
      <c r="P1156" s="2">
        <v>46477</v>
      </c>
      <c r="Q1156">
        <v>0</v>
      </c>
      <c r="R1156" t="s">
        <v>2863</v>
      </c>
    </row>
    <row r="1157" spans="1:18" x14ac:dyDescent="0.25">
      <c r="A1157" t="s">
        <v>2864</v>
      </c>
      <c r="B1157" t="s">
        <v>114</v>
      </c>
      <c r="C1157" t="s">
        <v>20</v>
      </c>
      <c r="D1157" t="s">
        <v>273</v>
      </c>
      <c r="E1157" t="s">
        <v>274</v>
      </c>
      <c r="F1157" t="s">
        <v>275</v>
      </c>
      <c r="G1157" t="s">
        <v>2865</v>
      </c>
      <c r="H1157" s="10">
        <v>100000</v>
      </c>
      <c r="I1157" s="10">
        <v>0</v>
      </c>
      <c r="J1157" s="10">
        <v>0</v>
      </c>
      <c r="L1157" t="s">
        <v>34</v>
      </c>
      <c r="M1157" t="s">
        <v>94</v>
      </c>
      <c r="N1157" t="s">
        <v>2866</v>
      </c>
      <c r="O1157" s="2">
        <v>41334</v>
      </c>
      <c r="P1157" s="2">
        <v>41698</v>
      </c>
      <c r="Q1157">
        <v>0</v>
      </c>
      <c r="R1157" t="s">
        <v>2867</v>
      </c>
    </row>
    <row r="1158" spans="1:18" x14ac:dyDescent="0.25">
      <c r="A1158" t="s">
        <v>2868</v>
      </c>
      <c r="B1158" t="s">
        <v>126</v>
      </c>
      <c r="C1158" t="s">
        <v>20</v>
      </c>
      <c r="D1158" t="s">
        <v>64</v>
      </c>
      <c r="E1158" t="s">
        <v>65</v>
      </c>
      <c r="F1158" t="s">
        <v>23</v>
      </c>
      <c r="G1158" t="s">
        <v>2869</v>
      </c>
      <c r="H1158" s="10">
        <v>100000</v>
      </c>
      <c r="I1158" s="10">
        <v>0</v>
      </c>
      <c r="J1158" s="10">
        <v>0</v>
      </c>
      <c r="L1158" t="s">
        <v>34</v>
      </c>
      <c r="M1158" t="s">
        <v>26</v>
      </c>
      <c r="N1158" t="s">
        <v>2870</v>
      </c>
      <c r="O1158" s="2">
        <v>44986</v>
      </c>
      <c r="P1158" s="2">
        <v>45351</v>
      </c>
      <c r="Q1158">
        <v>0</v>
      </c>
      <c r="R1158" t="s">
        <v>2871</v>
      </c>
    </row>
    <row r="1159" spans="1:18" x14ac:dyDescent="0.25">
      <c r="A1159" t="s">
        <v>2872</v>
      </c>
      <c r="B1159" t="s">
        <v>1336</v>
      </c>
      <c r="C1159" t="s">
        <v>50</v>
      </c>
      <c r="D1159" t="s">
        <v>273</v>
      </c>
      <c r="E1159" t="s">
        <v>274</v>
      </c>
      <c r="F1159" t="s">
        <v>275</v>
      </c>
      <c r="G1159" t="s">
        <v>2876</v>
      </c>
      <c r="H1159" s="10">
        <v>98300</v>
      </c>
      <c r="I1159" s="10">
        <v>0</v>
      </c>
      <c r="J1159" s="10">
        <v>0</v>
      </c>
      <c r="L1159" t="s">
        <v>34</v>
      </c>
      <c r="M1159" t="s">
        <v>94</v>
      </c>
      <c r="N1159" t="s">
        <v>2877</v>
      </c>
      <c r="O1159" s="2">
        <v>41334</v>
      </c>
      <c r="P1159" s="2">
        <v>41698</v>
      </c>
      <c r="Q1159">
        <v>0</v>
      </c>
      <c r="R1159" t="s">
        <v>2878</v>
      </c>
    </row>
    <row r="1160" spans="1:18" x14ac:dyDescent="0.25">
      <c r="A1160" t="s">
        <v>2872</v>
      </c>
      <c r="B1160" t="s">
        <v>1336</v>
      </c>
      <c r="C1160" t="s">
        <v>50</v>
      </c>
      <c r="D1160" t="s">
        <v>1027</v>
      </c>
      <c r="E1160" t="s">
        <v>1028</v>
      </c>
      <c r="F1160" t="s">
        <v>1029</v>
      </c>
      <c r="G1160" t="s">
        <v>2873</v>
      </c>
      <c r="H1160" s="10">
        <v>99242</v>
      </c>
      <c r="I1160" s="10">
        <v>0</v>
      </c>
      <c r="J1160" s="10">
        <v>0</v>
      </c>
      <c r="L1160" t="s">
        <v>34</v>
      </c>
      <c r="M1160" t="s">
        <v>94</v>
      </c>
      <c r="N1160" t="s">
        <v>2874</v>
      </c>
      <c r="O1160" s="2">
        <v>40087</v>
      </c>
      <c r="P1160" s="2">
        <v>40451</v>
      </c>
      <c r="Q1160">
        <v>0</v>
      </c>
      <c r="R1160" t="s">
        <v>2875</v>
      </c>
    </row>
    <row r="1161" spans="1:18" x14ac:dyDescent="0.25">
      <c r="A1161" t="s">
        <v>6203</v>
      </c>
      <c r="B1161" t="s">
        <v>59</v>
      </c>
      <c r="C1161" t="s">
        <v>38</v>
      </c>
      <c r="D1161" t="s">
        <v>5042</v>
      </c>
      <c r="E1161" t="s">
        <v>5043</v>
      </c>
      <c r="F1161" t="s">
        <v>5038</v>
      </c>
      <c r="G1161" t="s">
        <v>5050</v>
      </c>
      <c r="H1161" s="12">
        <v>300000</v>
      </c>
      <c r="I1161" s="12">
        <v>0</v>
      </c>
      <c r="J1161" s="10">
        <v>0</v>
      </c>
      <c r="L1161" t="s">
        <v>84</v>
      </c>
      <c r="M1161" t="s">
        <v>26</v>
      </c>
      <c r="N1161" t="s">
        <v>6204</v>
      </c>
      <c r="O1161" s="2">
        <v>45444</v>
      </c>
      <c r="P1161" s="2">
        <v>46173</v>
      </c>
      <c r="Q1161">
        <v>0</v>
      </c>
      <c r="R1161" t="s">
        <v>6205</v>
      </c>
    </row>
    <row r="1162" spans="1:18" x14ac:dyDescent="0.25">
      <c r="A1162" t="s">
        <v>2879</v>
      </c>
      <c r="B1162" t="s">
        <v>114</v>
      </c>
      <c r="C1162" t="s">
        <v>20</v>
      </c>
      <c r="D1162" t="s">
        <v>51</v>
      </c>
      <c r="E1162" t="s">
        <v>223</v>
      </c>
      <c r="F1162" t="s">
        <v>356</v>
      </c>
      <c r="G1162" t="s">
        <v>2880</v>
      </c>
      <c r="H1162" s="10">
        <v>952424</v>
      </c>
      <c r="I1162" s="10">
        <v>0</v>
      </c>
      <c r="J1162" s="10">
        <v>0</v>
      </c>
      <c r="L1162" t="s">
        <v>25</v>
      </c>
      <c r="M1162" t="s">
        <v>94</v>
      </c>
      <c r="N1162" t="s">
        <v>2881</v>
      </c>
      <c r="O1162" s="2">
        <v>45566</v>
      </c>
      <c r="P1162" s="2">
        <v>47026</v>
      </c>
      <c r="Q1162">
        <v>0</v>
      </c>
      <c r="R1162" t="s">
        <v>2882</v>
      </c>
    </row>
    <row r="1163" spans="1:18" x14ac:dyDescent="0.25">
      <c r="A1163" t="s">
        <v>5228</v>
      </c>
      <c r="B1163" t="s">
        <v>98</v>
      </c>
      <c r="C1163" t="s">
        <v>20</v>
      </c>
      <c r="D1163" t="s">
        <v>5165</v>
      </c>
      <c r="E1163" t="s">
        <v>5166</v>
      </c>
      <c r="F1163" t="s">
        <v>4554</v>
      </c>
      <c r="G1163" t="s">
        <v>5229</v>
      </c>
      <c r="H1163" s="10">
        <v>999330</v>
      </c>
      <c r="I1163" s="10">
        <v>0</v>
      </c>
      <c r="J1163" s="10">
        <v>0</v>
      </c>
      <c r="L1163" t="s">
        <v>25</v>
      </c>
      <c r="M1163" t="s">
        <v>85</v>
      </c>
      <c r="N1163" t="s">
        <v>6028</v>
      </c>
      <c r="O1163" s="2">
        <v>41365</v>
      </c>
      <c r="P1163" s="2">
        <v>42825</v>
      </c>
      <c r="Q1163">
        <v>3</v>
      </c>
      <c r="R1163" t="s">
        <v>6027</v>
      </c>
    </row>
    <row r="1164" spans="1:18" x14ac:dyDescent="0.25">
      <c r="A1164" t="s">
        <v>5424</v>
      </c>
      <c r="B1164" t="s">
        <v>4494</v>
      </c>
      <c r="C1164" t="s">
        <v>38</v>
      </c>
      <c r="D1164" t="s">
        <v>51</v>
      </c>
      <c r="E1164" t="s">
        <v>2883</v>
      </c>
      <c r="F1164" t="s">
        <v>47</v>
      </c>
      <c r="G1164" t="s">
        <v>2884</v>
      </c>
      <c r="H1164" s="10">
        <v>100000</v>
      </c>
      <c r="I1164" s="10">
        <v>0</v>
      </c>
      <c r="J1164" s="10">
        <v>0</v>
      </c>
      <c r="L1164" t="s">
        <v>34</v>
      </c>
      <c r="M1164" t="s">
        <v>26</v>
      </c>
      <c r="N1164" t="s">
        <v>293</v>
      </c>
      <c r="O1164" s="2">
        <v>43739</v>
      </c>
      <c r="P1164" s="2">
        <v>45565</v>
      </c>
      <c r="Q1164">
        <v>0</v>
      </c>
      <c r="R1164" t="s">
        <v>2885</v>
      </c>
    </row>
    <row r="1165" spans="1:18" x14ac:dyDescent="0.25">
      <c r="A1165" t="s">
        <v>5424</v>
      </c>
      <c r="B1165" t="s">
        <v>4494</v>
      </c>
      <c r="C1165" t="s">
        <v>38</v>
      </c>
      <c r="D1165" t="s">
        <v>51</v>
      </c>
      <c r="E1165" t="s">
        <v>122</v>
      </c>
      <c r="F1165" t="s">
        <v>47</v>
      </c>
      <c r="G1165" t="s">
        <v>2884</v>
      </c>
      <c r="H1165" s="10">
        <v>822376</v>
      </c>
      <c r="I1165" s="10">
        <v>0</v>
      </c>
      <c r="J1165" s="10">
        <v>0</v>
      </c>
      <c r="L1165" t="s">
        <v>42</v>
      </c>
      <c r="M1165" t="s">
        <v>26</v>
      </c>
      <c r="N1165" t="s">
        <v>293</v>
      </c>
      <c r="O1165" s="2">
        <v>43739</v>
      </c>
      <c r="P1165" s="2">
        <v>45565</v>
      </c>
      <c r="Q1165">
        <v>0</v>
      </c>
      <c r="R1165" t="s">
        <v>2885</v>
      </c>
    </row>
    <row r="1166" spans="1:18" x14ac:dyDescent="0.25">
      <c r="A1166" t="s">
        <v>2886</v>
      </c>
      <c r="B1166" t="s">
        <v>5045</v>
      </c>
      <c r="C1166" t="s">
        <v>38</v>
      </c>
      <c r="D1166" t="s">
        <v>51</v>
      </c>
      <c r="E1166" t="s">
        <v>158</v>
      </c>
      <c r="F1166" t="s">
        <v>53</v>
      </c>
      <c r="G1166" t="s">
        <v>2887</v>
      </c>
      <c r="H1166" s="10">
        <v>864450</v>
      </c>
      <c r="I1166" s="10">
        <v>0</v>
      </c>
      <c r="J1166" s="10">
        <v>0</v>
      </c>
      <c r="L1166" t="s">
        <v>42</v>
      </c>
      <c r="M1166" t="s">
        <v>204</v>
      </c>
      <c r="N1166" t="s">
        <v>458</v>
      </c>
      <c r="O1166" s="2">
        <v>43922</v>
      </c>
      <c r="P1166" s="2">
        <v>45747</v>
      </c>
      <c r="Q1166">
        <v>0</v>
      </c>
      <c r="R1166" t="s">
        <v>2888</v>
      </c>
    </row>
    <row r="1167" spans="1:18" x14ac:dyDescent="0.25">
      <c r="A1167" t="s">
        <v>4498</v>
      </c>
      <c r="B1167" t="s">
        <v>121</v>
      </c>
      <c r="C1167" t="s">
        <v>20</v>
      </c>
      <c r="D1167" t="s">
        <v>241</v>
      </c>
      <c r="E1167" t="s">
        <v>368</v>
      </c>
      <c r="F1167" t="s">
        <v>243</v>
      </c>
      <c r="G1167" t="s">
        <v>2889</v>
      </c>
      <c r="H1167" s="10">
        <v>200000</v>
      </c>
      <c r="I1167" s="10">
        <v>0</v>
      </c>
      <c r="J1167" s="10">
        <v>0</v>
      </c>
      <c r="L1167" t="s">
        <v>84</v>
      </c>
      <c r="M1167" t="s">
        <v>204</v>
      </c>
      <c r="N1167" t="s">
        <v>2890</v>
      </c>
      <c r="O1167" s="2">
        <v>40452</v>
      </c>
      <c r="P1167" s="2">
        <v>41182</v>
      </c>
      <c r="Q1167">
        <v>0</v>
      </c>
      <c r="R1167" t="s">
        <v>2891</v>
      </c>
    </row>
    <row r="1168" spans="1:18" x14ac:dyDescent="0.25">
      <c r="A1168" t="s">
        <v>2892</v>
      </c>
      <c r="B1168" t="s">
        <v>196</v>
      </c>
      <c r="C1168" t="s">
        <v>20</v>
      </c>
      <c r="D1168" t="s">
        <v>21</v>
      </c>
      <c r="E1168" t="s">
        <v>194</v>
      </c>
      <c r="F1168" t="s">
        <v>109</v>
      </c>
      <c r="G1168" t="s">
        <v>2893</v>
      </c>
      <c r="H1168" s="11">
        <v>359119</v>
      </c>
      <c r="I1168" s="11">
        <v>0</v>
      </c>
      <c r="J1168" s="11">
        <v>0</v>
      </c>
      <c r="L1168" t="s">
        <v>55</v>
      </c>
      <c r="M1168" t="s">
        <v>103</v>
      </c>
      <c r="N1168" t="s">
        <v>2894</v>
      </c>
      <c r="O1168" s="2">
        <v>40087</v>
      </c>
      <c r="P1168" s="2">
        <v>41182</v>
      </c>
      <c r="Q1168">
        <v>0</v>
      </c>
      <c r="R1168" t="s">
        <v>2895</v>
      </c>
    </row>
    <row r="1169" spans="1:18" x14ac:dyDescent="0.25">
      <c r="A1169" t="s">
        <v>5425</v>
      </c>
      <c r="B1169" t="s">
        <v>721</v>
      </c>
      <c r="C1169" t="s">
        <v>20</v>
      </c>
      <c r="D1169" t="s">
        <v>51</v>
      </c>
      <c r="E1169" t="s">
        <v>784</v>
      </c>
      <c r="F1169" t="s">
        <v>128</v>
      </c>
      <c r="G1169" t="s">
        <v>2896</v>
      </c>
      <c r="H1169" s="10">
        <v>100000</v>
      </c>
      <c r="I1169" s="10">
        <v>0</v>
      </c>
      <c r="J1169" s="10">
        <v>0</v>
      </c>
      <c r="L1169" t="s">
        <v>34</v>
      </c>
      <c r="M1169" t="s">
        <v>26</v>
      </c>
      <c r="N1169" t="s">
        <v>261</v>
      </c>
      <c r="O1169" s="2">
        <v>43374</v>
      </c>
      <c r="P1169" s="2">
        <v>45565</v>
      </c>
      <c r="Q1169">
        <v>0</v>
      </c>
      <c r="R1169" t="s">
        <v>2897</v>
      </c>
    </row>
    <row r="1170" spans="1:18" x14ac:dyDescent="0.25">
      <c r="A1170" t="s">
        <v>5425</v>
      </c>
      <c r="B1170" t="s">
        <v>721</v>
      </c>
      <c r="C1170" t="s">
        <v>20</v>
      </c>
      <c r="D1170" t="s">
        <v>51</v>
      </c>
      <c r="E1170" t="s">
        <v>116</v>
      </c>
      <c r="F1170" t="s">
        <v>128</v>
      </c>
      <c r="G1170" t="s">
        <v>2896</v>
      </c>
      <c r="H1170" s="10">
        <v>860628</v>
      </c>
      <c r="I1170" s="10">
        <v>0</v>
      </c>
      <c r="J1170" s="10">
        <v>0</v>
      </c>
      <c r="L1170" t="s">
        <v>1488</v>
      </c>
      <c r="M1170" t="s">
        <v>26</v>
      </c>
      <c r="N1170" t="s">
        <v>261</v>
      </c>
      <c r="O1170" s="2">
        <v>43374</v>
      </c>
      <c r="P1170" s="2">
        <v>45565</v>
      </c>
      <c r="Q1170">
        <v>0</v>
      </c>
      <c r="R1170" t="s">
        <v>2897</v>
      </c>
    </row>
    <row r="1171" spans="1:18" x14ac:dyDescent="0.25">
      <c r="A1171" t="s">
        <v>4894</v>
      </c>
      <c r="B1171" t="s">
        <v>107</v>
      </c>
      <c r="C1171" t="s">
        <v>38</v>
      </c>
      <c r="D1171" t="s">
        <v>4557</v>
      </c>
      <c r="E1171" t="s">
        <v>4567</v>
      </c>
      <c r="F1171" t="s">
        <v>4559</v>
      </c>
      <c r="G1171" t="s">
        <v>4895</v>
      </c>
      <c r="H1171" s="10">
        <v>237998</v>
      </c>
      <c r="I1171" s="10">
        <v>0</v>
      </c>
      <c r="J1171" s="10">
        <v>0</v>
      </c>
      <c r="L1171" t="s">
        <v>55</v>
      </c>
      <c r="M1171" t="s">
        <v>204</v>
      </c>
      <c r="N1171" t="s">
        <v>1562</v>
      </c>
      <c r="O1171" s="2">
        <v>41730</v>
      </c>
      <c r="P1171" s="2">
        <v>42825</v>
      </c>
      <c r="Q1171">
        <v>2</v>
      </c>
      <c r="R1171" t="s">
        <v>5554</v>
      </c>
    </row>
    <row r="1172" spans="1:18" x14ac:dyDescent="0.25">
      <c r="A1172" t="s">
        <v>4896</v>
      </c>
      <c r="B1172" t="s">
        <v>196</v>
      </c>
      <c r="C1172" t="s">
        <v>20</v>
      </c>
      <c r="D1172" t="s">
        <v>4557</v>
      </c>
      <c r="E1172" t="s">
        <v>4567</v>
      </c>
      <c r="F1172" t="s">
        <v>4559</v>
      </c>
      <c r="G1172" t="s">
        <v>4897</v>
      </c>
      <c r="H1172" s="10">
        <v>273395</v>
      </c>
      <c r="I1172" s="10">
        <v>0</v>
      </c>
      <c r="J1172" s="10">
        <v>0</v>
      </c>
      <c r="L1172" t="s">
        <v>55</v>
      </c>
      <c r="M1172" t="s">
        <v>217</v>
      </c>
      <c r="N1172" t="s">
        <v>5747</v>
      </c>
      <c r="O1172" s="2">
        <v>41730</v>
      </c>
      <c r="P1172" s="2">
        <v>42825</v>
      </c>
      <c r="Q1172">
        <v>1</v>
      </c>
      <c r="R1172" t="s">
        <v>5746</v>
      </c>
    </row>
    <row r="1173" spans="1:18" x14ac:dyDescent="0.25">
      <c r="A1173" t="s">
        <v>2898</v>
      </c>
      <c r="B1173" t="s">
        <v>162</v>
      </c>
      <c r="C1173" t="s">
        <v>149</v>
      </c>
      <c r="D1173" t="s">
        <v>139</v>
      </c>
      <c r="E1173" t="s">
        <v>140</v>
      </c>
      <c r="F1173" t="s">
        <v>141</v>
      </c>
      <c r="G1173" t="s">
        <v>2899</v>
      </c>
      <c r="H1173" s="10">
        <v>342369</v>
      </c>
      <c r="I1173" s="10">
        <v>0</v>
      </c>
      <c r="J1173" s="10">
        <v>0</v>
      </c>
      <c r="L1173" t="s">
        <v>34</v>
      </c>
      <c r="M1173" t="s">
        <v>103</v>
      </c>
      <c r="N1173" t="s">
        <v>2900</v>
      </c>
      <c r="O1173" s="2">
        <v>43983</v>
      </c>
      <c r="P1173" s="2">
        <v>44347</v>
      </c>
      <c r="Q1173">
        <v>0</v>
      </c>
      <c r="R1173" t="s">
        <v>2901</v>
      </c>
    </row>
    <row r="1174" spans="1:18" x14ac:dyDescent="0.25">
      <c r="A1174" t="s">
        <v>4898</v>
      </c>
      <c r="B1174" t="s">
        <v>114</v>
      </c>
      <c r="C1174" t="s">
        <v>20</v>
      </c>
      <c r="D1174" t="s">
        <v>4557</v>
      </c>
      <c r="E1174" t="s">
        <v>4597</v>
      </c>
      <c r="F1174" t="s">
        <v>4559</v>
      </c>
      <c r="G1174" t="s">
        <v>4899</v>
      </c>
      <c r="H1174" s="10">
        <v>225096</v>
      </c>
      <c r="I1174" s="10">
        <v>0</v>
      </c>
      <c r="J1174" s="10">
        <v>0</v>
      </c>
      <c r="L1174" t="s">
        <v>55</v>
      </c>
      <c r="M1174" t="s">
        <v>111</v>
      </c>
      <c r="N1174" t="s">
        <v>5759</v>
      </c>
      <c r="O1174" s="2">
        <v>42095</v>
      </c>
      <c r="P1174" s="2">
        <v>43190</v>
      </c>
      <c r="Q1174">
        <v>0</v>
      </c>
      <c r="R1174" t="s">
        <v>5758</v>
      </c>
    </row>
    <row r="1175" spans="1:18" x14ac:dyDescent="0.25">
      <c r="A1175" t="s">
        <v>2902</v>
      </c>
      <c r="B1175" t="s">
        <v>107</v>
      </c>
      <c r="C1175" t="s">
        <v>38</v>
      </c>
      <c r="D1175" t="s">
        <v>30</v>
      </c>
      <c r="E1175" t="s">
        <v>31</v>
      </c>
      <c r="F1175" t="s">
        <v>47</v>
      </c>
      <c r="G1175" t="s">
        <v>2903</v>
      </c>
      <c r="H1175" s="10">
        <v>100000</v>
      </c>
      <c r="I1175" s="10">
        <v>0</v>
      </c>
      <c r="J1175" s="10">
        <v>0</v>
      </c>
      <c r="L1175" t="s">
        <v>34</v>
      </c>
      <c r="M1175" t="s">
        <v>26</v>
      </c>
      <c r="N1175" t="s">
        <v>869</v>
      </c>
      <c r="O1175" s="2">
        <v>44986</v>
      </c>
      <c r="P1175" s="2">
        <v>45351</v>
      </c>
      <c r="Q1175">
        <v>0</v>
      </c>
      <c r="R1175" t="s">
        <v>2904</v>
      </c>
    </row>
    <row r="1176" spans="1:18" x14ac:dyDescent="0.25">
      <c r="A1176" t="s">
        <v>4900</v>
      </c>
      <c r="B1176" t="s">
        <v>360</v>
      </c>
      <c r="C1176" t="s">
        <v>20</v>
      </c>
      <c r="D1176" t="s">
        <v>4557</v>
      </c>
      <c r="E1176" t="s">
        <v>4611</v>
      </c>
      <c r="F1176" t="s">
        <v>4559</v>
      </c>
      <c r="G1176" t="s">
        <v>4901</v>
      </c>
      <c r="H1176" s="10">
        <v>431583</v>
      </c>
      <c r="I1176" s="10">
        <v>0</v>
      </c>
      <c r="J1176" s="10">
        <v>0</v>
      </c>
      <c r="L1176" t="s">
        <v>55</v>
      </c>
      <c r="M1176" t="s">
        <v>26</v>
      </c>
      <c r="N1176" t="s">
        <v>5593</v>
      </c>
      <c r="O1176" s="2">
        <v>42461</v>
      </c>
      <c r="P1176" s="2">
        <v>43555</v>
      </c>
      <c r="Q1176">
        <v>0</v>
      </c>
      <c r="R1176" t="s">
        <v>5592</v>
      </c>
    </row>
    <row r="1177" spans="1:18" x14ac:dyDescent="0.25">
      <c r="A1177" t="s">
        <v>2905</v>
      </c>
      <c r="B1177" t="s">
        <v>710</v>
      </c>
      <c r="C1177" t="s">
        <v>711</v>
      </c>
      <c r="D1177" t="s">
        <v>51</v>
      </c>
      <c r="E1177" t="s">
        <v>208</v>
      </c>
      <c r="F1177" t="s">
        <v>23</v>
      </c>
      <c r="G1177" t="s">
        <v>2906</v>
      </c>
      <c r="H1177" s="10">
        <v>983025</v>
      </c>
      <c r="I1177" s="10">
        <v>0</v>
      </c>
      <c r="J1177" s="10">
        <v>0</v>
      </c>
      <c r="L1177" t="s">
        <v>42</v>
      </c>
      <c r="M1177" t="s">
        <v>26</v>
      </c>
      <c r="N1177">
        <v>0</v>
      </c>
      <c r="O1177" s="2">
        <v>45352</v>
      </c>
      <c r="P1177" s="2">
        <v>45716</v>
      </c>
      <c r="Q1177">
        <v>0</v>
      </c>
      <c r="R1177" t="s">
        <v>2907</v>
      </c>
    </row>
    <row r="1178" spans="1:18" x14ac:dyDescent="0.25">
      <c r="A1178" t="s">
        <v>2908</v>
      </c>
      <c r="B1178" t="s">
        <v>107</v>
      </c>
      <c r="C1178" t="s">
        <v>38</v>
      </c>
      <c r="D1178" t="s">
        <v>21</v>
      </c>
      <c r="E1178" t="s">
        <v>172</v>
      </c>
      <c r="F1178" t="s">
        <v>23</v>
      </c>
      <c r="G1178" t="s">
        <v>2909</v>
      </c>
      <c r="H1178" s="10">
        <v>797054</v>
      </c>
      <c r="I1178" s="10">
        <v>0</v>
      </c>
      <c r="J1178" s="10">
        <v>0</v>
      </c>
      <c r="L1178" t="s">
        <v>42</v>
      </c>
      <c r="M1178" t="s">
        <v>26</v>
      </c>
      <c r="N1178" t="s">
        <v>2910</v>
      </c>
      <c r="O1178" s="2">
        <v>40452</v>
      </c>
      <c r="P1178" s="2">
        <v>42277</v>
      </c>
      <c r="Q1178">
        <v>2</v>
      </c>
      <c r="R1178" t="s">
        <v>2911</v>
      </c>
    </row>
    <row r="1179" spans="1:18" x14ac:dyDescent="0.25">
      <c r="A1179" t="s">
        <v>2908</v>
      </c>
      <c r="B1179" t="s">
        <v>107</v>
      </c>
      <c r="C1179" t="s">
        <v>38</v>
      </c>
      <c r="D1179" t="s">
        <v>51</v>
      </c>
      <c r="E1179" t="s">
        <v>127</v>
      </c>
      <c r="F1179" t="s">
        <v>47</v>
      </c>
      <c r="G1179" t="s">
        <v>2912</v>
      </c>
      <c r="H1179" s="10">
        <v>772650</v>
      </c>
      <c r="I1179" s="10">
        <v>0</v>
      </c>
      <c r="J1179" s="10">
        <v>0</v>
      </c>
      <c r="L1179" t="s">
        <v>42</v>
      </c>
      <c r="M1179" t="s">
        <v>26</v>
      </c>
      <c r="N1179" t="s">
        <v>2913</v>
      </c>
      <c r="O1179" s="2">
        <v>45108</v>
      </c>
      <c r="P1179" s="2">
        <v>46934</v>
      </c>
      <c r="Q1179">
        <v>0</v>
      </c>
      <c r="R1179" t="s">
        <v>2914</v>
      </c>
    </row>
    <row r="1180" spans="1:18" x14ac:dyDescent="0.25">
      <c r="A1180" t="s">
        <v>4902</v>
      </c>
      <c r="B1180" t="s">
        <v>4496</v>
      </c>
      <c r="C1180" t="s">
        <v>38</v>
      </c>
      <c r="D1180" t="s">
        <v>4557</v>
      </c>
      <c r="E1180" t="s">
        <v>4602</v>
      </c>
      <c r="F1180" t="s">
        <v>4559</v>
      </c>
      <c r="G1180" t="s">
        <v>4903</v>
      </c>
      <c r="H1180" s="10">
        <v>328059</v>
      </c>
      <c r="I1180" s="10">
        <v>0</v>
      </c>
      <c r="J1180" s="10">
        <v>0</v>
      </c>
      <c r="L1180" t="s">
        <v>55</v>
      </c>
      <c r="M1180" t="s">
        <v>143</v>
      </c>
      <c r="N1180" t="s">
        <v>5611</v>
      </c>
      <c r="O1180" s="2">
        <v>41365</v>
      </c>
      <c r="P1180" s="2">
        <v>42460</v>
      </c>
      <c r="Q1180">
        <v>0</v>
      </c>
      <c r="R1180" t="s">
        <v>5610</v>
      </c>
    </row>
    <row r="1181" spans="1:18" x14ac:dyDescent="0.25">
      <c r="A1181" t="s">
        <v>2915</v>
      </c>
      <c r="B1181" t="s">
        <v>19</v>
      </c>
      <c r="C1181" t="s">
        <v>20</v>
      </c>
      <c r="D1181" t="s">
        <v>21</v>
      </c>
      <c r="E1181" t="s">
        <v>549</v>
      </c>
      <c r="F1181" t="s">
        <v>23</v>
      </c>
      <c r="G1181" t="s">
        <v>2921</v>
      </c>
      <c r="H1181" s="10">
        <v>731950</v>
      </c>
      <c r="I1181" s="10">
        <v>0</v>
      </c>
      <c r="J1181" s="10">
        <v>0</v>
      </c>
      <c r="L1181" t="s">
        <v>42</v>
      </c>
      <c r="M1181" t="s">
        <v>26</v>
      </c>
      <c r="N1181" t="s">
        <v>2922</v>
      </c>
      <c r="O1181" s="2">
        <v>42186</v>
      </c>
      <c r="P1181" s="2">
        <v>44377</v>
      </c>
      <c r="Q1181">
        <v>0</v>
      </c>
      <c r="R1181" t="s">
        <v>2923</v>
      </c>
    </row>
    <row r="1182" spans="1:18" x14ac:dyDescent="0.25">
      <c r="A1182" t="s">
        <v>2915</v>
      </c>
      <c r="B1182" t="s">
        <v>19</v>
      </c>
      <c r="C1182" t="s">
        <v>20</v>
      </c>
      <c r="D1182" t="s">
        <v>51</v>
      </c>
      <c r="E1182" t="s">
        <v>406</v>
      </c>
      <c r="F1182" t="s">
        <v>47</v>
      </c>
      <c r="G1182" t="s">
        <v>2916</v>
      </c>
      <c r="H1182" s="10">
        <v>875925</v>
      </c>
      <c r="I1182" s="10">
        <v>0</v>
      </c>
      <c r="J1182" s="10">
        <v>0</v>
      </c>
      <c r="L1182" t="s">
        <v>42</v>
      </c>
      <c r="M1182" t="s">
        <v>26</v>
      </c>
      <c r="N1182" t="s">
        <v>2917</v>
      </c>
      <c r="O1182" s="2">
        <v>43191</v>
      </c>
      <c r="P1182" s="2">
        <v>45016</v>
      </c>
      <c r="Q1182">
        <v>0</v>
      </c>
      <c r="R1182" t="s">
        <v>2918</v>
      </c>
    </row>
    <row r="1183" spans="1:18" x14ac:dyDescent="0.25">
      <c r="A1183" t="s">
        <v>2915</v>
      </c>
      <c r="B1183" t="s">
        <v>19</v>
      </c>
      <c r="C1183" t="s">
        <v>20</v>
      </c>
      <c r="D1183" t="s">
        <v>51</v>
      </c>
      <c r="E1183" t="s">
        <v>186</v>
      </c>
      <c r="F1183" t="s">
        <v>47</v>
      </c>
      <c r="G1183" t="s">
        <v>2919</v>
      </c>
      <c r="H1183" s="10">
        <v>1002150</v>
      </c>
      <c r="I1183" s="10">
        <v>0</v>
      </c>
      <c r="J1183" s="10">
        <v>0</v>
      </c>
      <c r="L1183" t="s">
        <v>42</v>
      </c>
      <c r="M1183" t="s">
        <v>26</v>
      </c>
      <c r="N1183" t="s">
        <v>135</v>
      </c>
      <c r="O1183" s="2">
        <v>44470</v>
      </c>
      <c r="P1183" s="2">
        <v>46295</v>
      </c>
      <c r="Q1183">
        <v>0</v>
      </c>
      <c r="R1183" t="s">
        <v>2920</v>
      </c>
    </row>
    <row r="1184" spans="1:18" x14ac:dyDescent="0.25">
      <c r="A1184" t="s">
        <v>2924</v>
      </c>
      <c r="B1184" t="s">
        <v>49</v>
      </c>
      <c r="C1184" t="s">
        <v>50</v>
      </c>
      <c r="D1184" t="s">
        <v>99</v>
      </c>
      <c r="E1184" t="s">
        <v>100</v>
      </c>
      <c r="F1184" t="s">
        <v>101</v>
      </c>
      <c r="G1184" t="s">
        <v>2925</v>
      </c>
      <c r="H1184" s="10">
        <v>578090</v>
      </c>
      <c r="I1184" s="10">
        <v>0</v>
      </c>
      <c r="J1184" s="10">
        <v>0</v>
      </c>
      <c r="L1184" t="s">
        <v>34</v>
      </c>
      <c r="M1184" t="s">
        <v>103</v>
      </c>
      <c r="N1184" t="s">
        <v>2926</v>
      </c>
      <c r="O1184" s="2">
        <v>43983</v>
      </c>
      <c r="P1184" s="2">
        <v>44347</v>
      </c>
      <c r="Q1184">
        <v>4</v>
      </c>
      <c r="R1184" t="s">
        <v>2927</v>
      </c>
    </row>
    <row r="1185" spans="1:18" x14ac:dyDescent="0.25">
      <c r="A1185" t="s">
        <v>5230</v>
      </c>
      <c r="B1185" t="s">
        <v>237</v>
      </c>
      <c r="C1185" t="s">
        <v>20</v>
      </c>
      <c r="D1185" t="s">
        <v>5165</v>
      </c>
      <c r="E1185" t="s">
        <v>5193</v>
      </c>
      <c r="F1185" t="s">
        <v>4554</v>
      </c>
      <c r="G1185" t="s">
        <v>5231</v>
      </c>
      <c r="H1185" s="10">
        <v>500000</v>
      </c>
      <c r="I1185" s="10">
        <v>0</v>
      </c>
      <c r="J1185" s="10">
        <v>0</v>
      </c>
      <c r="L1185" t="s">
        <v>25</v>
      </c>
      <c r="M1185" t="s">
        <v>85</v>
      </c>
      <c r="N1185" t="s">
        <v>5678</v>
      </c>
      <c r="O1185" s="2">
        <v>41548</v>
      </c>
      <c r="P1185" s="2">
        <v>43008</v>
      </c>
      <c r="Q1185">
        <v>0</v>
      </c>
      <c r="R1185" t="s">
        <v>5677</v>
      </c>
    </row>
    <row r="1186" spans="1:18" x14ac:dyDescent="0.25">
      <c r="A1186" t="s">
        <v>2928</v>
      </c>
      <c r="B1186" t="s">
        <v>5045</v>
      </c>
      <c r="C1186" t="s">
        <v>38</v>
      </c>
      <c r="D1186" t="s">
        <v>51</v>
      </c>
      <c r="E1186" t="s">
        <v>122</v>
      </c>
      <c r="F1186" t="s">
        <v>23</v>
      </c>
      <c r="G1186" t="s">
        <v>2929</v>
      </c>
      <c r="H1186" s="10">
        <v>573750</v>
      </c>
      <c r="I1186" s="10">
        <v>0</v>
      </c>
      <c r="J1186" s="10">
        <v>0</v>
      </c>
      <c r="L1186" t="s">
        <v>42</v>
      </c>
      <c r="M1186" t="s">
        <v>26</v>
      </c>
      <c r="N1186" t="s">
        <v>2930</v>
      </c>
      <c r="O1186" s="2">
        <v>43739</v>
      </c>
      <c r="P1186" s="2">
        <v>45565</v>
      </c>
      <c r="Q1186">
        <v>0</v>
      </c>
      <c r="R1186" t="s">
        <v>2931</v>
      </c>
    </row>
    <row r="1187" spans="1:18" x14ac:dyDescent="0.25">
      <c r="A1187" t="s">
        <v>2928</v>
      </c>
      <c r="B1187" t="s">
        <v>5045</v>
      </c>
      <c r="C1187" t="s">
        <v>38</v>
      </c>
      <c r="D1187" t="s">
        <v>64</v>
      </c>
      <c r="E1187" t="s">
        <v>1222</v>
      </c>
      <c r="F1187" t="s">
        <v>128</v>
      </c>
      <c r="G1187" t="s">
        <v>2932</v>
      </c>
      <c r="H1187" s="10">
        <v>463500</v>
      </c>
      <c r="I1187" s="10">
        <v>0</v>
      </c>
      <c r="J1187" s="10">
        <v>0</v>
      </c>
      <c r="L1187" t="s">
        <v>1224</v>
      </c>
      <c r="M1187" t="s">
        <v>26</v>
      </c>
      <c r="N1187" t="s">
        <v>2933</v>
      </c>
      <c r="O1187" s="2">
        <v>44835</v>
      </c>
      <c r="P1187" s="2">
        <v>45382</v>
      </c>
      <c r="Q1187">
        <v>0</v>
      </c>
      <c r="R1187" t="s">
        <v>2934</v>
      </c>
    </row>
    <row r="1188" spans="1:18" x14ac:dyDescent="0.25">
      <c r="A1188" t="s">
        <v>2935</v>
      </c>
      <c r="B1188" t="s">
        <v>49</v>
      </c>
      <c r="C1188" t="s">
        <v>50</v>
      </c>
      <c r="D1188" t="s">
        <v>21</v>
      </c>
      <c r="E1188" t="s">
        <v>172</v>
      </c>
      <c r="F1188" t="s">
        <v>32</v>
      </c>
      <c r="G1188" t="s">
        <v>2939</v>
      </c>
      <c r="H1188" s="10">
        <v>357800</v>
      </c>
      <c r="I1188" s="10">
        <v>0</v>
      </c>
      <c r="J1188" s="10">
        <v>0</v>
      </c>
      <c r="L1188" t="s">
        <v>25</v>
      </c>
      <c r="M1188" t="s">
        <v>26</v>
      </c>
      <c r="N1188" t="s">
        <v>2940</v>
      </c>
      <c r="O1188" s="2">
        <v>40452</v>
      </c>
      <c r="P1188" s="2">
        <v>41912</v>
      </c>
      <c r="Q1188">
        <v>0</v>
      </c>
      <c r="R1188" t="s">
        <v>2941</v>
      </c>
    </row>
    <row r="1189" spans="1:18" x14ac:dyDescent="0.25">
      <c r="A1189" t="s">
        <v>2935</v>
      </c>
      <c r="B1189" t="s">
        <v>49</v>
      </c>
      <c r="C1189" t="s">
        <v>50</v>
      </c>
      <c r="D1189" t="s">
        <v>99</v>
      </c>
      <c r="E1189" t="s">
        <v>100</v>
      </c>
      <c r="F1189" t="s">
        <v>101</v>
      </c>
      <c r="G1189" t="s">
        <v>2942</v>
      </c>
      <c r="H1189" s="10">
        <v>167056</v>
      </c>
      <c r="I1189" s="10">
        <v>0</v>
      </c>
      <c r="J1189" s="10">
        <v>0</v>
      </c>
      <c r="L1189" t="s">
        <v>34</v>
      </c>
      <c r="M1189" t="s">
        <v>94</v>
      </c>
      <c r="N1189" t="s">
        <v>2943</v>
      </c>
      <c r="O1189" s="2">
        <v>43983</v>
      </c>
      <c r="P1189" s="2">
        <v>44347</v>
      </c>
      <c r="Q1189">
        <v>0</v>
      </c>
      <c r="R1189" t="s">
        <v>2944</v>
      </c>
    </row>
    <row r="1190" spans="1:18" x14ac:dyDescent="0.25">
      <c r="A1190" t="s">
        <v>2935</v>
      </c>
      <c r="B1190" t="s">
        <v>49</v>
      </c>
      <c r="C1190" t="s">
        <v>50</v>
      </c>
      <c r="D1190" t="s">
        <v>51</v>
      </c>
      <c r="E1190" t="s">
        <v>406</v>
      </c>
      <c r="F1190" t="s">
        <v>23</v>
      </c>
      <c r="G1190" t="s">
        <v>2936</v>
      </c>
      <c r="H1190" s="10">
        <v>405452</v>
      </c>
      <c r="I1190" s="10">
        <v>0</v>
      </c>
      <c r="J1190" s="10">
        <v>0</v>
      </c>
      <c r="L1190" t="s">
        <v>25</v>
      </c>
      <c r="M1190" t="s">
        <v>26</v>
      </c>
      <c r="N1190" t="s">
        <v>2937</v>
      </c>
      <c r="O1190" s="2">
        <v>43191</v>
      </c>
      <c r="P1190" s="2">
        <v>44651</v>
      </c>
      <c r="Q1190">
        <v>6</v>
      </c>
      <c r="R1190" t="s">
        <v>2938</v>
      </c>
    </row>
    <row r="1191" spans="1:18" x14ac:dyDescent="0.25">
      <c r="A1191" t="s">
        <v>4904</v>
      </c>
      <c r="B1191" t="s">
        <v>1430</v>
      </c>
      <c r="C1191" t="s">
        <v>20</v>
      </c>
      <c r="D1191" t="s">
        <v>4557</v>
      </c>
      <c r="E1191" t="s">
        <v>4570</v>
      </c>
      <c r="F1191" t="s">
        <v>4559</v>
      </c>
      <c r="G1191" t="s">
        <v>4905</v>
      </c>
      <c r="H1191" s="10">
        <v>298928</v>
      </c>
      <c r="I1191" s="10">
        <v>0</v>
      </c>
      <c r="J1191" s="10">
        <v>0</v>
      </c>
      <c r="L1191" t="s">
        <v>55</v>
      </c>
      <c r="M1191" t="s">
        <v>111</v>
      </c>
      <c r="N1191" t="s">
        <v>5991</v>
      </c>
      <c r="O1191" s="2">
        <v>42826</v>
      </c>
      <c r="P1191" s="2">
        <v>43921</v>
      </c>
      <c r="Q1191">
        <v>1</v>
      </c>
      <c r="R1191" t="s">
        <v>5990</v>
      </c>
    </row>
    <row r="1192" spans="1:18" x14ac:dyDescent="0.25">
      <c r="A1192" t="s">
        <v>2945</v>
      </c>
      <c r="B1192" t="s">
        <v>196</v>
      </c>
      <c r="C1192" t="s">
        <v>20</v>
      </c>
      <c r="D1192" t="s">
        <v>21</v>
      </c>
      <c r="E1192" t="s">
        <v>74</v>
      </c>
      <c r="F1192" t="s">
        <v>109</v>
      </c>
      <c r="G1192" t="s">
        <v>2946</v>
      </c>
      <c r="H1192" s="10">
        <v>711980</v>
      </c>
      <c r="I1192" s="10">
        <v>0</v>
      </c>
      <c r="J1192" s="10">
        <v>0</v>
      </c>
      <c r="L1192" t="s">
        <v>42</v>
      </c>
      <c r="M1192" t="s">
        <v>103</v>
      </c>
      <c r="N1192" t="s">
        <v>2947</v>
      </c>
      <c r="O1192" s="2">
        <v>41000</v>
      </c>
      <c r="P1192" s="2">
        <v>42825</v>
      </c>
      <c r="Q1192">
        <v>0</v>
      </c>
      <c r="R1192" t="s">
        <v>2948</v>
      </c>
    </row>
    <row r="1193" spans="1:18" x14ac:dyDescent="0.25">
      <c r="A1193" t="s">
        <v>2945</v>
      </c>
      <c r="B1193" t="s">
        <v>196</v>
      </c>
      <c r="C1193" t="s">
        <v>20</v>
      </c>
      <c r="D1193" t="s">
        <v>21</v>
      </c>
      <c r="E1193" t="s">
        <v>60</v>
      </c>
      <c r="F1193" t="s">
        <v>109</v>
      </c>
      <c r="G1193" t="s">
        <v>2949</v>
      </c>
      <c r="H1193" s="10">
        <v>728495</v>
      </c>
      <c r="I1193" s="10">
        <v>0</v>
      </c>
      <c r="J1193" s="10">
        <v>0</v>
      </c>
      <c r="L1193" t="s">
        <v>42</v>
      </c>
      <c r="M1193" t="s">
        <v>111</v>
      </c>
      <c r="N1193" t="s">
        <v>1348</v>
      </c>
      <c r="O1193" s="2">
        <v>41913</v>
      </c>
      <c r="P1193" s="2">
        <v>43738</v>
      </c>
      <c r="Q1193">
        <v>0</v>
      </c>
      <c r="R1193" t="s">
        <v>2950</v>
      </c>
    </row>
    <row r="1194" spans="1:18" x14ac:dyDescent="0.25">
      <c r="A1194" t="s">
        <v>2951</v>
      </c>
      <c r="B1194" t="s">
        <v>2610</v>
      </c>
      <c r="C1194" t="s">
        <v>20</v>
      </c>
      <c r="D1194" t="s">
        <v>21</v>
      </c>
      <c r="E1194" t="s">
        <v>534</v>
      </c>
      <c r="F1194" t="s">
        <v>47</v>
      </c>
      <c r="G1194" t="s">
        <v>2953</v>
      </c>
      <c r="H1194" s="10">
        <v>549816</v>
      </c>
      <c r="I1194" s="10">
        <v>0</v>
      </c>
      <c r="J1194" s="10">
        <v>100000</v>
      </c>
      <c r="K1194" t="s">
        <v>2954</v>
      </c>
      <c r="L1194" t="s">
        <v>42</v>
      </c>
      <c r="M1194" t="s">
        <v>26</v>
      </c>
      <c r="N1194" t="s">
        <v>1042</v>
      </c>
      <c r="O1194" s="2">
        <v>40817</v>
      </c>
      <c r="P1194" s="2">
        <v>42643</v>
      </c>
      <c r="Q1194">
        <v>0</v>
      </c>
      <c r="R1194" t="s">
        <v>2955</v>
      </c>
    </row>
    <row r="1195" spans="1:18" x14ac:dyDescent="0.25">
      <c r="A1195" t="s">
        <v>2951</v>
      </c>
      <c r="B1195" t="s">
        <v>2610</v>
      </c>
      <c r="C1195" t="s">
        <v>20</v>
      </c>
      <c r="D1195" t="s">
        <v>1973</v>
      </c>
      <c r="E1195" t="s">
        <v>2952</v>
      </c>
      <c r="F1195" t="s">
        <v>47</v>
      </c>
      <c r="G1195" t="s">
        <v>2953</v>
      </c>
      <c r="H1195" s="10">
        <v>0</v>
      </c>
      <c r="I1195" s="10">
        <v>0</v>
      </c>
      <c r="J1195" s="10">
        <v>100000</v>
      </c>
      <c r="K1195" t="s">
        <v>2954</v>
      </c>
      <c r="L1195" t="s">
        <v>34</v>
      </c>
      <c r="M1195" t="s">
        <v>26</v>
      </c>
      <c r="N1195" t="s">
        <v>1042</v>
      </c>
      <c r="O1195" s="2">
        <v>40817</v>
      </c>
      <c r="P1195" s="2">
        <v>41182</v>
      </c>
      <c r="Q1195">
        <v>0</v>
      </c>
      <c r="R1195" t="s">
        <v>2955</v>
      </c>
    </row>
    <row r="1196" spans="1:18" x14ac:dyDescent="0.25">
      <c r="A1196" t="s">
        <v>2951</v>
      </c>
      <c r="B1196" t="s">
        <v>2610</v>
      </c>
      <c r="C1196" t="s">
        <v>20</v>
      </c>
      <c r="D1196" t="s">
        <v>51</v>
      </c>
      <c r="E1196" t="s">
        <v>122</v>
      </c>
      <c r="F1196" t="s">
        <v>32</v>
      </c>
      <c r="G1196" t="s">
        <v>2956</v>
      </c>
      <c r="H1196" s="10">
        <v>631126</v>
      </c>
      <c r="I1196" s="10">
        <v>0</v>
      </c>
      <c r="J1196" s="10">
        <v>0</v>
      </c>
      <c r="L1196" t="s">
        <v>42</v>
      </c>
      <c r="M1196" t="s">
        <v>26</v>
      </c>
      <c r="N1196" t="s">
        <v>293</v>
      </c>
      <c r="O1196" s="2">
        <v>43739</v>
      </c>
      <c r="P1196" s="2">
        <v>45565</v>
      </c>
      <c r="Q1196">
        <v>0</v>
      </c>
      <c r="R1196" t="s">
        <v>2957</v>
      </c>
    </row>
    <row r="1197" spans="1:18" x14ac:dyDescent="0.25">
      <c r="A1197" t="s">
        <v>4906</v>
      </c>
      <c r="B1197" t="s">
        <v>49</v>
      </c>
      <c r="C1197" t="s">
        <v>50</v>
      </c>
      <c r="D1197" t="s">
        <v>4557</v>
      </c>
      <c r="E1197" t="s">
        <v>4602</v>
      </c>
      <c r="F1197" t="s">
        <v>4559</v>
      </c>
      <c r="G1197" t="s">
        <v>4907</v>
      </c>
      <c r="H1197" s="10">
        <v>313100</v>
      </c>
      <c r="I1197" s="10">
        <v>0</v>
      </c>
      <c r="J1197" s="10">
        <v>0</v>
      </c>
      <c r="L1197" t="s">
        <v>55</v>
      </c>
      <c r="M1197" t="s">
        <v>103</v>
      </c>
      <c r="N1197" t="s">
        <v>3263</v>
      </c>
      <c r="O1197" s="2">
        <v>41365</v>
      </c>
      <c r="P1197" s="2">
        <v>42460</v>
      </c>
      <c r="Q1197">
        <v>0</v>
      </c>
      <c r="R1197" t="s">
        <v>5879</v>
      </c>
    </row>
    <row r="1198" spans="1:18" x14ac:dyDescent="0.25">
      <c r="A1198" t="s">
        <v>2958</v>
      </c>
      <c r="B1198" t="s">
        <v>157</v>
      </c>
      <c r="C1198" t="s">
        <v>38</v>
      </c>
      <c r="D1198" t="s">
        <v>5248</v>
      </c>
      <c r="E1198" t="s">
        <v>5268</v>
      </c>
      <c r="F1198" t="s">
        <v>4554</v>
      </c>
      <c r="G1198" t="s">
        <v>5270</v>
      </c>
      <c r="H1198" s="10">
        <v>60000</v>
      </c>
      <c r="I1198" s="10">
        <v>0</v>
      </c>
      <c r="J1198" s="10">
        <v>0</v>
      </c>
      <c r="L1198" t="s">
        <v>84</v>
      </c>
      <c r="M1198" t="s">
        <v>204</v>
      </c>
      <c r="N1198" t="s">
        <v>5580</v>
      </c>
      <c r="O1198" s="2">
        <v>40634</v>
      </c>
      <c r="P1198" s="2">
        <v>41364</v>
      </c>
      <c r="Q1198">
        <v>0</v>
      </c>
      <c r="R1198" t="s">
        <v>5579</v>
      </c>
    </row>
    <row r="1199" spans="1:18" x14ac:dyDescent="0.25">
      <c r="A1199" t="s">
        <v>2958</v>
      </c>
      <c r="B1199" t="s">
        <v>157</v>
      </c>
      <c r="C1199" t="s">
        <v>38</v>
      </c>
      <c r="D1199" t="s">
        <v>51</v>
      </c>
      <c r="E1199" t="s">
        <v>163</v>
      </c>
      <c r="F1199" t="s">
        <v>128</v>
      </c>
      <c r="G1199" t="s">
        <v>2959</v>
      </c>
      <c r="H1199" s="10">
        <v>1074825</v>
      </c>
      <c r="I1199" s="10">
        <v>0</v>
      </c>
      <c r="J1199" s="10">
        <v>0</v>
      </c>
      <c r="L1199" t="s">
        <v>42</v>
      </c>
      <c r="M1199" t="s">
        <v>204</v>
      </c>
      <c r="N1199" t="s">
        <v>2960</v>
      </c>
      <c r="O1199" s="2">
        <v>43556</v>
      </c>
      <c r="P1199" s="2">
        <v>45382</v>
      </c>
      <c r="Q1199">
        <v>1</v>
      </c>
      <c r="R1199" t="s">
        <v>2961</v>
      </c>
    </row>
    <row r="1200" spans="1:18" x14ac:dyDescent="0.25">
      <c r="A1200" t="s">
        <v>4908</v>
      </c>
      <c r="B1200" t="s">
        <v>114</v>
      </c>
      <c r="C1200" t="s">
        <v>20</v>
      </c>
      <c r="D1200" t="s">
        <v>4557</v>
      </c>
      <c r="E1200" t="s">
        <v>4562</v>
      </c>
      <c r="F1200" t="s">
        <v>4559</v>
      </c>
      <c r="G1200" t="s">
        <v>4909</v>
      </c>
      <c r="H1200" s="10">
        <v>450330</v>
      </c>
      <c r="I1200" s="10">
        <v>0</v>
      </c>
      <c r="J1200" s="10">
        <v>0</v>
      </c>
      <c r="L1200" t="s">
        <v>55</v>
      </c>
      <c r="M1200" t="s">
        <v>85</v>
      </c>
      <c r="N1200" t="s">
        <v>5896</v>
      </c>
      <c r="O1200" s="2">
        <v>43922</v>
      </c>
      <c r="P1200" s="2">
        <v>45016</v>
      </c>
      <c r="Q1200">
        <v>1</v>
      </c>
      <c r="R1200" t="s">
        <v>5895</v>
      </c>
    </row>
    <row r="1201" spans="1:18" x14ac:dyDescent="0.25">
      <c r="A1201" t="s">
        <v>2962</v>
      </c>
      <c r="B1201" t="s">
        <v>4494</v>
      </c>
      <c r="C1201" t="s">
        <v>38</v>
      </c>
      <c r="D1201" t="s">
        <v>21</v>
      </c>
      <c r="E1201" t="s">
        <v>534</v>
      </c>
      <c r="F1201" t="s">
        <v>47</v>
      </c>
      <c r="G1201" t="s">
        <v>2963</v>
      </c>
      <c r="H1201" s="10">
        <v>338166</v>
      </c>
      <c r="I1201" s="10">
        <v>0</v>
      </c>
      <c r="J1201" s="10">
        <v>0</v>
      </c>
      <c r="L1201" t="s">
        <v>55</v>
      </c>
      <c r="M1201" t="s">
        <v>26</v>
      </c>
      <c r="N1201" t="s">
        <v>2964</v>
      </c>
      <c r="O1201" s="2">
        <v>40817</v>
      </c>
      <c r="P1201" s="2">
        <v>41912</v>
      </c>
      <c r="Q1201">
        <v>0</v>
      </c>
      <c r="R1201" t="s">
        <v>2965</v>
      </c>
    </row>
    <row r="1202" spans="1:18" x14ac:dyDescent="0.25">
      <c r="A1202" t="s">
        <v>2966</v>
      </c>
      <c r="B1202" t="s">
        <v>4464</v>
      </c>
      <c r="C1202" t="s">
        <v>20</v>
      </c>
      <c r="D1202" t="s">
        <v>21</v>
      </c>
      <c r="E1202" t="s">
        <v>287</v>
      </c>
      <c r="F1202" t="s">
        <v>47</v>
      </c>
      <c r="G1202" t="s">
        <v>2967</v>
      </c>
      <c r="H1202" s="10">
        <v>130322</v>
      </c>
      <c r="I1202" s="10">
        <v>0</v>
      </c>
      <c r="J1202" s="10">
        <v>0</v>
      </c>
      <c r="L1202" t="s">
        <v>55</v>
      </c>
      <c r="M1202" t="s">
        <v>26</v>
      </c>
      <c r="N1202" t="s">
        <v>2235</v>
      </c>
      <c r="O1202" s="2">
        <v>40634</v>
      </c>
      <c r="P1202" s="2">
        <v>41729</v>
      </c>
      <c r="Q1202">
        <v>0</v>
      </c>
      <c r="R1202" t="s">
        <v>2968</v>
      </c>
    </row>
    <row r="1203" spans="1:18" x14ac:dyDescent="0.25">
      <c r="A1203" t="s">
        <v>2969</v>
      </c>
      <c r="B1203" t="s">
        <v>107</v>
      </c>
      <c r="C1203" t="s">
        <v>38</v>
      </c>
      <c r="D1203" t="s">
        <v>21</v>
      </c>
      <c r="E1203" t="s">
        <v>323</v>
      </c>
      <c r="F1203" t="s">
        <v>109</v>
      </c>
      <c r="G1203" t="s">
        <v>2973</v>
      </c>
      <c r="H1203" s="10">
        <v>805242</v>
      </c>
      <c r="I1203" s="10">
        <v>0</v>
      </c>
      <c r="J1203" s="10">
        <v>0</v>
      </c>
      <c r="L1203" t="s">
        <v>42</v>
      </c>
      <c r="M1203" t="s">
        <v>111</v>
      </c>
      <c r="N1203" t="s">
        <v>2541</v>
      </c>
      <c r="O1203" s="2">
        <v>40269</v>
      </c>
      <c r="P1203" s="2">
        <v>42094</v>
      </c>
      <c r="Q1203">
        <v>0</v>
      </c>
      <c r="R1203" t="s">
        <v>2974</v>
      </c>
    </row>
    <row r="1204" spans="1:18" x14ac:dyDescent="0.25">
      <c r="A1204" t="s">
        <v>2969</v>
      </c>
      <c r="B1204" t="s">
        <v>107</v>
      </c>
      <c r="C1204" t="s">
        <v>38</v>
      </c>
      <c r="D1204" t="s">
        <v>21</v>
      </c>
      <c r="E1204" t="s">
        <v>74</v>
      </c>
      <c r="F1204" t="s">
        <v>109</v>
      </c>
      <c r="G1204" t="s">
        <v>2970</v>
      </c>
      <c r="H1204" s="10">
        <v>829562</v>
      </c>
      <c r="I1204" s="10">
        <v>0</v>
      </c>
      <c r="J1204" s="10">
        <v>0</v>
      </c>
      <c r="L1204" t="s">
        <v>42</v>
      </c>
      <c r="M1204" t="s">
        <v>111</v>
      </c>
      <c r="N1204" t="s">
        <v>2971</v>
      </c>
      <c r="O1204" s="2">
        <v>41000</v>
      </c>
      <c r="P1204" s="2">
        <v>42825</v>
      </c>
      <c r="Q1204">
        <v>0</v>
      </c>
      <c r="R1204" t="s">
        <v>2972</v>
      </c>
    </row>
    <row r="1205" spans="1:18" x14ac:dyDescent="0.25">
      <c r="A1205" t="s">
        <v>4910</v>
      </c>
      <c r="B1205" t="s">
        <v>3285</v>
      </c>
      <c r="C1205" t="s">
        <v>20</v>
      </c>
      <c r="D1205" t="s">
        <v>4557</v>
      </c>
      <c r="E1205" t="s">
        <v>4581</v>
      </c>
      <c r="F1205" t="s">
        <v>4559</v>
      </c>
      <c r="G1205" t="s">
        <v>4911</v>
      </c>
      <c r="H1205" s="10">
        <v>856779</v>
      </c>
      <c r="I1205" s="10">
        <v>85000</v>
      </c>
      <c r="J1205" s="10">
        <v>0</v>
      </c>
      <c r="L1205" t="s">
        <v>55</v>
      </c>
      <c r="M1205" t="s">
        <v>831</v>
      </c>
      <c r="N1205" t="s">
        <v>5888</v>
      </c>
      <c r="O1205" s="2">
        <v>43556</v>
      </c>
      <c r="P1205" s="2">
        <v>44651</v>
      </c>
      <c r="Q1205">
        <v>0</v>
      </c>
      <c r="R1205" t="s">
        <v>5887</v>
      </c>
    </row>
    <row r="1206" spans="1:18" x14ac:dyDescent="0.25">
      <c r="A1206" t="s">
        <v>6206</v>
      </c>
      <c r="B1206" t="s">
        <v>157</v>
      </c>
      <c r="C1206" t="s">
        <v>38</v>
      </c>
      <c r="D1206" t="s">
        <v>5042</v>
      </c>
      <c r="E1206" t="s">
        <v>5043</v>
      </c>
      <c r="F1206" t="s">
        <v>5038</v>
      </c>
      <c r="G1206" t="s">
        <v>5051</v>
      </c>
      <c r="H1206" s="12">
        <v>600000</v>
      </c>
      <c r="I1206" s="12">
        <v>0</v>
      </c>
      <c r="J1206" s="10">
        <v>0</v>
      </c>
      <c r="L1206" t="s">
        <v>5039</v>
      </c>
      <c r="M1206" t="s">
        <v>413</v>
      </c>
      <c r="N1206" t="s">
        <v>6207</v>
      </c>
      <c r="O1206" s="2">
        <v>45444</v>
      </c>
      <c r="P1206" s="2">
        <v>46477</v>
      </c>
      <c r="Q1206">
        <v>0</v>
      </c>
      <c r="R1206" t="s">
        <v>6208</v>
      </c>
    </row>
    <row r="1207" spans="1:18" x14ac:dyDescent="0.25">
      <c r="A1207" t="s">
        <v>2975</v>
      </c>
      <c r="B1207" t="s">
        <v>196</v>
      </c>
      <c r="C1207" t="s">
        <v>20</v>
      </c>
      <c r="D1207" t="s">
        <v>51</v>
      </c>
      <c r="E1207" t="s">
        <v>122</v>
      </c>
      <c r="F1207" t="s">
        <v>128</v>
      </c>
      <c r="G1207" t="s">
        <v>2976</v>
      </c>
      <c r="H1207" s="10">
        <v>761176</v>
      </c>
      <c r="I1207" s="10">
        <v>0</v>
      </c>
      <c r="J1207" s="10">
        <v>0</v>
      </c>
      <c r="L1207" t="s">
        <v>42</v>
      </c>
      <c r="M1207" t="s">
        <v>26</v>
      </c>
      <c r="N1207" t="s">
        <v>2977</v>
      </c>
      <c r="O1207" s="2">
        <v>43739</v>
      </c>
      <c r="P1207" s="2">
        <v>45565</v>
      </c>
      <c r="Q1207">
        <v>0</v>
      </c>
      <c r="R1207" t="s">
        <v>2978</v>
      </c>
    </row>
    <row r="1208" spans="1:18" x14ac:dyDescent="0.25">
      <c r="A1208" t="s">
        <v>5489</v>
      </c>
      <c r="B1208" t="s">
        <v>196</v>
      </c>
      <c r="C1208" t="s">
        <v>20</v>
      </c>
      <c r="D1208" t="s">
        <v>1342</v>
      </c>
      <c r="E1208" t="s">
        <v>2278</v>
      </c>
      <c r="F1208" t="s">
        <v>32</v>
      </c>
      <c r="G1208" t="s">
        <v>2979</v>
      </c>
      <c r="H1208" s="10">
        <v>100000</v>
      </c>
      <c r="I1208" s="10">
        <v>0</v>
      </c>
      <c r="J1208" s="10">
        <v>0</v>
      </c>
      <c r="L1208" t="s">
        <v>34</v>
      </c>
      <c r="M1208" t="s">
        <v>26</v>
      </c>
      <c r="N1208" t="s">
        <v>2980</v>
      </c>
      <c r="O1208" s="2">
        <v>44986</v>
      </c>
      <c r="P1208" s="2">
        <v>45351</v>
      </c>
      <c r="Q1208">
        <v>0</v>
      </c>
      <c r="R1208" t="s">
        <v>2981</v>
      </c>
    </row>
    <row r="1209" spans="1:18" x14ac:dyDescent="0.25">
      <c r="A1209" t="s">
        <v>2982</v>
      </c>
      <c r="B1209" t="s">
        <v>107</v>
      </c>
      <c r="C1209" t="s">
        <v>38</v>
      </c>
      <c r="D1209" t="s">
        <v>21</v>
      </c>
      <c r="E1209" t="s">
        <v>194</v>
      </c>
      <c r="F1209" t="s">
        <v>53</v>
      </c>
      <c r="G1209" t="s">
        <v>2983</v>
      </c>
      <c r="H1209" s="11">
        <v>180000</v>
      </c>
      <c r="I1209" s="11">
        <v>0</v>
      </c>
      <c r="J1209" s="11">
        <v>0</v>
      </c>
      <c r="L1209" t="s">
        <v>55</v>
      </c>
      <c r="M1209" t="s">
        <v>111</v>
      </c>
      <c r="N1209" t="s">
        <v>2984</v>
      </c>
      <c r="O1209" s="2">
        <v>40087</v>
      </c>
      <c r="P1209" s="2">
        <v>41182</v>
      </c>
      <c r="Q1209">
        <v>0</v>
      </c>
      <c r="R1209" t="s">
        <v>2985</v>
      </c>
    </row>
    <row r="1210" spans="1:18" x14ac:dyDescent="0.25">
      <c r="A1210" t="s">
        <v>2986</v>
      </c>
      <c r="B1210" t="s">
        <v>98</v>
      </c>
      <c r="C1210" t="s">
        <v>20</v>
      </c>
      <c r="D1210" t="s">
        <v>395</v>
      </c>
      <c r="E1210" t="s">
        <v>1935</v>
      </c>
      <c r="F1210" t="s">
        <v>47</v>
      </c>
      <c r="G1210" t="s">
        <v>2987</v>
      </c>
      <c r="H1210" s="10">
        <v>100000</v>
      </c>
      <c r="I1210" s="10">
        <v>0</v>
      </c>
      <c r="J1210" s="10">
        <v>0</v>
      </c>
      <c r="L1210" t="s">
        <v>34</v>
      </c>
      <c r="M1210" t="s">
        <v>26</v>
      </c>
      <c r="N1210" t="s">
        <v>2988</v>
      </c>
      <c r="O1210" s="2">
        <v>39814</v>
      </c>
      <c r="P1210" s="2">
        <v>40178</v>
      </c>
      <c r="Q1210">
        <v>0</v>
      </c>
      <c r="R1210" t="s">
        <v>2989</v>
      </c>
    </row>
    <row r="1211" spans="1:18" x14ac:dyDescent="0.25">
      <c r="A1211" t="s">
        <v>4912</v>
      </c>
      <c r="B1211" t="s">
        <v>49</v>
      </c>
      <c r="C1211" t="s">
        <v>50</v>
      </c>
      <c r="D1211" t="s">
        <v>4557</v>
      </c>
      <c r="E1211" t="s">
        <v>4570</v>
      </c>
      <c r="F1211" t="s">
        <v>4559</v>
      </c>
      <c r="G1211" t="s">
        <v>4913</v>
      </c>
      <c r="H1211" s="10">
        <v>233800</v>
      </c>
      <c r="I1211" s="10">
        <v>0</v>
      </c>
      <c r="J1211" s="10">
        <v>0</v>
      </c>
      <c r="L1211" t="s">
        <v>55</v>
      </c>
      <c r="M1211" t="s">
        <v>85</v>
      </c>
      <c r="N1211" t="s">
        <v>5589</v>
      </c>
      <c r="O1211" s="2">
        <v>42826</v>
      </c>
      <c r="P1211" s="2">
        <v>43921</v>
      </c>
      <c r="Q1211">
        <v>0</v>
      </c>
      <c r="R1211" t="s">
        <v>5588</v>
      </c>
    </row>
    <row r="1212" spans="1:18" x14ac:dyDescent="0.25">
      <c r="A1212" t="s">
        <v>4914</v>
      </c>
      <c r="B1212" t="s">
        <v>49</v>
      </c>
      <c r="C1212" t="s">
        <v>50</v>
      </c>
      <c r="D1212" t="s">
        <v>4557</v>
      </c>
      <c r="E1212" t="s">
        <v>4581</v>
      </c>
      <c r="F1212" t="s">
        <v>4559</v>
      </c>
      <c r="G1212" t="s">
        <v>4915</v>
      </c>
      <c r="H1212" s="10">
        <v>306802</v>
      </c>
      <c r="I1212" s="10">
        <v>0</v>
      </c>
      <c r="J1212" s="10">
        <v>0</v>
      </c>
      <c r="L1212" t="s">
        <v>55</v>
      </c>
      <c r="M1212" t="s">
        <v>94</v>
      </c>
      <c r="N1212" t="s">
        <v>5763</v>
      </c>
      <c r="O1212" s="2">
        <v>43556</v>
      </c>
      <c r="P1212" s="2">
        <v>44651</v>
      </c>
      <c r="Q1212">
        <v>0</v>
      </c>
      <c r="R1212" t="s">
        <v>5762</v>
      </c>
    </row>
    <row r="1213" spans="1:18" x14ac:dyDescent="0.25">
      <c r="A1213" t="s">
        <v>2990</v>
      </c>
      <c r="B1213" t="s">
        <v>240</v>
      </c>
      <c r="C1213" t="s">
        <v>20</v>
      </c>
      <c r="D1213" t="s">
        <v>51</v>
      </c>
      <c r="E1213" t="s">
        <v>127</v>
      </c>
      <c r="F1213" t="s">
        <v>53</v>
      </c>
      <c r="G1213" t="s">
        <v>2993</v>
      </c>
      <c r="H1213" s="10">
        <v>742050</v>
      </c>
      <c r="I1213" s="10">
        <v>0</v>
      </c>
      <c r="J1213" s="10">
        <v>0</v>
      </c>
      <c r="L1213" t="s">
        <v>42</v>
      </c>
      <c r="M1213" t="s">
        <v>831</v>
      </c>
      <c r="N1213" t="s">
        <v>961</v>
      </c>
      <c r="O1213" s="2">
        <v>44835</v>
      </c>
      <c r="P1213" s="2">
        <v>46660</v>
      </c>
      <c r="Q1213">
        <v>0</v>
      </c>
      <c r="R1213" t="s">
        <v>2994</v>
      </c>
    </row>
    <row r="1214" spans="1:18" x14ac:dyDescent="0.25">
      <c r="A1214" t="s">
        <v>2990</v>
      </c>
      <c r="B1214" t="s">
        <v>240</v>
      </c>
      <c r="C1214" t="s">
        <v>20</v>
      </c>
      <c r="D1214" t="s">
        <v>51</v>
      </c>
      <c r="E1214" t="s">
        <v>70</v>
      </c>
      <c r="F1214" t="s">
        <v>53</v>
      </c>
      <c r="G1214" t="s">
        <v>2991</v>
      </c>
      <c r="H1214" s="10">
        <v>864450</v>
      </c>
      <c r="I1214" s="10">
        <v>0</v>
      </c>
      <c r="J1214" s="10">
        <v>0</v>
      </c>
      <c r="L1214" t="s">
        <v>42</v>
      </c>
      <c r="M1214" t="s">
        <v>831</v>
      </c>
      <c r="N1214" t="s">
        <v>961</v>
      </c>
      <c r="O1214" s="2">
        <v>45200</v>
      </c>
      <c r="P1214" s="2">
        <v>47026</v>
      </c>
      <c r="Q1214">
        <v>1</v>
      </c>
      <c r="R1214" t="s">
        <v>2992</v>
      </c>
    </row>
    <row r="1215" spans="1:18" x14ac:dyDescent="0.25">
      <c r="A1215" t="s">
        <v>2995</v>
      </c>
      <c r="B1215" t="s">
        <v>4491</v>
      </c>
      <c r="C1215" t="s">
        <v>38</v>
      </c>
      <c r="D1215" t="s">
        <v>39</v>
      </c>
      <c r="E1215" t="s">
        <v>2996</v>
      </c>
      <c r="F1215" t="s">
        <v>47</v>
      </c>
      <c r="G1215" t="s">
        <v>2997</v>
      </c>
      <c r="H1215" s="10">
        <v>100000</v>
      </c>
      <c r="I1215" s="10">
        <v>0</v>
      </c>
      <c r="J1215" s="10">
        <v>0</v>
      </c>
      <c r="L1215" t="s">
        <v>34</v>
      </c>
      <c r="M1215" t="s">
        <v>26</v>
      </c>
      <c r="N1215" t="s">
        <v>2998</v>
      </c>
      <c r="O1215" s="2">
        <v>41334</v>
      </c>
      <c r="P1215" s="2">
        <v>41698</v>
      </c>
      <c r="Q1215">
        <v>0</v>
      </c>
      <c r="R1215" t="s">
        <v>2999</v>
      </c>
    </row>
    <row r="1216" spans="1:18" x14ac:dyDescent="0.25">
      <c r="A1216" t="s">
        <v>3000</v>
      </c>
      <c r="B1216" t="s">
        <v>49</v>
      </c>
      <c r="C1216" t="s">
        <v>50</v>
      </c>
      <c r="D1216" t="s">
        <v>3001</v>
      </c>
      <c r="E1216" t="s">
        <v>3002</v>
      </c>
      <c r="F1216" t="s">
        <v>23</v>
      </c>
      <c r="G1216" t="s">
        <v>3003</v>
      </c>
      <c r="H1216" s="10">
        <v>100000</v>
      </c>
      <c r="I1216" s="10">
        <v>0</v>
      </c>
      <c r="J1216" s="10">
        <v>0</v>
      </c>
      <c r="L1216" t="s">
        <v>34</v>
      </c>
      <c r="M1216" t="s">
        <v>26</v>
      </c>
      <c r="N1216" t="s">
        <v>1329</v>
      </c>
      <c r="O1216" s="2">
        <v>43739</v>
      </c>
      <c r="P1216" s="2">
        <v>44104</v>
      </c>
      <c r="Q1216">
        <v>0</v>
      </c>
      <c r="R1216" t="s">
        <v>3004</v>
      </c>
    </row>
    <row r="1217" spans="1:18" x14ac:dyDescent="0.25">
      <c r="A1217" t="s">
        <v>4327</v>
      </c>
      <c r="B1217" t="s">
        <v>4492</v>
      </c>
      <c r="C1217" t="s">
        <v>38</v>
      </c>
      <c r="D1217" t="s">
        <v>51</v>
      </c>
      <c r="E1217" t="s">
        <v>122</v>
      </c>
      <c r="F1217" t="s">
        <v>32</v>
      </c>
      <c r="G1217" t="s">
        <v>4328</v>
      </c>
      <c r="H1217" s="10">
        <v>956250</v>
      </c>
      <c r="I1217" s="10">
        <v>0</v>
      </c>
      <c r="J1217" s="10">
        <v>0</v>
      </c>
      <c r="L1217" t="s">
        <v>42</v>
      </c>
      <c r="M1217" t="s">
        <v>143</v>
      </c>
      <c r="N1217" t="s">
        <v>2757</v>
      </c>
      <c r="O1217" s="2">
        <v>43739</v>
      </c>
      <c r="P1217" s="2">
        <v>45565</v>
      </c>
      <c r="Q1217">
        <v>0</v>
      </c>
      <c r="R1217" t="s">
        <v>4329</v>
      </c>
    </row>
    <row r="1218" spans="1:18" x14ac:dyDescent="0.25">
      <c r="A1218" t="s">
        <v>4916</v>
      </c>
      <c r="B1218" t="s">
        <v>114</v>
      </c>
      <c r="C1218" t="s">
        <v>20</v>
      </c>
      <c r="D1218" t="s">
        <v>4557</v>
      </c>
      <c r="E1218" t="s">
        <v>4570</v>
      </c>
      <c r="F1218" t="s">
        <v>4559</v>
      </c>
      <c r="G1218" t="s">
        <v>4917</v>
      </c>
      <c r="H1218" s="10">
        <v>349500</v>
      </c>
      <c r="I1218" s="10">
        <v>0</v>
      </c>
      <c r="J1218" s="10">
        <v>0</v>
      </c>
      <c r="L1218" t="s">
        <v>55</v>
      </c>
      <c r="M1218" t="s">
        <v>111</v>
      </c>
      <c r="N1218" t="s">
        <v>5852</v>
      </c>
      <c r="O1218" s="2">
        <v>42826</v>
      </c>
      <c r="P1218" s="2">
        <v>43921</v>
      </c>
      <c r="Q1218">
        <v>0</v>
      </c>
      <c r="R1218" t="s">
        <v>5851</v>
      </c>
    </row>
    <row r="1219" spans="1:18" x14ac:dyDescent="0.25">
      <c r="A1219" t="s">
        <v>3005</v>
      </c>
      <c r="B1219" t="s">
        <v>3006</v>
      </c>
      <c r="C1219" t="s">
        <v>20</v>
      </c>
      <c r="D1219" t="s">
        <v>21</v>
      </c>
      <c r="E1219" t="s">
        <v>549</v>
      </c>
      <c r="F1219" t="s">
        <v>32</v>
      </c>
      <c r="G1219" t="s">
        <v>3007</v>
      </c>
      <c r="H1219" s="10">
        <v>765202</v>
      </c>
      <c r="I1219" s="10">
        <v>0</v>
      </c>
      <c r="J1219" s="10">
        <v>0</v>
      </c>
      <c r="L1219" t="s">
        <v>42</v>
      </c>
      <c r="M1219" t="s">
        <v>26</v>
      </c>
      <c r="N1219" t="s">
        <v>2310</v>
      </c>
      <c r="O1219" s="2">
        <v>42186</v>
      </c>
      <c r="P1219" s="2">
        <v>44377</v>
      </c>
      <c r="Q1219">
        <v>3</v>
      </c>
      <c r="R1219" t="s">
        <v>3008</v>
      </c>
    </row>
    <row r="1220" spans="1:18" x14ac:dyDescent="0.25">
      <c r="A1220" t="s">
        <v>3005</v>
      </c>
      <c r="B1220" t="s">
        <v>3006</v>
      </c>
      <c r="C1220" t="s">
        <v>20</v>
      </c>
      <c r="D1220" t="s">
        <v>51</v>
      </c>
      <c r="E1220" t="s">
        <v>163</v>
      </c>
      <c r="F1220" t="s">
        <v>32</v>
      </c>
      <c r="G1220" t="s">
        <v>3009</v>
      </c>
      <c r="H1220" s="10">
        <v>1044225</v>
      </c>
      <c r="I1220" s="10">
        <v>0</v>
      </c>
      <c r="J1220" s="10">
        <v>0</v>
      </c>
      <c r="L1220" t="s">
        <v>42</v>
      </c>
      <c r="M1220" t="s">
        <v>26</v>
      </c>
      <c r="N1220" t="s">
        <v>3010</v>
      </c>
      <c r="O1220" s="2">
        <v>43556</v>
      </c>
      <c r="P1220" s="2">
        <v>45382</v>
      </c>
      <c r="Q1220">
        <v>1</v>
      </c>
      <c r="R1220" t="s">
        <v>3011</v>
      </c>
    </row>
    <row r="1221" spans="1:18" x14ac:dyDescent="0.25">
      <c r="A1221" t="s">
        <v>3012</v>
      </c>
      <c r="B1221" t="s">
        <v>240</v>
      </c>
      <c r="C1221" t="s">
        <v>20</v>
      </c>
      <c r="D1221" t="s">
        <v>51</v>
      </c>
      <c r="E1221" t="s">
        <v>208</v>
      </c>
      <c r="F1221" t="s">
        <v>32</v>
      </c>
      <c r="G1221" t="s">
        <v>3013</v>
      </c>
      <c r="H1221" s="10">
        <v>979200</v>
      </c>
      <c r="I1221" s="10">
        <v>0</v>
      </c>
      <c r="J1221" s="10">
        <v>0</v>
      </c>
      <c r="L1221" t="s">
        <v>42</v>
      </c>
      <c r="M1221" t="s">
        <v>103</v>
      </c>
      <c r="N1221" t="s">
        <v>3014</v>
      </c>
      <c r="O1221" s="2">
        <v>45383</v>
      </c>
      <c r="P1221" s="2">
        <v>47208</v>
      </c>
      <c r="Q1221">
        <v>0</v>
      </c>
      <c r="R1221" t="s">
        <v>3015</v>
      </c>
    </row>
    <row r="1222" spans="1:18" x14ac:dyDescent="0.25">
      <c r="A1222" t="s">
        <v>3016</v>
      </c>
      <c r="B1222" t="s">
        <v>196</v>
      </c>
      <c r="C1222" t="s">
        <v>20</v>
      </c>
      <c r="D1222" t="s">
        <v>21</v>
      </c>
      <c r="E1222" t="s">
        <v>74</v>
      </c>
      <c r="F1222" t="s">
        <v>23</v>
      </c>
      <c r="G1222" t="s">
        <v>3017</v>
      </c>
      <c r="H1222" s="10">
        <v>739830</v>
      </c>
      <c r="I1222" s="10">
        <v>0</v>
      </c>
      <c r="J1222" s="10">
        <v>0</v>
      </c>
      <c r="L1222" t="s">
        <v>42</v>
      </c>
      <c r="M1222" t="s">
        <v>26</v>
      </c>
      <c r="N1222" t="s">
        <v>3018</v>
      </c>
      <c r="O1222" s="2">
        <v>41000</v>
      </c>
      <c r="P1222" s="2">
        <v>42825</v>
      </c>
      <c r="Q1222">
        <v>1</v>
      </c>
      <c r="R1222" t="s">
        <v>3019</v>
      </c>
    </row>
    <row r="1223" spans="1:18" x14ac:dyDescent="0.25">
      <c r="A1223" t="s">
        <v>5426</v>
      </c>
      <c r="B1223" t="s">
        <v>1105</v>
      </c>
      <c r="C1223" t="s">
        <v>138</v>
      </c>
      <c r="D1223" t="s">
        <v>51</v>
      </c>
      <c r="E1223" t="s">
        <v>70</v>
      </c>
      <c r="F1223" t="s">
        <v>109</v>
      </c>
      <c r="G1223" t="s">
        <v>4330</v>
      </c>
      <c r="H1223" s="10">
        <v>963900</v>
      </c>
      <c r="I1223" s="10">
        <v>0</v>
      </c>
      <c r="J1223" s="10">
        <v>0</v>
      </c>
      <c r="L1223" t="s">
        <v>42</v>
      </c>
      <c r="M1223" t="s">
        <v>26</v>
      </c>
      <c r="N1223" t="s">
        <v>4331</v>
      </c>
      <c r="O1223" s="2">
        <v>45200</v>
      </c>
      <c r="P1223" s="2">
        <v>47026</v>
      </c>
      <c r="Q1223">
        <v>0</v>
      </c>
      <c r="R1223" t="s">
        <v>4332</v>
      </c>
    </row>
    <row r="1224" spans="1:18" x14ac:dyDescent="0.25">
      <c r="A1224" t="s">
        <v>3020</v>
      </c>
      <c r="B1224" t="s">
        <v>672</v>
      </c>
      <c r="C1224" t="s">
        <v>50</v>
      </c>
      <c r="D1224" t="s">
        <v>80</v>
      </c>
      <c r="E1224" t="s">
        <v>81</v>
      </c>
      <c r="F1224" t="s">
        <v>82</v>
      </c>
      <c r="G1224" t="s">
        <v>3021</v>
      </c>
      <c r="H1224" s="10">
        <v>199427</v>
      </c>
      <c r="I1224" s="10">
        <v>0</v>
      </c>
      <c r="J1224" s="10">
        <v>0</v>
      </c>
      <c r="L1224" t="s">
        <v>84</v>
      </c>
      <c r="M1224" t="s">
        <v>204</v>
      </c>
      <c r="N1224" t="s">
        <v>3022</v>
      </c>
      <c r="O1224" s="2">
        <v>42979</v>
      </c>
      <c r="P1224" s="2">
        <v>43708</v>
      </c>
      <c r="Q1224">
        <v>0</v>
      </c>
      <c r="R1224" t="s">
        <v>3023</v>
      </c>
    </row>
    <row r="1225" spans="1:18" x14ac:dyDescent="0.25">
      <c r="A1225" t="s">
        <v>4489</v>
      </c>
      <c r="B1225" t="s">
        <v>49</v>
      </c>
      <c r="C1225" t="s">
        <v>50</v>
      </c>
      <c r="D1225" t="s">
        <v>4484</v>
      </c>
      <c r="E1225" t="s">
        <v>4485</v>
      </c>
      <c r="F1225" t="s">
        <v>4456</v>
      </c>
      <c r="G1225" t="s">
        <v>4490</v>
      </c>
      <c r="H1225" s="10">
        <v>80459</v>
      </c>
      <c r="I1225" s="10">
        <v>0</v>
      </c>
      <c r="J1225" s="10">
        <v>0</v>
      </c>
      <c r="L1225" t="s">
        <v>34</v>
      </c>
      <c r="M1225" t="s">
        <v>238</v>
      </c>
      <c r="N1225" t="s">
        <v>5813</v>
      </c>
      <c r="O1225" s="2">
        <v>41699</v>
      </c>
      <c r="P1225" s="2">
        <v>42063</v>
      </c>
      <c r="Q1225">
        <v>0</v>
      </c>
      <c r="R1225" t="s">
        <v>5812</v>
      </c>
    </row>
    <row r="1226" spans="1:18" x14ac:dyDescent="0.25">
      <c r="A1226" t="s">
        <v>4918</v>
      </c>
      <c r="B1226" t="s">
        <v>49</v>
      </c>
      <c r="C1226" t="s">
        <v>50</v>
      </c>
      <c r="D1226" t="s">
        <v>4557</v>
      </c>
      <c r="E1226" t="s">
        <v>4581</v>
      </c>
      <c r="F1226" t="s">
        <v>4559</v>
      </c>
      <c r="G1226" t="s">
        <v>4919</v>
      </c>
      <c r="H1226" s="10">
        <v>360914</v>
      </c>
      <c r="I1226" s="10">
        <v>33363</v>
      </c>
      <c r="J1226" s="10">
        <v>0</v>
      </c>
      <c r="L1226" t="s">
        <v>55</v>
      </c>
      <c r="M1226" t="s">
        <v>26</v>
      </c>
      <c r="N1226" t="s">
        <v>5884</v>
      </c>
      <c r="O1226" s="2">
        <v>43556</v>
      </c>
      <c r="P1226" s="2">
        <v>44651</v>
      </c>
      <c r="Q1226">
        <v>0</v>
      </c>
      <c r="R1226" t="s">
        <v>5883</v>
      </c>
    </row>
    <row r="1227" spans="1:18" x14ac:dyDescent="0.25">
      <c r="A1227" t="s">
        <v>4530</v>
      </c>
      <c r="B1227" t="s">
        <v>196</v>
      </c>
      <c r="C1227" t="s">
        <v>20</v>
      </c>
      <c r="D1227" t="s">
        <v>4499</v>
      </c>
      <c r="E1227" t="s">
        <v>4500</v>
      </c>
      <c r="F1227" t="s">
        <v>4501</v>
      </c>
      <c r="G1227" t="s">
        <v>4531</v>
      </c>
      <c r="H1227" s="12">
        <v>149115</v>
      </c>
      <c r="I1227" s="12">
        <v>0</v>
      </c>
      <c r="J1227" s="10">
        <v>0</v>
      </c>
      <c r="L1227" t="s">
        <v>34</v>
      </c>
      <c r="M1227" t="s">
        <v>413</v>
      </c>
      <c r="O1227" s="2">
        <v>45047</v>
      </c>
      <c r="P1227" s="2">
        <v>45412</v>
      </c>
      <c r="Q1227">
        <v>0</v>
      </c>
      <c r="R1227" t="s">
        <v>6209</v>
      </c>
    </row>
    <row r="1228" spans="1:18" x14ac:dyDescent="0.25">
      <c r="A1228" t="s">
        <v>4530</v>
      </c>
      <c r="B1228" t="s">
        <v>196</v>
      </c>
      <c r="C1228" t="s">
        <v>20</v>
      </c>
      <c r="D1228" t="s">
        <v>4499</v>
      </c>
      <c r="E1228" t="s">
        <v>4500</v>
      </c>
      <c r="F1228" t="s">
        <v>4501</v>
      </c>
      <c r="G1228" t="s">
        <v>4531</v>
      </c>
      <c r="H1228" s="12">
        <v>149115</v>
      </c>
      <c r="I1228" s="12">
        <v>0</v>
      </c>
      <c r="J1228" s="10">
        <v>0</v>
      </c>
      <c r="L1228" t="s">
        <v>34</v>
      </c>
      <c r="M1228" t="s">
        <v>413</v>
      </c>
      <c r="N1228" t="s">
        <v>6146</v>
      </c>
      <c r="O1228" s="2">
        <v>45323</v>
      </c>
      <c r="P1228" s="2">
        <v>45688</v>
      </c>
      <c r="Q1228">
        <v>0</v>
      </c>
      <c r="R1228" t="s">
        <v>6209</v>
      </c>
    </row>
    <row r="1229" spans="1:18" x14ac:dyDescent="0.25">
      <c r="A1229" t="s">
        <v>3024</v>
      </c>
      <c r="B1229" t="s">
        <v>4624</v>
      </c>
      <c r="C1229" t="s">
        <v>38</v>
      </c>
      <c r="D1229" t="s">
        <v>51</v>
      </c>
      <c r="E1229" t="s">
        <v>52</v>
      </c>
      <c r="F1229" t="s">
        <v>109</v>
      </c>
      <c r="G1229" t="s">
        <v>3027</v>
      </c>
      <c r="H1229" s="10">
        <v>673200</v>
      </c>
      <c r="I1229" s="10">
        <v>0</v>
      </c>
      <c r="J1229" s="10">
        <v>0</v>
      </c>
      <c r="L1229" t="s">
        <v>42</v>
      </c>
      <c r="M1229" t="s">
        <v>103</v>
      </c>
      <c r="N1229" t="s">
        <v>3028</v>
      </c>
      <c r="O1229" s="2">
        <v>44287</v>
      </c>
      <c r="P1229" s="2">
        <v>46112</v>
      </c>
      <c r="Q1229">
        <v>2</v>
      </c>
      <c r="R1229" t="s">
        <v>3029</v>
      </c>
    </row>
    <row r="1230" spans="1:18" x14ac:dyDescent="0.25">
      <c r="A1230" t="s">
        <v>3024</v>
      </c>
      <c r="B1230" t="s">
        <v>4624</v>
      </c>
      <c r="C1230" t="s">
        <v>38</v>
      </c>
      <c r="D1230" t="s">
        <v>51</v>
      </c>
      <c r="E1230" t="s">
        <v>208</v>
      </c>
      <c r="F1230" t="s">
        <v>109</v>
      </c>
      <c r="G1230" t="s">
        <v>3025</v>
      </c>
      <c r="H1230" s="10">
        <v>841500</v>
      </c>
      <c r="I1230" s="10">
        <v>0</v>
      </c>
      <c r="J1230" s="10">
        <v>0</v>
      </c>
      <c r="L1230" t="s">
        <v>42</v>
      </c>
      <c r="M1230" t="s">
        <v>103</v>
      </c>
      <c r="N1230" t="s">
        <v>458</v>
      </c>
      <c r="O1230" s="2">
        <v>45383</v>
      </c>
      <c r="P1230" s="2">
        <v>47208</v>
      </c>
      <c r="Q1230">
        <v>0</v>
      </c>
      <c r="R1230" t="s">
        <v>3026</v>
      </c>
    </row>
    <row r="1231" spans="1:18" x14ac:dyDescent="0.25">
      <c r="A1231" t="s">
        <v>5428</v>
      </c>
      <c r="B1231" t="s">
        <v>19</v>
      </c>
      <c r="C1231" t="s">
        <v>20</v>
      </c>
      <c r="D1231" t="s">
        <v>51</v>
      </c>
      <c r="E1231" t="s">
        <v>116</v>
      </c>
      <c r="F1231" t="s">
        <v>47</v>
      </c>
      <c r="G1231" t="s">
        <v>3030</v>
      </c>
      <c r="H1231" s="10">
        <v>1977525</v>
      </c>
      <c r="I1231" s="10">
        <v>0</v>
      </c>
      <c r="J1231" s="10">
        <v>0</v>
      </c>
      <c r="L1231" t="s">
        <v>25</v>
      </c>
      <c r="M1231" t="s">
        <v>26</v>
      </c>
      <c r="N1231" t="s">
        <v>72</v>
      </c>
      <c r="O1231" s="2">
        <v>43374</v>
      </c>
      <c r="P1231" s="2">
        <v>44834</v>
      </c>
      <c r="Q1231">
        <v>0</v>
      </c>
      <c r="R1231" t="s">
        <v>3031</v>
      </c>
    </row>
    <row r="1232" spans="1:18" x14ac:dyDescent="0.25">
      <c r="A1232" t="s">
        <v>5429</v>
      </c>
      <c r="B1232" t="s">
        <v>19</v>
      </c>
      <c r="C1232" t="s">
        <v>20</v>
      </c>
      <c r="D1232" t="s">
        <v>51</v>
      </c>
      <c r="E1232" t="s">
        <v>52</v>
      </c>
      <c r="F1232" t="s">
        <v>47</v>
      </c>
      <c r="G1232" t="s">
        <v>3035</v>
      </c>
      <c r="H1232" s="10">
        <v>990676</v>
      </c>
      <c r="I1232" s="10">
        <v>0</v>
      </c>
      <c r="J1232" s="10">
        <v>0</v>
      </c>
      <c r="L1232" t="s">
        <v>25</v>
      </c>
      <c r="M1232" t="s">
        <v>26</v>
      </c>
      <c r="N1232" t="s">
        <v>3033</v>
      </c>
      <c r="O1232" s="2">
        <v>44287</v>
      </c>
      <c r="P1232" s="2">
        <v>45747</v>
      </c>
      <c r="Q1232">
        <v>0</v>
      </c>
      <c r="R1232" t="s">
        <v>3036</v>
      </c>
    </row>
    <row r="1233" spans="1:18" x14ac:dyDescent="0.25">
      <c r="A1233" t="s">
        <v>5427</v>
      </c>
      <c r="B1233" t="s">
        <v>19</v>
      </c>
      <c r="C1233" t="s">
        <v>20</v>
      </c>
      <c r="D1233" t="s">
        <v>51</v>
      </c>
      <c r="E1233" t="s">
        <v>116</v>
      </c>
      <c r="F1233" t="s">
        <v>47</v>
      </c>
      <c r="G1233" t="s">
        <v>3032</v>
      </c>
      <c r="H1233" s="10">
        <v>390152</v>
      </c>
      <c r="I1233" s="10">
        <v>0</v>
      </c>
      <c r="J1233" s="10">
        <v>0</v>
      </c>
      <c r="L1233" t="s">
        <v>25</v>
      </c>
      <c r="M1233" t="s">
        <v>26</v>
      </c>
      <c r="N1233" t="s">
        <v>3033</v>
      </c>
      <c r="O1233" s="2">
        <v>43374</v>
      </c>
      <c r="P1233" s="2">
        <v>44834</v>
      </c>
      <c r="Q1233">
        <v>0</v>
      </c>
      <c r="R1233" t="s">
        <v>3034</v>
      </c>
    </row>
    <row r="1234" spans="1:18" x14ac:dyDescent="0.25">
      <c r="A1234" t="s">
        <v>6210</v>
      </c>
      <c r="B1234" t="s">
        <v>721</v>
      </c>
      <c r="C1234" t="s">
        <v>20</v>
      </c>
      <c r="D1234" t="s">
        <v>5042</v>
      </c>
      <c r="E1234" t="s">
        <v>5043</v>
      </c>
      <c r="F1234" t="s">
        <v>5038</v>
      </c>
      <c r="G1234" t="s">
        <v>5052</v>
      </c>
      <c r="H1234" s="12">
        <v>599086</v>
      </c>
      <c r="I1234" s="12">
        <v>0</v>
      </c>
      <c r="J1234" s="10">
        <v>0</v>
      </c>
      <c r="L1234" t="s">
        <v>5039</v>
      </c>
      <c r="M1234" t="s">
        <v>413</v>
      </c>
      <c r="N1234" t="s">
        <v>6211</v>
      </c>
      <c r="O1234" s="2">
        <v>45444</v>
      </c>
      <c r="P1234" s="2">
        <v>46477</v>
      </c>
      <c r="Q1234">
        <v>0</v>
      </c>
      <c r="R1234" t="s">
        <v>6212</v>
      </c>
    </row>
    <row r="1235" spans="1:18" x14ac:dyDescent="0.25">
      <c r="A1235" t="s">
        <v>5430</v>
      </c>
      <c r="B1235" t="s">
        <v>19</v>
      </c>
      <c r="C1235" t="s">
        <v>20</v>
      </c>
      <c r="D1235" t="s">
        <v>51</v>
      </c>
      <c r="E1235" t="s">
        <v>127</v>
      </c>
      <c r="F1235" t="s">
        <v>109</v>
      </c>
      <c r="G1235" t="s">
        <v>3037</v>
      </c>
      <c r="H1235" s="10">
        <v>711450</v>
      </c>
      <c r="I1235" s="10">
        <v>0</v>
      </c>
      <c r="J1235" s="10">
        <v>0</v>
      </c>
      <c r="L1235" t="s">
        <v>42</v>
      </c>
      <c r="M1235" t="s">
        <v>26</v>
      </c>
      <c r="N1235" t="s">
        <v>3038</v>
      </c>
      <c r="O1235" s="2">
        <v>44835</v>
      </c>
      <c r="P1235" s="2">
        <v>46660</v>
      </c>
      <c r="Q1235">
        <v>0</v>
      </c>
      <c r="R1235" t="s">
        <v>3039</v>
      </c>
    </row>
    <row r="1236" spans="1:18" x14ac:dyDescent="0.25">
      <c r="A1236" t="s">
        <v>4920</v>
      </c>
      <c r="B1236" t="s">
        <v>114</v>
      </c>
      <c r="C1236" t="s">
        <v>20</v>
      </c>
      <c r="D1236" t="s">
        <v>4557</v>
      </c>
      <c r="E1236" t="s">
        <v>4570</v>
      </c>
      <c r="F1236" t="s">
        <v>4559</v>
      </c>
      <c r="G1236" t="s">
        <v>4921</v>
      </c>
      <c r="H1236" s="10">
        <v>276283</v>
      </c>
      <c r="I1236" s="10">
        <v>0</v>
      </c>
      <c r="J1236" s="10">
        <v>0</v>
      </c>
      <c r="L1236" t="s">
        <v>55</v>
      </c>
      <c r="M1236" t="s">
        <v>26</v>
      </c>
      <c r="N1236" t="s">
        <v>2707</v>
      </c>
      <c r="O1236" s="2">
        <v>42826</v>
      </c>
      <c r="P1236" s="2">
        <v>43921</v>
      </c>
      <c r="Q1236">
        <v>1</v>
      </c>
      <c r="R1236" t="s">
        <v>6058</v>
      </c>
    </row>
    <row r="1237" spans="1:18" x14ac:dyDescent="0.25">
      <c r="A1237" t="s">
        <v>4922</v>
      </c>
      <c r="B1237" t="s">
        <v>114</v>
      </c>
      <c r="C1237" t="s">
        <v>20</v>
      </c>
      <c r="D1237" t="s">
        <v>4557</v>
      </c>
      <c r="E1237" t="s">
        <v>4602</v>
      </c>
      <c r="F1237" t="s">
        <v>4559</v>
      </c>
      <c r="G1237" t="s">
        <v>4923</v>
      </c>
      <c r="H1237" s="10">
        <v>325530</v>
      </c>
      <c r="I1237" s="10">
        <v>0</v>
      </c>
      <c r="J1237" s="10">
        <v>0</v>
      </c>
      <c r="L1237" t="s">
        <v>55</v>
      </c>
      <c r="M1237" t="s">
        <v>26</v>
      </c>
      <c r="N1237" t="s">
        <v>2707</v>
      </c>
      <c r="O1237" s="2">
        <v>41365</v>
      </c>
      <c r="P1237" s="2">
        <v>42460</v>
      </c>
      <c r="Q1237">
        <v>1</v>
      </c>
      <c r="R1237" t="s">
        <v>5761</v>
      </c>
    </row>
    <row r="1238" spans="1:18" x14ac:dyDescent="0.25">
      <c r="A1238" t="s">
        <v>4532</v>
      </c>
      <c r="B1238" t="s">
        <v>2610</v>
      </c>
      <c r="C1238" t="s">
        <v>20</v>
      </c>
      <c r="D1238" t="s">
        <v>4499</v>
      </c>
      <c r="E1238" t="s">
        <v>4500</v>
      </c>
      <c r="F1238" t="s">
        <v>4501</v>
      </c>
      <c r="G1238" t="s">
        <v>4533</v>
      </c>
      <c r="H1238" s="12">
        <v>150000</v>
      </c>
      <c r="I1238" s="12">
        <v>0</v>
      </c>
      <c r="J1238" s="10">
        <v>0</v>
      </c>
      <c r="L1238" t="s">
        <v>34</v>
      </c>
      <c r="M1238" t="s">
        <v>413</v>
      </c>
      <c r="N1238" t="s">
        <v>6213</v>
      </c>
      <c r="O1238" s="2">
        <v>45323</v>
      </c>
      <c r="P1238" s="2">
        <v>45688</v>
      </c>
      <c r="Q1238">
        <v>0</v>
      </c>
      <c r="R1238" t="s">
        <v>6214</v>
      </c>
    </row>
    <row r="1239" spans="1:18" x14ac:dyDescent="0.25">
      <c r="A1239" t="s">
        <v>5146</v>
      </c>
      <c r="B1239" t="s">
        <v>5045</v>
      </c>
      <c r="C1239" t="s">
        <v>38</v>
      </c>
      <c r="D1239" t="s">
        <v>139</v>
      </c>
      <c r="E1239" t="s">
        <v>140</v>
      </c>
      <c r="F1239" t="s">
        <v>141</v>
      </c>
      <c r="G1239" t="s">
        <v>3040</v>
      </c>
      <c r="H1239" s="10">
        <v>2112471</v>
      </c>
      <c r="I1239" s="10">
        <v>0</v>
      </c>
      <c r="J1239" s="10">
        <v>0</v>
      </c>
      <c r="L1239" t="s">
        <v>34</v>
      </c>
      <c r="M1239" t="s">
        <v>746</v>
      </c>
      <c r="N1239" t="s">
        <v>3041</v>
      </c>
      <c r="O1239" s="2">
        <v>43983</v>
      </c>
      <c r="P1239" s="2">
        <v>44347</v>
      </c>
      <c r="Q1239">
        <v>0</v>
      </c>
      <c r="R1239" t="s">
        <v>3042</v>
      </c>
    </row>
    <row r="1240" spans="1:18" x14ac:dyDescent="0.25">
      <c r="A1240" t="s">
        <v>3043</v>
      </c>
      <c r="B1240" t="s">
        <v>107</v>
      </c>
      <c r="C1240" t="s">
        <v>38</v>
      </c>
      <c r="D1240" t="s">
        <v>51</v>
      </c>
      <c r="E1240" t="s">
        <v>116</v>
      </c>
      <c r="F1240" t="s">
        <v>32</v>
      </c>
      <c r="G1240" t="s">
        <v>3044</v>
      </c>
      <c r="H1240" s="10">
        <v>944776</v>
      </c>
      <c r="I1240" s="10">
        <v>0</v>
      </c>
      <c r="J1240" s="10">
        <v>0</v>
      </c>
      <c r="L1240" t="s">
        <v>42</v>
      </c>
      <c r="M1240" t="s">
        <v>26</v>
      </c>
      <c r="N1240" t="s">
        <v>165</v>
      </c>
      <c r="O1240" s="2">
        <v>43374</v>
      </c>
      <c r="P1240" s="2">
        <v>45199</v>
      </c>
      <c r="Q1240">
        <v>0</v>
      </c>
      <c r="R1240" t="s">
        <v>3045</v>
      </c>
    </row>
    <row r="1241" spans="1:18" x14ac:dyDescent="0.25">
      <c r="A1241" t="s">
        <v>3043</v>
      </c>
      <c r="B1241" t="s">
        <v>107</v>
      </c>
      <c r="C1241" t="s">
        <v>38</v>
      </c>
      <c r="D1241" t="s">
        <v>51</v>
      </c>
      <c r="E1241" t="s">
        <v>186</v>
      </c>
      <c r="F1241" t="s">
        <v>32</v>
      </c>
      <c r="G1241" t="s">
        <v>3046</v>
      </c>
      <c r="H1241" s="10">
        <v>948600</v>
      </c>
      <c r="I1241" s="10">
        <v>0</v>
      </c>
      <c r="J1241" s="10">
        <v>0</v>
      </c>
      <c r="L1241" t="s">
        <v>42</v>
      </c>
      <c r="M1241" t="s">
        <v>26</v>
      </c>
      <c r="N1241" t="s">
        <v>3047</v>
      </c>
      <c r="O1241" s="2">
        <v>44470</v>
      </c>
      <c r="P1241" s="2">
        <v>46295</v>
      </c>
      <c r="Q1241">
        <v>0</v>
      </c>
      <c r="R1241" t="s">
        <v>3048</v>
      </c>
    </row>
    <row r="1242" spans="1:18" x14ac:dyDescent="0.25">
      <c r="A1242" t="s">
        <v>3049</v>
      </c>
      <c r="B1242" t="s">
        <v>98</v>
      </c>
      <c r="C1242" t="s">
        <v>20</v>
      </c>
      <c r="D1242" t="s">
        <v>51</v>
      </c>
      <c r="E1242" t="s">
        <v>197</v>
      </c>
      <c r="F1242" t="s">
        <v>109</v>
      </c>
      <c r="G1242" t="s">
        <v>3050</v>
      </c>
      <c r="H1242" s="10">
        <v>459000</v>
      </c>
      <c r="I1242" s="10">
        <v>0</v>
      </c>
      <c r="J1242" s="10">
        <v>0</v>
      </c>
      <c r="L1242" t="s">
        <v>25</v>
      </c>
      <c r="M1242" t="s">
        <v>204</v>
      </c>
      <c r="N1242" t="s">
        <v>3051</v>
      </c>
      <c r="O1242" s="2">
        <v>44652</v>
      </c>
      <c r="P1242" s="2">
        <v>46112</v>
      </c>
      <c r="Q1242">
        <v>0</v>
      </c>
      <c r="R1242" t="s">
        <v>3052</v>
      </c>
    </row>
    <row r="1243" spans="1:18" x14ac:dyDescent="0.25">
      <c r="A1243" t="s">
        <v>3053</v>
      </c>
      <c r="B1243" t="s">
        <v>114</v>
      </c>
      <c r="C1243" t="s">
        <v>20</v>
      </c>
      <c r="D1243" t="s">
        <v>21</v>
      </c>
      <c r="E1243" t="s">
        <v>22</v>
      </c>
      <c r="F1243" t="s">
        <v>53</v>
      </c>
      <c r="G1243" t="s">
        <v>3054</v>
      </c>
      <c r="H1243" s="10">
        <v>523039</v>
      </c>
      <c r="I1243" s="10">
        <v>0</v>
      </c>
      <c r="J1243" s="10">
        <v>0</v>
      </c>
      <c r="L1243" t="s">
        <v>25</v>
      </c>
      <c r="M1243" t="s">
        <v>103</v>
      </c>
      <c r="N1243" t="s">
        <v>3055</v>
      </c>
      <c r="O1243" s="2">
        <v>41365</v>
      </c>
      <c r="P1243" s="2">
        <v>42825</v>
      </c>
      <c r="Q1243">
        <v>6</v>
      </c>
      <c r="R1243" t="s">
        <v>3056</v>
      </c>
    </row>
    <row r="1244" spans="1:18" x14ac:dyDescent="0.25">
      <c r="A1244" t="s">
        <v>3053</v>
      </c>
      <c r="B1244" t="s">
        <v>114</v>
      </c>
      <c r="C1244" t="s">
        <v>20</v>
      </c>
      <c r="D1244" t="s">
        <v>21</v>
      </c>
      <c r="E1244" t="s">
        <v>60</v>
      </c>
      <c r="F1244" t="s">
        <v>53</v>
      </c>
      <c r="G1244" t="s">
        <v>3057</v>
      </c>
      <c r="H1244" s="10">
        <v>542243</v>
      </c>
      <c r="I1244" s="10">
        <v>0</v>
      </c>
      <c r="J1244" s="10">
        <v>0</v>
      </c>
      <c r="L1244" t="s">
        <v>25</v>
      </c>
      <c r="M1244" t="s">
        <v>103</v>
      </c>
      <c r="N1244" t="s">
        <v>3058</v>
      </c>
      <c r="O1244" s="2">
        <v>41821</v>
      </c>
      <c r="P1244" s="2">
        <v>43281</v>
      </c>
      <c r="Q1244">
        <v>8</v>
      </c>
      <c r="R1244" t="s">
        <v>3059</v>
      </c>
    </row>
    <row r="1245" spans="1:18" x14ac:dyDescent="0.25">
      <c r="A1245" t="s">
        <v>4924</v>
      </c>
      <c r="B1245" t="s">
        <v>114</v>
      </c>
      <c r="C1245" t="s">
        <v>20</v>
      </c>
      <c r="D1245" t="s">
        <v>4557</v>
      </c>
      <c r="E1245" t="s">
        <v>4611</v>
      </c>
      <c r="F1245" t="s">
        <v>4559</v>
      </c>
      <c r="G1245" t="s">
        <v>4925</v>
      </c>
      <c r="H1245" s="10">
        <v>149788</v>
      </c>
      <c r="I1245" s="10">
        <v>0</v>
      </c>
      <c r="J1245" s="10">
        <v>0</v>
      </c>
      <c r="L1245" t="s">
        <v>55</v>
      </c>
      <c r="M1245" t="s">
        <v>103</v>
      </c>
      <c r="N1245" t="s">
        <v>5637</v>
      </c>
      <c r="O1245" s="2">
        <v>42461</v>
      </c>
      <c r="P1245" s="2">
        <v>43555</v>
      </c>
      <c r="Q1245">
        <v>4</v>
      </c>
      <c r="R1245" t="s">
        <v>5636</v>
      </c>
    </row>
    <row r="1246" spans="1:18" x14ac:dyDescent="0.25">
      <c r="A1246" t="s">
        <v>3060</v>
      </c>
      <c r="B1246" t="s">
        <v>4496</v>
      </c>
      <c r="C1246" t="s">
        <v>38</v>
      </c>
      <c r="D1246" t="s">
        <v>51</v>
      </c>
      <c r="E1246" t="s">
        <v>167</v>
      </c>
      <c r="F1246" t="s">
        <v>32</v>
      </c>
      <c r="G1246" t="s">
        <v>3061</v>
      </c>
      <c r="H1246" s="10">
        <v>956250</v>
      </c>
      <c r="I1246" s="10">
        <v>0</v>
      </c>
      <c r="J1246" s="10">
        <v>0</v>
      </c>
      <c r="L1246" t="s">
        <v>42</v>
      </c>
      <c r="M1246" t="s">
        <v>26</v>
      </c>
      <c r="N1246" t="s">
        <v>1358</v>
      </c>
      <c r="O1246" s="2">
        <v>45017</v>
      </c>
      <c r="P1246" s="2">
        <v>46843</v>
      </c>
      <c r="Q1246">
        <v>1</v>
      </c>
      <c r="R1246" t="s">
        <v>3062</v>
      </c>
    </row>
    <row r="1247" spans="1:18" x14ac:dyDescent="0.25">
      <c r="A1247" t="s">
        <v>3060</v>
      </c>
      <c r="B1247" t="s">
        <v>4496</v>
      </c>
      <c r="C1247" t="s">
        <v>38</v>
      </c>
      <c r="D1247" t="s">
        <v>51</v>
      </c>
      <c r="E1247" t="s">
        <v>223</v>
      </c>
      <c r="F1247" t="s">
        <v>32</v>
      </c>
      <c r="G1247" t="s">
        <v>3063</v>
      </c>
      <c r="H1247" s="10">
        <v>1139850</v>
      </c>
      <c r="I1247" s="10">
        <v>0</v>
      </c>
      <c r="J1247" s="10">
        <v>0</v>
      </c>
      <c r="L1247" t="s">
        <v>42</v>
      </c>
      <c r="M1247" t="s">
        <v>26</v>
      </c>
      <c r="N1247" t="s">
        <v>135</v>
      </c>
      <c r="O1247" s="2">
        <v>45566</v>
      </c>
      <c r="P1247" s="2">
        <v>47391</v>
      </c>
      <c r="Q1247">
        <v>0</v>
      </c>
      <c r="R1247" t="s">
        <v>3064</v>
      </c>
    </row>
    <row r="1248" spans="1:18" x14ac:dyDescent="0.25">
      <c r="A1248" t="s">
        <v>4926</v>
      </c>
      <c r="B1248" t="s">
        <v>98</v>
      </c>
      <c r="C1248" t="s">
        <v>20</v>
      </c>
      <c r="D1248" t="s">
        <v>4557</v>
      </c>
      <c r="E1248" t="s">
        <v>4558</v>
      </c>
      <c r="F1248" t="s">
        <v>4559</v>
      </c>
      <c r="G1248" t="s">
        <v>4927</v>
      </c>
      <c r="H1248" s="10">
        <v>281306</v>
      </c>
      <c r="I1248" s="10">
        <v>12500</v>
      </c>
      <c r="J1248" s="10">
        <v>0</v>
      </c>
      <c r="L1248" t="s">
        <v>55</v>
      </c>
      <c r="M1248" t="s">
        <v>831</v>
      </c>
      <c r="N1248" t="s">
        <v>6064</v>
      </c>
      <c r="O1248" s="2">
        <v>43191</v>
      </c>
      <c r="P1248" s="2">
        <v>44286</v>
      </c>
      <c r="Q1248">
        <v>0</v>
      </c>
      <c r="R1248" t="s">
        <v>6063</v>
      </c>
    </row>
    <row r="1249" spans="1:18" x14ac:dyDescent="0.25">
      <c r="A1249" t="s">
        <v>3065</v>
      </c>
      <c r="B1249" t="s">
        <v>3006</v>
      </c>
      <c r="C1249" t="s">
        <v>20</v>
      </c>
      <c r="D1249" t="s">
        <v>30</v>
      </c>
      <c r="E1249" t="s">
        <v>228</v>
      </c>
      <c r="F1249" t="s">
        <v>32</v>
      </c>
      <c r="G1249" t="s">
        <v>3066</v>
      </c>
      <c r="H1249" s="10">
        <v>100000</v>
      </c>
      <c r="I1249" s="10">
        <v>0</v>
      </c>
      <c r="J1249" s="10">
        <v>0</v>
      </c>
      <c r="L1249" t="s">
        <v>34</v>
      </c>
      <c r="M1249" t="s">
        <v>26</v>
      </c>
      <c r="N1249" t="s">
        <v>2316</v>
      </c>
      <c r="O1249" s="2">
        <v>45352</v>
      </c>
      <c r="P1249" s="2">
        <v>45716</v>
      </c>
      <c r="Q1249">
        <v>0</v>
      </c>
      <c r="R1249" t="s">
        <v>3067</v>
      </c>
    </row>
    <row r="1250" spans="1:18" x14ac:dyDescent="0.25">
      <c r="A1250" t="s">
        <v>3068</v>
      </c>
      <c r="B1250" t="s">
        <v>49</v>
      </c>
      <c r="C1250" t="s">
        <v>50</v>
      </c>
      <c r="D1250" t="s">
        <v>51</v>
      </c>
      <c r="E1250" t="s">
        <v>163</v>
      </c>
      <c r="F1250" t="s">
        <v>109</v>
      </c>
      <c r="G1250" t="s">
        <v>3072</v>
      </c>
      <c r="H1250" s="10">
        <v>631124</v>
      </c>
      <c r="I1250" s="10">
        <v>0</v>
      </c>
      <c r="J1250" s="10">
        <v>0</v>
      </c>
      <c r="L1250" t="s">
        <v>25</v>
      </c>
      <c r="M1250" t="s">
        <v>26</v>
      </c>
      <c r="N1250" t="s">
        <v>3073</v>
      </c>
      <c r="O1250" s="2">
        <v>43556</v>
      </c>
      <c r="P1250" s="2">
        <v>45016</v>
      </c>
      <c r="Q1250">
        <v>0</v>
      </c>
      <c r="R1250" t="s">
        <v>3074</v>
      </c>
    </row>
    <row r="1251" spans="1:18" x14ac:dyDescent="0.25">
      <c r="A1251" t="s">
        <v>3068</v>
      </c>
      <c r="B1251" t="s">
        <v>49</v>
      </c>
      <c r="C1251" t="s">
        <v>50</v>
      </c>
      <c r="D1251" t="s">
        <v>51</v>
      </c>
      <c r="E1251" t="s">
        <v>259</v>
      </c>
      <c r="F1251" t="s">
        <v>109</v>
      </c>
      <c r="G1251" t="s">
        <v>3069</v>
      </c>
      <c r="H1251" s="10">
        <v>898876</v>
      </c>
      <c r="I1251" s="10">
        <v>0</v>
      </c>
      <c r="J1251" s="10">
        <v>0</v>
      </c>
      <c r="L1251" t="s">
        <v>42</v>
      </c>
      <c r="M1251" t="s">
        <v>26</v>
      </c>
      <c r="N1251" t="s">
        <v>3070</v>
      </c>
      <c r="O1251" s="2">
        <v>44105</v>
      </c>
      <c r="P1251" s="2">
        <v>45930</v>
      </c>
      <c r="Q1251">
        <v>0</v>
      </c>
      <c r="R1251" t="s">
        <v>3071</v>
      </c>
    </row>
    <row r="1252" spans="1:18" x14ac:dyDescent="0.25">
      <c r="A1252" t="s">
        <v>3075</v>
      </c>
      <c r="B1252" t="s">
        <v>157</v>
      </c>
      <c r="C1252" t="s">
        <v>38</v>
      </c>
      <c r="D1252" t="s">
        <v>21</v>
      </c>
      <c r="E1252" t="s">
        <v>323</v>
      </c>
      <c r="F1252" t="s">
        <v>47</v>
      </c>
      <c r="G1252" t="s">
        <v>3084</v>
      </c>
      <c r="H1252" s="10">
        <v>744120</v>
      </c>
      <c r="I1252" s="10">
        <v>0</v>
      </c>
      <c r="J1252" s="10">
        <v>0</v>
      </c>
      <c r="L1252" t="s">
        <v>42</v>
      </c>
      <c r="M1252" t="s">
        <v>26</v>
      </c>
      <c r="N1252" t="s">
        <v>3085</v>
      </c>
      <c r="O1252" s="2">
        <v>40269</v>
      </c>
      <c r="P1252" s="2">
        <v>42094</v>
      </c>
      <c r="Q1252">
        <v>0</v>
      </c>
      <c r="R1252" t="s">
        <v>3086</v>
      </c>
    </row>
    <row r="1253" spans="1:18" x14ac:dyDescent="0.25">
      <c r="A1253" t="s">
        <v>3075</v>
      </c>
      <c r="B1253" t="s">
        <v>157</v>
      </c>
      <c r="C1253" t="s">
        <v>38</v>
      </c>
      <c r="D1253" t="s">
        <v>21</v>
      </c>
      <c r="E1253" t="s">
        <v>287</v>
      </c>
      <c r="F1253" t="s">
        <v>23</v>
      </c>
      <c r="G1253" t="s">
        <v>3079</v>
      </c>
      <c r="H1253" s="10">
        <v>774560</v>
      </c>
      <c r="I1253" s="10">
        <v>0</v>
      </c>
      <c r="J1253" s="10">
        <v>0</v>
      </c>
      <c r="L1253" t="s">
        <v>42</v>
      </c>
      <c r="M1253" t="s">
        <v>26</v>
      </c>
      <c r="N1253" t="s">
        <v>3080</v>
      </c>
      <c r="O1253" s="2">
        <v>40634</v>
      </c>
      <c r="P1253" s="2">
        <v>42460</v>
      </c>
      <c r="Q1253">
        <v>4</v>
      </c>
      <c r="R1253" t="s">
        <v>3081</v>
      </c>
    </row>
    <row r="1254" spans="1:18" x14ac:dyDescent="0.25">
      <c r="A1254" t="s">
        <v>3075</v>
      </c>
      <c r="B1254" t="s">
        <v>157</v>
      </c>
      <c r="C1254" t="s">
        <v>38</v>
      </c>
      <c r="D1254" t="s">
        <v>21</v>
      </c>
      <c r="E1254" t="s">
        <v>572</v>
      </c>
      <c r="F1254" t="s">
        <v>23</v>
      </c>
      <c r="G1254" t="s">
        <v>3076</v>
      </c>
      <c r="H1254" s="10">
        <v>710040</v>
      </c>
      <c r="I1254" s="10">
        <v>0</v>
      </c>
      <c r="J1254" s="10">
        <v>0</v>
      </c>
      <c r="L1254" t="s">
        <v>42</v>
      </c>
      <c r="M1254" t="s">
        <v>26</v>
      </c>
      <c r="N1254" t="s">
        <v>3077</v>
      </c>
      <c r="O1254" s="2">
        <v>41730</v>
      </c>
      <c r="P1254" s="2">
        <v>42185</v>
      </c>
      <c r="Q1254">
        <v>0</v>
      </c>
      <c r="R1254" t="s">
        <v>3078</v>
      </c>
    </row>
    <row r="1255" spans="1:18" x14ac:dyDescent="0.25">
      <c r="A1255" t="s">
        <v>3075</v>
      </c>
      <c r="B1255" t="s">
        <v>157</v>
      </c>
      <c r="C1255" t="s">
        <v>38</v>
      </c>
      <c r="D1255" t="s">
        <v>51</v>
      </c>
      <c r="E1255" t="s">
        <v>127</v>
      </c>
      <c r="F1255" t="s">
        <v>47</v>
      </c>
      <c r="G1255" t="s">
        <v>3082</v>
      </c>
      <c r="H1255" s="10">
        <v>956250</v>
      </c>
      <c r="I1255" s="10">
        <v>0</v>
      </c>
      <c r="J1255" s="10">
        <v>0</v>
      </c>
      <c r="L1255" t="s">
        <v>42</v>
      </c>
      <c r="M1255" t="s">
        <v>26</v>
      </c>
      <c r="N1255" t="s">
        <v>72</v>
      </c>
      <c r="O1255" s="2">
        <v>44835</v>
      </c>
      <c r="P1255" s="2">
        <v>46660</v>
      </c>
      <c r="Q1255">
        <v>0</v>
      </c>
      <c r="R1255" t="s">
        <v>3083</v>
      </c>
    </row>
    <row r="1256" spans="1:18" x14ac:dyDescent="0.25">
      <c r="A1256" t="s">
        <v>3087</v>
      </c>
      <c r="B1256" t="s">
        <v>4464</v>
      </c>
      <c r="C1256" t="s">
        <v>20</v>
      </c>
      <c r="D1256" t="s">
        <v>51</v>
      </c>
      <c r="E1256" t="s">
        <v>259</v>
      </c>
      <c r="F1256" t="s">
        <v>128</v>
      </c>
      <c r="G1256" t="s">
        <v>3090</v>
      </c>
      <c r="H1256" s="10">
        <v>1235476</v>
      </c>
      <c r="I1256" s="10">
        <v>0</v>
      </c>
      <c r="J1256" s="10">
        <v>0</v>
      </c>
      <c r="L1256" t="s">
        <v>1488</v>
      </c>
      <c r="M1256" t="s">
        <v>26</v>
      </c>
      <c r="N1256" t="s">
        <v>261</v>
      </c>
      <c r="O1256" s="2">
        <v>44105</v>
      </c>
      <c r="P1256" s="2">
        <v>46295</v>
      </c>
      <c r="Q1256">
        <v>0</v>
      </c>
      <c r="R1256" t="s">
        <v>3091</v>
      </c>
    </row>
    <row r="1257" spans="1:18" x14ac:dyDescent="0.25">
      <c r="A1257" t="s">
        <v>5431</v>
      </c>
      <c r="B1257" t="s">
        <v>4464</v>
      </c>
      <c r="C1257" t="s">
        <v>20</v>
      </c>
      <c r="D1257" t="s">
        <v>51</v>
      </c>
      <c r="E1257" t="s">
        <v>406</v>
      </c>
      <c r="F1257" t="s">
        <v>128</v>
      </c>
      <c r="G1257" t="s">
        <v>3088</v>
      </c>
      <c r="H1257" s="10">
        <v>910352</v>
      </c>
      <c r="I1257" s="10">
        <v>0</v>
      </c>
      <c r="J1257" s="10">
        <v>0</v>
      </c>
      <c r="L1257" t="s">
        <v>25</v>
      </c>
      <c r="M1257" t="s">
        <v>26</v>
      </c>
      <c r="N1257" t="s">
        <v>261</v>
      </c>
      <c r="O1257" s="2">
        <v>43191</v>
      </c>
      <c r="P1257" s="2">
        <v>44651</v>
      </c>
      <c r="Q1257">
        <v>0</v>
      </c>
      <c r="R1257" t="s">
        <v>3089</v>
      </c>
    </row>
    <row r="1258" spans="1:18" x14ac:dyDescent="0.25">
      <c r="A1258" t="s">
        <v>5431</v>
      </c>
      <c r="B1258" t="s">
        <v>4464</v>
      </c>
      <c r="C1258" t="s">
        <v>20</v>
      </c>
      <c r="D1258" t="s">
        <v>51</v>
      </c>
      <c r="E1258" t="s">
        <v>167</v>
      </c>
      <c r="F1258" t="s">
        <v>32</v>
      </c>
      <c r="G1258" t="s">
        <v>3092</v>
      </c>
      <c r="H1258" s="10">
        <v>1981352</v>
      </c>
      <c r="I1258" s="10">
        <v>0</v>
      </c>
      <c r="J1258" s="10">
        <v>0</v>
      </c>
      <c r="L1258" t="s">
        <v>25</v>
      </c>
      <c r="M1258" t="s">
        <v>26</v>
      </c>
      <c r="N1258" t="s">
        <v>72</v>
      </c>
      <c r="O1258" s="2">
        <v>45017</v>
      </c>
      <c r="P1258" s="2">
        <v>46477</v>
      </c>
      <c r="Q1258">
        <v>0</v>
      </c>
      <c r="R1258" t="s">
        <v>3093</v>
      </c>
    </row>
    <row r="1259" spans="1:18" x14ac:dyDescent="0.25">
      <c r="A1259" t="s">
        <v>3094</v>
      </c>
      <c r="B1259" t="s">
        <v>240</v>
      </c>
      <c r="C1259" t="s">
        <v>20</v>
      </c>
      <c r="D1259" t="s">
        <v>51</v>
      </c>
      <c r="E1259" t="s">
        <v>116</v>
      </c>
      <c r="F1259" t="s">
        <v>23</v>
      </c>
      <c r="G1259" t="s">
        <v>3097</v>
      </c>
      <c r="H1259" s="10">
        <v>914176</v>
      </c>
      <c r="I1259" s="10">
        <v>0</v>
      </c>
      <c r="J1259" s="10">
        <v>0</v>
      </c>
      <c r="L1259" t="s">
        <v>42</v>
      </c>
      <c r="M1259" t="s">
        <v>26</v>
      </c>
      <c r="N1259" t="s">
        <v>3098</v>
      </c>
      <c r="O1259" s="2">
        <v>43374</v>
      </c>
      <c r="P1259" s="2">
        <v>45199</v>
      </c>
      <c r="Q1259">
        <v>0</v>
      </c>
      <c r="R1259" t="s">
        <v>3099</v>
      </c>
    </row>
    <row r="1260" spans="1:18" x14ac:dyDescent="0.25">
      <c r="A1260" t="s">
        <v>5432</v>
      </c>
      <c r="B1260" t="s">
        <v>240</v>
      </c>
      <c r="C1260" t="s">
        <v>20</v>
      </c>
      <c r="D1260" t="s">
        <v>51</v>
      </c>
      <c r="E1260" t="s">
        <v>167</v>
      </c>
      <c r="F1260" t="s">
        <v>23</v>
      </c>
      <c r="G1260" t="s">
        <v>3095</v>
      </c>
      <c r="H1260" s="10">
        <v>1285200</v>
      </c>
      <c r="I1260" s="10">
        <v>0</v>
      </c>
      <c r="J1260" s="10">
        <v>0</v>
      </c>
      <c r="L1260" t="s">
        <v>42</v>
      </c>
      <c r="M1260" t="s">
        <v>26</v>
      </c>
      <c r="N1260" t="s">
        <v>308</v>
      </c>
      <c r="O1260" s="2">
        <v>45017</v>
      </c>
      <c r="P1260" s="2">
        <v>46843</v>
      </c>
      <c r="Q1260">
        <v>0</v>
      </c>
      <c r="R1260" t="s">
        <v>3096</v>
      </c>
    </row>
    <row r="1261" spans="1:18" x14ac:dyDescent="0.25">
      <c r="A1261" t="s">
        <v>3100</v>
      </c>
      <c r="B1261" t="s">
        <v>5069</v>
      </c>
      <c r="C1261" t="s">
        <v>38</v>
      </c>
      <c r="D1261" t="s">
        <v>21</v>
      </c>
      <c r="E1261" t="s">
        <v>255</v>
      </c>
      <c r="F1261" t="s">
        <v>32</v>
      </c>
      <c r="G1261" t="s">
        <v>3104</v>
      </c>
      <c r="H1261" s="11">
        <v>355206</v>
      </c>
      <c r="I1261" s="11">
        <v>0</v>
      </c>
      <c r="J1261" s="11">
        <v>0</v>
      </c>
      <c r="L1261" t="s">
        <v>55</v>
      </c>
      <c r="M1261" t="s">
        <v>26</v>
      </c>
      <c r="N1261" t="s">
        <v>3105</v>
      </c>
      <c r="O1261" s="2">
        <v>39904</v>
      </c>
      <c r="P1261" s="2">
        <v>40999</v>
      </c>
      <c r="Q1261">
        <v>0</v>
      </c>
      <c r="R1261" t="s">
        <v>3103</v>
      </c>
    </row>
    <row r="1262" spans="1:18" x14ac:dyDescent="0.25">
      <c r="A1262" t="s">
        <v>3100</v>
      </c>
      <c r="B1262" t="s">
        <v>5069</v>
      </c>
      <c r="C1262" t="s">
        <v>38</v>
      </c>
      <c r="D1262" t="s">
        <v>21</v>
      </c>
      <c r="E1262" t="s">
        <v>74</v>
      </c>
      <c r="F1262" t="s">
        <v>32</v>
      </c>
      <c r="G1262" t="s">
        <v>3101</v>
      </c>
      <c r="H1262" s="10">
        <v>622134</v>
      </c>
      <c r="I1262" s="10">
        <v>0</v>
      </c>
      <c r="J1262" s="10">
        <v>0</v>
      </c>
      <c r="L1262" t="s">
        <v>42</v>
      </c>
      <c r="M1262" t="s">
        <v>26</v>
      </c>
      <c r="N1262" t="s">
        <v>3102</v>
      </c>
      <c r="O1262" s="2">
        <v>41000</v>
      </c>
      <c r="P1262" s="2">
        <v>42825</v>
      </c>
      <c r="Q1262">
        <v>0</v>
      </c>
      <c r="R1262" t="s">
        <v>3103</v>
      </c>
    </row>
    <row r="1263" spans="1:18" x14ac:dyDescent="0.25">
      <c r="A1263" t="s">
        <v>6215</v>
      </c>
      <c r="B1263" t="s">
        <v>148</v>
      </c>
      <c r="C1263" t="s">
        <v>149</v>
      </c>
      <c r="D1263" t="s">
        <v>4557</v>
      </c>
      <c r="E1263" t="s">
        <v>4611</v>
      </c>
      <c r="F1263" t="s">
        <v>4559</v>
      </c>
      <c r="G1263" t="s">
        <v>6216</v>
      </c>
      <c r="H1263" s="12">
        <v>351690</v>
      </c>
      <c r="I1263" s="12">
        <v>0</v>
      </c>
      <c r="J1263" s="10">
        <v>0</v>
      </c>
      <c r="L1263" t="s">
        <v>55</v>
      </c>
      <c r="M1263" t="s">
        <v>143</v>
      </c>
      <c r="N1263" t="s">
        <v>6217</v>
      </c>
      <c r="O1263" s="2">
        <v>42461</v>
      </c>
      <c r="P1263" s="2">
        <v>43555</v>
      </c>
      <c r="Q1263">
        <v>0</v>
      </c>
      <c r="R1263" t="s">
        <v>6218</v>
      </c>
    </row>
    <row r="1264" spans="1:18" x14ac:dyDescent="0.25">
      <c r="A1264" t="s">
        <v>5098</v>
      </c>
      <c r="B1264" t="s">
        <v>3106</v>
      </c>
      <c r="C1264" t="s">
        <v>149</v>
      </c>
      <c r="D1264" t="s">
        <v>21</v>
      </c>
      <c r="E1264" t="s">
        <v>255</v>
      </c>
      <c r="F1264" t="s">
        <v>109</v>
      </c>
      <c r="G1264" t="s">
        <v>3107</v>
      </c>
      <c r="H1264" s="11">
        <v>263007</v>
      </c>
      <c r="I1264" s="11">
        <v>0</v>
      </c>
      <c r="J1264" s="11">
        <v>0</v>
      </c>
      <c r="L1264" t="s">
        <v>55</v>
      </c>
      <c r="M1264" t="s">
        <v>26</v>
      </c>
      <c r="N1264" t="s">
        <v>3108</v>
      </c>
      <c r="O1264" s="2">
        <v>39904</v>
      </c>
      <c r="P1264" s="2">
        <v>40999</v>
      </c>
      <c r="Q1264">
        <v>3</v>
      </c>
      <c r="R1264" t="s">
        <v>3109</v>
      </c>
    </row>
    <row r="1265" spans="1:18" x14ac:dyDescent="0.25">
      <c r="A1265" t="s">
        <v>3110</v>
      </c>
      <c r="B1265" t="s">
        <v>49</v>
      </c>
      <c r="C1265" t="s">
        <v>50</v>
      </c>
      <c r="D1265" t="s">
        <v>51</v>
      </c>
      <c r="E1265" t="s">
        <v>122</v>
      </c>
      <c r="F1265" t="s">
        <v>109</v>
      </c>
      <c r="G1265" t="s">
        <v>3111</v>
      </c>
      <c r="H1265" s="10">
        <v>707626</v>
      </c>
      <c r="I1265" s="10">
        <v>0</v>
      </c>
      <c r="J1265" s="10">
        <v>0</v>
      </c>
      <c r="L1265" t="s">
        <v>42</v>
      </c>
      <c r="M1265" t="s">
        <v>111</v>
      </c>
      <c r="N1265" t="s">
        <v>3112</v>
      </c>
      <c r="O1265" s="2">
        <v>43739</v>
      </c>
      <c r="P1265" s="2">
        <v>45565</v>
      </c>
      <c r="Q1265">
        <v>0</v>
      </c>
      <c r="R1265" t="s">
        <v>3113</v>
      </c>
    </row>
    <row r="1266" spans="1:18" x14ac:dyDescent="0.25">
      <c r="A1266" t="s">
        <v>3110</v>
      </c>
      <c r="B1266" t="s">
        <v>49</v>
      </c>
      <c r="C1266" t="s">
        <v>50</v>
      </c>
      <c r="D1266" t="s">
        <v>51</v>
      </c>
      <c r="E1266" t="s">
        <v>127</v>
      </c>
      <c r="F1266" t="s">
        <v>109</v>
      </c>
      <c r="G1266" t="s">
        <v>3114</v>
      </c>
      <c r="H1266" s="10">
        <v>275400</v>
      </c>
      <c r="I1266" s="10">
        <v>0</v>
      </c>
      <c r="J1266" s="10">
        <v>0</v>
      </c>
      <c r="L1266" t="s">
        <v>55</v>
      </c>
      <c r="M1266" t="s">
        <v>111</v>
      </c>
      <c r="N1266" t="s">
        <v>3115</v>
      </c>
      <c r="O1266" s="2">
        <v>44835</v>
      </c>
      <c r="P1266" s="2">
        <v>45930</v>
      </c>
      <c r="Q1266">
        <v>0</v>
      </c>
      <c r="R1266" t="s">
        <v>3116</v>
      </c>
    </row>
    <row r="1267" spans="1:18" x14ac:dyDescent="0.25">
      <c r="A1267" t="s">
        <v>5433</v>
      </c>
      <c r="B1267" t="s">
        <v>5045</v>
      </c>
      <c r="C1267" t="s">
        <v>38</v>
      </c>
      <c r="D1267" t="s">
        <v>51</v>
      </c>
      <c r="E1267" t="s">
        <v>208</v>
      </c>
      <c r="F1267" t="s">
        <v>32</v>
      </c>
      <c r="G1267" t="s">
        <v>3123</v>
      </c>
      <c r="H1267" s="10">
        <v>810900</v>
      </c>
      <c r="I1267" s="10">
        <v>0</v>
      </c>
      <c r="J1267" s="10">
        <v>0</v>
      </c>
      <c r="L1267" t="s">
        <v>42</v>
      </c>
      <c r="M1267" t="s">
        <v>26</v>
      </c>
      <c r="N1267" t="s">
        <v>3098</v>
      </c>
      <c r="O1267" s="2">
        <v>45383</v>
      </c>
      <c r="P1267" s="2">
        <v>47208</v>
      </c>
      <c r="Q1267">
        <v>0</v>
      </c>
      <c r="R1267" t="s">
        <v>3122</v>
      </c>
    </row>
    <row r="1268" spans="1:18" x14ac:dyDescent="0.25">
      <c r="A1268" t="s">
        <v>5433</v>
      </c>
      <c r="B1268" t="s">
        <v>5045</v>
      </c>
      <c r="C1268" t="s">
        <v>38</v>
      </c>
      <c r="D1268" t="s">
        <v>64</v>
      </c>
      <c r="E1268" t="s">
        <v>65</v>
      </c>
      <c r="F1268" t="s">
        <v>32</v>
      </c>
      <c r="G1268" t="s">
        <v>3120</v>
      </c>
      <c r="H1268" s="10">
        <v>100000</v>
      </c>
      <c r="I1268" s="10">
        <v>0</v>
      </c>
      <c r="J1268" s="10">
        <v>0</v>
      </c>
      <c r="L1268" t="s">
        <v>34</v>
      </c>
      <c r="M1268" t="s">
        <v>26</v>
      </c>
      <c r="N1268" t="s">
        <v>3121</v>
      </c>
      <c r="O1268" s="2">
        <v>44986</v>
      </c>
      <c r="P1268" s="2">
        <v>45351</v>
      </c>
      <c r="Q1268">
        <v>0</v>
      </c>
      <c r="R1268" t="s">
        <v>3122</v>
      </c>
    </row>
    <row r="1269" spans="1:18" x14ac:dyDescent="0.25">
      <c r="A1269" t="s">
        <v>5486</v>
      </c>
      <c r="B1269" t="s">
        <v>5045</v>
      </c>
      <c r="C1269" t="s">
        <v>38</v>
      </c>
      <c r="D1269" t="s">
        <v>835</v>
      </c>
      <c r="E1269" t="s">
        <v>836</v>
      </c>
      <c r="F1269" t="s">
        <v>128</v>
      </c>
      <c r="G1269" t="s">
        <v>3117</v>
      </c>
      <c r="H1269" s="10">
        <v>100000</v>
      </c>
      <c r="I1269" s="10">
        <v>0</v>
      </c>
      <c r="J1269" s="10">
        <v>0</v>
      </c>
      <c r="L1269" t="s">
        <v>34</v>
      </c>
      <c r="M1269" t="s">
        <v>26</v>
      </c>
      <c r="N1269" t="s">
        <v>3118</v>
      </c>
      <c r="O1269" s="2">
        <v>44105</v>
      </c>
      <c r="P1269" s="2">
        <v>44469</v>
      </c>
      <c r="Q1269">
        <v>0</v>
      </c>
      <c r="R1269" t="s">
        <v>3119</v>
      </c>
    </row>
    <row r="1270" spans="1:18" x14ac:dyDescent="0.25">
      <c r="A1270" t="s">
        <v>4928</v>
      </c>
      <c r="B1270" t="s">
        <v>114</v>
      </c>
      <c r="C1270" t="s">
        <v>20</v>
      </c>
      <c r="D1270" t="s">
        <v>4557</v>
      </c>
      <c r="E1270" t="s">
        <v>4581</v>
      </c>
      <c r="F1270" t="s">
        <v>4559</v>
      </c>
      <c r="G1270" t="s">
        <v>4929</v>
      </c>
      <c r="H1270" s="10">
        <v>426104</v>
      </c>
      <c r="I1270" s="10">
        <v>17500</v>
      </c>
      <c r="J1270" s="10">
        <v>0</v>
      </c>
      <c r="L1270" t="s">
        <v>55</v>
      </c>
      <c r="M1270" t="s">
        <v>238</v>
      </c>
      <c r="N1270" t="s">
        <v>5957</v>
      </c>
      <c r="O1270" s="2">
        <v>43556</v>
      </c>
      <c r="P1270" s="2">
        <v>44651</v>
      </c>
      <c r="Q1270">
        <v>0</v>
      </c>
      <c r="R1270" t="s">
        <v>5956</v>
      </c>
    </row>
    <row r="1271" spans="1:18" x14ac:dyDescent="0.25">
      <c r="A1271" t="s">
        <v>5232</v>
      </c>
      <c r="B1271" t="s">
        <v>721</v>
      </c>
      <c r="C1271" t="s">
        <v>20</v>
      </c>
      <c r="D1271" t="s">
        <v>5165</v>
      </c>
      <c r="E1271" t="s">
        <v>5179</v>
      </c>
      <c r="F1271" t="s">
        <v>4554</v>
      </c>
      <c r="G1271" t="s">
        <v>5233</v>
      </c>
      <c r="H1271" s="10">
        <v>232748</v>
      </c>
      <c r="I1271" s="10">
        <v>6041</v>
      </c>
      <c r="J1271" s="10">
        <v>0</v>
      </c>
      <c r="L1271" t="s">
        <v>25</v>
      </c>
      <c r="M1271" t="s">
        <v>103</v>
      </c>
      <c r="N1271" t="s">
        <v>5783</v>
      </c>
      <c r="O1271" s="2">
        <v>42095</v>
      </c>
      <c r="P1271" s="2">
        <v>43555</v>
      </c>
      <c r="Q1271">
        <v>2</v>
      </c>
      <c r="R1271" t="s">
        <v>5782</v>
      </c>
    </row>
    <row r="1272" spans="1:18" x14ac:dyDescent="0.25">
      <c r="A1272" t="s">
        <v>3124</v>
      </c>
      <c r="B1272" t="s">
        <v>19</v>
      </c>
      <c r="C1272" t="s">
        <v>20</v>
      </c>
      <c r="D1272" t="s">
        <v>21</v>
      </c>
      <c r="E1272" t="s">
        <v>323</v>
      </c>
      <c r="F1272" t="s">
        <v>32</v>
      </c>
      <c r="G1272" t="s">
        <v>3125</v>
      </c>
      <c r="H1272" s="10">
        <v>346950</v>
      </c>
      <c r="I1272" s="10">
        <v>0</v>
      </c>
      <c r="J1272" s="10">
        <v>0</v>
      </c>
      <c r="L1272" t="s">
        <v>55</v>
      </c>
      <c r="M1272" t="s">
        <v>26</v>
      </c>
      <c r="N1272" t="s">
        <v>2310</v>
      </c>
      <c r="O1272" s="2">
        <v>40269</v>
      </c>
      <c r="P1272" s="2">
        <v>41364</v>
      </c>
      <c r="Q1272">
        <v>0</v>
      </c>
      <c r="R1272" t="s">
        <v>3126</v>
      </c>
    </row>
    <row r="1273" spans="1:18" x14ac:dyDescent="0.25">
      <c r="A1273" t="s">
        <v>3124</v>
      </c>
      <c r="B1273" t="s">
        <v>19</v>
      </c>
      <c r="C1273" t="s">
        <v>20</v>
      </c>
      <c r="D1273" t="s">
        <v>51</v>
      </c>
      <c r="E1273" t="s">
        <v>406</v>
      </c>
      <c r="F1273" t="s">
        <v>32</v>
      </c>
      <c r="G1273" t="s">
        <v>3127</v>
      </c>
      <c r="H1273" s="10">
        <v>918000</v>
      </c>
      <c r="I1273" s="10">
        <v>0</v>
      </c>
      <c r="J1273" s="10">
        <v>0</v>
      </c>
      <c r="L1273" t="s">
        <v>42</v>
      </c>
      <c r="M1273" t="s">
        <v>26</v>
      </c>
      <c r="N1273" t="s">
        <v>3128</v>
      </c>
      <c r="O1273" s="2">
        <v>43191</v>
      </c>
      <c r="P1273" s="2">
        <v>45016</v>
      </c>
      <c r="Q1273">
        <v>0</v>
      </c>
      <c r="R1273" t="s">
        <v>3129</v>
      </c>
    </row>
    <row r="1274" spans="1:18" x14ac:dyDescent="0.25">
      <c r="A1274" t="s">
        <v>3130</v>
      </c>
      <c r="B1274" t="s">
        <v>49</v>
      </c>
      <c r="C1274" t="s">
        <v>50</v>
      </c>
      <c r="D1274" t="s">
        <v>21</v>
      </c>
      <c r="E1274" t="s">
        <v>22</v>
      </c>
      <c r="F1274" t="s">
        <v>32</v>
      </c>
      <c r="G1274" t="s">
        <v>3134</v>
      </c>
      <c r="H1274" s="10">
        <v>582966</v>
      </c>
      <c r="I1274" s="10">
        <v>0</v>
      </c>
      <c r="J1274" s="10">
        <v>0</v>
      </c>
      <c r="L1274" t="s">
        <v>42</v>
      </c>
      <c r="M1274" t="s">
        <v>26</v>
      </c>
      <c r="N1274" t="s">
        <v>3135</v>
      </c>
      <c r="O1274" s="2">
        <v>41365</v>
      </c>
      <c r="P1274" s="2">
        <v>43190</v>
      </c>
      <c r="Q1274">
        <v>0</v>
      </c>
      <c r="R1274" t="s">
        <v>3136</v>
      </c>
    </row>
    <row r="1275" spans="1:18" x14ac:dyDescent="0.25">
      <c r="A1275" t="s">
        <v>3130</v>
      </c>
      <c r="B1275" t="s">
        <v>49</v>
      </c>
      <c r="C1275" t="s">
        <v>50</v>
      </c>
      <c r="D1275" t="s">
        <v>51</v>
      </c>
      <c r="E1275" t="s">
        <v>406</v>
      </c>
      <c r="F1275" t="s">
        <v>128</v>
      </c>
      <c r="G1275" t="s">
        <v>3137</v>
      </c>
      <c r="H1275" s="10">
        <v>688500</v>
      </c>
      <c r="I1275" s="10">
        <v>0</v>
      </c>
      <c r="J1275" s="10">
        <v>0</v>
      </c>
      <c r="L1275" t="s">
        <v>42</v>
      </c>
      <c r="M1275" t="s">
        <v>26</v>
      </c>
      <c r="N1275" t="s">
        <v>3138</v>
      </c>
      <c r="O1275" s="2">
        <v>43191</v>
      </c>
      <c r="P1275" s="2">
        <v>45016</v>
      </c>
      <c r="Q1275">
        <v>0</v>
      </c>
      <c r="R1275" t="s">
        <v>3133</v>
      </c>
    </row>
    <row r="1276" spans="1:18" x14ac:dyDescent="0.25">
      <c r="A1276" t="s">
        <v>3130</v>
      </c>
      <c r="B1276" t="s">
        <v>49</v>
      </c>
      <c r="C1276" t="s">
        <v>50</v>
      </c>
      <c r="D1276" t="s">
        <v>51</v>
      </c>
      <c r="E1276" t="s">
        <v>223</v>
      </c>
      <c r="F1276" t="s">
        <v>32</v>
      </c>
      <c r="G1276" t="s">
        <v>3131</v>
      </c>
      <c r="H1276" s="10">
        <v>918000</v>
      </c>
      <c r="I1276" s="10">
        <v>0</v>
      </c>
      <c r="J1276" s="10">
        <v>0</v>
      </c>
      <c r="L1276" t="s">
        <v>42</v>
      </c>
      <c r="M1276" t="s">
        <v>26</v>
      </c>
      <c r="N1276" t="s">
        <v>3132</v>
      </c>
      <c r="O1276" s="2">
        <v>45352</v>
      </c>
      <c r="P1276" s="2">
        <v>45716</v>
      </c>
      <c r="Q1276">
        <v>0</v>
      </c>
      <c r="R1276" t="s">
        <v>3133</v>
      </c>
    </row>
    <row r="1277" spans="1:18" x14ac:dyDescent="0.25">
      <c r="A1277" t="s">
        <v>3130</v>
      </c>
      <c r="B1277" t="s">
        <v>49</v>
      </c>
      <c r="C1277" t="s">
        <v>50</v>
      </c>
      <c r="D1277" t="s">
        <v>420</v>
      </c>
      <c r="E1277" t="s">
        <v>667</v>
      </c>
      <c r="F1277" t="s">
        <v>128</v>
      </c>
      <c r="G1277" t="s">
        <v>3131</v>
      </c>
      <c r="H1277" s="10">
        <v>100000</v>
      </c>
      <c r="I1277" s="10">
        <v>0</v>
      </c>
      <c r="J1277" s="10">
        <v>0</v>
      </c>
      <c r="L1277" t="s">
        <v>34</v>
      </c>
      <c r="M1277" t="s">
        <v>26</v>
      </c>
      <c r="N1277" t="s">
        <v>3132</v>
      </c>
      <c r="O1277" s="2">
        <v>45352</v>
      </c>
      <c r="P1277" s="2">
        <v>45716</v>
      </c>
      <c r="Q1277">
        <v>0</v>
      </c>
      <c r="R1277" t="s">
        <v>3133</v>
      </c>
    </row>
    <row r="1278" spans="1:18" x14ac:dyDescent="0.25">
      <c r="A1278" t="s">
        <v>3139</v>
      </c>
      <c r="B1278" t="s">
        <v>3140</v>
      </c>
      <c r="C1278" t="s">
        <v>20</v>
      </c>
      <c r="D1278" t="s">
        <v>80</v>
      </c>
      <c r="E1278" t="s">
        <v>81</v>
      </c>
      <c r="F1278" t="s">
        <v>82</v>
      </c>
      <c r="G1278" t="s">
        <v>3141</v>
      </c>
      <c r="H1278" s="10">
        <v>199091</v>
      </c>
      <c r="I1278" s="10">
        <v>0</v>
      </c>
      <c r="J1278" s="10">
        <v>0</v>
      </c>
      <c r="L1278" t="s">
        <v>84</v>
      </c>
      <c r="M1278" t="s">
        <v>103</v>
      </c>
      <c r="N1278" t="s">
        <v>3142</v>
      </c>
      <c r="O1278" s="2">
        <v>42979</v>
      </c>
      <c r="P1278" s="2">
        <v>43708</v>
      </c>
      <c r="Q1278">
        <v>0</v>
      </c>
      <c r="R1278" t="s">
        <v>3143</v>
      </c>
    </row>
    <row r="1279" spans="1:18" x14ac:dyDescent="0.25">
      <c r="A1279" t="s">
        <v>3144</v>
      </c>
      <c r="B1279" t="s">
        <v>114</v>
      </c>
      <c r="C1279" t="s">
        <v>20</v>
      </c>
      <c r="D1279" t="s">
        <v>21</v>
      </c>
      <c r="E1279" t="s">
        <v>287</v>
      </c>
      <c r="F1279" t="s">
        <v>32</v>
      </c>
      <c r="G1279" t="s">
        <v>3150</v>
      </c>
      <c r="H1279" s="10">
        <v>372204</v>
      </c>
      <c r="I1279" s="10">
        <v>0</v>
      </c>
      <c r="J1279" s="10">
        <v>0</v>
      </c>
      <c r="L1279" t="s">
        <v>55</v>
      </c>
      <c r="M1279" t="s">
        <v>26</v>
      </c>
      <c r="N1279" t="s">
        <v>2661</v>
      </c>
      <c r="O1279" s="2">
        <v>40634</v>
      </c>
      <c r="P1279" s="2">
        <v>41729</v>
      </c>
      <c r="Q1279">
        <v>0</v>
      </c>
      <c r="R1279" t="s">
        <v>3151</v>
      </c>
    </row>
    <row r="1280" spans="1:18" x14ac:dyDescent="0.25">
      <c r="A1280" t="s">
        <v>3144</v>
      </c>
      <c r="B1280" t="s">
        <v>114</v>
      </c>
      <c r="C1280" t="s">
        <v>20</v>
      </c>
      <c r="D1280" t="s">
        <v>51</v>
      </c>
      <c r="E1280" t="s">
        <v>406</v>
      </c>
      <c r="F1280" t="s">
        <v>47</v>
      </c>
      <c r="G1280" t="s">
        <v>3147</v>
      </c>
      <c r="H1280" s="10">
        <v>684675</v>
      </c>
      <c r="I1280" s="10">
        <v>0</v>
      </c>
      <c r="J1280" s="10">
        <v>0</v>
      </c>
      <c r="L1280" t="s">
        <v>42</v>
      </c>
      <c r="M1280" t="s">
        <v>26</v>
      </c>
      <c r="N1280" t="s">
        <v>3148</v>
      </c>
      <c r="O1280" s="2">
        <v>43191</v>
      </c>
      <c r="P1280" s="2">
        <v>45016</v>
      </c>
      <c r="Q1280">
        <v>0</v>
      </c>
      <c r="R1280" t="s">
        <v>3149</v>
      </c>
    </row>
    <row r="1281" spans="1:18" x14ac:dyDescent="0.25">
      <c r="A1281" t="s">
        <v>3144</v>
      </c>
      <c r="B1281" t="s">
        <v>114</v>
      </c>
      <c r="C1281" t="s">
        <v>20</v>
      </c>
      <c r="D1281" t="s">
        <v>51</v>
      </c>
      <c r="E1281" t="s">
        <v>186</v>
      </c>
      <c r="F1281" t="s">
        <v>47</v>
      </c>
      <c r="G1281" t="s">
        <v>3145</v>
      </c>
      <c r="H1281" s="10">
        <v>581400</v>
      </c>
      <c r="I1281" s="10">
        <v>0</v>
      </c>
      <c r="J1281" s="10">
        <v>0</v>
      </c>
      <c r="L1281" t="s">
        <v>25</v>
      </c>
      <c r="M1281" t="s">
        <v>26</v>
      </c>
      <c r="N1281" t="s">
        <v>2229</v>
      </c>
      <c r="O1281" s="2">
        <v>44470</v>
      </c>
      <c r="P1281" s="2">
        <v>45930</v>
      </c>
      <c r="Q1281">
        <v>0</v>
      </c>
      <c r="R1281" t="s">
        <v>3146</v>
      </c>
    </row>
    <row r="1282" spans="1:18" x14ac:dyDescent="0.25">
      <c r="A1282" t="s">
        <v>4534</v>
      </c>
      <c r="B1282" t="s">
        <v>157</v>
      </c>
      <c r="C1282" t="s">
        <v>38</v>
      </c>
      <c r="D1282" t="s">
        <v>4499</v>
      </c>
      <c r="E1282" t="s">
        <v>4500</v>
      </c>
      <c r="F1282" t="s">
        <v>4501</v>
      </c>
      <c r="G1282" t="s">
        <v>4535</v>
      </c>
      <c r="H1282" s="12">
        <v>150000</v>
      </c>
      <c r="I1282" s="12">
        <v>0</v>
      </c>
      <c r="J1282" s="10">
        <v>0</v>
      </c>
      <c r="L1282" t="s">
        <v>34</v>
      </c>
      <c r="M1282" t="s">
        <v>26</v>
      </c>
      <c r="N1282" t="s">
        <v>6219</v>
      </c>
      <c r="O1282" s="2">
        <v>45323</v>
      </c>
      <c r="P1282" s="2">
        <v>45688</v>
      </c>
      <c r="Q1282">
        <v>0</v>
      </c>
      <c r="R1282" t="s">
        <v>6220</v>
      </c>
    </row>
    <row r="1283" spans="1:18" x14ac:dyDescent="0.25">
      <c r="A1283" t="s">
        <v>4932</v>
      </c>
      <c r="B1283" t="s">
        <v>107</v>
      </c>
      <c r="C1283" t="s">
        <v>38</v>
      </c>
      <c r="D1283" t="s">
        <v>4557</v>
      </c>
      <c r="E1283" t="s">
        <v>4602</v>
      </c>
      <c r="F1283" t="s">
        <v>4559</v>
      </c>
      <c r="G1283" t="s">
        <v>4933</v>
      </c>
      <c r="H1283" s="10">
        <v>219185</v>
      </c>
      <c r="I1283" s="10">
        <v>0</v>
      </c>
      <c r="J1283" s="10">
        <v>0</v>
      </c>
      <c r="L1283" t="s">
        <v>55</v>
      </c>
      <c r="M1283" t="s">
        <v>143</v>
      </c>
      <c r="N1283" t="s">
        <v>5629</v>
      </c>
      <c r="O1283" s="2">
        <v>41365</v>
      </c>
      <c r="P1283" s="2">
        <v>42460</v>
      </c>
      <c r="Q1283">
        <v>0</v>
      </c>
      <c r="R1283" t="s">
        <v>5628</v>
      </c>
    </row>
    <row r="1284" spans="1:18" x14ac:dyDescent="0.25">
      <c r="A1284" t="s">
        <v>4930</v>
      </c>
      <c r="B1284" t="s">
        <v>107</v>
      </c>
      <c r="C1284" t="s">
        <v>38</v>
      </c>
      <c r="D1284" t="s">
        <v>4557</v>
      </c>
      <c r="E1284" t="s">
        <v>4597</v>
      </c>
      <c r="F1284" t="s">
        <v>4559</v>
      </c>
      <c r="G1284" t="s">
        <v>4931</v>
      </c>
      <c r="H1284" s="10">
        <v>358467</v>
      </c>
      <c r="I1284" s="10">
        <v>0</v>
      </c>
      <c r="J1284" s="10">
        <v>0</v>
      </c>
      <c r="L1284" t="s">
        <v>55</v>
      </c>
      <c r="M1284" t="s">
        <v>26</v>
      </c>
      <c r="N1284" t="s">
        <v>6069</v>
      </c>
      <c r="O1284" s="2">
        <v>42095</v>
      </c>
      <c r="P1284" s="2">
        <v>43190</v>
      </c>
      <c r="Q1284">
        <v>1</v>
      </c>
      <c r="R1284" t="s">
        <v>6068</v>
      </c>
    </row>
    <row r="1285" spans="1:18" x14ac:dyDescent="0.25">
      <c r="A1285" t="s">
        <v>3152</v>
      </c>
      <c r="B1285" t="s">
        <v>360</v>
      </c>
      <c r="C1285" t="s">
        <v>20</v>
      </c>
      <c r="D1285" t="s">
        <v>139</v>
      </c>
      <c r="E1285" t="s">
        <v>140</v>
      </c>
      <c r="F1285" t="s">
        <v>141</v>
      </c>
      <c r="G1285" t="s">
        <v>3153</v>
      </c>
      <c r="H1285" s="10">
        <v>264908</v>
      </c>
      <c r="I1285" s="10">
        <v>0</v>
      </c>
      <c r="J1285" s="10">
        <v>0</v>
      </c>
      <c r="L1285" t="s">
        <v>34</v>
      </c>
      <c r="M1285" t="s">
        <v>94</v>
      </c>
      <c r="N1285" t="s">
        <v>3154</v>
      </c>
      <c r="O1285" s="2">
        <v>43983</v>
      </c>
      <c r="P1285" s="2">
        <v>44347</v>
      </c>
      <c r="Q1285">
        <v>0</v>
      </c>
      <c r="R1285" t="s">
        <v>3155</v>
      </c>
    </row>
    <row r="1286" spans="1:18" x14ac:dyDescent="0.25">
      <c r="A1286" t="s">
        <v>3156</v>
      </c>
      <c r="B1286" t="s">
        <v>49</v>
      </c>
      <c r="C1286" t="s">
        <v>50</v>
      </c>
      <c r="D1286" t="s">
        <v>21</v>
      </c>
      <c r="E1286" t="s">
        <v>287</v>
      </c>
      <c r="F1286" t="s">
        <v>23</v>
      </c>
      <c r="G1286" t="s">
        <v>3160</v>
      </c>
      <c r="H1286" s="10">
        <v>685781</v>
      </c>
      <c r="I1286" s="10">
        <v>0</v>
      </c>
      <c r="J1286" s="10">
        <v>0</v>
      </c>
      <c r="L1286" t="s">
        <v>42</v>
      </c>
      <c r="M1286" t="s">
        <v>26</v>
      </c>
      <c r="N1286" t="s">
        <v>3161</v>
      </c>
      <c r="O1286" s="2">
        <v>40634</v>
      </c>
      <c r="P1286" s="2">
        <v>42460</v>
      </c>
      <c r="Q1286">
        <v>4</v>
      </c>
      <c r="R1286" t="s">
        <v>3162</v>
      </c>
    </row>
    <row r="1287" spans="1:18" x14ac:dyDescent="0.25">
      <c r="A1287" t="s">
        <v>3156</v>
      </c>
      <c r="B1287" t="s">
        <v>49</v>
      </c>
      <c r="C1287" t="s">
        <v>50</v>
      </c>
      <c r="D1287" t="s">
        <v>21</v>
      </c>
      <c r="E1287" t="s">
        <v>22</v>
      </c>
      <c r="F1287" t="s">
        <v>47</v>
      </c>
      <c r="G1287" t="s">
        <v>3157</v>
      </c>
      <c r="H1287" s="10">
        <v>352260</v>
      </c>
      <c r="I1287" s="10">
        <v>0</v>
      </c>
      <c r="J1287" s="10">
        <v>0</v>
      </c>
      <c r="L1287" t="s">
        <v>55</v>
      </c>
      <c r="M1287" t="s">
        <v>26</v>
      </c>
      <c r="N1287" t="s">
        <v>3158</v>
      </c>
      <c r="O1287" s="2">
        <v>41365</v>
      </c>
      <c r="P1287" s="2">
        <v>42460</v>
      </c>
      <c r="Q1287">
        <v>0</v>
      </c>
      <c r="R1287" t="s">
        <v>3159</v>
      </c>
    </row>
    <row r="1288" spans="1:18" x14ac:dyDescent="0.25">
      <c r="A1288" t="s">
        <v>3163</v>
      </c>
      <c r="B1288" t="s">
        <v>3164</v>
      </c>
      <c r="C1288" t="s">
        <v>20</v>
      </c>
      <c r="D1288" t="s">
        <v>51</v>
      </c>
      <c r="E1288" t="s">
        <v>127</v>
      </c>
      <c r="F1288" t="s">
        <v>109</v>
      </c>
      <c r="G1288" t="s">
        <v>3165</v>
      </c>
      <c r="H1288" s="10">
        <v>738226</v>
      </c>
      <c r="I1288" s="10">
        <v>0</v>
      </c>
      <c r="J1288" s="10">
        <v>0</v>
      </c>
      <c r="L1288" t="s">
        <v>42</v>
      </c>
      <c r="M1288" t="s">
        <v>26</v>
      </c>
      <c r="N1288" t="s">
        <v>3166</v>
      </c>
      <c r="O1288" s="2">
        <v>44835</v>
      </c>
      <c r="P1288" s="2">
        <v>46660</v>
      </c>
      <c r="Q1288">
        <v>0</v>
      </c>
      <c r="R1288" t="s">
        <v>3167</v>
      </c>
    </row>
    <row r="1289" spans="1:18" x14ac:dyDescent="0.25">
      <c r="A1289" t="s">
        <v>5099</v>
      </c>
      <c r="B1289" t="s">
        <v>5063</v>
      </c>
      <c r="C1289" t="s">
        <v>38</v>
      </c>
      <c r="D1289" t="s">
        <v>21</v>
      </c>
      <c r="E1289" t="s">
        <v>255</v>
      </c>
      <c r="F1289" t="s">
        <v>32</v>
      </c>
      <c r="G1289" t="s">
        <v>3168</v>
      </c>
      <c r="H1289" s="11">
        <v>877100</v>
      </c>
      <c r="I1289" s="11">
        <v>0</v>
      </c>
      <c r="J1289" s="11">
        <v>0</v>
      </c>
      <c r="L1289" t="s">
        <v>42</v>
      </c>
      <c r="M1289" t="s">
        <v>26</v>
      </c>
      <c r="N1289" t="s">
        <v>3169</v>
      </c>
      <c r="O1289" s="2">
        <v>39904</v>
      </c>
      <c r="P1289" s="2">
        <v>41729</v>
      </c>
      <c r="Q1289">
        <v>0</v>
      </c>
      <c r="R1289" t="s">
        <v>3170</v>
      </c>
    </row>
    <row r="1290" spans="1:18" x14ac:dyDescent="0.25">
      <c r="A1290" t="s">
        <v>5099</v>
      </c>
      <c r="B1290" t="s">
        <v>5063</v>
      </c>
      <c r="C1290" t="s">
        <v>38</v>
      </c>
      <c r="D1290" t="s">
        <v>21</v>
      </c>
      <c r="E1290" t="s">
        <v>74</v>
      </c>
      <c r="F1290" t="s">
        <v>32</v>
      </c>
      <c r="G1290" t="s">
        <v>3173</v>
      </c>
      <c r="H1290" s="10">
        <v>873345</v>
      </c>
      <c r="I1290" s="10">
        <v>0</v>
      </c>
      <c r="J1290" s="10">
        <v>0</v>
      </c>
      <c r="L1290" t="s">
        <v>42</v>
      </c>
      <c r="M1290" t="s">
        <v>26</v>
      </c>
      <c r="N1290" t="s">
        <v>3174</v>
      </c>
      <c r="O1290" s="2">
        <v>41000</v>
      </c>
      <c r="P1290" s="2">
        <v>42825</v>
      </c>
      <c r="Q1290">
        <v>0</v>
      </c>
      <c r="R1290" t="s">
        <v>3175</v>
      </c>
    </row>
    <row r="1291" spans="1:18" x14ac:dyDescent="0.25">
      <c r="A1291" t="s">
        <v>5099</v>
      </c>
      <c r="B1291" t="s">
        <v>5063</v>
      </c>
      <c r="C1291" t="s">
        <v>38</v>
      </c>
      <c r="D1291" t="s">
        <v>21</v>
      </c>
      <c r="E1291" t="s">
        <v>572</v>
      </c>
      <c r="F1291" t="s">
        <v>32</v>
      </c>
      <c r="G1291" t="s">
        <v>3171</v>
      </c>
      <c r="H1291" s="10">
        <v>967960</v>
      </c>
      <c r="I1291" s="10">
        <v>0</v>
      </c>
      <c r="J1291" s="10">
        <v>0</v>
      </c>
      <c r="L1291" t="s">
        <v>42</v>
      </c>
      <c r="M1291" t="s">
        <v>26</v>
      </c>
      <c r="N1291" t="s">
        <v>3169</v>
      </c>
      <c r="O1291" s="2">
        <v>41730</v>
      </c>
      <c r="P1291" s="2">
        <v>42916</v>
      </c>
      <c r="Q1291">
        <v>0</v>
      </c>
      <c r="R1291" t="s">
        <v>3172</v>
      </c>
    </row>
    <row r="1292" spans="1:18" x14ac:dyDescent="0.25">
      <c r="A1292" t="s">
        <v>3176</v>
      </c>
      <c r="B1292" t="s">
        <v>98</v>
      </c>
      <c r="C1292" t="s">
        <v>20</v>
      </c>
      <c r="D1292" t="s">
        <v>21</v>
      </c>
      <c r="E1292" t="s">
        <v>60</v>
      </c>
      <c r="F1292" t="s">
        <v>47</v>
      </c>
      <c r="G1292" t="s">
        <v>3177</v>
      </c>
      <c r="H1292" s="10">
        <v>334403</v>
      </c>
      <c r="I1292" s="10">
        <v>0</v>
      </c>
      <c r="J1292" s="10">
        <v>0</v>
      </c>
      <c r="L1292" t="s">
        <v>55</v>
      </c>
      <c r="M1292" t="s">
        <v>26</v>
      </c>
      <c r="N1292" t="s">
        <v>1567</v>
      </c>
      <c r="O1292" s="2">
        <v>41821</v>
      </c>
      <c r="P1292" s="2">
        <v>42916</v>
      </c>
      <c r="Q1292">
        <v>0</v>
      </c>
      <c r="R1292" t="s">
        <v>3178</v>
      </c>
    </row>
    <row r="1293" spans="1:18" x14ac:dyDescent="0.25">
      <c r="A1293" t="s">
        <v>3179</v>
      </c>
      <c r="B1293" t="s">
        <v>499</v>
      </c>
      <c r="C1293" t="s">
        <v>311</v>
      </c>
      <c r="D1293" t="s">
        <v>90</v>
      </c>
      <c r="E1293" t="s">
        <v>91</v>
      </c>
      <c r="F1293" t="s">
        <v>92</v>
      </c>
      <c r="G1293" t="s">
        <v>3180</v>
      </c>
      <c r="H1293" s="10">
        <v>138097</v>
      </c>
      <c r="I1293" s="10">
        <v>0</v>
      </c>
      <c r="J1293" s="10">
        <v>0</v>
      </c>
      <c r="L1293" t="s">
        <v>34</v>
      </c>
      <c r="M1293" t="s">
        <v>94</v>
      </c>
      <c r="N1293" t="s">
        <v>201</v>
      </c>
      <c r="O1293" s="2">
        <v>43983</v>
      </c>
      <c r="P1293" s="2">
        <v>44347</v>
      </c>
      <c r="Q1293">
        <v>0</v>
      </c>
      <c r="R1293" t="s">
        <v>3181</v>
      </c>
    </row>
    <row r="1294" spans="1:18" x14ac:dyDescent="0.25">
      <c r="A1294" t="s">
        <v>5435</v>
      </c>
      <c r="B1294" t="s">
        <v>19</v>
      </c>
      <c r="C1294" t="s">
        <v>20</v>
      </c>
      <c r="D1294" t="s">
        <v>51</v>
      </c>
      <c r="E1294" t="s">
        <v>167</v>
      </c>
      <c r="F1294" t="s">
        <v>109</v>
      </c>
      <c r="G1294" t="s">
        <v>3184</v>
      </c>
      <c r="H1294" s="10">
        <v>837675</v>
      </c>
      <c r="I1294" s="10">
        <v>0</v>
      </c>
      <c r="J1294" s="10">
        <v>0</v>
      </c>
      <c r="L1294" t="s">
        <v>42</v>
      </c>
      <c r="M1294" t="s">
        <v>26</v>
      </c>
      <c r="N1294" t="s">
        <v>3185</v>
      </c>
      <c r="O1294" s="2">
        <v>45017</v>
      </c>
      <c r="P1294" s="2">
        <v>46843</v>
      </c>
      <c r="Q1294">
        <v>0</v>
      </c>
      <c r="R1294" t="s">
        <v>3186</v>
      </c>
    </row>
    <row r="1295" spans="1:18" x14ac:dyDescent="0.25">
      <c r="A1295" t="s">
        <v>5434</v>
      </c>
      <c r="B1295" t="s">
        <v>19</v>
      </c>
      <c r="C1295" t="s">
        <v>20</v>
      </c>
      <c r="D1295" t="s">
        <v>51</v>
      </c>
      <c r="E1295" t="s">
        <v>163</v>
      </c>
      <c r="F1295" t="s">
        <v>109</v>
      </c>
      <c r="G1295" t="s">
        <v>3182</v>
      </c>
      <c r="H1295" s="10">
        <v>317476</v>
      </c>
      <c r="I1295" s="10">
        <v>0</v>
      </c>
      <c r="J1295" s="10">
        <v>0</v>
      </c>
      <c r="L1295" t="s">
        <v>25</v>
      </c>
      <c r="M1295" t="s">
        <v>26</v>
      </c>
      <c r="N1295" t="s">
        <v>961</v>
      </c>
      <c r="O1295" s="2">
        <v>43556</v>
      </c>
      <c r="P1295" s="2">
        <v>45016</v>
      </c>
      <c r="Q1295">
        <v>0</v>
      </c>
      <c r="R1295" t="s">
        <v>3183</v>
      </c>
    </row>
    <row r="1296" spans="1:18" x14ac:dyDescent="0.25">
      <c r="A1296" t="s">
        <v>5305</v>
      </c>
      <c r="B1296" t="s">
        <v>4492</v>
      </c>
      <c r="C1296" t="s">
        <v>38</v>
      </c>
      <c r="D1296" t="s">
        <v>5280</v>
      </c>
      <c r="E1296" t="s">
        <v>5281</v>
      </c>
      <c r="F1296" t="s">
        <v>4554</v>
      </c>
      <c r="G1296" t="s">
        <v>5306</v>
      </c>
      <c r="H1296" s="10">
        <v>571200</v>
      </c>
      <c r="I1296" s="10">
        <v>0</v>
      </c>
      <c r="J1296" s="10">
        <v>0</v>
      </c>
      <c r="L1296" t="s">
        <v>42</v>
      </c>
      <c r="M1296" t="s">
        <v>111</v>
      </c>
      <c r="N1296" t="s">
        <v>5949</v>
      </c>
      <c r="O1296" s="2">
        <v>40817</v>
      </c>
      <c r="P1296" s="2">
        <v>42643</v>
      </c>
      <c r="Q1296">
        <v>0</v>
      </c>
      <c r="R1296" t="s">
        <v>5948</v>
      </c>
    </row>
    <row r="1297" spans="1:18" x14ac:dyDescent="0.25">
      <c r="A1297" t="s">
        <v>3187</v>
      </c>
      <c r="B1297" t="s">
        <v>19</v>
      </c>
      <c r="C1297" t="s">
        <v>20</v>
      </c>
      <c r="D1297" t="s">
        <v>241</v>
      </c>
      <c r="E1297" t="s">
        <v>554</v>
      </c>
      <c r="F1297" t="s">
        <v>243</v>
      </c>
      <c r="G1297" t="s">
        <v>3188</v>
      </c>
      <c r="H1297" s="10">
        <v>90400</v>
      </c>
      <c r="I1297" s="10">
        <v>0</v>
      </c>
      <c r="J1297" s="10">
        <v>0</v>
      </c>
      <c r="L1297" t="s">
        <v>34</v>
      </c>
      <c r="M1297" t="s">
        <v>143</v>
      </c>
      <c r="N1297" t="s">
        <v>3189</v>
      </c>
      <c r="O1297" s="2">
        <v>39845</v>
      </c>
      <c r="P1297" s="2">
        <v>40209</v>
      </c>
      <c r="Q1297">
        <v>0</v>
      </c>
      <c r="R1297" t="s">
        <v>3190</v>
      </c>
    </row>
    <row r="1298" spans="1:18" x14ac:dyDescent="0.25">
      <c r="A1298" t="s">
        <v>3191</v>
      </c>
      <c r="B1298" t="s">
        <v>4493</v>
      </c>
      <c r="C1298" t="s">
        <v>38</v>
      </c>
      <c r="D1298" t="s">
        <v>21</v>
      </c>
      <c r="E1298" t="s">
        <v>534</v>
      </c>
      <c r="F1298" t="s">
        <v>32</v>
      </c>
      <c r="G1298" t="s">
        <v>3192</v>
      </c>
      <c r="H1298" s="10">
        <v>606634</v>
      </c>
      <c r="I1298" s="10">
        <v>0</v>
      </c>
      <c r="J1298" s="10">
        <v>0</v>
      </c>
      <c r="L1298" t="s">
        <v>42</v>
      </c>
      <c r="M1298" t="s">
        <v>26</v>
      </c>
      <c r="N1298" t="s">
        <v>3193</v>
      </c>
      <c r="O1298" s="2">
        <v>40817</v>
      </c>
      <c r="P1298" s="2">
        <v>42643</v>
      </c>
      <c r="Q1298">
        <v>3</v>
      </c>
      <c r="R1298" t="s">
        <v>3194</v>
      </c>
    </row>
    <row r="1299" spans="1:18" x14ac:dyDescent="0.25">
      <c r="A1299" t="s">
        <v>3191</v>
      </c>
      <c r="B1299" t="s">
        <v>4493</v>
      </c>
      <c r="C1299" t="s">
        <v>38</v>
      </c>
      <c r="D1299" t="s">
        <v>51</v>
      </c>
      <c r="E1299" t="s">
        <v>259</v>
      </c>
      <c r="F1299" t="s">
        <v>128</v>
      </c>
      <c r="G1299" t="s">
        <v>3195</v>
      </c>
      <c r="H1299" s="10">
        <v>1021276</v>
      </c>
      <c r="I1299" s="10">
        <v>0</v>
      </c>
      <c r="J1299" s="10">
        <v>0</v>
      </c>
      <c r="L1299" t="s">
        <v>42</v>
      </c>
      <c r="M1299" t="s">
        <v>26</v>
      </c>
      <c r="N1299" t="s">
        <v>3196</v>
      </c>
      <c r="O1299" s="2">
        <v>44105</v>
      </c>
      <c r="P1299" s="2">
        <v>45930</v>
      </c>
      <c r="Q1299">
        <v>0</v>
      </c>
      <c r="R1299" t="s">
        <v>3197</v>
      </c>
    </row>
    <row r="1300" spans="1:18" x14ac:dyDescent="0.25">
      <c r="A1300" t="s">
        <v>3198</v>
      </c>
      <c r="B1300" t="s">
        <v>4493</v>
      </c>
      <c r="C1300" t="s">
        <v>38</v>
      </c>
      <c r="D1300" t="s">
        <v>273</v>
      </c>
      <c r="E1300" t="s">
        <v>274</v>
      </c>
      <c r="F1300" t="s">
        <v>275</v>
      </c>
      <c r="G1300" t="s">
        <v>3199</v>
      </c>
      <c r="H1300" s="10">
        <v>100000</v>
      </c>
      <c r="I1300" s="10">
        <v>0</v>
      </c>
      <c r="J1300" s="10">
        <v>0</v>
      </c>
      <c r="L1300" t="s">
        <v>34</v>
      </c>
      <c r="M1300" t="s">
        <v>94</v>
      </c>
      <c r="N1300" t="s">
        <v>329</v>
      </c>
      <c r="O1300" s="2">
        <v>41334</v>
      </c>
      <c r="P1300" s="2">
        <v>41698</v>
      </c>
      <c r="Q1300">
        <v>0</v>
      </c>
      <c r="R1300" t="s">
        <v>3200</v>
      </c>
    </row>
    <row r="1301" spans="1:18" x14ac:dyDescent="0.25">
      <c r="A1301" t="s">
        <v>3201</v>
      </c>
      <c r="B1301" t="s">
        <v>49</v>
      </c>
      <c r="C1301" t="s">
        <v>50</v>
      </c>
      <c r="D1301" t="s">
        <v>21</v>
      </c>
      <c r="E1301" t="s">
        <v>22</v>
      </c>
      <c r="F1301" t="s">
        <v>109</v>
      </c>
      <c r="G1301" t="s">
        <v>3202</v>
      </c>
      <c r="H1301" s="10">
        <v>434490</v>
      </c>
      <c r="I1301" s="10">
        <v>0</v>
      </c>
      <c r="J1301" s="10">
        <v>0</v>
      </c>
      <c r="L1301" t="s">
        <v>25</v>
      </c>
      <c r="M1301" t="s">
        <v>204</v>
      </c>
      <c r="N1301" t="s">
        <v>3203</v>
      </c>
      <c r="O1301" s="2">
        <v>41365</v>
      </c>
      <c r="P1301" s="2">
        <v>42825</v>
      </c>
      <c r="Q1301">
        <v>2</v>
      </c>
      <c r="R1301" t="s">
        <v>3204</v>
      </c>
    </row>
    <row r="1302" spans="1:18" x14ac:dyDescent="0.25">
      <c r="A1302" t="s">
        <v>4934</v>
      </c>
      <c r="B1302" t="s">
        <v>49</v>
      </c>
      <c r="C1302" t="s">
        <v>50</v>
      </c>
      <c r="D1302" t="s">
        <v>4557</v>
      </c>
      <c r="E1302" t="s">
        <v>4611</v>
      </c>
      <c r="F1302" t="s">
        <v>4559</v>
      </c>
      <c r="G1302" t="s">
        <v>4935</v>
      </c>
      <c r="H1302" s="10">
        <v>240861</v>
      </c>
      <c r="I1302" s="10">
        <v>0</v>
      </c>
      <c r="J1302" s="10">
        <v>0</v>
      </c>
      <c r="L1302" t="s">
        <v>55</v>
      </c>
      <c r="M1302" t="s">
        <v>831</v>
      </c>
      <c r="N1302" t="s">
        <v>6067</v>
      </c>
      <c r="O1302" s="2">
        <v>42461</v>
      </c>
      <c r="P1302" s="2">
        <v>43555</v>
      </c>
      <c r="Q1302">
        <v>0</v>
      </c>
      <c r="R1302" t="s">
        <v>6066</v>
      </c>
    </row>
    <row r="1303" spans="1:18" x14ac:dyDescent="0.25">
      <c r="A1303" t="s">
        <v>3205</v>
      </c>
      <c r="B1303" t="s">
        <v>196</v>
      </c>
      <c r="C1303" t="s">
        <v>20</v>
      </c>
      <c r="D1303" t="s">
        <v>51</v>
      </c>
      <c r="E1303" t="s">
        <v>186</v>
      </c>
      <c r="F1303" t="s">
        <v>109</v>
      </c>
      <c r="G1303" t="s">
        <v>3206</v>
      </c>
      <c r="H1303" s="10">
        <v>799426</v>
      </c>
      <c r="I1303" s="10">
        <v>0</v>
      </c>
      <c r="J1303" s="10">
        <v>0</v>
      </c>
      <c r="L1303" t="s">
        <v>42</v>
      </c>
      <c r="M1303" t="s">
        <v>26</v>
      </c>
      <c r="N1303" t="s">
        <v>3207</v>
      </c>
      <c r="O1303" s="2">
        <v>44470</v>
      </c>
      <c r="P1303" s="2">
        <v>46295</v>
      </c>
      <c r="Q1303">
        <v>0</v>
      </c>
      <c r="R1303" t="s">
        <v>3208</v>
      </c>
    </row>
    <row r="1304" spans="1:18" x14ac:dyDescent="0.25">
      <c r="A1304" t="s">
        <v>3205</v>
      </c>
      <c r="B1304" t="s">
        <v>196</v>
      </c>
      <c r="C1304" t="s">
        <v>20</v>
      </c>
      <c r="D1304" t="s">
        <v>2238</v>
      </c>
      <c r="E1304" t="s">
        <v>2239</v>
      </c>
      <c r="F1304" t="s">
        <v>109</v>
      </c>
      <c r="G1304" t="s">
        <v>3209</v>
      </c>
      <c r="H1304" s="10">
        <v>100000</v>
      </c>
      <c r="I1304" s="10">
        <v>0</v>
      </c>
      <c r="J1304" s="10">
        <v>0</v>
      </c>
      <c r="L1304" t="s">
        <v>34</v>
      </c>
      <c r="M1304" t="s">
        <v>26</v>
      </c>
      <c r="N1304" t="s">
        <v>3207</v>
      </c>
      <c r="O1304" s="2">
        <v>44256</v>
      </c>
      <c r="P1304" s="2">
        <v>44620</v>
      </c>
      <c r="Q1304">
        <v>0</v>
      </c>
      <c r="R1304" t="s">
        <v>3208</v>
      </c>
    </row>
    <row r="1305" spans="1:18" x14ac:dyDescent="0.25">
      <c r="A1305" t="s">
        <v>3210</v>
      </c>
      <c r="B1305" t="s">
        <v>5063</v>
      </c>
      <c r="C1305" t="s">
        <v>38</v>
      </c>
      <c r="D1305" t="s">
        <v>51</v>
      </c>
      <c r="E1305" t="s">
        <v>197</v>
      </c>
      <c r="F1305" t="s">
        <v>128</v>
      </c>
      <c r="G1305" t="s">
        <v>3211</v>
      </c>
      <c r="H1305" s="10">
        <v>860625</v>
      </c>
      <c r="I1305" s="10">
        <v>0</v>
      </c>
      <c r="J1305" s="10">
        <v>0</v>
      </c>
      <c r="L1305" t="s">
        <v>42</v>
      </c>
      <c r="M1305" t="s">
        <v>26</v>
      </c>
      <c r="N1305" t="s">
        <v>135</v>
      </c>
      <c r="O1305" s="2">
        <v>44652</v>
      </c>
      <c r="P1305" s="2">
        <v>46477</v>
      </c>
      <c r="Q1305">
        <v>0</v>
      </c>
      <c r="R1305" t="s">
        <v>3212</v>
      </c>
    </row>
    <row r="1306" spans="1:18" x14ac:dyDescent="0.25">
      <c r="A1306" t="s">
        <v>3213</v>
      </c>
      <c r="B1306" t="s">
        <v>499</v>
      </c>
      <c r="C1306" t="s">
        <v>311</v>
      </c>
      <c r="D1306" t="s">
        <v>51</v>
      </c>
      <c r="E1306" t="s">
        <v>406</v>
      </c>
      <c r="F1306" t="s">
        <v>128</v>
      </c>
      <c r="G1306" t="s">
        <v>3214</v>
      </c>
      <c r="H1306" s="10">
        <v>684675</v>
      </c>
      <c r="I1306" s="10">
        <v>0</v>
      </c>
      <c r="J1306" s="10">
        <v>0</v>
      </c>
      <c r="L1306" t="s">
        <v>42</v>
      </c>
      <c r="M1306" t="s">
        <v>26</v>
      </c>
      <c r="N1306" t="s">
        <v>493</v>
      </c>
      <c r="O1306" s="2">
        <v>43191</v>
      </c>
      <c r="P1306" s="2">
        <v>45016</v>
      </c>
      <c r="Q1306">
        <v>0</v>
      </c>
      <c r="R1306" t="s">
        <v>3215</v>
      </c>
    </row>
    <row r="1307" spans="1:18" x14ac:dyDescent="0.25">
      <c r="A1307" t="s">
        <v>3216</v>
      </c>
      <c r="B1307" t="s">
        <v>49</v>
      </c>
      <c r="C1307" t="s">
        <v>50</v>
      </c>
      <c r="D1307" t="s">
        <v>21</v>
      </c>
      <c r="E1307" t="s">
        <v>22</v>
      </c>
      <c r="F1307" t="s">
        <v>47</v>
      </c>
      <c r="G1307" t="s">
        <v>3217</v>
      </c>
      <c r="H1307" s="10">
        <v>754756</v>
      </c>
      <c r="I1307" s="10">
        <v>0</v>
      </c>
      <c r="J1307" s="10">
        <v>0</v>
      </c>
      <c r="L1307" t="s">
        <v>42</v>
      </c>
      <c r="M1307" t="s">
        <v>26</v>
      </c>
      <c r="N1307" t="s">
        <v>852</v>
      </c>
      <c r="O1307" s="2">
        <v>41365</v>
      </c>
      <c r="P1307" s="2">
        <v>43190</v>
      </c>
      <c r="Q1307">
        <v>1</v>
      </c>
      <c r="R1307" t="s">
        <v>3218</v>
      </c>
    </row>
    <row r="1308" spans="1:18" x14ac:dyDescent="0.25">
      <c r="A1308" t="s">
        <v>5436</v>
      </c>
      <c r="B1308" t="s">
        <v>49</v>
      </c>
      <c r="C1308" t="s">
        <v>50</v>
      </c>
      <c r="D1308" t="s">
        <v>51</v>
      </c>
      <c r="E1308" t="s">
        <v>122</v>
      </c>
      <c r="F1308" t="s">
        <v>128</v>
      </c>
      <c r="G1308" t="s">
        <v>3219</v>
      </c>
      <c r="H1308" s="10">
        <v>963900</v>
      </c>
      <c r="I1308" s="10">
        <v>0</v>
      </c>
      <c r="J1308" s="10">
        <v>0</v>
      </c>
      <c r="L1308" t="s">
        <v>42</v>
      </c>
      <c r="M1308" t="s">
        <v>26</v>
      </c>
      <c r="N1308" t="s">
        <v>135</v>
      </c>
      <c r="O1308" s="2">
        <v>43739</v>
      </c>
      <c r="P1308" s="2">
        <v>45565</v>
      </c>
      <c r="Q1308">
        <v>1</v>
      </c>
      <c r="R1308" t="s">
        <v>3220</v>
      </c>
    </row>
    <row r="1309" spans="1:18" x14ac:dyDescent="0.25">
      <c r="A1309" t="s">
        <v>3221</v>
      </c>
      <c r="B1309" t="s">
        <v>114</v>
      </c>
      <c r="C1309" t="s">
        <v>20</v>
      </c>
      <c r="D1309" t="s">
        <v>51</v>
      </c>
      <c r="E1309" t="s">
        <v>70</v>
      </c>
      <c r="F1309" t="s">
        <v>32</v>
      </c>
      <c r="G1309" t="s">
        <v>3222</v>
      </c>
      <c r="H1309" s="10">
        <v>990676</v>
      </c>
      <c r="I1309" s="10">
        <v>0</v>
      </c>
      <c r="J1309" s="10">
        <v>0</v>
      </c>
      <c r="L1309" t="s">
        <v>42</v>
      </c>
      <c r="M1309" t="s">
        <v>26</v>
      </c>
      <c r="N1309" t="s">
        <v>3223</v>
      </c>
      <c r="O1309" s="2">
        <v>45200</v>
      </c>
      <c r="P1309" s="2">
        <v>47026</v>
      </c>
      <c r="Q1309">
        <v>0</v>
      </c>
      <c r="R1309" t="s">
        <v>3224</v>
      </c>
    </row>
    <row r="1310" spans="1:18" x14ac:dyDescent="0.25">
      <c r="A1310" t="s">
        <v>3225</v>
      </c>
      <c r="B1310" t="s">
        <v>19</v>
      </c>
      <c r="C1310" t="s">
        <v>20</v>
      </c>
      <c r="D1310" t="s">
        <v>139</v>
      </c>
      <c r="E1310" t="s">
        <v>140</v>
      </c>
      <c r="F1310" t="s">
        <v>141</v>
      </c>
      <c r="G1310" t="s">
        <v>3226</v>
      </c>
      <c r="H1310" s="10">
        <v>215475</v>
      </c>
      <c r="I1310" s="10">
        <v>0</v>
      </c>
      <c r="J1310" s="10">
        <v>0</v>
      </c>
      <c r="L1310" t="s">
        <v>34</v>
      </c>
      <c r="M1310" t="s">
        <v>94</v>
      </c>
      <c r="N1310" t="s">
        <v>3227</v>
      </c>
      <c r="O1310" s="2">
        <v>43983</v>
      </c>
      <c r="P1310" s="2">
        <v>44347</v>
      </c>
      <c r="Q1310">
        <v>0</v>
      </c>
      <c r="R1310" t="s">
        <v>3228</v>
      </c>
    </row>
    <row r="1311" spans="1:18" x14ac:dyDescent="0.25">
      <c r="A1311" t="s">
        <v>3225</v>
      </c>
      <c r="B1311" t="s">
        <v>19</v>
      </c>
      <c r="C1311" t="s">
        <v>20</v>
      </c>
      <c r="D1311" t="s">
        <v>51</v>
      </c>
      <c r="E1311" t="s">
        <v>223</v>
      </c>
      <c r="F1311" t="s">
        <v>32</v>
      </c>
      <c r="G1311" t="s">
        <v>3229</v>
      </c>
      <c r="H1311" s="10">
        <v>956250</v>
      </c>
      <c r="I1311" s="10">
        <v>0</v>
      </c>
      <c r="J1311" s="10">
        <v>0</v>
      </c>
      <c r="L1311" t="s">
        <v>42</v>
      </c>
      <c r="M1311" t="s">
        <v>26</v>
      </c>
      <c r="N1311" t="s">
        <v>72</v>
      </c>
      <c r="O1311" s="2">
        <v>45566</v>
      </c>
      <c r="P1311" s="2">
        <v>47391</v>
      </c>
      <c r="Q1311">
        <v>0</v>
      </c>
      <c r="R1311" t="s">
        <v>3230</v>
      </c>
    </row>
    <row r="1312" spans="1:18" x14ac:dyDescent="0.25">
      <c r="A1312" t="s">
        <v>3231</v>
      </c>
      <c r="B1312" t="s">
        <v>4493</v>
      </c>
      <c r="C1312" t="s">
        <v>38</v>
      </c>
      <c r="D1312" t="s">
        <v>51</v>
      </c>
      <c r="E1312" t="s">
        <v>122</v>
      </c>
      <c r="F1312" t="s">
        <v>47</v>
      </c>
      <c r="G1312" t="s">
        <v>3232</v>
      </c>
      <c r="H1312" s="10">
        <v>761176</v>
      </c>
      <c r="I1312" s="10">
        <v>0</v>
      </c>
      <c r="J1312" s="10">
        <v>0</v>
      </c>
      <c r="L1312" t="s">
        <v>42</v>
      </c>
      <c r="M1312" t="s">
        <v>26</v>
      </c>
      <c r="N1312" t="s">
        <v>3233</v>
      </c>
      <c r="O1312" s="2">
        <v>43739</v>
      </c>
      <c r="P1312" s="2">
        <v>45565</v>
      </c>
      <c r="Q1312">
        <v>1</v>
      </c>
      <c r="R1312" t="s">
        <v>3234</v>
      </c>
    </row>
    <row r="1313" spans="1:18" x14ac:dyDescent="0.25">
      <c r="A1313" t="s">
        <v>3235</v>
      </c>
      <c r="B1313" t="s">
        <v>157</v>
      </c>
      <c r="C1313" t="s">
        <v>38</v>
      </c>
      <c r="D1313" t="s">
        <v>273</v>
      </c>
      <c r="E1313" t="s">
        <v>274</v>
      </c>
      <c r="F1313" t="s">
        <v>275</v>
      </c>
      <c r="G1313" t="s">
        <v>3236</v>
      </c>
      <c r="H1313" s="10">
        <v>99997</v>
      </c>
      <c r="I1313" s="10">
        <v>0</v>
      </c>
      <c r="J1313" s="10">
        <v>0</v>
      </c>
      <c r="L1313" t="s">
        <v>34</v>
      </c>
      <c r="M1313" t="s">
        <v>94</v>
      </c>
      <c r="N1313" t="s">
        <v>3237</v>
      </c>
      <c r="O1313" s="2">
        <v>41334</v>
      </c>
      <c r="P1313" s="2">
        <v>41698</v>
      </c>
      <c r="Q1313">
        <v>0</v>
      </c>
      <c r="R1313" t="s">
        <v>3238</v>
      </c>
    </row>
    <row r="1314" spans="1:18" x14ac:dyDescent="0.25">
      <c r="A1314" t="s">
        <v>3239</v>
      </c>
      <c r="B1314" t="s">
        <v>4496</v>
      </c>
      <c r="C1314" t="s">
        <v>38</v>
      </c>
      <c r="D1314" t="s">
        <v>51</v>
      </c>
      <c r="E1314" t="s">
        <v>197</v>
      </c>
      <c r="F1314" t="s">
        <v>128</v>
      </c>
      <c r="G1314" t="s">
        <v>3240</v>
      </c>
      <c r="H1314" s="10">
        <v>921825</v>
      </c>
      <c r="I1314" s="10">
        <v>0</v>
      </c>
      <c r="J1314" s="10">
        <v>0</v>
      </c>
      <c r="L1314" t="s">
        <v>42</v>
      </c>
      <c r="M1314" t="s">
        <v>26</v>
      </c>
      <c r="N1314" t="s">
        <v>3241</v>
      </c>
      <c r="O1314" s="2">
        <v>44652</v>
      </c>
      <c r="P1314" s="2">
        <v>46477</v>
      </c>
      <c r="Q1314">
        <v>0</v>
      </c>
      <c r="R1314" t="s">
        <v>3242</v>
      </c>
    </row>
    <row r="1315" spans="1:18" x14ac:dyDescent="0.25">
      <c r="A1315" t="s">
        <v>3243</v>
      </c>
      <c r="B1315" t="s">
        <v>4494</v>
      </c>
      <c r="C1315" t="s">
        <v>38</v>
      </c>
      <c r="D1315" t="s">
        <v>99</v>
      </c>
      <c r="E1315" t="s">
        <v>100</v>
      </c>
      <c r="F1315" t="s">
        <v>101</v>
      </c>
      <c r="G1315" t="s">
        <v>3244</v>
      </c>
      <c r="H1315" s="10">
        <v>502775</v>
      </c>
      <c r="I1315" s="10">
        <v>0</v>
      </c>
      <c r="J1315" s="10">
        <v>0</v>
      </c>
      <c r="L1315" t="s">
        <v>34</v>
      </c>
      <c r="M1315" t="s">
        <v>204</v>
      </c>
      <c r="N1315" t="s">
        <v>536</v>
      </c>
      <c r="O1315" s="2">
        <v>43983</v>
      </c>
      <c r="P1315" s="2">
        <v>44347</v>
      </c>
      <c r="Q1315">
        <v>0</v>
      </c>
      <c r="R1315" t="s">
        <v>3245</v>
      </c>
    </row>
    <row r="1316" spans="1:18" x14ac:dyDescent="0.25">
      <c r="A1316" t="s">
        <v>3246</v>
      </c>
      <c r="B1316" t="s">
        <v>5069</v>
      </c>
      <c r="C1316" t="s">
        <v>38</v>
      </c>
      <c r="D1316" t="s">
        <v>21</v>
      </c>
      <c r="E1316" t="s">
        <v>549</v>
      </c>
      <c r="F1316" t="s">
        <v>53</v>
      </c>
      <c r="G1316" t="s">
        <v>3247</v>
      </c>
      <c r="H1316" s="10">
        <v>596450</v>
      </c>
      <c r="I1316" s="10">
        <v>0</v>
      </c>
      <c r="J1316" s="10">
        <v>0</v>
      </c>
      <c r="L1316" t="s">
        <v>42</v>
      </c>
      <c r="M1316" t="s">
        <v>238</v>
      </c>
      <c r="N1316" t="s">
        <v>3248</v>
      </c>
      <c r="O1316" s="2">
        <v>42186</v>
      </c>
      <c r="P1316" s="2">
        <v>44012</v>
      </c>
      <c r="Q1316">
        <v>0</v>
      </c>
      <c r="R1316" t="s">
        <v>3249</v>
      </c>
    </row>
    <row r="1317" spans="1:18" x14ac:dyDescent="0.25">
      <c r="A1317" t="s">
        <v>3246</v>
      </c>
      <c r="B1317" t="s">
        <v>5069</v>
      </c>
      <c r="C1317" t="s">
        <v>38</v>
      </c>
      <c r="D1317" t="s">
        <v>51</v>
      </c>
      <c r="E1317" t="s">
        <v>52</v>
      </c>
      <c r="F1317" t="s">
        <v>23</v>
      </c>
      <c r="G1317" t="s">
        <v>3250</v>
      </c>
      <c r="H1317" s="10">
        <v>1067175</v>
      </c>
      <c r="I1317" s="10">
        <v>0</v>
      </c>
      <c r="J1317" s="10">
        <v>0</v>
      </c>
      <c r="L1317" t="s">
        <v>42</v>
      </c>
      <c r="M1317" t="s">
        <v>26</v>
      </c>
      <c r="N1317" t="s">
        <v>118</v>
      </c>
      <c r="O1317" s="2">
        <v>44287</v>
      </c>
      <c r="P1317" s="2">
        <v>46112</v>
      </c>
      <c r="Q1317">
        <v>0</v>
      </c>
      <c r="R1317" t="s">
        <v>3251</v>
      </c>
    </row>
    <row r="1318" spans="1:18" x14ac:dyDescent="0.25">
      <c r="A1318" t="s">
        <v>3252</v>
      </c>
      <c r="B1318" t="s">
        <v>4493</v>
      </c>
      <c r="C1318" t="s">
        <v>38</v>
      </c>
      <c r="D1318" t="s">
        <v>51</v>
      </c>
      <c r="E1318" t="s">
        <v>208</v>
      </c>
      <c r="F1318" t="s">
        <v>32</v>
      </c>
      <c r="G1318" t="s">
        <v>3253</v>
      </c>
      <c r="H1318" s="10">
        <v>772650</v>
      </c>
      <c r="I1318" s="10">
        <v>0</v>
      </c>
      <c r="J1318" s="10">
        <v>0</v>
      </c>
      <c r="L1318" t="s">
        <v>42</v>
      </c>
      <c r="M1318" t="s">
        <v>26</v>
      </c>
      <c r="N1318" t="s">
        <v>135</v>
      </c>
      <c r="O1318" s="2">
        <v>45383</v>
      </c>
      <c r="P1318" s="2">
        <v>47208</v>
      </c>
      <c r="Q1318">
        <v>0</v>
      </c>
      <c r="R1318" t="s">
        <v>3254</v>
      </c>
    </row>
    <row r="1319" spans="1:18" x14ac:dyDescent="0.25">
      <c r="A1319" t="s">
        <v>3255</v>
      </c>
      <c r="B1319" t="s">
        <v>107</v>
      </c>
      <c r="C1319" t="s">
        <v>38</v>
      </c>
      <c r="D1319" t="s">
        <v>51</v>
      </c>
      <c r="E1319" t="s">
        <v>167</v>
      </c>
      <c r="F1319" t="s">
        <v>109</v>
      </c>
      <c r="G1319" t="s">
        <v>3256</v>
      </c>
      <c r="H1319" s="10">
        <v>914175</v>
      </c>
      <c r="I1319" s="10">
        <v>0</v>
      </c>
      <c r="J1319" s="10">
        <v>0</v>
      </c>
      <c r="L1319" t="s">
        <v>42</v>
      </c>
      <c r="M1319" t="s">
        <v>111</v>
      </c>
      <c r="N1319" t="s">
        <v>3257</v>
      </c>
      <c r="O1319" s="2">
        <v>45017</v>
      </c>
      <c r="P1319" s="2">
        <v>46843</v>
      </c>
      <c r="Q1319">
        <v>0</v>
      </c>
      <c r="R1319" t="s">
        <v>3258</v>
      </c>
    </row>
    <row r="1320" spans="1:18" x14ac:dyDescent="0.25">
      <c r="A1320" t="s">
        <v>5100</v>
      </c>
      <c r="B1320" t="s">
        <v>121</v>
      </c>
      <c r="C1320" t="s">
        <v>20</v>
      </c>
      <c r="D1320" t="s">
        <v>21</v>
      </c>
      <c r="E1320" t="s">
        <v>572</v>
      </c>
      <c r="F1320" t="s">
        <v>32</v>
      </c>
      <c r="G1320" t="s">
        <v>3259</v>
      </c>
      <c r="H1320" s="10">
        <v>1207800</v>
      </c>
      <c r="I1320" s="10">
        <v>0</v>
      </c>
      <c r="J1320" s="10">
        <v>0</v>
      </c>
      <c r="L1320" t="s">
        <v>42</v>
      </c>
      <c r="M1320" t="s">
        <v>26</v>
      </c>
      <c r="N1320" t="s">
        <v>3260</v>
      </c>
      <c r="O1320" s="2">
        <v>41730</v>
      </c>
      <c r="P1320" s="2">
        <v>42551</v>
      </c>
      <c r="Q1320">
        <v>1</v>
      </c>
      <c r="R1320" t="s">
        <v>3261</v>
      </c>
    </row>
    <row r="1321" spans="1:18" x14ac:dyDescent="0.25">
      <c r="A1321" t="s">
        <v>5101</v>
      </c>
      <c r="B1321" t="s">
        <v>3140</v>
      </c>
      <c r="C1321" t="s">
        <v>20</v>
      </c>
      <c r="D1321" t="s">
        <v>21</v>
      </c>
      <c r="E1321" t="s">
        <v>108</v>
      </c>
      <c r="F1321" t="s">
        <v>53</v>
      </c>
      <c r="G1321" t="s">
        <v>3262</v>
      </c>
      <c r="H1321" s="10">
        <v>619261</v>
      </c>
      <c r="I1321" s="10">
        <v>0</v>
      </c>
      <c r="J1321" s="10">
        <v>0</v>
      </c>
      <c r="L1321" t="s">
        <v>42</v>
      </c>
      <c r="M1321" t="s">
        <v>103</v>
      </c>
      <c r="N1321" t="s">
        <v>3263</v>
      </c>
      <c r="O1321" s="2">
        <v>41548</v>
      </c>
      <c r="P1321" s="2">
        <v>43373</v>
      </c>
      <c r="Q1321">
        <v>1</v>
      </c>
      <c r="R1321" t="s">
        <v>3264</v>
      </c>
    </row>
    <row r="1322" spans="1:18" x14ac:dyDescent="0.25">
      <c r="A1322" t="s">
        <v>3265</v>
      </c>
      <c r="B1322" t="s">
        <v>49</v>
      </c>
      <c r="C1322" t="s">
        <v>50</v>
      </c>
      <c r="D1322" t="s">
        <v>99</v>
      </c>
      <c r="E1322" t="s">
        <v>100</v>
      </c>
      <c r="F1322" t="s">
        <v>101</v>
      </c>
      <c r="G1322" t="s">
        <v>3266</v>
      </c>
      <c r="H1322" s="10">
        <v>3456541</v>
      </c>
      <c r="I1322" s="10">
        <v>0</v>
      </c>
      <c r="J1322" s="10">
        <v>0</v>
      </c>
      <c r="L1322" t="s">
        <v>34</v>
      </c>
      <c r="M1322" t="s">
        <v>103</v>
      </c>
      <c r="N1322" t="s">
        <v>3267</v>
      </c>
      <c r="O1322" s="2">
        <v>43983</v>
      </c>
      <c r="P1322" s="2">
        <v>44347</v>
      </c>
      <c r="Q1322">
        <v>0</v>
      </c>
      <c r="R1322" t="s">
        <v>3268</v>
      </c>
    </row>
    <row r="1323" spans="1:18" x14ac:dyDescent="0.25">
      <c r="A1323" t="s">
        <v>3269</v>
      </c>
      <c r="B1323" t="s">
        <v>107</v>
      </c>
      <c r="C1323" t="s">
        <v>38</v>
      </c>
      <c r="D1323" t="s">
        <v>241</v>
      </c>
      <c r="E1323" t="s">
        <v>242</v>
      </c>
      <c r="F1323" t="s">
        <v>243</v>
      </c>
      <c r="G1323" t="s">
        <v>3270</v>
      </c>
      <c r="H1323" s="10">
        <v>298212</v>
      </c>
      <c r="I1323" s="10">
        <v>0</v>
      </c>
      <c r="J1323" s="10">
        <v>0</v>
      </c>
      <c r="L1323" t="s">
        <v>55</v>
      </c>
      <c r="M1323" t="s">
        <v>111</v>
      </c>
      <c r="N1323" t="s">
        <v>3271</v>
      </c>
      <c r="O1323" s="2">
        <v>40087</v>
      </c>
      <c r="P1323" s="2">
        <v>41182</v>
      </c>
      <c r="Q1323">
        <v>0</v>
      </c>
      <c r="R1323" t="s">
        <v>3272</v>
      </c>
    </row>
    <row r="1324" spans="1:18" x14ac:dyDescent="0.25">
      <c r="A1324" t="s">
        <v>3273</v>
      </c>
      <c r="B1324" t="s">
        <v>240</v>
      </c>
      <c r="C1324" t="s">
        <v>20</v>
      </c>
      <c r="D1324" t="s">
        <v>21</v>
      </c>
      <c r="E1324" t="s">
        <v>323</v>
      </c>
      <c r="F1324" t="s">
        <v>32</v>
      </c>
      <c r="G1324" t="s">
        <v>3278</v>
      </c>
      <c r="H1324" s="10">
        <v>797005</v>
      </c>
      <c r="I1324" s="10">
        <v>0</v>
      </c>
      <c r="J1324" s="10">
        <v>0</v>
      </c>
      <c r="L1324" t="s">
        <v>42</v>
      </c>
      <c r="M1324" t="s">
        <v>26</v>
      </c>
      <c r="N1324" t="s">
        <v>2721</v>
      </c>
      <c r="O1324" s="2">
        <v>40269</v>
      </c>
      <c r="P1324" s="2">
        <v>42094</v>
      </c>
      <c r="Q1324">
        <v>0</v>
      </c>
      <c r="R1324" t="s">
        <v>3279</v>
      </c>
    </row>
    <row r="1325" spans="1:18" x14ac:dyDescent="0.25">
      <c r="A1325" t="s">
        <v>3273</v>
      </c>
      <c r="B1325" t="s">
        <v>240</v>
      </c>
      <c r="C1325" t="s">
        <v>20</v>
      </c>
      <c r="D1325" t="s">
        <v>51</v>
      </c>
      <c r="E1325" t="s">
        <v>406</v>
      </c>
      <c r="F1325" t="s">
        <v>128</v>
      </c>
      <c r="G1325" t="s">
        <v>3274</v>
      </c>
      <c r="H1325" s="10">
        <v>623476</v>
      </c>
      <c r="I1325" s="10">
        <v>0</v>
      </c>
      <c r="J1325" s="10">
        <v>0</v>
      </c>
      <c r="L1325" t="s">
        <v>25</v>
      </c>
      <c r="M1325" t="s">
        <v>26</v>
      </c>
      <c r="N1325" t="s">
        <v>135</v>
      </c>
      <c r="O1325" s="2">
        <v>43191</v>
      </c>
      <c r="P1325" s="2">
        <v>44651</v>
      </c>
      <c r="Q1325">
        <v>0</v>
      </c>
      <c r="R1325" t="s">
        <v>3275</v>
      </c>
    </row>
    <row r="1326" spans="1:18" x14ac:dyDescent="0.25">
      <c r="A1326" t="s">
        <v>3273</v>
      </c>
      <c r="B1326" t="s">
        <v>240</v>
      </c>
      <c r="C1326" t="s">
        <v>20</v>
      </c>
      <c r="D1326" t="s">
        <v>51</v>
      </c>
      <c r="E1326" t="s">
        <v>211</v>
      </c>
      <c r="F1326" t="s">
        <v>47</v>
      </c>
      <c r="G1326" t="s">
        <v>3276</v>
      </c>
      <c r="H1326" s="10">
        <v>100000</v>
      </c>
      <c r="I1326" s="10">
        <v>0</v>
      </c>
      <c r="J1326" s="10">
        <v>0</v>
      </c>
      <c r="L1326" t="s">
        <v>34</v>
      </c>
      <c r="M1326" t="s">
        <v>26</v>
      </c>
      <c r="N1326" t="s">
        <v>135</v>
      </c>
      <c r="O1326" s="2">
        <v>45017</v>
      </c>
      <c r="P1326" s="2">
        <v>45382</v>
      </c>
      <c r="Q1326">
        <v>0</v>
      </c>
      <c r="R1326" t="s">
        <v>3277</v>
      </c>
    </row>
    <row r="1327" spans="1:18" x14ac:dyDescent="0.25">
      <c r="A1327" t="s">
        <v>3280</v>
      </c>
      <c r="B1327" t="s">
        <v>19</v>
      </c>
      <c r="C1327" t="s">
        <v>20</v>
      </c>
      <c r="D1327" t="s">
        <v>51</v>
      </c>
      <c r="E1327" t="s">
        <v>158</v>
      </c>
      <c r="F1327" t="s">
        <v>32</v>
      </c>
      <c r="G1327" t="s">
        <v>3281</v>
      </c>
      <c r="H1327" s="10">
        <v>283051</v>
      </c>
      <c r="I1327" s="10">
        <v>0</v>
      </c>
      <c r="J1327" s="10">
        <v>0</v>
      </c>
      <c r="L1327" t="s">
        <v>55</v>
      </c>
      <c r="M1327" t="s">
        <v>26</v>
      </c>
      <c r="N1327" t="s">
        <v>3282</v>
      </c>
      <c r="O1327" s="2">
        <v>43922</v>
      </c>
      <c r="P1327" s="2">
        <v>45016</v>
      </c>
      <c r="Q1327">
        <v>0</v>
      </c>
      <c r="R1327" t="s">
        <v>3283</v>
      </c>
    </row>
    <row r="1328" spans="1:18" x14ac:dyDescent="0.25">
      <c r="A1328" t="s">
        <v>3284</v>
      </c>
      <c r="B1328" t="s">
        <v>3285</v>
      </c>
      <c r="C1328" t="s">
        <v>20</v>
      </c>
      <c r="D1328" t="s">
        <v>51</v>
      </c>
      <c r="E1328" t="s">
        <v>167</v>
      </c>
      <c r="F1328" t="s">
        <v>53</v>
      </c>
      <c r="G1328" t="s">
        <v>3286</v>
      </c>
      <c r="H1328" s="10">
        <v>730575</v>
      </c>
      <c r="I1328" s="10">
        <v>0</v>
      </c>
      <c r="J1328" s="10">
        <v>0</v>
      </c>
      <c r="L1328" t="s">
        <v>42</v>
      </c>
      <c r="M1328" t="s">
        <v>26</v>
      </c>
      <c r="N1328" t="s">
        <v>3287</v>
      </c>
      <c r="O1328" s="2">
        <v>45017</v>
      </c>
      <c r="P1328" s="2">
        <v>46843</v>
      </c>
      <c r="Q1328">
        <v>0</v>
      </c>
      <c r="R1328" t="s">
        <v>3288</v>
      </c>
    </row>
    <row r="1329" spans="1:18" x14ac:dyDescent="0.25">
      <c r="A1329" t="s">
        <v>3289</v>
      </c>
      <c r="B1329" t="s">
        <v>49</v>
      </c>
      <c r="C1329" t="s">
        <v>50</v>
      </c>
      <c r="D1329" t="s">
        <v>21</v>
      </c>
      <c r="E1329" t="s">
        <v>194</v>
      </c>
      <c r="F1329" t="s">
        <v>32</v>
      </c>
      <c r="G1329" t="s">
        <v>3296</v>
      </c>
      <c r="H1329" s="11">
        <v>362448</v>
      </c>
      <c r="I1329" s="11">
        <v>0</v>
      </c>
      <c r="J1329" s="11">
        <v>0</v>
      </c>
      <c r="L1329" t="s">
        <v>55</v>
      </c>
      <c r="M1329" t="s">
        <v>26</v>
      </c>
      <c r="N1329" t="s">
        <v>3297</v>
      </c>
      <c r="O1329" s="2">
        <v>40087</v>
      </c>
      <c r="P1329" s="2">
        <v>41182</v>
      </c>
      <c r="Q1329">
        <v>7</v>
      </c>
      <c r="R1329" t="s">
        <v>3298</v>
      </c>
    </row>
    <row r="1330" spans="1:18" x14ac:dyDescent="0.25">
      <c r="A1330" t="s">
        <v>3289</v>
      </c>
      <c r="B1330" t="s">
        <v>49</v>
      </c>
      <c r="C1330" t="s">
        <v>50</v>
      </c>
      <c r="D1330" t="s">
        <v>21</v>
      </c>
      <c r="E1330" t="s">
        <v>287</v>
      </c>
      <c r="F1330" t="s">
        <v>47</v>
      </c>
      <c r="G1330" t="s">
        <v>3290</v>
      </c>
      <c r="H1330" s="10">
        <v>498929</v>
      </c>
      <c r="I1330" s="10">
        <v>0</v>
      </c>
      <c r="J1330" s="10">
        <v>0</v>
      </c>
      <c r="L1330" t="s">
        <v>55</v>
      </c>
      <c r="M1330" t="s">
        <v>26</v>
      </c>
      <c r="N1330" t="s">
        <v>3291</v>
      </c>
      <c r="O1330" s="2">
        <v>40634</v>
      </c>
      <c r="P1330" s="2">
        <v>41729</v>
      </c>
      <c r="Q1330">
        <v>0</v>
      </c>
      <c r="R1330" t="s">
        <v>3292</v>
      </c>
    </row>
    <row r="1331" spans="1:18" x14ac:dyDescent="0.25">
      <c r="A1331" t="s">
        <v>5102</v>
      </c>
      <c r="B1331" t="s">
        <v>49</v>
      </c>
      <c r="C1331" t="s">
        <v>50</v>
      </c>
      <c r="D1331" t="s">
        <v>21</v>
      </c>
      <c r="E1331" t="s">
        <v>108</v>
      </c>
      <c r="F1331" t="s">
        <v>23</v>
      </c>
      <c r="G1331" t="s">
        <v>3293</v>
      </c>
      <c r="H1331" s="10">
        <v>467474</v>
      </c>
      <c r="I1331" s="10">
        <v>0</v>
      </c>
      <c r="J1331" s="10">
        <v>0</v>
      </c>
      <c r="L1331" t="s">
        <v>55</v>
      </c>
      <c r="M1331" t="s">
        <v>26</v>
      </c>
      <c r="N1331" t="s">
        <v>3294</v>
      </c>
      <c r="O1331" s="2">
        <v>41548</v>
      </c>
      <c r="P1331" s="2">
        <v>42643</v>
      </c>
      <c r="Q1331">
        <v>20</v>
      </c>
      <c r="R1331" t="s">
        <v>3295</v>
      </c>
    </row>
    <row r="1332" spans="1:18" x14ac:dyDescent="0.25">
      <c r="A1332" t="s">
        <v>4548</v>
      </c>
      <c r="B1332" t="s">
        <v>49</v>
      </c>
      <c r="C1332" t="s">
        <v>50</v>
      </c>
      <c r="D1332" t="s">
        <v>80</v>
      </c>
      <c r="E1332" t="s">
        <v>81</v>
      </c>
      <c r="F1332" t="s">
        <v>82</v>
      </c>
      <c r="G1332" t="s">
        <v>3299</v>
      </c>
      <c r="H1332" s="10">
        <v>198305</v>
      </c>
      <c r="I1332" s="10">
        <v>0</v>
      </c>
      <c r="J1332" s="10">
        <v>0</v>
      </c>
      <c r="L1332" t="s">
        <v>84</v>
      </c>
      <c r="M1332" t="s">
        <v>746</v>
      </c>
      <c r="N1332" t="s">
        <v>3300</v>
      </c>
      <c r="O1332" s="2">
        <v>42979</v>
      </c>
      <c r="P1332" s="2">
        <v>43708</v>
      </c>
      <c r="Q1332">
        <v>0</v>
      </c>
      <c r="R1332" t="s">
        <v>3301</v>
      </c>
    </row>
    <row r="1333" spans="1:18" x14ac:dyDescent="0.25">
      <c r="A1333" t="s">
        <v>3302</v>
      </c>
      <c r="B1333" t="s">
        <v>107</v>
      </c>
      <c r="C1333" t="s">
        <v>38</v>
      </c>
      <c r="D1333" t="s">
        <v>21</v>
      </c>
      <c r="E1333" t="s">
        <v>549</v>
      </c>
      <c r="F1333" t="s">
        <v>109</v>
      </c>
      <c r="G1333" t="s">
        <v>3303</v>
      </c>
      <c r="H1333" s="10">
        <v>645025</v>
      </c>
      <c r="I1333" s="10">
        <v>0</v>
      </c>
      <c r="J1333" s="10">
        <v>0</v>
      </c>
      <c r="L1333" t="s">
        <v>42</v>
      </c>
      <c r="M1333" t="s">
        <v>217</v>
      </c>
      <c r="N1333" t="s">
        <v>3304</v>
      </c>
      <c r="O1333" s="2">
        <v>42186</v>
      </c>
      <c r="P1333" s="2">
        <v>44012</v>
      </c>
      <c r="Q1333">
        <v>0</v>
      </c>
      <c r="R1333" t="s">
        <v>3305</v>
      </c>
    </row>
    <row r="1334" spans="1:18" x14ac:dyDescent="0.25">
      <c r="A1334" t="s">
        <v>5438</v>
      </c>
      <c r="B1334" t="s">
        <v>19</v>
      </c>
      <c r="C1334" t="s">
        <v>20</v>
      </c>
      <c r="D1334" t="s">
        <v>51</v>
      </c>
      <c r="E1334" t="s">
        <v>208</v>
      </c>
      <c r="F1334" t="s">
        <v>53</v>
      </c>
      <c r="G1334" t="s">
        <v>3306</v>
      </c>
      <c r="H1334" s="10">
        <v>692325</v>
      </c>
      <c r="I1334" s="10">
        <v>0</v>
      </c>
      <c r="J1334" s="10">
        <v>0</v>
      </c>
      <c r="L1334" t="s">
        <v>42</v>
      </c>
      <c r="M1334" t="s">
        <v>103</v>
      </c>
      <c r="N1334" t="s">
        <v>3307</v>
      </c>
      <c r="O1334" s="2">
        <v>45383</v>
      </c>
      <c r="P1334" s="2">
        <v>47208</v>
      </c>
      <c r="Q1334">
        <v>0</v>
      </c>
      <c r="R1334" t="s">
        <v>3308</v>
      </c>
    </row>
    <row r="1335" spans="1:18" x14ac:dyDescent="0.25">
      <c r="A1335" t="s">
        <v>5437</v>
      </c>
      <c r="B1335" t="s">
        <v>19</v>
      </c>
      <c r="C1335" t="s">
        <v>20</v>
      </c>
      <c r="D1335" t="s">
        <v>51</v>
      </c>
      <c r="E1335" t="s">
        <v>167</v>
      </c>
      <c r="F1335" t="s">
        <v>356</v>
      </c>
      <c r="G1335" t="s">
        <v>3309</v>
      </c>
      <c r="H1335" s="10">
        <v>726750</v>
      </c>
      <c r="I1335" s="10">
        <v>0</v>
      </c>
      <c r="J1335" s="10">
        <v>0</v>
      </c>
      <c r="L1335" t="s">
        <v>42</v>
      </c>
      <c r="M1335" t="s">
        <v>103</v>
      </c>
      <c r="N1335" t="s">
        <v>3310</v>
      </c>
      <c r="O1335" s="2">
        <v>45017</v>
      </c>
      <c r="P1335" s="2">
        <v>46843</v>
      </c>
      <c r="Q1335">
        <v>1</v>
      </c>
      <c r="R1335" t="s">
        <v>3311</v>
      </c>
    </row>
    <row r="1336" spans="1:18" x14ac:dyDescent="0.25">
      <c r="A1336" t="s">
        <v>3312</v>
      </c>
      <c r="B1336" t="s">
        <v>19</v>
      </c>
      <c r="C1336" t="s">
        <v>20</v>
      </c>
      <c r="D1336" t="s">
        <v>51</v>
      </c>
      <c r="E1336" t="s">
        <v>127</v>
      </c>
      <c r="F1336" t="s">
        <v>32</v>
      </c>
      <c r="G1336" t="s">
        <v>3313</v>
      </c>
      <c r="H1336" s="10">
        <v>516376</v>
      </c>
      <c r="I1336" s="10">
        <v>0</v>
      </c>
      <c r="J1336" s="10">
        <v>0</v>
      </c>
      <c r="L1336" t="s">
        <v>42</v>
      </c>
      <c r="M1336" t="s">
        <v>26</v>
      </c>
      <c r="N1336" t="s">
        <v>118</v>
      </c>
      <c r="O1336" s="2">
        <v>44835</v>
      </c>
      <c r="P1336" s="2">
        <v>46660</v>
      </c>
      <c r="Q1336">
        <v>0</v>
      </c>
      <c r="R1336" t="s">
        <v>3314</v>
      </c>
    </row>
    <row r="1337" spans="1:18" x14ac:dyDescent="0.25">
      <c r="A1337" t="s">
        <v>5103</v>
      </c>
      <c r="B1337" t="s">
        <v>49</v>
      </c>
      <c r="C1337" t="s">
        <v>50</v>
      </c>
      <c r="D1337" t="s">
        <v>21</v>
      </c>
      <c r="E1337" t="s">
        <v>549</v>
      </c>
      <c r="F1337" t="s">
        <v>109</v>
      </c>
      <c r="G1337" t="s">
        <v>3315</v>
      </c>
      <c r="H1337" s="10">
        <v>667966</v>
      </c>
      <c r="I1337" s="10">
        <v>0</v>
      </c>
      <c r="J1337" s="10">
        <v>0</v>
      </c>
      <c r="L1337" t="s">
        <v>42</v>
      </c>
      <c r="M1337" t="s">
        <v>26</v>
      </c>
      <c r="N1337" t="s">
        <v>3316</v>
      </c>
      <c r="O1337" s="2">
        <v>42186</v>
      </c>
      <c r="P1337" s="2">
        <v>44012</v>
      </c>
      <c r="Q1337">
        <v>3</v>
      </c>
      <c r="R1337" t="s">
        <v>3317</v>
      </c>
    </row>
    <row r="1338" spans="1:18" x14ac:dyDescent="0.25">
      <c r="A1338" t="s">
        <v>5439</v>
      </c>
      <c r="B1338" t="s">
        <v>49</v>
      </c>
      <c r="C1338" t="s">
        <v>50</v>
      </c>
      <c r="D1338" t="s">
        <v>51</v>
      </c>
      <c r="E1338" t="s">
        <v>70</v>
      </c>
      <c r="F1338" t="s">
        <v>109</v>
      </c>
      <c r="G1338" t="s">
        <v>3318</v>
      </c>
      <c r="H1338" s="10">
        <v>625770</v>
      </c>
      <c r="I1338" s="10">
        <v>0</v>
      </c>
      <c r="J1338" s="10">
        <v>0</v>
      </c>
      <c r="L1338" t="s">
        <v>42</v>
      </c>
      <c r="M1338" t="s">
        <v>85</v>
      </c>
      <c r="N1338" t="s">
        <v>3319</v>
      </c>
      <c r="O1338" s="2">
        <v>45200</v>
      </c>
      <c r="P1338" s="2">
        <v>47026</v>
      </c>
      <c r="Q1338">
        <v>0</v>
      </c>
      <c r="R1338" t="s">
        <v>3320</v>
      </c>
    </row>
    <row r="1339" spans="1:18" x14ac:dyDescent="0.25">
      <c r="A1339" t="s">
        <v>3321</v>
      </c>
      <c r="B1339" t="s">
        <v>114</v>
      </c>
      <c r="C1339" t="s">
        <v>20</v>
      </c>
      <c r="D1339" t="s">
        <v>51</v>
      </c>
      <c r="E1339" t="s">
        <v>116</v>
      </c>
      <c r="F1339" t="s">
        <v>23</v>
      </c>
      <c r="G1339" t="s">
        <v>3324</v>
      </c>
      <c r="H1339" s="10">
        <v>745876</v>
      </c>
      <c r="I1339" s="10">
        <v>0</v>
      </c>
      <c r="J1339" s="10">
        <v>0</v>
      </c>
      <c r="L1339" t="s">
        <v>42</v>
      </c>
      <c r="M1339" t="s">
        <v>26</v>
      </c>
      <c r="N1339" t="s">
        <v>135</v>
      </c>
      <c r="O1339" s="2">
        <v>43374</v>
      </c>
      <c r="P1339" s="2">
        <v>45199</v>
      </c>
      <c r="Q1339">
        <v>0</v>
      </c>
      <c r="R1339" t="s">
        <v>3325</v>
      </c>
    </row>
    <row r="1340" spans="1:18" x14ac:dyDescent="0.25">
      <c r="A1340" t="s">
        <v>3321</v>
      </c>
      <c r="B1340" t="s">
        <v>114</v>
      </c>
      <c r="C1340" t="s">
        <v>20</v>
      </c>
      <c r="D1340" t="s">
        <v>51</v>
      </c>
      <c r="E1340" t="s">
        <v>52</v>
      </c>
      <c r="F1340" t="s">
        <v>23</v>
      </c>
      <c r="G1340" t="s">
        <v>3322</v>
      </c>
      <c r="H1340" s="10">
        <v>898875</v>
      </c>
      <c r="I1340" s="10">
        <v>0</v>
      </c>
      <c r="J1340" s="10">
        <v>0</v>
      </c>
      <c r="L1340" t="s">
        <v>42</v>
      </c>
      <c r="M1340" t="s">
        <v>26</v>
      </c>
      <c r="N1340" t="s">
        <v>135</v>
      </c>
      <c r="O1340" s="2">
        <v>44287</v>
      </c>
      <c r="P1340" s="2">
        <v>46112</v>
      </c>
      <c r="Q1340">
        <v>0</v>
      </c>
      <c r="R1340" t="s">
        <v>3323</v>
      </c>
    </row>
    <row r="1341" spans="1:18" x14ac:dyDescent="0.25">
      <c r="A1341" t="s">
        <v>3321</v>
      </c>
      <c r="B1341" t="s">
        <v>114</v>
      </c>
      <c r="C1341" t="s">
        <v>20</v>
      </c>
      <c r="D1341" t="s">
        <v>51</v>
      </c>
      <c r="E1341" t="s">
        <v>211</v>
      </c>
      <c r="F1341" t="s">
        <v>23</v>
      </c>
      <c r="G1341" t="s">
        <v>3326</v>
      </c>
      <c r="H1341" s="10">
        <v>100000</v>
      </c>
      <c r="I1341" s="10">
        <v>0</v>
      </c>
      <c r="J1341" s="10">
        <v>0</v>
      </c>
      <c r="L1341" t="s">
        <v>34</v>
      </c>
      <c r="M1341" t="s">
        <v>26</v>
      </c>
      <c r="N1341" t="s">
        <v>72</v>
      </c>
      <c r="O1341" s="2">
        <v>45017</v>
      </c>
      <c r="P1341" s="2">
        <v>45382</v>
      </c>
      <c r="Q1341">
        <v>0</v>
      </c>
      <c r="R1341" t="s">
        <v>3327</v>
      </c>
    </row>
    <row r="1342" spans="1:18" x14ac:dyDescent="0.25">
      <c r="A1342" t="s">
        <v>3321</v>
      </c>
      <c r="B1342" t="s">
        <v>114</v>
      </c>
      <c r="C1342" t="s">
        <v>20</v>
      </c>
      <c r="D1342" t="s">
        <v>51</v>
      </c>
      <c r="E1342" t="s">
        <v>223</v>
      </c>
      <c r="F1342" t="s">
        <v>47</v>
      </c>
      <c r="G1342" t="s">
        <v>3328</v>
      </c>
      <c r="H1342" s="10">
        <v>1071000</v>
      </c>
      <c r="I1342" s="10">
        <v>0</v>
      </c>
      <c r="J1342" s="10">
        <v>0</v>
      </c>
      <c r="L1342" t="s">
        <v>42</v>
      </c>
      <c r="M1342" t="s">
        <v>26</v>
      </c>
      <c r="N1342" t="s">
        <v>293</v>
      </c>
      <c r="O1342" s="2">
        <v>45566</v>
      </c>
      <c r="P1342" s="2">
        <v>47391</v>
      </c>
      <c r="Q1342">
        <v>0</v>
      </c>
      <c r="R1342" t="s">
        <v>3327</v>
      </c>
    </row>
    <row r="1343" spans="1:18" x14ac:dyDescent="0.25">
      <c r="A1343" t="s">
        <v>5440</v>
      </c>
      <c r="B1343" t="s">
        <v>148</v>
      </c>
      <c r="C1343" t="s">
        <v>149</v>
      </c>
      <c r="D1343" t="s">
        <v>51</v>
      </c>
      <c r="E1343" t="s">
        <v>197</v>
      </c>
      <c r="F1343" t="s">
        <v>53</v>
      </c>
      <c r="G1343" t="s">
        <v>3329</v>
      </c>
      <c r="H1343" s="10">
        <v>608175</v>
      </c>
      <c r="I1343" s="10">
        <v>0</v>
      </c>
      <c r="J1343" s="10">
        <v>0</v>
      </c>
      <c r="L1343" t="s">
        <v>42</v>
      </c>
      <c r="M1343" t="s">
        <v>111</v>
      </c>
      <c r="N1343" t="s">
        <v>3330</v>
      </c>
      <c r="O1343" s="2">
        <v>44652</v>
      </c>
      <c r="P1343" s="2">
        <v>46477</v>
      </c>
      <c r="Q1343">
        <v>1</v>
      </c>
      <c r="R1343" t="s">
        <v>3331</v>
      </c>
    </row>
    <row r="1344" spans="1:18" x14ac:dyDescent="0.25">
      <c r="A1344" t="s">
        <v>3332</v>
      </c>
      <c r="B1344" t="s">
        <v>133</v>
      </c>
      <c r="C1344" t="s">
        <v>38</v>
      </c>
      <c r="D1344" t="s">
        <v>21</v>
      </c>
      <c r="E1344" t="s">
        <v>22</v>
      </c>
      <c r="F1344" t="s">
        <v>109</v>
      </c>
      <c r="G1344" t="s">
        <v>3338</v>
      </c>
      <c r="H1344" s="12">
        <v>670172</v>
      </c>
      <c r="I1344" s="12">
        <v>0</v>
      </c>
      <c r="J1344" s="10">
        <v>0</v>
      </c>
      <c r="L1344" t="s">
        <v>42</v>
      </c>
      <c r="M1344" t="s">
        <v>26</v>
      </c>
      <c r="N1344" t="s">
        <v>3339</v>
      </c>
      <c r="O1344" s="2">
        <v>41365</v>
      </c>
      <c r="P1344" s="2">
        <v>43190</v>
      </c>
      <c r="Q1344">
        <v>0</v>
      </c>
      <c r="R1344" t="s">
        <v>3340</v>
      </c>
    </row>
    <row r="1345" spans="1:18" x14ac:dyDescent="0.25">
      <c r="A1345" t="s">
        <v>5104</v>
      </c>
      <c r="B1345" t="s">
        <v>4494</v>
      </c>
      <c r="C1345" t="s">
        <v>38</v>
      </c>
      <c r="D1345" t="s">
        <v>21</v>
      </c>
      <c r="E1345" t="s">
        <v>172</v>
      </c>
      <c r="F1345" t="s">
        <v>109</v>
      </c>
      <c r="G1345" t="s">
        <v>3333</v>
      </c>
      <c r="H1345" s="10">
        <v>753239</v>
      </c>
      <c r="I1345" s="10">
        <v>0</v>
      </c>
      <c r="J1345" s="10">
        <v>0</v>
      </c>
      <c r="L1345" t="s">
        <v>42</v>
      </c>
      <c r="M1345" t="s">
        <v>26</v>
      </c>
      <c r="N1345" t="s">
        <v>3334</v>
      </c>
      <c r="O1345" s="2">
        <v>40452</v>
      </c>
      <c r="P1345" s="2">
        <v>42277</v>
      </c>
      <c r="Q1345">
        <v>0</v>
      </c>
      <c r="R1345" t="s">
        <v>3335</v>
      </c>
    </row>
    <row r="1346" spans="1:18" x14ac:dyDescent="0.25">
      <c r="A1346" t="s">
        <v>5104</v>
      </c>
      <c r="B1346" t="s">
        <v>4494</v>
      </c>
      <c r="C1346" t="s">
        <v>38</v>
      </c>
      <c r="D1346" t="s">
        <v>51</v>
      </c>
      <c r="E1346" t="s">
        <v>163</v>
      </c>
      <c r="F1346" t="s">
        <v>109</v>
      </c>
      <c r="G1346" t="s">
        <v>3336</v>
      </c>
      <c r="H1346" s="10">
        <v>634950</v>
      </c>
      <c r="I1346" s="10">
        <v>0</v>
      </c>
      <c r="J1346" s="10">
        <v>0</v>
      </c>
      <c r="L1346" t="s">
        <v>42</v>
      </c>
      <c r="M1346" t="s">
        <v>26</v>
      </c>
      <c r="N1346" t="s">
        <v>788</v>
      </c>
      <c r="O1346" s="2">
        <v>43556</v>
      </c>
      <c r="P1346" s="2">
        <v>45382</v>
      </c>
      <c r="Q1346">
        <v>0</v>
      </c>
      <c r="R1346" t="s">
        <v>3337</v>
      </c>
    </row>
    <row r="1347" spans="1:18" x14ac:dyDescent="0.25">
      <c r="A1347" t="s">
        <v>3341</v>
      </c>
      <c r="B1347" t="s">
        <v>5105</v>
      </c>
      <c r="C1347" t="s">
        <v>38</v>
      </c>
      <c r="D1347" t="s">
        <v>21</v>
      </c>
      <c r="E1347" t="s">
        <v>534</v>
      </c>
      <c r="F1347" t="s">
        <v>47</v>
      </c>
      <c r="G1347" t="s">
        <v>3342</v>
      </c>
      <c r="H1347" s="10">
        <v>345661</v>
      </c>
      <c r="I1347" s="10">
        <v>0</v>
      </c>
      <c r="J1347" s="10">
        <v>0</v>
      </c>
      <c r="L1347" t="s">
        <v>55</v>
      </c>
      <c r="M1347" t="s">
        <v>413</v>
      </c>
      <c r="N1347" t="s">
        <v>3343</v>
      </c>
      <c r="O1347" s="2">
        <v>40817</v>
      </c>
      <c r="P1347" s="2">
        <v>41912</v>
      </c>
      <c r="Q1347">
        <v>0</v>
      </c>
      <c r="R1347" t="s">
        <v>3344</v>
      </c>
    </row>
    <row r="1348" spans="1:18" x14ac:dyDescent="0.25">
      <c r="A1348" t="s">
        <v>3345</v>
      </c>
      <c r="B1348" t="s">
        <v>114</v>
      </c>
      <c r="C1348" t="s">
        <v>20</v>
      </c>
      <c r="D1348" t="s">
        <v>21</v>
      </c>
      <c r="E1348" t="s">
        <v>287</v>
      </c>
      <c r="F1348" t="s">
        <v>53</v>
      </c>
      <c r="G1348" t="s">
        <v>3349</v>
      </c>
      <c r="H1348" s="10">
        <v>379080</v>
      </c>
      <c r="I1348" s="10">
        <v>0</v>
      </c>
      <c r="J1348" s="10">
        <v>0</v>
      </c>
      <c r="L1348" t="s">
        <v>55</v>
      </c>
      <c r="M1348" t="s">
        <v>103</v>
      </c>
      <c r="N1348" t="s">
        <v>3350</v>
      </c>
      <c r="O1348" s="2">
        <v>40634</v>
      </c>
      <c r="P1348" s="2">
        <v>41729</v>
      </c>
      <c r="Q1348">
        <v>0</v>
      </c>
      <c r="R1348" t="s">
        <v>3351</v>
      </c>
    </row>
    <row r="1349" spans="1:18" x14ac:dyDescent="0.25">
      <c r="A1349" t="s">
        <v>3345</v>
      </c>
      <c r="B1349" t="s">
        <v>114</v>
      </c>
      <c r="C1349" t="s">
        <v>20</v>
      </c>
      <c r="D1349" t="s">
        <v>21</v>
      </c>
      <c r="E1349" t="s">
        <v>60</v>
      </c>
      <c r="F1349" t="s">
        <v>53</v>
      </c>
      <c r="G1349" t="s">
        <v>3349</v>
      </c>
      <c r="H1349" s="10">
        <v>482574</v>
      </c>
      <c r="I1349" s="10">
        <v>0</v>
      </c>
      <c r="J1349" s="10">
        <v>0</v>
      </c>
      <c r="L1349" t="s">
        <v>25</v>
      </c>
      <c r="M1349" t="s">
        <v>103</v>
      </c>
      <c r="N1349" t="s">
        <v>3350</v>
      </c>
      <c r="O1349" s="2">
        <v>41821</v>
      </c>
      <c r="P1349" s="2">
        <v>43281</v>
      </c>
      <c r="Q1349">
        <v>0</v>
      </c>
      <c r="R1349" t="s">
        <v>3351</v>
      </c>
    </row>
    <row r="1350" spans="1:18" x14ac:dyDescent="0.25">
      <c r="A1350" t="s">
        <v>3345</v>
      </c>
      <c r="B1350" t="s">
        <v>114</v>
      </c>
      <c r="C1350" t="s">
        <v>20</v>
      </c>
      <c r="D1350" t="s">
        <v>51</v>
      </c>
      <c r="E1350" t="s">
        <v>158</v>
      </c>
      <c r="F1350" t="s">
        <v>53</v>
      </c>
      <c r="G1350" t="s">
        <v>3346</v>
      </c>
      <c r="H1350" s="10">
        <v>852975</v>
      </c>
      <c r="I1350" s="10">
        <v>0</v>
      </c>
      <c r="J1350" s="10">
        <v>0</v>
      </c>
      <c r="L1350" t="s">
        <v>42</v>
      </c>
      <c r="M1350" t="s">
        <v>103</v>
      </c>
      <c r="N1350" t="s">
        <v>3347</v>
      </c>
      <c r="O1350" s="2">
        <v>43922</v>
      </c>
      <c r="P1350" s="2">
        <v>45747</v>
      </c>
      <c r="Q1350">
        <v>1</v>
      </c>
      <c r="R1350" t="s">
        <v>3348</v>
      </c>
    </row>
    <row r="1351" spans="1:18" x14ac:dyDescent="0.25">
      <c r="A1351" t="s">
        <v>4936</v>
      </c>
      <c r="B1351" t="s">
        <v>114</v>
      </c>
      <c r="C1351" t="s">
        <v>20</v>
      </c>
      <c r="D1351" t="s">
        <v>4557</v>
      </c>
      <c r="E1351" t="s">
        <v>4570</v>
      </c>
      <c r="F1351" t="s">
        <v>4559</v>
      </c>
      <c r="G1351" t="s">
        <v>4937</v>
      </c>
      <c r="H1351" s="10">
        <v>273483</v>
      </c>
      <c r="I1351" s="10">
        <v>0</v>
      </c>
      <c r="J1351" s="10">
        <v>0</v>
      </c>
      <c r="L1351" t="s">
        <v>55</v>
      </c>
      <c r="M1351" t="s">
        <v>103</v>
      </c>
      <c r="N1351" t="s">
        <v>5625</v>
      </c>
      <c r="O1351" s="2">
        <v>42826</v>
      </c>
      <c r="P1351" s="2">
        <v>43921</v>
      </c>
      <c r="Q1351">
        <v>3</v>
      </c>
      <c r="R1351" t="s">
        <v>5624</v>
      </c>
    </row>
    <row r="1352" spans="1:18" x14ac:dyDescent="0.25">
      <c r="A1352" t="s">
        <v>4938</v>
      </c>
      <c r="B1352" t="s">
        <v>114</v>
      </c>
      <c r="C1352" t="s">
        <v>20</v>
      </c>
      <c r="D1352" t="s">
        <v>4557</v>
      </c>
      <c r="E1352" t="s">
        <v>4570</v>
      </c>
      <c r="F1352" t="s">
        <v>4559</v>
      </c>
      <c r="G1352" t="s">
        <v>4939</v>
      </c>
      <c r="H1352" s="10">
        <v>260200</v>
      </c>
      <c r="I1352" s="10">
        <v>0</v>
      </c>
      <c r="J1352" s="10">
        <v>0</v>
      </c>
      <c r="L1352" t="s">
        <v>55</v>
      </c>
      <c r="M1352" t="s">
        <v>204</v>
      </c>
      <c r="N1352" t="s">
        <v>5607</v>
      </c>
      <c r="O1352" s="2">
        <v>42826</v>
      </c>
      <c r="P1352" s="2">
        <v>43921</v>
      </c>
      <c r="Q1352">
        <v>2</v>
      </c>
      <c r="R1352" t="s">
        <v>5606</v>
      </c>
    </row>
    <row r="1353" spans="1:18" x14ac:dyDescent="0.25">
      <c r="A1353" t="s">
        <v>3352</v>
      </c>
      <c r="B1353" t="s">
        <v>196</v>
      </c>
      <c r="C1353" t="s">
        <v>20</v>
      </c>
      <c r="D1353" t="s">
        <v>21</v>
      </c>
      <c r="E1353" t="s">
        <v>287</v>
      </c>
      <c r="F1353" t="s">
        <v>109</v>
      </c>
      <c r="G1353" t="s">
        <v>3353</v>
      </c>
      <c r="H1353" s="10">
        <v>367905</v>
      </c>
      <c r="I1353" s="10">
        <v>0</v>
      </c>
      <c r="J1353" s="10">
        <v>0</v>
      </c>
      <c r="L1353" t="s">
        <v>55</v>
      </c>
      <c r="M1353" t="s">
        <v>103</v>
      </c>
      <c r="N1353" t="s">
        <v>3354</v>
      </c>
      <c r="O1353" s="2">
        <v>40634</v>
      </c>
      <c r="P1353" s="2">
        <v>41729</v>
      </c>
      <c r="Q1353">
        <v>0</v>
      </c>
      <c r="R1353" t="s">
        <v>3355</v>
      </c>
    </row>
    <row r="1354" spans="1:18" x14ac:dyDescent="0.25">
      <c r="A1354" t="s">
        <v>3352</v>
      </c>
      <c r="B1354" t="s">
        <v>240</v>
      </c>
      <c r="C1354" t="s">
        <v>20</v>
      </c>
      <c r="D1354" t="s">
        <v>51</v>
      </c>
      <c r="E1354" t="s">
        <v>52</v>
      </c>
      <c r="F1354" t="s">
        <v>109</v>
      </c>
      <c r="G1354" t="s">
        <v>3359</v>
      </c>
      <c r="H1354" s="10">
        <v>627635</v>
      </c>
      <c r="I1354" s="10">
        <v>0</v>
      </c>
      <c r="J1354" s="10">
        <v>0</v>
      </c>
      <c r="L1354" t="s">
        <v>42</v>
      </c>
      <c r="M1354" t="s">
        <v>103</v>
      </c>
      <c r="N1354" t="s">
        <v>3360</v>
      </c>
      <c r="O1354" s="2">
        <v>44287</v>
      </c>
      <c r="P1354" s="2">
        <v>46112</v>
      </c>
      <c r="Q1354">
        <v>0</v>
      </c>
      <c r="R1354" t="s">
        <v>3361</v>
      </c>
    </row>
    <row r="1355" spans="1:18" x14ac:dyDescent="0.25">
      <c r="A1355" t="s">
        <v>5106</v>
      </c>
      <c r="B1355" t="s">
        <v>196</v>
      </c>
      <c r="C1355" t="s">
        <v>20</v>
      </c>
      <c r="D1355" t="s">
        <v>21</v>
      </c>
      <c r="E1355" t="s">
        <v>377</v>
      </c>
      <c r="F1355" t="s">
        <v>109</v>
      </c>
      <c r="G1355" t="s">
        <v>3356</v>
      </c>
      <c r="H1355" s="10">
        <v>500264</v>
      </c>
      <c r="I1355" s="10">
        <v>0</v>
      </c>
      <c r="J1355" s="10">
        <v>0</v>
      </c>
      <c r="L1355" t="s">
        <v>42</v>
      </c>
      <c r="M1355" t="s">
        <v>103</v>
      </c>
      <c r="N1355" t="s">
        <v>3357</v>
      </c>
      <c r="O1355" s="2">
        <v>41183</v>
      </c>
      <c r="P1355" s="2">
        <v>43008</v>
      </c>
      <c r="Q1355">
        <v>0</v>
      </c>
      <c r="R1355" t="s">
        <v>3358</v>
      </c>
    </row>
    <row r="1356" spans="1:18" x14ac:dyDescent="0.25">
      <c r="A1356" t="s">
        <v>3362</v>
      </c>
      <c r="B1356" t="s">
        <v>5063</v>
      </c>
      <c r="C1356" t="s">
        <v>38</v>
      </c>
      <c r="D1356" t="s">
        <v>51</v>
      </c>
      <c r="E1356" t="s">
        <v>127</v>
      </c>
      <c r="F1356" t="s">
        <v>47</v>
      </c>
      <c r="G1356" t="s">
        <v>3363</v>
      </c>
      <c r="H1356" s="10">
        <v>1109251</v>
      </c>
      <c r="I1356" s="10">
        <v>0</v>
      </c>
      <c r="J1356" s="10">
        <v>0</v>
      </c>
      <c r="L1356" t="s">
        <v>25</v>
      </c>
      <c r="M1356" t="s">
        <v>26</v>
      </c>
      <c r="N1356" t="s">
        <v>135</v>
      </c>
      <c r="O1356" s="2">
        <v>44835</v>
      </c>
      <c r="P1356" s="2">
        <v>46295</v>
      </c>
      <c r="Q1356">
        <v>2</v>
      </c>
      <c r="R1356" t="s">
        <v>3364</v>
      </c>
    </row>
    <row r="1357" spans="1:18" x14ac:dyDescent="0.25">
      <c r="A1357" t="s">
        <v>5107</v>
      </c>
      <c r="B1357" t="s">
        <v>133</v>
      </c>
      <c r="C1357" t="s">
        <v>38</v>
      </c>
      <c r="D1357" t="s">
        <v>21</v>
      </c>
      <c r="E1357" t="s">
        <v>172</v>
      </c>
      <c r="F1357" t="s">
        <v>47</v>
      </c>
      <c r="G1357" t="s">
        <v>6221</v>
      </c>
      <c r="H1357" s="12">
        <v>445569</v>
      </c>
      <c r="I1357" s="12">
        <v>0</v>
      </c>
      <c r="J1357" s="10">
        <v>0</v>
      </c>
      <c r="L1357" t="s">
        <v>55</v>
      </c>
      <c r="M1357" t="s">
        <v>26</v>
      </c>
      <c r="N1357" t="s">
        <v>6222</v>
      </c>
      <c r="O1357" s="2">
        <v>40452</v>
      </c>
      <c r="P1357" s="2">
        <v>41547</v>
      </c>
      <c r="Q1357">
        <v>1</v>
      </c>
      <c r="R1357" t="s">
        <v>6223</v>
      </c>
    </row>
    <row r="1358" spans="1:18" x14ac:dyDescent="0.25">
      <c r="A1358" t="s">
        <v>4940</v>
      </c>
      <c r="B1358" t="s">
        <v>1336</v>
      </c>
      <c r="C1358" t="s">
        <v>50</v>
      </c>
      <c r="D1358" t="s">
        <v>4557</v>
      </c>
      <c r="E1358" t="s">
        <v>4611</v>
      </c>
      <c r="F1358" t="s">
        <v>4559</v>
      </c>
      <c r="G1358" t="s">
        <v>4941</v>
      </c>
      <c r="H1358" s="10">
        <v>307750</v>
      </c>
      <c r="I1358" s="10">
        <v>0</v>
      </c>
      <c r="J1358" s="10">
        <v>0</v>
      </c>
      <c r="L1358" t="s">
        <v>55</v>
      </c>
      <c r="M1358" t="s">
        <v>111</v>
      </c>
      <c r="N1358" t="s">
        <v>5686</v>
      </c>
      <c r="O1358" s="2">
        <v>42461</v>
      </c>
      <c r="P1358" s="2">
        <v>43555</v>
      </c>
      <c r="Q1358">
        <v>5</v>
      </c>
      <c r="R1358" t="s">
        <v>5685</v>
      </c>
    </row>
    <row r="1359" spans="1:18" x14ac:dyDescent="0.25">
      <c r="A1359" t="s">
        <v>3365</v>
      </c>
      <c r="B1359" t="s">
        <v>4494</v>
      </c>
      <c r="C1359" t="s">
        <v>38</v>
      </c>
      <c r="D1359" t="s">
        <v>21</v>
      </c>
      <c r="E1359" t="s">
        <v>172</v>
      </c>
      <c r="F1359" t="s">
        <v>47</v>
      </c>
      <c r="G1359" t="s">
        <v>3366</v>
      </c>
      <c r="H1359" s="10">
        <v>657991</v>
      </c>
      <c r="I1359" s="10">
        <v>0</v>
      </c>
      <c r="J1359" s="10">
        <v>0</v>
      </c>
      <c r="L1359" t="s">
        <v>42</v>
      </c>
      <c r="M1359" t="s">
        <v>26</v>
      </c>
      <c r="N1359" t="s">
        <v>3367</v>
      </c>
      <c r="O1359" s="2">
        <v>40452</v>
      </c>
      <c r="P1359" s="2">
        <v>42277</v>
      </c>
      <c r="Q1359">
        <v>0</v>
      </c>
      <c r="R1359" t="s">
        <v>3368</v>
      </c>
    </row>
    <row r="1360" spans="1:18" x14ac:dyDescent="0.25">
      <c r="A1360" t="s">
        <v>3369</v>
      </c>
      <c r="B1360" t="s">
        <v>4496</v>
      </c>
      <c r="C1360" t="s">
        <v>38</v>
      </c>
      <c r="D1360" t="s">
        <v>51</v>
      </c>
      <c r="E1360" t="s">
        <v>197</v>
      </c>
      <c r="F1360" t="s">
        <v>23</v>
      </c>
      <c r="G1360" t="s">
        <v>3370</v>
      </c>
      <c r="H1360" s="10">
        <v>908438</v>
      </c>
      <c r="I1360" s="10">
        <v>0</v>
      </c>
      <c r="J1360" s="10">
        <v>0</v>
      </c>
      <c r="L1360" t="s">
        <v>42</v>
      </c>
      <c r="M1360" t="s">
        <v>26</v>
      </c>
      <c r="N1360" t="s">
        <v>1518</v>
      </c>
      <c r="O1360" s="2">
        <v>44652</v>
      </c>
      <c r="P1360" s="2">
        <v>46477</v>
      </c>
      <c r="Q1360">
        <v>0</v>
      </c>
      <c r="R1360" t="s">
        <v>3371</v>
      </c>
    </row>
    <row r="1361" spans="1:18" x14ac:dyDescent="0.25">
      <c r="A1361" t="s">
        <v>3372</v>
      </c>
      <c r="B1361" t="s">
        <v>1372</v>
      </c>
      <c r="C1361" t="s">
        <v>1373</v>
      </c>
      <c r="D1361" t="s">
        <v>1816</v>
      </c>
      <c r="E1361" t="s">
        <v>3373</v>
      </c>
      <c r="F1361" t="s">
        <v>47</v>
      </c>
      <c r="G1361" t="s">
        <v>3374</v>
      </c>
      <c r="H1361" s="10">
        <v>114190</v>
      </c>
      <c r="I1361" s="10">
        <v>0</v>
      </c>
      <c r="J1361" s="10">
        <v>0</v>
      </c>
      <c r="L1361" t="s">
        <v>444</v>
      </c>
      <c r="M1361" t="s">
        <v>26</v>
      </c>
      <c r="N1361" t="s">
        <v>3375</v>
      </c>
      <c r="O1361" s="2">
        <v>40603</v>
      </c>
      <c r="P1361" s="2">
        <v>40968</v>
      </c>
      <c r="Q1361">
        <v>0</v>
      </c>
      <c r="R1361" t="s">
        <v>3376</v>
      </c>
    </row>
    <row r="1362" spans="1:18" x14ac:dyDescent="0.25">
      <c r="A1362" t="s">
        <v>3377</v>
      </c>
      <c r="B1362" t="s">
        <v>196</v>
      </c>
      <c r="C1362" t="s">
        <v>20</v>
      </c>
      <c r="D1362" t="s">
        <v>21</v>
      </c>
      <c r="E1362" t="s">
        <v>534</v>
      </c>
      <c r="F1362" t="s">
        <v>32</v>
      </c>
      <c r="G1362" t="s">
        <v>3381</v>
      </c>
      <c r="H1362" s="10">
        <v>335472</v>
      </c>
      <c r="I1362" s="10">
        <v>0</v>
      </c>
      <c r="J1362" s="10">
        <v>0</v>
      </c>
      <c r="L1362" t="s">
        <v>55</v>
      </c>
      <c r="M1362" t="s">
        <v>26</v>
      </c>
      <c r="N1362" t="s">
        <v>3382</v>
      </c>
      <c r="O1362" s="2">
        <v>40817</v>
      </c>
      <c r="P1362" s="2">
        <v>41912</v>
      </c>
      <c r="Q1362">
        <v>0</v>
      </c>
      <c r="R1362" t="s">
        <v>3383</v>
      </c>
    </row>
    <row r="1363" spans="1:18" x14ac:dyDescent="0.25">
      <c r="A1363" t="s">
        <v>3377</v>
      </c>
      <c r="B1363" t="s">
        <v>196</v>
      </c>
      <c r="C1363" t="s">
        <v>20</v>
      </c>
      <c r="D1363" t="s">
        <v>21</v>
      </c>
      <c r="E1363" t="s">
        <v>549</v>
      </c>
      <c r="F1363" t="s">
        <v>32</v>
      </c>
      <c r="G1363" t="s">
        <v>3378</v>
      </c>
      <c r="H1363" s="10">
        <v>711895</v>
      </c>
      <c r="I1363" s="10">
        <v>0</v>
      </c>
      <c r="J1363" s="10">
        <v>0</v>
      </c>
      <c r="L1363" t="s">
        <v>42</v>
      </c>
      <c r="M1363" t="s">
        <v>26</v>
      </c>
      <c r="N1363" t="s">
        <v>3379</v>
      </c>
      <c r="O1363" s="2">
        <v>42186</v>
      </c>
      <c r="P1363" s="2">
        <v>44012</v>
      </c>
      <c r="Q1363">
        <v>0</v>
      </c>
      <c r="R1363" t="s">
        <v>3380</v>
      </c>
    </row>
    <row r="1364" spans="1:18" x14ac:dyDescent="0.25">
      <c r="A1364" t="s">
        <v>3377</v>
      </c>
      <c r="B1364" t="s">
        <v>196</v>
      </c>
      <c r="C1364" t="s">
        <v>20</v>
      </c>
      <c r="D1364" t="s">
        <v>395</v>
      </c>
      <c r="E1364" t="s">
        <v>429</v>
      </c>
      <c r="F1364" t="s">
        <v>32</v>
      </c>
      <c r="G1364" t="s">
        <v>3384</v>
      </c>
      <c r="H1364" s="10">
        <v>100000</v>
      </c>
      <c r="I1364" s="10">
        <v>0</v>
      </c>
      <c r="J1364" s="10">
        <v>0</v>
      </c>
      <c r="L1364" t="s">
        <v>34</v>
      </c>
      <c r="M1364" t="s">
        <v>26</v>
      </c>
      <c r="N1364" t="s">
        <v>3382</v>
      </c>
      <c r="O1364" s="2">
        <v>40269</v>
      </c>
      <c r="P1364" s="2">
        <v>40633</v>
      </c>
      <c r="Q1364">
        <v>0</v>
      </c>
      <c r="R1364" t="s">
        <v>3385</v>
      </c>
    </row>
    <row r="1365" spans="1:18" x14ac:dyDescent="0.25">
      <c r="A1365" t="s">
        <v>3377</v>
      </c>
      <c r="B1365" t="s">
        <v>196</v>
      </c>
      <c r="C1365" t="s">
        <v>20</v>
      </c>
      <c r="D1365" t="s">
        <v>51</v>
      </c>
      <c r="E1365" t="s">
        <v>158</v>
      </c>
      <c r="F1365" t="s">
        <v>128</v>
      </c>
      <c r="G1365" t="s">
        <v>3386</v>
      </c>
      <c r="H1365" s="12">
        <v>807075</v>
      </c>
      <c r="I1365" s="12">
        <v>0</v>
      </c>
      <c r="J1365" s="10">
        <v>0</v>
      </c>
      <c r="L1365" t="s">
        <v>42</v>
      </c>
      <c r="M1365" t="s">
        <v>26</v>
      </c>
      <c r="N1365" t="s">
        <v>1329</v>
      </c>
      <c r="O1365" s="2">
        <v>43922</v>
      </c>
      <c r="P1365" s="2">
        <v>45747</v>
      </c>
      <c r="Q1365">
        <v>0</v>
      </c>
      <c r="R1365" t="s">
        <v>3387</v>
      </c>
    </row>
    <row r="1366" spans="1:18" x14ac:dyDescent="0.25">
      <c r="A1366" t="s">
        <v>3388</v>
      </c>
      <c r="B1366" t="s">
        <v>19</v>
      </c>
      <c r="C1366" t="s">
        <v>20</v>
      </c>
      <c r="D1366" t="s">
        <v>21</v>
      </c>
      <c r="E1366" t="s">
        <v>22</v>
      </c>
      <c r="F1366" t="s">
        <v>23</v>
      </c>
      <c r="G1366" t="s">
        <v>3389</v>
      </c>
      <c r="H1366" s="10">
        <v>714400</v>
      </c>
      <c r="I1366" s="10">
        <v>0</v>
      </c>
      <c r="J1366" s="10">
        <v>0</v>
      </c>
      <c r="L1366" t="s">
        <v>42</v>
      </c>
      <c r="M1366" t="s">
        <v>26</v>
      </c>
      <c r="N1366" t="s">
        <v>1333</v>
      </c>
      <c r="O1366" s="2">
        <v>41365</v>
      </c>
      <c r="P1366" s="2">
        <v>43190</v>
      </c>
      <c r="Q1366">
        <v>1</v>
      </c>
      <c r="R1366" t="s">
        <v>3390</v>
      </c>
    </row>
    <row r="1367" spans="1:18" x14ac:dyDescent="0.25">
      <c r="A1367" t="s">
        <v>3388</v>
      </c>
      <c r="B1367" t="s">
        <v>19</v>
      </c>
      <c r="C1367" t="s">
        <v>20</v>
      </c>
      <c r="D1367" t="s">
        <v>21</v>
      </c>
      <c r="E1367" t="s">
        <v>60</v>
      </c>
      <c r="F1367" t="s">
        <v>32</v>
      </c>
      <c r="G1367" t="s">
        <v>3391</v>
      </c>
      <c r="H1367" s="10">
        <v>707495</v>
      </c>
      <c r="I1367" s="10">
        <v>0</v>
      </c>
      <c r="J1367" s="10">
        <v>0</v>
      </c>
      <c r="L1367" t="s">
        <v>42</v>
      </c>
      <c r="M1367" t="s">
        <v>26</v>
      </c>
      <c r="N1367" t="s">
        <v>1333</v>
      </c>
      <c r="O1367" s="2">
        <v>41821</v>
      </c>
      <c r="P1367" s="2">
        <v>42916</v>
      </c>
      <c r="Q1367">
        <v>0</v>
      </c>
      <c r="R1367" t="s">
        <v>3392</v>
      </c>
    </row>
    <row r="1368" spans="1:18" x14ac:dyDescent="0.25">
      <c r="A1368" t="s">
        <v>3388</v>
      </c>
      <c r="B1368" t="s">
        <v>19</v>
      </c>
      <c r="C1368" t="s">
        <v>20</v>
      </c>
      <c r="D1368" t="s">
        <v>3393</v>
      </c>
      <c r="E1368" t="s">
        <v>3394</v>
      </c>
      <c r="F1368" t="s">
        <v>47</v>
      </c>
      <c r="G1368" t="s">
        <v>3395</v>
      </c>
      <c r="H1368" s="10">
        <v>100000</v>
      </c>
      <c r="I1368" s="10">
        <v>0</v>
      </c>
      <c r="J1368" s="10">
        <v>0</v>
      </c>
      <c r="L1368" t="s">
        <v>34</v>
      </c>
      <c r="M1368" t="s">
        <v>143</v>
      </c>
      <c r="N1368" t="s">
        <v>304</v>
      </c>
      <c r="O1368" s="2">
        <v>45200</v>
      </c>
      <c r="P1368" s="2">
        <v>45565</v>
      </c>
      <c r="Q1368">
        <v>0</v>
      </c>
      <c r="R1368" t="s">
        <v>3396</v>
      </c>
    </row>
    <row r="1369" spans="1:18" x14ac:dyDescent="0.25">
      <c r="A1369" t="s">
        <v>3388</v>
      </c>
      <c r="B1369" t="s">
        <v>19</v>
      </c>
      <c r="C1369" t="s">
        <v>20</v>
      </c>
      <c r="D1369" t="s">
        <v>5165</v>
      </c>
      <c r="E1369" t="s">
        <v>5191</v>
      </c>
      <c r="F1369" t="s">
        <v>4554</v>
      </c>
      <c r="G1369" t="s">
        <v>5234</v>
      </c>
      <c r="H1369" s="10">
        <v>820000</v>
      </c>
      <c r="I1369" s="10">
        <v>0</v>
      </c>
      <c r="J1369" s="10">
        <v>0</v>
      </c>
      <c r="L1369" t="s">
        <v>42</v>
      </c>
      <c r="M1369" t="s">
        <v>26</v>
      </c>
      <c r="N1369" t="s">
        <v>62</v>
      </c>
      <c r="O1369" s="2">
        <v>41730</v>
      </c>
      <c r="P1369" s="2">
        <v>42916</v>
      </c>
      <c r="Q1369">
        <v>1</v>
      </c>
      <c r="R1369" t="s">
        <v>5656</v>
      </c>
    </row>
    <row r="1370" spans="1:18" x14ac:dyDescent="0.25">
      <c r="A1370" t="s">
        <v>3397</v>
      </c>
      <c r="B1370" t="s">
        <v>5063</v>
      </c>
      <c r="C1370" t="s">
        <v>38</v>
      </c>
      <c r="D1370" t="s">
        <v>21</v>
      </c>
      <c r="E1370" t="s">
        <v>194</v>
      </c>
      <c r="F1370" t="s">
        <v>109</v>
      </c>
      <c r="G1370" t="s">
        <v>3399</v>
      </c>
      <c r="H1370" s="11">
        <v>238386</v>
      </c>
      <c r="I1370" s="11">
        <v>0</v>
      </c>
      <c r="J1370" s="11">
        <v>0</v>
      </c>
      <c r="L1370" t="s">
        <v>55</v>
      </c>
      <c r="M1370" t="s">
        <v>85</v>
      </c>
      <c r="N1370" t="s">
        <v>3400</v>
      </c>
      <c r="O1370" s="2">
        <v>40087</v>
      </c>
      <c r="P1370" s="2">
        <v>41182</v>
      </c>
      <c r="Q1370">
        <v>0</v>
      </c>
      <c r="R1370" t="s">
        <v>3401</v>
      </c>
    </row>
    <row r="1371" spans="1:18" x14ac:dyDescent="0.25">
      <c r="A1371" t="s">
        <v>3397</v>
      </c>
      <c r="B1371" t="s">
        <v>5063</v>
      </c>
      <c r="C1371" t="s">
        <v>38</v>
      </c>
      <c r="D1371" t="s">
        <v>524</v>
      </c>
      <c r="E1371" t="s">
        <v>3398</v>
      </c>
      <c r="F1371" t="s">
        <v>109</v>
      </c>
      <c r="G1371" t="s">
        <v>3399</v>
      </c>
      <c r="H1371" s="10">
        <v>81155</v>
      </c>
      <c r="I1371" s="10">
        <v>0</v>
      </c>
      <c r="J1371" s="10">
        <v>0</v>
      </c>
      <c r="L1371" t="s">
        <v>34</v>
      </c>
      <c r="M1371" t="s">
        <v>85</v>
      </c>
      <c r="N1371" t="s">
        <v>3400</v>
      </c>
      <c r="O1371" s="2">
        <v>39814</v>
      </c>
      <c r="P1371" s="2">
        <v>40178</v>
      </c>
      <c r="Q1371">
        <v>0</v>
      </c>
      <c r="R1371" t="s">
        <v>3401</v>
      </c>
    </row>
    <row r="1372" spans="1:18" x14ac:dyDescent="0.25">
      <c r="A1372" t="s">
        <v>3402</v>
      </c>
      <c r="B1372" t="s">
        <v>474</v>
      </c>
      <c r="C1372" t="s">
        <v>20</v>
      </c>
      <c r="D1372" t="s">
        <v>51</v>
      </c>
      <c r="E1372" t="s">
        <v>259</v>
      </c>
      <c r="F1372" t="s">
        <v>128</v>
      </c>
      <c r="G1372" t="s">
        <v>3407</v>
      </c>
      <c r="H1372" s="10">
        <v>1071000</v>
      </c>
      <c r="I1372" s="10">
        <v>0</v>
      </c>
      <c r="J1372" s="10">
        <v>0</v>
      </c>
      <c r="L1372" t="s">
        <v>42</v>
      </c>
      <c r="M1372" t="s">
        <v>26</v>
      </c>
      <c r="N1372" t="s">
        <v>135</v>
      </c>
      <c r="O1372" s="2">
        <v>44105</v>
      </c>
      <c r="P1372" s="2">
        <v>45930</v>
      </c>
      <c r="Q1372">
        <v>0</v>
      </c>
      <c r="R1372" t="s">
        <v>3408</v>
      </c>
    </row>
    <row r="1373" spans="1:18" x14ac:dyDescent="0.25">
      <c r="A1373" t="s">
        <v>3402</v>
      </c>
      <c r="B1373" t="s">
        <v>474</v>
      </c>
      <c r="C1373" t="s">
        <v>20</v>
      </c>
      <c r="D1373" t="s">
        <v>51</v>
      </c>
      <c r="E1373" t="s">
        <v>211</v>
      </c>
      <c r="F1373" t="s">
        <v>23</v>
      </c>
      <c r="G1373" t="s">
        <v>3405</v>
      </c>
      <c r="H1373" s="10">
        <v>100000</v>
      </c>
      <c r="I1373" s="10">
        <v>0</v>
      </c>
      <c r="J1373" s="10">
        <v>0</v>
      </c>
      <c r="L1373" t="s">
        <v>34</v>
      </c>
      <c r="M1373" t="s">
        <v>26</v>
      </c>
      <c r="N1373" t="s">
        <v>304</v>
      </c>
      <c r="O1373" s="2">
        <v>45017</v>
      </c>
      <c r="P1373" s="2">
        <v>45382</v>
      </c>
      <c r="Q1373">
        <v>0</v>
      </c>
      <c r="R1373" t="s">
        <v>3406</v>
      </c>
    </row>
    <row r="1374" spans="1:18" x14ac:dyDescent="0.25">
      <c r="A1374" t="s">
        <v>3402</v>
      </c>
      <c r="B1374" t="s">
        <v>474</v>
      </c>
      <c r="C1374" t="s">
        <v>20</v>
      </c>
      <c r="D1374" t="s">
        <v>51</v>
      </c>
      <c r="E1374" t="s">
        <v>70</v>
      </c>
      <c r="F1374" t="s">
        <v>47</v>
      </c>
      <c r="G1374" t="s">
        <v>3403</v>
      </c>
      <c r="H1374" s="10">
        <v>1063350</v>
      </c>
      <c r="I1374" s="10">
        <v>0</v>
      </c>
      <c r="J1374" s="10">
        <v>0</v>
      </c>
      <c r="L1374" t="s">
        <v>42</v>
      </c>
      <c r="M1374" t="s">
        <v>26</v>
      </c>
      <c r="N1374" t="s">
        <v>304</v>
      </c>
      <c r="O1374" s="2">
        <v>45200</v>
      </c>
      <c r="P1374" s="2">
        <v>47026</v>
      </c>
      <c r="Q1374">
        <v>0</v>
      </c>
      <c r="R1374" t="s">
        <v>3404</v>
      </c>
    </row>
    <row r="1375" spans="1:18" x14ac:dyDescent="0.25">
      <c r="A1375" t="s">
        <v>3409</v>
      </c>
      <c r="B1375" t="s">
        <v>721</v>
      </c>
      <c r="C1375" t="s">
        <v>20</v>
      </c>
      <c r="D1375" t="s">
        <v>21</v>
      </c>
      <c r="E1375" t="s">
        <v>534</v>
      </c>
      <c r="F1375" t="s">
        <v>109</v>
      </c>
      <c r="G1375" t="s">
        <v>3410</v>
      </c>
      <c r="H1375" s="10">
        <v>369252</v>
      </c>
      <c r="I1375" s="10">
        <v>0</v>
      </c>
      <c r="J1375" s="10">
        <v>0</v>
      </c>
      <c r="L1375" t="s">
        <v>42</v>
      </c>
      <c r="M1375" t="s">
        <v>26</v>
      </c>
      <c r="N1375" t="s">
        <v>3411</v>
      </c>
      <c r="O1375" s="2">
        <v>40817</v>
      </c>
      <c r="P1375" s="2">
        <v>42643</v>
      </c>
      <c r="Q1375">
        <v>0</v>
      </c>
      <c r="R1375" t="s">
        <v>3412</v>
      </c>
    </row>
    <row r="1376" spans="1:18" x14ac:dyDescent="0.25">
      <c r="A1376" t="s">
        <v>3409</v>
      </c>
      <c r="B1376" t="s">
        <v>721</v>
      </c>
      <c r="C1376" t="s">
        <v>20</v>
      </c>
      <c r="D1376" t="s">
        <v>395</v>
      </c>
      <c r="E1376" t="s">
        <v>2253</v>
      </c>
      <c r="F1376" t="s">
        <v>109</v>
      </c>
      <c r="G1376" t="s">
        <v>3410</v>
      </c>
      <c r="H1376" s="10">
        <v>60388</v>
      </c>
      <c r="I1376" s="10">
        <v>0</v>
      </c>
      <c r="J1376" s="10">
        <v>0</v>
      </c>
      <c r="L1376" t="s">
        <v>34</v>
      </c>
      <c r="M1376" t="s">
        <v>26</v>
      </c>
      <c r="N1376" t="s">
        <v>3411</v>
      </c>
      <c r="O1376" s="2">
        <v>40603</v>
      </c>
      <c r="P1376" s="2">
        <v>40968</v>
      </c>
      <c r="Q1376">
        <v>0</v>
      </c>
      <c r="R1376" t="s">
        <v>3412</v>
      </c>
    </row>
    <row r="1377" spans="1:18" x14ac:dyDescent="0.25">
      <c r="A1377" t="s">
        <v>4942</v>
      </c>
      <c r="B1377" t="s">
        <v>721</v>
      </c>
      <c r="C1377" t="s">
        <v>20</v>
      </c>
      <c r="D1377" t="s">
        <v>4557</v>
      </c>
      <c r="E1377" t="s">
        <v>4570</v>
      </c>
      <c r="F1377" t="s">
        <v>4559</v>
      </c>
      <c r="G1377" t="s">
        <v>4943</v>
      </c>
      <c r="H1377" s="10">
        <v>157870</v>
      </c>
      <c r="I1377" s="10">
        <v>0</v>
      </c>
      <c r="J1377" s="10">
        <v>0</v>
      </c>
      <c r="L1377" t="s">
        <v>55</v>
      </c>
      <c r="M1377" t="s">
        <v>26</v>
      </c>
      <c r="N1377" t="s">
        <v>3411</v>
      </c>
      <c r="O1377" s="2">
        <v>42826</v>
      </c>
      <c r="P1377" s="2">
        <v>43921</v>
      </c>
      <c r="Q1377">
        <v>0</v>
      </c>
      <c r="R1377" t="s">
        <v>6002</v>
      </c>
    </row>
    <row r="1378" spans="1:18" x14ac:dyDescent="0.25">
      <c r="A1378" t="s">
        <v>3413</v>
      </c>
      <c r="B1378" t="s">
        <v>49</v>
      </c>
      <c r="C1378" t="s">
        <v>50</v>
      </c>
      <c r="D1378" t="s">
        <v>21</v>
      </c>
      <c r="E1378" t="s">
        <v>751</v>
      </c>
      <c r="F1378" t="s">
        <v>47</v>
      </c>
      <c r="G1378" t="s">
        <v>3414</v>
      </c>
      <c r="H1378" s="11">
        <v>100000</v>
      </c>
      <c r="I1378" s="11">
        <v>0</v>
      </c>
      <c r="J1378" s="11">
        <v>0</v>
      </c>
      <c r="L1378" t="s">
        <v>34</v>
      </c>
      <c r="M1378" t="s">
        <v>26</v>
      </c>
      <c r="N1378" t="s">
        <v>3415</v>
      </c>
      <c r="O1378" s="2">
        <v>39873</v>
      </c>
      <c r="P1378" s="2">
        <v>40086</v>
      </c>
      <c r="Q1378">
        <v>0</v>
      </c>
      <c r="R1378" t="s">
        <v>3416</v>
      </c>
    </row>
    <row r="1379" spans="1:18" x14ac:dyDescent="0.25">
      <c r="A1379" t="s">
        <v>3413</v>
      </c>
      <c r="B1379" t="s">
        <v>49</v>
      </c>
      <c r="C1379" t="s">
        <v>50</v>
      </c>
      <c r="D1379" t="s">
        <v>21</v>
      </c>
      <c r="E1379" t="s">
        <v>194</v>
      </c>
      <c r="F1379" t="s">
        <v>47</v>
      </c>
      <c r="G1379" t="s">
        <v>3414</v>
      </c>
      <c r="H1379" s="11">
        <v>972275</v>
      </c>
      <c r="I1379" s="11">
        <v>0</v>
      </c>
      <c r="J1379" s="11">
        <v>0</v>
      </c>
      <c r="L1379" t="s">
        <v>42</v>
      </c>
      <c r="M1379" t="s">
        <v>26</v>
      </c>
      <c r="N1379" t="s">
        <v>3415</v>
      </c>
      <c r="O1379" s="2">
        <v>40087</v>
      </c>
      <c r="P1379" s="2">
        <v>41912</v>
      </c>
      <c r="Q1379">
        <v>0</v>
      </c>
      <c r="R1379" t="s">
        <v>3416</v>
      </c>
    </row>
    <row r="1380" spans="1:18" x14ac:dyDescent="0.25">
      <c r="A1380" t="s">
        <v>4944</v>
      </c>
      <c r="B1380" t="s">
        <v>196</v>
      </c>
      <c r="C1380" t="s">
        <v>20</v>
      </c>
      <c r="D1380" t="s">
        <v>4557</v>
      </c>
      <c r="E1380" t="s">
        <v>4611</v>
      </c>
      <c r="F1380" t="s">
        <v>4559</v>
      </c>
      <c r="G1380" t="s">
        <v>4945</v>
      </c>
      <c r="H1380" s="10">
        <v>164423</v>
      </c>
      <c r="I1380" s="10">
        <v>0</v>
      </c>
      <c r="J1380" s="10">
        <v>0</v>
      </c>
      <c r="L1380" t="s">
        <v>55</v>
      </c>
      <c r="M1380" t="s">
        <v>831</v>
      </c>
      <c r="N1380" t="s">
        <v>5576</v>
      </c>
      <c r="O1380" s="2">
        <v>42461</v>
      </c>
      <c r="P1380" s="2">
        <v>43555</v>
      </c>
      <c r="Q1380">
        <v>0</v>
      </c>
      <c r="R1380" t="s">
        <v>5575</v>
      </c>
    </row>
    <row r="1381" spans="1:18" x14ac:dyDescent="0.25">
      <c r="A1381" t="s">
        <v>3417</v>
      </c>
      <c r="B1381" t="s">
        <v>2331</v>
      </c>
      <c r="C1381" t="s">
        <v>20</v>
      </c>
      <c r="D1381" t="s">
        <v>21</v>
      </c>
      <c r="E1381" t="s">
        <v>377</v>
      </c>
      <c r="F1381" t="s">
        <v>53</v>
      </c>
      <c r="G1381" t="s">
        <v>3418</v>
      </c>
      <c r="H1381" s="10">
        <v>822276</v>
      </c>
      <c r="I1381" s="10">
        <v>0</v>
      </c>
      <c r="J1381" s="10">
        <v>0</v>
      </c>
      <c r="L1381" t="s">
        <v>42</v>
      </c>
      <c r="M1381" t="s">
        <v>103</v>
      </c>
      <c r="N1381" t="s">
        <v>3419</v>
      </c>
      <c r="O1381" s="2">
        <v>41183</v>
      </c>
      <c r="P1381" s="2">
        <v>43008</v>
      </c>
      <c r="Q1381">
        <v>9</v>
      </c>
      <c r="R1381" t="s">
        <v>3420</v>
      </c>
    </row>
    <row r="1382" spans="1:18" x14ac:dyDescent="0.25">
      <c r="A1382" t="s">
        <v>3421</v>
      </c>
      <c r="B1382" t="s">
        <v>157</v>
      </c>
      <c r="C1382" t="s">
        <v>38</v>
      </c>
      <c r="D1382" t="s">
        <v>21</v>
      </c>
      <c r="E1382" t="s">
        <v>377</v>
      </c>
      <c r="F1382" t="s">
        <v>23</v>
      </c>
      <c r="G1382" t="s">
        <v>3422</v>
      </c>
      <c r="H1382" s="10">
        <v>331788</v>
      </c>
      <c r="I1382" s="10">
        <v>0</v>
      </c>
      <c r="J1382" s="10">
        <v>0</v>
      </c>
      <c r="L1382" t="s">
        <v>55</v>
      </c>
      <c r="M1382" t="s">
        <v>26</v>
      </c>
      <c r="N1382" t="s">
        <v>3423</v>
      </c>
      <c r="O1382" s="2">
        <v>41183</v>
      </c>
      <c r="P1382" s="2">
        <v>42277</v>
      </c>
      <c r="Q1382">
        <v>1</v>
      </c>
      <c r="R1382" t="s">
        <v>3424</v>
      </c>
    </row>
    <row r="1383" spans="1:18" x14ac:dyDescent="0.25">
      <c r="A1383" t="s">
        <v>5271</v>
      </c>
      <c r="B1383" t="s">
        <v>4493</v>
      </c>
      <c r="C1383" t="s">
        <v>38</v>
      </c>
      <c r="D1383" t="s">
        <v>5248</v>
      </c>
      <c r="E1383" t="s">
        <v>5249</v>
      </c>
      <c r="F1383" t="s">
        <v>4554</v>
      </c>
      <c r="G1383" t="s">
        <v>5272</v>
      </c>
      <c r="H1383" s="10">
        <v>1454272</v>
      </c>
      <c r="I1383" s="10">
        <v>0</v>
      </c>
      <c r="J1383" s="10">
        <v>0</v>
      </c>
      <c r="L1383" t="s">
        <v>55</v>
      </c>
      <c r="M1383" t="s">
        <v>103</v>
      </c>
      <c r="N1383" t="s">
        <v>5821</v>
      </c>
      <c r="O1383" s="2">
        <v>40452</v>
      </c>
      <c r="P1383" s="2">
        <v>41547</v>
      </c>
      <c r="Q1383">
        <v>0</v>
      </c>
      <c r="R1383" t="s">
        <v>5820</v>
      </c>
    </row>
    <row r="1384" spans="1:18" x14ac:dyDescent="0.25">
      <c r="A1384" t="s">
        <v>3425</v>
      </c>
      <c r="B1384" t="s">
        <v>114</v>
      </c>
      <c r="C1384" t="s">
        <v>20</v>
      </c>
      <c r="D1384" t="s">
        <v>21</v>
      </c>
      <c r="E1384" t="s">
        <v>534</v>
      </c>
      <c r="F1384" t="s">
        <v>53</v>
      </c>
      <c r="G1384" t="s">
        <v>3426</v>
      </c>
      <c r="H1384" s="10">
        <v>346262</v>
      </c>
      <c r="I1384" s="10">
        <v>0</v>
      </c>
      <c r="J1384" s="10">
        <v>0</v>
      </c>
      <c r="L1384" t="s">
        <v>55</v>
      </c>
      <c r="M1384" t="s">
        <v>85</v>
      </c>
      <c r="N1384" t="s">
        <v>3427</v>
      </c>
      <c r="O1384" s="2">
        <v>40817</v>
      </c>
      <c r="P1384" s="2">
        <v>41912</v>
      </c>
      <c r="Q1384">
        <v>1</v>
      </c>
      <c r="R1384" t="s">
        <v>3428</v>
      </c>
    </row>
    <row r="1385" spans="1:18" x14ac:dyDescent="0.25">
      <c r="A1385" t="s">
        <v>3425</v>
      </c>
      <c r="B1385" t="s">
        <v>114</v>
      </c>
      <c r="C1385" t="s">
        <v>20</v>
      </c>
      <c r="D1385" t="s">
        <v>21</v>
      </c>
      <c r="E1385" t="s">
        <v>549</v>
      </c>
      <c r="F1385" t="s">
        <v>53</v>
      </c>
      <c r="G1385" t="s">
        <v>3429</v>
      </c>
      <c r="H1385" s="10">
        <v>619244</v>
      </c>
      <c r="I1385" s="10">
        <v>0</v>
      </c>
      <c r="J1385" s="10">
        <v>0</v>
      </c>
      <c r="L1385" t="s">
        <v>42</v>
      </c>
      <c r="M1385" t="s">
        <v>103</v>
      </c>
      <c r="N1385" t="s">
        <v>3430</v>
      </c>
      <c r="O1385" s="2">
        <v>42186</v>
      </c>
      <c r="P1385" s="2">
        <v>42916</v>
      </c>
      <c r="Q1385">
        <v>0</v>
      </c>
      <c r="R1385" t="s">
        <v>3431</v>
      </c>
    </row>
    <row r="1386" spans="1:18" x14ac:dyDescent="0.25">
      <c r="A1386" t="s">
        <v>4946</v>
      </c>
      <c r="B1386" t="s">
        <v>114</v>
      </c>
      <c r="C1386" t="s">
        <v>20</v>
      </c>
      <c r="D1386" t="s">
        <v>4557</v>
      </c>
      <c r="E1386" t="s">
        <v>4611</v>
      </c>
      <c r="F1386" t="s">
        <v>4559</v>
      </c>
      <c r="G1386" t="s">
        <v>4947</v>
      </c>
      <c r="H1386" s="10">
        <v>235413</v>
      </c>
      <c r="I1386" s="10">
        <v>0</v>
      </c>
      <c r="J1386" s="10">
        <v>0</v>
      </c>
      <c r="L1386" t="s">
        <v>55</v>
      </c>
      <c r="M1386" t="s">
        <v>94</v>
      </c>
      <c r="N1386" t="s">
        <v>5919</v>
      </c>
      <c r="O1386" s="2">
        <v>42461</v>
      </c>
      <c r="P1386" s="2">
        <v>43555</v>
      </c>
      <c r="Q1386">
        <v>0</v>
      </c>
      <c r="R1386" t="s">
        <v>5918</v>
      </c>
    </row>
    <row r="1387" spans="1:18" x14ac:dyDescent="0.25">
      <c r="A1387" t="s">
        <v>5494</v>
      </c>
      <c r="B1387" t="s">
        <v>4496</v>
      </c>
      <c r="C1387" t="s">
        <v>38</v>
      </c>
      <c r="D1387" t="s">
        <v>1027</v>
      </c>
      <c r="E1387" t="s">
        <v>1028</v>
      </c>
      <c r="F1387" t="s">
        <v>1029</v>
      </c>
      <c r="G1387" t="s">
        <v>3432</v>
      </c>
      <c r="H1387" s="10">
        <v>98222</v>
      </c>
      <c r="I1387" s="10">
        <v>0</v>
      </c>
      <c r="J1387" s="10">
        <v>0</v>
      </c>
      <c r="L1387" t="s">
        <v>34</v>
      </c>
      <c r="M1387" t="s">
        <v>94</v>
      </c>
      <c r="N1387" t="s">
        <v>3433</v>
      </c>
      <c r="O1387" s="2">
        <v>40087</v>
      </c>
      <c r="P1387" s="2">
        <v>40451</v>
      </c>
      <c r="Q1387">
        <v>1</v>
      </c>
      <c r="R1387" t="s">
        <v>3434</v>
      </c>
    </row>
    <row r="1388" spans="1:18" x14ac:dyDescent="0.25">
      <c r="A1388" t="s">
        <v>3435</v>
      </c>
      <c r="B1388" t="s">
        <v>98</v>
      </c>
      <c r="C1388" t="s">
        <v>20</v>
      </c>
      <c r="D1388" t="s">
        <v>51</v>
      </c>
      <c r="E1388" t="s">
        <v>158</v>
      </c>
      <c r="F1388" t="s">
        <v>53</v>
      </c>
      <c r="G1388" t="s">
        <v>3436</v>
      </c>
      <c r="H1388" s="10">
        <v>761176</v>
      </c>
      <c r="I1388" s="10">
        <v>0</v>
      </c>
      <c r="J1388" s="10">
        <v>0</v>
      </c>
      <c r="L1388" t="s">
        <v>25</v>
      </c>
      <c r="M1388" t="s">
        <v>831</v>
      </c>
      <c r="N1388" t="s">
        <v>3437</v>
      </c>
      <c r="O1388" s="2">
        <v>43922</v>
      </c>
      <c r="P1388" s="2">
        <v>45382</v>
      </c>
      <c r="Q1388">
        <v>0</v>
      </c>
      <c r="R1388" t="s">
        <v>3438</v>
      </c>
    </row>
    <row r="1389" spans="1:18" x14ac:dyDescent="0.25">
      <c r="A1389" t="s">
        <v>4469</v>
      </c>
      <c r="B1389" t="s">
        <v>1676</v>
      </c>
      <c r="C1389" t="s">
        <v>20</v>
      </c>
      <c r="D1389" t="s">
        <v>4454</v>
      </c>
      <c r="E1389" t="s">
        <v>4461</v>
      </c>
      <c r="F1389" t="s">
        <v>4456</v>
      </c>
      <c r="G1389" t="s">
        <v>4470</v>
      </c>
      <c r="H1389" s="10">
        <v>38042</v>
      </c>
      <c r="I1389" s="10">
        <v>1861</v>
      </c>
      <c r="J1389" s="10">
        <v>0</v>
      </c>
      <c r="L1389" t="s">
        <v>34</v>
      </c>
      <c r="M1389" t="s">
        <v>238</v>
      </c>
      <c r="N1389" t="s">
        <v>5618</v>
      </c>
      <c r="O1389" s="2">
        <v>41699</v>
      </c>
      <c r="P1389" s="2">
        <v>42063</v>
      </c>
      <c r="Q1389">
        <v>0</v>
      </c>
      <c r="R1389" t="s">
        <v>5617</v>
      </c>
    </row>
    <row r="1390" spans="1:18" x14ac:dyDescent="0.25">
      <c r="A1390" t="s">
        <v>4471</v>
      </c>
      <c r="B1390" t="s">
        <v>19</v>
      </c>
      <c r="C1390" t="s">
        <v>20</v>
      </c>
      <c r="D1390" t="s">
        <v>4454</v>
      </c>
      <c r="E1390" t="s">
        <v>4461</v>
      </c>
      <c r="F1390" t="s">
        <v>4456</v>
      </c>
      <c r="G1390" t="s">
        <v>4472</v>
      </c>
      <c r="H1390" s="10">
        <v>0</v>
      </c>
      <c r="I1390" s="10">
        <v>0</v>
      </c>
      <c r="J1390" s="10">
        <v>91916</v>
      </c>
      <c r="K1390" t="s">
        <v>5745</v>
      </c>
      <c r="L1390" t="s">
        <v>34</v>
      </c>
      <c r="M1390" t="s">
        <v>238</v>
      </c>
      <c r="N1390" t="s">
        <v>5509</v>
      </c>
      <c r="O1390" s="2">
        <v>41699</v>
      </c>
      <c r="P1390" s="2">
        <v>42063</v>
      </c>
      <c r="Q1390">
        <v>0</v>
      </c>
      <c r="R1390" t="s">
        <v>5786</v>
      </c>
    </row>
    <row r="1391" spans="1:18" x14ac:dyDescent="0.25">
      <c r="A1391" t="s">
        <v>3439</v>
      </c>
      <c r="B1391" t="s">
        <v>157</v>
      </c>
      <c r="C1391" t="s">
        <v>38</v>
      </c>
      <c r="D1391" t="s">
        <v>21</v>
      </c>
      <c r="E1391" t="s">
        <v>323</v>
      </c>
      <c r="F1391" t="s">
        <v>109</v>
      </c>
      <c r="G1391" t="s">
        <v>3440</v>
      </c>
      <c r="H1391" s="10">
        <v>300000</v>
      </c>
      <c r="I1391" s="10">
        <v>0</v>
      </c>
      <c r="J1391" s="10">
        <v>0</v>
      </c>
      <c r="L1391" t="s">
        <v>42</v>
      </c>
      <c r="M1391" t="s">
        <v>26</v>
      </c>
      <c r="N1391" t="s">
        <v>3441</v>
      </c>
      <c r="O1391" s="2">
        <v>40269</v>
      </c>
      <c r="P1391" s="2">
        <v>42094</v>
      </c>
      <c r="Q1391">
        <v>2</v>
      </c>
      <c r="R1391" t="s">
        <v>3442</v>
      </c>
    </row>
    <row r="1392" spans="1:18" x14ac:dyDescent="0.25">
      <c r="A1392" t="s">
        <v>5441</v>
      </c>
      <c r="B1392" t="s">
        <v>19</v>
      </c>
      <c r="C1392" t="s">
        <v>20</v>
      </c>
      <c r="D1392" t="s">
        <v>51</v>
      </c>
      <c r="E1392" t="s">
        <v>127</v>
      </c>
      <c r="F1392" t="s">
        <v>109</v>
      </c>
      <c r="G1392" t="s">
        <v>3443</v>
      </c>
      <c r="H1392" s="10">
        <v>1369352</v>
      </c>
      <c r="I1392" s="10">
        <v>0</v>
      </c>
      <c r="J1392" s="10">
        <v>0</v>
      </c>
      <c r="L1392" t="s">
        <v>25</v>
      </c>
      <c r="M1392" t="s">
        <v>26</v>
      </c>
      <c r="N1392" t="s">
        <v>961</v>
      </c>
      <c r="O1392" s="2">
        <v>44835</v>
      </c>
      <c r="P1392" s="2">
        <v>46295</v>
      </c>
      <c r="Q1392">
        <v>0</v>
      </c>
      <c r="R1392" t="s">
        <v>3444</v>
      </c>
    </row>
    <row r="1393" spans="1:18" x14ac:dyDescent="0.25">
      <c r="A1393" t="s">
        <v>5307</v>
      </c>
      <c r="B1393" t="s">
        <v>59</v>
      </c>
      <c r="C1393" t="s">
        <v>38</v>
      </c>
      <c r="D1393" t="s">
        <v>5280</v>
      </c>
      <c r="E1393" t="s">
        <v>5288</v>
      </c>
      <c r="F1393" t="s">
        <v>4554</v>
      </c>
      <c r="G1393" t="s">
        <v>6224</v>
      </c>
      <c r="H1393" s="12">
        <v>42500</v>
      </c>
      <c r="I1393" s="12">
        <v>0</v>
      </c>
      <c r="J1393" s="10">
        <v>0</v>
      </c>
      <c r="L1393" t="s">
        <v>84</v>
      </c>
      <c r="M1393" t="s">
        <v>103</v>
      </c>
      <c r="N1393" t="s">
        <v>6225</v>
      </c>
      <c r="O1393" s="2">
        <v>40269</v>
      </c>
      <c r="P1393" s="2">
        <v>40999</v>
      </c>
      <c r="Q1393">
        <v>0</v>
      </c>
      <c r="R1393" t="s">
        <v>6226</v>
      </c>
    </row>
    <row r="1394" spans="1:18" x14ac:dyDescent="0.25">
      <c r="A1394" t="s">
        <v>3445</v>
      </c>
      <c r="B1394" t="s">
        <v>49</v>
      </c>
      <c r="C1394" t="s">
        <v>50</v>
      </c>
      <c r="D1394" t="s">
        <v>51</v>
      </c>
      <c r="E1394" t="s">
        <v>70</v>
      </c>
      <c r="F1394" t="s">
        <v>53</v>
      </c>
      <c r="G1394" t="s">
        <v>3446</v>
      </c>
      <c r="H1394" s="10">
        <v>669376</v>
      </c>
      <c r="I1394" s="10">
        <v>0</v>
      </c>
      <c r="J1394" s="10">
        <v>0</v>
      </c>
      <c r="L1394" t="s">
        <v>25</v>
      </c>
      <c r="M1394" t="s">
        <v>103</v>
      </c>
      <c r="N1394" t="s">
        <v>3447</v>
      </c>
      <c r="O1394" s="2">
        <v>45200</v>
      </c>
      <c r="P1394" s="2">
        <v>46660</v>
      </c>
      <c r="Q1394">
        <v>0</v>
      </c>
      <c r="R1394" t="s">
        <v>3448</v>
      </c>
    </row>
    <row r="1395" spans="1:18" x14ac:dyDescent="0.25">
      <c r="A1395" t="s">
        <v>5442</v>
      </c>
      <c r="B1395" t="s">
        <v>148</v>
      </c>
      <c r="C1395" t="s">
        <v>149</v>
      </c>
      <c r="D1395" t="s">
        <v>51</v>
      </c>
      <c r="E1395" t="s">
        <v>70</v>
      </c>
      <c r="F1395" t="s">
        <v>32</v>
      </c>
      <c r="G1395" t="s">
        <v>3449</v>
      </c>
      <c r="H1395" s="10">
        <v>2796075</v>
      </c>
      <c r="I1395" s="10">
        <v>0</v>
      </c>
      <c r="J1395" s="10">
        <v>0</v>
      </c>
      <c r="L1395" t="s">
        <v>25</v>
      </c>
      <c r="M1395" t="s">
        <v>26</v>
      </c>
      <c r="N1395" t="s">
        <v>135</v>
      </c>
      <c r="O1395" s="2">
        <v>45200</v>
      </c>
      <c r="P1395" s="2">
        <v>46660</v>
      </c>
      <c r="Q1395">
        <v>0</v>
      </c>
      <c r="R1395" t="s">
        <v>3450</v>
      </c>
    </row>
    <row r="1396" spans="1:18" x14ac:dyDescent="0.25">
      <c r="A1396" t="s">
        <v>3451</v>
      </c>
      <c r="B1396" t="s">
        <v>4492</v>
      </c>
      <c r="C1396" t="s">
        <v>38</v>
      </c>
      <c r="D1396" t="s">
        <v>529</v>
      </c>
      <c r="E1396" t="s">
        <v>3452</v>
      </c>
      <c r="F1396" t="s">
        <v>32</v>
      </c>
      <c r="G1396" t="s">
        <v>3453</v>
      </c>
      <c r="H1396" s="10">
        <v>100000</v>
      </c>
      <c r="I1396" s="10">
        <v>0</v>
      </c>
      <c r="J1396" s="10">
        <v>0</v>
      </c>
      <c r="L1396" t="s">
        <v>34</v>
      </c>
      <c r="M1396" t="s">
        <v>26</v>
      </c>
      <c r="N1396" t="s">
        <v>3454</v>
      </c>
      <c r="O1396" s="2">
        <v>41548</v>
      </c>
      <c r="P1396" s="2">
        <v>41912</v>
      </c>
      <c r="Q1396">
        <v>0</v>
      </c>
      <c r="R1396" t="s">
        <v>3455</v>
      </c>
    </row>
    <row r="1397" spans="1:18" x14ac:dyDescent="0.25">
      <c r="A1397" t="s">
        <v>5108</v>
      </c>
      <c r="B1397" t="s">
        <v>49</v>
      </c>
      <c r="C1397" t="s">
        <v>50</v>
      </c>
      <c r="D1397" t="s">
        <v>21</v>
      </c>
      <c r="E1397" t="s">
        <v>534</v>
      </c>
      <c r="F1397" t="s">
        <v>23</v>
      </c>
      <c r="G1397" t="s">
        <v>3456</v>
      </c>
      <c r="H1397" s="10">
        <v>563330</v>
      </c>
      <c r="I1397" s="10">
        <v>0</v>
      </c>
      <c r="J1397" s="10">
        <v>0</v>
      </c>
      <c r="L1397" t="s">
        <v>25</v>
      </c>
      <c r="M1397" t="s">
        <v>26</v>
      </c>
      <c r="N1397" t="s">
        <v>2384</v>
      </c>
      <c r="O1397" s="2">
        <v>40817</v>
      </c>
      <c r="P1397" s="2">
        <v>42277</v>
      </c>
      <c r="Q1397">
        <v>4</v>
      </c>
      <c r="R1397" t="s">
        <v>3457</v>
      </c>
    </row>
    <row r="1398" spans="1:18" x14ac:dyDescent="0.25">
      <c r="A1398" t="s">
        <v>3458</v>
      </c>
      <c r="B1398" t="s">
        <v>49</v>
      </c>
      <c r="C1398" t="s">
        <v>50</v>
      </c>
      <c r="D1398" t="s">
        <v>51</v>
      </c>
      <c r="E1398" t="s">
        <v>208</v>
      </c>
      <c r="F1398" t="s">
        <v>356</v>
      </c>
      <c r="G1398" t="s">
        <v>3459</v>
      </c>
      <c r="H1398" s="10">
        <v>956250</v>
      </c>
      <c r="I1398" s="10">
        <v>0</v>
      </c>
      <c r="J1398" s="10">
        <v>0</v>
      </c>
      <c r="L1398" t="s">
        <v>42</v>
      </c>
      <c r="M1398" t="s">
        <v>111</v>
      </c>
      <c r="N1398" t="s">
        <v>1922</v>
      </c>
      <c r="O1398" s="2">
        <v>45383</v>
      </c>
      <c r="P1398" s="2">
        <v>47208</v>
      </c>
      <c r="Q1398">
        <v>1</v>
      </c>
      <c r="R1398" t="s">
        <v>3460</v>
      </c>
    </row>
    <row r="1399" spans="1:18" x14ac:dyDescent="0.25">
      <c r="A1399" t="s">
        <v>5126</v>
      </c>
      <c r="B1399" t="s">
        <v>49</v>
      </c>
      <c r="C1399" t="s">
        <v>50</v>
      </c>
      <c r="D1399" t="s">
        <v>3393</v>
      </c>
      <c r="E1399" t="s">
        <v>3461</v>
      </c>
      <c r="F1399" t="s">
        <v>53</v>
      </c>
      <c r="G1399" t="s">
        <v>3462</v>
      </c>
      <c r="H1399" s="10">
        <v>100000</v>
      </c>
      <c r="I1399" s="10">
        <v>0</v>
      </c>
      <c r="J1399" s="10">
        <v>0</v>
      </c>
      <c r="L1399" t="s">
        <v>34</v>
      </c>
      <c r="M1399" t="s">
        <v>143</v>
      </c>
      <c r="N1399" t="s">
        <v>339</v>
      </c>
      <c r="O1399" s="2">
        <v>44835</v>
      </c>
      <c r="P1399" s="2">
        <v>46660</v>
      </c>
      <c r="Q1399">
        <v>0</v>
      </c>
      <c r="R1399" t="s">
        <v>3463</v>
      </c>
    </row>
    <row r="1400" spans="1:18" x14ac:dyDescent="0.25">
      <c r="A1400" t="s">
        <v>5126</v>
      </c>
      <c r="B1400" t="s">
        <v>49</v>
      </c>
      <c r="C1400" t="s">
        <v>50</v>
      </c>
      <c r="D1400" t="s">
        <v>51</v>
      </c>
      <c r="E1400" t="s">
        <v>127</v>
      </c>
      <c r="F1400" t="s">
        <v>356</v>
      </c>
      <c r="G1400" t="s">
        <v>3462</v>
      </c>
      <c r="H1400" s="10">
        <v>963900</v>
      </c>
      <c r="I1400" s="10">
        <v>0</v>
      </c>
      <c r="J1400" s="10">
        <v>0</v>
      </c>
      <c r="L1400" t="s">
        <v>42</v>
      </c>
      <c r="M1400" t="s">
        <v>143</v>
      </c>
      <c r="N1400" t="s">
        <v>339</v>
      </c>
      <c r="O1400" s="2">
        <v>44835</v>
      </c>
      <c r="P1400" s="2">
        <v>46660</v>
      </c>
      <c r="Q1400">
        <v>0</v>
      </c>
      <c r="R1400" t="s">
        <v>3463</v>
      </c>
    </row>
    <row r="1401" spans="1:18" x14ac:dyDescent="0.25">
      <c r="A1401" t="s">
        <v>3464</v>
      </c>
      <c r="B1401" t="s">
        <v>710</v>
      </c>
      <c r="C1401" t="s">
        <v>711</v>
      </c>
      <c r="D1401" t="s">
        <v>51</v>
      </c>
      <c r="E1401" t="s">
        <v>197</v>
      </c>
      <c r="F1401" t="s">
        <v>128</v>
      </c>
      <c r="G1401" t="s">
        <v>3465</v>
      </c>
      <c r="H1401" s="10">
        <v>956250</v>
      </c>
      <c r="I1401" s="10">
        <v>0</v>
      </c>
      <c r="J1401" s="10">
        <v>0</v>
      </c>
      <c r="L1401" t="s">
        <v>42</v>
      </c>
      <c r="M1401" t="s">
        <v>26</v>
      </c>
      <c r="N1401" t="s">
        <v>3466</v>
      </c>
      <c r="O1401" s="2">
        <v>44652</v>
      </c>
      <c r="P1401" s="2">
        <v>46477</v>
      </c>
      <c r="Q1401">
        <v>0</v>
      </c>
      <c r="R1401" t="s">
        <v>3467</v>
      </c>
    </row>
    <row r="1402" spans="1:18" x14ac:dyDescent="0.25">
      <c r="A1402" t="s">
        <v>3468</v>
      </c>
      <c r="B1402" t="s">
        <v>710</v>
      </c>
      <c r="C1402" t="s">
        <v>711</v>
      </c>
      <c r="D1402" t="s">
        <v>21</v>
      </c>
      <c r="E1402" t="s">
        <v>287</v>
      </c>
      <c r="F1402" t="s">
        <v>109</v>
      </c>
      <c r="G1402" t="s">
        <v>3469</v>
      </c>
      <c r="H1402" s="10">
        <v>289018</v>
      </c>
      <c r="I1402" s="10">
        <v>0</v>
      </c>
      <c r="J1402" s="10">
        <v>0</v>
      </c>
      <c r="L1402" t="s">
        <v>55</v>
      </c>
      <c r="M1402" t="s">
        <v>746</v>
      </c>
      <c r="N1402" t="s">
        <v>3470</v>
      </c>
      <c r="O1402" s="2">
        <v>40634</v>
      </c>
      <c r="P1402" s="2">
        <v>41729</v>
      </c>
      <c r="Q1402">
        <v>0</v>
      </c>
      <c r="R1402" t="s">
        <v>3471</v>
      </c>
    </row>
    <row r="1403" spans="1:18" x14ac:dyDescent="0.25">
      <c r="A1403" t="s">
        <v>3472</v>
      </c>
      <c r="B1403" t="s">
        <v>98</v>
      </c>
      <c r="C1403" t="s">
        <v>20</v>
      </c>
      <c r="D1403" t="s">
        <v>51</v>
      </c>
      <c r="E1403" t="s">
        <v>259</v>
      </c>
      <c r="F1403" t="s">
        <v>53</v>
      </c>
      <c r="G1403" t="s">
        <v>3473</v>
      </c>
      <c r="H1403" s="10">
        <v>699976</v>
      </c>
      <c r="I1403" s="10">
        <v>0</v>
      </c>
      <c r="J1403" s="10">
        <v>0</v>
      </c>
      <c r="L1403" t="s">
        <v>42</v>
      </c>
      <c r="M1403" t="s">
        <v>217</v>
      </c>
      <c r="N1403" t="s">
        <v>3474</v>
      </c>
      <c r="O1403" s="2">
        <v>44105</v>
      </c>
      <c r="P1403" s="2">
        <v>45930</v>
      </c>
      <c r="Q1403">
        <v>0</v>
      </c>
      <c r="R1403" t="s">
        <v>3475</v>
      </c>
    </row>
    <row r="1404" spans="1:18" x14ac:dyDescent="0.25">
      <c r="A1404" t="s">
        <v>6227</v>
      </c>
      <c r="B1404" t="s">
        <v>710</v>
      </c>
      <c r="C1404" t="s">
        <v>711</v>
      </c>
      <c r="D1404" t="s">
        <v>5036</v>
      </c>
      <c r="E1404" t="s">
        <v>5037</v>
      </c>
      <c r="F1404" t="s">
        <v>5038</v>
      </c>
      <c r="G1404" t="s">
        <v>5040</v>
      </c>
      <c r="H1404" s="12">
        <v>600000</v>
      </c>
      <c r="I1404" s="12">
        <v>0</v>
      </c>
      <c r="J1404" s="10">
        <v>0</v>
      </c>
      <c r="L1404" t="s">
        <v>5039</v>
      </c>
      <c r="M1404" t="s">
        <v>413</v>
      </c>
      <c r="N1404" t="s">
        <v>6228</v>
      </c>
      <c r="O1404" s="2">
        <v>45444</v>
      </c>
      <c r="P1404" s="2">
        <v>46477</v>
      </c>
      <c r="Q1404">
        <v>0</v>
      </c>
      <c r="R1404" t="s">
        <v>6229</v>
      </c>
    </row>
    <row r="1405" spans="1:18" x14ac:dyDescent="0.25">
      <c r="A1405" t="s">
        <v>4948</v>
      </c>
      <c r="B1405" t="s">
        <v>114</v>
      </c>
      <c r="C1405" t="s">
        <v>20</v>
      </c>
      <c r="D1405" t="s">
        <v>4557</v>
      </c>
      <c r="E1405" t="s">
        <v>4567</v>
      </c>
      <c r="F1405" t="s">
        <v>4559</v>
      </c>
      <c r="G1405" t="s">
        <v>4949</v>
      </c>
      <c r="H1405" s="10">
        <v>448040</v>
      </c>
      <c r="I1405" s="10">
        <v>0</v>
      </c>
      <c r="J1405" s="10">
        <v>0</v>
      </c>
      <c r="L1405" t="s">
        <v>55</v>
      </c>
      <c r="M1405" t="s">
        <v>26</v>
      </c>
      <c r="N1405" t="s">
        <v>6073</v>
      </c>
      <c r="O1405" s="2">
        <v>41730</v>
      </c>
      <c r="P1405" s="2">
        <v>42825</v>
      </c>
      <c r="Q1405">
        <v>0</v>
      </c>
      <c r="R1405" t="s">
        <v>6072</v>
      </c>
    </row>
    <row r="1406" spans="1:18" x14ac:dyDescent="0.25">
      <c r="A1406" t="s">
        <v>3476</v>
      </c>
      <c r="B1406" t="s">
        <v>114</v>
      </c>
      <c r="C1406" t="s">
        <v>20</v>
      </c>
      <c r="D1406" t="s">
        <v>21</v>
      </c>
      <c r="E1406" t="s">
        <v>287</v>
      </c>
      <c r="F1406" t="s">
        <v>53</v>
      </c>
      <c r="G1406" t="s">
        <v>3482</v>
      </c>
      <c r="H1406" s="10">
        <v>586822</v>
      </c>
      <c r="I1406" s="10">
        <v>0</v>
      </c>
      <c r="J1406" s="10">
        <v>0</v>
      </c>
      <c r="L1406" t="s">
        <v>25</v>
      </c>
      <c r="M1406" t="s">
        <v>26</v>
      </c>
      <c r="N1406" t="s">
        <v>1048</v>
      </c>
      <c r="O1406" s="2">
        <v>40634</v>
      </c>
      <c r="P1406" s="2">
        <v>42094</v>
      </c>
      <c r="Q1406">
        <v>0</v>
      </c>
      <c r="R1406" t="s">
        <v>3483</v>
      </c>
    </row>
    <row r="1407" spans="1:18" x14ac:dyDescent="0.25">
      <c r="A1407" t="s">
        <v>3476</v>
      </c>
      <c r="B1407" t="s">
        <v>114</v>
      </c>
      <c r="C1407" t="s">
        <v>20</v>
      </c>
      <c r="D1407" t="s">
        <v>21</v>
      </c>
      <c r="E1407" t="s">
        <v>377</v>
      </c>
      <c r="F1407" t="s">
        <v>53</v>
      </c>
      <c r="G1407" t="s">
        <v>3477</v>
      </c>
      <c r="H1407" s="10">
        <v>756107</v>
      </c>
      <c r="I1407" s="10">
        <v>0</v>
      </c>
      <c r="J1407" s="10">
        <v>0</v>
      </c>
      <c r="L1407" t="s">
        <v>42</v>
      </c>
      <c r="M1407" t="s">
        <v>111</v>
      </c>
      <c r="N1407" t="s">
        <v>3478</v>
      </c>
      <c r="O1407" s="2">
        <v>41183</v>
      </c>
      <c r="P1407" s="2">
        <v>43008</v>
      </c>
      <c r="Q1407">
        <v>3</v>
      </c>
      <c r="R1407" t="s">
        <v>3479</v>
      </c>
    </row>
    <row r="1408" spans="1:18" x14ac:dyDescent="0.25">
      <c r="A1408" t="s">
        <v>3476</v>
      </c>
      <c r="B1408" t="s">
        <v>114</v>
      </c>
      <c r="C1408" t="s">
        <v>20</v>
      </c>
      <c r="D1408" t="s">
        <v>51</v>
      </c>
      <c r="E1408" t="s">
        <v>197</v>
      </c>
      <c r="F1408" t="s">
        <v>53</v>
      </c>
      <c r="G1408" t="s">
        <v>3484</v>
      </c>
      <c r="H1408" s="10">
        <v>573752</v>
      </c>
      <c r="I1408" s="10">
        <v>0</v>
      </c>
      <c r="J1408" s="10">
        <v>0</v>
      </c>
      <c r="L1408" t="s">
        <v>25</v>
      </c>
      <c r="M1408" t="s">
        <v>111</v>
      </c>
      <c r="N1408" t="s">
        <v>339</v>
      </c>
      <c r="O1408" s="2">
        <v>44743</v>
      </c>
      <c r="P1408" s="2">
        <v>46203</v>
      </c>
      <c r="Q1408">
        <v>0</v>
      </c>
      <c r="R1408" t="s">
        <v>3485</v>
      </c>
    </row>
    <row r="1409" spans="1:18" x14ac:dyDescent="0.25">
      <c r="A1409" t="s">
        <v>3476</v>
      </c>
      <c r="B1409" t="s">
        <v>114</v>
      </c>
      <c r="C1409" t="s">
        <v>20</v>
      </c>
      <c r="D1409" t="s">
        <v>51</v>
      </c>
      <c r="E1409" t="s">
        <v>167</v>
      </c>
      <c r="F1409" t="s">
        <v>356</v>
      </c>
      <c r="G1409" t="s">
        <v>3480</v>
      </c>
      <c r="H1409" s="10">
        <v>665552</v>
      </c>
      <c r="I1409" s="10">
        <v>0</v>
      </c>
      <c r="J1409" s="10">
        <v>0</v>
      </c>
      <c r="L1409" t="s">
        <v>25</v>
      </c>
      <c r="M1409" t="s">
        <v>26</v>
      </c>
      <c r="N1409" t="s">
        <v>374</v>
      </c>
      <c r="O1409" s="2">
        <v>45017</v>
      </c>
      <c r="P1409" s="2">
        <v>46477</v>
      </c>
      <c r="Q1409">
        <v>0</v>
      </c>
      <c r="R1409" t="s">
        <v>3481</v>
      </c>
    </row>
    <row r="1410" spans="1:18" x14ac:dyDescent="0.25">
      <c r="A1410" t="s">
        <v>4952</v>
      </c>
      <c r="B1410" t="s">
        <v>114</v>
      </c>
      <c r="C1410" t="s">
        <v>20</v>
      </c>
      <c r="D1410" t="s">
        <v>4557</v>
      </c>
      <c r="E1410" t="s">
        <v>4602</v>
      </c>
      <c r="F1410" t="s">
        <v>4559</v>
      </c>
      <c r="G1410" t="s">
        <v>4953</v>
      </c>
      <c r="H1410" s="10">
        <v>479799</v>
      </c>
      <c r="I1410" s="10">
        <v>0</v>
      </c>
      <c r="J1410" s="10">
        <v>0</v>
      </c>
      <c r="L1410" t="s">
        <v>55</v>
      </c>
      <c r="M1410" t="s">
        <v>26</v>
      </c>
      <c r="N1410" t="s">
        <v>1073</v>
      </c>
      <c r="O1410" s="2">
        <v>41365</v>
      </c>
      <c r="P1410" s="2">
        <v>42460</v>
      </c>
      <c r="Q1410">
        <v>5</v>
      </c>
      <c r="R1410" t="s">
        <v>5931</v>
      </c>
    </row>
    <row r="1411" spans="1:18" x14ac:dyDescent="0.25">
      <c r="A1411" t="s">
        <v>4950</v>
      </c>
      <c r="B1411" t="s">
        <v>114</v>
      </c>
      <c r="C1411" t="s">
        <v>20</v>
      </c>
      <c r="D1411" t="s">
        <v>4557</v>
      </c>
      <c r="E1411" t="s">
        <v>4597</v>
      </c>
      <c r="F1411" t="s">
        <v>4559</v>
      </c>
      <c r="G1411" t="s">
        <v>4951</v>
      </c>
      <c r="H1411" s="10">
        <v>504350</v>
      </c>
      <c r="I1411" s="10">
        <v>0</v>
      </c>
      <c r="J1411" s="10">
        <v>0</v>
      </c>
      <c r="L1411" t="s">
        <v>55</v>
      </c>
      <c r="M1411" t="s">
        <v>26</v>
      </c>
      <c r="N1411" t="s">
        <v>1427</v>
      </c>
      <c r="O1411" s="2">
        <v>42095</v>
      </c>
      <c r="P1411" s="2">
        <v>43190</v>
      </c>
      <c r="Q1411">
        <v>0</v>
      </c>
      <c r="R1411" t="s">
        <v>6031</v>
      </c>
    </row>
    <row r="1412" spans="1:18" x14ac:dyDescent="0.25">
      <c r="A1412" t="s">
        <v>3486</v>
      </c>
      <c r="B1412" t="s">
        <v>148</v>
      </c>
      <c r="C1412" t="s">
        <v>149</v>
      </c>
      <c r="D1412" t="s">
        <v>21</v>
      </c>
      <c r="E1412" t="s">
        <v>22</v>
      </c>
      <c r="F1412" t="s">
        <v>53</v>
      </c>
      <c r="G1412" t="s">
        <v>3490</v>
      </c>
      <c r="H1412" s="10">
        <v>665010</v>
      </c>
      <c r="I1412" s="10">
        <v>0</v>
      </c>
      <c r="J1412" s="10">
        <v>0</v>
      </c>
      <c r="L1412" t="s">
        <v>42</v>
      </c>
      <c r="M1412" t="s">
        <v>204</v>
      </c>
      <c r="N1412" t="s">
        <v>3491</v>
      </c>
      <c r="O1412" s="2">
        <v>41365</v>
      </c>
      <c r="P1412" s="2">
        <v>43190</v>
      </c>
      <c r="Q1412">
        <v>0</v>
      </c>
      <c r="R1412" t="s">
        <v>3492</v>
      </c>
    </row>
    <row r="1413" spans="1:18" x14ac:dyDescent="0.25">
      <c r="A1413" t="s">
        <v>3486</v>
      </c>
      <c r="B1413" t="s">
        <v>148</v>
      </c>
      <c r="C1413" t="s">
        <v>149</v>
      </c>
      <c r="D1413" t="s">
        <v>529</v>
      </c>
      <c r="E1413" t="s">
        <v>3487</v>
      </c>
      <c r="F1413" t="s">
        <v>53</v>
      </c>
      <c r="G1413" t="s">
        <v>3488</v>
      </c>
      <c r="H1413" s="10">
        <v>100000</v>
      </c>
      <c r="I1413" s="10">
        <v>0</v>
      </c>
      <c r="J1413" s="10">
        <v>0</v>
      </c>
      <c r="L1413" t="s">
        <v>34</v>
      </c>
      <c r="M1413" t="s">
        <v>204</v>
      </c>
      <c r="N1413" t="s">
        <v>1884</v>
      </c>
      <c r="O1413" s="2">
        <v>40969</v>
      </c>
      <c r="P1413" s="2">
        <v>41333</v>
      </c>
      <c r="Q1413">
        <v>0</v>
      </c>
      <c r="R1413" t="s">
        <v>3489</v>
      </c>
    </row>
    <row r="1414" spans="1:18" x14ac:dyDescent="0.25">
      <c r="A1414" t="s">
        <v>4536</v>
      </c>
      <c r="B1414" t="s">
        <v>4537</v>
      </c>
      <c r="C1414" t="s">
        <v>50</v>
      </c>
      <c r="D1414" t="s">
        <v>4499</v>
      </c>
      <c r="E1414" t="s">
        <v>4500</v>
      </c>
      <c r="F1414" t="s">
        <v>4501</v>
      </c>
      <c r="G1414" t="s">
        <v>4538</v>
      </c>
      <c r="H1414" s="12">
        <v>149720</v>
      </c>
      <c r="I1414" s="12">
        <v>0</v>
      </c>
      <c r="J1414" s="10">
        <v>0</v>
      </c>
      <c r="L1414" t="s">
        <v>34</v>
      </c>
      <c r="M1414" t="s">
        <v>413</v>
      </c>
      <c r="N1414" t="s">
        <v>6232</v>
      </c>
      <c r="O1414" s="2">
        <v>45323</v>
      </c>
      <c r="P1414" s="2">
        <v>45688</v>
      </c>
      <c r="Q1414">
        <v>0</v>
      </c>
      <c r="R1414" t="s">
        <v>6233</v>
      </c>
    </row>
    <row r="1415" spans="1:18" x14ac:dyDescent="0.25">
      <c r="A1415" t="s">
        <v>4536</v>
      </c>
      <c r="B1415" t="s">
        <v>4537</v>
      </c>
      <c r="C1415" t="s">
        <v>50</v>
      </c>
      <c r="D1415" t="s">
        <v>5042</v>
      </c>
      <c r="E1415" t="s">
        <v>5043</v>
      </c>
      <c r="F1415" t="s">
        <v>5038</v>
      </c>
      <c r="G1415" t="s">
        <v>5053</v>
      </c>
      <c r="H1415" s="12">
        <v>599500</v>
      </c>
      <c r="I1415" s="12">
        <v>0</v>
      </c>
      <c r="J1415" s="10">
        <v>0</v>
      </c>
      <c r="L1415" t="s">
        <v>5039</v>
      </c>
      <c r="M1415" t="s">
        <v>413</v>
      </c>
      <c r="N1415" t="s">
        <v>6230</v>
      </c>
      <c r="O1415" s="2">
        <v>45444</v>
      </c>
      <c r="P1415" s="2">
        <v>46477</v>
      </c>
      <c r="Q1415">
        <v>0</v>
      </c>
      <c r="R1415" t="s">
        <v>6231</v>
      </c>
    </row>
    <row r="1416" spans="1:18" x14ac:dyDescent="0.25">
      <c r="A1416" t="s">
        <v>3493</v>
      </c>
      <c r="B1416" t="s">
        <v>474</v>
      </c>
      <c r="C1416" t="s">
        <v>20</v>
      </c>
      <c r="D1416" t="s">
        <v>51</v>
      </c>
      <c r="E1416" t="s">
        <v>197</v>
      </c>
      <c r="F1416" t="s">
        <v>23</v>
      </c>
      <c r="G1416" t="s">
        <v>3494</v>
      </c>
      <c r="H1416" s="10">
        <v>1300882</v>
      </c>
      <c r="I1416" s="10">
        <v>0</v>
      </c>
      <c r="J1416" s="10">
        <v>0</v>
      </c>
      <c r="L1416" t="s">
        <v>42</v>
      </c>
      <c r="M1416" t="s">
        <v>26</v>
      </c>
      <c r="N1416" t="s">
        <v>3495</v>
      </c>
      <c r="O1416" s="2">
        <v>44652</v>
      </c>
      <c r="P1416" s="2">
        <v>46477</v>
      </c>
      <c r="Q1416">
        <v>0</v>
      </c>
      <c r="R1416" t="s">
        <v>3496</v>
      </c>
    </row>
    <row r="1417" spans="1:18" x14ac:dyDescent="0.25">
      <c r="A1417" t="s">
        <v>3497</v>
      </c>
      <c r="B1417" t="s">
        <v>114</v>
      </c>
      <c r="C1417" t="s">
        <v>20</v>
      </c>
      <c r="D1417" t="s">
        <v>21</v>
      </c>
      <c r="E1417" t="s">
        <v>287</v>
      </c>
      <c r="F1417" t="s">
        <v>47</v>
      </c>
      <c r="G1417" t="s">
        <v>3501</v>
      </c>
      <c r="H1417" s="10">
        <v>485957</v>
      </c>
      <c r="I1417" s="10">
        <v>0</v>
      </c>
      <c r="J1417" s="10">
        <v>0</v>
      </c>
      <c r="L1417" t="s">
        <v>55</v>
      </c>
      <c r="M1417" t="s">
        <v>26</v>
      </c>
      <c r="N1417" t="s">
        <v>3502</v>
      </c>
      <c r="O1417" s="2">
        <v>40634</v>
      </c>
      <c r="P1417" s="2">
        <v>41729</v>
      </c>
      <c r="Q1417">
        <v>0</v>
      </c>
      <c r="R1417" t="s">
        <v>3503</v>
      </c>
    </row>
    <row r="1418" spans="1:18" x14ac:dyDescent="0.25">
      <c r="A1418" t="s">
        <v>3497</v>
      </c>
      <c r="B1418" t="s">
        <v>114</v>
      </c>
      <c r="C1418" t="s">
        <v>20</v>
      </c>
      <c r="D1418" t="s">
        <v>21</v>
      </c>
      <c r="E1418" t="s">
        <v>60</v>
      </c>
      <c r="F1418" t="s">
        <v>23</v>
      </c>
      <c r="G1418" t="s">
        <v>3504</v>
      </c>
      <c r="H1418" s="10">
        <v>919406</v>
      </c>
      <c r="I1418" s="10">
        <v>0</v>
      </c>
      <c r="J1418" s="10">
        <v>0</v>
      </c>
      <c r="L1418" t="s">
        <v>42</v>
      </c>
      <c r="M1418" t="s">
        <v>143</v>
      </c>
      <c r="N1418" t="s">
        <v>3502</v>
      </c>
      <c r="O1418" s="2">
        <v>41821</v>
      </c>
      <c r="P1418" s="2">
        <v>43646</v>
      </c>
      <c r="Q1418">
        <v>4</v>
      </c>
      <c r="R1418" t="s">
        <v>3505</v>
      </c>
    </row>
    <row r="1419" spans="1:18" x14ac:dyDescent="0.25">
      <c r="A1419" t="s">
        <v>3497</v>
      </c>
      <c r="B1419" t="s">
        <v>114</v>
      </c>
      <c r="C1419" t="s">
        <v>20</v>
      </c>
      <c r="D1419" t="s">
        <v>51</v>
      </c>
      <c r="E1419" t="s">
        <v>116</v>
      </c>
      <c r="F1419" t="s">
        <v>47</v>
      </c>
      <c r="G1419" t="s">
        <v>3498</v>
      </c>
      <c r="H1419" s="10">
        <v>623476</v>
      </c>
      <c r="I1419" s="10">
        <v>0</v>
      </c>
      <c r="J1419" s="10">
        <v>0</v>
      </c>
      <c r="L1419" t="s">
        <v>42</v>
      </c>
      <c r="M1419" t="s">
        <v>26</v>
      </c>
      <c r="N1419" t="s">
        <v>3499</v>
      </c>
      <c r="O1419" s="2">
        <v>43374</v>
      </c>
      <c r="P1419" s="2">
        <v>45199</v>
      </c>
      <c r="Q1419">
        <v>5</v>
      </c>
      <c r="R1419" t="s">
        <v>3500</v>
      </c>
    </row>
    <row r="1420" spans="1:18" x14ac:dyDescent="0.25">
      <c r="A1420" t="s">
        <v>3506</v>
      </c>
      <c r="B1420" t="s">
        <v>107</v>
      </c>
      <c r="C1420" t="s">
        <v>38</v>
      </c>
      <c r="D1420" t="s">
        <v>21</v>
      </c>
      <c r="E1420" t="s">
        <v>74</v>
      </c>
      <c r="F1420" t="s">
        <v>23</v>
      </c>
      <c r="G1420" t="s">
        <v>3511</v>
      </c>
      <c r="H1420" s="10">
        <v>729830</v>
      </c>
      <c r="I1420" s="10">
        <v>0</v>
      </c>
      <c r="J1420" s="10">
        <v>0</v>
      </c>
      <c r="L1420" t="s">
        <v>42</v>
      </c>
      <c r="M1420" t="s">
        <v>26</v>
      </c>
      <c r="N1420" t="s">
        <v>2310</v>
      </c>
      <c r="O1420" s="2">
        <v>41000</v>
      </c>
      <c r="P1420" s="2">
        <v>42825</v>
      </c>
      <c r="Q1420">
        <v>0</v>
      </c>
      <c r="R1420" t="s">
        <v>3512</v>
      </c>
    </row>
    <row r="1421" spans="1:18" x14ac:dyDescent="0.25">
      <c r="A1421" t="s">
        <v>3506</v>
      </c>
      <c r="B1421" t="s">
        <v>107</v>
      </c>
      <c r="C1421" t="s">
        <v>38</v>
      </c>
      <c r="D1421" t="s">
        <v>21</v>
      </c>
      <c r="E1421" t="s">
        <v>60</v>
      </c>
      <c r="F1421" t="s">
        <v>47</v>
      </c>
      <c r="G1421" t="s">
        <v>3507</v>
      </c>
      <c r="H1421" s="10">
        <v>761594</v>
      </c>
      <c r="I1421" s="10">
        <v>0</v>
      </c>
      <c r="J1421" s="10">
        <v>0</v>
      </c>
      <c r="L1421" t="s">
        <v>42</v>
      </c>
      <c r="M1421" t="s">
        <v>26</v>
      </c>
      <c r="N1421" t="s">
        <v>2310</v>
      </c>
      <c r="O1421" s="2">
        <v>41821</v>
      </c>
      <c r="P1421" s="2">
        <v>43646</v>
      </c>
      <c r="Q1421">
        <v>0</v>
      </c>
      <c r="R1421" t="s">
        <v>3508</v>
      </c>
    </row>
    <row r="1422" spans="1:18" x14ac:dyDescent="0.25">
      <c r="A1422" t="s">
        <v>3506</v>
      </c>
      <c r="B1422" t="s">
        <v>107</v>
      </c>
      <c r="C1422" t="s">
        <v>38</v>
      </c>
      <c r="D1422" t="s">
        <v>51</v>
      </c>
      <c r="E1422" t="s">
        <v>52</v>
      </c>
      <c r="F1422" t="s">
        <v>23</v>
      </c>
      <c r="G1422" t="s">
        <v>3513</v>
      </c>
      <c r="H1422" s="10">
        <v>1032750</v>
      </c>
      <c r="I1422" s="10">
        <v>0</v>
      </c>
      <c r="J1422" s="10">
        <v>0</v>
      </c>
      <c r="L1422" t="s">
        <v>42</v>
      </c>
      <c r="M1422" t="s">
        <v>26</v>
      </c>
      <c r="N1422" t="s">
        <v>72</v>
      </c>
      <c r="O1422" s="2">
        <v>44287</v>
      </c>
      <c r="P1422" s="2">
        <v>46112</v>
      </c>
      <c r="Q1422">
        <v>0</v>
      </c>
      <c r="R1422" t="s">
        <v>3514</v>
      </c>
    </row>
    <row r="1423" spans="1:18" x14ac:dyDescent="0.25">
      <c r="A1423" t="s">
        <v>3506</v>
      </c>
      <c r="B1423" t="s">
        <v>107</v>
      </c>
      <c r="C1423" t="s">
        <v>38</v>
      </c>
      <c r="D1423" t="s">
        <v>51</v>
      </c>
      <c r="E1423" t="s">
        <v>167</v>
      </c>
      <c r="F1423" t="s">
        <v>32</v>
      </c>
      <c r="G1423" t="s">
        <v>3509</v>
      </c>
      <c r="H1423" s="10">
        <v>994500</v>
      </c>
      <c r="I1423" s="10">
        <v>0</v>
      </c>
      <c r="J1423" s="10">
        <v>0</v>
      </c>
      <c r="L1423" t="s">
        <v>42</v>
      </c>
      <c r="M1423" t="s">
        <v>26</v>
      </c>
      <c r="N1423" t="s">
        <v>72</v>
      </c>
      <c r="O1423" s="2">
        <v>45017</v>
      </c>
      <c r="P1423" s="2">
        <v>46843</v>
      </c>
      <c r="Q1423">
        <v>0</v>
      </c>
      <c r="R1423" t="s">
        <v>3510</v>
      </c>
    </row>
    <row r="1424" spans="1:18" x14ac:dyDescent="0.25">
      <c r="A1424" t="s">
        <v>5443</v>
      </c>
      <c r="B1424" t="s">
        <v>107</v>
      </c>
      <c r="C1424" t="s">
        <v>38</v>
      </c>
      <c r="D1424" t="s">
        <v>51</v>
      </c>
      <c r="E1424" t="s">
        <v>197</v>
      </c>
      <c r="F1424" t="s">
        <v>128</v>
      </c>
      <c r="G1424" t="s">
        <v>3515</v>
      </c>
      <c r="H1424" s="10">
        <v>665550</v>
      </c>
      <c r="I1424" s="10">
        <v>0</v>
      </c>
      <c r="J1424" s="10">
        <v>0</v>
      </c>
      <c r="L1424" t="s">
        <v>42</v>
      </c>
      <c r="M1424" t="s">
        <v>26</v>
      </c>
      <c r="N1424" t="s">
        <v>3516</v>
      </c>
      <c r="O1424" s="2">
        <v>44652</v>
      </c>
      <c r="P1424" s="2">
        <v>46477</v>
      </c>
      <c r="Q1424">
        <v>0</v>
      </c>
      <c r="R1424" t="s">
        <v>3517</v>
      </c>
    </row>
    <row r="1425" spans="1:18" x14ac:dyDescent="0.25">
      <c r="A1425" t="s">
        <v>3518</v>
      </c>
      <c r="B1425" t="s">
        <v>114</v>
      </c>
      <c r="C1425" t="s">
        <v>20</v>
      </c>
      <c r="D1425" t="s">
        <v>21</v>
      </c>
      <c r="E1425" t="s">
        <v>108</v>
      </c>
      <c r="F1425" t="s">
        <v>53</v>
      </c>
      <c r="G1425" t="s">
        <v>3524</v>
      </c>
      <c r="H1425" s="10">
        <v>411566</v>
      </c>
      <c r="I1425" s="10">
        <v>0</v>
      </c>
      <c r="J1425" s="10">
        <v>0</v>
      </c>
      <c r="L1425" t="s">
        <v>55</v>
      </c>
      <c r="M1425" t="s">
        <v>103</v>
      </c>
      <c r="N1425" t="s">
        <v>3525</v>
      </c>
      <c r="O1425" s="2">
        <v>41548</v>
      </c>
      <c r="P1425" s="2">
        <v>42643</v>
      </c>
      <c r="Q1425">
        <v>0</v>
      </c>
      <c r="R1425" t="s">
        <v>3526</v>
      </c>
    </row>
    <row r="1426" spans="1:18" x14ac:dyDescent="0.25">
      <c r="A1426" t="s">
        <v>3518</v>
      </c>
      <c r="B1426" t="s">
        <v>114</v>
      </c>
      <c r="C1426" t="s">
        <v>20</v>
      </c>
      <c r="D1426" t="s">
        <v>51</v>
      </c>
      <c r="E1426" t="s">
        <v>122</v>
      </c>
      <c r="F1426" t="s">
        <v>53</v>
      </c>
      <c r="G1426" t="s">
        <v>3519</v>
      </c>
      <c r="H1426" s="10">
        <v>860626</v>
      </c>
      <c r="I1426" s="10">
        <v>0</v>
      </c>
      <c r="J1426" s="10">
        <v>0</v>
      </c>
      <c r="L1426" t="s">
        <v>42</v>
      </c>
      <c r="M1426" t="s">
        <v>103</v>
      </c>
      <c r="N1426" t="s">
        <v>3520</v>
      </c>
      <c r="O1426" s="2">
        <v>43739</v>
      </c>
      <c r="P1426" s="2">
        <v>45565</v>
      </c>
      <c r="Q1426">
        <v>0</v>
      </c>
      <c r="R1426" t="s">
        <v>3521</v>
      </c>
    </row>
    <row r="1427" spans="1:18" x14ac:dyDescent="0.25">
      <c r="A1427" t="s">
        <v>3518</v>
      </c>
      <c r="B1427" t="s">
        <v>114</v>
      </c>
      <c r="C1427" t="s">
        <v>20</v>
      </c>
      <c r="D1427" t="s">
        <v>51</v>
      </c>
      <c r="E1427" t="s">
        <v>52</v>
      </c>
      <c r="F1427" t="s">
        <v>53</v>
      </c>
      <c r="G1427" t="s">
        <v>3522</v>
      </c>
      <c r="H1427" s="10">
        <v>929475</v>
      </c>
      <c r="I1427" s="10">
        <v>0</v>
      </c>
      <c r="J1427" s="10">
        <v>0</v>
      </c>
      <c r="L1427" t="s">
        <v>42</v>
      </c>
      <c r="M1427" t="s">
        <v>103</v>
      </c>
      <c r="N1427" t="s">
        <v>1084</v>
      </c>
      <c r="O1427" s="2">
        <v>44287</v>
      </c>
      <c r="P1427" s="2">
        <v>46112</v>
      </c>
      <c r="Q1427">
        <v>1</v>
      </c>
      <c r="R1427" t="s">
        <v>3523</v>
      </c>
    </row>
    <row r="1428" spans="1:18" x14ac:dyDescent="0.25">
      <c r="A1428" t="s">
        <v>4956</v>
      </c>
      <c r="B1428" t="s">
        <v>114</v>
      </c>
      <c r="C1428" t="s">
        <v>20</v>
      </c>
      <c r="D1428" t="s">
        <v>4557</v>
      </c>
      <c r="E1428" t="s">
        <v>4570</v>
      </c>
      <c r="F1428" t="s">
        <v>4559</v>
      </c>
      <c r="G1428" t="s">
        <v>4957</v>
      </c>
      <c r="H1428" s="10">
        <v>426720</v>
      </c>
      <c r="I1428" s="10">
        <v>0</v>
      </c>
      <c r="J1428" s="10">
        <v>0</v>
      </c>
      <c r="L1428" t="s">
        <v>55</v>
      </c>
      <c r="M1428" t="s">
        <v>103</v>
      </c>
      <c r="N1428" t="s">
        <v>5749</v>
      </c>
      <c r="O1428" s="2">
        <v>42826</v>
      </c>
      <c r="P1428" s="2">
        <v>43921</v>
      </c>
      <c r="Q1428">
        <v>4</v>
      </c>
      <c r="R1428" t="s">
        <v>5748</v>
      </c>
    </row>
    <row r="1429" spans="1:18" x14ac:dyDescent="0.25">
      <c r="A1429" t="s">
        <v>4958</v>
      </c>
      <c r="B1429" t="s">
        <v>114</v>
      </c>
      <c r="C1429" t="s">
        <v>20</v>
      </c>
      <c r="D1429" t="s">
        <v>4557</v>
      </c>
      <c r="E1429" t="s">
        <v>4570</v>
      </c>
      <c r="F1429" t="s">
        <v>4559</v>
      </c>
      <c r="G1429" t="s">
        <v>4959</v>
      </c>
      <c r="H1429" s="10">
        <v>386873</v>
      </c>
      <c r="I1429" s="10">
        <v>0</v>
      </c>
      <c r="J1429" s="10">
        <v>0</v>
      </c>
      <c r="L1429" t="s">
        <v>55</v>
      </c>
      <c r="M1429" t="s">
        <v>103</v>
      </c>
      <c r="N1429" t="s">
        <v>5975</v>
      </c>
      <c r="O1429" s="2">
        <v>42826</v>
      </c>
      <c r="P1429" s="2">
        <v>43921</v>
      </c>
      <c r="Q1429">
        <v>0</v>
      </c>
      <c r="R1429" t="s">
        <v>5974</v>
      </c>
    </row>
    <row r="1430" spans="1:18" x14ac:dyDescent="0.25">
      <c r="A1430" t="s">
        <v>4954</v>
      </c>
      <c r="B1430" t="s">
        <v>114</v>
      </c>
      <c r="C1430" t="s">
        <v>20</v>
      </c>
      <c r="D1430" t="s">
        <v>4557</v>
      </c>
      <c r="E1430" t="s">
        <v>4597</v>
      </c>
      <c r="F1430" t="s">
        <v>4559</v>
      </c>
      <c r="G1430" t="s">
        <v>4955</v>
      </c>
      <c r="H1430" s="10">
        <v>316195</v>
      </c>
      <c r="I1430" s="10">
        <v>0</v>
      </c>
      <c r="J1430" s="10">
        <v>0</v>
      </c>
      <c r="L1430" t="s">
        <v>55</v>
      </c>
      <c r="M1430" t="s">
        <v>831</v>
      </c>
      <c r="N1430" t="s">
        <v>5856</v>
      </c>
      <c r="O1430" s="2">
        <v>42095</v>
      </c>
      <c r="P1430" s="2">
        <v>43190</v>
      </c>
      <c r="Q1430">
        <v>2</v>
      </c>
      <c r="R1430" t="s">
        <v>5855</v>
      </c>
    </row>
    <row r="1431" spans="1:18" x14ac:dyDescent="0.25">
      <c r="A1431" t="s">
        <v>3527</v>
      </c>
      <c r="B1431" t="s">
        <v>98</v>
      </c>
      <c r="C1431" t="s">
        <v>20</v>
      </c>
      <c r="D1431" t="s">
        <v>21</v>
      </c>
      <c r="E1431" t="s">
        <v>108</v>
      </c>
      <c r="F1431" t="s">
        <v>32</v>
      </c>
      <c r="G1431" t="s">
        <v>3528</v>
      </c>
      <c r="H1431" s="10">
        <v>554057</v>
      </c>
      <c r="I1431" s="10">
        <v>0</v>
      </c>
      <c r="J1431" s="10">
        <v>0</v>
      </c>
      <c r="L1431" t="s">
        <v>42</v>
      </c>
      <c r="M1431" t="s">
        <v>26</v>
      </c>
      <c r="N1431" t="s">
        <v>1627</v>
      </c>
      <c r="O1431" s="2">
        <v>41548</v>
      </c>
      <c r="P1431" s="2">
        <v>43373</v>
      </c>
      <c r="Q1431">
        <v>2</v>
      </c>
      <c r="R1431" t="s">
        <v>3529</v>
      </c>
    </row>
    <row r="1432" spans="1:18" x14ac:dyDescent="0.25">
      <c r="A1432" t="s">
        <v>3527</v>
      </c>
      <c r="B1432" t="s">
        <v>98</v>
      </c>
      <c r="C1432" t="s">
        <v>20</v>
      </c>
      <c r="D1432" t="s">
        <v>51</v>
      </c>
      <c r="E1432" t="s">
        <v>116</v>
      </c>
      <c r="F1432" t="s">
        <v>47</v>
      </c>
      <c r="G1432" t="s">
        <v>3534</v>
      </c>
      <c r="H1432" s="10">
        <v>860626</v>
      </c>
      <c r="I1432" s="10">
        <v>0</v>
      </c>
      <c r="J1432" s="10">
        <v>0</v>
      </c>
      <c r="L1432" t="s">
        <v>42</v>
      </c>
      <c r="M1432" t="s">
        <v>26</v>
      </c>
      <c r="N1432" t="s">
        <v>3535</v>
      </c>
      <c r="O1432" s="2">
        <v>43374</v>
      </c>
      <c r="P1432" s="2">
        <v>45199</v>
      </c>
      <c r="Q1432">
        <v>1</v>
      </c>
      <c r="R1432" t="s">
        <v>3536</v>
      </c>
    </row>
    <row r="1433" spans="1:18" x14ac:dyDescent="0.25">
      <c r="A1433" t="s">
        <v>3527</v>
      </c>
      <c r="B1433" t="s">
        <v>98</v>
      </c>
      <c r="C1433" t="s">
        <v>20</v>
      </c>
      <c r="D1433" t="s">
        <v>51</v>
      </c>
      <c r="E1433" t="s">
        <v>167</v>
      </c>
      <c r="F1433" t="s">
        <v>32</v>
      </c>
      <c r="G1433" t="s">
        <v>3530</v>
      </c>
      <c r="H1433" s="10">
        <v>841500</v>
      </c>
      <c r="I1433" s="10">
        <v>0</v>
      </c>
      <c r="J1433" s="10">
        <v>0</v>
      </c>
      <c r="L1433" t="s">
        <v>42</v>
      </c>
      <c r="M1433" t="s">
        <v>26</v>
      </c>
      <c r="N1433" t="s">
        <v>308</v>
      </c>
      <c r="O1433" s="2">
        <v>45017</v>
      </c>
      <c r="P1433" s="2">
        <v>46843</v>
      </c>
      <c r="Q1433">
        <v>1</v>
      </c>
      <c r="R1433" t="s">
        <v>3531</v>
      </c>
    </row>
    <row r="1434" spans="1:18" x14ac:dyDescent="0.25">
      <c r="A1434" t="s">
        <v>3527</v>
      </c>
      <c r="B1434" t="s">
        <v>98</v>
      </c>
      <c r="C1434" t="s">
        <v>20</v>
      </c>
      <c r="D1434" t="s">
        <v>420</v>
      </c>
      <c r="E1434" t="s">
        <v>667</v>
      </c>
      <c r="F1434" t="s">
        <v>47</v>
      </c>
      <c r="G1434" t="s">
        <v>3532</v>
      </c>
      <c r="H1434" s="10">
        <v>100000</v>
      </c>
      <c r="I1434" s="10">
        <v>0</v>
      </c>
      <c r="J1434" s="10">
        <v>0</v>
      </c>
      <c r="L1434" t="s">
        <v>34</v>
      </c>
      <c r="M1434" t="s">
        <v>26</v>
      </c>
      <c r="N1434" t="s">
        <v>729</v>
      </c>
      <c r="O1434" s="2">
        <v>45352</v>
      </c>
      <c r="P1434" s="2">
        <v>45716</v>
      </c>
      <c r="Q1434">
        <v>0</v>
      </c>
      <c r="R1434" t="s">
        <v>3533</v>
      </c>
    </row>
    <row r="1435" spans="1:18" x14ac:dyDescent="0.25">
      <c r="A1435" t="s">
        <v>3537</v>
      </c>
      <c r="B1435" t="s">
        <v>5045</v>
      </c>
      <c r="C1435" t="s">
        <v>38</v>
      </c>
      <c r="D1435" t="s">
        <v>21</v>
      </c>
      <c r="E1435" t="s">
        <v>255</v>
      </c>
      <c r="F1435" t="s">
        <v>47</v>
      </c>
      <c r="G1435" t="s">
        <v>3541</v>
      </c>
      <c r="H1435" s="11">
        <v>410877</v>
      </c>
      <c r="I1435" s="11">
        <v>0</v>
      </c>
      <c r="J1435" s="11">
        <v>0</v>
      </c>
      <c r="L1435" t="s">
        <v>55</v>
      </c>
      <c r="M1435" t="s">
        <v>143</v>
      </c>
      <c r="N1435" t="s">
        <v>3542</v>
      </c>
      <c r="O1435" s="2">
        <v>39904</v>
      </c>
      <c r="P1435" s="2">
        <v>40999</v>
      </c>
      <c r="Q1435">
        <v>0</v>
      </c>
      <c r="R1435" t="s">
        <v>3543</v>
      </c>
    </row>
    <row r="1436" spans="1:18" x14ac:dyDescent="0.25">
      <c r="A1436" t="s">
        <v>3537</v>
      </c>
      <c r="B1436" t="s">
        <v>5045</v>
      </c>
      <c r="C1436" t="s">
        <v>38</v>
      </c>
      <c r="D1436" t="s">
        <v>21</v>
      </c>
      <c r="E1436" t="s">
        <v>172</v>
      </c>
      <c r="F1436" t="s">
        <v>23</v>
      </c>
      <c r="G1436" t="s">
        <v>3538</v>
      </c>
      <c r="H1436" s="10">
        <v>647040</v>
      </c>
      <c r="I1436" s="10">
        <v>0</v>
      </c>
      <c r="J1436" s="10">
        <v>0</v>
      </c>
      <c r="L1436" t="s">
        <v>42</v>
      </c>
      <c r="M1436" t="s">
        <v>143</v>
      </c>
      <c r="N1436" t="s">
        <v>3539</v>
      </c>
      <c r="O1436" s="2">
        <v>40452</v>
      </c>
      <c r="P1436" s="2">
        <v>42277</v>
      </c>
      <c r="Q1436">
        <v>0</v>
      </c>
      <c r="R1436" t="s">
        <v>3540</v>
      </c>
    </row>
    <row r="1437" spans="1:18" x14ac:dyDescent="0.25">
      <c r="A1437" t="s">
        <v>4960</v>
      </c>
      <c r="B1437" t="s">
        <v>114</v>
      </c>
      <c r="C1437" t="s">
        <v>20</v>
      </c>
      <c r="D1437" t="s">
        <v>4557</v>
      </c>
      <c r="E1437" t="s">
        <v>4570</v>
      </c>
      <c r="F1437" t="s">
        <v>4559</v>
      </c>
      <c r="G1437" t="s">
        <v>4961</v>
      </c>
      <c r="H1437" s="10">
        <v>272390</v>
      </c>
      <c r="I1437" s="10">
        <v>0</v>
      </c>
      <c r="J1437" s="10">
        <v>0</v>
      </c>
      <c r="L1437" t="s">
        <v>55</v>
      </c>
      <c r="M1437" t="s">
        <v>831</v>
      </c>
      <c r="N1437" t="s">
        <v>5995</v>
      </c>
      <c r="O1437" s="2">
        <v>42826</v>
      </c>
      <c r="P1437" s="2">
        <v>43921</v>
      </c>
      <c r="Q1437">
        <v>1</v>
      </c>
      <c r="R1437" t="s">
        <v>5994</v>
      </c>
    </row>
    <row r="1438" spans="1:18" x14ac:dyDescent="0.25">
      <c r="A1438" t="s">
        <v>3544</v>
      </c>
      <c r="B1438" t="s">
        <v>3285</v>
      </c>
      <c r="C1438" t="s">
        <v>20</v>
      </c>
      <c r="D1438" t="s">
        <v>21</v>
      </c>
      <c r="E1438" t="s">
        <v>751</v>
      </c>
      <c r="F1438" t="s">
        <v>47</v>
      </c>
      <c r="G1438" t="s">
        <v>3545</v>
      </c>
      <c r="H1438" s="11">
        <v>100000</v>
      </c>
      <c r="I1438" s="11">
        <v>0</v>
      </c>
      <c r="J1438" s="11">
        <v>0</v>
      </c>
      <c r="L1438" t="s">
        <v>34</v>
      </c>
      <c r="M1438" t="s">
        <v>26</v>
      </c>
      <c r="N1438" t="s">
        <v>3546</v>
      </c>
      <c r="O1438" s="2">
        <v>39873</v>
      </c>
      <c r="P1438" s="2">
        <v>40086</v>
      </c>
      <c r="Q1438">
        <v>0</v>
      </c>
      <c r="R1438" t="s">
        <v>3547</v>
      </c>
    </row>
    <row r="1439" spans="1:18" x14ac:dyDescent="0.25">
      <c r="A1439" t="s">
        <v>3544</v>
      </c>
      <c r="B1439" t="s">
        <v>3285</v>
      </c>
      <c r="C1439" t="s">
        <v>20</v>
      </c>
      <c r="D1439" t="s">
        <v>21</v>
      </c>
      <c r="E1439" t="s">
        <v>194</v>
      </c>
      <c r="F1439" t="s">
        <v>47</v>
      </c>
      <c r="G1439" t="s">
        <v>3545</v>
      </c>
      <c r="H1439" s="11">
        <v>385416</v>
      </c>
      <c r="I1439" s="11">
        <v>0</v>
      </c>
      <c r="J1439" s="11">
        <v>0</v>
      </c>
      <c r="L1439" t="s">
        <v>55</v>
      </c>
      <c r="M1439" t="s">
        <v>26</v>
      </c>
      <c r="N1439" t="s">
        <v>3546</v>
      </c>
      <c r="O1439" s="2">
        <v>40087</v>
      </c>
      <c r="P1439" s="2">
        <v>41182</v>
      </c>
      <c r="Q1439">
        <v>0</v>
      </c>
      <c r="R1439" t="s">
        <v>3547</v>
      </c>
    </row>
    <row r="1440" spans="1:18" x14ac:dyDescent="0.25">
      <c r="A1440" t="s">
        <v>5495</v>
      </c>
      <c r="B1440" t="s">
        <v>49</v>
      </c>
      <c r="C1440" t="s">
        <v>50</v>
      </c>
      <c r="D1440" t="s">
        <v>1027</v>
      </c>
      <c r="E1440" t="s">
        <v>1028</v>
      </c>
      <c r="F1440" t="s">
        <v>1029</v>
      </c>
      <c r="G1440" t="s">
        <v>3548</v>
      </c>
      <c r="H1440" s="10">
        <v>100000</v>
      </c>
      <c r="I1440" s="10">
        <v>0</v>
      </c>
      <c r="J1440" s="10">
        <v>0</v>
      </c>
      <c r="L1440" t="s">
        <v>34</v>
      </c>
      <c r="M1440" t="s">
        <v>94</v>
      </c>
      <c r="N1440" t="s">
        <v>3549</v>
      </c>
      <c r="O1440" s="2">
        <v>40087</v>
      </c>
      <c r="P1440" s="2">
        <v>40451</v>
      </c>
      <c r="Q1440">
        <v>0</v>
      </c>
      <c r="R1440" t="s">
        <v>3550</v>
      </c>
    </row>
    <row r="1441" spans="1:18" x14ac:dyDescent="0.25">
      <c r="A1441" t="s">
        <v>3551</v>
      </c>
      <c r="B1441" t="s">
        <v>240</v>
      </c>
      <c r="C1441" t="s">
        <v>20</v>
      </c>
      <c r="D1441" t="s">
        <v>21</v>
      </c>
      <c r="E1441" t="s">
        <v>287</v>
      </c>
      <c r="F1441" t="s">
        <v>109</v>
      </c>
      <c r="G1441" t="s">
        <v>3555</v>
      </c>
      <c r="H1441" s="10">
        <v>793339</v>
      </c>
      <c r="I1441" s="10">
        <v>0</v>
      </c>
      <c r="J1441" s="10">
        <v>0</v>
      </c>
      <c r="L1441" t="s">
        <v>42</v>
      </c>
      <c r="M1441" t="s">
        <v>111</v>
      </c>
      <c r="N1441" t="s">
        <v>3556</v>
      </c>
      <c r="O1441" s="2">
        <v>40634</v>
      </c>
      <c r="P1441" s="2">
        <v>42460</v>
      </c>
      <c r="Q1441">
        <v>0</v>
      </c>
      <c r="R1441" t="s">
        <v>3557</v>
      </c>
    </row>
    <row r="1442" spans="1:18" x14ac:dyDescent="0.25">
      <c r="A1442" t="s">
        <v>3551</v>
      </c>
      <c r="B1442" t="s">
        <v>240</v>
      </c>
      <c r="C1442" t="s">
        <v>20</v>
      </c>
      <c r="D1442" t="s">
        <v>51</v>
      </c>
      <c r="E1442" t="s">
        <v>158</v>
      </c>
      <c r="F1442" t="s">
        <v>109</v>
      </c>
      <c r="G1442" t="s">
        <v>3558</v>
      </c>
      <c r="H1442" s="10">
        <v>891225</v>
      </c>
      <c r="I1442" s="10">
        <v>0</v>
      </c>
      <c r="J1442" s="10">
        <v>0</v>
      </c>
      <c r="L1442" t="s">
        <v>42</v>
      </c>
      <c r="M1442" t="s">
        <v>831</v>
      </c>
      <c r="N1442" t="s">
        <v>3559</v>
      </c>
      <c r="O1442" s="2">
        <v>43922</v>
      </c>
      <c r="P1442" s="2">
        <v>45747</v>
      </c>
      <c r="Q1442">
        <v>0</v>
      </c>
      <c r="R1442" t="s">
        <v>3560</v>
      </c>
    </row>
    <row r="1443" spans="1:18" x14ac:dyDescent="0.25">
      <c r="A1443" t="s">
        <v>5109</v>
      </c>
      <c r="B1443" t="s">
        <v>240</v>
      </c>
      <c r="C1443" t="s">
        <v>20</v>
      </c>
      <c r="D1443" t="s">
        <v>21</v>
      </c>
      <c r="E1443" t="s">
        <v>108</v>
      </c>
      <c r="F1443" t="s">
        <v>109</v>
      </c>
      <c r="G1443" t="s">
        <v>3552</v>
      </c>
      <c r="H1443" s="10">
        <v>470585</v>
      </c>
      <c r="I1443" s="10">
        <v>0</v>
      </c>
      <c r="J1443" s="10">
        <v>0</v>
      </c>
      <c r="L1443" t="s">
        <v>55</v>
      </c>
      <c r="M1443" t="s">
        <v>831</v>
      </c>
      <c r="N1443" t="s">
        <v>3553</v>
      </c>
      <c r="O1443" s="2">
        <v>41548</v>
      </c>
      <c r="P1443" s="2">
        <v>42643</v>
      </c>
      <c r="Q1443">
        <v>0</v>
      </c>
      <c r="R1443" t="s">
        <v>3554</v>
      </c>
    </row>
    <row r="1444" spans="1:18" x14ac:dyDescent="0.25">
      <c r="A1444" t="s">
        <v>4962</v>
      </c>
      <c r="B1444" t="s">
        <v>107</v>
      </c>
      <c r="C1444" t="s">
        <v>38</v>
      </c>
      <c r="D1444" t="s">
        <v>4557</v>
      </c>
      <c r="E1444" t="s">
        <v>4602</v>
      </c>
      <c r="F1444" t="s">
        <v>4559</v>
      </c>
      <c r="G1444" t="s">
        <v>4963</v>
      </c>
      <c r="H1444" s="10">
        <v>400000</v>
      </c>
      <c r="I1444" s="10">
        <v>0</v>
      </c>
      <c r="J1444" s="10">
        <v>0</v>
      </c>
      <c r="L1444" t="s">
        <v>55</v>
      </c>
      <c r="M1444" t="s">
        <v>26</v>
      </c>
      <c r="N1444" t="s">
        <v>5690</v>
      </c>
      <c r="O1444" s="2">
        <v>41365</v>
      </c>
      <c r="P1444" s="2">
        <v>42460</v>
      </c>
      <c r="Q1444">
        <v>0</v>
      </c>
      <c r="R1444" t="s">
        <v>5689</v>
      </c>
    </row>
    <row r="1445" spans="1:18" x14ac:dyDescent="0.25">
      <c r="A1445" t="s">
        <v>4539</v>
      </c>
      <c r="B1445" t="s">
        <v>98</v>
      </c>
      <c r="C1445" t="s">
        <v>20</v>
      </c>
      <c r="D1445" t="s">
        <v>4499</v>
      </c>
      <c r="E1445" t="s">
        <v>4500</v>
      </c>
      <c r="F1445" t="s">
        <v>4501</v>
      </c>
      <c r="G1445" t="s">
        <v>4540</v>
      </c>
      <c r="H1445" s="12">
        <v>100000</v>
      </c>
      <c r="I1445" s="12">
        <v>0</v>
      </c>
      <c r="J1445" s="10">
        <v>0</v>
      </c>
      <c r="L1445" t="s">
        <v>34</v>
      </c>
      <c r="M1445" t="s">
        <v>413</v>
      </c>
      <c r="N1445" t="s">
        <v>6234</v>
      </c>
      <c r="O1445" s="2">
        <v>45323</v>
      </c>
      <c r="P1445" s="2">
        <v>45688</v>
      </c>
      <c r="Q1445">
        <v>0</v>
      </c>
      <c r="R1445" t="s">
        <v>6235</v>
      </c>
    </row>
    <row r="1446" spans="1:18" x14ac:dyDescent="0.25">
      <c r="A1446" t="s">
        <v>3561</v>
      </c>
      <c r="B1446" t="s">
        <v>98</v>
      </c>
      <c r="C1446" t="s">
        <v>20</v>
      </c>
      <c r="D1446" t="s">
        <v>1377</v>
      </c>
      <c r="E1446" t="s">
        <v>1378</v>
      </c>
      <c r="F1446" t="s">
        <v>1379</v>
      </c>
      <c r="G1446" t="s">
        <v>3562</v>
      </c>
      <c r="H1446" s="10">
        <v>100000</v>
      </c>
      <c r="I1446" s="10">
        <v>0</v>
      </c>
      <c r="J1446" s="10">
        <v>0</v>
      </c>
      <c r="L1446" t="s">
        <v>34</v>
      </c>
      <c r="M1446" t="s">
        <v>94</v>
      </c>
      <c r="N1446" t="s">
        <v>3563</v>
      </c>
      <c r="O1446" s="2">
        <v>39873</v>
      </c>
      <c r="P1446" s="2">
        <v>40237</v>
      </c>
      <c r="Q1446">
        <v>0</v>
      </c>
      <c r="R1446" t="s">
        <v>3564</v>
      </c>
    </row>
    <row r="1447" spans="1:18" x14ac:dyDescent="0.25">
      <c r="A1447" t="s">
        <v>3565</v>
      </c>
      <c r="B1447" t="s">
        <v>355</v>
      </c>
      <c r="C1447" t="s">
        <v>20</v>
      </c>
      <c r="D1447" t="s">
        <v>51</v>
      </c>
      <c r="E1447" t="s">
        <v>158</v>
      </c>
      <c r="F1447" t="s">
        <v>109</v>
      </c>
      <c r="G1447" t="s">
        <v>3566</v>
      </c>
      <c r="H1447" s="10">
        <v>581246</v>
      </c>
      <c r="I1447" s="10">
        <v>0</v>
      </c>
      <c r="J1447" s="10">
        <v>0</v>
      </c>
      <c r="L1447" t="s">
        <v>55</v>
      </c>
      <c r="M1447" t="s">
        <v>103</v>
      </c>
      <c r="N1447" t="s">
        <v>3567</v>
      </c>
      <c r="O1447" s="2">
        <v>43922</v>
      </c>
      <c r="P1447" s="2">
        <v>45016</v>
      </c>
      <c r="Q1447">
        <v>1</v>
      </c>
      <c r="R1447" t="s">
        <v>3568</v>
      </c>
    </row>
    <row r="1448" spans="1:18" x14ac:dyDescent="0.25">
      <c r="A1448" t="s">
        <v>3569</v>
      </c>
      <c r="B1448" t="s">
        <v>49</v>
      </c>
      <c r="C1448" t="s">
        <v>50</v>
      </c>
      <c r="D1448" t="s">
        <v>51</v>
      </c>
      <c r="E1448" t="s">
        <v>116</v>
      </c>
      <c r="F1448" t="s">
        <v>53</v>
      </c>
      <c r="G1448" t="s">
        <v>3570</v>
      </c>
      <c r="H1448" s="10">
        <v>248625</v>
      </c>
      <c r="I1448" s="10">
        <v>0</v>
      </c>
      <c r="J1448" s="10">
        <v>0</v>
      </c>
      <c r="L1448" t="s">
        <v>84</v>
      </c>
      <c r="M1448" t="s">
        <v>26</v>
      </c>
      <c r="N1448" t="s">
        <v>3287</v>
      </c>
      <c r="O1448" s="2">
        <v>43374</v>
      </c>
      <c r="P1448" s="2">
        <v>44469</v>
      </c>
      <c r="Q1448">
        <v>0</v>
      </c>
      <c r="R1448" t="s">
        <v>3571</v>
      </c>
    </row>
    <row r="1449" spans="1:18" x14ac:dyDescent="0.25">
      <c r="A1449" t="s">
        <v>4964</v>
      </c>
      <c r="B1449" t="s">
        <v>114</v>
      </c>
      <c r="C1449" t="s">
        <v>20</v>
      </c>
      <c r="D1449" t="s">
        <v>4557</v>
      </c>
      <c r="E1449" t="s">
        <v>4567</v>
      </c>
      <c r="F1449" t="s">
        <v>4559</v>
      </c>
      <c r="G1449" t="s">
        <v>4965</v>
      </c>
      <c r="H1449" s="10">
        <v>276081</v>
      </c>
      <c r="I1449" s="10">
        <v>0</v>
      </c>
      <c r="J1449" s="10">
        <v>0</v>
      </c>
      <c r="L1449" t="s">
        <v>55</v>
      </c>
      <c r="M1449" t="s">
        <v>204</v>
      </c>
      <c r="N1449" t="s">
        <v>5802</v>
      </c>
      <c r="O1449" s="2">
        <v>41730</v>
      </c>
      <c r="P1449" s="2">
        <v>42825</v>
      </c>
      <c r="Q1449">
        <v>0</v>
      </c>
      <c r="R1449" t="s">
        <v>5801</v>
      </c>
    </row>
    <row r="1450" spans="1:18" x14ac:dyDescent="0.25">
      <c r="A1450" t="s">
        <v>5155</v>
      </c>
      <c r="B1450" t="s">
        <v>107</v>
      </c>
      <c r="C1450" t="s">
        <v>38</v>
      </c>
      <c r="D1450" t="s">
        <v>99</v>
      </c>
      <c r="E1450" t="s">
        <v>100</v>
      </c>
      <c r="F1450" t="s">
        <v>101</v>
      </c>
      <c r="G1450" t="s">
        <v>3572</v>
      </c>
      <c r="H1450" s="10">
        <v>745124</v>
      </c>
      <c r="I1450" s="10">
        <v>0</v>
      </c>
      <c r="J1450" s="10">
        <v>0</v>
      </c>
      <c r="L1450" t="s">
        <v>34</v>
      </c>
      <c r="M1450" t="s">
        <v>94</v>
      </c>
      <c r="N1450" t="s">
        <v>3573</v>
      </c>
      <c r="O1450" s="2">
        <v>43983</v>
      </c>
      <c r="P1450" s="2">
        <v>44347</v>
      </c>
      <c r="Q1450">
        <v>0</v>
      </c>
      <c r="R1450" t="s">
        <v>3574</v>
      </c>
    </row>
    <row r="1451" spans="1:18" x14ac:dyDescent="0.25">
      <c r="A1451" t="s">
        <v>3575</v>
      </c>
      <c r="B1451" t="s">
        <v>49</v>
      </c>
      <c r="C1451" t="s">
        <v>50</v>
      </c>
      <c r="D1451" t="s">
        <v>21</v>
      </c>
      <c r="E1451" t="s">
        <v>74</v>
      </c>
      <c r="F1451" t="s">
        <v>32</v>
      </c>
      <c r="G1451" t="s">
        <v>3576</v>
      </c>
      <c r="H1451" s="10">
        <v>409800</v>
      </c>
      <c r="I1451" s="10">
        <v>0</v>
      </c>
      <c r="J1451" s="10">
        <v>0</v>
      </c>
      <c r="L1451" t="s">
        <v>55</v>
      </c>
      <c r="M1451" t="s">
        <v>26</v>
      </c>
      <c r="N1451" t="s">
        <v>3577</v>
      </c>
      <c r="O1451" s="2">
        <v>41000</v>
      </c>
      <c r="P1451" s="2">
        <v>42094</v>
      </c>
      <c r="Q1451">
        <v>0</v>
      </c>
      <c r="R1451" t="s">
        <v>3578</v>
      </c>
    </row>
    <row r="1452" spans="1:18" x14ac:dyDescent="0.25">
      <c r="A1452" t="s">
        <v>3575</v>
      </c>
      <c r="B1452" t="s">
        <v>49</v>
      </c>
      <c r="C1452" t="s">
        <v>50</v>
      </c>
      <c r="D1452" t="s">
        <v>21</v>
      </c>
      <c r="E1452" t="s">
        <v>377</v>
      </c>
      <c r="F1452" t="s">
        <v>32</v>
      </c>
      <c r="G1452" t="s">
        <v>3581</v>
      </c>
      <c r="H1452" s="10">
        <v>458026</v>
      </c>
      <c r="I1452" s="10">
        <v>0</v>
      </c>
      <c r="J1452" s="10">
        <v>0</v>
      </c>
      <c r="L1452" t="s">
        <v>55</v>
      </c>
      <c r="M1452" t="s">
        <v>26</v>
      </c>
      <c r="N1452" t="s">
        <v>3582</v>
      </c>
      <c r="O1452" s="2">
        <v>41183</v>
      </c>
      <c r="P1452" s="2">
        <v>42185</v>
      </c>
      <c r="Q1452">
        <v>0</v>
      </c>
      <c r="R1452" t="s">
        <v>3583</v>
      </c>
    </row>
    <row r="1453" spans="1:18" x14ac:dyDescent="0.25">
      <c r="A1453" t="s">
        <v>3575</v>
      </c>
      <c r="B1453" t="s">
        <v>49</v>
      </c>
      <c r="C1453" t="s">
        <v>50</v>
      </c>
      <c r="D1453" t="s">
        <v>51</v>
      </c>
      <c r="E1453" t="s">
        <v>208</v>
      </c>
      <c r="F1453" t="s">
        <v>128</v>
      </c>
      <c r="G1453" t="s">
        <v>3579</v>
      </c>
      <c r="H1453" s="10">
        <v>956250</v>
      </c>
      <c r="I1453" s="10">
        <v>0</v>
      </c>
      <c r="J1453" s="10">
        <v>0</v>
      </c>
      <c r="L1453" t="s">
        <v>42</v>
      </c>
      <c r="M1453" t="s">
        <v>26</v>
      </c>
      <c r="N1453" t="s">
        <v>308</v>
      </c>
      <c r="O1453" s="2">
        <v>45383</v>
      </c>
      <c r="P1453" s="2">
        <v>47208</v>
      </c>
      <c r="Q1453">
        <v>0</v>
      </c>
      <c r="R1453" t="s">
        <v>3580</v>
      </c>
    </row>
    <row r="1454" spans="1:18" x14ac:dyDescent="0.25">
      <c r="A1454" t="s">
        <v>3584</v>
      </c>
      <c r="B1454" t="s">
        <v>4493</v>
      </c>
      <c r="C1454" t="s">
        <v>38</v>
      </c>
      <c r="D1454" t="s">
        <v>21</v>
      </c>
      <c r="E1454" t="s">
        <v>534</v>
      </c>
      <c r="F1454" t="s">
        <v>109</v>
      </c>
      <c r="G1454" t="s">
        <v>3587</v>
      </c>
      <c r="H1454" s="10">
        <v>631588</v>
      </c>
      <c r="I1454" s="10">
        <v>0</v>
      </c>
      <c r="J1454" s="10">
        <v>0</v>
      </c>
      <c r="L1454" t="s">
        <v>25</v>
      </c>
      <c r="M1454" t="s">
        <v>103</v>
      </c>
      <c r="N1454" t="s">
        <v>3588</v>
      </c>
      <c r="O1454" s="2">
        <v>40817</v>
      </c>
      <c r="P1454" s="2">
        <v>42277</v>
      </c>
      <c r="Q1454">
        <v>0</v>
      </c>
      <c r="R1454" t="s">
        <v>3589</v>
      </c>
    </row>
    <row r="1455" spans="1:18" x14ac:dyDescent="0.25">
      <c r="A1455" t="s">
        <v>3584</v>
      </c>
      <c r="B1455" t="s">
        <v>4493</v>
      </c>
      <c r="C1455" t="s">
        <v>38</v>
      </c>
      <c r="D1455" t="s">
        <v>5165</v>
      </c>
      <c r="E1455" t="s">
        <v>5188</v>
      </c>
      <c r="F1455" t="s">
        <v>4554</v>
      </c>
      <c r="G1455" t="s">
        <v>5235</v>
      </c>
      <c r="H1455" s="10">
        <v>274796</v>
      </c>
      <c r="I1455" s="10">
        <v>0</v>
      </c>
      <c r="J1455" s="10">
        <v>0</v>
      </c>
      <c r="L1455" t="s">
        <v>55</v>
      </c>
      <c r="M1455" t="s">
        <v>103</v>
      </c>
      <c r="N1455" t="s">
        <v>3588</v>
      </c>
      <c r="O1455" s="2">
        <v>41183</v>
      </c>
      <c r="P1455" s="2">
        <v>42277</v>
      </c>
      <c r="Q1455">
        <v>0</v>
      </c>
      <c r="R1455" t="s">
        <v>5811</v>
      </c>
    </row>
    <row r="1456" spans="1:18" x14ac:dyDescent="0.25">
      <c r="A1456" t="s">
        <v>5273</v>
      </c>
      <c r="B1456" t="s">
        <v>4493</v>
      </c>
      <c r="C1456" t="s">
        <v>38</v>
      </c>
      <c r="D1456" t="s">
        <v>5248</v>
      </c>
      <c r="E1456" t="s">
        <v>5274</v>
      </c>
      <c r="F1456" t="s">
        <v>4554</v>
      </c>
      <c r="G1456" t="s">
        <v>5275</v>
      </c>
      <c r="H1456" s="10">
        <v>120845</v>
      </c>
      <c r="I1456" s="10">
        <v>0</v>
      </c>
      <c r="J1456" s="10">
        <v>0</v>
      </c>
      <c r="L1456" t="s">
        <v>55</v>
      </c>
      <c r="M1456" t="s">
        <v>103</v>
      </c>
      <c r="N1456" t="s">
        <v>5766</v>
      </c>
      <c r="O1456" s="2">
        <v>39904</v>
      </c>
      <c r="P1456" s="2">
        <v>40999</v>
      </c>
      <c r="Q1456">
        <v>2</v>
      </c>
      <c r="R1456" t="s">
        <v>5765</v>
      </c>
    </row>
    <row r="1457" spans="1:18" x14ac:dyDescent="0.25">
      <c r="A1457" t="s">
        <v>5444</v>
      </c>
      <c r="B1457" t="s">
        <v>4493</v>
      </c>
      <c r="C1457" t="s">
        <v>38</v>
      </c>
      <c r="D1457" t="s">
        <v>51</v>
      </c>
      <c r="E1457" t="s">
        <v>259</v>
      </c>
      <c r="F1457" t="s">
        <v>109</v>
      </c>
      <c r="G1457" t="s">
        <v>3585</v>
      </c>
      <c r="H1457" s="10">
        <v>619651</v>
      </c>
      <c r="I1457" s="10">
        <v>0</v>
      </c>
      <c r="J1457" s="10">
        <v>0</v>
      </c>
      <c r="L1457" t="s">
        <v>25</v>
      </c>
      <c r="M1457" t="s">
        <v>26</v>
      </c>
      <c r="N1457" t="s">
        <v>600</v>
      </c>
      <c r="O1457" s="2">
        <v>44105</v>
      </c>
      <c r="P1457" s="2">
        <v>45565</v>
      </c>
      <c r="Q1457">
        <v>0</v>
      </c>
      <c r="R1457" t="s">
        <v>3586</v>
      </c>
    </row>
    <row r="1458" spans="1:18" x14ac:dyDescent="0.25">
      <c r="A1458" t="s">
        <v>4966</v>
      </c>
      <c r="B1458" t="s">
        <v>4496</v>
      </c>
      <c r="C1458" t="s">
        <v>38</v>
      </c>
      <c r="D1458" t="s">
        <v>4557</v>
      </c>
      <c r="E1458" t="s">
        <v>4562</v>
      </c>
      <c r="F1458" t="s">
        <v>4559</v>
      </c>
      <c r="G1458" t="s">
        <v>4967</v>
      </c>
      <c r="H1458" s="10">
        <v>278520</v>
      </c>
      <c r="I1458" s="10">
        <v>3500</v>
      </c>
      <c r="J1458" s="10">
        <v>0</v>
      </c>
      <c r="L1458" t="s">
        <v>55</v>
      </c>
      <c r="M1458" t="s">
        <v>103</v>
      </c>
      <c r="N1458" t="s">
        <v>5569</v>
      </c>
      <c r="O1458" s="2">
        <v>43922</v>
      </c>
      <c r="P1458" s="2">
        <v>45016</v>
      </c>
      <c r="Q1458">
        <v>0</v>
      </c>
      <c r="R1458" t="s">
        <v>5568</v>
      </c>
    </row>
    <row r="1459" spans="1:18" x14ac:dyDescent="0.25">
      <c r="A1459" t="s">
        <v>3590</v>
      </c>
      <c r="B1459" t="s">
        <v>2610</v>
      </c>
      <c r="C1459" t="s">
        <v>20</v>
      </c>
      <c r="D1459" t="s">
        <v>99</v>
      </c>
      <c r="E1459" t="s">
        <v>100</v>
      </c>
      <c r="F1459" t="s">
        <v>101</v>
      </c>
      <c r="G1459" t="s">
        <v>3591</v>
      </c>
      <c r="H1459" s="10">
        <v>211250</v>
      </c>
      <c r="I1459" s="10">
        <v>0</v>
      </c>
      <c r="J1459" s="10">
        <v>0</v>
      </c>
      <c r="L1459" t="s">
        <v>34</v>
      </c>
      <c r="M1459" t="s">
        <v>94</v>
      </c>
      <c r="N1459" t="s">
        <v>3592</v>
      </c>
      <c r="O1459" s="2">
        <v>43983</v>
      </c>
      <c r="P1459" s="2">
        <v>44347</v>
      </c>
      <c r="Q1459">
        <v>0</v>
      </c>
      <c r="R1459" t="s">
        <v>3593</v>
      </c>
    </row>
    <row r="1460" spans="1:18" x14ac:dyDescent="0.25">
      <c r="A1460" t="s">
        <v>3590</v>
      </c>
      <c r="B1460" t="s">
        <v>2610</v>
      </c>
      <c r="C1460" t="s">
        <v>20</v>
      </c>
      <c r="D1460" t="s">
        <v>51</v>
      </c>
      <c r="E1460" t="s">
        <v>259</v>
      </c>
      <c r="F1460" t="s">
        <v>23</v>
      </c>
      <c r="G1460" t="s">
        <v>3594</v>
      </c>
      <c r="H1460" s="10">
        <v>367200</v>
      </c>
      <c r="I1460" s="10">
        <v>0</v>
      </c>
      <c r="J1460" s="10">
        <v>0</v>
      </c>
      <c r="L1460" t="s">
        <v>55</v>
      </c>
      <c r="M1460" t="s">
        <v>26</v>
      </c>
      <c r="N1460" t="s">
        <v>135</v>
      </c>
      <c r="O1460" s="2">
        <v>44105</v>
      </c>
      <c r="P1460" s="2">
        <v>45199</v>
      </c>
      <c r="Q1460">
        <v>1</v>
      </c>
      <c r="R1460" t="s">
        <v>3595</v>
      </c>
    </row>
    <row r="1461" spans="1:18" x14ac:dyDescent="0.25">
      <c r="A1461" t="s">
        <v>3596</v>
      </c>
      <c r="B1461" t="s">
        <v>4464</v>
      </c>
      <c r="C1461" t="s">
        <v>20</v>
      </c>
      <c r="D1461" t="s">
        <v>21</v>
      </c>
      <c r="E1461" t="s">
        <v>255</v>
      </c>
      <c r="F1461" t="s">
        <v>32</v>
      </c>
      <c r="G1461" t="s">
        <v>3600</v>
      </c>
      <c r="H1461" s="11">
        <v>380709</v>
      </c>
      <c r="I1461" s="11">
        <v>0</v>
      </c>
      <c r="J1461" s="11">
        <v>0</v>
      </c>
      <c r="L1461" t="s">
        <v>55</v>
      </c>
      <c r="M1461" t="s">
        <v>26</v>
      </c>
      <c r="N1461" t="s">
        <v>3415</v>
      </c>
      <c r="O1461" s="2">
        <v>39904</v>
      </c>
      <c r="P1461" s="2">
        <v>40999</v>
      </c>
      <c r="Q1461">
        <v>0</v>
      </c>
      <c r="R1461" t="s">
        <v>3601</v>
      </c>
    </row>
    <row r="1462" spans="1:18" x14ac:dyDescent="0.25">
      <c r="A1462" t="s">
        <v>3596</v>
      </c>
      <c r="B1462" t="s">
        <v>4464</v>
      </c>
      <c r="C1462" t="s">
        <v>20</v>
      </c>
      <c r="D1462" t="s">
        <v>21</v>
      </c>
      <c r="E1462" t="s">
        <v>108</v>
      </c>
      <c r="F1462" t="s">
        <v>47</v>
      </c>
      <c r="G1462" t="s">
        <v>3597</v>
      </c>
      <c r="H1462" s="10">
        <v>377124</v>
      </c>
      <c r="I1462" s="10">
        <v>0</v>
      </c>
      <c r="J1462" s="10">
        <v>0</v>
      </c>
      <c r="L1462" t="s">
        <v>55</v>
      </c>
      <c r="M1462" t="s">
        <v>26</v>
      </c>
      <c r="N1462" t="s">
        <v>3598</v>
      </c>
      <c r="O1462" s="2">
        <v>41548</v>
      </c>
      <c r="P1462" s="2">
        <v>42643</v>
      </c>
      <c r="Q1462">
        <v>0</v>
      </c>
      <c r="R1462" t="s">
        <v>3599</v>
      </c>
    </row>
    <row r="1463" spans="1:18" x14ac:dyDescent="0.25">
      <c r="A1463" t="s">
        <v>3602</v>
      </c>
      <c r="B1463" t="s">
        <v>157</v>
      </c>
      <c r="C1463" t="s">
        <v>38</v>
      </c>
      <c r="D1463" t="s">
        <v>51</v>
      </c>
      <c r="E1463" t="s">
        <v>70</v>
      </c>
      <c r="F1463" t="s">
        <v>47</v>
      </c>
      <c r="G1463" t="s">
        <v>3603</v>
      </c>
      <c r="H1463" s="10">
        <v>1162800</v>
      </c>
      <c r="I1463" s="10">
        <v>0</v>
      </c>
      <c r="J1463" s="10">
        <v>0</v>
      </c>
      <c r="L1463" t="s">
        <v>42</v>
      </c>
      <c r="M1463" t="s">
        <v>26</v>
      </c>
      <c r="N1463" t="s">
        <v>3604</v>
      </c>
      <c r="O1463" s="2">
        <v>45200</v>
      </c>
      <c r="P1463" s="2">
        <v>47026</v>
      </c>
      <c r="Q1463">
        <v>0</v>
      </c>
      <c r="R1463" t="s">
        <v>3605</v>
      </c>
    </row>
    <row r="1464" spans="1:18" x14ac:dyDescent="0.25">
      <c r="A1464" t="s">
        <v>3606</v>
      </c>
      <c r="B1464" t="s">
        <v>107</v>
      </c>
      <c r="C1464" t="s">
        <v>38</v>
      </c>
      <c r="D1464" t="s">
        <v>395</v>
      </c>
      <c r="E1464" t="s">
        <v>429</v>
      </c>
      <c r="F1464" t="s">
        <v>32</v>
      </c>
      <c r="G1464" t="s">
        <v>3607</v>
      </c>
      <c r="H1464" s="10">
        <v>100000</v>
      </c>
      <c r="I1464" s="10">
        <v>0</v>
      </c>
      <c r="J1464" s="10">
        <v>0</v>
      </c>
      <c r="L1464" t="s">
        <v>34</v>
      </c>
      <c r="M1464" t="s">
        <v>26</v>
      </c>
      <c r="N1464" t="s">
        <v>3608</v>
      </c>
      <c r="O1464" s="2">
        <v>40269</v>
      </c>
      <c r="P1464" s="2">
        <v>40633</v>
      </c>
      <c r="Q1464">
        <v>0</v>
      </c>
      <c r="R1464" t="s">
        <v>3609</v>
      </c>
    </row>
    <row r="1465" spans="1:18" x14ac:dyDescent="0.25">
      <c r="A1465" t="s">
        <v>3610</v>
      </c>
      <c r="B1465" t="s">
        <v>355</v>
      </c>
      <c r="C1465" t="s">
        <v>20</v>
      </c>
      <c r="D1465" t="s">
        <v>21</v>
      </c>
      <c r="E1465" t="s">
        <v>194</v>
      </c>
      <c r="F1465" t="s">
        <v>109</v>
      </c>
      <c r="G1465" t="s">
        <v>3611</v>
      </c>
      <c r="H1465" s="11">
        <v>215912</v>
      </c>
      <c r="I1465" s="11">
        <v>0</v>
      </c>
      <c r="J1465" s="11">
        <v>0</v>
      </c>
      <c r="L1465" t="s">
        <v>55</v>
      </c>
      <c r="M1465" t="s">
        <v>103</v>
      </c>
      <c r="N1465" t="s">
        <v>3612</v>
      </c>
      <c r="O1465" s="2">
        <v>40087</v>
      </c>
      <c r="P1465" s="2">
        <v>41182</v>
      </c>
      <c r="Q1465">
        <v>0</v>
      </c>
      <c r="R1465" t="s">
        <v>3613</v>
      </c>
    </row>
    <row r="1466" spans="1:18" x14ac:dyDescent="0.25">
      <c r="A1466" t="s">
        <v>3610</v>
      </c>
      <c r="B1466" t="s">
        <v>355</v>
      </c>
      <c r="C1466" t="s">
        <v>20</v>
      </c>
      <c r="D1466" t="s">
        <v>21</v>
      </c>
      <c r="E1466" t="s">
        <v>74</v>
      </c>
      <c r="F1466" t="s">
        <v>109</v>
      </c>
      <c r="G1466" t="s">
        <v>3614</v>
      </c>
      <c r="H1466" s="10">
        <v>451668</v>
      </c>
      <c r="I1466" s="10">
        <v>0</v>
      </c>
      <c r="J1466" s="10">
        <v>0</v>
      </c>
      <c r="L1466" t="s">
        <v>25</v>
      </c>
      <c r="M1466" t="s">
        <v>111</v>
      </c>
      <c r="N1466" t="s">
        <v>3615</v>
      </c>
      <c r="O1466" s="2">
        <v>41000</v>
      </c>
      <c r="P1466" s="2">
        <v>42460</v>
      </c>
      <c r="Q1466">
        <v>0</v>
      </c>
      <c r="R1466" t="s">
        <v>3616</v>
      </c>
    </row>
    <row r="1467" spans="1:18" x14ac:dyDescent="0.25">
      <c r="A1467" t="s">
        <v>3610</v>
      </c>
      <c r="B1467" t="s">
        <v>355</v>
      </c>
      <c r="C1467" t="s">
        <v>20</v>
      </c>
      <c r="D1467" t="s">
        <v>21</v>
      </c>
      <c r="E1467" t="s">
        <v>108</v>
      </c>
      <c r="F1467" t="s">
        <v>109</v>
      </c>
      <c r="G1467" t="s">
        <v>3621</v>
      </c>
      <c r="H1467" s="10">
        <v>459168</v>
      </c>
      <c r="I1467" s="10">
        <v>0</v>
      </c>
      <c r="J1467" s="10">
        <v>0</v>
      </c>
      <c r="L1467" t="s">
        <v>25</v>
      </c>
      <c r="M1467" t="s">
        <v>103</v>
      </c>
      <c r="N1467" t="s">
        <v>3622</v>
      </c>
      <c r="O1467" s="2">
        <v>41548</v>
      </c>
      <c r="P1467" s="2">
        <v>43190</v>
      </c>
      <c r="Q1467">
        <v>0</v>
      </c>
      <c r="R1467" t="s">
        <v>3623</v>
      </c>
    </row>
    <row r="1468" spans="1:18" x14ac:dyDescent="0.25">
      <c r="A1468" t="s">
        <v>3610</v>
      </c>
      <c r="B1468" t="s">
        <v>355</v>
      </c>
      <c r="C1468" t="s">
        <v>20</v>
      </c>
      <c r="D1468" t="s">
        <v>51</v>
      </c>
      <c r="E1468" t="s">
        <v>52</v>
      </c>
      <c r="F1468" t="s">
        <v>109</v>
      </c>
      <c r="G1468" t="s">
        <v>3617</v>
      </c>
      <c r="H1468" s="10">
        <v>631125</v>
      </c>
      <c r="I1468" s="10">
        <v>0</v>
      </c>
      <c r="J1468" s="10">
        <v>0</v>
      </c>
      <c r="L1468" t="s">
        <v>42</v>
      </c>
      <c r="M1468" t="s">
        <v>103</v>
      </c>
      <c r="N1468" t="s">
        <v>645</v>
      </c>
      <c r="O1468" s="2">
        <v>44287</v>
      </c>
      <c r="P1468" s="2">
        <v>46112</v>
      </c>
      <c r="Q1468">
        <v>0</v>
      </c>
      <c r="R1468" t="s">
        <v>3618</v>
      </c>
    </row>
    <row r="1469" spans="1:18" x14ac:dyDescent="0.25">
      <c r="A1469" t="s">
        <v>3610</v>
      </c>
      <c r="B1469" t="s">
        <v>355</v>
      </c>
      <c r="C1469" t="s">
        <v>20</v>
      </c>
      <c r="D1469" t="s">
        <v>51</v>
      </c>
      <c r="E1469" t="s">
        <v>197</v>
      </c>
      <c r="F1469" t="s">
        <v>109</v>
      </c>
      <c r="G1469" t="s">
        <v>3619</v>
      </c>
      <c r="H1469" s="10">
        <v>612000</v>
      </c>
      <c r="I1469" s="10">
        <v>0</v>
      </c>
      <c r="J1469" s="10">
        <v>0</v>
      </c>
      <c r="L1469" t="s">
        <v>42</v>
      </c>
      <c r="M1469" t="s">
        <v>217</v>
      </c>
      <c r="N1469" t="s">
        <v>458</v>
      </c>
      <c r="O1469" s="2">
        <v>44652</v>
      </c>
      <c r="P1469" s="2">
        <v>46477</v>
      </c>
      <c r="Q1469">
        <v>0</v>
      </c>
      <c r="R1469" t="s">
        <v>3620</v>
      </c>
    </row>
    <row r="1470" spans="1:18" x14ac:dyDescent="0.25">
      <c r="A1470" t="s">
        <v>4970</v>
      </c>
      <c r="B1470" t="s">
        <v>196</v>
      </c>
      <c r="C1470" t="s">
        <v>20</v>
      </c>
      <c r="D1470" t="s">
        <v>4557</v>
      </c>
      <c r="E1470" t="s">
        <v>4597</v>
      </c>
      <c r="F1470" t="s">
        <v>4559</v>
      </c>
      <c r="G1470" t="s">
        <v>4971</v>
      </c>
      <c r="H1470" s="10">
        <v>185373</v>
      </c>
      <c r="I1470" s="10">
        <v>0</v>
      </c>
      <c r="J1470" s="10">
        <v>0</v>
      </c>
      <c r="L1470" t="s">
        <v>55</v>
      </c>
      <c r="M1470" t="s">
        <v>831</v>
      </c>
      <c r="N1470" t="s">
        <v>3553</v>
      </c>
      <c r="O1470" s="2">
        <v>42095</v>
      </c>
      <c r="P1470" s="2">
        <v>43190</v>
      </c>
      <c r="Q1470">
        <v>0</v>
      </c>
      <c r="R1470" t="s">
        <v>5848</v>
      </c>
    </row>
    <row r="1471" spans="1:18" x14ac:dyDescent="0.25">
      <c r="A1471" t="s">
        <v>3624</v>
      </c>
      <c r="B1471" t="s">
        <v>4493</v>
      </c>
      <c r="C1471" t="s">
        <v>38</v>
      </c>
      <c r="D1471" t="s">
        <v>21</v>
      </c>
      <c r="E1471" t="s">
        <v>534</v>
      </c>
      <c r="F1471" t="s">
        <v>23</v>
      </c>
      <c r="G1471" t="s">
        <v>3627</v>
      </c>
      <c r="H1471" s="10">
        <v>497491</v>
      </c>
      <c r="I1471" s="10">
        <v>0</v>
      </c>
      <c r="J1471" s="10">
        <v>0</v>
      </c>
      <c r="L1471" t="s">
        <v>25</v>
      </c>
      <c r="M1471" t="s">
        <v>26</v>
      </c>
      <c r="N1471" t="s">
        <v>3628</v>
      </c>
      <c r="O1471" s="2">
        <v>40817</v>
      </c>
      <c r="P1471" s="2">
        <v>42185</v>
      </c>
      <c r="Q1471">
        <v>0</v>
      </c>
      <c r="R1471" t="s">
        <v>3629</v>
      </c>
    </row>
    <row r="1472" spans="1:18" x14ac:dyDescent="0.25">
      <c r="A1472" t="s">
        <v>3624</v>
      </c>
      <c r="B1472" t="s">
        <v>4493</v>
      </c>
      <c r="C1472" t="s">
        <v>38</v>
      </c>
      <c r="D1472" t="s">
        <v>51</v>
      </c>
      <c r="E1472" t="s">
        <v>197</v>
      </c>
      <c r="F1472" t="s">
        <v>47</v>
      </c>
      <c r="G1472" t="s">
        <v>3630</v>
      </c>
      <c r="H1472" s="10">
        <v>765000</v>
      </c>
      <c r="I1472" s="10">
        <v>0</v>
      </c>
      <c r="J1472" s="10">
        <v>0</v>
      </c>
      <c r="L1472" t="s">
        <v>42</v>
      </c>
      <c r="M1472" t="s">
        <v>26</v>
      </c>
      <c r="N1472" t="s">
        <v>135</v>
      </c>
      <c r="O1472" s="2">
        <v>44652</v>
      </c>
      <c r="P1472" s="2">
        <v>46477</v>
      </c>
      <c r="Q1472">
        <v>0</v>
      </c>
      <c r="R1472" t="s">
        <v>3631</v>
      </c>
    </row>
    <row r="1473" spans="1:18" x14ac:dyDescent="0.25">
      <c r="A1473" t="s">
        <v>3624</v>
      </c>
      <c r="B1473" t="s">
        <v>4493</v>
      </c>
      <c r="C1473" t="s">
        <v>38</v>
      </c>
      <c r="D1473" t="s">
        <v>51</v>
      </c>
      <c r="E1473" t="s">
        <v>208</v>
      </c>
      <c r="F1473" t="s">
        <v>32</v>
      </c>
      <c r="G1473" t="s">
        <v>3625</v>
      </c>
      <c r="H1473" s="10">
        <v>1013625</v>
      </c>
      <c r="I1473" s="10">
        <v>0</v>
      </c>
      <c r="J1473" s="10">
        <v>0</v>
      </c>
      <c r="L1473" t="s">
        <v>42</v>
      </c>
      <c r="M1473" t="s">
        <v>26</v>
      </c>
      <c r="N1473" t="s">
        <v>135</v>
      </c>
      <c r="O1473" s="2">
        <v>45383</v>
      </c>
      <c r="P1473" s="2">
        <v>47208</v>
      </c>
      <c r="Q1473">
        <v>0</v>
      </c>
      <c r="R1473" t="s">
        <v>3626</v>
      </c>
    </row>
    <row r="1474" spans="1:18" x14ac:dyDescent="0.25">
      <c r="A1474" t="s">
        <v>3632</v>
      </c>
      <c r="B1474" t="s">
        <v>114</v>
      </c>
      <c r="C1474" t="s">
        <v>20</v>
      </c>
      <c r="D1474" t="s">
        <v>241</v>
      </c>
      <c r="E1474" t="s">
        <v>554</v>
      </c>
      <c r="F1474" t="s">
        <v>243</v>
      </c>
      <c r="G1474" t="s">
        <v>3633</v>
      </c>
      <c r="H1474" s="10">
        <v>99519</v>
      </c>
      <c r="I1474" s="10">
        <v>0</v>
      </c>
      <c r="J1474" s="10">
        <v>0</v>
      </c>
      <c r="L1474" t="s">
        <v>34</v>
      </c>
      <c r="M1474" t="s">
        <v>143</v>
      </c>
      <c r="N1474" t="s">
        <v>3634</v>
      </c>
      <c r="O1474" s="2">
        <v>39845</v>
      </c>
      <c r="P1474" s="2">
        <v>40209</v>
      </c>
      <c r="Q1474">
        <v>1</v>
      </c>
      <c r="R1474" t="s">
        <v>3635</v>
      </c>
    </row>
    <row r="1475" spans="1:18" x14ac:dyDescent="0.25">
      <c r="A1475" t="s">
        <v>3632</v>
      </c>
      <c r="B1475" t="s">
        <v>114</v>
      </c>
      <c r="C1475" t="s">
        <v>20</v>
      </c>
      <c r="D1475" t="s">
        <v>241</v>
      </c>
      <c r="E1475" t="s">
        <v>242</v>
      </c>
      <c r="F1475" t="s">
        <v>243</v>
      </c>
      <c r="G1475" t="s">
        <v>3636</v>
      </c>
      <c r="H1475" s="10">
        <v>298557</v>
      </c>
      <c r="I1475" s="10">
        <v>0</v>
      </c>
      <c r="J1475" s="10">
        <v>0</v>
      </c>
      <c r="L1475" t="s">
        <v>55</v>
      </c>
      <c r="M1475" t="s">
        <v>143</v>
      </c>
      <c r="N1475" t="s">
        <v>3634</v>
      </c>
      <c r="O1475" s="2">
        <v>40087</v>
      </c>
      <c r="P1475" s="2">
        <v>41182</v>
      </c>
      <c r="Q1475">
        <v>0</v>
      </c>
      <c r="R1475" t="s">
        <v>3635</v>
      </c>
    </row>
    <row r="1476" spans="1:18" x14ac:dyDescent="0.25">
      <c r="A1476" t="s">
        <v>3632</v>
      </c>
      <c r="B1476" t="s">
        <v>114</v>
      </c>
      <c r="C1476" t="s">
        <v>20</v>
      </c>
      <c r="D1476" t="s">
        <v>51</v>
      </c>
      <c r="E1476" t="s">
        <v>122</v>
      </c>
      <c r="F1476" t="s">
        <v>128</v>
      </c>
      <c r="G1476" t="s">
        <v>3637</v>
      </c>
      <c r="H1476" s="10">
        <v>749700</v>
      </c>
      <c r="I1476" s="10">
        <v>0</v>
      </c>
      <c r="J1476" s="10">
        <v>0</v>
      </c>
      <c r="L1476" t="s">
        <v>55</v>
      </c>
      <c r="M1476" t="s">
        <v>26</v>
      </c>
      <c r="N1476" t="s">
        <v>3535</v>
      </c>
      <c r="O1476" s="2">
        <v>43739</v>
      </c>
      <c r="P1476" s="2">
        <v>44834</v>
      </c>
      <c r="Q1476">
        <v>2</v>
      </c>
      <c r="R1476" t="s">
        <v>3638</v>
      </c>
    </row>
    <row r="1477" spans="1:18" x14ac:dyDescent="0.25">
      <c r="A1477" t="s">
        <v>3639</v>
      </c>
      <c r="B1477" t="s">
        <v>19</v>
      </c>
      <c r="C1477" t="s">
        <v>20</v>
      </c>
      <c r="D1477" t="s">
        <v>39</v>
      </c>
      <c r="E1477" t="s">
        <v>40</v>
      </c>
      <c r="F1477" t="s">
        <v>32</v>
      </c>
      <c r="G1477" t="s">
        <v>3640</v>
      </c>
      <c r="H1477" s="10">
        <v>481140</v>
      </c>
      <c r="I1477" s="10">
        <v>0</v>
      </c>
      <c r="J1477" s="10">
        <v>0</v>
      </c>
      <c r="L1477" t="s">
        <v>25</v>
      </c>
      <c r="M1477" t="s">
        <v>26</v>
      </c>
      <c r="N1477" t="s">
        <v>3641</v>
      </c>
      <c r="O1477" s="2">
        <v>40452</v>
      </c>
      <c r="P1477" s="2">
        <v>41912</v>
      </c>
      <c r="Q1477">
        <v>0</v>
      </c>
      <c r="R1477" t="s">
        <v>3642</v>
      </c>
    </row>
    <row r="1478" spans="1:18" x14ac:dyDescent="0.25">
      <c r="A1478" t="s">
        <v>3639</v>
      </c>
      <c r="B1478" t="s">
        <v>19</v>
      </c>
      <c r="C1478" t="s">
        <v>20</v>
      </c>
      <c r="D1478" t="s">
        <v>51</v>
      </c>
      <c r="E1478" t="s">
        <v>52</v>
      </c>
      <c r="F1478" t="s">
        <v>32</v>
      </c>
      <c r="G1478" t="s">
        <v>3643</v>
      </c>
      <c r="H1478" s="10">
        <v>1224000</v>
      </c>
      <c r="I1478" s="10">
        <v>0</v>
      </c>
      <c r="J1478" s="10">
        <v>0</v>
      </c>
      <c r="L1478" t="s">
        <v>42</v>
      </c>
      <c r="M1478" t="s">
        <v>26</v>
      </c>
      <c r="N1478" t="s">
        <v>3644</v>
      </c>
      <c r="O1478" s="2">
        <v>44287</v>
      </c>
      <c r="P1478" s="2">
        <v>46112</v>
      </c>
      <c r="Q1478">
        <v>0</v>
      </c>
      <c r="R1478" t="s">
        <v>3645</v>
      </c>
    </row>
    <row r="1479" spans="1:18" x14ac:dyDescent="0.25">
      <c r="A1479" t="s">
        <v>5445</v>
      </c>
      <c r="B1479" t="s">
        <v>19</v>
      </c>
      <c r="C1479" t="s">
        <v>20</v>
      </c>
      <c r="D1479" t="s">
        <v>51</v>
      </c>
      <c r="E1479" t="s">
        <v>208</v>
      </c>
      <c r="F1479" t="s">
        <v>109</v>
      </c>
      <c r="G1479" t="s">
        <v>3646</v>
      </c>
      <c r="H1479" s="10">
        <v>604352</v>
      </c>
      <c r="I1479" s="10">
        <v>0</v>
      </c>
      <c r="J1479" s="10">
        <v>0</v>
      </c>
      <c r="L1479" t="s">
        <v>25</v>
      </c>
      <c r="M1479" t="s">
        <v>26</v>
      </c>
      <c r="N1479" t="s">
        <v>3647</v>
      </c>
      <c r="O1479" s="2">
        <v>45383</v>
      </c>
      <c r="P1479" s="2">
        <v>46843</v>
      </c>
      <c r="Q1479">
        <v>0</v>
      </c>
      <c r="R1479" t="s">
        <v>3648</v>
      </c>
    </row>
    <row r="1480" spans="1:18" x14ac:dyDescent="0.25">
      <c r="A1480" t="s">
        <v>4968</v>
      </c>
      <c r="B1480" t="s">
        <v>302</v>
      </c>
      <c r="C1480" t="s">
        <v>20</v>
      </c>
      <c r="D1480" t="s">
        <v>4557</v>
      </c>
      <c r="E1480" t="s">
        <v>4597</v>
      </c>
      <c r="F1480" t="s">
        <v>4559</v>
      </c>
      <c r="G1480" t="s">
        <v>4969</v>
      </c>
      <c r="H1480" s="10">
        <v>375384</v>
      </c>
      <c r="I1480" s="10">
        <v>0</v>
      </c>
      <c r="J1480" s="10">
        <v>0</v>
      </c>
      <c r="L1480" t="s">
        <v>55</v>
      </c>
      <c r="M1480" t="s">
        <v>94</v>
      </c>
      <c r="N1480" t="s">
        <v>5771</v>
      </c>
      <c r="O1480" s="2">
        <v>42095</v>
      </c>
      <c r="P1480" s="2">
        <v>43190</v>
      </c>
      <c r="Q1480">
        <v>0</v>
      </c>
      <c r="R1480" t="s">
        <v>5770</v>
      </c>
    </row>
    <row r="1481" spans="1:18" x14ac:dyDescent="0.25">
      <c r="A1481" t="s">
        <v>5110</v>
      </c>
      <c r="B1481" t="s">
        <v>121</v>
      </c>
      <c r="C1481" t="s">
        <v>20</v>
      </c>
      <c r="D1481" t="s">
        <v>21</v>
      </c>
      <c r="E1481" t="s">
        <v>549</v>
      </c>
      <c r="F1481" t="s">
        <v>32</v>
      </c>
      <c r="G1481" t="s">
        <v>3649</v>
      </c>
      <c r="H1481" s="10">
        <v>1163874</v>
      </c>
      <c r="I1481" s="10">
        <v>0</v>
      </c>
      <c r="J1481" s="10">
        <v>0</v>
      </c>
      <c r="L1481" t="s">
        <v>42</v>
      </c>
      <c r="M1481" t="s">
        <v>26</v>
      </c>
      <c r="N1481" t="s">
        <v>325</v>
      </c>
      <c r="O1481" s="2">
        <v>42186</v>
      </c>
      <c r="P1481" s="2">
        <v>44377</v>
      </c>
      <c r="Q1481">
        <v>1</v>
      </c>
      <c r="R1481" t="s">
        <v>3650</v>
      </c>
    </row>
    <row r="1482" spans="1:18" x14ac:dyDescent="0.25">
      <c r="A1482" t="s">
        <v>3651</v>
      </c>
      <c r="B1482" t="s">
        <v>4464</v>
      </c>
      <c r="C1482" t="s">
        <v>20</v>
      </c>
      <c r="D1482" t="s">
        <v>21</v>
      </c>
      <c r="E1482" t="s">
        <v>22</v>
      </c>
      <c r="F1482" t="s">
        <v>109</v>
      </c>
      <c r="G1482" t="s">
        <v>3654</v>
      </c>
      <c r="H1482" s="10">
        <v>540084</v>
      </c>
      <c r="I1482" s="10">
        <v>0</v>
      </c>
      <c r="J1482" s="10">
        <v>0</v>
      </c>
      <c r="L1482" t="s">
        <v>25</v>
      </c>
      <c r="M1482" t="s">
        <v>26</v>
      </c>
      <c r="N1482" t="s">
        <v>3655</v>
      </c>
      <c r="O1482" s="2">
        <v>41365</v>
      </c>
      <c r="P1482" s="2">
        <v>42825</v>
      </c>
      <c r="Q1482">
        <v>0</v>
      </c>
      <c r="R1482" t="s">
        <v>3656</v>
      </c>
    </row>
    <row r="1483" spans="1:18" x14ac:dyDescent="0.25">
      <c r="A1483" t="s">
        <v>3651</v>
      </c>
      <c r="B1483" t="s">
        <v>4464</v>
      </c>
      <c r="C1483" t="s">
        <v>20</v>
      </c>
      <c r="D1483" t="s">
        <v>51</v>
      </c>
      <c r="E1483" t="s">
        <v>406</v>
      </c>
      <c r="F1483" t="s">
        <v>109</v>
      </c>
      <c r="G1483" t="s">
        <v>3659</v>
      </c>
      <c r="H1483" s="10">
        <v>650250</v>
      </c>
      <c r="I1483" s="10">
        <v>0</v>
      </c>
      <c r="J1483" s="10">
        <v>0</v>
      </c>
      <c r="L1483" t="s">
        <v>42</v>
      </c>
      <c r="M1483" t="s">
        <v>26</v>
      </c>
      <c r="N1483" t="s">
        <v>458</v>
      </c>
      <c r="O1483" s="2">
        <v>43191</v>
      </c>
      <c r="P1483" s="2">
        <v>45016</v>
      </c>
      <c r="Q1483">
        <v>0</v>
      </c>
      <c r="R1483" t="s">
        <v>3660</v>
      </c>
    </row>
    <row r="1484" spans="1:18" x14ac:dyDescent="0.25">
      <c r="A1484" t="s">
        <v>3651</v>
      </c>
      <c r="B1484" t="s">
        <v>4464</v>
      </c>
      <c r="C1484" t="s">
        <v>20</v>
      </c>
      <c r="D1484" t="s">
        <v>51</v>
      </c>
      <c r="E1484" t="s">
        <v>223</v>
      </c>
      <c r="F1484" t="s">
        <v>109</v>
      </c>
      <c r="G1484" t="s">
        <v>5447</v>
      </c>
      <c r="H1484" s="12">
        <v>787950</v>
      </c>
      <c r="I1484" s="12">
        <v>0</v>
      </c>
      <c r="J1484" s="10">
        <v>0</v>
      </c>
      <c r="L1484" t="s">
        <v>42</v>
      </c>
      <c r="M1484" t="s">
        <v>26</v>
      </c>
      <c r="N1484" t="s">
        <v>3652</v>
      </c>
      <c r="O1484" s="2">
        <v>45566</v>
      </c>
      <c r="P1484" s="2">
        <v>47391</v>
      </c>
      <c r="Q1484">
        <v>0</v>
      </c>
      <c r="R1484" t="s">
        <v>3653</v>
      </c>
    </row>
    <row r="1485" spans="1:18" x14ac:dyDescent="0.25">
      <c r="A1485" t="s">
        <v>5446</v>
      </c>
      <c r="B1485" t="s">
        <v>4464</v>
      </c>
      <c r="C1485" t="s">
        <v>20</v>
      </c>
      <c r="D1485" t="s">
        <v>51</v>
      </c>
      <c r="E1485" t="s">
        <v>197</v>
      </c>
      <c r="F1485" t="s">
        <v>109</v>
      </c>
      <c r="G1485" t="s">
        <v>3657</v>
      </c>
      <c r="H1485" s="10">
        <v>830024</v>
      </c>
      <c r="I1485" s="10">
        <v>0</v>
      </c>
      <c r="J1485" s="10">
        <v>0</v>
      </c>
      <c r="L1485" t="s">
        <v>1488</v>
      </c>
      <c r="M1485" t="s">
        <v>26</v>
      </c>
      <c r="N1485" t="s">
        <v>3652</v>
      </c>
      <c r="O1485" s="2">
        <v>44652</v>
      </c>
      <c r="P1485" s="2">
        <v>46843</v>
      </c>
      <c r="Q1485">
        <v>0</v>
      </c>
      <c r="R1485" t="s">
        <v>3658</v>
      </c>
    </row>
    <row r="1486" spans="1:18" x14ac:dyDescent="0.25">
      <c r="A1486" t="s">
        <v>3661</v>
      </c>
      <c r="B1486" t="s">
        <v>4464</v>
      </c>
      <c r="C1486" t="s">
        <v>20</v>
      </c>
      <c r="D1486" t="s">
        <v>21</v>
      </c>
      <c r="E1486" t="s">
        <v>255</v>
      </c>
      <c r="F1486" t="s">
        <v>109</v>
      </c>
      <c r="G1486" t="s">
        <v>3662</v>
      </c>
      <c r="H1486" s="11">
        <v>276264</v>
      </c>
      <c r="I1486" s="11">
        <v>0</v>
      </c>
      <c r="J1486" s="11">
        <v>0</v>
      </c>
      <c r="L1486" t="s">
        <v>55</v>
      </c>
      <c r="M1486" t="s">
        <v>111</v>
      </c>
      <c r="N1486" t="s">
        <v>3663</v>
      </c>
      <c r="O1486" s="2">
        <v>39904</v>
      </c>
      <c r="P1486" s="2">
        <v>40999</v>
      </c>
      <c r="Q1486">
        <v>0</v>
      </c>
      <c r="R1486" t="s">
        <v>3664</v>
      </c>
    </row>
    <row r="1487" spans="1:18" x14ac:dyDescent="0.25">
      <c r="A1487" t="s">
        <v>3661</v>
      </c>
      <c r="B1487" t="s">
        <v>4464</v>
      </c>
      <c r="C1487" t="s">
        <v>20</v>
      </c>
      <c r="D1487" t="s">
        <v>21</v>
      </c>
      <c r="E1487" t="s">
        <v>377</v>
      </c>
      <c r="F1487" t="s">
        <v>109</v>
      </c>
      <c r="G1487" t="s">
        <v>3671</v>
      </c>
      <c r="H1487" s="10">
        <v>621248</v>
      </c>
      <c r="I1487" s="10">
        <v>0</v>
      </c>
      <c r="J1487" s="10">
        <v>0</v>
      </c>
      <c r="L1487" t="s">
        <v>42</v>
      </c>
      <c r="M1487" t="s">
        <v>111</v>
      </c>
      <c r="N1487" t="s">
        <v>3672</v>
      </c>
      <c r="O1487" s="2">
        <v>41183</v>
      </c>
      <c r="P1487" s="2">
        <v>43008</v>
      </c>
      <c r="Q1487">
        <v>0</v>
      </c>
      <c r="R1487" t="s">
        <v>3673</v>
      </c>
    </row>
    <row r="1488" spans="1:18" x14ac:dyDescent="0.25">
      <c r="A1488" t="s">
        <v>5448</v>
      </c>
      <c r="B1488" t="s">
        <v>4464</v>
      </c>
      <c r="C1488" t="s">
        <v>20</v>
      </c>
      <c r="D1488" t="s">
        <v>51</v>
      </c>
      <c r="E1488" t="s">
        <v>406</v>
      </c>
      <c r="F1488" t="s">
        <v>109</v>
      </c>
      <c r="G1488" t="s">
        <v>3667</v>
      </c>
      <c r="H1488" s="10">
        <v>918000</v>
      </c>
      <c r="I1488" s="10">
        <v>0</v>
      </c>
      <c r="J1488" s="10">
        <v>0</v>
      </c>
      <c r="L1488" t="s">
        <v>42</v>
      </c>
      <c r="M1488" t="s">
        <v>111</v>
      </c>
      <c r="N1488" t="s">
        <v>458</v>
      </c>
      <c r="O1488" s="2">
        <v>43191</v>
      </c>
      <c r="P1488" s="2">
        <v>45016</v>
      </c>
      <c r="Q1488">
        <v>0</v>
      </c>
      <c r="R1488" t="s">
        <v>3668</v>
      </c>
    </row>
    <row r="1489" spans="1:18" x14ac:dyDescent="0.25">
      <c r="A1489" t="s">
        <v>5450</v>
      </c>
      <c r="B1489" t="s">
        <v>4464</v>
      </c>
      <c r="C1489" t="s">
        <v>20</v>
      </c>
      <c r="D1489" t="s">
        <v>51</v>
      </c>
      <c r="E1489" t="s">
        <v>208</v>
      </c>
      <c r="F1489" t="s">
        <v>109</v>
      </c>
      <c r="G1489" t="s">
        <v>3665</v>
      </c>
      <c r="H1489" s="10">
        <v>975375</v>
      </c>
      <c r="I1489" s="10">
        <v>0</v>
      </c>
      <c r="J1489" s="10">
        <v>0</v>
      </c>
      <c r="L1489" t="s">
        <v>42</v>
      </c>
      <c r="M1489" t="s">
        <v>111</v>
      </c>
      <c r="N1489" t="s">
        <v>458</v>
      </c>
      <c r="O1489" s="2">
        <v>45383</v>
      </c>
      <c r="P1489" s="2">
        <v>47208</v>
      </c>
      <c r="Q1489">
        <v>0</v>
      </c>
      <c r="R1489" t="s">
        <v>3666</v>
      </c>
    </row>
    <row r="1490" spans="1:18" x14ac:dyDescent="0.25">
      <c r="A1490" t="s">
        <v>5449</v>
      </c>
      <c r="B1490" t="s">
        <v>4464</v>
      </c>
      <c r="C1490" t="s">
        <v>20</v>
      </c>
      <c r="D1490" t="s">
        <v>51</v>
      </c>
      <c r="E1490" t="s">
        <v>259</v>
      </c>
      <c r="F1490" t="s">
        <v>109</v>
      </c>
      <c r="G1490" t="s">
        <v>3669</v>
      </c>
      <c r="H1490" s="10">
        <v>849150</v>
      </c>
      <c r="I1490" s="10">
        <v>0</v>
      </c>
      <c r="J1490" s="10">
        <v>0</v>
      </c>
      <c r="L1490" t="s">
        <v>42</v>
      </c>
      <c r="M1490" t="s">
        <v>111</v>
      </c>
      <c r="N1490" t="s">
        <v>458</v>
      </c>
      <c r="O1490" s="2">
        <v>44105</v>
      </c>
      <c r="P1490" s="2">
        <v>45930</v>
      </c>
      <c r="Q1490">
        <v>0</v>
      </c>
      <c r="R1490" t="s">
        <v>3670</v>
      </c>
    </row>
    <row r="1491" spans="1:18" x14ac:dyDescent="0.25">
      <c r="A1491" t="s">
        <v>3674</v>
      </c>
      <c r="B1491" t="s">
        <v>49</v>
      </c>
      <c r="C1491" t="s">
        <v>50</v>
      </c>
      <c r="D1491" t="s">
        <v>21</v>
      </c>
      <c r="E1491" t="s">
        <v>377</v>
      </c>
      <c r="F1491" t="s">
        <v>23</v>
      </c>
      <c r="G1491" t="s">
        <v>3678</v>
      </c>
      <c r="H1491" s="10">
        <v>502157</v>
      </c>
      <c r="I1491" s="10">
        <v>0</v>
      </c>
      <c r="J1491" s="10">
        <v>0</v>
      </c>
      <c r="L1491" t="s">
        <v>55</v>
      </c>
      <c r="M1491" t="s">
        <v>26</v>
      </c>
      <c r="N1491" t="s">
        <v>3679</v>
      </c>
      <c r="O1491" s="2">
        <v>41183</v>
      </c>
      <c r="P1491" s="2">
        <v>42277</v>
      </c>
      <c r="Q1491">
        <v>2</v>
      </c>
      <c r="R1491" t="s">
        <v>3680</v>
      </c>
    </row>
    <row r="1492" spans="1:18" x14ac:dyDescent="0.25">
      <c r="A1492" t="s">
        <v>3674</v>
      </c>
      <c r="B1492" t="s">
        <v>49</v>
      </c>
      <c r="C1492" t="s">
        <v>50</v>
      </c>
      <c r="D1492" t="s">
        <v>21</v>
      </c>
      <c r="E1492" t="s">
        <v>60</v>
      </c>
      <c r="F1492" t="s">
        <v>32</v>
      </c>
      <c r="G1492" t="s">
        <v>3683</v>
      </c>
      <c r="H1492" s="10">
        <v>855882</v>
      </c>
      <c r="I1492" s="10">
        <v>0</v>
      </c>
      <c r="J1492" s="10">
        <v>0</v>
      </c>
      <c r="L1492" t="s">
        <v>42</v>
      </c>
      <c r="M1492" t="s">
        <v>26</v>
      </c>
      <c r="N1492" t="s">
        <v>3684</v>
      </c>
      <c r="O1492" s="2">
        <v>41821</v>
      </c>
      <c r="P1492" s="2">
        <v>42551</v>
      </c>
      <c r="Q1492">
        <v>0</v>
      </c>
      <c r="R1492" t="s">
        <v>3685</v>
      </c>
    </row>
    <row r="1493" spans="1:18" x14ac:dyDescent="0.25">
      <c r="A1493" t="s">
        <v>3674</v>
      </c>
      <c r="B1493" t="s">
        <v>49</v>
      </c>
      <c r="C1493" t="s">
        <v>50</v>
      </c>
      <c r="D1493" t="s">
        <v>51</v>
      </c>
      <c r="E1493" t="s">
        <v>52</v>
      </c>
      <c r="F1493" t="s">
        <v>47</v>
      </c>
      <c r="G1493" t="s">
        <v>3681</v>
      </c>
      <c r="H1493" s="10">
        <v>1120725</v>
      </c>
      <c r="I1493" s="10">
        <v>0</v>
      </c>
      <c r="J1493" s="10">
        <v>0</v>
      </c>
      <c r="L1493" t="s">
        <v>42</v>
      </c>
      <c r="M1493" t="s">
        <v>26</v>
      </c>
      <c r="N1493" t="s">
        <v>3676</v>
      </c>
      <c r="O1493" s="2">
        <v>44287</v>
      </c>
      <c r="P1493" s="2">
        <v>46112</v>
      </c>
      <c r="Q1493">
        <v>0</v>
      </c>
      <c r="R1493" t="s">
        <v>3682</v>
      </c>
    </row>
    <row r="1494" spans="1:18" x14ac:dyDescent="0.25">
      <c r="A1494" t="s">
        <v>3674</v>
      </c>
      <c r="B1494" t="s">
        <v>49</v>
      </c>
      <c r="C1494" t="s">
        <v>50</v>
      </c>
      <c r="D1494" t="s">
        <v>51</v>
      </c>
      <c r="E1494" t="s">
        <v>208</v>
      </c>
      <c r="F1494" t="s">
        <v>47</v>
      </c>
      <c r="G1494" t="s">
        <v>3675</v>
      </c>
      <c r="H1494" s="10">
        <v>1048050</v>
      </c>
      <c r="I1494" s="10">
        <v>0</v>
      </c>
      <c r="J1494" s="10">
        <v>0</v>
      </c>
      <c r="L1494" t="s">
        <v>42</v>
      </c>
      <c r="M1494" t="s">
        <v>26</v>
      </c>
      <c r="N1494" t="s">
        <v>3676</v>
      </c>
      <c r="O1494" s="2">
        <v>45383</v>
      </c>
      <c r="P1494" s="2">
        <v>47208</v>
      </c>
      <c r="Q1494">
        <v>0</v>
      </c>
      <c r="R1494" t="s">
        <v>3677</v>
      </c>
    </row>
    <row r="1495" spans="1:18" x14ac:dyDescent="0.25">
      <c r="A1495" t="s">
        <v>3686</v>
      </c>
      <c r="B1495" t="s">
        <v>126</v>
      </c>
      <c r="C1495" t="s">
        <v>20</v>
      </c>
      <c r="D1495" t="s">
        <v>51</v>
      </c>
      <c r="E1495" t="s">
        <v>259</v>
      </c>
      <c r="F1495" t="s">
        <v>32</v>
      </c>
      <c r="G1495" t="s">
        <v>3690</v>
      </c>
      <c r="H1495" s="10">
        <v>1013626</v>
      </c>
      <c r="I1495" s="10">
        <v>0</v>
      </c>
      <c r="J1495" s="10">
        <v>0</v>
      </c>
      <c r="L1495" t="s">
        <v>42</v>
      </c>
      <c r="M1495" t="s">
        <v>26</v>
      </c>
      <c r="N1495" t="s">
        <v>304</v>
      </c>
      <c r="O1495" s="2">
        <v>44105</v>
      </c>
      <c r="P1495" s="2">
        <v>45930</v>
      </c>
      <c r="Q1495">
        <v>0</v>
      </c>
      <c r="R1495" t="s">
        <v>3691</v>
      </c>
    </row>
    <row r="1496" spans="1:18" x14ac:dyDescent="0.25">
      <c r="A1496" t="s">
        <v>3686</v>
      </c>
      <c r="B1496" t="s">
        <v>126</v>
      </c>
      <c r="C1496" t="s">
        <v>20</v>
      </c>
      <c r="D1496" t="s">
        <v>51</v>
      </c>
      <c r="E1496" t="s">
        <v>208</v>
      </c>
      <c r="F1496" t="s">
        <v>47</v>
      </c>
      <c r="G1496" t="s">
        <v>3687</v>
      </c>
      <c r="H1496" s="10">
        <v>979200</v>
      </c>
      <c r="I1496" s="10">
        <v>0</v>
      </c>
      <c r="J1496" s="10">
        <v>0</v>
      </c>
      <c r="L1496" t="s">
        <v>25</v>
      </c>
      <c r="M1496" t="s">
        <v>26</v>
      </c>
      <c r="N1496" t="s">
        <v>3688</v>
      </c>
      <c r="O1496" s="2">
        <v>45383</v>
      </c>
      <c r="P1496" s="2">
        <v>46843</v>
      </c>
      <c r="Q1496">
        <v>0</v>
      </c>
      <c r="R1496" t="s">
        <v>3689</v>
      </c>
    </row>
    <row r="1497" spans="1:18" x14ac:dyDescent="0.25">
      <c r="A1497" t="s">
        <v>5451</v>
      </c>
      <c r="B1497" t="s">
        <v>126</v>
      </c>
      <c r="C1497" t="s">
        <v>20</v>
      </c>
      <c r="D1497" t="s">
        <v>51</v>
      </c>
      <c r="E1497" t="s">
        <v>186</v>
      </c>
      <c r="F1497" t="s">
        <v>47</v>
      </c>
      <c r="G1497" t="s">
        <v>3692</v>
      </c>
      <c r="H1497" s="10">
        <v>1128376</v>
      </c>
      <c r="I1497" s="10">
        <v>0</v>
      </c>
      <c r="J1497" s="10">
        <v>0</v>
      </c>
      <c r="L1497" t="s">
        <v>42</v>
      </c>
      <c r="M1497" t="s">
        <v>26</v>
      </c>
      <c r="N1497" t="s">
        <v>3693</v>
      </c>
      <c r="O1497" s="2">
        <v>44470</v>
      </c>
      <c r="P1497" s="2">
        <v>46295</v>
      </c>
      <c r="Q1497">
        <v>0</v>
      </c>
      <c r="R1497" t="s">
        <v>3694</v>
      </c>
    </row>
    <row r="1498" spans="1:18" x14ac:dyDescent="0.25">
      <c r="A1498" t="s">
        <v>5156</v>
      </c>
      <c r="B1498" t="s">
        <v>121</v>
      </c>
      <c r="C1498" t="s">
        <v>20</v>
      </c>
      <c r="D1498" t="s">
        <v>99</v>
      </c>
      <c r="E1498" t="s">
        <v>100</v>
      </c>
      <c r="F1498" t="s">
        <v>101</v>
      </c>
      <c r="G1498" t="s">
        <v>3695</v>
      </c>
      <c r="H1498" s="10">
        <v>1860523</v>
      </c>
      <c r="I1498" s="10">
        <v>0</v>
      </c>
      <c r="J1498" s="10">
        <v>0</v>
      </c>
      <c r="L1498" t="s">
        <v>34</v>
      </c>
      <c r="M1498" t="s">
        <v>103</v>
      </c>
      <c r="N1498">
        <v>0</v>
      </c>
      <c r="O1498" s="2">
        <v>43983</v>
      </c>
      <c r="P1498" s="2">
        <v>44347</v>
      </c>
      <c r="Q1498">
        <v>0</v>
      </c>
      <c r="R1498" t="s">
        <v>3696</v>
      </c>
    </row>
    <row r="1499" spans="1:18" x14ac:dyDescent="0.25">
      <c r="A1499" t="s">
        <v>4473</v>
      </c>
      <c r="B1499" t="s">
        <v>240</v>
      </c>
      <c r="C1499" t="s">
        <v>20</v>
      </c>
      <c r="D1499" t="s">
        <v>4454</v>
      </c>
      <c r="E1499" t="s">
        <v>4461</v>
      </c>
      <c r="F1499" t="s">
        <v>4456</v>
      </c>
      <c r="G1499" t="s">
        <v>4474</v>
      </c>
      <c r="H1499" s="10">
        <v>92207</v>
      </c>
      <c r="I1499" s="10">
        <v>0</v>
      </c>
      <c r="J1499" s="10">
        <v>0</v>
      </c>
      <c r="L1499" t="s">
        <v>34</v>
      </c>
      <c r="M1499" t="s">
        <v>26</v>
      </c>
      <c r="N1499" t="s">
        <v>5676</v>
      </c>
      <c r="O1499" s="2">
        <v>41699</v>
      </c>
      <c r="P1499" s="2">
        <v>42063</v>
      </c>
      <c r="Q1499">
        <v>0</v>
      </c>
      <c r="R1499" t="s">
        <v>5675</v>
      </c>
    </row>
    <row r="1500" spans="1:18" x14ac:dyDescent="0.25">
      <c r="A1500" t="s">
        <v>4473</v>
      </c>
      <c r="B1500" t="s">
        <v>240</v>
      </c>
      <c r="C1500" t="s">
        <v>20</v>
      </c>
      <c r="D1500" t="s">
        <v>4454</v>
      </c>
      <c r="E1500" t="s">
        <v>4461</v>
      </c>
      <c r="F1500" t="s">
        <v>4456</v>
      </c>
      <c r="G1500" t="s">
        <v>4475</v>
      </c>
      <c r="H1500" s="10">
        <v>92228</v>
      </c>
      <c r="I1500" s="10">
        <v>0</v>
      </c>
      <c r="J1500" s="10">
        <v>0</v>
      </c>
      <c r="L1500" t="s">
        <v>34</v>
      </c>
      <c r="M1500" t="s">
        <v>26</v>
      </c>
      <c r="N1500" t="s">
        <v>5775</v>
      </c>
      <c r="O1500" s="2">
        <v>41699</v>
      </c>
      <c r="P1500" s="2">
        <v>42063</v>
      </c>
      <c r="Q1500">
        <v>0</v>
      </c>
      <c r="R1500" t="s">
        <v>5774</v>
      </c>
    </row>
    <row r="1501" spans="1:18" x14ac:dyDescent="0.25">
      <c r="A1501" t="s">
        <v>4476</v>
      </c>
      <c r="B1501" t="s">
        <v>240</v>
      </c>
      <c r="C1501" t="s">
        <v>20</v>
      </c>
      <c r="D1501" t="s">
        <v>4454</v>
      </c>
      <c r="E1501" t="s">
        <v>4455</v>
      </c>
      <c r="F1501" t="s">
        <v>4456</v>
      </c>
      <c r="G1501" t="s">
        <v>4477</v>
      </c>
      <c r="H1501" s="10">
        <v>99987</v>
      </c>
      <c r="I1501" s="10">
        <v>0</v>
      </c>
      <c r="J1501" s="10">
        <v>0</v>
      </c>
      <c r="L1501" t="s">
        <v>34</v>
      </c>
      <c r="M1501" t="s">
        <v>204</v>
      </c>
      <c r="N1501" t="s">
        <v>5941</v>
      </c>
      <c r="O1501" s="2">
        <v>41334</v>
      </c>
      <c r="P1501" s="2">
        <v>41698</v>
      </c>
      <c r="Q1501">
        <v>0</v>
      </c>
      <c r="R1501" t="s">
        <v>5940</v>
      </c>
    </row>
    <row r="1502" spans="1:18" x14ac:dyDescent="0.25">
      <c r="A1502" t="s">
        <v>3697</v>
      </c>
      <c r="B1502" t="s">
        <v>49</v>
      </c>
      <c r="C1502" t="s">
        <v>50</v>
      </c>
      <c r="D1502" t="s">
        <v>51</v>
      </c>
      <c r="E1502" t="s">
        <v>223</v>
      </c>
      <c r="F1502" t="s">
        <v>47</v>
      </c>
      <c r="G1502" t="s">
        <v>3698</v>
      </c>
      <c r="H1502" s="10">
        <v>1044226</v>
      </c>
      <c r="I1502" s="10">
        <v>0</v>
      </c>
      <c r="J1502" s="10">
        <v>0</v>
      </c>
      <c r="L1502" t="s">
        <v>42</v>
      </c>
      <c r="M1502" t="s">
        <v>26</v>
      </c>
      <c r="N1502" t="s">
        <v>3699</v>
      </c>
      <c r="O1502" s="2">
        <v>45566</v>
      </c>
      <c r="P1502" s="2">
        <v>47391</v>
      </c>
      <c r="Q1502">
        <v>0</v>
      </c>
      <c r="R1502" t="s">
        <v>3700</v>
      </c>
    </row>
    <row r="1503" spans="1:18" x14ac:dyDescent="0.25">
      <c r="A1503" t="s">
        <v>4972</v>
      </c>
      <c r="B1503" t="s">
        <v>49</v>
      </c>
      <c r="C1503" t="s">
        <v>50</v>
      </c>
      <c r="D1503" t="s">
        <v>4557</v>
      </c>
      <c r="E1503" t="s">
        <v>4558</v>
      </c>
      <c r="F1503" t="s">
        <v>4559</v>
      </c>
      <c r="G1503" t="s">
        <v>4973</v>
      </c>
      <c r="H1503" s="10">
        <v>356025</v>
      </c>
      <c r="I1503" s="10">
        <v>0</v>
      </c>
      <c r="J1503" s="10">
        <v>0</v>
      </c>
      <c r="L1503" t="s">
        <v>55</v>
      </c>
      <c r="M1503" t="s">
        <v>103</v>
      </c>
      <c r="N1503" t="s">
        <v>1912</v>
      </c>
      <c r="O1503" s="2">
        <v>43191</v>
      </c>
      <c r="P1503" s="2">
        <v>44286</v>
      </c>
      <c r="Q1503">
        <v>0</v>
      </c>
      <c r="R1503" t="s">
        <v>5882</v>
      </c>
    </row>
    <row r="1504" spans="1:18" x14ac:dyDescent="0.25">
      <c r="A1504" t="s">
        <v>3701</v>
      </c>
      <c r="B1504" t="s">
        <v>29</v>
      </c>
      <c r="C1504" t="s">
        <v>20</v>
      </c>
      <c r="D1504" t="s">
        <v>21</v>
      </c>
      <c r="E1504" t="s">
        <v>1116</v>
      </c>
      <c r="F1504" t="s">
        <v>32</v>
      </c>
      <c r="G1504" t="s">
        <v>3702</v>
      </c>
      <c r="H1504" s="10">
        <v>100000</v>
      </c>
      <c r="I1504" s="10">
        <v>0</v>
      </c>
      <c r="J1504" s="10">
        <v>0</v>
      </c>
      <c r="L1504" t="s">
        <v>34</v>
      </c>
      <c r="M1504" t="s">
        <v>26</v>
      </c>
      <c r="N1504" t="s">
        <v>1632</v>
      </c>
      <c r="O1504" s="2">
        <v>41913</v>
      </c>
      <c r="P1504" s="2">
        <v>42277</v>
      </c>
      <c r="Q1504">
        <v>7</v>
      </c>
      <c r="R1504" t="s">
        <v>3703</v>
      </c>
    </row>
    <row r="1505" spans="1:18" x14ac:dyDescent="0.25">
      <c r="A1505" t="s">
        <v>3704</v>
      </c>
      <c r="B1505" t="s">
        <v>49</v>
      </c>
      <c r="C1505" t="s">
        <v>50</v>
      </c>
      <c r="D1505" t="s">
        <v>99</v>
      </c>
      <c r="E1505" t="s">
        <v>100</v>
      </c>
      <c r="F1505" t="s">
        <v>101</v>
      </c>
      <c r="G1505" t="s">
        <v>3705</v>
      </c>
      <c r="H1505" s="10">
        <v>403065</v>
      </c>
      <c r="I1505" s="10">
        <v>0</v>
      </c>
      <c r="J1505" s="10">
        <v>0</v>
      </c>
      <c r="L1505" t="s">
        <v>34</v>
      </c>
      <c r="M1505" t="s">
        <v>94</v>
      </c>
      <c r="N1505" t="s">
        <v>3706</v>
      </c>
      <c r="O1505" s="2">
        <v>43983</v>
      </c>
      <c r="P1505" s="2">
        <v>44347</v>
      </c>
      <c r="Q1505">
        <v>0</v>
      </c>
      <c r="R1505" t="s">
        <v>3707</v>
      </c>
    </row>
    <row r="1506" spans="1:18" x14ac:dyDescent="0.25">
      <c r="A1506" t="s">
        <v>4974</v>
      </c>
      <c r="B1506" t="s">
        <v>114</v>
      </c>
      <c r="C1506" t="s">
        <v>20</v>
      </c>
      <c r="D1506" t="s">
        <v>4557</v>
      </c>
      <c r="E1506" t="s">
        <v>4597</v>
      </c>
      <c r="F1506" t="s">
        <v>4559</v>
      </c>
      <c r="G1506" t="s">
        <v>4975</v>
      </c>
      <c r="H1506" s="10">
        <v>300938</v>
      </c>
      <c r="I1506" s="10">
        <v>0</v>
      </c>
      <c r="J1506" s="10">
        <v>0</v>
      </c>
      <c r="L1506" t="s">
        <v>55</v>
      </c>
      <c r="M1506" t="s">
        <v>103</v>
      </c>
      <c r="N1506" t="s">
        <v>5838</v>
      </c>
      <c r="O1506" s="2">
        <v>42095</v>
      </c>
      <c r="P1506" s="2">
        <v>43190</v>
      </c>
      <c r="Q1506">
        <v>3</v>
      </c>
      <c r="R1506" t="s">
        <v>5837</v>
      </c>
    </row>
    <row r="1507" spans="1:18" x14ac:dyDescent="0.25">
      <c r="A1507" t="s">
        <v>4549</v>
      </c>
      <c r="B1507" t="s">
        <v>240</v>
      </c>
      <c r="C1507" t="s">
        <v>20</v>
      </c>
      <c r="D1507" t="s">
        <v>80</v>
      </c>
      <c r="E1507" t="s">
        <v>81</v>
      </c>
      <c r="F1507" t="s">
        <v>82</v>
      </c>
      <c r="G1507" t="s">
        <v>3708</v>
      </c>
      <c r="H1507" s="10">
        <v>199906</v>
      </c>
      <c r="I1507" s="10">
        <v>0</v>
      </c>
      <c r="J1507" s="10">
        <v>0</v>
      </c>
      <c r="L1507" t="s">
        <v>84</v>
      </c>
      <c r="M1507" t="s">
        <v>26</v>
      </c>
      <c r="N1507" t="s">
        <v>2255</v>
      </c>
      <c r="O1507" s="2">
        <v>42979</v>
      </c>
      <c r="P1507" s="2">
        <v>43708</v>
      </c>
      <c r="Q1507">
        <v>0</v>
      </c>
      <c r="R1507" t="s">
        <v>3709</v>
      </c>
    </row>
    <row r="1508" spans="1:18" x14ac:dyDescent="0.25">
      <c r="A1508" t="s">
        <v>5452</v>
      </c>
      <c r="B1508" t="s">
        <v>1890</v>
      </c>
      <c r="C1508" t="s">
        <v>20</v>
      </c>
      <c r="D1508" t="s">
        <v>51</v>
      </c>
      <c r="E1508" t="s">
        <v>70</v>
      </c>
      <c r="F1508" t="s">
        <v>109</v>
      </c>
      <c r="G1508" t="s">
        <v>3710</v>
      </c>
      <c r="H1508" s="10">
        <v>906526</v>
      </c>
      <c r="I1508" s="10">
        <v>0</v>
      </c>
      <c r="J1508" s="10">
        <v>0</v>
      </c>
      <c r="L1508" t="s">
        <v>42</v>
      </c>
      <c r="M1508" t="s">
        <v>831</v>
      </c>
      <c r="N1508" t="s">
        <v>3711</v>
      </c>
      <c r="O1508" s="2">
        <v>45200</v>
      </c>
      <c r="P1508" s="2">
        <v>47026</v>
      </c>
      <c r="Q1508">
        <v>0</v>
      </c>
      <c r="R1508" t="s">
        <v>3712</v>
      </c>
    </row>
    <row r="1509" spans="1:18" x14ac:dyDescent="0.25">
      <c r="A1509" t="s">
        <v>4976</v>
      </c>
      <c r="B1509" t="s">
        <v>148</v>
      </c>
      <c r="C1509" t="s">
        <v>149</v>
      </c>
      <c r="D1509" t="s">
        <v>4557</v>
      </c>
      <c r="E1509" t="s">
        <v>4597</v>
      </c>
      <c r="F1509" t="s">
        <v>4559</v>
      </c>
      <c r="G1509" t="s">
        <v>4977</v>
      </c>
      <c r="H1509" s="10">
        <v>234250</v>
      </c>
      <c r="I1509" s="10">
        <v>0</v>
      </c>
      <c r="J1509" s="10">
        <v>0</v>
      </c>
      <c r="L1509" t="s">
        <v>55</v>
      </c>
      <c r="M1509" t="s">
        <v>111</v>
      </c>
      <c r="N1509" t="s">
        <v>5726</v>
      </c>
      <c r="O1509" s="2">
        <v>42095</v>
      </c>
      <c r="P1509" s="2">
        <v>43190</v>
      </c>
      <c r="Q1509">
        <v>3</v>
      </c>
      <c r="R1509" t="s">
        <v>5725</v>
      </c>
    </row>
    <row r="1510" spans="1:18" x14ac:dyDescent="0.25">
      <c r="A1510" t="s">
        <v>4978</v>
      </c>
      <c r="B1510" t="s">
        <v>302</v>
      </c>
      <c r="C1510" t="s">
        <v>20</v>
      </c>
      <c r="D1510" t="s">
        <v>4557</v>
      </c>
      <c r="E1510" t="s">
        <v>4558</v>
      </c>
      <c r="F1510" t="s">
        <v>4559</v>
      </c>
      <c r="G1510" t="s">
        <v>4979</v>
      </c>
      <c r="H1510" s="10">
        <v>417412</v>
      </c>
      <c r="I1510" s="10">
        <v>25000</v>
      </c>
      <c r="J1510" s="10">
        <v>0</v>
      </c>
      <c r="L1510" t="s">
        <v>55</v>
      </c>
      <c r="M1510" t="s">
        <v>103</v>
      </c>
      <c r="N1510" t="s">
        <v>5513</v>
      </c>
      <c r="O1510" s="2">
        <v>43191</v>
      </c>
      <c r="P1510" s="2">
        <v>44286</v>
      </c>
      <c r="Q1510">
        <v>1</v>
      </c>
      <c r="R1510" t="s">
        <v>5512</v>
      </c>
    </row>
    <row r="1511" spans="1:18" x14ac:dyDescent="0.25">
      <c r="A1511" t="s">
        <v>4478</v>
      </c>
      <c r="B1511" t="s">
        <v>710</v>
      </c>
      <c r="C1511" t="s">
        <v>711</v>
      </c>
      <c r="D1511" t="s">
        <v>4454</v>
      </c>
      <c r="E1511" t="s">
        <v>4461</v>
      </c>
      <c r="F1511" t="s">
        <v>4456</v>
      </c>
      <c r="G1511" t="s">
        <v>4479</v>
      </c>
      <c r="H1511" s="10">
        <v>66461</v>
      </c>
      <c r="I1511" s="10">
        <v>0</v>
      </c>
      <c r="J1511" s="10">
        <v>0</v>
      </c>
      <c r="L1511" t="s">
        <v>34</v>
      </c>
      <c r="M1511" t="s">
        <v>746</v>
      </c>
      <c r="N1511" t="s">
        <v>5535</v>
      </c>
      <c r="O1511" s="2">
        <v>41699</v>
      </c>
      <c r="P1511" s="2">
        <v>42063</v>
      </c>
      <c r="Q1511">
        <v>0</v>
      </c>
      <c r="R1511" t="s">
        <v>5534</v>
      </c>
    </row>
    <row r="1512" spans="1:18" x14ac:dyDescent="0.25">
      <c r="A1512" t="s">
        <v>3713</v>
      </c>
      <c r="B1512" t="s">
        <v>240</v>
      </c>
      <c r="C1512" t="s">
        <v>20</v>
      </c>
      <c r="D1512" t="s">
        <v>21</v>
      </c>
      <c r="E1512" t="s">
        <v>287</v>
      </c>
      <c r="F1512" t="s">
        <v>47</v>
      </c>
      <c r="G1512" t="s">
        <v>3723</v>
      </c>
      <c r="H1512" s="10">
        <v>757479</v>
      </c>
      <c r="I1512" s="10">
        <v>0</v>
      </c>
      <c r="J1512" s="10">
        <v>0</v>
      </c>
      <c r="L1512" t="s">
        <v>42</v>
      </c>
      <c r="M1512" t="s">
        <v>26</v>
      </c>
      <c r="N1512" t="s">
        <v>1632</v>
      </c>
      <c r="O1512" s="2">
        <v>40634</v>
      </c>
      <c r="P1512" s="2">
        <v>42460</v>
      </c>
      <c r="Q1512">
        <v>0</v>
      </c>
      <c r="R1512" t="s">
        <v>3724</v>
      </c>
    </row>
    <row r="1513" spans="1:18" x14ac:dyDescent="0.25">
      <c r="A1513" t="s">
        <v>3713</v>
      </c>
      <c r="B1513" t="s">
        <v>240</v>
      </c>
      <c r="C1513" t="s">
        <v>20</v>
      </c>
      <c r="D1513" t="s">
        <v>21</v>
      </c>
      <c r="E1513" t="s">
        <v>377</v>
      </c>
      <c r="F1513" t="s">
        <v>47</v>
      </c>
      <c r="G1513" t="s">
        <v>3716</v>
      </c>
      <c r="H1513" s="10">
        <v>573543</v>
      </c>
      <c r="I1513" s="10">
        <v>0</v>
      </c>
      <c r="J1513" s="10">
        <v>0</v>
      </c>
      <c r="L1513" t="s">
        <v>25</v>
      </c>
      <c r="M1513" t="s">
        <v>26</v>
      </c>
      <c r="N1513" t="s">
        <v>1627</v>
      </c>
      <c r="O1513" s="2">
        <v>41183</v>
      </c>
      <c r="P1513" s="2">
        <v>42643</v>
      </c>
      <c r="Q1513">
        <v>1</v>
      </c>
      <c r="R1513" t="s">
        <v>3717</v>
      </c>
    </row>
    <row r="1514" spans="1:18" x14ac:dyDescent="0.25">
      <c r="A1514" t="s">
        <v>3713</v>
      </c>
      <c r="B1514" t="s">
        <v>240</v>
      </c>
      <c r="C1514" t="s">
        <v>20</v>
      </c>
      <c r="D1514" t="s">
        <v>21</v>
      </c>
      <c r="E1514" t="s">
        <v>60</v>
      </c>
      <c r="F1514" t="s">
        <v>47</v>
      </c>
      <c r="G1514" t="s">
        <v>3720</v>
      </c>
      <c r="H1514" s="10">
        <v>911430</v>
      </c>
      <c r="I1514" s="10">
        <v>0</v>
      </c>
      <c r="J1514" s="10">
        <v>0</v>
      </c>
      <c r="L1514" t="s">
        <v>42</v>
      </c>
      <c r="M1514" t="s">
        <v>26</v>
      </c>
      <c r="N1514" t="s">
        <v>3721</v>
      </c>
      <c r="O1514" s="2">
        <v>41821</v>
      </c>
      <c r="P1514" s="2">
        <v>43646</v>
      </c>
      <c r="Q1514">
        <v>1</v>
      </c>
      <c r="R1514" t="s">
        <v>3722</v>
      </c>
    </row>
    <row r="1515" spans="1:18" x14ac:dyDescent="0.25">
      <c r="A1515" t="s">
        <v>3713</v>
      </c>
      <c r="B1515" t="s">
        <v>240</v>
      </c>
      <c r="C1515" t="s">
        <v>20</v>
      </c>
      <c r="D1515" t="s">
        <v>51</v>
      </c>
      <c r="E1515" t="s">
        <v>406</v>
      </c>
      <c r="F1515" t="s">
        <v>23</v>
      </c>
      <c r="G1515" t="s">
        <v>3714</v>
      </c>
      <c r="H1515" s="10">
        <v>956250</v>
      </c>
      <c r="I1515" s="10">
        <v>0</v>
      </c>
      <c r="J1515" s="10">
        <v>0</v>
      </c>
      <c r="L1515" t="s">
        <v>42</v>
      </c>
      <c r="M1515" t="s">
        <v>26</v>
      </c>
      <c r="N1515" t="s">
        <v>983</v>
      </c>
      <c r="O1515" s="2">
        <v>43191</v>
      </c>
      <c r="P1515" s="2">
        <v>45016</v>
      </c>
      <c r="Q1515">
        <v>1</v>
      </c>
      <c r="R1515" t="s">
        <v>3715</v>
      </c>
    </row>
    <row r="1516" spans="1:18" x14ac:dyDescent="0.25">
      <c r="A1516" t="s">
        <v>3713</v>
      </c>
      <c r="B1516" t="s">
        <v>240</v>
      </c>
      <c r="C1516" t="s">
        <v>20</v>
      </c>
      <c r="D1516" t="s">
        <v>51</v>
      </c>
      <c r="E1516" t="s">
        <v>186</v>
      </c>
      <c r="F1516" t="s">
        <v>23</v>
      </c>
      <c r="G1516" t="s">
        <v>3718</v>
      </c>
      <c r="H1516" s="10">
        <v>1300500</v>
      </c>
      <c r="I1516" s="10">
        <v>0</v>
      </c>
      <c r="J1516" s="10">
        <v>0</v>
      </c>
      <c r="L1516" t="s">
        <v>42</v>
      </c>
      <c r="M1516" t="s">
        <v>26</v>
      </c>
      <c r="N1516" t="s">
        <v>135</v>
      </c>
      <c r="O1516" s="2">
        <v>44470</v>
      </c>
      <c r="P1516" s="2">
        <v>46295</v>
      </c>
      <c r="Q1516">
        <v>0</v>
      </c>
      <c r="R1516" t="s">
        <v>3719</v>
      </c>
    </row>
    <row r="1517" spans="1:18" x14ac:dyDescent="0.25">
      <c r="A1517" t="s">
        <v>3713</v>
      </c>
      <c r="B1517" t="s">
        <v>240</v>
      </c>
      <c r="C1517" t="s">
        <v>20</v>
      </c>
      <c r="D1517" t="s">
        <v>51</v>
      </c>
      <c r="E1517" t="s">
        <v>167</v>
      </c>
      <c r="F1517" t="s">
        <v>23</v>
      </c>
      <c r="G1517" t="s">
        <v>3725</v>
      </c>
      <c r="H1517" s="10">
        <v>1147500</v>
      </c>
      <c r="I1517" s="10">
        <v>0</v>
      </c>
      <c r="J1517" s="10">
        <v>0</v>
      </c>
      <c r="L1517" t="s">
        <v>42</v>
      </c>
      <c r="M1517" t="s">
        <v>746</v>
      </c>
      <c r="N1517" t="s">
        <v>3726</v>
      </c>
      <c r="O1517" s="2">
        <v>45017</v>
      </c>
      <c r="P1517" s="2">
        <v>46843</v>
      </c>
      <c r="Q1517">
        <v>1</v>
      </c>
      <c r="R1517" t="s">
        <v>3727</v>
      </c>
    </row>
    <row r="1518" spans="1:18" x14ac:dyDescent="0.25">
      <c r="A1518" t="s">
        <v>3728</v>
      </c>
      <c r="B1518" t="s">
        <v>107</v>
      </c>
      <c r="C1518" t="s">
        <v>38</v>
      </c>
      <c r="D1518" t="s">
        <v>51</v>
      </c>
      <c r="E1518" t="s">
        <v>186</v>
      </c>
      <c r="F1518" t="s">
        <v>53</v>
      </c>
      <c r="G1518" t="s">
        <v>3729</v>
      </c>
      <c r="H1518" s="10">
        <v>849150</v>
      </c>
      <c r="I1518" s="10">
        <v>0</v>
      </c>
      <c r="J1518" s="10">
        <v>0</v>
      </c>
      <c r="L1518" t="s">
        <v>42</v>
      </c>
      <c r="M1518" t="s">
        <v>85</v>
      </c>
      <c r="N1518" t="s">
        <v>3730</v>
      </c>
      <c r="O1518" s="2">
        <v>44470</v>
      </c>
      <c r="P1518" s="2">
        <v>46295</v>
      </c>
      <c r="Q1518">
        <v>0</v>
      </c>
      <c r="R1518" t="s">
        <v>3731</v>
      </c>
    </row>
    <row r="1519" spans="1:18" x14ac:dyDescent="0.25">
      <c r="A1519" t="s">
        <v>4980</v>
      </c>
      <c r="B1519" t="s">
        <v>107</v>
      </c>
      <c r="C1519" t="s">
        <v>38</v>
      </c>
      <c r="D1519" t="s">
        <v>4557</v>
      </c>
      <c r="E1519" t="s">
        <v>4567</v>
      </c>
      <c r="F1519" t="s">
        <v>4559</v>
      </c>
      <c r="G1519" t="s">
        <v>4981</v>
      </c>
      <c r="H1519" s="10">
        <v>277440</v>
      </c>
      <c r="I1519" s="10">
        <v>0</v>
      </c>
      <c r="J1519" s="10">
        <v>0</v>
      </c>
      <c r="L1519" t="s">
        <v>55</v>
      </c>
      <c r="M1519" t="s">
        <v>111</v>
      </c>
      <c r="N1519" t="s">
        <v>5825</v>
      </c>
      <c r="O1519" s="2">
        <v>41730</v>
      </c>
      <c r="P1519" s="2">
        <v>42825</v>
      </c>
      <c r="Q1519">
        <v>1</v>
      </c>
      <c r="R1519" t="s">
        <v>5824</v>
      </c>
    </row>
    <row r="1520" spans="1:18" x14ac:dyDescent="0.25">
      <c r="A1520" t="s">
        <v>5453</v>
      </c>
      <c r="B1520" t="s">
        <v>107</v>
      </c>
      <c r="C1520" t="s">
        <v>38</v>
      </c>
      <c r="D1520" t="s">
        <v>51</v>
      </c>
      <c r="E1520" t="s">
        <v>163</v>
      </c>
      <c r="F1520" t="s">
        <v>53</v>
      </c>
      <c r="G1520" t="s">
        <v>3735</v>
      </c>
      <c r="H1520" s="10">
        <v>707625</v>
      </c>
      <c r="I1520" s="10">
        <v>0</v>
      </c>
      <c r="J1520" s="10">
        <v>0</v>
      </c>
      <c r="L1520" t="s">
        <v>42</v>
      </c>
      <c r="M1520" t="s">
        <v>103</v>
      </c>
      <c r="N1520" t="s">
        <v>3736</v>
      </c>
      <c r="O1520" s="2">
        <v>43556</v>
      </c>
      <c r="P1520" s="2">
        <v>45382</v>
      </c>
      <c r="Q1520">
        <v>0</v>
      </c>
      <c r="R1520" t="s">
        <v>3737</v>
      </c>
    </row>
    <row r="1521" spans="1:18" x14ac:dyDescent="0.25">
      <c r="A1521" t="s">
        <v>4982</v>
      </c>
      <c r="B1521" t="s">
        <v>107</v>
      </c>
      <c r="C1521" t="s">
        <v>38</v>
      </c>
      <c r="D1521" t="s">
        <v>4557</v>
      </c>
      <c r="E1521" t="s">
        <v>4581</v>
      </c>
      <c r="F1521" t="s">
        <v>4559</v>
      </c>
      <c r="G1521" t="s">
        <v>4983</v>
      </c>
      <c r="H1521" s="10">
        <v>383593</v>
      </c>
      <c r="I1521" s="10">
        <v>0</v>
      </c>
      <c r="J1521" s="10">
        <v>0</v>
      </c>
      <c r="L1521" t="s">
        <v>55</v>
      </c>
      <c r="M1521" t="s">
        <v>204</v>
      </c>
      <c r="N1521" t="s">
        <v>5881</v>
      </c>
      <c r="O1521" s="2">
        <v>43556</v>
      </c>
      <c r="P1521" s="2">
        <v>44651</v>
      </c>
      <c r="Q1521">
        <v>0</v>
      </c>
      <c r="R1521" t="s">
        <v>5880</v>
      </c>
    </row>
    <row r="1522" spans="1:18" x14ac:dyDescent="0.25">
      <c r="A1522" t="s">
        <v>5454</v>
      </c>
      <c r="B1522" t="s">
        <v>107</v>
      </c>
      <c r="C1522" t="s">
        <v>38</v>
      </c>
      <c r="D1522" t="s">
        <v>51</v>
      </c>
      <c r="E1522" t="s">
        <v>208</v>
      </c>
      <c r="F1522" t="s">
        <v>356</v>
      </c>
      <c r="G1522" t="s">
        <v>3732</v>
      </c>
      <c r="H1522" s="10">
        <v>1002150</v>
      </c>
      <c r="I1522" s="10">
        <v>0</v>
      </c>
      <c r="J1522" s="10">
        <v>0</v>
      </c>
      <c r="L1522" t="s">
        <v>42</v>
      </c>
      <c r="M1522" t="s">
        <v>26</v>
      </c>
      <c r="N1522" t="s">
        <v>3733</v>
      </c>
      <c r="O1522" s="2">
        <v>45383</v>
      </c>
      <c r="P1522" s="2">
        <v>47208</v>
      </c>
      <c r="Q1522">
        <v>0</v>
      </c>
      <c r="R1522" t="s">
        <v>3734</v>
      </c>
    </row>
    <row r="1523" spans="1:18" x14ac:dyDescent="0.25">
      <c r="A1523" t="s">
        <v>3738</v>
      </c>
      <c r="B1523" t="s">
        <v>49</v>
      </c>
      <c r="C1523" t="s">
        <v>50</v>
      </c>
      <c r="D1523" t="s">
        <v>21</v>
      </c>
      <c r="E1523" t="s">
        <v>323</v>
      </c>
      <c r="F1523" t="s">
        <v>47</v>
      </c>
      <c r="G1523" t="s">
        <v>3739</v>
      </c>
      <c r="H1523" s="10">
        <v>1030027</v>
      </c>
      <c r="I1523" s="10">
        <v>0</v>
      </c>
      <c r="J1523" s="10">
        <v>0</v>
      </c>
      <c r="L1523" t="s">
        <v>42</v>
      </c>
      <c r="M1523" t="s">
        <v>26</v>
      </c>
      <c r="N1523" t="s">
        <v>3740</v>
      </c>
      <c r="O1523" s="2">
        <v>40269</v>
      </c>
      <c r="P1523" s="2">
        <v>42094</v>
      </c>
      <c r="Q1523">
        <v>4</v>
      </c>
      <c r="R1523" t="s">
        <v>3741</v>
      </c>
    </row>
    <row r="1524" spans="1:18" x14ac:dyDescent="0.25">
      <c r="A1524" t="s">
        <v>3742</v>
      </c>
      <c r="B1524" t="s">
        <v>4494</v>
      </c>
      <c r="C1524" t="s">
        <v>38</v>
      </c>
      <c r="D1524" t="s">
        <v>51</v>
      </c>
      <c r="E1524" t="s">
        <v>163</v>
      </c>
      <c r="F1524" t="s">
        <v>47</v>
      </c>
      <c r="G1524" t="s">
        <v>3745</v>
      </c>
      <c r="H1524" s="10">
        <v>703800</v>
      </c>
      <c r="I1524" s="10">
        <v>0</v>
      </c>
      <c r="J1524" s="10">
        <v>0</v>
      </c>
      <c r="L1524" t="s">
        <v>42</v>
      </c>
      <c r="M1524" t="s">
        <v>26</v>
      </c>
      <c r="N1524" t="s">
        <v>165</v>
      </c>
      <c r="O1524" s="2">
        <v>43556</v>
      </c>
      <c r="P1524" s="2">
        <v>45382</v>
      </c>
      <c r="Q1524">
        <v>1</v>
      </c>
      <c r="R1524" t="s">
        <v>3746</v>
      </c>
    </row>
    <row r="1525" spans="1:18" x14ac:dyDescent="0.25">
      <c r="A1525" t="s">
        <v>3742</v>
      </c>
      <c r="B1525" t="s">
        <v>4494</v>
      </c>
      <c r="C1525" t="s">
        <v>38</v>
      </c>
      <c r="D1525" t="s">
        <v>51</v>
      </c>
      <c r="E1525" t="s">
        <v>223</v>
      </c>
      <c r="F1525" t="s">
        <v>32</v>
      </c>
      <c r="G1525" t="s">
        <v>3743</v>
      </c>
      <c r="H1525" s="10">
        <v>814726</v>
      </c>
      <c r="I1525" s="10">
        <v>0</v>
      </c>
      <c r="J1525" s="10">
        <v>0</v>
      </c>
      <c r="L1525" t="s">
        <v>42</v>
      </c>
      <c r="M1525" t="s">
        <v>26</v>
      </c>
      <c r="N1525" t="s">
        <v>135</v>
      </c>
      <c r="O1525" s="2">
        <v>45566</v>
      </c>
      <c r="P1525" s="2">
        <v>47391</v>
      </c>
      <c r="Q1525">
        <v>0</v>
      </c>
      <c r="R1525" t="s">
        <v>3744</v>
      </c>
    </row>
    <row r="1526" spans="1:18" x14ac:dyDescent="0.25">
      <c r="A1526" t="s">
        <v>4986</v>
      </c>
      <c r="B1526" t="s">
        <v>49</v>
      </c>
      <c r="C1526" t="s">
        <v>50</v>
      </c>
      <c r="D1526" t="s">
        <v>4557</v>
      </c>
      <c r="E1526" t="s">
        <v>4558</v>
      </c>
      <c r="F1526" t="s">
        <v>4559</v>
      </c>
      <c r="G1526" t="s">
        <v>4987</v>
      </c>
      <c r="H1526" s="10">
        <v>326860</v>
      </c>
      <c r="I1526" s="10">
        <v>3750</v>
      </c>
      <c r="J1526" s="10">
        <v>0</v>
      </c>
      <c r="L1526" t="s">
        <v>55</v>
      </c>
      <c r="M1526" t="s">
        <v>94</v>
      </c>
      <c r="N1526" t="s">
        <v>6053</v>
      </c>
      <c r="O1526" s="2">
        <v>43191</v>
      </c>
      <c r="P1526" s="2">
        <v>44286</v>
      </c>
      <c r="Q1526">
        <v>0</v>
      </c>
      <c r="R1526" t="s">
        <v>6052</v>
      </c>
    </row>
    <row r="1527" spans="1:18" x14ac:dyDescent="0.25">
      <c r="A1527" t="s">
        <v>4984</v>
      </c>
      <c r="B1527" t="s">
        <v>49</v>
      </c>
      <c r="C1527" t="s">
        <v>50</v>
      </c>
      <c r="D1527" t="s">
        <v>4557</v>
      </c>
      <c r="E1527" t="s">
        <v>4567</v>
      </c>
      <c r="F1527" t="s">
        <v>4559</v>
      </c>
      <c r="G1527" t="s">
        <v>4985</v>
      </c>
      <c r="H1527" s="10">
        <v>325935</v>
      </c>
      <c r="I1527" s="10">
        <v>0</v>
      </c>
      <c r="J1527" s="10">
        <v>0</v>
      </c>
      <c r="L1527" t="s">
        <v>55</v>
      </c>
      <c r="M1527" t="s">
        <v>103</v>
      </c>
      <c r="N1527" t="s">
        <v>5827</v>
      </c>
      <c r="O1527" s="2">
        <v>41730</v>
      </c>
      <c r="P1527" s="2">
        <v>42825</v>
      </c>
      <c r="Q1527">
        <v>0</v>
      </c>
      <c r="R1527" t="s">
        <v>5826</v>
      </c>
    </row>
    <row r="1528" spans="1:18" x14ac:dyDescent="0.25">
      <c r="A1528" t="s">
        <v>3747</v>
      </c>
      <c r="B1528" t="s">
        <v>162</v>
      </c>
      <c r="C1528" t="s">
        <v>149</v>
      </c>
      <c r="D1528" t="s">
        <v>80</v>
      </c>
      <c r="E1528" t="s">
        <v>81</v>
      </c>
      <c r="F1528" t="s">
        <v>82</v>
      </c>
      <c r="G1528" t="s">
        <v>3748</v>
      </c>
      <c r="H1528" s="10">
        <v>200000</v>
      </c>
      <c r="I1528" s="10">
        <v>0</v>
      </c>
      <c r="J1528" s="10">
        <v>0</v>
      </c>
      <c r="L1528" t="s">
        <v>84</v>
      </c>
      <c r="M1528" t="s">
        <v>85</v>
      </c>
      <c r="N1528" t="s">
        <v>3749</v>
      </c>
      <c r="O1528" s="2">
        <v>42979</v>
      </c>
      <c r="P1528" s="2">
        <v>43708</v>
      </c>
      <c r="Q1528">
        <v>0</v>
      </c>
      <c r="R1528" t="s">
        <v>3750</v>
      </c>
    </row>
    <row r="1529" spans="1:18" x14ac:dyDescent="0.25">
      <c r="A1529" t="s">
        <v>3751</v>
      </c>
      <c r="B1529" t="s">
        <v>98</v>
      </c>
      <c r="C1529" t="s">
        <v>20</v>
      </c>
      <c r="D1529" t="s">
        <v>51</v>
      </c>
      <c r="E1529" t="s">
        <v>163</v>
      </c>
      <c r="F1529" t="s">
        <v>23</v>
      </c>
      <c r="G1529" t="s">
        <v>3754</v>
      </c>
      <c r="H1529" s="10">
        <v>577574</v>
      </c>
      <c r="I1529" s="10">
        <v>0</v>
      </c>
      <c r="J1529" s="10">
        <v>0</v>
      </c>
      <c r="L1529" t="s">
        <v>55</v>
      </c>
      <c r="M1529" t="s">
        <v>26</v>
      </c>
      <c r="N1529" t="s">
        <v>72</v>
      </c>
      <c r="O1529" s="2">
        <v>43556</v>
      </c>
      <c r="P1529" s="2">
        <v>44651</v>
      </c>
      <c r="Q1529">
        <v>0</v>
      </c>
      <c r="R1529" t="s">
        <v>3755</v>
      </c>
    </row>
    <row r="1530" spans="1:18" x14ac:dyDescent="0.25">
      <c r="A1530" t="s">
        <v>3751</v>
      </c>
      <c r="B1530" t="s">
        <v>98</v>
      </c>
      <c r="C1530" t="s">
        <v>20</v>
      </c>
      <c r="D1530" t="s">
        <v>51</v>
      </c>
      <c r="E1530" t="s">
        <v>208</v>
      </c>
      <c r="F1530" t="s">
        <v>128</v>
      </c>
      <c r="G1530" t="s">
        <v>3752</v>
      </c>
      <c r="H1530" s="10">
        <v>837675</v>
      </c>
      <c r="I1530" s="10">
        <v>0</v>
      </c>
      <c r="J1530" s="10">
        <v>0</v>
      </c>
      <c r="L1530" t="s">
        <v>42</v>
      </c>
      <c r="M1530" t="s">
        <v>26</v>
      </c>
      <c r="N1530" t="s">
        <v>72</v>
      </c>
      <c r="O1530" s="2">
        <v>45383</v>
      </c>
      <c r="P1530" s="2">
        <v>47208</v>
      </c>
      <c r="Q1530">
        <v>0</v>
      </c>
      <c r="R1530" t="s">
        <v>3753</v>
      </c>
    </row>
    <row r="1531" spans="1:18" x14ac:dyDescent="0.25">
      <c r="A1531" t="s">
        <v>4988</v>
      </c>
      <c r="B1531" t="s">
        <v>49</v>
      </c>
      <c r="C1531" t="s">
        <v>50</v>
      </c>
      <c r="D1531" t="s">
        <v>4557</v>
      </c>
      <c r="E1531" t="s">
        <v>4570</v>
      </c>
      <c r="F1531" t="s">
        <v>4559</v>
      </c>
      <c r="G1531" t="s">
        <v>4989</v>
      </c>
      <c r="H1531" s="10">
        <v>294250</v>
      </c>
      <c r="I1531" s="10">
        <v>0</v>
      </c>
      <c r="J1531" s="10">
        <v>0</v>
      </c>
      <c r="L1531" t="s">
        <v>55</v>
      </c>
      <c r="M1531" t="s">
        <v>26</v>
      </c>
      <c r="N1531" t="s">
        <v>5890</v>
      </c>
      <c r="O1531" s="2">
        <v>42826</v>
      </c>
      <c r="P1531" s="2">
        <v>43921</v>
      </c>
      <c r="Q1531">
        <v>0</v>
      </c>
      <c r="R1531" t="s">
        <v>5889</v>
      </c>
    </row>
    <row r="1532" spans="1:18" x14ac:dyDescent="0.25">
      <c r="A1532" t="s">
        <v>4990</v>
      </c>
      <c r="B1532" t="s">
        <v>49</v>
      </c>
      <c r="C1532" t="s">
        <v>50</v>
      </c>
      <c r="D1532" t="s">
        <v>4557</v>
      </c>
      <c r="E1532" t="s">
        <v>4602</v>
      </c>
      <c r="F1532" t="s">
        <v>4559</v>
      </c>
      <c r="G1532" t="s">
        <v>4991</v>
      </c>
      <c r="H1532" s="10">
        <v>172625</v>
      </c>
      <c r="I1532" s="10">
        <v>0</v>
      </c>
      <c r="J1532" s="10">
        <v>0</v>
      </c>
      <c r="L1532" t="s">
        <v>55</v>
      </c>
      <c r="M1532" t="s">
        <v>26</v>
      </c>
      <c r="N1532" t="s">
        <v>5744</v>
      </c>
      <c r="O1532" s="2">
        <v>41365</v>
      </c>
      <c r="P1532" s="2">
        <v>42460</v>
      </c>
      <c r="Q1532">
        <v>0</v>
      </c>
      <c r="R1532" t="s">
        <v>5743</v>
      </c>
    </row>
    <row r="1533" spans="1:18" x14ac:dyDescent="0.25">
      <c r="A1533" t="s">
        <v>3756</v>
      </c>
      <c r="B1533" t="s">
        <v>19</v>
      </c>
      <c r="C1533" t="s">
        <v>20</v>
      </c>
      <c r="D1533" t="s">
        <v>21</v>
      </c>
      <c r="E1533" t="s">
        <v>323</v>
      </c>
      <c r="F1533" t="s">
        <v>47</v>
      </c>
      <c r="G1533" t="s">
        <v>3757</v>
      </c>
      <c r="H1533" s="10">
        <v>379994</v>
      </c>
      <c r="I1533" s="10">
        <v>0</v>
      </c>
      <c r="J1533" s="10">
        <v>0</v>
      </c>
      <c r="L1533" t="s">
        <v>55</v>
      </c>
      <c r="M1533" t="s">
        <v>26</v>
      </c>
      <c r="N1533" t="s">
        <v>43</v>
      </c>
      <c r="O1533" s="2">
        <v>40269</v>
      </c>
      <c r="P1533" s="2">
        <v>41364</v>
      </c>
      <c r="Q1533">
        <v>0</v>
      </c>
      <c r="R1533" t="s">
        <v>3758</v>
      </c>
    </row>
    <row r="1534" spans="1:18" x14ac:dyDescent="0.25">
      <c r="A1534" t="s">
        <v>3756</v>
      </c>
      <c r="B1534" t="s">
        <v>19</v>
      </c>
      <c r="C1534" t="s">
        <v>20</v>
      </c>
      <c r="D1534" t="s">
        <v>21</v>
      </c>
      <c r="E1534" t="s">
        <v>74</v>
      </c>
      <c r="F1534" t="s">
        <v>47</v>
      </c>
      <c r="G1534" t="s">
        <v>3759</v>
      </c>
      <c r="H1534" s="10">
        <v>297244</v>
      </c>
      <c r="I1534" s="10">
        <v>0</v>
      </c>
      <c r="J1534" s="10">
        <v>0</v>
      </c>
      <c r="L1534" t="s">
        <v>55</v>
      </c>
      <c r="M1534" t="s">
        <v>26</v>
      </c>
      <c r="N1534" t="s">
        <v>3760</v>
      </c>
      <c r="O1534" s="2">
        <v>41000</v>
      </c>
      <c r="P1534" s="2">
        <v>42094</v>
      </c>
      <c r="Q1534">
        <v>0</v>
      </c>
      <c r="R1534" t="s">
        <v>3761</v>
      </c>
    </row>
    <row r="1535" spans="1:18" x14ac:dyDescent="0.25">
      <c r="A1535" t="s">
        <v>4994</v>
      </c>
      <c r="B1535" t="s">
        <v>162</v>
      </c>
      <c r="C1535" t="s">
        <v>149</v>
      </c>
      <c r="D1535" t="s">
        <v>4557</v>
      </c>
      <c r="E1535" t="s">
        <v>4558</v>
      </c>
      <c r="F1535" t="s">
        <v>4559</v>
      </c>
      <c r="G1535" t="s">
        <v>4995</v>
      </c>
      <c r="H1535" s="10">
        <v>219829</v>
      </c>
      <c r="I1535" s="10">
        <v>27671</v>
      </c>
      <c r="J1535" s="10">
        <v>0</v>
      </c>
      <c r="L1535" t="s">
        <v>55</v>
      </c>
      <c r="M1535" t="s">
        <v>26</v>
      </c>
      <c r="N1535" t="s">
        <v>2235</v>
      </c>
      <c r="O1535" s="2">
        <v>43191</v>
      </c>
      <c r="P1535" s="2">
        <v>44286</v>
      </c>
      <c r="Q1535">
        <v>1</v>
      </c>
      <c r="R1535" t="s">
        <v>5779</v>
      </c>
    </row>
    <row r="1536" spans="1:18" x14ac:dyDescent="0.25">
      <c r="A1536" t="s">
        <v>4992</v>
      </c>
      <c r="B1536" t="s">
        <v>162</v>
      </c>
      <c r="C1536" t="s">
        <v>149</v>
      </c>
      <c r="D1536" t="s">
        <v>4557</v>
      </c>
      <c r="E1536" t="s">
        <v>4602</v>
      </c>
      <c r="F1536" t="s">
        <v>4559</v>
      </c>
      <c r="G1536" t="s">
        <v>4993</v>
      </c>
      <c r="H1536" s="10">
        <v>147327</v>
      </c>
      <c r="I1536" s="10">
        <v>0</v>
      </c>
      <c r="J1536" s="10">
        <v>0</v>
      </c>
      <c r="L1536" t="s">
        <v>55</v>
      </c>
      <c r="M1536" t="s">
        <v>26</v>
      </c>
      <c r="N1536" t="s">
        <v>3760</v>
      </c>
      <c r="O1536" s="2">
        <v>41365</v>
      </c>
      <c r="P1536" s="2">
        <v>42460</v>
      </c>
      <c r="Q1536">
        <v>2</v>
      </c>
      <c r="R1536" t="s">
        <v>5565</v>
      </c>
    </row>
    <row r="1537" spans="1:18" x14ac:dyDescent="0.25">
      <c r="A1537" t="s">
        <v>4541</v>
      </c>
      <c r="B1537" t="s">
        <v>721</v>
      </c>
      <c r="C1537" t="s">
        <v>20</v>
      </c>
      <c r="D1537" t="s">
        <v>4499</v>
      </c>
      <c r="E1537" t="s">
        <v>4500</v>
      </c>
      <c r="F1537" t="s">
        <v>4501</v>
      </c>
      <c r="G1537" t="s">
        <v>4542</v>
      </c>
      <c r="H1537" s="12">
        <v>150000</v>
      </c>
      <c r="I1537" s="12">
        <v>0</v>
      </c>
      <c r="J1537" s="10">
        <v>0</v>
      </c>
      <c r="L1537" t="s">
        <v>34</v>
      </c>
      <c r="M1537" t="s">
        <v>831</v>
      </c>
      <c r="N1537" t="s">
        <v>6236</v>
      </c>
      <c r="O1537" s="2">
        <v>45323</v>
      </c>
      <c r="P1537" s="2">
        <v>45688</v>
      </c>
      <c r="Q1537">
        <v>0</v>
      </c>
      <c r="R1537" t="s">
        <v>6237</v>
      </c>
    </row>
    <row r="1538" spans="1:18" x14ac:dyDescent="0.25">
      <c r="A1538" t="s">
        <v>3762</v>
      </c>
      <c r="B1538" t="s">
        <v>240</v>
      </c>
      <c r="C1538" t="s">
        <v>20</v>
      </c>
      <c r="D1538" t="s">
        <v>21</v>
      </c>
      <c r="E1538" t="s">
        <v>323</v>
      </c>
      <c r="F1538" t="s">
        <v>47</v>
      </c>
      <c r="G1538" t="s">
        <v>3763</v>
      </c>
      <c r="H1538" s="10">
        <v>540219</v>
      </c>
      <c r="I1538" s="10">
        <v>0</v>
      </c>
      <c r="J1538" s="10">
        <v>0</v>
      </c>
      <c r="L1538" t="s">
        <v>55</v>
      </c>
      <c r="M1538" t="s">
        <v>26</v>
      </c>
      <c r="N1538" t="s">
        <v>3764</v>
      </c>
      <c r="O1538" s="2">
        <v>40269</v>
      </c>
      <c r="P1538" s="2">
        <v>41364</v>
      </c>
      <c r="Q1538">
        <v>0</v>
      </c>
      <c r="R1538" t="s">
        <v>3765</v>
      </c>
    </row>
    <row r="1539" spans="1:18" x14ac:dyDescent="0.25">
      <c r="A1539" t="s">
        <v>5236</v>
      </c>
      <c r="B1539" t="s">
        <v>98</v>
      </c>
      <c r="C1539" t="s">
        <v>20</v>
      </c>
      <c r="D1539" t="s">
        <v>5165</v>
      </c>
      <c r="E1539" t="s">
        <v>5168</v>
      </c>
      <c r="F1539" t="s">
        <v>4554</v>
      </c>
      <c r="G1539" t="s">
        <v>5237</v>
      </c>
      <c r="H1539" s="10">
        <v>810452</v>
      </c>
      <c r="I1539" s="10">
        <v>0</v>
      </c>
      <c r="J1539" s="10">
        <v>0</v>
      </c>
      <c r="L1539" t="s">
        <v>42</v>
      </c>
      <c r="M1539" t="s">
        <v>103</v>
      </c>
      <c r="N1539" t="s">
        <v>5633</v>
      </c>
      <c r="O1539" s="2">
        <v>41000</v>
      </c>
      <c r="P1539" s="2">
        <v>42825</v>
      </c>
      <c r="Q1539">
        <v>0</v>
      </c>
      <c r="R1539" t="s">
        <v>5632</v>
      </c>
    </row>
    <row r="1540" spans="1:18" x14ac:dyDescent="0.25">
      <c r="A1540" t="s">
        <v>3766</v>
      </c>
      <c r="B1540" t="s">
        <v>107</v>
      </c>
      <c r="C1540" t="s">
        <v>38</v>
      </c>
      <c r="D1540" t="s">
        <v>21</v>
      </c>
      <c r="E1540" t="s">
        <v>534</v>
      </c>
      <c r="F1540" t="s">
        <v>23</v>
      </c>
      <c r="G1540" t="s">
        <v>3770</v>
      </c>
      <c r="H1540" s="10">
        <v>377699</v>
      </c>
      <c r="I1540" s="10">
        <v>0</v>
      </c>
      <c r="J1540" s="10">
        <v>0</v>
      </c>
      <c r="L1540" t="s">
        <v>55</v>
      </c>
      <c r="M1540" t="s">
        <v>26</v>
      </c>
      <c r="N1540" t="s">
        <v>3771</v>
      </c>
      <c r="O1540" s="2">
        <v>40817</v>
      </c>
      <c r="P1540" s="2">
        <v>41912</v>
      </c>
      <c r="Q1540">
        <v>0</v>
      </c>
      <c r="R1540" t="s">
        <v>3772</v>
      </c>
    </row>
    <row r="1541" spans="1:18" x14ac:dyDescent="0.25">
      <c r="A1541" t="s">
        <v>3766</v>
      </c>
      <c r="B1541" t="s">
        <v>107</v>
      </c>
      <c r="C1541" t="s">
        <v>38</v>
      </c>
      <c r="D1541" t="s">
        <v>51</v>
      </c>
      <c r="E1541" t="s">
        <v>211</v>
      </c>
      <c r="F1541" t="s">
        <v>23</v>
      </c>
      <c r="G1541" t="s">
        <v>3767</v>
      </c>
      <c r="H1541" s="10">
        <v>100000</v>
      </c>
      <c r="I1541" s="10">
        <v>0</v>
      </c>
      <c r="J1541" s="10">
        <v>0</v>
      </c>
      <c r="L1541" t="s">
        <v>34</v>
      </c>
      <c r="M1541" t="s">
        <v>26</v>
      </c>
      <c r="N1541" t="s">
        <v>3768</v>
      </c>
      <c r="O1541" s="2">
        <v>45200</v>
      </c>
      <c r="P1541" s="2">
        <v>47026</v>
      </c>
      <c r="Q1541">
        <v>0</v>
      </c>
      <c r="R1541" t="s">
        <v>3769</v>
      </c>
    </row>
    <row r="1542" spans="1:18" x14ac:dyDescent="0.25">
      <c r="A1542" t="s">
        <v>3766</v>
      </c>
      <c r="B1542" t="s">
        <v>107</v>
      </c>
      <c r="C1542" t="s">
        <v>38</v>
      </c>
      <c r="D1542" t="s">
        <v>51</v>
      </c>
      <c r="E1542" t="s">
        <v>70</v>
      </c>
      <c r="F1542" t="s">
        <v>47</v>
      </c>
      <c r="G1542" t="s">
        <v>3767</v>
      </c>
      <c r="H1542" s="10">
        <v>1120726</v>
      </c>
      <c r="I1542" s="10">
        <v>0</v>
      </c>
      <c r="J1542" s="10">
        <v>0</v>
      </c>
      <c r="L1542" t="s">
        <v>42</v>
      </c>
      <c r="M1542" t="s">
        <v>26</v>
      </c>
      <c r="N1542" t="s">
        <v>3768</v>
      </c>
      <c r="O1542" s="2">
        <v>45200</v>
      </c>
      <c r="P1542" s="2">
        <v>47026</v>
      </c>
      <c r="Q1542">
        <v>0</v>
      </c>
      <c r="R1542" t="s">
        <v>3769</v>
      </c>
    </row>
    <row r="1543" spans="1:18" x14ac:dyDescent="0.25">
      <c r="A1543" t="s">
        <v>5455</v>
      </c>
      <c r="B1543" t="s">
        <v>5063</v>
      </c>
      <c r="C1543" t="s">
        <v>38</v>
      </c>
      <c r="D1543" t="s">
        <v>51</v>
      </c>
      <c r="E1543" t="s">
        <v>158</v>
      </c>
      <c r="F1543" t="s">
        <v>109</v>
      </c>
      <c r="G1543" t="s">
        <v>3773</v>
      </c>
      <c r="H1543" s="10">
        <v>579106</v>
      </c>
      <c r="I1543" s="10">
        <v>0</v>
      </c>
      <c r="J1543" s="10">
        <v>0</v>
      </c>
      <c r="L1543" t="s">
        <v>55</v>
      </c>
      <c r="M1543" t="s">
        <v>111</v>
      </c>
      <c r="N1543" t="s">
        <v>3774</v>
      </c>
      <c r="O1543" s="2">
        <v>43922</v>
      </c>
      <c r="P1543" s="2">
        <v>45016</v>
      </c>
      <c r="Q1543">
        <v>0</v>
      </c>
      <c r="R1543" t="s">
        <v>3775</v>
      </c>
    </row>
    <row r="1544" spans="1:18" x14ac:dyDescent="0.25">
      <c r="A1544" t="s">
        <v>5308</v>
      </c>
      <c r="B1544" t="s">
        <v>107</v>
      </c>
      <c r="C1544" t="s">
        <v>38</v>
      </c>
      <c r="D1544" t="s">
        <v>5280</v>
      </c>
      <c r="E1544" t="s">
        <v>5295</v>
      </c>
      <c r="F1544" t="s">
        <v>4554</v>
      </c>
      <c r="G1544" t="s">
        <v>5309</v>
      </c>
      <c r="H1544" s="10">
        <v>480000</v>
      </c>
      <c r="I1544" s="10">
        <v>0</v>
      </c>
      <c r="J1544" s="10">
        <v>0</v>
      </c>
      <c r="L1544" t="s">
        <v>84</v>
      </c>
      <c r="M1544" t="s">
        <v>103</v>
      </c>
      <c r="N1544" t="s">
        <v>5591</v>
      </c>
      <c r="O1544" s="2">
        <v>40087</v>
      </c>
      <c r="P1544" s="2">
        <v>40816</v>
      </c>
      <c r="Q1544">
        <v>5</v>
      </c>
      <c r="R1544" t="s">
        <v>5590</v>
      </c>
    </row>
    <row r="1545" spans="1:18" x14ac:dyDescent="0.25">
      <c r="A1545" t="s">
        <v>4996</v>
      </c>
      <c r="B1545" t="s">
        <v>98</v>
      </c>
      <c r="C1545" t="s">
        <v>20</v>
      </c>
      <c r="D1545" t="s">
        <v>4557</v>
      </c>
      <c r="E1545" t="s">
        <v>4558</v>
      </c>
      <c r="F1545" t="s">
        <v>4559</v>
      </c>
      <c r="G1545" t="s">
        <v>4997</v>
      </c>
      <c r="H1545" s="10">
        <v>408901</v>
      </c>
      <c r="I1545" s="10">
        <v>16929</v>
      </c>
      <c r="J1545" s="10">
        <v>0</v>
      </c>
      <c r="L1545" t="s">
        <v>55</v>
      </c>
      <c r="M1545" t="s">
        <v>94</v>
      </c>
      <c r="N1545" t="s">
        <v>5674</v>
      </c>
      <c r="O1545" s="2">
        <v>43191</v>
      </c>
      <c r="P1545" s="2">
        <v>44286</v>
      </c>
      <c r="Q1545">
        <v>4</v>
      </c>
      <c r="R1545" t="s">
        <v>5673</v>
      </c>
    </row>
    <row r="1546" spans="1:18" x14ac:dyDescent="0.25">
      <c r="A1546" t="s">
        <v>3776</v>
      </c>
      <c r="B1546" t="s">
        <v>162</v>
      </c>
      <c r="C1546" t="s">
        <v>149</v>
      </c>
      <c r="D1546" t="s">
        <v>21</v>
      </c>
      <c r="E1546" t="s">
        <v>172</v>
      </c>
      <c r="F1546" t="s">
        <v>109</v>
      </c>
      <c r="G1546" t="s">
        <v>3783</v>
      </c>
      <c r="H1546" s="10">
        <v>281098</v>
      </c>
      <c r="I1546" s="10">
        <v>0</v>
      </c>
      <c r="J1546" s="10">
        <v>0</v>
      </c>
      <c r="L1546" t="s">
        <v>55</v>
      </c>
      <c r="M1546" t="s">
        <v>103</v>
      </c>
      <c r="N1546" t="s">
        <v>3778</v>
      </c>
      <c r="O1546" s="2">
        <v>40452</v>
      </c>
      <c r="P1546" s="2">
        <v>41547</v>
      </c>
      <c r="Q1546">
        <v>1</v>
      </c>
      <c r="R1546" t="s">
        <v>3784</v>
      </c>
    </row>
    <row r="1547" spans="1:18" x14ac:dyDescent="0.25">
      <c r="A1547" t="s">
        <v>3776</v>
      </c>
      <c r="B1547" t="s">
        <v>162</v>
      </c>
      <c r="C1547" t="s">
        <v>149</v>
      </c>
      <c r="D1547" t="s">
        <v>21</v>
      </c>
      <c r="E1547" t="s">
        <v>60</v>
      </c>
      <c r="F1547" t="s">
        <v>109</v>
      </c>
      <c r="G1547" t="s">
        <v>3777</v>
      </c>
      <c r="H1547" s="10">
        <v>462429</v>
      </c>
      <c r="I1547" s="10">
        <v>0</v>
      </c>
      <c r="J1547" s="10">
        <v>0</v>
      </c>
      <c r="L1547" t="s">
        <v>25</v>
      </c>
      <c r="M1547" t="s">
        <v>103</v>
      </c>
      <c r="N1547" t="s">
        <v>3778</v>
      </c>
      <c r="O1547" s="2">
        <v>41821</v>
      </c>
      <c r="P1547" s="2">
        <v>43281</v>
      </c>
      <c r="Q1547">
        <v>0</v>
      </c>
      <c r="R1547" t="s">
        <v>3779</v>
      </c>
    </row>
    <row r="1548" spans="1:18" x14ac:dyDescent="0.25">
      <c r="A1548" t="s">
        <v>5457</v>
      </c>
      <c r="B1548" t="s">
        <v>162</v>
      </c>
      <c r="C1548" t="s">
        <v>149</v>
      </c>
      <c r="D1548" t="s">
        <v>51</v>
      </c>
      <c r="E1548" t="s">
        <v>186</v>
      </c>
      <c r="F1548" t="s">
        <v>109</v>
      </c>
      <c r="G1548" t="s">
        <v>3785</v>
      </c>
      <c r="H1548" s="10">
        <v>755440</v>
      </c>
      <c r="I1548" s="10">
        <v>0</v>
      </c>
      <c r="J1548" s="10">
        <v>0</v>
      </c>
      <c r="L1548" t="s">
        <v>42</v>
      </c>
      <c r="M1548" t="s">
        <v>26</v>
      </c>
      <c r="N1548" t="s">
        <v>458</v>
      </c>
      <c r="O1548" s="2">
        <v>44470</v>
      </c>
      <c r="P1548" s="2">
        <v>46295</v>
      </c>
      <c r="Q1548">
        <v>1</v>
      </c>
      <c r="R1548" t="s">
        <v>3786</v>
      </c>
    </row>
    <row r="1549" spans="1:18" x14ac:dyDescent="0.25">
      <c r="A1549" t="s">
        <v>5456</v>
      </c>
      <c r="B1549" t="s">
        <v>162</v>
      </c>
      <c r="C1549" t="s">
        <v>149</v>
      </c>
      <c r="D1549" t="s">
        <v>51</v>
      </c>
      <c r="E1549" t="s">
        <v>406</v>
      </c>
      <c r="F1549" t="s">
        <v>109</v>
      </c>
      <c r="G1549" t="s">
        <v>3787</v>
      </c>
      <c r="H1549" s="10">
        <v>608175</v>
      </c>
      <c r="I1549" s="10">
        <v>0</v>
      </c>
      <c r="J1549" s="10">
        <v>0</v>
      </c>
      <c r="L1549" t="s">
        <v>42</v>
      </c>
      <c r="M1549" t="s">
        <v>103</v>
      </c>
      <c r="N1549" t="s">
        <v>3788</v>
      </c>
      <c r="O1549" s="2">
        <v>43191</v>
      </c>
      <c r="P1549" s="2">
        <v>45016</v>
      </c>
      <c r="Q1549">
        <v>0</v>
      </c>
      <c r="R1549" t="s">
        <v>3789</v>
      </c>
    </row>
    <row r="1550" spans="1:18" x14ac:dyDescent="0.25">
      <c r="A1550" t="s">
        <v>5456</v>
      </c>
      <c r="B1550" t="s">
        <v>162</v>
      </c>
      <c r="C1550" t="s">
        <v>149</v>
      </c>
      <c r="D1550" t="s">
        <v>51</v>
      </c>
      <c r="E1550" t="s">
        <v>223</v>
      </c>
      <c r="F1550" t="s">
        <v>109</v>
      </c>
      <c r="G1550" t="s">
        <v>3780</v>
      </c>
      <c r="H1550" s="10">
        <v>887400</v>
      </c>
      <c r="I1550" s="10">
        <v>0</v>
      </c>
      <c r="J1550" s="10">
        <v>0</v>
      </c>
      <c r="L1550" t="s">
        <v>42</v>
      </c>
      <c r="M1550" t="s">
        <v>103</v>
      </c>
      <c r="N1550" t="s">
        <v>3781</v>
      </c>
      <c r="O1550" s="2">
        <v>45566</v>
      </c>
      <c r="P1550" s="2">
        <v>47391</v>
      </c>
      <c r="Q1550">
        <v>0</v>
      </c>
      <c r="R1550" t="s">
        <v>3782</v>
      </c>
    </row>
    <row r="1551" spans="1:18" x14ac:dyDescent="0.25">
      <c r="A1551" t="s">
        <v>3790</v>
      </c>
      <c r="B1551" t="s">
        <v>148</v>
      </c>
      <c r="C1551" t="s">
        <v>149</v>
      </c>
      <c r="D1551" t="s">
        <v>529</v>
      </c>
      <c r="E1551" t="s">
        <v>3791</v>
      </c>
      <c r="F1551" t="s">
        <v>53</v>
      </c>
      <c r="G1551" t="s">
        <v>3792</v>
      </c>
      <c r="H1551" s="10">
        <v>73019</v>
      </c>
      <c r="I1551" s="10">
        <v>0</v>
      </c>
      <c r="J1551" s="10">
        <v>0</v>
      </c>
      <c r="L1551" t="s">
        <v>34</v>
      </c>
      <c r="M1551" t="s">
        <v>204</v>
      </c>
      <c r="N1551" t="s">
        <v>3793</v>
      </c>
      <c r="O1551" s="2">
        <v>39814</v>
      </c>
      <c r="P1551" s="2">
        <v>40178</v>
      </c>
      <c r="Q1551">
        <v>0</v>
      </c>
      <c r="R1551" t="s">
        <v>3794</v>
      </c>
    </row>
    <row r="1552" spans="1:18" x14ac:dyDescent="0.25">
      <c r="A1552" t="s">
        <v>3795</v>
      </c>
      <c r="B1552" t="s">
        <v>237</v>
      </c>
      <c r="C1552" t="s">
        <v>20</v>
      </c>
      <c r="D1552" t="s">
        <v>51</v>
      </c>
      <c r="E1552" t="s">
        <v>186</v>
      </c>
      <c r="F1552" t="s">
        <v>32</v>
      </c>
      <c r="G1552" t="s">
        <v>3796</v>
      </c>
      <c r="H1552" s="10">
        <v>841500</v>
      </c>
      <c r="I1552" s="10">
        <v>0</v>
      </c>
      <c r="J1552" s="10">
        <v>0</v>
      </c>
      <c r="L1552" t="s">
        <v>42</v>
      </c>
      <c r="M1552" t="s">
        <v>26</v>
      </c>
      <c r="N1552" t="s">
        <v>382</v>
      </c>
      <c r="O1552" s="2">
        <v>44470</v>
      </c>
      <c r="P1552" s="2">
        <v>46295</v>
      </c>
      <c r="Q1552">
        <v>0</v>
      </c>
      <c r="R1552" t="s">
        <v>3797</v>
      </c>
    </row>
    <row r="1553" spans="1:18" x14ac:dyDescent="0.25">
      <c r="A1553" t="s">
        <v>3798</v>
      </c>
      <c r="B1553" t="s">
        <v>19</v>
      </c>
      <c r="C1553" t="s">
        <v>20</v>
      </c>
      <c r="D1553" t="s">
        <v>21</v>
      </c>
      <c r="E1553" t="s">
        <v>74</v>
      </c>
      <c r="F1553" t="s">
        <v>23</v>
      </c>
      <c r="G1553" t="s">
        <v>3799</v>
      </c>
      <c r="H1553" s="10">
        <v>361800</v>
      </c>
      <c r="I1553" s="10">
        <v>0</v>
      </c>
      <c r="J1553" s="10">
        <v>0</v>
      </c>
      <c r="L1553" t="s">
        <v>55</v>
      </c>
      <c r="M1553" t="s">
        <v>26</v>
      </c>
      <c r="N1553" t="s">
        <v>3800</v>
      </c>
      <c r="O1553" s="2">
        <v>41000</v>
      </c>
      <c r="P1553" s="2">
        <v>42094</v>
      </c>
      <c r="Q1553">
        <v>1</v>
      </c>
      <c r="R1553" t="s">
        <v>3801</v>
      </c>
    </row>
    <row r="1554" spans="1:18" x14ac:dyDescent="0.25">
      <c r="A1554" t="s">
        <v>3802</v>
      </c>
      <c r="B1554" t="s">
        <v>19</v>
      </c>
      <c r="C1554" t="s">
        <v>20</v>
      </c>
      <c r="D1554" t="s">
        <v>51</v>
      </c>
      <c r="E1554" t="s">
        <v>197</v>
      </c>
      <c r="F1554" t="s">
        <v>23</v>
      </c>
      <c r="G1554" t="s">
        <v>3803</v>
      </c>
      <c r="H1554" s="10">
        <v>1128375</v>
      </c>
      <c r="I1554" s="10">
        <v>0</v>
      </c>
      <c r="J1554" s="10">
        <v>0</v>
      </c>
      <c r="L1554" t="s">
        <v>42</v>
      </c>
      <c r="M1554" t="s">
        <v>26</v>
      </c>
      <c r="N1554" t="s">
        <v>1329</v>
      </c>
      <c r="O1554" s="2">
        <v>44652</v>
      </c>
      <c r="P1554" s="2">
        <v>46477</v>
      </c>
      <c r="Q1554">
        <v>0</v>
      </c>
      <c r="R1554" t="s">
        <v>3804</v>
      </c>
    </row>
    <row r="1555" spans="1:18" x14ac:dyDescent="0.25">
      <c r="A1555" t="s">
        <v>4480</v>
      </c>
      <c r="B1555" t="s">
        <v>4481</v>
      </c>
      <c r="C1555" t="s">
        <v>149</v>
      </c>
      <c r="D1555" t="s">
        <v>4454</v>
      </c>
      <c r="E1555" t="s">
        <v>4455</v>
      </c>
      <c r="F1555" t="s">
        <v>4456</v>
      </c>
      <c r="G1555" t="s">
        <v>4482</v>
      </c>
      <c r="H1555" s="10">
        <v>98968</v>
      </c>
      <c r="I1555" s="10">
        <v>0</v>
      </c>
      <c r="J1555" s="10">
        <v>0</v>
      </c>
      <c r="L1555" t="s">
        <v>34</v>
      </c>
      <c r="M1555" t="s">
        <v>238</v>
      </c>
      <c r="N1555" t="s">
        <v>5757</v>
      </c>
      <c r="O1555" s="2">
        <v>41518</v>
      </c>
      <c r="P1555" s="2">
        <v>41882</v>
      </c>
      <c r="Q1555">
        <v>0</v>
      </c>
      <c r="R1555" t="s">
        <v>5756</v>
      </c>
    </row>
    <row r="1556" spans="1:18" x14ac:dyDescent="0.25">
      <c r="A1556" t="s">
        <v>3805</v>
      </c>
      <c r="B1556" t="s">
        <v>157</v>
      </c>
      <c r="C1556" t="s">
        <v>38</v>
      </c>
      <c r="D1556" t="s">
        <v>21</v>
      </c>
      <c r="E1556" t="s">
        <v>323</v>
      </c>
      <c r="F1556" t="s">
        <v>47</v>
      </c>
      <c r="G1556" t="s">
        <v>3812</v>
      </c>
      <c r="H1556" s="10">
        <v>404578</v>
      </c>
      <c r="I1556" s="10">
        <v>0</v>
      </c>
      <c r="J1556" s="10">
        <v>0</v>
      </c>
      <c r="L1556" t="s">
        <v>55</v>
      </c>
      <c r="M1556" t="s">
        <v>26</v>
      </c>
      <c r="N1556" t="s">
        <v>3807</v>
      </c>
      <c r="O1556" s="2">
        <v>40269</v>
      </c>
      <c r="P1556" s="2">
        <v>41364</v>
      </c>
      <c r="Q1556">
        <v>0</v>
      </c>
      <c r="R1556" t="s">
        <v>3813</v>
      </c>
    </row>
    <row r="1557" spans="1:18" x14ac:dyDescent="0.25">
      <c r="A1557" t="s">
        <v>3805</v>
      </c>
      <c r="B1557" t="s">
        <v>157</v>
      </c>
      <c r="C1557" t="s">
        <v>38</v>
      </c>
      <c r="D1557" t="s">
        <v>395</v>
      </c>
      <c r="E1557" t="s">
        <v>1238</v>
      </c>
      <c r="F1557" t="s">
        <v>47</v>
      </c>
      <c r="G1557" t="s">
        <v>3806</v>
      </c>
      <c r="H1557" s="10">
        <v>100000</v>
      </c>
      <c r="I1557" s="10">
        <v>0</v>
      </c>
      <c r="J1557" s="10">
        <v>0</v>
      </c>
      <c r="L1557" t="s">
        <v>34</v>
      </c>
      <c r="M1557" t="s">
        <v>26</v>
      </c>
      <c r="N1557" t="s">
        <v>3807</v>
      </c>
      <c r="O1557" s="2">
        <v>40087</v>
      </c>
      <c r="P1557" s="2">
        <v>40451</v>
      </c>
      <c r="Q1557">
        <v>0</v>
      </c>
      <c r="R1557" t="s">
        <v>3808</v>
      </c>
    </row>
    <row r="1558" spans="1:18" x14ac:dyDescent="0.25">
      <c r="A1558" t="s">
        <v>3805</v>
      </c>
      <c r="B1558" t="s">
        <v>157</v>
      </c>
      <c r="C1558" t="s">
        <v>38</v>
      </c>
      <c r="D1558" t="s">
        <v>51</v>
      </c>
      <c r="E1558" t="s">
        <v>406</v>
      </c>
      <c r="F1558" t="s">
        <v>128</v>
      </c>
      <c r="G1558" t="s">
        <v>3809</v>
      </c>
      <c r="H1558" s="10">
        <v>680850</v>
      </c>
      <c r="I1558" s="10">
        <v>0</v>
      </c>
      <c r="J1558" s="10">
        <v>0</v>
      </c>
      <c r="L1558" t="s">
        <v>42</v>
      </c>
      <c r="M1558" t="s">
        <v>26</v>
      </c>
      <c r="N1558" t="s">
        <v>3810</v>
      </c>
      <c r="O1558" s="2">
        <v>43191</v>
      </c>
      <c r="P1558" s="2">
        <v>45016</v>
      </c>
      <c r="Q1558">
        <v>0</v>
      </c>
      <c r="R1558" t="s">
        <v>3811</v>
      </c>
    </row>
    <row r="1559" spans="1:18" x14ac:dyDescent="0.25">
      <c r="A1559" t="s">
        <v>3814</v>
      </c>
      <c r="B1559" t="s">
        <v>499</v>
      </c>
      <c r="C1559" t="s">
        <v>311</v>
      </c>
      <c r="D1559" t="s">
        <v>312</v>
      </c>
      <c r="E1559" t="s">
        <v>3815</v>
      </c>
      <c r="F1559" t="s">
        <v>47</v>
      </c>
      <c r="G1559" t="s">
        <v>3816</v>
      </c>
      <c r="H1559" s="10">
        <v>174874</v>
      </c>
      <c r="I1559" s="10">
        <v>0</v>
      </c>
      <c r="J1559" s="10">
        <v>0</v>
      </c>
      <c r="L1559" t="s">
        <v>55</v>
      </c>
      <c r="M1559" t="s">
        <v>26</v>
      </c>
      <c r="N1559" t="s">
        <v>3817</v>
      </c>
      <c r="O1559" s="2">
        <v>41183</v>
      </c>
      <c r="P1559" s="2">
        <v>42277</v>
      </c>
      <c r="Q1559">
        <v>0</v>
      </c>
      <c r="R1559" t="s">
        <v>3818</v>
      </c>
    </row>
    <row r="1560" spans="1:18" x14ac:dyDescent="0.25">
      <c r="A1560" t="s">
        <v>3819</v>
      </c>
      <c r="B1560" t="s">
        <v>4492</v>
      </c>
      <c r="C1560" t="s">
        <v>38</v>
      </c>
      <c r="D1560" t="s">
        <v>51</v>
      </c>
      <c r="E1560" t="s">
        <v>186</v>
      </c>
      <c r="F1560" t="s">
        <v>23</v>
      </c>
      <c r="G1560" t="s">
        <v>3820</v>
      </c>
      <c r="H1560" s="10">
        <v>822376</v>
      </c>
      <c r="I1560" s="10">
        <v>0</v>
      </c>
      <c r="J1560" s="10">
        <v>0</v>
      </c>
      <c r="L1560" t="s">
        <v>42</v>
      </c>
      <c r="M1560" t="s">
        <v>26</v>
      </c>
      <c r="N1560" t="s">
        <v>3821</v>
      </c>
      <c r="O1560" s="2">
        <v>44470</v>
      </c>
      <c r="P1560" s="2">
        <v>46295</v>
      </c>
      <c r="Q1560">
        <v>0</v>
      </c>
      <c r="R1560" t="s">
        <v>3822</v>
      </c>
    </row>
    <row r="1561" spans="1:18" x14ac:dyDescent="0.25">
      <c r="A1561" t="s">
        <v>4998</v>
      </c>
      <c r="B1561" t="s">
        <v>1890</v>
      </c>
      <c r="C1561" t="s">
        <v>20</v>
      </c>
      <c r="D1561" t="s">
        <v>4557</v>
      </c>
      <c r="E1561" t="s">
        <v>4567</v>
      </c>
      <c r="F1561" t="s">
        <v>4559</v>
      </c>
      <c r="G1561" t="s">
        <v>5000</v>
      </c>
      <c r="H1561" s="10">
        <v>320161</v>
      </c>
      <c r="I1561" s="10">
        <v>0</v>
      </c>
      <c r="J1561" s="10">
        <v>0</v>
      </c>
      <c r="L1561" t="s">
        <v>55</v>
      </c>
      <c r="M1561" t="s">
        <v>204</v>
      </c>
      <c r="N1561" t="s">
        <v>5560</v>
      </c>
      <c r="O1561" s="2">
        <v>41730</v>
      </c>
      <c r="P1561" s="2">
        <v>42825</v>
      </c>
      <c r="Q1561">
        <v>3</v>
      </c>
      <c r="R1561" t="s">
        <v>5559</v>
      </c>
    </row>
    <row r="1562" spans="1:18" x14ac:dyDescent="0.25">
      <c r="A1562" t="s">
        <v>4998</v>
      </c>
      <c r="B1562" t="s">
        <v>1890</v>
      </c>
      <c r="C1562" t="s">
        <v>20</v>
      </c>
      <c r="D1562" t="s">
        <v>4557</v>
      </c>
      <c r="E1562" t="s">
        <v>4611</v>
      </c>
      <c r="F1562" t="s">
        <v>4559</v>
      </c>
      <c r="G1562" t="s">
        <v>4999</v>
      </c>
      <c r="H1562" s="10">
        <v>250861</v>
      </c>
      <c r="I1562" s="10">
        <v>0</v>
      </c>
      <c r="J1562" s="10">
        <v>0</v>
      </c>
      <c r="L1562" t="s">
        <v>55</v>
      </c>
      <c r="M1562" t="s">
        <v>204</v>
      </c>
      <c r="N1562" t="s">
        <v>6030</v>
      </c>
      <c r="O1562" s="2">
        <v>42461</v>
      </c>
      <c r="P1562" s="2">
        <v>43555</v>
      </c>
      <c r="Q1562">
        <v>1</v>
      </c>
      <c r="R1562" t="s">
        <v>6029</v>
      </c>
    </row>
    <row r="1563" spans="1:18" x14ac:dyDescent="0.25">
      <c r="A1563" t="s">
        <v>5001</v>
      </c>
      <c r="B1563" t="s">
        <v>196</v>
      </c>
      <c r="C1563" t="s">
        <v>20</v>
      </c>
      <c r="D1563" t="s">
        <v>4557</v>
      </c>
      <c r="E1563" t="s">
        <v>4558</v>
      </c>
      <c r="F1563" t="s">
        <v>4559</v>
      </c>
      <c r="G1563" t="s">
        <v>5002</v>
      </c>
      <c r="H1563" s="10">
        <v>207246</v>
      </c>
      <c r="I1563" s="10">
        <v>4223</v>
      </c>
      <c r="J1563" s="10">
        <v>0</v>
      </c>
      <c r="L1563" t="s">
        <v>55</v>
      </c>
      <c r="M1563" t="s">
        <v>204</v>
      </c>
      <c r="N1563" t="s">
        <v>5653</v>
      </c>
      <c r="O1563" s="2">
        <v>43191</v>
      </c>
      <c r="P1563" s="2">
        <v>44286</v>
      </c>
      <c r="Q1563">
        <v>1</v>
      </c>
      <c r="R1563" t="s">
        <v>5652</v>
      </c>
    </row>
    <row r="1564" spans="1:18" x14ac:dyDescent="0.25">
      <c r="A1564" t="s">
        <v>3823</v>
      </c>
      <c r="B1564" t="s">
        <v>4492</v>
      </c>
      <c r="C1564" t="s">
        <v>38</v>
      </c>
      <c r="D1564" t="s">
        <v>1377</v>
      </c>
      <c r="E1564" t="s">
        <v>1378</v>
      </c>
      <c r="F1564" t="s">
        <v>1379</v>
      </c>
      <c r="G1564" t="s">
        <v>3824</v>
      </c>
      <c r="H1564" s="10">
        <v>100000</v>
      </c>
      <c r="I1564" s="10">
        <v>0</v>
      </c>
      <c r="J1564" s="10">
        <v>0</v>
      </c>
      <c r="L1564" t="s">
        <v>34</v>
      </c>
      <c r="M1564" t="s">
        <v>94</v>
      </c>
      <c r="N1564" t="s">
        <v>1750</v>
      </c>
      <c r="O1564" s="2">
        <v>39873</v>
      </c>
      <c r="P1564" s="2">
        <v>40237</v>
      </c>
      <c r="Q1564">
        <v>5</v>
      </c>
      <c r="R1564" t="s">
        <v>3825</v>
      </c>
    </row>
    <row r="1565" spans="1:18" x14ac:dyDescent="0.25">
      <c r="A1565" t="s">
        <v>3826</v>
      </c>
      <c r="B1565" t="s">
        <v>107</v>
      </c>
      <c r="C1565" t="s">
        <v>38</v>
      </c>
      <c r="D1565" t="s">
        <v>21</v>
      </c>
      <c r="E1565" t="s">
        <v>549</v>
      </c>
      <c r="F1565" t="s">
        <v>32</v>
      </c>
      <c r="G1565" t="s">
        <v>3827</v>
      </c>
      <c r="H1565" s="10">
        <v>778857</v>
      </c>
      <c r="I1565" s="10">
        <v>0</v>
      </c>
      <c r="J1565" s="10">
        <v>0</v>
      </c>
      <c r="L1565" t="s">
        <v>42</v>
      </c>
      <c r="M1565" t="s">
        <v>26</v>
      </c>
      <c r="N1565" t="s">
        <v>3828</v>
      </c>
      <c r="O1565" s="2">
        <v>42186</v>
      </c>
      <c r="P1565" s="2">
        <v>43281</v>
      </c>
      <c r="Q1565">
        <v>0</v>
      </c>
      <c r="R1565" t="s">
        <v>3829</v>
      </c>
    </row>
    <row r="1566" spans="1:18" x14ac:dyDescent="0.25">
      <c r="A1566" t="s">
        <v>3830</v>
      </c>
      <c r="B1566" t="s">
        <v>721</v>
      </c>
      <c r="C1566" t="s">
        <v>20</v>
      </c>
      <c r="D1566" t="s">
        <v>21</v>
      </c>
      <c r="E1566" t="s">
        <v>194</v>
      </c>
      <c r="F1566" t="s">
        <v>47</v>
      </c>
      <c r="G1566" t="s">
        <v>3831</v>
      </c>
      <c r="H1566" s="11">
        <v>397897</v>
      </c>
      <c r="I1566" s="11">
        <v>0</v>
      </c>
      <c r="J1566" s="11">
        <v>0</v>
      </c>
      <c r="L1566" t="s">
        <v>55</v>
      </c>
      <c r="M1566" t="s">
        <v>26</v>
      </c>
      <c r="N1566" t="s">
        <v>3832</v>
      </c>
      <c r="O1566" s="2">
        <v>40087</v>
      </c>
      <c r="P1566" s="2">
        <v>41182</v>
      </c>
      <c r="Q1566">
        <v>0</v>
      </c>
      <c r="R1566" t="s">
        <v>3833</v>
      </c>
    </row>
    <row r="1567" spans="1:18" x14ac:dyDescent="0.25">
      <c r="A1567" t="s">
        <v>3834</v>
      </c>
      <c r="B1567" t="s">
        <v>196</v>
      </c>
      <c r="C1567" t="s">
        <v>20</v>
      </c>
      <c r="D1567" t="s">
        <v>139</v>
      </c>
      <c r="E1567" t="s">
        <v>140</v>
      </c>
      <c r="F1567" t="s">
        <v>141</v>
      </c>
      <c r="G1567" t="s">
        <v>3835</v>
      </c>
      <c r="H1567" s="10">
        <v>0</v>
      </c>
      <c r="I1567" s="10">
        <v>0</v>
      </c>
      <c r="J1567" s="10">
        <v>151050</v>
      </c>
      <c r="K1567" t="s">
        <v>953</v>
      </c>
      <c r="L1567" t="s">
        <v>34</v>
      </c>
      <c r="M1567" t="s">
        <v>94</v>
      </c>
      <c r="N1567" t="s">
        <v>3836</v>
      </c>
      <c r="O1567" s="2">
        <v>44075</v>
      </c>
      <c r="P1567" s="2">
        <v>44439</v>
      </c>
      <c r="Q1567">
        <v>0</v>
      </c>
      <c r="R1567" t="s">
        <v>3837</v>
      </c>
    </row>
    <row r="1568" spans="1:18" x14ac:dyDescent="0.25">
      <c r="A1568" t="s">
        <v>5458</v>
      </c>
      <c r="B1568" t="s">
        <v>4493</v>
      </c>
      <c r="C1568" t="s">
        <v>38</v>
      </c>
      <c r="D1568" t="s">
        <v>51</v>
      </c>
      <c r="E1568" t="s">
        <v>158</v>
      </c>
      <c r="F1568" t="s">
        <v>23</v>
      </c>
      <c r="G1568" t="s">
        <v>3838</v>
      </c>
      <c r="H1568" s="10">
        <v>765000</v>
      </c>
      <c r="I1568" s="10">
        <v>0</v>
      </c>
      <c r="J1568" s="10">
        <v>0</v>
      </c>
      <c r="L1568" t="s">
        <v>42</v>
      </c>
      <c r="M1568" t="s">
        <v>26</v>
      </c>
      <c r="N1568" t="s">
        <v>3839</v>
      </c>
      <c r="O1568" s="2">
        <v>43922</v>
      </c>
      <c r="P1568" s="2">
        <v>45747</v>
      </c>
      <c r="Q1568">
        <v>0</v>
      </c>
      <c r="R1568" t="s">
        <v>3840</v>
      </c>
    </row>
    <row r="1569" spans="1:18" x14ac:dyDescent="0.25">
      <c r="A1569" t="s">
        <v>3841</v>
      </c>
      <c r="B1569" t="s">
        <v>302</v>
      </c>
      <c r="C1569" t="s">
        <v>20</v>
      </c>
      <c r="D1569" t="s">
        <v>21</v>
      </c>
      <c r="E1569" t="s">
        <v>287</v>
      </c>
      <c r="F1569" t="s">
        <v>53</v>
      </c>
      <c r="G1569" t="s">
        <v>3842</v>
      </c>
      <c r="H1569" s="10">
        <v>866864</v>
      </c>
      <c r="I1569" s="10">
        <v>0</v>
      </c>
      <c r="J1569" s="10">
        <v>0</v>
      </c>
      <c r="L1569" t="s">
        <v>42</v>
      </c>
      <c r="M1569" t="s">
        <v>204</v>
      </c>
      <c r="N1569" t="s">
        <v>3843</v>
      </c>
      <c r="O1569" s="2">
        <v>40634</v>
      </c>
      <c r="P1569" s="2">
        <v>42460</v>
      </c>
      <c r="Q1569">
        <v>0</v>
      </c>
      <c r="R1569" t="s">
        <v>3844</v>
      </c>
    </row>
    <row r="1570" spans="1:18" x14ac:dyDescent="0.25">
      <c r="A1570" t="s">
        <v>5459</v>
      </c>
      <c r="B1570" t="s">
        <v>1890</v>
      </c>
      <c r="C1570" t="s">
        <v>20</v>
      </c>
      <c r="D1570" t="s">
        <v>51</v>
      </c>
      <c r="E1570" t="s">
        <v>70</v>
      </c>
      <c r="F1570" t="s">
        <v>356</v>
      </c>
      <c r="G1570" t="s">
        <v>3845</v>
      </c>
      <c r="H1570" s="10">
        <v>749700</v>
      </c>
      <c r="I1570" s="10">
        <v>0</v>
      </c>
      <c r="J1570" s="10">
        <v>0</v>
      </c>
      <c r="L1570" t="s">
        <v>42</v>
      </c>
      <c r="M1570" t="s">
        <v>26</v>
      </c>
      <c r="N1570" t="s">
        <v>600</v>
      </c>
      <c r="O1570" s="2">
        <v>45200</v>
      </c>
      <c r="P1570" s="2">
        <v>47026</v>
      </c>
      <c r="Q1570">
        <v>1</v>
      </c>
      <c r="R1570" t="s">
        <v>3846</v>
      </c>
    </row>
    <row r="1571" spans="1:18" x14ac:dyDescent="0.25">
      <c r="A1571" t="s">
        <v>3847</v>
      </c>
      <c r="B1571" t="s">
        <v>98</v>
      </c>
      <c r="C1571" t="s">
        <v>20</v>
      </c>
      <c r="D1571" t="s">
        <v>21</v>
      </c>
      <c r="E1571" t="s">
        <v>108</v>
      </c>
      <c r="F1571" t="s">
        <v>32</v>
      </c>
      <c r="G1571" t="s">
        <v>3848</v>
      </c>
      <c r="H1571" s="10">
        <v>568514</v>
      </c>
      <c r="I1571" s="10">
        <v>0</v>
      </c>
      <c r="J1571" s="10">
        <v>0</v>
      </c>
      <c r="L1571" t="s">
        <v>25</v>
      </c>
      <c r="M1571" t="s">
        <v>26</v>
      </c>
      <c r="N1571" t="s">
        <v>3849</v>
      </c>
      <c r="O1571" s="2">
        <v>41548</v>
      </c>
      <c r="P1571" s="2">
        <v>43190</v>
      </c>
      <c r="Q1571">
        <v>0</v>
      </c>
      <c r="R1571" t="s">
        <v>3850</v>
      </c>
    </row>
    <row r="1572" spans="1:18" x14ac:dyDescent="0.25">
      <c r="A1572" t="s">
        <v>5003</v>
      </c>
      <c r="B1572" t="s">
        <v>49</v>
      </c>
      <c r="C1572" t="s">
        <v>50</v>
      </c>
      <c r="D1572" t="s">
        <v>4557</v>
      </c>
      <c r="E1572" t="s">
        <v>4611</v>
      </c>
      <c r="F1572" t="s">
        <v>4559</v>
      </c>
      <c r="G1572" t="s">
        <v>5004</v>
      </c>
      <c r="H1572" s="10">
        <v>327819</v>
      </c>
      <c r="I1572" s="10">
        <v>0</v>
      </c>
      <c r="J1572" s="10">
        <v>0</v>
      </c>
      <c r="L1572" t="s">
        <v>55</v>
      </c>
      <c r="M1572" t="s">
        <v>103</v>
      </c>
      <c r="N1572" t="s">
        <v>6006</v>
      </c>
      <c r="O1572" s="2">
        <v>42461</v>
      </c>
      <c r="P1572" s="2">
        <v>43555</v>
      </c>
      <c r="Q1572">
        <v>0</v>
      </c>
      <c r="R1572" t="s">
        <v>6005</v>
      </c>
    </row>
    <row r="1573" spans="1:18" x14ac:dyDescent="0.25">
      <c r="A1573" t="s">
        <v>5147</v>
      </c>
      <c r="B1573" t="s">
        <v>49</v>
      </c>
      <c r="C1573" t="s">
        <v>50</v>
      </c>
      <c r="D1573" t="s">
        <v>139</v>
      </c>
      <c r="E1573" t="s">
        <v>140</v>
      </c>
      <c r="F1573" t="s">
        <v>141</v>
      </c>
      <c r="G1573" t="s">
        <v>3851</v>
      </c>
      <c r="H1573" s="10">
        <v>260326</v>
      </c>
      <c r="I1573" s="10">
        <v>0</v>
      </c>
      <c r="J1573" s="10">
        <v>0</v>
      </c>
      <c r="L1573" t="s">
        <v>34</v>
      </c>
      <c r="M1573" t="s">
        <v>103</v>
      </c>
      <c r="N1573" t="s">
        <v>3852</v>
      </c>
      <c r="O1573" s="2">
        <v>43983</v>
      </c>
      <c r="P1573" s="2">
        <v>44347</v>
      </c>
      <c r="Q1573">
        <v>0</v>
      </c>
      <c r="R1573" t="s">
        <v>3853</v>
      </c>
    </row>
    <row r="1574" spans="1:18" x14ac:dyDescent="0.25">
      <c r="A1574" t="s">
        <v>3854</v>
      </c>
      <c r="B1574" t="s">
        <v>19</v>
      </c>
      <c r="C1574" t="s">
        <v>20</v>
      </c>
      <c r="D1574" t="s">
        <v>21</v>
      </c>
      <c r="E1574" t="s">
        <v>534</v>
      </c>
      <c r="F1574" t="s">
        <v>47</v>
      </c>
      <c r="G1574" t="s">
        <v>3863</v>
      </c>
      <c r="H1574" s="10">
        <v>812446</v>
      </c>
      <c r="I1574" s="10">
        <v>0</v>
      </c>
      <c r="J1574" s="10">
        <v>0</v>
      </c>
      <c r="L1574" t="s">
        <v>42</v>
      </c>
      <c r="M1574" t="s">
        <v>26</v>
      </c>
      <c r="N1574" t="s">
        <v>1711</v>
      </c>
      <c r="O1574" s="2">
        <v>40817</v>
      </c>
      <c r="P1574" s="2">
        <v>42643</v>
      </c>
      <c r="Q1574">
        <v>0</v>
      </c>
      <c r="R1574" t="s">
        <v>3864</v>
      </c>
    </row>
    <row r="1575" spans="1:18" x14ac:dyDescent="0.25">
      <c r="A1575" t="s">
        <v>3854</v>
      </c>
      <c r="B1575" t="s">
        <v>19</v>
      </c>
      <c r="C1575" t="s">
        <v>20</v>
      </c>
      <c r="D1575" t="s">
        <v>21</v>
      </c>
      <c r="E1575" t="s">
        <v>60</v>
      </c>
      <c r="F1575" t="s">
        <v>23</v>
      </c>
      <c r="G1575" t="s">
        <v>3858</v>
      </c>
      <c r="H1575" s="10">
        <v>754235</v>
      </c>
      <c r="I1575" s="10">
        <v>0</v>
      </c>
      <c r="J1575" s="10">
        <v>0</v>
      </c>
      <c r="L1575" t="s">
        <v>42</v>
      </c>
      <c r="M1575" t="s">
        <v>26</v>
      </c>
      <c r="N1575" t="s">
        <v>3859</v>
      </c>
      <c r="O1575" s="2">
        <v>41821</v>
      </c>
      <c r="P1575" s="2">
        <v>42551</v>
      </c>
      <c r="Q1575">
        <v>3</v>
      </c>
      <c r="R1575" t="s">
        <v>3860</v>
      </c>
    </row>
    <row r="1576" spans="1:18" x14ac:dyDescent="0.25">
      <c r="A1576" t="s">
        <v>5460</v>
      </c>
      <c r="B1576" t="s">
        <v>19</v>
      </c>
      <c r="C1576" t="s">
        <v>20</v>
      </c>
      <c r="D1576" t="s">
        <v>51</v>
      </c>
      <c r="E1576" t="s">
        <v>167</v>
      </c>
      <c r="F1576" t="s">
        <v>23</v>
      </c>
      <c r="G1576" t="s">
        <v>3861</v>
      </c>
      <c r="H1576" s="10">
        <v>1224000</v>
      </c>
      <c r="I1576" s="10">
        <v>0</v>
      </c>
      <c r="J1576" s="10">
        <v>0</v>
      </c>
      <c r="L1576" t="s">
        <v>42</v>
      </c>
      <c r="M1576" t="s">
        <v>26</v>
      </c>
      <c r="N1576" t="s">
        <v>72</v>
      </c>
      <c r="O1576" s="2">
        <v>45108</v>
      </c>
      <c r="P1576" s="2">
        <v>46934</v>
      </c>
      <c r="Q1576">
        <v>0</v>
      </c>
      <c r="R1576" t="s">
        <v>3862</v>
      </c>
    </row>
    <row r="1577" spans="1:18" x14ac:dyDescent="0.25">
      <c r="A1577" t="s">
        <v>5461</v>
      </c>
      <c r="B1577" t="s">
        <v>19</v>
      </c>
      <c r="C1577" t="s">
        <v>20</v>
      </c>
      <c r="D1577" t="s">
        <v>51</v>
      </c>
      <c r="E1577" t="s">
        <v>223</v>
      </c>
      <c r="F1577" t="s">
        <v>23</v>
      </c>
      <c r="G1577" t="s">
        <v>3855</v>
      </c>
      <c r="H1577" s="10">
        <v>1292850</v>
      </c>
      <c r="I1577" s="10">
        <v>0</v>
      </c>
      <c r="J1577" s="10">
        <v>0</v>
      </c>
      <c r="L1577" t="s">
        <v>42</v>
      </c>
      <c r="M1577" t="s">
        <v>26</v>
      </c>
      <c r="N1577" t="s">
        <v>3856</v>
      </c>
      <c r="O1577" s="2">
        <v>45566</v>
      </c>
      <c r="P1577" s="2">
        <v>47391</v>
      </c>
      <c r="Q1577">
        <v>0</v>
      </c>
      <c r="R1577" t="s">
        <v>3857</v>
      </c>
    </row>
    <row r="1578" spans="1:18" x14ac:dyDescent="0.25">
      <c r="A1578" t="s">
        <v>3865</v>
      </c>
      <c r="B1578" t="s">
        <v>5111</v>
      </c>
      <c r="C1578" t="s">
        <v>2485</v>
      </c>
      <c r="D1578" t="s">
        <v>21</v>
      </c>
      <c r="E1578" t="s">
        <v>60</v>
      </c>
      <c r="F1578" t="s">
        <v>47</v>
      </c>
      <c r="G1578" t="s">
        <v>3868</v>
      </c>
      <c r="H1578" s="10">
        <v>495930</v>
      </c>
      <c r="I1578" s="10">
        <v>0</v>
      </c>
      <c r="J1578" s="10">
        <v>0</v>
      </c>
      <c r="L1578" t="s">
        <v>42</v>
      </c>
      <c r="M1578" t="s">
        <v>26</v>
      </c>
      <c r="N1578" t="s">
        <v>3869</v>
      </c>
      <c r="O1578" s="2">
        <v>41821</v>
      </c>
      <c r="P1578" s="2">
        <v>43646</v>
      </c>
      <c r="Q1578">
        <v>0</v>
      </c>
      <c r="R1578" t="s">
        <v>3870</v>
      </c>
    </row>
    <row r="1579" spans="1:18" x14ac:dyDescent="0.25">
      <c r="A1579" t="s">
        <v>3865</v>
      </c>
      <c r="B1579" t="s">
        <v>5111</v>
      </c>
      <c r="C1579" t="s">
        <v>2485</v>
      </c>
      <c r="D1579" t="s">
        <v>1342</v>
      </c>
      <c r="E1579" t="s">
        <v>2278</v>
      </c>
      <c r="F1579" t="s">
        <v>23</v>
      </c>
      <c r="G1579" t="s">
        <v>3866</v>
      </c>
      <c r="H1579" s="10">
        <v>100000</v>
      </c>
      <c r="I1579" s="10">
        <v>0</v>
      </c>
      <c r="J1579" s="10">
        <v>0</v>
      </c>
      <c r="L1579" t="s">
        <v>34</v>
      </c>
      <c r="M1579" t="s">
        <v>26</v>
      </c>
      <c r="N1579" t="s">
        <v>135</v>
      </c>
      <c r="O1579" s="2">
        <v>44986</v>
      </c>
      <c r="P1579" s="2">
        <v>45351</v>
      </c>
      <c r="Q1579">
        <v>0</v>
      </c>
      <c r="R1579" t="s">
        <v>3867</v>
      </c>
    </row>
    <row r="1580" spans="1:18" x14ac:dyDescent="0.25">
      <c r="A1580" t="s">
        <v>5276</v>
      </c>
      <c r="B1580" t="s">
        <v>162</v>
      </c>
      <c r="C1580" t="s">
        <v>149</v>
      </c>
      <c r="D1580" t="s">
        <v>5248</v>
      </c>
      <c r="E1580" t="s">
        <v>5268</v>
      </c>
      <c r="F1580" t="s">
        <v>4554</v>
      </c>
      <c r="G1580" t="s">
        <v>5277</v>
      </c>
      <c r="H1580" s="10">
        <v>131484</v>
      </c>
      <c r="I1580" s="10">
        <v>0</v>
      </c>
      <c r="J1580" s="10">
        <v>0</v>
      </c>
      <c r="L1580" t="s">
        <v>55</v>
      </c>
      <c r="M1580" t="s">
        <v>85</v>
      </c>
      <c r="N1580" t="s">
        <v>5627</v>
      </c>
      <c r="O1580" s="2">
        <v>40634</v>
      </c>
      <c r="P1580" s="2">
        <v>41729</v>
      </c>
      <c r="Q1580">
        <v>0</v>
      </c>
      <c r="R1580" t="s">
        <v>5626</v>
      </c>
    </row>
    <row r="1581" spans="1:18" x14ac:dyDescent="0.25">
      <c r="A1581" t="s">
        <v>5005</v>
      </c>
      <c r="B1581" t="s">
        <v>49</v>
      </c>
      <c r="C1581" t="s">
        <v>50</v>
      </c>
      <c r="D1581" t="s">
        <v>4557</v>
      </c>
      <c r="E1581" t="s">
        <v>4602</v>
      </c>
      <c r="F1581" t="s">
        <v>4559</v>
      </c>
      <c r="G1581" t="s">
        <v>5006</v>
      </c>
      <c r="H1581" s="10">
        <v>206647</v>
      </c>
      <c r="I1581" s="10">
        <v>0</v>
      </c>
      <c r="J1581" s="10">
        <v>0</v>
      </c>
      <c r="L1581" t="s">
        <v>55</v>
      </c>
      <c r="M1581" t="s">
        <v>238</v>
      </c>
      <c r="N1581" t="s">
        <v>1912</v>
      </c>
      <c r="O1581" s="2">
        <v>41365</v>
      </c>
      <c r="P1581" s="2">
        <v>42460</v>
      </c>
      <c r="Q1581">
        <v>0</v>
      </c>
      <c r="R1581" t="s">
        <v>5778</v>
      </c>
    </row>
    <row r="1582" spans="1:18" x14ac:dyDescent="0.25">
      <c r="A1582" t="s">
        <v>3871</v>
      </c>
      <c r="B1582" t="s">
        <v>162</v>
      </c>
      <c r="C1582" t="s">
        <v>149</v>
      </c>
      <c r="D1582" t="s">
        <v>99</v>
      </c>
      <c r="E1582" t="s">
        <v>100</v>
      </c>
      <c r="F1582" t="s">
        <v>101</v>
      </c>
      <c r="G1582" t="s">
        <v>3872</v>
      </c>
      <c r="H1582" s="10">
        <v>904236</v>
      </c>
      <c r="I1582" s="10">
        <v>0</v>
      </c>
      <c r="J1582" s="10">
        <v>0</v>
      </c>
      <c r="L1582" t="s">
        <v>34</v>
      </c>
      <c r="M1582" t="s">
        <v>94</v>
      </c>
      <c r="N1582" t="s">
        <v>3873</v>
      </c>
      <c r="O1582" s="2">
        <v>43983</v>
      </c>
      <c r="P1582" s="2">
        <v>44347</v>
      </c>
      <c r="Q1582">
        <v>2</v>
      </c>
      <c r="R1582" t="s">
        <v>3874</v>
      </c>
    </row>
    <row r="1583" spans="1:18" x14ac:dyDescent="0.25">
      <c r="A1583" t="s">
        <v>3871</v>
      </c>
      <c r="B1583" t="s">
        <v>162</v>
      </c>
      <c r="C1583" t="s">
        <v>149</v>
      </c>
      <c r="D1583" t="s">
        <v>5280</v>
      </c>
      <c r="E1583" t="s">
        <v>5295</v>
      </c>
      <c r="F1583" t="s">
        <v>4554</v>
      </c>
      <c r="G1583" t="s">
        <v>5310</v>
      </c>
      <c r="H1583" s="10">
        <v>175000</v>
      </c>
      <c r="I1583" s="10">
        <v>0</v>
      </c>
      <c r="J1583" s="10">
        <v>0</v>
      </c>
      <c r="L1583" t="s">
        <v>84</v>
      </c>
      <c r="M1583" t="s">
        <v>94</v>
      </c>
      <c r="N1583" t="s">
        <v>5797</v>
      </c>
      <c r="O1583" s="2">
        <v>40087</v>
      </c>
      <c r="P1583" s="2">
        <v>40816</v>
      </c>
      <c r="Q1583">
        <v>1</v>
      </c>
      <c r="R1583" t="s">
        <v>5796</v>
      </c>
    </row>
    <row r="1584" spans="1:18" x14ac:dyDescent="0.25">
      <c r="A1584" t="s">
        <v>5157</v>
      </c>
      <c r="B1584" t="s">
        <v>162</v>
      </c>
      <c r="C1584" t="s">
        <v>149</v>
      </c>
      <c r="D1584" t="s">
        <v>99</v>
      </c>
      <c r="E1584" t="s">
        <v>100</v>
      </c>
      <c r="F1584" t="s">
        <v>101</v>
      </c>
      <c r="G1584" t="s">
        <v>3875</v>
      </c>
      <c r="H1584" s="10">
        <v>499775</v>
      </c>
      <c r="I1584" s="10">
        <v>0</v>
      </c>
      <c r="J1584" s="10">
        <v>0</v>
      </c>
      <c r="L1584" t="s">
        <v>34</v>
      </c>
      <c r="M1584" t="s">
        <v>94</v>
      </c>
      <c r="N1584" t="s">
        <v>3836</v>
      </c>
      <c r="O1584" s="2">
        <v>43983</v>
      </c>
      <c r="P1584" s="2">
        <v>44347</v>
      </c>
      <c r="Q1584">
        <v>0</v>
      </c>
      <c r="R1584" t="s">
        <v>3876</v>
      </c>
    </row>
    <row r="1585" spans="1:18" x14ac:dyDescent="0.25">
      <c r="A1585" t="s">
        <v>3877</v>
      </c>
      <c r="B1585" t="s">
        <v>162</v>
      </c>
      <c r="C1585" t="s">
        <v>149</v>
      </c>
      <c r="D1585" t="s">
        <v>21</v>
      </c>
      <c r="E1585" t="s">
        <v>74</v>
      </c>
      <c r="F1585" t="s">
        <v>53</v>
      </c>
      <c r="G1585" t="s">
        <v>3878</v>
      </c>
      <c r="H1585" s="10">
        <v>513029</v>
      </c>
      <c r="I1585" s="10">
        <v>0</v>
      </c>
      <c r="J1585" s="10">
        <v>0</v>
      </c>
      <c r="L1585" t="s">
        <v>25</v>
      </c>
      <c r="M1585" t="s">
        <v>204</v>
      </c>
      <c r="N1585" t="s">
        <v>3879</v>
      </c>
      <c r="O1585" s="2">
        <v>41000</v>
      </c>
      <c r="P1585" s="2">
        <v>42460</v>
      </c>
      <c r="Q1585">
        <v>1</v>
      </c>
      <c r="R1585" t="s">
        <v>3880</v>
      </c>
    </row>
    <row r="1586" spans="1:18" x14ac:dyDescent="0.25">
      <c r="A1586" t="s">
        <v>3877</v>
      </c>
      <c r="B1586" t="s">
        <v>162</v>
      </c>
      <c r="C1586" t="s">
        <v>149</v>
      </c>
      <c r="D1586" t="s">
        <v>21</v>
      </c>
      <c r="E1586" t="s">
        <v>549</v>
      </c>
      <c r="F1586" t="s">
        <v>53</v>
      </c>
      <c r="G1586" t="s">
        <v>3887</v>
      </c>
      <c r="H1586" s="10">
        <v>597400</v>
      </c>
      <c r="I1586" s="10">
        <v>0</v>
      </c>
      <c r="J1586" s="10">
        <v>0</v>
      </c>
      <c r="L1586" t="s">
        <v>42</v>
      </c>
      <c r="M1586" t="s">
        <v>26</v>
      </c>
      <c r="N1586" t="s">
        <v>2661</v>
      </c>
      <c r="O1586" s="2">
        <v>42186</v>
      </c>
      <c r="P1586" s="2">
        <v>44377</v>
      </c>
      <c r="Q1586">
        <v>1</v>
      </c>
      <c r="R1586" t="s">
        <v>3888</v>
      </c>
    </row>
    <row r="1587" spans="1:18" x14ac:dyDescent="0.25">
      <c r="A1587" t="s">
        <v>3877</v>
      </c>
      <c r="B1587" t="s">
        <v>162</v>
      </c>
      <c r="C1587" t="s">
        <v>149</v>
      </c>
      <c r="D1587" t="s">
        <v>51</v>
      </c>
      <c r="E1587" t="s">
        <v>406</v>
      </c>
      <c r="F1587" t="s">
        <v>53</v>
      </c>
      <c r="G1587" t="s">
        <v>3881</v>
      </c>
      <c r="H1587" s="10">
        <v>504900</v>
      </c>
      <c r="I1587" s="10">
        <v>0</v>
      </c>
      <c r="J1587" s="10">
        <v>0</v>
      </c>
      <c r="L1587" t="s">
        <v>25</v>
      </c>
      <c r="M1587" t="s">
        <v>204</v>
      </c>
      <c r="N1587" t="s">
        <v>3882</v>
      </c>
      <c r="O1587" s="2">
        <v>43191</v>
      </c>
      <c r="P1587" s="2">
        <v>44651</v>
      </c>
      <c r="Q1587">
        <v>0</v>
      </c>
      <c r="R1587" t="s">
        <v>3883</v>
      </c>
    </row>
    <row r="1588" spans="1:18" x14ac:dyDescent="0.25">
      <c r="A1588" t="s">
        <v>3877</v>
      </c>
      <c r="B1588" t="s">
        <v>162</v>
      </c>
      <c r="C1588" t="s">
        <v>149</v>
      </c>
      <c r="D1588" t="s">
        <v>51</v>
      </c>
      <c r="E1588" t="s">
        <v>52</v>
      </c>
      <c r="F1588" t="s">
        <v>53</v>
      </c>
      <c r="G1588" t="s">
        <v>3884</v>
      </c>
      <c r="H1588" s="10">
        <v>757350</v>
      </c>
      <c r="I1588" s="10">
        <v>0</v>
      </c>
      <c r="J1588" s="10">
        <v>0</v>
      </c>
      <c r="L1588" t="s">
        <v>42</v>
      </c>
      <c r="M1588" t="s">
        <v>26</v>
      </c>
      <c r="N1588" t="s">
        <v>3885</v>
      </c>
      <c r="O1588" s="2">
        <v>44287</v>
      </c>
      <c r="P1588" s="2">
        <v>46112</v>
      </c>
      <c r="Q1588">
        <v>0</v>
      </c>
      <c r="R1588" t="s">
        <v>3886</v>
      </c>
    </row>
    <row r="1589" spans="1:18" x14ac:dyDescent="0.25">
      <c r="A1589" t="s">
        <v>3889</v>
      </c>
      <c r="B1589" t="s">
        <v>49</v>
      </c>
      <c r="C1589" t="s">
        <v>50</v>
      </c>
      <c r="D1589" t="s">
        <v>51</v>
      </c>
      <c r="E1589" t="s">
        <v>127</v>
      </c>
      <c r="F1589" t="s">
        <v>47</v>
      </c>
      <c r="G1589" t="s">
        <v>3890</v>
      </c>
      <c r="H1589" s="10">
        <v>841500</v>
      </c>
      <c r="I1589" s="10">
        <v>0</v>
      </c>
      <c r="J1589" s="10">
        <v>0</v>
      </c>
      <c r="L1589" t="s">
        <v>42</v>
      </c>
      <c r="M1589" t="s">
        <v>26</v>
      </c>
      <c r="N1589" t="s">
        <v>179</v>
      </c>
      <c r="O1589" s="2">
        <v>44835</v>
      </c>
      <c r="P1589" s="2">
        <v>46660</v>
      </c>
      <c r="Q1589">
        <v>0</v>
      </c>
      <c r="R1589" t="s">
        <v>3891</v>
      </c>
    </row>
    <row r="1590" spans="1:18" x14ac:dyDescent="0.25">
      <c r="A1590" t="s">
        <v>3892</v>
      </c>
      <c r="B1590" t="s">
        <v>148</v>
      </c>
      <c r="C1590" t="s">
        <v>149</v>
      </c>
      <c r="D1590" t="s">
        <v>21</v>
      </c>
      <c r="E1590" t="s">
        <v>60</v>
      </c>
      <c r="F1590" t="s">
        <v>53</v>
      </c>
      <c r="G1590" t="s">
        <v>3893</v>
      </c>
      <c r="H1590" s="10">
        <v>586594</v>
      </c>
      <c r="I1590" s="10">
        <v>0</v>
      </c>
      <c r="J1590" s="10">
        <v>0</v>
      </c>
      <c r="L1590" t="s">
        <v>42</v>
      </c>
      <c r="M1590" t="s">
        <v>85</v>
      </c>
      <c r="N1590" t="s">
        <v>3894</v>
      </c>
      <c r="O1590" s="2">
        <v>41821</v>
      </c>
      <c r="P1590" s="2">
        <v>43646</v>
      </c>
      <c r="Q1590">
        <v>0</v>
      </c>
      <c r="R1590" t="s">
        <v>3895</v>
      </c>
    </row>
    <row r="1591" spans="1:18" x14ac:dyDescent="0.25">
      <c r="A1591" t="s">
        <v>3892</v>
      </c>
      <c r="B1591" t="s">
        <v>148</v>
      </c>
      <c r="C1591" t="s">
        <v>149</v>
      </c>
      <c r="D1591" t="s">
        <v>3896</v>
      </c>
      <c r="E1591" t="s">
        <v>3897</v>
      </c>
      <c r="F1591" t="s">
        <v>53</v>
      </c>
      <c r="G1591" t="s">
        <v>3898</v>
      </c>
      <c r="H1591" s="10">
        <v>100000</v>
      </c>
      <c r="I1591" s="10">
        <v>0</v>
      </c>
      <c r="J1591" s="10">
        <v>0</v>
      </c>
      <c r="L1591" t="s">
        <v>34</v>
      </c>
      <c r="M1591" t="s">
        <v>85</v>
      </c>
      <c r="N1591" t="s">
        <v>3899</v>
      </c>
      <c r="O1591" s="2">
        <v>43525</v>
      </c>
      <c r="P1591" s="2">
        <v>43890</v>
      </c>
      <c r="Q1591">
        <v>0</v>
      </c>
      <c r="R1591" t="s">
        <v>3900</v>
      </c>
    </row>
    <row r="1592" spans="1:18" x14ac:dyDescent="0.25">
      <c r="A1592" t="s">
        <v>3901</v>
      </c>
      <c r="B1592" t="s">
        <v>1336</v>
      </c>
      <c r="C1592" t="s">
        <v>50</v>
      </c>
      <c r="D1592" t="s">
        <v>139</v>
      </c>
      <c r="E1592" t="s">
        <v>140</v>
      </c>
      <c r="F1592" t="s">
        <v>141</v>
      </c>
      <c r="G1592" t="s">
        <v>3902</v>
      </c>
      <c r="H1592" s="10">
        <v>82026</v>
      </c>
      <c r="I1592" s="10">
        <v>0</v>
      </c>
      <c r="J1592" s="10">
        <v>0</v>
      </c>
      <c r="L1592" t="s">
        <v>34</v>
      </c>
      <c r="M1592" t="s">
        <v>94</v>
      </c>
      <c r="N1592" t="s">
        <v>3903</v>
      </c>
      <c r="O1592" s="2">
        <v>43983</v>
      </c>
      <c r="P1592" s="2">
        <v>44347</v>
      </c>
      <c r="Q1592">
        <v>1</v>
      </c>
      <c r="R1592" t="s">
        <v>3904</v>
      </c>
    </row>
    <row r="1593" spans="1:18" x14ac:dyDescent="0.25">
      <c r="A1593" t="s">
        <v>3905</v>
      </c>
      <c r="B1593" t="s">
        <v>162</v>
      </c>
      <c r="C1593" t="s">
        <v>149</v>
      </c>
      <c r="D1593" t="s">
        <v>51</v>
      </c>
      <c r="E1593" t="s">
        <v>186</v>
      </c>
      <c r="F1593" t="s">
        <v>53</v>
      </c>
      <c r="G1593" t="s">
        <v>3908</v>
      </c>
      <c r="H1593" s="10">
        <v>589050</v>
      </c>
      <c r="I1593" s="10">
        <v>0</v>
      </c>
      <c r="J1593" s="10">
        <v>0</v>
      </c>
      <c r="L1593" t="s">
        <v>42</v>
      </c>
      <c r="M1593" t="s">
        <v>217</v>
      </c>
      <c r="N1593" t="s">
        <v>600</v>
      </c>
      <c r="O1593" s="2">
        <v>44470</v>
      </c>
      <c r="P1593" s="2">
        <v>46295</v>
      </c>
      <c r="Q1593">
        <v>1</v>
      </c>
      <c r="R1593" t="s">
        <v>3909</v>
      </c>
    </row>
    <row r="1594" spans="1:18" x14ac:dyDescent="0.25">
      <c r="A1594" t="s">
        <v>5462</v>
      </c>
      <c r="B1594" t="s">
        <v>162</v>
      </c>
      <c r="C1594" t="s">
        <v>149</v>
      </c>
      <c r="D1594" t="s">
        <v>51</v>
      </c>
      <c r="E1594" t="s">
        <v>406</v>
      </c>
      <c r="F1594" t="s">
        <v>53</v>
      </c>
      <c r="G1594" t="s">
        <v>3906</v>
      </c>
      <c r="H1594" s="10">
        <v>218025</v>
      </c>
      <c r="I1594" s="10">
        <v>0</v>
      </c>
      <c r="J1594" s="10">
        <v>0</v>
      </c>
      <c r="L1594" t="s">
        <v>55</v>
      </c>
      <c r="M1594" t="s">
        <v>831</v>
      </c>
      <c r="N1594" t="s">
        <v>600</v>
      </c>
      <c r="O1594" s="2">
        <v>43191</v>
      </c>
      <c r="P1594" s="2">
        <v>44286</v>
      </c>
      <c r="Q1594">
        <v>0</v>
      </c>
      <c r="R1594" t="s">
        <v>3907</v>
      </c>
    </row>
    <row r="1595" spans="1:18" x14ac:dyDescent="0.25">
      <c r="A1595" t="s">
        <v>3910</v>
      </c>
      <c r="B1595" t="s">
        <v>5063</v>
      </c>
      <c r="C1595" t="s">
        <v>38</v>
      </c>
      <c r="D1595" t="s">
        <v>21</v>
      </c>
      <c r="E1595" t="s">
        <v>287</v>
      </c>
      <c r="F1595" t="s">
        <v>23</v>
      </c>
      <c r="G1595" t="s">
        <v>3920</v>
      </c>
      <c r="H1595" s="10">
        <v>681336</v>
      </c>
      <c r="I1595" s="10">
        <v>0</v>
      </c>
      <c r="J1595" s="10">
        <v>0</v>
      </c>
      <c r="L1595" t="s">
        <v>42</v>
      </c>
      <c r="M1595" t="s">
        <v>26</v>
      </c>
      <c r="N1595" t="s">
        <v>3921</v>
      </c>
      <c r="O1595" s="2">
        <v>40634</v>
      </c>
      <c r="P1595" s="2">
        <v>42460</v>
      </c>
      <c r="Q1595">
        <v>0</v>
      </c>
      <c r="R1595" t="s">
        <v>3922</v>
      </c>
    </row>
    <row r="1596" spans="1:18" x14ac:dyDescent="0.25">
      <c r="A1596" t="s">
        <v>3910</v>
      </c>
      <c r="B1596" t="s">
        <v>5063</v>
      </c>
      <c r="C1596" t="s">
        <v>38</v>
      </c>
      <c r="D1596" t="s">
        <v>21</v>
      </c>
      <c r="E1596" t="s">
        <v>572</v>
      </c>
      <c r="F1596" t="s">
        <v>47</v>
      </c>
      <c r="G1596" t="s">
        <v>3913</v>
      </c>
      <c r="H1596" s="10">
        <v>685520</v>
      </c>
      <c r="I1596" s="10">
        <v>0</v>
      </c>
      <c r="J1596" s="10">
        <v>0</v>
      </c>
      <c r="L1596" t="s">
        <v>42</v>
      </c>
      <c r="M1596" t="s">
        <v>26</v>
      </c>
      <c r="N1596" t="s">
        <v>3914</v>
      </c>
      <c r="O1596" s="2">
        <v>41730</v>
      </c>
      <c r="P1596" s="2">
        <v>43555</v>
      </c>
      <c r="Q1596">
        <v>0</v>
      </c>
      <c r="R1596" t="s">
        <v>3915</v>
      </c>
    </row>
    <row r="1597" spans="1:18" x14ac:dyDescent="0.25">
      <c r="A1597" t="s">
        <v>3910</v>
      </c>
      <c r="B1597" t="s">
        <v>5063</v>
      </c>
      <c r="C1597" t="s">
        <v>38</v>
      </c>
      <c r="D1597" t="s">
        <v>21</v>
      </c>
      <c r="E1597" t="s">
        <v>549</v>
      </c>
      <c r="F1597" t="s">
        <v>23</v>
      </c>
      <c r="G1597" t="s">
        <v>3916</v>
      </c>
      <c r="H1597" s="10">
        <v>817643</v>
      </c>
      <c r="I1597" s="10">
        <v>0</v>
      </c>
      <c r="J1597" s="10">
        <v>0</v>
      </c>
      <c r="L1597" t="s">
        <v>42</v>
      </c>
      <c r="M1597" t="s">
        <v>26</v>
      </c>
      <c r="N1597" t="s">
        <v>3914</v>
      </c>
      <c r="O1597" s="2">
        <v>42186</v>
      </c>
      <c r="P1597" s="2">
        <v>44012</v>
      </c>
      <c r="Q1597">
        <v>0</v>
      </c>
      <c r="R1597" t="s">
        <v>3917</v>
      </c>
    </row>
    <row r="1598" spans="1:18" x14ac:dyDescent="0.25">
      <c r="A1598" t="s">
        <v>3910</v>
      </c>
      <c r="B1598" t="s">
        <v>5063</v>
      </c>
      <c r="C1598" t="s">
        <v>38</v>
      </c>
      <c r="D1598" t="s">
        <v>51</v>
      </c>
      <c r="E1598" t="s">
        <v>158</v>
      </c>
      <c r="F1598" t="s">
        <v>32</v>
      </c>
      <c r="G1598" t="s">
        <v>3923</v>
      </c>
      <c r="H1598" s="10">
        <v>975375</v>
      </c>
      <c r="I1598" s="10">
        <v>0</v>
      </c>
      <c r="J1598" s="10">
        <v>0</v>
      </c>
      <c r="L1598" t="s">
        <v>42</v>
      </c>
      <c r="M1598" t="s">
        <v>26</v>
      </c>
      <c r="N1598" t="s">
        <v>72</v>
      </c>
      <c r="O1598" s="2">
        <v>43922</v>
      </c>
      <c r="P1598" s="2">
        <v>45747</v>
      </c>
      <c r="Q1598">
        <v>0</v>
      </c>
      <c r="R1598" t="s">
        <v>3924</v>
      </c>
    </row>
    <row r="1599" spans="1:18" x14ac:dyDescent="0.25">
      <c r="A1599" t="s">
        <v>3910</v>
      </c>
      <c r="B1599" t="s">
        <v>5063</v>
      </c>
      <c r="C1599" t="s">
        <v>38</v>
      </c>
      <c r="D1599" t="s">
        <v>51</v>
      </c>
      <c r="E1599" t="s">
        <v>158</v>
      </c>
      <c r="F1599" t="s">
        <v>23</v>
      </c>
      <c r="G1599" t="s">
        <v>3911</v>
      </c>
      <c r="H1599" s="10">
        <v>948600</v>
      </c>
      <c r="I1599" s="10">
        <v>0</v>
      </c>
      <c r="J1599" s="10">
        <v>0</v>
      </c>
      <c r="L1599" t="s">
        <v>42</v>
      </c>
      <c r="M1599" t="s">
        <v>26</v>
      </c>
      <c r="N1599" t="s">
        <v>135</v>
      </c>
      <c r="O1599" s="2">
        <v>43922</v>
      </c>
      <c r="P1599" s="2">
        <v>45747</v>
      </c>
      <c r="Q1599">
        <v>0</v>
      </c>
      <c r="R1599" t="s">
        <v>3912</v>
      </c>
    </row>
    <row r="1600" spans="1:18" x14ac:dyDescent="0.25">
      <c r="A1600" t="s">
        <v>3910</v>
      </c>
      <c r="B1600" t="s">
        <v>5063</v>
      </c>
      <c r="C1600" t="s">
        <v>38</v>
      </c>
      <c r="D1600" t="s">
        <v>30</v>
      </c>
      <c r="E1600" t="s">
        <v>626</v>
      </c>
      <c r="F1600" t="s">
        <v>47</v>
      </c>
      <c r="G1600" t="s">
        <v>3918</v>
      </c>
      <c r="H1600" s="10">
        <v>100000</v>
      </c>
      <c r="I1600" s="10">
        <v>0</v>
      </c>
      <c r="J1600" s="10">
        <v>0</v>
      </c>
      <c r="L1600" t="s">
        <v>34</v>
      </c>
      <c r="M1600" t="s">
        <v>26</v>
      </c>
      <c r="N1600" t="s">
        <v>729</v>
      </c>
      <c r="O1600" s="2">
        <v>44621</v>
      </c>
      <c r="P1600" s="2">
        <v>44985</v>
      </c>
      <c r="Q1600">
        <v>0</v>
      </c>
      <c r="R1600" t="s">
        <v>3919</v>
      </c>
    </row>
    <row r="1601" spans="1:18" x14ac:dyDescent="0.25">
      <c r="A1601" t="s">
        <v>5463</v>
      </c>
      <c r="B1601" t="s">
        <v>2610</v>
      </c>
      <c r="C1601" t="s">
        <v>20</v>
      </c>
      <c r="D1601" t="s">
        <v>51</v>
      </c>
      <c r="E1601" t="s">
        <v>208</v>
      </c>
      <c r="F1601" t="s">
        <v>47</v>
      </c>
      <c r="G1601" t="s">
        <v>3925</v>
      </c>
      <c r="H1601" s="10">
        <v>1143675</v>
      </c>
      <c r="I1601" s="10">
        <v>0</v>
      </c>
      <c r="J1601" s="10">
        <v>0</v>
      </c>
      <c r="L1601" t="s">
        <v>42</v>
      </c>
      <c r="M1601" t="s">
        <v>26</v>
      </c>
      <c r="N1601" t="s">
        <v>3926</v>
      </c>
      <c r="O1601" s="2">
        <v>45383</v>
      </c>
      <c r="P1601" s="2">
        <v>47208</v>
      </c>
      <c r="Q1601">
        <v>0</v>
      </c>
      <c r="R1601" t="s">
        <v>3927</v>
      </c>
    </row>
    <row r="1602" spans="1:18" x14ac:dyDescent="0.25">
      <c r="A1602" t="s">
        <v>5490</v>
      </c>
      <c r="B1602" t="s">
        <v>2610</v>
      </c>
      <c r="C1602" t="s">
        <v>20</v>
      </c>
      <c r="D1602" t="s">
        <v>1342</v>
      </c>
      <c r="E1602" t="s">
        <v>2278</v>
      </c>
      <c r="F1602" t="s">
        <v>47</v>
      </c>
      <c r="G1602" t="s">
        <v>3928</v>
      </c>
      <c r="H1602" s="10">
        <v>100000</v>
      </c>
      <c r="I1602" s="10">
        <v>0</v>
      </c>
      <c r="J1602" s="10">
        <v>0</v>
      </c>
      <c r="L1602" t="s">
        <v>34</v>
      </c>
      <c r="M1602" t="s">
        <v>26</v>
      </c>
      <c r="N1602" t="s">
        <v>2751</v>
      </c>
      <c r="O1602" s="2">
        <v>44986</v>
      </c>
      <c r="P1602" s="2">
        <v>45351</v>
      </c>
      <c r="Q1602">
        <v>0</v>
      </c>
      <c r="R1602" t="s">
        <v>3929</v>
      </c>
    </row>
    <row r="1603" spans="1:18" x14ac:dyDescent="0.25">
      <c r="A1603" t="s">
        <v>3930</v>
      </c>
      <c r="B1603" t="s">
        <v>98</v>
      </c>
      <c r="C1603" t="s">
        <v>20</v>
      </c>
      <c r="D1603" t="s">
        <v>51</v>
      </c>
      <c r="E1603" t="s">
        <v>122</v>
      </c>
      <c r="F1603" t="s">
        <v>128</v>
      </c>
      <c r="G1603" t="s">
        <v>3931</v>
      </c>
      <c r="H1603" s="10">
        <v>860624</v>
      </c>
      <c r="I1603" s="10">
        <v>0</v>
      </c>
      <c r="J1603" s="10">
        <v>0</v>
      </c>
      <c r="L1603" t="s">
        <v>25</v>
      </c>
      <c r="M1603" t="s">
        <v>26</v>
      </c>
      <c r="N1603" t="s">
        <v>3148</v>
      </c>
      <c r="O1603" s="2">
        <v>43739</v>
      </c>
      <c r="P1603" s="2">
        <v>45199</v>
      </c>
      <c r="Q1603">
        <v>0</v>
      </c>
      <c r="R1603" t="s">
        <v>3932</v>
      </c>
    </row>
    <row r="1604" spans="1:18" x14ac:dyDescent="0.25">
      <c r="A1604" t="s">
        <v>5007</v>
      </c>
      <c r="B1604" t="s">
        <v>98</v>
      </c>
      <c r="C1604" t="s">
        <v>20</v>
      </c>
      <c r="D1604" t="s">
        <v>4557</v>
      </c>
      <c r="E1604" t="s">
        <v>4611</v>
      </c>
      <c r="F1604" t="s">
        <v>4559</v>
      </c>
      <c r="G1604" t="s">
        <v>5008</v>
      </c>
      <c r="H1604" s="10">
        <v>261250</v>
      </c>
      <c r="I1604" s="10">
        <v>0</v>
      </c>
      <c r="J1604" s="10">
        <v>0</v>
      </c>
      <c r="L1604" t="s">
        <v>55</v>
      </c>
      <c r="M1604" t="s">
        <v>26</v>
      </c>
      <c r="N1604" t="s">
        <v>5562</v>
      </c>
      <c r="O1604" s="2">
        <v>42461</v>
      </c>
      <c r="P1604" s="2">
        <v>43555</v>
      </c>
      <c r="Q1604">
        <v>0</v>
      </c>
      <c r="R1604" t="s">
        <v>5764</v>
      </c>
    </row>
    <row r="1605" spans="1:18" x14ac:dyDescent="0.25">
      <c r="A1605" t="s">
        <v>6238</v>
      </c>
      <c r="B1605" t="s">
        <v>49</v>
      </c>
      <c r="C1605" t="s">
        <v>50</v>
      </c>
      <c r="D1605" t="s">
        <v>5042</v>
      </c>
      <c r="E1605" t="s">
        <v>5043</v>
      </c>
      <c r="F1605" t="s">
        <v>5038</v>
      </c>
      <c r="G1605" t="s">
        <v>5054</v>
      </c>
      <c r="H1605" s="12">
        <v>495144</v>
      </c>
      <c r="I1605" s="12">
        <v>0</v>
      </c>
      <c r="J1605" s="10">
        <v>0</v>
      </c>
      <c r="L1605" t="s">
        <v>5039</v>
      </c>
      <c r="M1605" t="s">
        <v>413</v>
      </c>
      <c r="N1605" t="s">
        <v>6239</v>
      </c>
      <c r="O1605" s="2">
        <v>45444</v>
      </c>
      <c r="P1605" s="2">
        <v>46477</v>
      </c>
      <c r="Q1605">
        <v>0</v>
      </c>
      <c r="R1605" t="s">
        <v>6240</v>
      </c>
    </row>
    <row r="1606" spans="1:18" x14ac:dyDescent="0.25">
      <c r="A1606" t="s">
        <v>5504</v>
      </c>
      <c r="B1606" t="s">
        <v>133</v>
      </c>
      <c r="C1606" t="s">
        <v>38</v>
      </c>
      <c r="D1606" t="s">
        <v>4499</v>
      </c>
      <c r="E1606" t="s">
        <v>4500</v>
      </c>
      <c r="F1606" t="s">
        <v>4501</v>
      </c>
      <c r="G1606" t="s">
        <v>4543</v>
      </c>
      <c r="H1606" s="12">
        <v>150000</v>
      </c>
      <c r="I1606" s="12">
        <v>0</v>
      </c>
      <c r="J1606" s="10">
        <v>0</v>
      </c>
      <c r="L1606" t="s">
        <v>34</v>
      </c>
      <c r="M1606" t="s">
        <v>26</v>
      </c>
      <c r="N1606" t="s">
        <v>2144</v>
      </c>
      <c r="O1606" s="2">
        <v>45323</v>
      </c>
      <c r="P1606" s="2">
        <v>45688</v>
      </c>
      <c r="Q1606">
        <v>0</v>
      </c>
      <c r="R1606" t="s">
        <v>6241</v>
      </c>
    </row>
    <row r="1607" spans="1:18" x14ac:dyDescent="0.25">
      <c r="A1607" t="s">
        <v>3933</v>
      </c>
      <c r="B1607" t="s">
        <v>121</v>
      </c>
      <c r="C1607" t="s">
        <v>20</v>
      </c>
      <c r="D1607" t="s">
        <v>51</v>
      </c>
      <c r="E1607" t="s">
        <v>406</v>
      </c>
      <c r="F1607" t="s">
        <v>32</v>
      </c>
      <c r="G1607" t="s">
        <v>3934</v>
      </c>
      <c r="H1607" s="10">
        <v>910350</v>
      </c>
      <c r="I1607" s="10">
        <v>0</v>
      </c>
      <c r="J1607" s="10">
        <v>0</v>
      </c>
      <c r="L1607" t="s">
        <v>42</v>
      </c>
      <c r="M1607" t="s">
        <v>26</v>
      </c>
      <c r="N1607" t="s">
        <v>3935</v>
      </c>
      <c r="O1607" s="2">
        <v>43191</v>
      </c>
      <c r="P1607" s="2">
        <v>45016</v>
      </c>
      <c r="Q1607">
        <v>0</v>
      </c>
      <c r="R1607" t="s">
        <v>3936</v>
      </c>
    </row>
    <row r="1608" spans="1:18" x14ac:dyDescent="0.25">
      <c r="A1608" t="s">
        <v>3933</v>
      </c>
      <c r="B1608" t="s">
        <v>121</v>
      </c>
      <c r="C1608" t="s">
        <v>20</v>
      </c>
      <c r="D1608" t="s">
        <v>51</v>
      </c>
      <c r="E1608" t="s">
        <v>167</v>
      </c>
      <c r="F1608" t="s">
        <v>32</v>
      </c>
      <c r="G1608" t="s">
        <v>3937</v>
      </c>
      <c r="H1608" s="10">
        <v>906525</v>
      </c>
      <c r="I1608" s="10">
        <v>0</v>
      </c>
      <c r="J1608" s="10">
        <v>0</v>
      </c>
      <c r="L1608" t="s">
        <v>42</v>
      </c>
      <c r="M1608" t="s">
        <v>26</v>
      </c>
      <c r="N1608" t="s">
        <v>3935</v>
      </c>
      <c r="O1608" s="2">
        <v>45017</v>
      </c>
      <c r="P1608" s="2">
        <v>46843</v>
      </c>
      <c r="Q1608">
        <v>0</v>
      </c>
      <c r="R1608" t="s">
        <v>3938</v>
      </c>
    </row>
    <row r="1609" spans="1:18" x14ac:dyDescent="0.25">
      <c r="A1609" t="s">
        <v>5464</v>
      </c>
      <c r="B1609" t="s">
        <v>4491</v>
      </c>
      <c r="C1609" t="s">
        <v>38</v>
      </c>
      <c r="D1609" t="s">
        <v>51</v>
      </c>
      <c r="E1609" t="s">
        <v>186</v>
      </c>
      <c r="F1609" t="s">
        <v>32</v>
      </c>
      <c r="G1609" t="s">
        <v>3941</v>
      </c>
      <c r="H1609" s="10">
        <v>956250</v>
      </c>
      <c r="I1609" s="10">
        <v>0</v>
      </c>
      <c r="J1609" s="10">
        <v>0</v>
      </c>
      <c r="L1609" t="s">
        <v>42</v>
      </c>
      <c r="M1609" t="s">
        <v>94</v>
      </c>
      <c r="N1609" t="s">
        <v>744</v>
      </c>
      <c r="O1609" s="2">
        <v>44743</v>
      </c>
      <c r="P1609" s="2">
        <v>46568</v>
      </c>
      <c r="Q1609">
        <v>0</v>
      </c>
      <c r="R1609" t="s">
        <v>3942</v>
      </c>
    </row>
    <row r="1610" spans="1:18" x14ac:dyDescent="0.25">
      <c r="A1610" t="s">
        <v>5464</v>
      </c>
      <c r="B1610" t="s">
        <v>4491</v>
      </c>
      <c r="C1610" t="s">
        <v>38</v>
      </c>
      <c r="D1610" t="s">
        <v>51</v>
      </c>
      <c r="E1610" t="s">
        <v>127</v>
      </c>
      <c r="F1610" t="s">
        <v>32</v>
      </c>
      <c r="G1610" t="s">
        <v>3939</v>
      </c>
      <c r="H1610" s="10">
        <v>956250</v>
      </c>
      <c r="I1610" s="10">
        <v>0</v>
      </c>
      <c r="J1610" s="10">
        <v>0</v>
      </c>
      <c r="L1610" t="s">
        <v>42</v>
      </c>
      <c r="M1610" t="s">
        <v>94</v>
      </c>
      <c r="N1610" t="s">
        <v>118</v>
      </c>
      <c r="O1610" s="2">
        <v>44835</v>
      </c>
      <c r="P1610" s="2">
        <v>46660</v>
      </c>
      <c r="Q1610">
        <v>0</v>
      </c>
      <c r="R1610" t="s">
        <v>3940</v>
      </c>
    </row>
    <row r="1611" spans="1:18" x14ac:dyDescent="0.25">
      <c r="A1611" t="s">
        <v>3943</v>
      </c>
      <c r="B1611" t="s">
        <v>49</v>
      </c>
      <c r="C1611" t="s">
        <v>50</v>
      </c>
      <c r="D1611" t="s">
        <v>51</v>
      </c>
      <c r="E1611" t="s">
        <v>223</v>
      </c>
      <c r="F1611" t="s">
        <v>23</v>
      </c>
      <c r="G1611" t="s">
        <v>3946</v>
      </c>
      <c r="H1611" s="10">
        <v>979200</v>
      </c>
      <c r="I1611" s="10">
        <v>0</v>
      </c>
      <c r="J1611" s="10">
        <v>0</v>
      </c>
      <c r="L1611" t="s">
        <v>42</v>
      </c>
      <c r="M1611" t="s">
        <v>26</v>
      </c>
      <c r="N1611" t="s">
        <v>135</v>
      </c>
      <c r="O1611" s="2">
        <v>45352</v>
      </c>
      <c r="P1611" s="2">
        <v>45716</v>
      </c>
      <c r="Q1611">
        <v>0</v>
      </c>
      <c r="R1611" t="s">
        <v>3945</v>
      </c>
    </row>
    <row r="1612" spans="1:18" x14ac:dyDescent="0.25">
      <c r="A1612" t="s">
        <v>3943</v>
      </c>
      <c r="B1612" t="s">
        <v>49</v>
      </c>
      <c r="C1612" t="s">
        <v>50</v>
      </c>
      <c r="D1612" t="s">
        <v>30</v>
      </c>
      <c r="E1612" t="s">
        <v>31</v>
      </c>
      <c r="F1612" t="s">
        <v>23</v>
      </c>
      <c r="G1612" t="s">
        <v>3944</v>
      </c>
      <c r="H1612" s="10">
        <v>100000</v>
      </c>
      <c r="I1612" s="10">
        <v>0</v>
      </c>
      <c r="J1612" s="10">
        <v>0</v>
      </c>
      <c r="L1612" t="s">
        <v>34</v>
      </c>
      <c r="M1612" t="s">
        <v>26</v>
      </c>
      <c r="N1612" t="s">
        <v>135</v>
      </c>
      <c r="O1612" s="2">
        <v>44986</v>
      </c>
      <c r="P1612" s="2">
        <v>45351</v>
      </c>
      <c r="Q1612">
        <v>0</v>
      </c>
      <c r="R1612" t="s">
        <v>3945</v>
      </c>
    </row>
    <row r="1613" spans="1:18" x14ac:dyDescent="0.25">
      <c r="A1613" t="s">
        <v>3943</v>
      </c>
      <c r="B1613" t="s">
        <v>49</v>
      </c>
      <c r="C1613" t="s">
        <v>50</v>
      </c>
      <c r="D1613" t="s">
        <v>30</v>
      </c>
      <c r="E1613" t="s">
        <v>228</v>
      </c>
      <c r="F1613" t="s">
        <v>23</v>
      </c>
      <c r="G1613" t="s">
        <v>3946</v>
      </c>
      <c r="H1613" s="10">
        <v>100000</v>
      </c>
      <c r="I1613" s="10">
        <v>0</v>
      </c>
      <c r="J1613" s="10">
        <v>0</v>
      </c>
      <c r="L1613" t="s">
        <v>34</v>
      </c>
      <c r="M1613" t="s">
        <v>26</v>
      </c>
      <c r="N1613" t="s">
        <v>135</v>
      </c>
      <c r="O1613" s="2">
        <v>45352</v>
      </c>
      <c r="P1613" s="2">
        <v>45716</v>
      </c>
      <c r="Q1613">
        <v>0</v>
      </c>
      <c r="R1613" t="s">
        <v>3945</v>
      </c>
    </row>
    <row r="1614" spans="1:18" x14ac:dyDescent="0.25">
      <c r="A1614" t="s">
        <v>3947</v>
      </c>
      <c r="B1614" t="s">
        <v>49</v>
      </c>
      <c r="C1614" t="s">
        <v>50</v>
      </c>
      <c r="D1614" t="s">
        <v>51</v>
      </c>
      <c r="E1614" t="s">
        <v>197</v>
      </c>
      <c r="F1614" t="s">
        <v>32</v>
      </c>
      <c r="G1614" t="s">
        <v>3948</v>
      </c>
      <c r="H1614" s="10">
        <v>1139850</v>
      </c>
      <c r="I1614" s="10">
        <v>0</v>
      </c>
      <c r="J1614" s="10">
        <v>0</v>
      </c>
      <c r="L1614" t="s">
        <v>42</v>
      </c>
      <c r="M1614" t="s">
        <v>26</v>
      </c>
      <c r="N1614" t="s">
        <v>3949</v>
      </c>
      <c r="O1614" s="2">
        <v>44652</v>
      </c>
      <c r="P1614" s="2">
        <v>46477</v>
      </c>
      <c r="Q1614">
        <v>0</v>
      </c>
      <c r="R1614" t="s">
        <v>3950</v>
      </c>
    </row>
    <row r="1615" spans="1:18" x14ac:dyDescent="0.25">
      <c r="A1615" t="s">
        <v>3951</v>
      </c>
      <c r="B1615" t="s">
        <v>19</v>
      </c>
      <c r="C1615" t="s">
        <v>20</v>
      </c>
      <c r="D1615" t="s">
        <v>21</v>
      </c>
      <c r="E1615" t="s">
        <v>22</v>
      </c>
      <c r="F1615" t="s">
        <v>109</v>
      </c>
      <c r="G1615" t="s">
        <v>3952</v>
      </c>
      <c r="H1615" s="10">
        <v>500960</v>
      </c>
      <c r="I1615" s="10">
        <v>0</v>
      </c>
      <c r="J1615" s="10">
        <v>0</v>
      </c>
      <c r="L1615" t="s">
        <v>42</v>
      </c>
      <c r="M1615" t="s">
        <v>26</v>
      </c>
      <c r="N1615" t="s">
        <v>3953</v>
      </c>
      <c r="O1615" s="2">
        <v>41365</v>
      </c>
      <c r="P1615" s="2">
        <v>43190</v>
      </c>
      <c r="Q1615">
        <v>0</v>
      </c>
      <c r="R1615" t="s">
        <v>3954</v>
      </c>
    </row>
    <row r="1616" spans="1:18" x14ac:dyDescent="0.25">
      <c r="A1616" t="s">
        <v>3951</v>
      </c>
      <c r="B1616" t="s">
        <v>19</v>
      </c>
      <c r="C1616" t="s">
        <v>20</v>
      </c>
      <c r="D1616" t="s">
        <v>51</v>
      </c>
      <c r="E1616" t="s">
        <v>52</v>
      </c>
      <c r="F1616" t="s">
        <v>109</v>
      </c>
      <c r="G1616" t="s">
        <v>3955</v>
      </c>
      <c r="H1616" s="10">
        <v>956250</v>
      </c>
      <c r="I1616" s="10">
        <v>0</v>
      </c>
      <c r="J1616" s="10">
        <v>0</v>
      </c>
      <c r="L1616" t="s">
        <v>42</v>
      </c>
      <c r="M1616" t="s">
        <v>26</v>
      </c>
      <c r="N1616" t="s">
        <v>3956</v>
      </c>
      <c r="O1616" s="2">
        <v>44287</v>
      </c>
      <c r="P1616" s="2">
        <v>46112</v>
      </c>
      <c r="Q1616">
        <v>0</v>
      </c>
      <c r="R1616" t="s">
        <v>3957</v>
      </c>
    </row>
    <row r="1617" spans="1:18" x14ac:dyDescent="0.25">
      <c r="A1617" t="s">
        <v>5465</v>
      </c>
      <c r="B1617" t="s">
        <v>19</v>
      </c>
      <c r="C1617" t="s">
        <v>20</v>
      </c>
      <c r="D1617" t="s">
        <v>51</v>
      </c>
      <c r="E1617" t="s">
        <v>406</v>
      </c>
      <c r="F1617" t="s">
        <v>662</v>
      </c>
      <c r="G1617" t="s">
        <v>3958</v>
      </c>
      <c r="H1617" s="10">
        <v>795600</v>
      </c>
      <c r="I1617" s="10">
        <v>0</v>
      </c>
      <c r="J1617" s="10">
        <v>0</v>
      </c>
      <c r="L1617" t="s">
        <v>42</v>
      </c>
      <c r="M1617" t="s">
        <v>26</v>
      </c>
      <c r="N1617" t="s">
        <v>2048</v>
      </c>
      <c r="O1617" s="2">
        <v>43191</v>
      </c>
      <c r="P1617" s="2">
        <v>45016</v>
      </c>
      <c r="Q1617">
        <v>0</v>
      </c>
      <c r="R1617" t="s">
        <v>3959</v>
      </c>
    </row>
    <row r="1618" spans="1:18" x14ac:dyDescent="0.25">
      <c r="A1618" t="s">
        <v>5466</v>
      </c>
      <c r="B1618" t="s">
        <v>1105</v>
      </c>
      <c r="C1618" t="s">
        <v>138</v>
      </c>
      <c r="D1618" t="s">
        <v>51</v>
      </c>
      <c r="E1618" t="s">
        <v>186</v>
      </c>
      <c r="F1618" t="s">
        <v>47</v>
      </c>
      <c r="G1618" t="s">
        <v>3960</v>
      </c>
      <c r="H1618" s="10">
        <v>983026</v>
      </c>
      <c r="I1618" s="10">
        <v>0</v>
      </c>
      <c r="J1618" s="10">
        <v>0</v>
      </c>
      <c r="L1618" t="s">
        <v>42</v>
      </c>
      <c r="M1618" t="s">
        <v>26</v>
      </c>
      <c r="N1618" t="s">
        <v>135</v>
      </c>
      <c r="O1618" s="2">
        <v>44470</v>
      </c>
      <c r="P1618" s="2">
        <v>46295</v>
      </c>
      <c r="Q1618">
        <v>0</v>
      </c>
      <c r="R1618" t="s">
        <v>3961</v>
      </c>
    </row>
    <row r="1619" spans="1:18" x14ac:dyDescent="0.25">
      <c r="A1619" t="s">
        <v>3962</v>
      </c>
      <c r="B1619" t="s">
        <v>499</v>
      </c>
      <c r="C1619" t="s">
        <v>311</v>
      </c>
      <c r="D1619" t="s">
        <v>51</v>
      </c>
      <c r="E1619" t="s">
        <v>163</v>
      </c>
      <c r="F1619" t="s">
        <v>23</v>
      </c>
      <c r="G1619" t="s">
        <v>3963</v>
      </c>
      <c r="H1619" s="10">
        <v>516375</v>
      </c>
      <c r="I1619" s="10">
        <v>0</v>
      </c>
      <c r="J1619" s="10">
        <v>0</v>
      </c>
      <c r="L1619" t="s">
        <v>55</v>
      </c>
      <c r="M1619" t="s">
        <v>26</v>
      </c>
      <c r="N1619" t="s">
        <v>72</v>
      </c>
      <c r="O1619" s="2">
        <v>43556</v>
      </c>
      <c r="P1619" s="2">
        <v>44651</v>
      </c>
      <c r="Q1619">
        <v>0</v>
      </c>
      <c r="R1619" t="s">
        <v>3964</v>
      </c>
    </row>
    <row r="1620" spans="1:18" x14ac:dyDescent="0.25">
      <c r="A1620" t="s">
        <v>5238</v>
      </c>
      <c r="B1620" t="s">
        <v>237</v>
      </c>
      <c r="C1620" t="s">
        <v>20</v>
      </c>
      <c r="D1620" t="s">
        <v>5165</v>
      </c>
      <c r="E1620" t="s">
        <v>5179</v>
      </c>
      <c r="F1620" t="s">
        <v>4554</v>
      </c>
      <c r="G1620" t="s">
        <v>5239</v>
      </c>
      <c r="H1620" s="10">
        <v>220995</v>
      </c>
      <c r="I1620" s="10">
        <v>0</v>
      </c>
      <c r="J1620" s="10">
        <v>0</v>
      </c>
      <c r="L1620" t="s">
        <v>25</v>
      </c>
      <c r="M1620" t="s">
        <v>85</v>
      </c>
      <c r="N1620" t="s">
        <v>6001</v>
      </c>
      <c r="O1620" s="2">
        <v>42095</v>
      </c>
      <c r="P1620" s="2">
        <v>43555</v>
      </c>
      <c r="Q1620">
        <v>0</v>
      </c>
      <c r="R1620" t="s">
        <v>6000</v>
      </c>
    </row>
    <row r="1621" spans="1:18" x14ac:dyDescent="0.25">
      <c r="A1621" t="s">
        <v>3965</v>
      </c>
      <c r="B1621" t="s">
        <v>1890</v>
      </c>
      <c r="C1621" t="s">
        <v>20</v>
      </c>
      <c r="D1621" t="s">
        <v>21</v>
      </c>
      <c r="E1621" t="s">
        <v>60</v>
      </c>
      <c r="F1621" t="s">
        <v>53</v>
      </c>
      <c r="G1621" t="s">
        <v>3969</v>
      </c>
      <c r="H1621" s="10">
        <v>339992</v>
      </c>
      <c r="I1621" s="10">
        <v>0</v>
      </c>
      <c r="J1621" s="10">
        <v>0</v>
      </c>
      <c r="L1621" t="s">
        <v>25</v>
      </c>
      <c r="M1621" t="s">
        <v>204</v>
      </c>
      <c r="N1621" t="s">
        <v>3970</v>
      </c>
      <c r="O1621" s="2">
        <v>41821</v>
      </c>
      <c r="P1621" s="2">
        <v>43281</v>
      </c>
      <c r="Q1621">
        <v>1</v>
      </c>
      <c r="R1621" t="s">
        <v>3971</v>
      </c>
    </row>
    <row r="1622" spans="1:18" x14ac:dyDescent="0.25">
      <c r="A1622" t="s">
        <v>3965</v>
      </c>
      <c r="B1622" t="s">
        <v>1890</v>
      </c>
      <c r="C1622" t="s">
        <v>20</v>
      </c>
      <c r="D1622" t="s">
        <v>51</v>
      </c>
      <c r="E1622" t="s">
        <v>163</v>
      </c>
      <c r="F1622" t="s">
        <v>53</v>
      </c>
      <c r="G1622" t="s">
        <v>3966</v>
      </c>
      <c r="H1622" s="10">
        <v>631125</v>
      </c>
      <c r="I1622" s="10">
        <v>0</v>
      </c>
      <c r="J1622" s="10">
        <v>0</v>
      </c>
      <c r="L1622" t="s">
        <v>42</v>
      </c>
      <c r="M1622" t="s">
        <v>204</v>
      </c>
      <c r="N1622" t="s">
        <v>3967</v>
      </c>
      <c r="O1622" s="2">
        <v>43556</v>
      </c>
      <c r="P1622" s="2">
        <v>45382</v>
      </c>
      <c r="Q1622">
        <v>0</v>
      </c>
      <c r="R1622" t="s">
        <v>3968</v>
      </c>
    </row>
    <row r="1623" spans="1:18" x14ac:dyDescent="0.25">
      <c r="A1623" t="s">
        <v>5009</v>
      </c>
      <c r="B1623" t="s">
        <v>114</v>
      </c>
      <c r="C1623" t="s">
        <v>20</v>
      </c>
      <c r="D1623" t="s">
        <v>4557</v>
      </c>
      <c r="E1623" t="s">
        <v>4567</v>
      </c>
      <c r="F1623" t="s">
        <v>4559</v>
      </c>
      <c r="G1623" t="s">
        <v>5010</v>
      </c>
      <c r="H1623" s="10">
        <v>100000</v>
      </c>
      <c r="I1623" s="10">
        <v>0</v>
      </c>
      <c r="J1623" s="10">
        <v>0</v>
      </c>
      <c r="L1623" t="s">
        <v>84</v>
      </c>
      <c r="M1623" t="s">
        <v>26</v>
      </c>
      <c r="N1623" t="s">
        <v>5529</v>
      </c>
      <c r="O1623" s="2">
        <v>41730</v>
      </c>
      <c r="P1623" s="2">
        <v>42460</v>
      </c>
      <c r="Q1623">
        <v>0</v>
      </c>
      <c r="R1623" t="s">
        <v>5528</v>
      </c>
    </row>
    <row r="1624" spans="1:18" x14ac:dyDescent="0.25">
      <c r="A1624" t="s">
        <v>3972</v>
      </c>
      <c r="B1624" t="s">
        <v>107</v>
      </c>
      <c r="C1624" t="s">
        <v>38</v>
      </c>
      <c r="D1624" t="s">
        <v>51</v>
      </c>
      <c r="E1624" t="s">
        <v>208</v>
      </c>
      <c r="F1624" t="s">
        <v>32</v>
      </c>
      <c r="G1624" t="s">
        <v>3975</v>
      </c>
      <c r="H1624" s="10">
        <v>1109250</v>
      </c>
      <c r="I1624" s="10">
        <v>0</v>
      </c>
      <c r="J1624" s="10">
        <v>0</v>
      </c>
      <c r="L1624" t="s">
        <v>42</v>
      </c>
      <c r="M1624" t="s">
        <v>26</v>
      </c>
      <c r="N1624" t="s">
        <v>72</v>
      </c>
      <c r="O1624" s="2">
        <v>45383</v>
      </c>
      <c r="P1624" s="2">
        <v>47208</v>
      </c>
      <c r="Q1624">
        <v>0</v>
      </c>
      <c r="R1624" t="s">
        <v>3976</v>
      </c>
    </row>
    <row r="1625" spans="1:18" x14ac:dyDescent="0.25">
      <c r="A1625" t="s">
        <v>3972</v>
      </c>
      <c r="B1625" t="s">
        <v>107</v>
      </c>
      <c r="C1625" t="s">
        <v>38</v>
      </c>
      <c r="D1625" t="s">
        <v>51</v>
      </c>
      <c r="E1625" t="s">
        <v>223</v>
      </c>
      <c r="F1625" t="s">
        <v>23</v>
      </c>
      <c r="G1625" t="s">
        <v>3973</v>
      </c>
      <c r="H1625" s="10">
        <v>1109250</v>
      </c>
      <c r="I1625" s="10">
        <v>0</v>
      </c>
      <c r="J1625" s="10">
        <v>0</v>
      </c>
      <c r="L1625" t="s">
        <v>42</v>
      </c>
      <c r="M1625" t="s">
        <v>26</v>
      </c>
      <c r="N1625" t="s">
        <v>72</v>
      </c>
      <c r="O1625" s="2">
        <v>45566</v>
      </c>
      <c r="P1625" s="2">
        <v>47391</v>
      </c>
      <c r="Q1625">
        <v>0</v>
      </c>
      <c r="R1625" t="s">
        <v>3974</v>
      </c>
    </row>
    <row r="1626" spans="1:18" x14ac:dyDescent="0.25">
      <c r="A1626" t="s">
        <v>3977</v>
      </c>
      <c r="B1626" t="s">
        <v>98</v>
      </c>
      <c r="C1626" t="s">
        <v>20</v>
      </c>
      <c r="D1626" t="s">
        <v>21</v>
      </c>
      <c r="E1626" t="s">
        <v>377</v>
      </c>
      <c r="F1626" t="s">
        <v>32</v>
      </c>
      <c r="G1626" t="s">
        <v>3978</v>
      </c>
      <c r="H1626" s="10">
        <v>724820</v>
      </c>
      <c r="I1626" s="10">
        <v>0</v>
      </c>
      <c r="J1626" s="10">
        <v>0</v>
      </c>
      <c r="L1626" t="s">
        <v>42</v>
      </c>
      <c r="M1626" t="s">
        <v>26</v>
      </c>
      <c r="N1626" t="s">
        <v>1669</v>
      </c>
      <c r="O1626" s="2">
        <v>41183</v>
      </c>
      <c r="P1626" s="2">
        <v>43008</v>
      </c>
      <c r="Q1626">
        <v>1</v>
      </c>
      <c r="R1626" t="s">
        <v>3979</v>
      </c>
    </row>
    <row r="1627" spans="1:18" x14ac:dyDescent="0.25">
      <c r="A1627" t="s">
        <v>3980</v>
      </c>
      <c r="B1627" t="s">
        <v>499</v>
      </c>
      <c r="C1627" t="s">
        <v>311</v>
      </c>
      <c r="D1627" t="s">
        <v>4499</v>
      </c>
      <c r="E1627" t="s">
        <v>4500</v>
      </c>
      <c r="F1627" t="s">
        <v>4501</v>
      </c>
      <c r="G1627" t="s">
        <v>4544</v>
      </c>
      <c r="H1627" s="12">
        <v>150000</v>
      </c>
      <c r="I1627" s="12">
        <v>0</v>
      </c>
      <c r="J1627" s="10">
        <v>0</v>
      </c>
      <c r="L1627" t="s">
        <v>34</v>
      </c>
      <c r="M1627" t="s">
        <v>26</v>
      </c>
      <c r="N1627" t="s">
        <v>6242</v>
      </c>
      <c r="O1627" s="2">
        <v>45323</v>
      </c>
      <c r="P1627" s="2">
        <v>45688</v>
      </c>
      <c r="Q1627">
        <v>0</v>
      </c>
      <c r="R1627" t="s">
        <v>6243</v>
      </c>
    </row>
    <row r="1628" spans="1:18" x14ac:dyDescent="0.25">
      <c r="A1628" t="s">
        <v>3980</v>
      </c>
      <c r="B1628" t="s">
        <v>310</v>
      </c>
      <c r="C1628" t="s">
        <v>311</v>
      </c>
      <c r="D1628" t="s">
        <v>1027</v>
      </c>
      <c r="E1628" t="s">
        <v>1028</v>
      </c>
      <c r="F1628" t="s">
        <v>1029</v>
      </c>
      <c r="G1628" t="s">
        <v>3981</v>
      </c>
      <c r="H1628" s="10">
        <v>99252</v>
      </c>
      <c r="I1628" s="10">
        <v>0</v>
      </c>
      <c r="J1628" s="10">
        <v>0</v>
      </c>
      <c r="L1628" t="s">
        <v>34</v>
      </c>
      <c r="M1628" t="s">
        <v>94</v>
      </c>
      <c r="N1628" t="s">
        <v>2266</v>
      </c>
      <c r="O1628" s="2">
        <v>40087</v>
      </c>
      <c r="P1628" s="2">
        <v>40451</v>
      </c>
      <c r="Q1628">
        <v>0</v>
      </c>
      <c r="R1628" t="s">
        <v>3982</v>
      </c>
    </row>
    <row r="1629" spans="1:18" x14ac:dyDescent="0.25">
      <c r="A1629" t="s">
        <v>6244</v>
      </c>
      <c r="B1629" t="s">
        <v>98</v>
      </c>
      <c r="C1629" t="s">
        <v>20</v>
      </c>
      <c r="D1629" t="s">
        <v>5042</v>
      </c>
      <c r="E1629" t="s">
        <v>5043</v>
      </c>
      <c r="F1629" t="s">
        <v>5038</v>
      </c>
      <c r="G1629" t="s">
        <v>5055</v>
      </c>
      <c r="H1629" s="12">
        <v>600000</v>
      </c>
      <c r="I1629" s="12">
        <v>0</v>
      </c>
      <c r="J1629" s="10">
        <v>0</v>
      </c>
      <c r="L1629" t="s">
        <v>5039</v>
      </c>
      <c r="M1629" t="s">
        <v>26</v>
      </c>
      <c r="N1629" t="s">
        <v>6245</v>
      </c>
      <c r="O1629" s="2">
        <v>45444</v>
      </c>
      <c r="P1629" s="2">
        <v>46477</v>
      </c>
      <c r="Q1629">
        <v>0</v>
      </c>
      <c r="R1629" t="s">
        <v>6246</v>
      </c>
    </row>
    <row r="1630" spans="1:18" x14ac:dyDescent="0.25">
      <c r="A1630" t="s">
        <v>5487</v>
      </c>
      <c r="B1630" t="s">
        <v>49</v>
      </c>
      <c r="C1630" t="s">
        <v>50</v>
      </c>
      <c r="D1630" t="s">
        <v>576</v>
      </c>
      <c r="E1630" t="s">
        <v>3985</v>
      </c>
      <c r="F1630" t="s">
        <v>53</v>
      </c>
      <c r="G1630" t="s">
        <v>3986</v>
      </c>
      <c r="H1630" s="10">
        <v>100000</v>
      </c>
      <c r="I1630" s="10">
        <v>0</v>
      </c>
      <c r="J1630" s="10">
        <v>0</v>
      </c>
      <c r="L1630" t="s">
        <v>34</v>
      </c>
      <c r="M1630" t="s">
        <v>204</v>
      </c>
      <c r="N1630" t="s">
        <v>205</v>
      </c>
      <c r="O1630" s="2">
        <v>43525</v>
      </c>
      <c r="P1630" s="2">
        <v>43890</v>
      </c>
      <c r="Q1630">
        <v>0</v>
      </c>
      <c r="R1630" t="s">
        <v>3987</v>
      </c>
    </row>
    <row r="1631" spans="1:18" x14ac:dyDescent="0.25">
      <c r="A1631" t="s">
        <v>5112</v>
      </c>
      <c r="B1631" t="s">
        <v>49</v>
      </c>
      <c r="C1631" t="s">
        <v>50</v>
      </c>
      <c r="D1631" t="s">
        <v>21</v>
      </c>
      <c r="E1631" t="s">
        <v>194</v>
      </c>
      <c r="F1631" t="s">
        <v>53</v>
      </c>
      <c r="G1631" t="s">
        <v>3988</v>
      </c>
      <c r="H1631" s="11">
        <v>511717</v>
      </c>
      <c r="I1631" s="11">
        <v>0</v>
      </c>
      <c r="J1631" s="11">
        <v>0</v>
      </c>
      <c r="L1631" t="s">
        <v>25</v>
      </c>
      <c r="M1631" t="s">
        <v>204</v>
      </c>
      <c r="N1631" t="s">
        <v>3989</v>
      </c>
      <c r="O1631" s="2">
        <v>40087</v>
      </c>
      <c r="P1631" s="2">
        <v>41547</v>
      </c>
      <c r="Q1631">
        <v>0</v>
      </c>
      <c r="R1631" t="s">
        <v>3990</v>
      </c>
    </row>
    <row r="1632" spans="1:18" x14ac:dyDescent="0.25">
      <c r="A1632" t="s">
        <v>5112</v>
      </c>
      <c r="B1632" t="s">
        <v>49</v>
      </c>
      <c r="C1632" t="s">
        <v>50</v>
      </c>
      <c r="D1632" t="s">
        <v>51</v>
      </c>
      <c r="E1632" t="s">
        <v>186</v>
      </c>
      <c r="F1632" t="s">
        <v>53</v>
      </c>
      <c r="G1632" t="s">
        <v>3983</v>
      </c>
      <c r="H1632" s="10">
        <v>833850</v>
      </c>
      <c r="I1632" s="10">
        <v>0</v>
      </c>
      <c r="J1632" s="10">
        <v>0</v>
      </c>
      <c r="L1632" t="s">
        <v>42</v>
      </c>
      <c r="M1632" t="s">
        <v>204</v>
      </c>
      <c r="N1632" t="s">
        <v>205</v>
      </c>
      <c r="O1632" s="2">
        <v>44470</v>
      </c>
      <c r="P1632" s="2">
        <v>46295</v>
      </c>
      <c r="Q1632">
        <v>0</v>
      </c>
      <c r="R1632" t="s">
        <v>3984</v>
      </c>
    </row>
    <row r="1633" spans="1:18" x14ac:dyDescent="0.25">
      <c r="A1633" t="s">
        <v>5011</v>
      </c>
      <c r="B1633" t="s">
        <v>49</v>
      </c>
      <c r="C1633" t="s">
        <v>50</v>
      </c>
      <c r="D1633" t="s">
        <v>4557</v>
      </c>
      <c r="E1633" t="s">
        <v>4611</v>
      </c>
      <c r="F1633" t="s">
        <v>4559</v>
      </c>
      <c r="G1633" t="s">
        <v>5012</v>
      </c>
      <c r="H1633" s="10">
        <v>511511</v>
      </c>
      <c r="I1633" s="10">
        <v>0</v>
      </c>
      <c r="J1633" s="10">
        <v>0</v>
      </c>
      <c r="L1633" t="s">
        <v>55</v>
      </c>
      <c r="M1633" t="s">
        <v>204</v>
      </c>
      <c r="N1633" t="s">
        <v>5836</v>
      </c>
      <c r="O1633" s="2">
        <v>42461</v>
      </c>
      <c r="P1633" s="2">
        <v>43555</v>
      </c>
      <c r="Q1633">
        <v>0</v>
      </c>
      <c r="R1633" t="s">
        <v>5835</v>
      </c>
    </row>
    <row r="1634" spans="1:18" x14ac:dyDescent="0.25">
      <c r="A1634" t="s">
        <v>3991</v>
      </c>
      <c r="B1634" t="s">
        <v>49</v>
      </c>
      <c r="C1634" t="s">
        <v>50</v>
      </c>
      <c r="D1634" t="s">
        <v>51</v>
      </c>
      <c r="E1634" t="s">
        <v>186</v>
      </c>
      <c r="F1634" t="s">
        <v>128</v>
      </c>
      <c r="G1634" t="s">
        <v>3992</v>
      </c>
      <c r="H1634" s="10">
        <v>688501</v>
      </c>
      <c r="I1634" s="10">
        <v>0</v>
      </c>
      <c r="J1634" s="10">
        <v>0</v>
      </c>
      <c r="L1634" t="s">
        <v>25</v>
      </c>
      <c r="M1634" t="s">
        <v>26</v>
      </c>
      <c r="N1634" t="s">
        <v>135</v>
      </c>
      <c r="O1634" s="2">
        <v>44470</v>
      </c>
      <c r="P1634" s="2">
        <v>45930</v>
      </c>
      <c r="Q1634">
        <v>0</v>
      </c>
      <c r="R1634" t="s">
        <v>3993</v>
      </c>
    </row>
    <row r="1635" spans="1:18" x14ac:dyDescent="0.25">
      <c r="A1635" t="s">
        <v>3994</v>
      </c>
      <c r="B1635" t="s">
        <v>49</v>
      </c>
      <c r="C1635" t="s">
        <v>50</v>
      </c>
      <c r="D1635" t="s">
        <v>21</v>
      </c>
      <c r="E1635" t="s">
        <v>255</v>
      </c>
      <c r="F1635" t="s">
        <v>47</v>
      </c>
      <c r="G1635" t="s">
        <v>3999</v>
      </c>
      <c r="H1635" s="11">
        <v>541348</v>
      </c>
      <c r="I1635" s="11">
        <v>0</v>
      </c>
      <c r="J1635" s="11">
        <v>0</v>
      </c>
      <c r="L1635" t="s">
        <v>25</v>
      </c>
      <c r="M1635" t="s">
        <v>26</v>
      </c>
      <c r="N1635" t="s">
        <v>659</v>
      </c>
      <c r="O1635" s="2">
        <v>39904</v>
      </c>
      <c r="P1635" s="2">
        <v>41364</v>
      </c>
      <c r="Q1635">
        <v>4</v>
      </c>
      <c r="R1635" t="s">
        <v>4000</v>
      </c>
    </row>
    <row r="1636" spans="1:18" x14ac:dyDescent="0.25">
      <c r="A1636" t="s">
        <v>3994</v>
      </c>
      <c r="B1636" t="s">
        <v>49</v>
      </c>
      <c r="C1636" t="s">
        <v>50</v>
      </c>
      <c r="D1636" t="s">
        <v>21</v>
      </c>
      <c r="E1636" t="s">
        <v>323</v>
      </c>
      <c r="F1636" t="s">
        <v>47</v>
      </c>
      <c r="G1636" t="s">
        <v>4003</v>
      </c>
      <c r="H1636" s="10">
        <v>363690</v>
      </c>
      <c r="I1636" s="10">
        <v>0</v>
      </c>
      <c r="J1636" s="10">
        <v>0</v>
      </c>
      <c r="L1636" t="s">
        <v>55</v>
      </c>
      <c r="M1636" t="s">
        <v>26</v>
      </c>
      <c r="N1636" t="s">
        <v>4004</v>
      </c>
      <c r="O1636" s="2">
        <v>40269</v>
      </c>
      <c r="P1636" s="2">
        <v>41364</v>
      </c>
      <c r="Q1636">
        <v>0</v>
      </c>
      <c r="R1636" t="s">
        <v>4005</v>
      </c>
    </row>
    <row r="1637" spans="1:18" x14ac:dyDescent="0.25">
      <c r="A1637" t="s">
        <v>3994</v>
      </c>
      <c r="B1637" t="s">
        <v>49</v>
      </c>
      <c r="C1637" t="s">
        <v>50</v>
      </c>
      <c r="D1637" t="s">
        <v>5165</v>
      </c>
      <c r="E1637" t="s">
        <v>5168</v>
      </c>
      <c r="F1637" t="s">
        <v>4554</v>
      </c>
      <c r="G1637" t="s">
        <v>5243</v>
      </c>
      <c r="H1637" s="10">
        <v>375000</v>
      </c>
      <c r="I1637" s="10">
        <v>0</v>
      </c>
      <c r="J1637" s="10">
        <v>0</v>
      </c>
      <c r="L1637" t="s">
        <v>55</v>
      </c>
      <c r="M1637" t="s">
        <v>26</v>
      </c>
      <c r="N1637" t="s">
        <v>5582</v>
      </c>
      <c r="O1637" s="2">
        <v>41000</v>
      </c>
      <c r="P1637" s="2">
        <v>42094</v>
      </c>
      <c r="Q1637">
        <v>5</v>
      </c>
      <c r="R1637" t="s">
        <v>5581</v>
      </c>
    </row>
    <row r="1638" spans="1:18" x14ac:dyDescent="0.25">
      <c r="A1638" t="s">
        <v>3994</v>
      </c>
      <c r="B1638" t="s">
        <v>49</v>
      </c>
      <c r="C1638" t="s">
        <v>50</v>
      </c>
      <c r="D1638" t="s">
        <v>5165</v>
      </c>
      <c r="E1638" t="s">
        <v>5176</v>
      </c>
      <c r="F1638" t="s">
        <v>4554</v>
      </c>
      <c r="G1638" t="s">
        <v>5242</v>
      </c>
      <c r="H1638" s="10">
        <v>489800</v>
      </c>
      <c r="I1638" s="10">
        <v>0</v>
      </c>
      <c r="J1638" s="10">
        <v>0</v>
      </c>
      <c r="L1638" t="s">
        <v>25</v>
      </c>
      <c r="M1638" t="s">
        <v>26</v>
      </c>
      <c r="N1638" t="s">
        <v>5601</v>
      </c>
      <c r="O1638" s="2">
        <v>42278</v>
      </c>
      <c r="P1638" s="2">
        <v>43738</v>
      </c>
      <c r="Q1638">
        <v>1</v>
      </c>
      <c r="R1638" t="s">
        <v>5600</v>
      </c>
    </row>
    <row r="1639" spans="1:18" x14ac:dyDescent="0.25">
      <c r="A1639" t="s">
        <v>3994</v>
      </c>
      <c r="B1639" t="s">
        <v>49</v>
      </c>
      <c r="C1639" t="s">
        <v>50</v>
      </c>
      <c r="D1639" t="s">
        <v>51</v>
      </c>
      <c r="E1639" t="s">
        <v>163</v>
      </c>
      <c r="F1639" t="s">
        <v>128</v>
      </c>
      <c r="G1639" t="s">
        <v>3997</v>
      </c>
      <c r="H1639" s="10">
        <v>956250</v>
      </c>
      <c r="I1639" s="10">
        <v>0</v>
      </c>
      <c r="J1639" s="10">
        <v>0</v>
      </c>
      <c r="L1639" t="s">
        <v>42</v>
      </c>
      <c r="M1639" t="s">
        <v>26</v>
      </c>
      <c r="N1639" t="s">
        <v>72</v>
      </c>
      <c r="O1639" s="2">
        <v>43556</v>
      </c>
      <c r="P1639" s="2">
        <v>45382</v>
      </c>
      <c r="Q1639">
        <v>0</v>
      </c>
      <c r="R1639" t="s">
        <v>3998</v>
      </c>
    </row>
    <row r="1640" spans="1:18" x14ac:dyDescent="0.25">
      <c r="A1640" t="s">
        <v>3994</v>
      </c>
      <c r="B1640" t="s">
        <v>49</v>
      </c>
      <c r="C1640" t="s">
        <v>50</v>
      </c>
      <c r="D1640" t="s">
        <v>51</v>
      </c>
      <c r="E1640" t="s">
        <v>259</v>
      </c>
      <c r="F1640" t="s">
        <v>128</v>
      </c>
      <c r="G1640" t="s">
        <v>4006</v>
      </c>
      <c r="H1640" s="10">
        <v>765000</v>
      </c>
      <c r="I1640" s="10">
        <v>0</v>
      </c>
      <c r="J1640" s="10">
        <v>0</v>
      </c>
      <c r="L1640" t="s">
        <v>25</v>
      </c>
      <c r="M1640" t="s">
        <v>26</v>
      </c>
      <c r="N1640" t="s">
        <v>72</v>
      </c>
      <c r="O1640" s="2">
        <v>44105</v>
      </c>
      <c r="P1640" s="2">
        <v>45565</v>
      </c>
      <c r="Q1640">
        <v>0</v>
      </c>
      <c r="R1640" t="s">
        <v>4007</v>
      </c>
    </row>
    <row r="1641" spans="1:18" x14ac:dyDescent="0.25">
      <c r="A1641" t="s">
        <v>3994</v>
      </c>
      <c r="B1641" t="s">
        <v>49</v>
      </c>
      <c r="C1641" t="s">
        <v>50</v>
      </c>
      <c r="D1641" t="s">
        <v>1342</v>
      </c>
      <c r="E1641" t="s">
        <v>2278</v>
      </c>
      <c r="F1641" t="s">
        <v>47</v>
      </c>
      <c r="G1641" t="s">
        <v>3995</v>
      </c>
      <c r="H1641" s="10">
        <v>100000</v>
      </c>
      <c r="I1641" s="10">
        <v>0</v>
      </c>
      <c r="J1641" s="10">
        <v>0</v>
      </c>
      <c r="L1641" t="s">
        <v>34</v>
      </c>
      <c r="M1641" t="s">
        <v>26</v>
      </c>
      <c r="N1641" t="s">
        <v>72</v>
      </c>
      <c r="O1641" s="2">
        <v>44986</v>
      </c>
      <c r="P1641" s="2">
        <v>45351</v>
      </c>
      <c r="Q1641">
        <v>0</v>
      </c>
      <c r="R1641" t="s">
        <v>3996</v>
      </c>
    </row>
    <row r="1642" spans="1:18" x14ac:dyDescent="0.25">
      <c r="A1642" t="s">
        <v>3994</v>
      </c>
      <c r="B1642" t="s">
        <v>49</v>
      </c>
      <c r="C1642" t="s">
        <v>50</v>
      </c>
      <c r="D1642" t="s">
        <v>5165</v>
      </c>
      <c r="E1642" t="s">
        <v>5184</v>
      </c>
      <c r="F1642" t="s">
        <v>4554</v>
      </c>
      <c r="G1642" t="s">
        <v>5241</v>
      </c>
      <c r="H1642" s="10">
        <v>625000</v>
      </c>
      <c r="I1642" s="10">
        <v>0</v>
      </c>
      <c r="J1642" s="10">
        <v>0</v>
      </c>
      <c r="L1642" t="s">
        <v>42</v>
      </c>
      <c r="M1642" t="s">
        <v>26</v>
      </c>
      <c r="N1642" t="s">
        <v>5973</v>
      </c>
      <c r="O1642" s="2">
        <v>42461</v>
      </c>
      <c r="P1642" s="2">
        <v>44286</v>
      </c>
      <c r="Q1642">
        <v>0</v>
      </c>
      <c r="R1642" t="s">
        <v>5972</v>
      </c>
    </row>
    <row r="1643" spans="1:18" x14ac:dyDescent="0.25">
      <c r="A1643" t="s">
        <v>3994</v>
      </c>
      <c r="B1643" t="s">
        <v>49</v>
      </c>
      <c r="C1643" t="s">
        <v>50</v>
      </c>
      <c r="D1643" t="s">
        <v>21</v>
      </c>
      <c r="E1643" t="s">
        <v>377</v>
      </c>
      <c r="F1643" t="s">
        <v>23</v>
      </c>
      <c r="G1643" t="s">
        <v>4001</v>
      </c>
      <c r="H1643" s="10">
        <v>775000</v>
      </c>
      <c r="I1643" s="10">
        <v>0</v>
      </c>
      <c r="J1643" s="10">
        <v>0</v>
      </c>
      <c r="L1643" t="s">
        <v>25</v>
      </c>
      <c r="M1643" t="s">
        <v>26</v>
      </c>
      <c r="N1643" t="s">
        <v>659</v>
      </c>
      <c r="O1643" s="2">
        <v>41183</v>
      </c>
      <c r="P1643" s="2">
        <v>42643</v>
      </c>
      <c r="Q1643">
        <v>1</v>
      </c>
      <c r="R1643" t="s">
        <v>4002</v>
      </c>
    </row>
    <row r="1644" spans="1:18" x14ac:dyDescent="0.25">
      <c r="A1644" t="s">
        <v>6294</v>
      </c>
      <c r="B1644" t="s">
        <v>196</v>
      </c>
      <c r="C1644" t="s">
        <v>20</v>
      </c>
      <c r="D1644" t="s">
        <v>51</v>
      </c>
      <c r="E1644" t="s">
        <v>70</v>
      </c>
      <c r="F1644" t="s">
        <v>109</v>
      </c>
      <c r="G1644" t="s">
        <v>4008</v>
      </c>
      <c r="H1644" s="10">
        <v>592876</v>
      </c>
      <c r="I1644" s="10">
        <v>0</v>
      </c>
      <c r="J1644" s="10">
        <v>0</v>
      </c>
      <c r="L1644" t="s">
        <v>42</v>
      </c>
      <c r="M1644" t="s">
        <v>26</v>
      </c>
      <c r="N1644" t="s">
        <v>4009</v>
      </c>
      <c r="O1644" s="2">
        <v>45200</v>
      </c>
      <c r="P1644" s="2">
        <v>47026</v>
      </c>
      <c r="Q1644">
        <v>0</v>
      </c>
      <c r="R1644" t="s">
        <v>4010</v>
      </c>
    </row>
    <row r="1645" spans="1:18" x14ac:dyDescent="0.25">
      <c r="A1645" t="s">
        <v>5244</v>
      </c>
      <c r="B1645" t="s">
        <v>157</v>
      </c>
      <c r="C1645" t="s">
        <v>38</v>
      </c>
      <c r="D1645" t="s">
        <v>5165</v>
      </c>
      <c r="E1645" t="s">
        <v>5193</v>
      </c>
      <c r="F1645" t="s">
        <v>4554</v>
      </c>
      <c r="G1645" t="s">
        <v>5246</v>
      </c>
      <c r="H1645" s="10">
        <v>591600</v>
      </c>
      <c r="I1645" s="10">
        <v>0</v>
      </c>
      <c r="J1645" s="10">
        <v>0</v>
      </c>
      <c r="L1645" t="s">
        <v>55</v>
      </c>
      <c r="M1645" t="s">
        <v>94</v>
      </c>
      <c r="N1645" t="s">
        <v>5717</v>
      </c>
      <c r="O1645" s="2">
        <v>41548</v>
      </c>
      <c r="P1645" s="2">
        <v>42643</v>
      </c>
      <c r="Q1645">
        <v>1</v>
      </c>
      <c r="R1645" t="s">
        <v>5716</v>
      </c>
    </row>
    <row r="1646" spans="1:18" x14ac:dyDescent="0.25">
      <c r="A1646" t="s">
        <v>5244</v>
      </c>
      <c r="B1646" t="s">
        <v>157</v>
      </c>
      <c r="C1646" t="s">
        <v>38</v>
      </c>
      <c r="D1646" t="s">
        <v>5165</v>
      </c>
      <c r="E1646" t="s">
        <v>5184</v>
      </c>
      <c r="F1646" t="s">
        <v>4554</v>
      </c>
      <c r="G1646" t="s">
        <v>5245</v>
      </c>
      <c r="H1646" s="10">
        <v>200000</v>
      </c>
      <c r="I1646" s="10">
        <v>0</v>
      </c>
      <c r="J1646" s="10">
        <v>0</v>
      </c>
      <c r="L1646" t="s">
        <v>84</v>
      </c>
      <c r="M1646" t="s">
        <v>94</v>
      </c>
      <c r="N1646" t="s">
        <v>5866</v>
      </c>
      <c r="O1646" s="2">
        <v>42461</v>
      </c>
      <c r="P1646" s="2">
        <v>43190</v>
      </c>
      <c r="Q1646">
        <v>3</v>
      </c>
      <c r="R1646" t="s">
        <v>5865</v>
      </c>
    </row>
    <row r="1647" spans="1:18" x14ac:dyDescent="0.25">
      <c r="A1647" t="s">
        <v>5244</v>
      </c>
      <c r="B1647" t="s">
        <v>157</v>
      </c>
      <c r="C1647" t="s">
        <v>38</v>
      </c>
      <c r="D1647" t="s">
        <v>5248</v>
      </c>
      <c r="E1647" t="s">
        <v>5256</v>
      </c>
      <c r="F1647" t="s">
        <v>4554</v>
      </c>
      <c r="G1647" t="s">
        <v>5278</v>
      </c>
      <c r="H1647" s="10">
        <v>300000</v>
      </c>
      <c r="I1647" s="10">
        <v>0</v>
      </c>
      <c r="J1647" s="10">
        <v>0</v>
      </c>
      <c r="L1647" t="s">
        <v>84</v>
      </c>
      <c r="M1647" t="s">
        <v>94</v>
      </c>
      <c r="N1647" t="s">
        <v>5898</v>
      </c>
      <c r="O1647" s="2">
        <v>40269</v>
      </c>
      <c r="P1647" s="2">
        <v>40999</v>
      </c>
      <c r="Q1647">
        <v>1</v>
      </c>
      <c r="R1647" t="s">
        <v>5897</v>
      </c>
    </row>
    <row r="1648" spans="1:18" x14ac:dyDescent="0.25">
      <c r="A1648" t="s">
        <v>6295</v>
      </c>
      <c r="B1648" t="s">
        <v>114</v>
      </c>
      <c r="C1648" t="s">
        <v>20</v>
      </c>
      <c r="D1648" t="s">
        <v>4557</v>
      </c>
      <c r="E1648" t="s">
        <v>4581</v>
      </c>
      <c r="F1648" t="s">
        <v>4559</v>
      </c>
      <c r="G1648" t="s">
        <v>5014</v>
      </c>
      <c r="H1648" s="10">
        <v>325250</v>
      </c>
      <c r="I1648" s="10">
        <v>0</v>
      </c>
      <c r="J1648" s="10">
        <v>0</v>
      </c>
      <c r="L1648" t="s">
        <v>55</v>
      </c>
      <c r="M1648" t="s">
        <v>831</v>
      </c>
      <c r="N1648" t="s">
        <v>5705</v>
      </c>
      <c r="O1648" s="2">
        <v>43556</v>
      </c>
      <c r="P1648" s="2">
        <v>44651</v>
      </c>
      <c r="Q1648">
        <v>0</v>
      </c>
      <c r="R1648" t="s">
        <v>5704</v>
      </c>
    </row>
    <row r="1649" spans="1:18" x14ac:dyDescent="0.25">
      <c r="A1649" t="s">
        <v>4011</v>
      </c>
      <c r="B1649" t="s">
        <v>107</v>
      </c>
      <c r="C1649" t="s">
        <v>38</v>
      </c>
      <c r="D1649" t="s">
        <v>51</v>
      </c>
      <c r="E1649" t="s">
        <v>186</v>
      </c>
      <c r="F1649" t="s">
        <v>23</v>
      </c>
      <c r="G1649" t="s">
        <v>4016</v>
      </c>
      <c r="H1649" s="10">
        <v>803250</v>
      </c>
      <c r="I1649" s="10">
        <v>0</v>
      </c>
      <c r="J1649" s="10">
        <v>0</v>
      </c>
      <c r="L1649" t="s">
        <v>42</v>
      </c>
      <c r="M1649" t="s">
        <v>26</v>
      </c>
      <c r="N1649" t="s">
        <v>4017</v>
      </c>
      <c r="O1649" s="2">
        <v>44470</v>
      </c>
      <c r="P1649" s="2">
        <v>46295</v>
      </c>
      <c r="Q1649">
        <v>0</v>
      </c>
      <c r="R1649" t="s">
        <v>4018</v>
      </c>
    </row>
    <row r="1650" spans="1:18" x14ac:dyDescent="0.25">
      <c r="A1650" t="s">
        <v>4011</v>
      </c>
      <c r="B1650" t="s">
        <v>107</v>
      </c>
      <c r="C1650" t="s">
        <v>38</v>
      </c>
      <c r="D1650" t="s">
        <v>51</v>
      </c>
      <c r="E1650" t="s">
        <v>197</v>
      </c>
      <c r="F1650" t="s">
        <v>47</v>
      </c>
      <c r="G1650" t="s">
        <v>4012</v>
      </c>
      <c r="H1650" s="10">
        <v>990675</v>
      </c>
      <c r="I1650" s="10">
        <v>0</v>
      </c>
      <c r="J1650" s="10">
        <v>0</v>
      </c>
      <c r="L1650" t="s">
        <v>42</v>
      </c>
      <c r="M1650" t="s">
        <v>26</v>
      </c>
      <c r="N1650" t="s">
        <v>3535</v>
      </c>
      <c r="O1650" s="2">
        <v>44652</v>
      </c>
      <c r="P1650" s="2">
        <v>46477</v>
      </c>
      <c r="Q1650">
        <v>0</v>
      </c>
      <c r="R1650" t="s">
        <v>4013</v>
      </c>
    </row>
    <row r="1651" spans="1:18" x14ac:dyDescent="0.25">
      <c r="A1651" t="s">
        <v>4011</v>
      </c>
      <c r="B1651" t="s">
        <v>107</v>
      </c>
      <c r="C1651" t="s">
        <v>38</v>
      </c>
      <c r="D1651" t="s">
        <v>51</v>
      </c>
      <c r="E1651" t="s">
        <v>167</v>
      </c>
      <c r="F1651" t="s">
        <v>23</v>
      </c>
      <c r="G1651" t="s">
        <v>4014</v>
      </c>
      <c r="H1651" s="10">
        <v>1422900</v>
      </c>
      <c r="I1651" s="10">
        <v>0</v>
      </c>
      <c r="J1651" s="10">
        <v>0</v>
      </c>
      <c r="L1651" t="s">
        <v>42</v>
      </c>
      <c r="M1651" t="s">
        <v>26</v>
      </c>
      <c r="N1651" t="s">
        <v>72</v>
      </c>
      <c r="O1651" s="2">
        <v>45017</v>
      </c>
      <c r="P1651" s="2">
        <v>46843</v>
      </c>
      <c r="Q1651">
        <v>0</v>
      </c>
      <c r="R1651" t="s">
        <v>4015</v>
      </c>
    </row>
    <row r="1652" spans="1:18" x14ac:dyDescent="0.25">
      <c r="A1652" t="s">
        <v>5161</v>
      </c>
      <c r="B1652" t="s">
        <v>114</v>
      </c>
      <c r="C1652" t="s">
        <v>20</v>
      </c>
      <c r="D1652" t="s">
        <v>90</v>
      </c>
      <c r="E1652" t="s">
        <v>91</v>
      </c>
      <c r="F1652" t="s">
        <v>92</v>
      </c>
      <c r="G1652" t="s">
        <v>4019</v>
      </c>
      <c r="H1652" s="10">
        <v>1069730</v>
      </c>
      <c r="I1652" s="10">
        <v>0</v>
      </c>
      <c r="J1652" s="10">
        <v>0</v>
      </c>
      <c r="L1652" t="s">
        <v>34</v>
      </c>
      <c r="M1652" t="s">
        <v>94</v>
      </c>
      <c r="N1652" t="s">
        <v>4020</v>
      </c>
      <c r="O1652" s="2">
        <v>43983</v>
      </c>
      <c r="P1652" s="2">
        <v>44347</v>
      </c>
      <c r="Q1652">
        <v>0</v>
      </c>
      <c r="R1652" t="s">
        <v>4021</v>
      </c>
    </row>
    <row r="1653" spans="1:18" x14ac:dyDescent="0.25">
      <c r="A1653" t="s">
        <v>4022</v>
      </c>
      <c r="B1653" t="s">
        <v>19</v>
      </c>
      <c r="C1653" t="s">
        <v>20</v>
      </c>
      <c r="D1653" t="s">
        <v>21</v>
      </c>
      <c r="E1653" t="s">
        <v>549</v>
      </c>
      <c r="F1653" t="s">
        <v>109</v>
      </c>
      <c r="G1653" t="s">
        <v>4023</v>
      </c>
      <c r="H1653" s="10">
        <v>280582</v>
      </c>
      <c r="I1653" s="10">
        <v>0</v>
      </c>
      <c r="J1653" s="10">
        <v>0</v>
      </c>
      <c r="L1653" t="s">
        <v>55</v>
      </c>
      <c r="M1653" t="s">
        <v>26</v>
      </c>
      <c r="N1653" t="s">
        <v>4024</v>
      </c>
      <c r="O1653" s="2">
        <v>42186</v>
      </c>
      <c r="P1653" s="2">
        <v>43281</v>
      </c>
      <c r="Q1653">
        <v>0</v>
      </c>
      <c r="R1653" t="s">
        <v>4025</v>
      </c>
    </row>
    <row r="1654" spans="1:18" x14ac:dyDescent="0.25">
      <c r="A1654" t="s">
        <v>4026</v>
      </c>
      <c r="B1654" t="s">
        <v>162</v>
      </c>
      <c r="C1654" t="s">
        <v>149</v>
      </c>
      <c r="D1654" t="s">
        <v>21</v>
      </c>
      <c r="E1654" t="s">
        <v>323</v>
      </c>
      <c r="F1654" t="s">
        <v>32</v>
      </c>
      <c r="G1654" t="s">
        <v>4029</v>
      </c>
      <c r="H1654" s="10">
        <v>531872</v>
      </c>
      <c r="I1654" s="10">
        <v>0</v>
      </c>
      <c r="J1654" s="10">
        <v>0</v>
      </c>
      <c r="L1654" t="s">
        <v>25</v>
      </c>
      <c r="M1654" t="s">
        <v>26</v>
      </c>
      <c r="N1654" t="s">
        <v>4030</v>
      </c>
      <c r="O1654" s="2">
        <v>40269</v>
      </c>
      <c r="P1654" s="2">
        <v>41729</v>
      </c>
      <c r="Q1654">
        <v>0</v>
      </c>
      <c r="R1654" t="s">
        <v>4028</v>
      </c>
    </row>
    <row r="1655" spans="1:18" x14ac:dyDescent="0.25">
      <c r="A1655" t="s">
        <v>4026</v>
      </c>
      <c r="B1655" t="s">
        <v>162</v>
      </c>
      <c r="C1655" t="s">
        <v>149</v>
      </c>
      <c r="D1655" t="s">
        <v>21</v>
      </c>
      <c r="E1655" t="s">
        <v>534</v>
      </c>
      <c r="F1655" t="s">
        <v>32</v>
      </c>
      <c r="G1655" t="s">
        <v>4033</v>
      </c>
      <c r="H1655" s="10">
        <v>357058</v>
      </c>
      <c r="I1655" s="10">
        <v>0</v>
      </c>
      <c r="J1655" s="10">
        <v>0</v>
      </c>
      <c r="L1655" t="s">
        <v>55</v>
      </c>
      <c r="M1655" t="s">
        <v>26</v>
      </c>
      <c r="N1655" t="s">
        <v>1216</v>
      </c>
      <c r="O1655" s="2">
        <v>40817</v>
      </c>
      <c r="P1655" s="2">
        <v>41912</v>
      </c>
      <c r="Q1655">
        <v>0</v>
      </c>
      <c r="R1655" t="s">
        <v>4034</v>
      </c>
    </row>
    <row r="1656" spans="1:18" x14ac:dyDescent="0.25">
      <c r="A1656" t="s">
        <v>4026</v>
      </c>
      <c r="B1656" t="s">
        <v>162</v>
      </c>
      <c r="C1656" t="s">
        <v>149</v>
      </c>
      <c r="D1656" t="s">
        <v>21</v>
      </c>
      <c r="E1656" t="s">
        <v>572</v>
      </c>
      <c r="F1656" t="s">
        <v>32</v>
      </c>
      <c r="G1656" t="s">
        <v>4031</v>
      </c>
      <c r="H1656" s="10">
        <v>952465</v>
      </c>
      <c r="I1656" s="10">
        <v>0</v>
      </c>
      <c r="J1656" s="10">
        <v>0</v>
      </c>
      <c r="L1656" t="s">
        <v>42</v>
      </c>
      <c r="M1656" t="s">
        <v>26</v>
      </c>
      <c r="N1656" t="s">
        <v>4032</v>
      </c>
      <c r="O1656" s="2">
        <v>41730</v>
      </c>
      <c r="P1656" s="2">
        <v>43555</v>
      </c>
      <c r="Q1656">
        <v>3</v>
      </c>
      <c r="R1656" t="s">
        <v>4028</v>
      </c>
    </row>
    <row r="1657" spans="1:18" x14ac:dyDescent="0.25">
      <c r="A1657" t="s">
        <v>4026</v>
      </c>
      <c r="B1657" t="s">
        <v>162</v>
      </c>
      <c r="C1657" t="s">
        <v>149</v>
      </c>
      <c r="D1657" t="s">
        <v>51</v>
      </c>
      <c r="E1657" t="s">
        <v>158</v>
      </c>
      <c r="F1657" t="s">
        <v>32</v>
      </c>
      <c r="G1657" t="s">
        <v>4027</v>
      </c>
      <c r="H1657" s="10">
        <v>940950</v>
      </c>
      <c r="I1657" s="10">
        <v>0</v>
      </c>
      <c r="J1657" s="10">
        <v>0</v>
      </c>
      <c r="L1657" t="s">
        <v>42</v>
      </c>
      <c r="M1657" t="s">
        <v>26</v>
      </c>
      <c r="N1657" t="s">
        <v>135</v>
      </c>
      <c r="O1657" s="2">
        <v>43922</v>
      </c>
      <c r="P1657" s="2">
        <v>45747</v>
      </c>
      <c r="Q1657">
        <v>0</v>
      </c>
      <c r="R1657" t="s">
        <v>4028</v>
      </c>
    </row>
    <row r="1658" spans="1:18" x14ac:dyDescent="0.25">
      <c r="A1658" t="s">
        <v>5469</v>
      </c>
      <c r="B1658" t="s">
        <v>49</v>
      </c>
      <c r="C1658" t="s">
        <v>50</v>
      </c>
      <c r="D1658" t="s">
        <v>51</v>
      </c>
      <c r="E1658" t="s">
        <v>167</v>
      </c>
      <c r="F1658" t="s">
        <v>53</v>
      </c>
      <c r="G1658" t="s">
        <v>4333</v>
      </c>
      <c r="H1658" s="10">
        <v>1293201</v>
      </c>
      <c r="I1658" s="10">
        <v>0</v>
      </c>
      <c r="J1658" s="10">
        <v>0</v>
      </c>
      <c r="L1658" t="s">
        <v>25</v>
      </c>
      <c r="M1658" t="s">
        <v>111</v>
      </c>
      <c r="N1658" t="s">
        <v>1051</v>
      </c>
      <c r="O1658" s="2">
        <v>45017</v>
      </c>
      <c r="P1658" s="2">
        <v>46477</v>
      </c>
      <c r="Q1658">
        <v>0</v>
      </c>
      <c r="R1658" t="s">
        <v>4334</v>
      </c>
    </row>
    <row r="1659" spans="1:18" x14ac:dyDescent="0.25">
      <c r="A1659" t="s">
        <v>4035</v>
      </c>
      <c r="B1659" t="s">
        <v>49</v>
      </c>
      <c r="C1659" t="s">
        <v>50</v>
      </c>
      <c r="D1659" t="s">
        <v>21</v>
      </c>
      <c r="E1659" t="s">
        <v>377</v>
      </c>
      <c r="F1659" t="s">
        <v>23</v>
      </c>
      <c r="G1659" t="s">
        <v>4036</v>
      </c>
      <c r="H1659" s="10">
        <v>351308</v>
      </c>
      <c r="I1659" s="10">
        <v>0</v>
      </c>
      <c r="J1659" s="10">
        <v>0</v>
      </c>
      <c r="L1659" t="s">
        <v>55</v>
      </c>
      <c r="M1659" t="s">
        <v>26</v>
      </c>
      <c r="N1659" t="s">
        <v>62</v>
      </c>
      <c r="O1659" s="2">
        <v>41183</v>
      </c>
      <c r="P1659" s="2">
        <v>42277</v>
      </c>
      <c r="Q1659">
        <v>0</v>
      </c>
      <c r="R1659" t="s">
        <v>4037</v>
      </c>
    </row>
    <row r="1660" spans="1:18" x14ac:dyDescent="0.25">
      <c r="A1660" t="s">
        <v>4035</v>
      </c>
      <c r="B1660" t="s">
        <v>49</v>
      </c>
      <c r="C1660" t="s">
        <v>50</v>
      </c>
      <c r="D1660" t="s">
        <v>21</v>
      </c>
      <c r="E1660" t="s">
        <v>108</v>
      </c>
      <c r="F1660" t="s">
        <v>23</v>
      </c>
      <c r="G1660" t="s">
        <v>4038</v>
      </c>
      <c r="H1660" s="10">
        <v>868690</v>
      </c>
      <c r="I1660" s="10">
        <v>0</v>
      </c>
      <c r="J1660" s="10">
        <v>0</v>
      </c>
      <c r="L1660" t="s">
        <v>42</v>
      </c>
      <c r="M1660" t="s">
        <v>26</v>
      </c>
      <c r="N1660" t="s">
        <v>62</v>
      </c>
      <c r="O1660" s="2">
        <v>41548</v>
      </c>
      <c r="P1660" s="2">
        <v>43373</v>
      </c>
      <c r="Q1660">
        <v>0</v>
      </c>
      <c r="R1660" t="s">
        <v>4039</v>
      </c>
    </row>
    <row r="1661" spans="1:18" x14ac:dyDescent="0.25">
      <c r="A1661" t="s">
        <v>4040</v>
      </c>
      <c r="B1661" t="s">
        <v>710</v>
      </c>
      <c r="C1661" t="s">
        <v>711</v>
      </c>
      <c r="D1661" t="s">
        <v>21</v>
      </c>
      <c r="E1661" t="s">
        <v>572</v>
      </c>
      <c r="F1661" t="s">
        <v>23</v>
      </c>
      <c r="G1661" t="s">
        <v>4041</v>
      </c>
      <c r="H1661" s="10">
        <v>614472</v>
      </c>
      <c r="I1661" s="10">
        <v>0</v>
      </c>
      <c r="J1661" s="10">
        <v>0</v>
      </c>
      <c r="L1661" t="s">
        <v>42</v>
      </c>
      <c r="M1661" t="s">
        <v>26</v>
      </c>
      <c r="N1661" t="s">
        <v>4042</v>
      </c>
      <c r="O1661" s="2">
        <v>41730</v>
      </c>
      <c r="P1661" s="2">
        <v>43555</v>
      </c>
      <c r="Q1661">
        <v>1</v>
      </c>
      <c r="R1661" t="s">
        <v>4043</v>
      </c>
    </row>
    <row r="1662" spans="1:18" x14ac:dyDescent="0.25">
      <c r="A1662" t="s">
        <v>4040</v>
      </c>
      <c r="B1662" t="s">
        <v>710</v>
      </c>
      <c r="C1662" t="s">
        <v>711</v>
      </c>
      <c r="D1662" t="s">
        <v>51</v>
      </c>
      <c r="E1662" t="s">
        <v>259</v>
      </c>
      <c r="F1662" t="s">
        <v>47</v>
      </c>
      <c r="G1662" t="s">
        <v>4044</v>
      </c>
      <c r="H1662" s="10">
        <v>1208700</v>
      </c>
      <c r="I1662" s="10">
        <v>0</v>
      </c>
      <c r="J1662" s="10">
        <v>0</v>
      </c>
      <c r="L1662" t="s">
        <v>42</v>
      </c>
      <c r="M1662" t="s">
        <v>26</v>
      </c>
      <c r="N1662" t="s">
        <v>4045</v>
      </c>
      <c r="O1662" s="2">
        <v>44105</v>
      </c>
      <c r="P1662" s="2">
        <v>45930</v>
      </c>
      <c r="Q1662">
        <v>0</v>
      </c>
      <c r="R1662" t="s">
        <v>4046</v>
      </c>
    </row>
    <row r="1663" spans="1:18" x14ac:dyDescent="0.25">
      <c r="A1663" t="s">
        <v>5114</v>
      </c>
      <c r="B1663" t="s">
        <v>98</v>
      </c>
      <c r="C1663" t="s">
        <v>20</v>
      </c>
      <c r="D1663" t="s">
        <v>21</v>
      </c>
      <c r="E1663" t="s">
        <v>74</v>
      </c>
      <c r="F1663" t="s">
        <v>32</v>
      </c>
      <c r="G1663" t="s">
        <v>4047</v>
      </c>
      <c r="H1663" s="10">
        <v>339130</v>
      </c>
      <c r="I1663" s="10">
        <v>0</v>
      </c>
      <c r="J1663" s="10">
        <v>0</v>
      </c>
      <c r="L1663" t="s">
        <v>84</v>
      </c>
      <c r="M1663" t="s">
        <v>26</v>
      </c>
      <c r="N1663" t="s">
        <v>2310</v>
      </c>
      <c r="O1663" s="2">
        <v>41000</v>
      </c>
      <c r="P1663" s="2">
        <v>41729</v>
      </c>
      <c r="Q1663">
        <v>0</v>
      </c>
      <c r="R1663" t="s">
        <v>4048</v>
      </c>
    </row>
    <row r="1664" spans="1:18" x14ac:dyDescent="0.25">
      <c r="A1664" t="s">
        <v>4051</v>
      </c>
      <c r="B1664" t="s">
        <v>107</v>
      </c>
      <c r="C1664" t="s">
        <v>38</v>
      </c>
      <c r="D1664" t="s">
        <v>21</v>
      </c>
      <c r="E1664" t="s">
        <v>108</v>
      </c>
      <c r="F1664" t="s">
        <v>32</v>
      </c>
      <c r="G1664" t="s">
        <v>4052</v>
      </c>
      <c r="H1664" s="10">
        <v>380219</v>
      </c>
      <c r="I1664" s="10">
        <v>0</v>
      </c>
      <c r="J1664" s="10">
        <v>0</v>
      </c>
      <c r="L1664" t="s">
        <v>55</v>
      </c>
      <c r="M1664" t="s">
        <v>26</v>
      </c>
      <c r="N1664" t="s">
        <v>4053</v>
      </c>
      <c r="O1664" s="2">
        <v>41548</v>
      </c>
      <c r="P1664" s="2">
        <v>42643</v>
      </c>
      <c r="Q1664">
        <v>0</v>
      </c>
      <c r="R1664" t="s">
        <v>4054</v>
      </c>
    </row>
    <row r="1665" spans="1:18" x14ac:dyDescent="0.25">
      <c r="A1665" t="s">
        <v>4051</v>
      </c>
      <c r="B1665" t="s">
        <v>107</v>
      </c>
      <c r="C1665" t="s">
        <v>38</v>
      </c>
      <c r="D1665" t="s">
        <v>395</v>
      </c>
      <c r="E1665" t="s">
        <v>396</v>
      </c>
      <c r="F1665" t="s">
        <v>32</v>
      </c>
      <c r="G1665" t="s">
        <v>4055</v>
      </c>
      <c r="H1665" s="10">
        <v>100000</v>
      </c>
      <c r="I1665" s="10">
        <v>0</v>
      </c>
      <c r="J1665" s="10">
        <v>0</v>
      </c>
      <c r="L1665" t="s">
        <v>34</v>
      </c>
      <c r="M1665" t="s">
        <v>26</v>
      </c>
      <c r="N1665" t="s">
        <v>4056</v>
      </c>
      <c r="O1665" s="2">
        <v>40969</v>
      </c>
      <c r="P1665" s="2">
        <v>41333</v>
      </c>
      <c r="Q1665">
        <v>0</v>
      </c>
      <c r="R1665" t="s">
        <v>4057</v>
      </c>
    </row>
    <row r="1666" spans="1:18" x14ac:dyDescent="0.25">
      <c r="A1666" t="s">
        <v>5488</v>
      </c>
      <c r="B1666" t="s">
        <v>4464</v>
      </c>
      <c r="C1666" t="s">
        <v>20</v>
      </c>
      <c r="D1666" t="s">
        <v>4062</v>
      </c>
      <c r="E1666" t="s">
        <v>4063</v>
      </c>
      <c r="F1666" t="s">
        <v>32</v>
      </c>
      <c r="G1666" t="s">
        <v>4064</v>
      </c>
      <c r="H1666" s="10">
        <v>100000</v>
      </c>
      <c r="I1666" s="10">
        <v>0</v>
      </c>
      <c r="J1666" s="10">
        <v>0</v>
      </c>
      <c r="L1666" t="s">
        <v>34</v>
      </c>
      <c r="M1666" t="s">
        <v>26</v>
      </c>
      <c r="N1666" t="s">
        <v>4065</v>
      </c>
      <c r="O1666" s="2">
        <v>45566</v>
      </c>
      <c r="P1666" s="2">
        <v>45930</v>
      </c>
      <c r="Q1666">
        <v>0</v>
      </c>
      <c r="R1666" t="s">
        <v>4066</v>
      </c>
    </row>
    <row r="1667" spans="1:18" x14ac:dyDescent="0.25">
      <c r="A1667" t="s">
        <v>5015</v>
      </c>
      <c r="B1667" t="s">
        <v>114</v>
      </c>
      <c r="C1667" t="s">
        <v>20</v>
      </c>
      <c r="D1667" t="s">
        <v>4557</v>
      </c>
      <c r="E1667" t="s">
        <v>4581</v>
      </c>
      <c r="F1667" t="s">
        <v>4559</v>
      </c>
      <c r="G1667" t="s">
        <v>5016</v>
      </c>
      <c r="H1667" s="10">
        <v>322322</v>
      </c>
      <c r="I1667" s="10">
        <v>25000</v>
      </c>
      <c r="J1667" s="10">
        <v>0</v>
      </c>
      <c r="L1667" t="s">
        <v>55</v>
      </c>
      <c r="M1667" t="s">
        <v>204</v>
      </c>
      <c r="N1667" t="s">
        <v>6049</v>
      </c>
      <c r="O1667" s="2">
        <v>43556</v>
      </c>
      <c r="P1667" s="2">
        <v>44651</v>
      </c>
      <c r="Q1667">
        <v>0</v>
      </c>
      <c r="R1667" t="s">
        <v>6048</v>
      </c>
    </row>
    <row r="1668" spans="1:18" x14ac:dyDescent="0.25">
      <c r="A1668" t="s">
        <v>5115</v>
      </c>
      <c r="B1668" t="s">
        <v>4464</v>
      </c>
      <c r="C1668" t="s">
        <v>20</v>
      </c>
      <c r="D1668" t="s">
        <v>21</v>
      </c>
      <c r="E1668" t="s">
        <v>22</v>
      </c>
      <c r="F1668" t="s">
        <v>53</v>
      </c>
      <c r="G1668" t="s">
        <v>4059</v>
      </c>
      <c r="H1668" s="10">
        <v>720465</v>
      </c>
      <c r="I1668" s="10">
        <v>0</v>
      </c>
      <c r="J1668" s="10">
        <v>0</v>
      </c>
      <c r="L1668" t="s">
        <v>42</v>
      </c>
      <c r="M1668" t="s">
        <v>26</v>
      </c>
      <c r="N1668" t="s">
        <v>4060</v>
      </c>
      <c r="O1668" s="2">
        <v>41365</v>
      </c>
      <c r="P1668" s="2">
        <v>43190</v>
      </c>
      <c r="Q1668">
        <v>0</v>
      </c>
      <c r="R1668" t="s">
        <v>4061</v>
      </c>
    </row>
    <row r="1669" spans="1:18" x14ac:dyDescent="0.25">
      <c r="A1669" t="s">
        <v>5115</v>
      </c>
      <c r="B1669" t="s">
        <v>4464</v>
      </c>
      <c r="C1669" t="s">
        <v>20</v>
      </c>
      <c r="D1669" t="s">
        <v>39</v>
      </c>
      <c r="E1669" t="s">
        <v>4058</v>
      </c>
      <c r="F1669" t="s">
        <v>53</v>
      </c>
      <c r="G1669" t="s">
        <v>4059</v>
      </c>
      <c r="H1669" s="10">
        <v>100000</v>
      </c>
      <c r="I1669" s="10">
        <v>0</v>
      </c>
      <c r="J1669" s="10">
        <v>0</v>
      </c>
      <c r="L1669" t="s">
        <v>34</v>
      </c>
      <c r="M1669" t="s">
        <v>26</v>
      </c>
      <c r="N1669" t="s">
        <v>4060</v>
      </c>
      <c r="O1669" s="2">
        <v>41183</v>
      </c>
      <c r="P1669" s="2">
        <v>41547</v>
      </c>
      <c r="Q1669">
        <v>0</v>
      </c>
      <c r="R1669" t="s">
        <v>4061</v>
      </c>
    </row>
    <row r="1670" spans="1:18" x14ac:dyDescent="0.25">
      <c r="A1670" t="s">
        <v>5115</v>
      </c>
      <c r="B1670" t="s">
        <v>4464</v>
      </c>
      <c r="C1670" t="s">
        <v>20</v>
      </c>
      <c r="D1670" t="s">
        <v>51</v>
      </c>
      <c r="E1670" t="s">
        <v>406</v>
      </c>
      <c r="F1670" t="s">
        <v>53</v>
      </c>
      <c r="G1670" t="s">
        <v>4067</v>
      </c>
      <c r="H1670" s="10">
        <v>966960</v>
      </c>
      <c r="I1670" s="10">
        <v>0</v>
      </c>
      <c r="J1670" s="10">
        <v>0</v>
      </c>
      <c r="L1670" t="s">
        <v>25</v>
      </c>
      <c r="M1670" t="s">
        <v>204</v>
      </c>
      <c r="N1670" t="s">
        <v>4068</v>
      </c>
      <c r="O1670" s="2">
        <v>43191</v>
      </c>
      <c r="P1670" s="2">
        <v>44651</v>
      </c>
      <c r="Q1670">
        <v>1</v>
      </c>
      <c r="R1670" t="s">
        <v>4069</v>
      </c>
    </row>
    <row r="1671" spans="1:18" x14ac:dyDescent="0.25">
      <c r="A1671" t="s">
        <v>6247</v>
      </c>
      <c r="B1671" t="s">
        <v>4507</v>
      </c>
      <c r="C1671" t="s">
        <v>20</v>
      </c>
      <c r="D1671" t="s">
        <v>5320</v>
      </c>
      <c r="E1671" t="s">
        <v>5321</v>
      </c>
      <c r="F1671" t="s">
        <v>5322</v>
      </c>
      <c r="G1671" t="s">
        <v>5326</v>
      </c>
      <c r="H1671" s="12">
        <v>728345</v>
      </c>
      <c r="I1671" s="12">
        <v>0</v>
      </c>
      <c r="J1671" s="10">
        <v>0</v>
      </c>
      <c r="L1671" t="s">
        <v>25</v>
      </c>
      <c r="M1671" t="s">
        <v>831</v>
      </c>
      <c r="N1671" t="s">
        <v>6248</v>
      </c>
      <c r="O1671" s="2">
        <v>42278</v>
      </c>
      <c r="P1671" s="2">
        <v>43738</v>
      </c>
      <c r="Q1671">
        <v>0</v>
      </c>
      <c r="R1671" t="s">
        <v>6249</v>
      </c>
    </row>
    <row r="1672" spans="1:18" x14ac:dyDescent="0.25">
      <c r="A1672" t="s">
        <v>4070</v>
      </c>
      <c r="B1672" t="s">
        <v>474</v>
      </c>
      <c r="C1672" t="s">
        <v>20</v>
      </c>
      <c r="D1672" t="s">
        <v>21</v>
      </c>
      <c r="E1672" t="s">
        <v>534</v>
      </c>
      <c r="F1672" t="s">
        <v>53</v>
      </c>
      <c r="G1672" t="s">
        <v>4074</v>
      </c>
      <c r="H1672" s="10">
        <v>230350</v>
      </c>
      <c r="I1672" s="10">
        <v>0</v>
      </c>
      <c r="J1672" s="10">
        <v>0</v>
      </c>
      <c r="L1672" t="s">
        <v>55</v>
      </c>
      <c r="M1672" t="s">
        <v>204</v>
      </c>
      <c r="N1672" t="s">
        <v>3843</v>
      </c>
      <c r="O1672" s="2">
        <v>40817</v>
      </c>
      <c r="P1672" s="2">
        <v>41912</v>
      </c>
      <c r="Q1672">
        <v>1</v>
      </c>
      <c r="R1672" t="s">
        <v>4075</v>
      </c>
    </row>
    <row r="1673" spans="1:18" x14ac:dyDescent="0.25">
      <c r="A1673" t="s">
        <v>4070</v>
      </c>
      <c r="B1673" t="s">
        <v>474</v>
      </c>
      <c r="C1673" t="s">
        <v>20</v>
      </c>
      <c r="D1673" t="s">
        <v>1293</v>
      </c>
      <c r="E1673" t="s">
        <v>1294</v>
      </c>
      <c r="F1673" t="s">
        <v>53</v>
      </c>
      <c r="G1673" t="s">
        <v>4076</v>
      </c>
      <c r="H1673" s="10">
        <v>100000</v>
      </c>
      <c r="I1673" s="10">
        <v>0</v>
      </c>
      <c r="J1673" s="10">
        <v>0</v>
      </c>
      <c r="L1673" t="s">
        <v>34</v>
      </c>
      <c r="M1673" t="s">
        <v>204</v>
      </c>
      <c r="N1673" t="s">
        <v>3843</v>
      </c>
      <c r="O1673" s="2">
        <v>41913</v>
      </c>
      <c r="P1673" s="2">
        <v>42277</v>
      </c>
      <c r="Q1673">
        <v>0</v>
      </c>
      <c r="R1673" t="s">
        <v>4077</v>
      </c>
    </row>
    <row r="1674" spans="1:18" x14ac:dyDescent="0.25">
      <c r="A1674" t="s">
        <v>4070</v>
      </c>
      <c r="B1674" t="s">
        <v>360</v>
      </c>
      <c r="C1674" t="s">
        <v>20</v>
      </c>
      <c r="D1674" t="s">
        <v>51</v>
      </c>
      <c r="E1674" t="s">
        <v>406</v>
      </c>
      <c r="F1674" t="s">
        <v>53</v>
      </c>
      <c r="G1674" t="s">
        <v>4071</v>
      </c>
      <c r="H1674" s="10">
        <v>665552</v>
      </c>
      <c r="I1674" s="10">
        <v>0</v>
      </c>
      <c r="J1674" s="10">
        <v>0</v>
      </c>
      <c r="L1674" t="s">
        <v>25</v>
      </c>
      <c r="M1674" t="s">
        <v>204</v>
      </c>
      <c r="N1674" t="s">
        <v>4072</v>
      </c>
      <c r="O1674" s="2">
        <v>43191</v>
      </c>
      <c r="P1674" s="2">
        <v>44651</v>
      </c>
      <c r="Q1674">
        <v>0</v>
      </c>
      <c r="R1674" t="s">
        <v>4073</v>
      </c>
    </row>
    <row r="1675" spans="1:18" x14ac:dyDescent="0.25">
      <c r="A1675" t="s">
        <v>4070</v>
      </c>
      <c r="B1675" t="s">
        <v>360</v>
      </c>
      <c r="C1675" t="s">
        <v>20</v>
      </c>
      <c r="D1675" t="s">
        <v>51</v>
      </c>
      <c r="E1675" t="s">
        <v>116</v>
      </c>
      <c r="F1675" t="s">
        <v>53</v>
      </c>
      <c r="G1675" t="s">
        <v>4078</v>
      </c>
      <c r="H1675" s="10">
        <v>653157</v>
      </c>
      <c r="I1675" s="10">
        <v>0</v>
      </c>
      <c r="J1675" s="10">
        <v>0</v>
      </c>
      <c r="L1675" t="s">
        <v>25</v>
      </c>
      <c r="M1675" t="s">
        <v>204</v>
      </c>
      <c r="N1675" t="s">
        <v>4079</v>
      </c>
      <c r="O1675" s="2">
        <v>43374</v>
      </c>
      <c r="P1675" s="2">
        <v>44834</v>
      </c>
      <c r="Q1675">
        <v>0</v>
      </c>
      <c r="R1675" t="s">
        <v>4080</v>
      </c>
    </row>
    <row r="1676" spans="1:18" x14ac:dyDescent="0.25">
      <c r="A1676" t="s">
        <v>4081</v>
      </c>
      <c r="B1676" t="s">
        <v>162</v>
      </c>
      <c r="C1676" t="s">
        <v>149</v>
      </c>
      <c r="D1676" t="s">
        <v>21</v>
      </c>
      <c r="E1676" t="s">
        <v>323</v>
      </c>
      <c r="F1676" t="s">
        <v>109</v>
      </c>
      <c r="G1676" t="s">
        <v>4087</v>
      </c>
      <c r="H1676" s="10">
        <v>664475</v>
      </c>
      <c r="I1676" s="10">
        <v>0</v>
      </c>
      <c r="J1676" s="10">
        <v>0</v>
      </c>
      <c r="L1676" t="s">
        <v>42</v>
      </c>
      <c r="M1676" t="s">
        <v>111</v>
      </c>
      <c r="N1676" t="s">
        <v>4088</v>
      </c>
      <c r="O1676" s="2">
        <v>40269</v>
      </c>
      <c r="P1676" s="2">
        <v>41912</v>
      </c>
      <c r="Q1676">
        <v>0</v>
      </c>
      <c r="R1676" t="s">
        <v>4089</v>
      </c>
    </row>
    <row r="1677" spans="1:18" x14ac:dyDescent="0.25">
      <c r="A1677" t="s">
        <v>4081</v>
      </c>
      <c r="B1677" t="s">
        <v>162</v>
      </c>
      <c r="C1677" t="s">
        <v>149</v>
      </c>
      <c r="D1677" t="s">
        <v>21</v>
      </c>
      <c r="E1677" t="s">
        <v>60</v>
      </c>
      <c r="F1677" t="s">
        <v>109</v>
      </c>
      <c r="G1677" t="s">
        <v>4082</v>
      </c>
      <c r="H1677" s="10">
        <v>678786</v>
      </c>
      <c r="I1677" s="10">
        <v>0</v>
      </c>
      <c r="J1677" s="10">
        <v>0</v>
      </c>
      <c r="L1677" t="s">
        <v>42</v>
      </c>
      <c r="M1677" t="s">
        <v>111</v>
      </c>
      <c r="N1677" t="s">
        <v>4083</v>
      </c>
      <c r="O1677" s="2">
        <v>41913</v>
      </c>
      <c r="P1677" s="2">
        <v>43738</v>
      </c>
      <c r="Q1677">
        <v>0</v>
      </c>
      <c r="R1677" t="s">
        <v>4084</v>
      </c>
    </row>
    <row r="1678" spans="1:18" x14ac:dyDescent="0.25">
      <c r="A1678" t="s">
        <v>4081</v>
      </c>
      <c r="B1678" t="s">
        <v>162</v>
      </c>
      <c r="C1678" t="s">
        <v>149</v>
      </c>
      <c r="D1678" t="s">
        <v>51</v>
      </c>
      <c r="E1678" t="s">
        <v>197</v>
      </c>
      <c r="F1678" t="s">
        <v>109</v>
      </c>
      <c r="G1678" t="s">
        <v>4090</v>
      </c>
      <c r="H1678" s="10">
        <v>753525</v>
      </c>
      <c r="I1678" s="10">
        <v>0</v>
      </c>
      <c r="J1678" s="10">
        <v>0</v>
      </c>
      <c r="L1678" t="s">
        <v>42</v>
      </c>
      <c r="M1678" t="s">
        <v>111</v>
      </c>
      <c r="N1678" t="s">
        <v>4091</v>
      </c>
      <c r="O1678" s="2">
        <v>44652</v>
      </c>
      <c r="P1678" s="2">
        <v>46477</v>
      </c>
      <c r="Q1678">
        <v>0</v>
      </c>
      <c r="R1678" t="s">
        <v>4092</v>
      </c>
    </row>
    <row r="1679" spans="1:18" x14ac:dyDescent="0.25">
      <c r="A1679" t="s">
        <v>5470</v>
      </c>
      <c r="B1679" t="s">
        <v>162</v>
      </c>
      <c r="C1679" t="s">
        <v>149</v>
      </c>
      <c r="D1679" t="s">
        <v>51</v>
      </c>
      <c r="E1679" t="s">
        <v>116</v>
      </c>
      <c r="F1679" t="s">
        <v>109</v>
      </c>
      <c r="G1679" t="s">
        <v>4085</v>
      </c>
      <c r="H1679" s="10">
        <v>768826</v>
      </c>
      <c r="I1679" s="10">
        <v>0</v>
      </c>
      <c r="J1679" s="10">
        <v>0</v>
      </c>
      <c r="L1679" t="s">
        <v>42</v>
      </c>
      <c r="M1679" t="s">
        <v>103</v>
      </c>
      <c r="N1679" t="s">
        <v>199</v>
      </c>
      <c r="O1679" s="2">
        <v>43374</v>
      </c>
      <c r="P1679" s="2">
        <v>45199</v>
      </c>
      <c r="Q1679">
        <v>0</v>
      </c>
      <c r="R1679" t="s">
        <v>4086</v>
      </c>
    </row>
    <row r="1680" spans="1:18" x14ac:dyDescent="0.25">
      <c r="A1680" t="s">
        <v>5471</v>
      </c>
      <c r="B1680" t="s">
        <v>19</v>
      </c>
      <c r="C1680" t="s">
        <v>20</v>
      </c>
      <c r="D1680" t="s">
        <v>51</v>
      </c>
      <c r="E1680" t="s">
        <v>116</v>
      </c>
      <c r="F1680" t="s">
        <v>109</v>
      </c>
      <c r="G1680" t="s">
        <v>4093</v>
      </c>
      <c r="H1680" s="10">
        <v>371024</v>
      </c>
      <c r="I1680" s="10">
        <v>0</v>
      </c>
      <c r="J1680" s="10">
        <v>0</v>
      </c>
      <c r="L1680" t="s">
        <v>25</v>
      </c>
      <c r="M1680" t="s">
        <v>26</v>
      </c>
      <c r="N1680" t="s">
        <v>4094</v>
      </c>
      <c r="O1680" s="2">
        <v>43374</v>
      </c>
      <c r="P1680" s="2">
        <v>44834</v>
      </c>
      <c r="Q1680">
        <v>3</v>
      </c>
      <c r="R1680" t="s">
        <v>4095</v>
      </c>
    </row>
    <row r="1681" spans="1:18" x14ac:dyDescent="0.25">
      <c r="A1681" t="s">
        <v>4096</v>
      </c>
      <c r="B1681" t="s">
        <v>49</v>
      </c>
      <c r="C1681" t="s">
        <v>50</v>
      </c>
      <c r="D1681" t="s">
        <v>51</v>
      </c>
      <c r="E1681" t="s">
        <v>784</v>
      </c>
      <c r="F1681" t="s">
        <v>53</v>
      </c>
      <c r="G1681" t="s">
        <v>4097</v>
      </c>
      <c r="H1681" s="10">
        <v>100000</v>
      </c>
      <c r="I1681" s="10">
        <v>0</v>
      </c>
      <c r="J1681" s="10">
        <v>0</v>
      </c>
      <c r="L1681" t="s">
        <v>34</v>
      </c>
      <c r="M1681" t="s">
        <v>204</v>
      </c>
      <c r="N1681" t="s">
        <v>1051</v>
      </c>
      <c r="O1681" s="2">
        <v>43191</v>
      </c>
      <c r="P1681" s="2">
        <v>43555</v>
      </c>
      <c r="Q1681">
        <v>0</v>
      </c>
      <c r="R1681" t="s">
        <v>4098</v>
      </c>
    </row>
    <row r="1682" spans="1:18" x14ac:dyDescent="0.25">
      <c r="A1682" t="s">
        <v>5116</v>
      </c>
      <c r="B1682" t="s">
        <v>49</v>
      </c>
      <c r="C1682" t="s">
        <v>50</v>
      </c>
      <c r="D1682" t="s">
        <v>21</v>
      </c>
      <c r="E1682" t="s">
        <v>172</v>
      </c>
      <c r="F1682" t="s">
        <v>53</v>
      </c>
      <c r="G1682" t="s">
        <v>4099</v>
      </c>
      <c r="H1682" s="10">
        <v>676920</v>
      </c>
      <c r="I1682" s="10">
        <v>0</v>
      </c>
      <c r="J1682" s="10">
        <v>0</v>
      </c>
      <c r="L1682" t="s">
        <v>42</v>
      </c>
      <c r="M1682" t="s">
        <v>204</v>
      </c>
      <c r="N1682" t="s">
        <v>4100</v>
      </c>
      <c r="O1682" s="2">
        <v>40452</v>
      </c>
      <c r="P1682" s="2">
        <v>42277</v>
      </c>
      <c r="Q1682">
        <v>2</v>
      </c>
      <c r="R1682" t="s">
        <v>4101</v>
      </c>
    </row>
    <row r="1683" spans="1:18" x14ac:dyDescent="0.25">
      <c r="A1683" t="s">
        <v>5472</v>
      </c>
      <c r="B1683" t="s">
        <v>49</v>
      </c>
      <c r="C1683" t="s">
        <v>50</v>
      </c>
      <c r="D1683" t="s">
        <v>51</v>
      </c>
      <c r="E1683" t="s">
        <v>122</v>
      </c>
      <c r="F1683" t="s">
        <v>53</v>
      </c>
      <c r="G1683" t="s">
        <v>4097</v>
      </c>
      <c r="H1683" s="10">
        <v>550800</v>
      </c>
      <c r="I1683" s="10">
        <v>0</v>
      </c>
      <c r="J1683" s="10">
        <v>0</v>
      </c>
      <c r="L1683" t="s">
        <v>25</v>
      </c>
      <c r="M1683" t="s">
        <v>204</v>
      </c>
      <c r="N1683" t="s">
        <v>1051</v>
      </c>
      <c r="O1683" s="2">
        <v>43191</v>
      </c>
      <c r="P1683" s="2">
        <v>43555</v>
      </c>
      <c r="Q1683">
        <v>0</v>
      </c>
      <c r="R1683" t="s">
        <v>4098</v>
      </c>
    </row>
    <row r="1684" spans="1:18" x14ac:dyDescent="0.25">
      <c r="A1684" t="s">
        <v>5158</v>
      </c>
      <c r="B1684" t="s">
        <v>1105</v>
      </c>
      <c r="C1684" t="s">
        <v>138</v>
      </c>
      <c r="D1684" t="s">
        <v>99</v>
      </c>
      <c r="E1684" t="s">
        <v>100</v>
      </c>
      <c r="F1684" t="s">
        <v>101</v>
      </c>
      <c r="G1684" t="s">
        <v>4102</v>
      </c>
      <c r="H1684" s="10">
        <v>449276</v>
      </c>
      <c r="I1684" s="10">
        <v>0</v>
      </c>
      <c r="J1684" s="10">
        <v>0</v>
      </c>
      <c r="L1684" t="s">
        <v>34</v>
      </c>
      <c r="M1684" t="s">
        <v>94</v>
      </c>
      <c r="N1684" t="s">
        <v>4103</v>
      </c>
      <c r="O1684" s="2">
        <v>43983</v>
      </c>
      <c r="P1684" s="2">
        <v>44347</v>
      </c>
      <c r="Q1684">
        <v>0</v>
      </c>
      <c r="R1684" t="s">
        <v>4104</v>
      </c>
    </row>
    <row r="1685" spans="1:18" x14ac:dyDescent="0.25">
      <c r="A1685" t="s">
        <v>5473</v>
      </c>
      <c r="B1685" t="s">
        <v>49</v>
      </c>
      <c r="C1685" t="s">
        <v>50</v>
      </c>
      <c r="D1685" t="s">
        <v>51</v>
      </c>
      <c r="E1685" t="s">
        <v>223</v>
      </c>
      <c r="F1685" t="s">
        <v>32</v>
      </c>
      <c r="G1685" t="s">
        <v>4105</v>
      </c>
      <c r="H1685" s="10">
        <v>918000</v>
      </c>
      <c r="I1685" s="10">
        <v>0</v>
      </c>
      <c r="J1685" s="10">
        <v>0</v>
      </c>
      <c r="L1685" t="s">
        <v>42</v>
      </c>
      <c r="M1685" t="s">
        <v>94</v>
      </c>
      <c r="N1685" t="s">
        <v>2316</v>
      </c>
      <c r="O1685" s="2">
        <v>45566</v>
      </c>
      <c r="P1685" s="2">
        <v>47391</v>
      </c>
      <c r="Q1685">
        <v>0</v>
      </c>
      <c r="R1685" t="s">
        <v>4106</v>
      </c>
    </row>
    <row r="1686" spans="1:18" x14ac:dyDescent="0.25">
      <c r="A1686" t="s">
        <v>4107</v>
      </c>
      <c r="B1686" t="s">
        <v>5063</v>
      </c>
      <c r="C1686" t="s">
        <v>38</v>
      </c>
      <c r="D1686" t="s">
        <v>21</v>
      </c>
      <c r="E1686" t="s">
        <v>377</v>
      </c>
      <c r="F1686" t="s">
        <v>32</v>
      </c>
      <c r="G1686" t="s">
        <v>4114</v>
      </c>
      <c r="H1686" s="10">
        <v>695970</v>
      </c>
      <c r="I1686" s="10">
        <v>0</v>
      </c>
      <c r="J1686" s="10">
        <v>0</v>
      </c>
      <c r="L1686" t="s">
        <v>42</v>
      </c>
      <c r="M1686" t="s">
        <v>26</v>
      </c>
      <c r="N1686" t="s">
        <v>3921</v>
      </c>
      <c r="O1686" s="2">
        <v>41183</v>
      </c>
      <c r="P1686" s="2">
        <v>43008</v>
      </c>
      <c r="Q1686">
        <v>0</v>
      </c>
      <c r="R1686" t="s">
        <v>4115</v>
      </c>
    </row>
    <row r="1687" spans="1:18" x14ac:dyDescent="0.25">
      <c r="A1687" t="s">
        <v>4107</v>
      </c>
      <c r="B1687" t="s">
        <v>5063</v>
      </c>
      <c r="C1687" t="s">
        <v>38</v>
      </c>
      <c r="D1687" t="s">
        <v>51</v>
      </c>
      <c r="E1687" t="s">
        <v>116</v>
      </c>
      <c r="F1687" t="s">
        <v>32</v>
      </c>
      <c r="G1687" t="s">
        <v>4110</v>
      </c>
      <c r="H1687" s="10">
        <v>665550</v>
      </c>
      <c r="I1687" s="10">
        <v>0</v>
      </c>
      <c r="J1687" s="10">
        <v>0</v>
      </c>
      <c r="L1687" t="s">
        <v>42</v>
      </c>
      <c r="M1687" t="s">
        <v>26</v>
      </c>
      <c r="N1687" t="s">
        <v>72</v>
      </c>
      <c r="O1687" s="2">
        <v>43374</v>
      </c>
      <c r="P1687" s="2">
        <v>45199</v>
      </c>
      <c r="Q1687">
        <v>0</v>
      </c>
      <c r="R1687" t="s">
        <v>4111</v>
      </c>
    </row>
    <row r="1688" spans="1:18" x14ac:dyDescent="0.25">
      <c r="A1688" t="s">
        <v>4107</v>
      </c>
      <c r="B1688" t="s">
        <v>5063</v>
      </c>
      <c r="C1688" t="s">
        <v>38</v>
      </c>
      <c r="D1688" t="s">
        <v>51</v>
      </c>
      <c r="E1688" t="s">
        <v>116</v>
      </c>
      <c r="F1688" t="s">
        <v>23</v>
      </c>
      <c r="G1688" t="s">
        <v>4108</v>
      </c>
      <c r="H1688" s="10">
        <v>726750</v>
      </c>
      <c r="I1688" s="10">
        <v>0</v>
      </c>
      <c r="J1688" s="10">
        <v>0</v>
      </c>
      <c r="L1688" t="s">
        <v>42</v>
      </c>
      <c r="M1688" t="s">
        <v>26</v>
      </c>
      <c r="N1688" t="s">
        <v>72</v>
      </c>
      <c r="O1688" s="2">
        <v>43374</v>
      </c>
      <c r="P1688" s="2">
        <v>45199</v>
      </c>
      <c r="Q1688">
        <v>0</v>
      </c>
      <c r="R1688" t="s">
        <v>4109</v>
      </c>
    </row>
    <row r="1689" spans="1:18" x14ac:dyDescent="0.25">
      <c r="A1689" t="s">
        <v>4107</v>
      </c>
      <c r="B1689" t="s">
        <v>5063</v>
      </c>
      <c r="C1689" t="s">
        <v>38</v>
      </c>
      <c r="D1689" t="s">
        <v>51</v>
      </c>
      <c r="E1689" t="s">
        <v>208</v>
      </c>
      <c r="F1689" t="s">
        <v>23</v>
      </c>
      <c r="G1689" t="s">
        <v>4112</v>
      </c>
      <c r="H1689" s="10">
        <v>1097775</v>
      </c>
      <c r="I1689" s="10">
        <v>0</v>
      </c>
      <c r="J1689" s="10">
        <v>0</v>
      </c>
      <c r="L1689" t="s">
        <v>42</v>
      </c>
      <c r="M1689" t="s">
        <v>26</v>
      </c>
      <c r="N1689" t="s">
        <v>72</v>
      </c>
      <c r="O1689" s="2">
        <v>45200</v>
      </c>
      <c r="P1689" s="2">
        <v>45565</v>
      </c>
      <c r="Q1689">
        <v>0</v>
      </c>
      <c r="R1689" t="s">
        <v>4113</v>
      </c>
    </row>
    <row r="1690" spans="1:18" x14ac:dyDescent="0.25">
      <c r="A1690" t="s">
        <v>4107</v>
      </c>
      <c r="B1690" t="s">
        <v>5063</v>
      </c>
      <c r="C1690" t="s">
        <v>38</v>
      </c>
      <c r="D1690" t="s">
        <v>30</v>
      </c>
      <c r="E1690" t="s">
        <v>31</v>
      </c>
      <c r="F1690" t="s">
        <v>47</v>
      </c>
      <c r="G1690" t="s">
        <v>4112</v>
      </c>
      <c r="H1690" s="10">
        <v>100000</v>
      </c>
      <c r="I1690" s="10">
        <v>0</v>
      </c>
      <c r="J1690" s="10">
        <v>0</v>
      </c>
      <c r="L1690" t="s">
        <v>34</v>
      </c>
      <c r="M1690" t="s">
        <v>26</v>
      </c>
      <c r="N1690" t="s">
        <v>72</v>
      </c>
      <c r="O1690" s="2">
        <v>45200</v>
      </c>
      <c r="P1690" s="2">
        <v>45565</v>
      </c>
      <c r="Q1690">
        <v>0</v>
      </c>
      <c r="R1690" t="s">
        <v>4113</v>
      </c>
    </row>
    <row r="1691" spans="1:18" x14ac:dyDescent="0.25">
      <c r="A1691" t="s">
        <v>4107</v>
      </c>
      <c r="B1691" t="s">
        <v>5063</v>
      </c>
      <c r="C1691" t="s">
        <v>38</v>
      </c>
      <c r="D1691" t="s">
        <v>30</v>
      </c>
      <c r="E1691" t="s">
        <v>1070</v>
      </c>
      <c r="F1691" t="s">
        <v>47</v>
      </c>
      <c r="G1691" t="s">
        <v>4112</v>
      </c>
      <c r="H1691" s="10">
        <v>100000</v>
      </c>
      <c r="I1691" s="10">
        <v>0</v>
      </c>
      <c r="J1691" s="10">
        <v>0</v>
      </c>
      <c r="L1691" t="s">
        <v>34</v>
      </c>
      <c r="M1691" t="s">
        <v>26</v>
      </c>
      <c r="N1691" t="s">
        <v>72</v>
      </c>
      <c r="O1691" s="2">
        <v>45200</v>
      </c>
      <c r="P1691" s="2">
        <v>45565</v>
      </c>
      <c r="Q1691">
        <v>0</v>
      </c>
      <c r="R1691" t="s">
        <v>4113</v>
      </c>
    </row>
    <row r="1692" spans="1:18" x14ac:dyDescent="0.25">
      <c r="A1692" t="s">
        <v>5017</v>
      </c>
      <c r="B1692" t="s">
        <v>49</v>
      </c>
      <c r="C1692" t="s">
        <v>50</v>
      </c>
      <c r="D1692" t="s">
        <v>4557</v>
      </c>
      <c r="E1692" t="s">
        <v>4562</v>
      </c>
      <c r="F1692" t="s">
        <v>4559</v>
      </c>
      <c r="G1692" t="s">
        <v>5018</v>
      </c>
      <c r="H1692" s="10">
        <v>431290</v>
      </c>
      <c r="I1692" s="10">
        <v>0</v>
      </c>
      <c r="J1692" s="10">
        <v>0</v>
      </c>
      <c r="L1692" t="s">
        <v>55</v>
      </c>
      <c r="M1692" t="s">
        <v>103</v>
      </c>
      <c r="N1692" t="s">
        <v>5721</v>
      </c>
      <c r="O1692" s="2">
        <v>43922</v>
      </c>
      <c r="P1692" s="2">
        <v>45016</v>
      </c>
      <c r="Q1692">
        <v>3</v>
      </c>
      <c r="R1692" t="s">
        <v>5720</v>
      </c>
    </row>
    <row r="1693" spans="1:18" x14ac:dyDescent="0.25">
      <c r="A1693" t="s">
        <v>4116</v>
      </c>
      <c r="B1693" t="s">
        <v>49</v>
      </c>
      <c r="C1693" t="s">
        <v>50</v>
      </c>
      <c r="D1693" t="s">
        <v>51</v>
      </c>
      <c r="E1693" t="s">
        <v>197</v>
      </c>
      <c r="F1693" t="s">
        <v>32</v>
      </c>
      <c r="G1693" t="s">
        <v>4117</v>
      </c>
      <c r="H1693" s="10">
        <v>948600</v>
      </c>
      <c r="I1693" s="10">
        <v>0</v>
      </c>
      <c r="J1693" s="10">
        <v>0</v>
      </c>
      <c r="L1693" t="s">
        <v>42</v>
      </c>
      <c r="M1693" t="s">
        <v>26</v>
      </c>
      <c r="N1693" t="s">
        <v>4118</v>
      </c>
      <c r="O1693" s="2">
        <v>44652</v>
      </c>
      <c r="P1693" s="2">
        <v>46477</v>
      </c>
      <c r="Q1693">
        <v>0</v>
      </c>
      <c r="R1693" t="s">
        <v>4119</v>
      </c>
    </row>
    <row r="1694" spans="1:18" x14ac:dyDescent="0.25">
      <c r="A1694" t="s">
        <v>5019</v>
      </c>
      <c r="B1694" t="s">
        <v>2610</v>
      </c>
      <c r="C1694" t="s">
        <v>20</v>
      </c>
      <c r="D1694" t="s">
        <v>4557</v>
      </c>
      <c r="E1694" t="s">
        <v>4562</v>
      </c>
      <c r="F1694" t="s">
        <v>4559</v>
      </c>
      <c r="G1694" t="s">
        <v>5020</v>
      </c>
      <c r="H1694" s="10">
        <v>280788</v>
      </c>
      <c r="I1694" s="10">
        <v>25000</v>
      </c>
      <c r="J1694" s="10">
        <v>0</v>
      </c>
      <c r="L1694" t="s">
        <v>55</v>
      </c>
      <c r="M1694" t="s">
        <v>103</v>
      </c>
      <c r="N1694" t="s">
        <v>5564</v>
      </c>
      <c r="O1694" s="2">
        <v>43922</v>
      </c>
      <c r="P1694" s="2">
        <v>45016</v>
      </c>
      <c r="Q1694">
        <v>0</v>
      </c>
      <c r="R1694" t="s">
        <v>5563</v>
      </c>
    </row>
    <row r="1695" spans="1:18" x14ac:dyDescent="0.25">
      <c r="A1695" t="s">
        <v>4120</v>
      </c>
      <c r="B1695" t="s">
        <v>2610</v>
      </c>
      <c r="C1695" t="s">
        <v>20</v>
      </c>
      <c r="D1695" t="s">
        <v>51</v>
      </c>
      <c r="E1695" t="s">
        <v>211</v>
      </c>
      <c r="F1695" t="s">
        <v>32</v>
      </c>
      <c r="G1695" t="s">
        <v>4121</v>
      </c>
      <c r="H1695" s="10">
        <v>100000</v>
      </c>
      <c r="I1695" s="10">
        <v>0</v>
      </c>
      <c r="J1695" s="10">
        <v>0</v>
      </c>
      <c r="L1695" t="s">
        <v>34</v>
      </c>
      <c r="M1695" t="s">
        <v>26</v>
      </c>
      <c r="N1695" t="s">
        <v>135</v>
      </c>
      <c r="O1695" s="2">
        <v>45200</v>
      </c>
      <c r="P1695" s="2">
        <v>47026</v>
      </c>
      <c r="Q1695">
        <v>0</v>
      </c>
      <c r="R1695" t="s">
        <v>4122</v>
      </c>
    </row>
    <row r="1696" spans="1:18" x14ac:dyDescent="0.25">
      <c r="A1696" t="s">
        <v>4120</v>
      </c>
      <c r="B1696" t="s">
        <v>2610</v>
      </c>
      <c r="C1696" t="s">
        <v>20</v>
      </c>
      <c r="D1696" t="s">
        <v>51</v>
      </c>
      <c r="E1696" t="s">
        <v>70</v>
      </c>
      <c r="F1696" t="s">
        <v>32</v>
      </c>
      <c r="G1696" t="s">
        <v>4121</v>
      </c>
      <c r="H1696" s="10">
        <v>925650</v>
      </c>
      <c r="I1696" s="10">
        <v>0</v>
      </c>
      <c r="J1696" s="10">
        <v>0</v>
      </c>
      <c r="L1696" t="s">
        <v>42</v>
      </c>
      <c r="M1696" t="s">
        <v>26</v>
      </c>
      <c r="N1696" t="s">
        <v>135</v>
      </c>
      <c r="O1696" s="2">
        <v>45200</v>
      </c>
      <c r="P1696" s="2">
        <v>47026</v>
      </c>
      <c r="Q1696">
        <v>0</v>
      </c>
      <c r="R1696" t="s">
        <v>4122</v>
      </c>
    </row>
    <row r="1697" spans="1:18" x14ac:dyDescent="0.25">
      <c r="A1697" t="s">
        <v>4123</v>
      </c>
      <c r="B1697" t="s">
        <v>19</v>
      </c>
      <c r="C1697" t="s">
        <v>20</v>
      </c>
      <c r="D1697" t="s">
        <v>21</v>
      </c>
      <c r="E1697" t="s">
        <v>194</v>
      </c>
      <c r="F1697" t="s">
        <v>32</v>
      </c>
      <c r="G1697" t="s">
        <v>4124</v>
      </c>
      <c r="H1697" s="11">
        <v>845046</v>
      </c>
      <c r="I1697" s="11">
        <v>0</v>
      </c>
      <c r="J1697" s="11">
        <v>0</v>
      </c>
      <c r="L1697" t="s">
        <v>42</v>
      </c>
      <c r="M1697" t="s">
        <v>26</v>
      </c>
      <c r="N1697" t="s">
        <v>1565</v>
      </c>
      <c r="O1697" s="2">
        <v>40087</v>
      </c>
      <c r="P1697" s="2">
        <v>41912</v>
      </c>
      <c r="Q1697">
        <v>0</v>
      </c>
      <c r="R1697" t="s">
        <v>4125</v>
      </c>
    </row>
    <row r="1698" spans="1:18" x14ac:dyDescent="0.25">
      <c r="A1698" t="s">
        <v>5117</v>
      </c>
      <c r="B1698" t="s">
        <v>19</v>
      </c>
      <c r="C1698" t="s">
        <v>20</v>
      </c>
      <c r="D1698" t="s">
        <v>21</v>
      </c>
      <c r="E1698" t="s">
        <v>1116</v>
      </c>
      <c r="F1698" t="s">
        <v>32</v>
      </c>
      <c r="G1698" t="s">
        <v>4126</v>
      </c>
      <c r="H1698" s="10">
        <v>100000</v>
      </c>
      <c r="I1698" s="10">
        <v>0</v>
      </c>
      <c r="J1698" s="10">
        <v>0</v>
      </c>
      <c r="L1698" t="s">
        <v>34</v>
      </c>
      <c r="M1698" t="s">
        <v>26</v>
      </c>
      <c r="N1698" t="s">
        <v>1857</v>
      </c>
      <c r="O1698" s="2">
        <v>42186</v>
      </c>
      <c r="P1698" s="2">
        <v>44012</v>
      </c>
      <c r="Q1698">
        <v>0</v>
      </c>
      <c r="R1698" t="s">
        <v>4127</v>
      </c>
    </row>
    <row r="1699" spans="1:18" x14ac:dyDescent="0.25">
      <c r="A1699" t="s">
        <v>5117</v>
      </c>
      <c r="B1699" t="s">
        <v>19</v>
      </c>
      <c r="C1699" t="s">
        <v>20</v>
      </c>
      <c r="D1699" t="s">
        <v>21</v>
      </c>
      <c r="E1699" t="s">
        <v>549</v>
      </c>
      <c r="F1699" t="s">
        <v>32</v>
      </c>
      <c r="G1699" t="s">
        <v>4126</v>
      </c>
      <c r="H1699" s="10">
        <v>738505</v>
      </c>
      <c r="I1699" s="10">
        <v>0</v>
      </c>
      <c r="J1699" s="10">
        <v>0</v>
      </c>
      <c r="L1699" t="s">
        <v>42</v>
      </c>
      <c r="M1699" t="s">
        <v>26</v>
      </c>
      <c r="N1699" t="s">
        <v>1857</v>
      </c>
      <c r="O1699" s="2">
        <v>42186</v>
      </c>
      <c r="P1699" s="2">
        <v>44012</v>
      </c>
      <c r="Q1699">
        <v>0</v>
      </c>
      <c r="R1699" t="s">
        <v>4127</v>
      </c>
    </row>
    <row r="1700" spans="1:18" x14ac:dyDescent="0.25">
      <c r="A1700" t="s">
        <v>4128</v>
      </c>
      <c r="B1700" t="s">
        <v>4464</v>
      </c>
      <c r="C1700" t="s">
        <v>20</v>
      </c>
      <c r="D1700" t="s">
        <v>21</v>
      </c>
      <c r="E1700" t="s">
        <v>255</v>
      </c>
      <c r="F1700" t="s">
        <v>109</v>
      </c>
      <c r="G1700" t="s">
        <v>5118</v>
      </c>
      <c r="H1700" s="11">
        <v>830540</v>
      </c>
      <c r="I1700" s="11">
        <v>0</v>
      </c>
      <c r="J1700" s="11">
        <v>0</v>
      </c>
      <c r="L1700" t="s">
        <v>42</v>
      </c>
      <c r="M1700" t="s">
        <v>103</v>
      </c>
      <c r="N1700" t="s">
        <v>5505</v>
      </c>
      <c r="O1700" s="2">
        <v>39904</v>
      </c>
      <c r="P1700" s="2">
        <v>41729</v>
      </c>
      <c r="Q1700">
        <v>11</v>
      </c>
      <c r="R1700" t="s">
        <v>5506</v>
      </c>
    </row>
    <row r="1701" spans="1:18" x14ac:dyDescent="0.25">
      <c r="A1701" t="s">
        <v>4128</v>
      </c>
      <c r="B1701" t="s">
        <v>4464</v>
      </c>
      <c r="C1701" t="s">
        <v>20</v>
      </c>
      <c r="D1701" t="s">
        <v>21</v>
      </c>
      <c r="E1701" t="s">
        <v>22</v>
      </c>
      <c r="F1701" t="s">
        <v>109</v>
      </c>
      <c r="G1701" t="s">
        <v>4132</v>
      </c>
      <c r="H1701" s="10">
        <v>562215</v>
      </c>
      <c r="I1701" s="10">
        <v>0</v>
      </c>
      <c r="J1701" s="10">
        <v>0</v>
      </c>
      <c r="L1701" t="s">
        <v>42</v>
      </c>
      <c r="M1701" t="s">
        <v>103</v>
      </c>
      <c r="N1701" t="s">
        <v>1555</v>
      </c>
      <c r="O1701" s="2">
        <v>41365</v>
      </c>
      <c r="P1701" s="2">
        <v>43190</v>
      </c>
      <c r="Q1701">
        <v>0</v>
      </c>
      <c r="R1701" t="s">
        <v>4133</v>
      </c>
    </row>
    <row r="1702" spans="1:18" x14ac:dyDescent="0.25">
      <c r="A1702" t="s">
        <v>4128</v>
      </c>
      <c r="B1702" t="s">
        <v>4464</v>
      </c>
      <c r="C1702" t="s">
        <v>20</v>
      </c>
      <c r="D1702" t="s">
        <v>21</v>
      </c>
      <c r="E1702" t="s">
        <v>572</v>
      </c>
      <c r="F1702" t="s">
        <v>109</v>
      </c>
      <c r="G1702" t="s">
        <v>4134</v>
      </c>
      <c r="H1702" s="10">
        <v>820920</v>
      </c>
      <c r="I1702" s="10">
        <v>0</v>
      </c>
      <c r="J1702" s="10">
        <v>0</v>
      </c>
      <c r="L1702" t="s">
        <v>42</v>
      </c>
      <c r="M1702" t="s">
        <v>103</v>
      </c>
      <c r="N1702" t="s">
        <v>764</v>
      </c>
      <c r="O1702" s="2">
        <v>41730</v>
      </c>
      <c r="P1702" s="2">
        <v>43555</v>
      </c>
      <c r="Q1702">
        <v>0</v>
      </c>
      <c r="R1702" t="s">
        <v>4135</v>
      </c>
    </row>
    <row r="1703" spans="1:18" x14ac:dyDescent="0.25">
      <c r="A1703" t="s">
        <v>4128</v>
      </c>
      <c r="B1703" t="s">
        <v>4464</v>
      </c>
      <c r="C1703" t="s">
        <v>20</v>
      </c>
      <c r="D1703" t="s">
        <v>51</v>
      </c>
      <c r="E1703" t="s">
        <v>186</v>
      </c>
      <c r="F1703" t="s">
        <v>109</v>
      </c>
      <c r="G1703" t="s">
        <v>4134</v>
      </c>
      <c r="H1703" s="10">
        <v>925650</v>
      </c>
      <c r="I1703" s="10">
        <v>0</v>
      </c>
      <c r="J1703" s="10">
        <v>0</v>
      </c>
      <c r="L1703" t="s">
        <v>42</v>
      </c>
      <c r="M1703" t="s">
        <v>103</v>
      </c>
      <c r="N1703" t="s">
        <v>764</v>
      </c>
      <c r="O1703" s="2">
        <v>41730</v>
      </c>
      <c r="P1703" s="2">
        <v>43555</v>
      </c>
      <c r="Q1703">
        <v>0</v>
      </c>
      <c r="R1703" t="s">
        <v>4135</v>
      </c>
    </row>
    <row r="1704" spans="1:18" x14ac:dyDescent="0.25">
      <c r="A1704" t="s">
        <v>4128</v>
      </c>
      <c r="B1704" t="s">
        <v>4464</v>
      </c>
      <c r="C1704" t="s">
        <v>20</v>
      </c>
      <c r="D1704" t="s">
        <v>51</v>
      </c>
      <c r="E1704" t="s">
        <v>406</v>
      </c>
      <c r="F1704" t="s">
        <v>109</v>
      </c>
      <c r="G1704" t="s">
        <v>4129</v>
      </c>
      <c r="H1704" s="10">
        <v>791775</v>
      </c>
      <c r="I1704" s="10">
        <v>0</v>
      </c>
      <c r="J1704" s="10">
        <v>0</v>
      </c>
      <c r="L1704" t="s">
        <v>42</v>
      </c>
      <c r="M1704" t="s">
        <v>103</v>
      </c>
      <c r="N1704" t="s">
        <v>4130</v>
      </c>
      <c r="O1704" s="2">
        <v>43191</v>
      </c>
      <c r="P1704" s="2">
        <v>45016</v>
      </c>
      <c r="Q1704">
        <v>2</v>
      </c>
      <c r="R1704" t="s">
        <v>4131</v>
      </c>
    </row>
    <row r="1705" spans="1:18" x14ac:dyDescent="0.25">
      <c r="A1705" t="s">
        <v>4550</v>
      </c>
      <c r="B1705" t="s">
        <v>19</v>
      </c>
      <c r="C1705" t="s">
        <v>20</v>
      </c>
      <c r="D1705" t="s">
        <v>80</v>
      </c>
      <c r="E1705" t="s">
        <v>81</v>
      </c>
      <c r="F1705" t="s">
        <v>82</v>
      </c>
      <c r="G1705" t="s">
        <v>4136</v>
      </c>
      <c r="H1705" s="10">
        <v>197304</v>
      </c>
      <c r="I1705" s="10">
        <v>0</v>
      </c>
      <c r="J1705" s="10">
        <v>0</v>
      </c>
      <c r="L1705" t="s">
        <v>84</v>
      </c>
      <c r="M1705" t="s">
        <v>103</v>
      </c>
      <c r="N1705" t="s">
        <v>1859</v>
      </c>
      <c r="O1705" s="2">
        <v>42979</v>
      </c>
      <c r="P1705" s="2">
        <v>43708</v>
      </c>
      <c r="Q1705">
        <v>1</v>
      </c>
      <c r="R1705" t="s">
        <v>4137</v>
      </c>
    </row>
    <row r="1706" spans="1:18" x14ac:dyDescent="0.25">
      <c r="A1706" t="s">
        <v>4138</v>
      </c>
      <c r="B1706" t="s">
        <v>114</v>
      </c>
      <c r="C1706" t="s">
        <v>20</v>
      </c>
      <c r="D1706" t="s">
        <v>21</v>
      </c>
      <c r="E1706" t="s">
        <v>60</v>
      </c>
      <c r="F1706" t="s">
        <v>53</v>
      </c>
      <c r="G1706" t="s">
        <v>4139</v>
      </c>
      <c r="H1706" s="10">
        <v>512205</v>
      </c>
      <c r="I1706" s="10">
        <v>0</v>
      </c>
      <c r="J1706" s="10">
        <v>0</v>
      </c>
      <c r="L1706" t="s">
        <v>42</v>
      </c>
      <c r="M1706" t="s">
        <v>26</v>
      </c>
      <c r="N1706" t="s">
        <v>4140</v>
      </c>
      <c r="O1706" s="2">
        <v>41821</v>
      </c>
      <c r="P1706" s="2">
        <v>43646</v>
      </c>
      <c r="Q1706">
        <v>3</v>
      </c>
      <c r="R1706" t="s">
        <v>4141</v>
      </c>
    </row>
    <row r="1707" spans="1:18" x14ac:dyDescent="0.25">
      <c r="A1707" t="s">
        <v>4142</v>
      </c>
      <c r="B1707" t="s">
        <v>162</v>
      </c>
      <c r="C1707" t="s">
        <v>149</v>
      </c>
      <c r="D1707" t="s">
        <v>21</v>
      </c>
      <c r="E1707" t="s">
        <v>194</v>
      </c>
      <c r="F1707" t="s">
        <v>109</v>
      </c>
      <c r="G1707" t="s">
        <v>4143</v>
      </c>
      <c r="H1707" s="11">
        <v>321076</v>
      </c>
      <c r="I1707" s="11">
        <v>0</v>
      </c>
      <c r="J1707" s="11">
        <v>0</v>
      </c>
      <c r="L1707" t="s">
        <v>55</v>
      </c>
      <c r="M1707" t="s">
        <v>26</v>
      </c>
      <c r="N1707" t="s">
        <v>4144</v>
      </c>
      <c r="O1707" s="2">
        <v>40087</v>
      </c>
      <c r="P1707" s="2">
        <v>41182</v>
      </c>
      <c r="Q1707">
        <v>0</v>
      </c>
      <c r="R1707" t="s">
        <v>4145</v>
      </c>
    </row>
    <row r="1708" spans="1:18" x14ac:dyDescent="0.25">
      <c r="A1708" t="s">
        <v>4146</v>
      </c>
      <c r="B1708" t="s">
        <v>5069</v>
      </c>
      <c r="C1708" t="s">
        <v>38</v>
      </c>
      <c r="D1708" t="s">
        <v>51</v>
      </c>
      <c r="E1708" t="s">
        <v>406</v>
      </c>
      <c r="F1708" t="s">
        <v>32</v>
      </c>
      <c r="G1708" t="s">
        <v>4147</v>
      </c>
      <c r="H1708" s="10">
        <v>791775</v>
      </c>
      <c r="I1708" s="10">
        <v>0</v>
      </c>
      <c r="J1708" s="10">
        <v>0</v>
      </c>
      <c r="L1708" t="s">
        <v>42</v>
      </c>
      <c r="M1708" t="s">
        <v>26</v>
      </c>
      <c r="N1708" t="s">
        <v>4148</v>
      </c>
      <c r="O1708" s="2">
        <v>43191</v>
      </c>
      <c r="P1708" s="2">
        <v>45016</v>
      </c>
      <c r="Q1708">
        <v>0</v>
      </c>
      <c r="R1708" t="s">
        <v>4149</v>
      </c>
    </row>
    <row r="1709" spans="1:18" x14ac:dyDescent="0.25">
      <c r="A1709" t="s">
        <v>5475</v>
      </c>
      <c r="B1709" t="s">
        <v>49</v>
      </c>
      <c r="C1709" t="s">
        <v>50</v>
      </c>
      <c r="D1709" t="s">
        <v>51</v>
      </c>
      <c r="E1709" t="s">
        <v>406</v>
      </c>
      <c r="F1709" t="s">
        <v>23</v>
      </c>
      <c r="G1709" t="s">
        <v>4152</v>
      </c>
      <c r="H1709" s="10">
        <v>516375</v>
      </c>
      <c r="I1709" s="10">
        <v>0</v>
      </c>
      <c r="J1709" s="10">
        <v>0</v>
      </c>
      <c r="L1709" t="s">
        <v>55</v>
      </c>
      <c r="M1709" t="s">
        <v>26</v>
      </c>
      <c r="N1709" t="s">
        <v>72</v>
      </c>
      <c r="O1709" s="2">
        <v>43191</v>
      </c>
      <c r="P1709" s="2">
        <v>44286</v>
      </c>
      <c r="Q1709">
        <v>0</v>
      </c>
      <c r="R1709" t="s">
        <v>4153</v>
      </c>
    </row>
    <row r="1710" spans="1:18" x14ac:dyDescent="0.25">
      <c r="A1710" t="s">
        <v>5476</v>
      </c>
      <c r="B1710" t="s">
        <v>49</v>
      </c>
      <c r="C1710" t="s">
        <v>50</v>
      </c>
      <c r="D1710" t="s">
        <v>51</v>
      </c>
      <c r="E1710" t="s">
        <v>186</v>
      </c>
      <c r="F1710" t="s">
        <v>23</v>
      </c>
      <c r="G1710" t="s">
        <v>4150</v>
      </c>
      <c r="H1710" s="10">
        <v>734400</v>
      </c>
      <c r="I1710" s="10">
        <v>0</v>
      </c>
      <c r="J1710" s="10">
        <v>0</v>
      </c>
      <c r="L1710" t="s">
        <v>55</v>
      </c>
      <c r="M1710" t="s">
        <v>26</v>
      </c>
      <c r="N1710" t="s">
        <v>72</v>
      </c>
      <c r="O1710" s="2">
        <v>44470</v>
      </c>
      <c r="P1710" s="2">
        <v>45565</v>
      </c>
      <c r="Q1710">
        <v>0</v>
      </c>
      <c r="R1710" t="s">
        <v>4151</v>
      </c>
    </row>
    <row r="1711" spans="1:18" x14ac:dyDescent="0.25">
      <c r="A1711" t="s">
        <v>5474</v>
      </c>
      <c r="B1711" t="s">
        <v>49</v>
      </c>
      <c r="C1711" t="s">
        <v>50</v>
      </c>
      <c r="D1711" t="s">
        <v>51</v>
      </c>
      <c r="E1711" t="s">
        <v>197</v>
      </c>
      <c r="F1711" t="s">
        <v>23</v>
      </c>
      <c r="G1711" t="s">
        <v>4154</v>
      </c>
      <c r="H1711" s="10">
        <v>841500</v>
      </c>
      <c r="I1711" s="10">
        <v>0</v>
      </c>
      <c r="J1711" s="10">
        <v>0</v>
      </c>
      <c r="L1711" t="s">
        <v>25</v>
      </c>
      <c r="M1711" t="s">
        <v>26</v>
      </c>
      <c r="N1711" t="s">
        <v>72</v>
      </c>
      <c r="O1711" s="2">
        <v>44652</v>
      </c>
      <c r="P1711" s="2">
        <v>46112</v>
      </c>
      <c r="Q1711">
        <v>1</v>
      </c>
      <c r="R1711" t="s">
        <v>4155</v>
      </c>
    </row>
    <row r="1712" spans="1:18" x14ac:dyDescent="0.25">
      <c r="A1712" t="s">
        <v>4156</v>
      </c>
      <c r="B1712" t="s">
        <v>98</v>
      </c>
      <c r="C1712" t="s">
        <v>20</v>
      </c>
      <c r="D1712" t="s">
        <v>51</v>
      </c>
      <c r="E1712" t="s">
        <v>259</v>
      </c>
      <c r="F1712" t="s">
        <v>53</v>
      </c>
      <c r="G1712" t="s">
        <v>4157</v>
      </c>
      <c r="H1712" s="10">
        <v>692326</v>
      </c>
      <c r="I1712" s="10">
        <v>0</v>
      </c>
      <c r="J1712" s="10">
        <v>0</v>
      </c>
      <c r="L1712" t="s">
        <v>42</v>
      </c>
      <c r="M1712" t="s">
        <v>26</v>
      </c>
      <c r="N1712" t="s">
        <v>600</v>
      </c>
      <c r="O1712" s="2">
        <v>44470</v>
      </c>
      <c r="P1712" s="2">
        <v>46295</v>
      </c>
      <c r="Q1712">
        <v>0</v>
      </c>
      <c r="R1712" t="s">
        <v>4158</v>
      </c>
    </row>
    <row r="1713" spans="1:18" x14ac:dyDescent="0.25">
      <c r="A1713" t="s">
        <v>4159</v>
      </c>
      <c r="B1713" t="s">
        <v>1105</v>
      </c>
      <c r="C1713" t="s">
        <v>138</v>
      </c>
      <c r="D1713" t="s">
        <v>1027</v>
      </c>
      <c r="E1713" t="s">
        <v>1028</v>
      </c>
      <c r="F1713" t="s">
        <v>1029</v>
      </c>
      <c r="G1713" t="s">
        <v>4160</v>
      </c>
      <c r="H1713" s="10">
        <v>89482</v>
      </c>
      <c r="I1713" s="10">
        <v>0</v>
      </c>
      <c r="J1713" s="10">
        <v>0</v>
      </c>
      <c r="L1713" t="s">
        <v>34</v>
      </c>
      <c r="M1713" t="s">
        <v>94</v>
      </c>
      <c r="N1713" t="s">
        <v>4161</v>
      </c>
      <c r="O1713" s="2">
        <v>40087</v>
      </c>
      <c r="P1713" s="2">
        <v>40451</v>
      </c>
      <c r="Q1713">
        <v>0</v>
      </c>
      <c r="R1713" t="s">
        <v>4162</v>
      </c>
    </row>
    <row r="1714" spans="1:18" x14ac:dyDescent="0.25">
      <c r="A1714" t="s">
        <v>4163</v>
      </c>
      <c r="B1714" t="s">
        <v>1105</v>
      </c>
      <c r="C1714" t="s">
        <v>138</v>
      </c>
      <c r="D1714" t="s">
        <v>21</v>
      </c>
      <c r="E1714" t="s">
        <v>255</v>
      </c>
      <c r="F1714" t="s">
        <v>32</v>
      </c>
      <c r="G1714" t="s">
        <v>4164</v>
      </c>
      <c r="H1714" s="11">
        <v>492133</v>
      </c>
      <c r="I1714" s="11">
        <v>0</v>
      </c>
      <c r="J1714" s="11">
        <v>0</v>
      </c>
      <c r="L1714" t="s">
        <v>25</v>
      </c>
      <c r="M1714" t="s">
        <v>26</v>
      </c>
      <c r="N1714" t="s">
        <v>4165</v>
      </c>
      <c r="O1714" s="2">
        <v>39904</v>
      </c>
      <c r="P1714" s="2">
        <v>41364</v>
      </c>
      <c r="Q1714">
        <v>1</v>
      </c>
      <c r="R1714" t="s">
        <v>4166</v>
      </c>
    </row>
    <row r="1715" spans="1:18" x14ac:dyDescent="0.25">
      <c r="A1715" t="s">
        <v>5162</v>
      </c>
      <c r="B1715" t="s">
        <v>98</v>
      </c>
      <c r="C1715" t="s">
        <v>20</v>
      </c>
      <c r="D1715" t="s">
        <v>90</v>
      </c>
      <c r="E1715" t="s">
        <v>91</v>
      </c>
      <c r="F1715" t="s">
        <v>92</v>
      </c>
      <c r="G1715" t="s">
        <v>4167</v>
      </c>
      <c r="H1715" s="10">
        <v>1920985</v>
      </c>
      <c r="I1715" s="10">
        <v>0</v>
      </c>
      <c r="J1715" s="10">
        <v>0</v>
      </c>
      <c r="L1715" t="s">
        <v>34</v>
      </c>
      <c r="M1715" t="s">
        <v>94</v>
      </c>
      <c r="N1715" t="s">
        <v>4168</v>
      </c>
      <c r="O1715" s="2">
        <v>43983</v>
      </c>
      <c r="P1715" s="2">
        <v>44347</v>
      </c>
      <c r="Q1715">
        <v>2</v>
      </c>
      <c r="R1715" t="s">
        <v>4169</v>
      </c>
    </row>
    <row r="1716" spans="1:18" x14ac:dyDescent="0.25">
      <c r="A1716" t="s">
        <v>5021</v>
      </c>
      <c r="B1716" t="s">
        <v>98</v>
      </c>
      <c r="C1716" t="s">
        <v>20</v>
      </c>
      <c r="D1716" t="s">
        <v>4557</v>
      </c>
      <c r="E1716" t="s">
        <v>4602</v>
      </c>
      <c r="F1716" t="s">
        <v>4559</v>
      </c>
      <c r="G1716" t="s">
        <v>5022</v>
      </c>
      <c r="H1716" s="10">
        <v>486740</v>
      </c>
      <c r="I1716" s="10">
        <v>0</v>
      </c>
      <c r="J1716" s="10">
        <v>0</v>
      </c>
      <c r="L1716" t="s">
        <v>55</v>
      </c>
      <c r="M1716" t="s">
        <v>94</v>
      </c>
      <c r="N1716" t="s">
        <v>3267</v>
      </c>
      <c r="O1716" s="2">
        <v>41365</v>
      </c>
      <c r="P1716" s="2">
        <v>42460</v>
      </c>
      <c r="Q1716">
        <v>3</v>
      </c>
      <c r="R1716" t="s">
        <v>5760</v>
      </c>
    </row>
    <row r="1717" spans="1:18" x14ac:dyDescent="0.25">
      <c r="A1717" t="s">
        <v>4170</v>
      </c>
      <c r="B1717" t="s">
        <v>1890</v>
      </c>
      <c r="C1717" t="s">
        <v>20</v>
      </c>
      <c r="D1717" t="s">
        <v>21</v>
      </c>
      <c r="E1717" t="s">
        <v>287</v>
      </c>
      <c r="F1717" t="s">
        <v>109</v>
      </c>
      <c r="G1717" t="s">
        <v>4171</v>
      </c>
      <c r="H1717" s="10">
        <v>379765</v>
      </c>
      <c r="I1717" s="10">
        <v>0</v>
      </c>
      <c r="J1717" s="10">
        <v>0</v>
      </c>
      <c r="L1717" t="s">
        <v>55</v>
      </c>
      <c r="M1717" t="s">
        <v>103</v>
      </c>
      <c r="N1717" t="s">
        <v>4172</v>
      </c>
      <c r="O1717" s="2">
        <v>40634</v>
      </c>
      <c r="P1717" s="2">
        <v>41729</v>
      </c>
      <c r="Q1717">
        <v>5</v>
      </c>
      <c r="R1717" t="s">
        <v>4173</v>
      </c>
    </row>
    <row r="1718" spans="1:18" x14ac:dyDescent="0.25">
      <c r="A1718" t="s">
        <v>5023</v>
      </c>
      <c r="B1718" t="s">
        <v>1890</v>
      </c>
      <c r="C1718" t="s">
        <v>20</v>
      </c>
      <c r="D1718" t="s">
        <v>4557</v>
      </c>
      <c r="E1718" t="s">
        <v>4570</v>
      </c>
      <c r="F1718" t="s">
        <v>4559</v>
      </c>
      <c r="G1718" t="s">
        <v>5024</v>
      </c>
      <c r="H1718" s="10">
        <v>253500</v>
      </c>
      <c r="I1718" s="10">
        <v>0</v>
      </c>
      <c r="J1718" s="10">
        <v>0</v>
      </c>
      <c r="L1718" t="s">
        <v>55</v>
      </c>
      <c r="M1718" t="s">
        <v>26</v>
      </c>
      <c r="N1718" t="s">
        <v>5724</v>
      </c>
      <c r="O1718" s="2">
        <v>42826</v>
      </c>
      <c r="P1718" s="2">
        <v>43921</v>
      </c>
      <c r="Q1718">
        <v>2</v>
      </c>
      <c r="R1718" t="s">
        <v>5723</v>
      </c>
    </row>
    <row r="1719" spans="1:18" x14ac:dyDescent="0.25">
      <c r="A1719" t="s">
        <v>4174</v>
      </c>
      <c r="B1719" t="s">
        <v>721</v>
      </c>
      <c r="C1719" t="s">
        <v>20</v>
      </c>
      <c r="D1719" t="s">
        <v>51</v>
      </c>
      <c r="E1719" t="s">
        <v>167</v>
      </c>
      <c r="F1719" t="s">
        <v>23</v>
      </c>
      <c r="G1719" t="s">
        <v>4175</v>
      </c>
      <c r="H1719" s="10">
        <v>956250</v>
      </c>
      <c r="I1719" s="10">
        <v>0</v>
      </c>
      <c r="J1719" s="10">
        <v>0</v>
      </c>
      <c r="L1719" t="s">
        <v>42</v>
      </c>
      <c r="M1719" t="s">
        <v>26</v>
      </c>
      <c r="N1719" t="s">
        <v>72</v>
      </c>
      <c r="O1719" s="2">
        <v>45017</v>
      </c>
      <c r="P1719" s="2">
        <v>46843</v>
      </c>
      <c r="Q1719">
        <v>0</v>
      </c>
      <c r="R1719" t="s">
        <v>4176</v>
      </c>
    </row>
    <row r="1720" spans="1:18" x14ac:dyDescent="0.25">
      <c r="A1720" t="s">
        <v>4177</v>
      </c>
      <c r="B1720" t="s">
        <v>19</v>
      </c>
      <c r="C1720" t="s">
        <v>20</v>
      </c>
      <c r="D1720" t="s">
        <v>51</v>
      </c>
      <c r="E1720" t="s">
        <v>406</v>
      </c>
      <c r="F1720" t="s">
        <v>23</v>
      </c>
      <c r="G1720" t="s">
        <v>4178</v>
      </c>
      <c r="H1720" s="10">
        <v>688500</v>
      </c>
      <c r="I1720" s="10">
        <v>0</v>
      </c>
      <c r="J1720" s="10">
        <v>0</v>
      </c>
      <c r="L1720" t="s">
        <v>42</v>
      </c>
      <c r="M1720" t="s">
        <v>26</v>
      </c>
      <c r="N1720" t="s">
        <v>4179</v>
      </c>
      <c r="O1720" s="2">
        <v>43191</v>
      </c>
      <c r="P1720" s="2">
        <v>45016</v>
      </c>
      <c r="Q1720">
        <v>1</v>
      </c>
      <c r="R1720" t="s">
        <v>4180</v>
      </c>
    </row>
    <row r="1721" spans="1:18" x14ac:dyDescent="0.25">
      <c r="A1721" t="s">
        <v>6250</v>
      </c>
      <c r="B1721" t="s">
        <v>721</v>
      </c>
      <c r="C1721" t="s">
        <v>20</v>
      </c>
      <c r="D1721" t="s">
        <v>5036</v>
      </c>
      <c r="E1721" t="s">
        <v>5037</v>
      </c>
      <c r="F1721" t="s">
        <v>5038</v>
      </c>
      <c r="G1721" t="s">
        <v>5041</v>
      </c>
      <c r="H1721" s="12">
        <v>600000</v>
      </c>
      <c r="I1721" s="12">
        <v>0</v>
      </c>
      <c r="J1721" s="10">
        <v>0</v>
      </c>
      <c r="L1721" t="s">
        <v>5039</v>
      </c>
      <c r="M1721" t="s">
        <v>6251</v>
      </c>
      <c r="N1721" t="s">
        <v>6252</v>
      </c>
      <c r="O1721" s="2">
        <v>45444</v>
      </c>
      <c r="P1721" s="2">
        <v>46477</v>
      </c>
      <c r="Q1721">
        <v>0</v>
      </c>
      <c r="R1721" t="s">
        <v>6253</v>
      </c>
    </row>
    <row r="1722" spans="1:18" x14ac:dyDescent="0.25">
      <c r="A1722" t="s">
        <v>5025</v>
      </c>
      <c r="B1722" t="s">
        <v>114</v>
      </c>
      <c r="C1722" t="s">
        <v>20</v>
      </c>
      <c r="D1722" t="s">
        <v>4557</v>
      </c>
      <c r="E1722" t="s">
        <v>4611</v>
      </c>
      <c r="F1722" t="s">
        <v>4559</v>
      </c>
      <c r="G1722" t="s">
        <v>5026</v>
      </c>
      <c r="H1722" s="10">
        <v>165000</v>
      </c>
      <c r="I1722" s="10">
        <v>0</v>
      </c>
      <c r="J1722" s="10">
        <v>0</v>
      </c>
      <c r="L1722" t="s">
        <v>55</v>
      </c>
      <c r="M1722" t="s">
        <v>26</v>
      </c>
      <c r="N1722" t="s">
        <v>5620</v>
      </c>
      <c r="O1722" s="2">
        <v>42461</v>
      </c>
      <c r="P1722" s="2">
        <v>43555</v>
      </c>
      <c r="Q1722">
        <v>0</v>
      </c>
      <c r="R1722" t="s">
        <v>5619</v>
      </c>
    </row>
    <row r="1723" spans="1:18" x14ac:dyDescent="0.25">
      <c r="A1723" t="s">
        <v>5477</v>
      </c>
      <c r="B1723" t="s">
        <v>360</v>
      </c>
      <c r="C1723" t="s">
        <v>20</v>
      </c>
      <c r="D1723" t="s">
        <v>51</v>
      </c>
      <c r="E1723" t="s">
        <v>70</v>
      </c>
      <c r="F1723" t="s">
        <v>53</v>
      </c>
      <c r="G1723" t="s">
        <v>4181</v>
      </c>
      <c r="H1723" s="10">
        <v>1086300</v>
      </c>
      <c r="I1723" s="10">
        <v>0</v>
      </c>
      <c r="J1723" s="10">
        <v>0</v>
      </c>
      <c r="L1723" t="s">
        <v>42</v>
      </c>
      <c r="M1723" t="s">
        <v>103</v>
      </c>
      <c r="N1723" t="s">
        <v>4182</v>
      </c>
      <c r="O1723" s="2">
        <v>45200</v>
      </c>
      <c r="P1723" s="2">
        <v>47026</v>
      </c>
      <c r="Q1723">
        <v>0</v>
      </c>
      <c r="R1723" t="s">
        <v>4183</v>
      </c>
    </row>
    <row r="1724" spans="1:18" x14ac:dyDescent="0.25">
      <c r="A1724" t="s">
        <v>4184</v>
      </c>
      <c r="B1724" t="s">
        <v>114</v>
      </c>
      <c r="C1724" t="s">
        <v>20</v>
      </c>
      <c r="D1724" t="s">
        <v>21</v>
      </c>
      <c r="E1724" t="s">
        <v>377</v>
      </c>
      <c r="F1724" t="s">
        <v>109</v>
      </c>
      <c r="G1724" t="s">
        <v>4185</v>
      </c>
      <c r="H1724" s="10">
        <v>592876</v>
      </c>
      <c r="I1724" s="10">
        <v>0</v>
      </c>
      <c r="J1724" s="10">
        <v>0</v>
      </c>
      <c r="L1724" t="s">
        <v>42</v>
      </c>
      <c r="M1724" t="s">
        <v>94</v>
      </c>
      <c r="N1724" t="s">
        <v>4186</v>
      </c>
      <c r="O1724" s="2">
        <v>41183</v>
      </c>
      <c r="P1724" s="2">
        <v>43008</v>
      </c>
      <c r="Q1724">
        <v>0</v>
      </c>
      <c r="R1724" t="s">
        <v>4187</v>
      </c>
    </row>
    <row r="1725" spans="1:18" x14ac:dyDescent="0.25">
      <c r="A1725" t="s">
        <v>4188</v>
      </c>
      <c r="B1725" t="s">
        <v>148</v>
      </c>
      <c r="C1725" t="s">
        <v>149</v>
      </c>
      <c r="D1725" t="s">
        <v>51</v>
      </c>
      <c r="E1725" t="s">
        <v>406</v>
      </c>
      <c r="F1725" t="s">
        <v>23</v>
      </c>
      <c r="G1725" t="s">
        <v>4189</v>
      </c>
      <c r="H1725" s="10">
        <v>1243125</v>
      </c>
      <c r="I1725" s="10">
        <v>0</v>
      </c>
      <c r="J1725" s="10">
        <v>0</v>
      </c>
      <c r="L1725" t="s">
        <v>42</v>
      </c>
      <c r="M1725" t="s">
        <v>26</v>
      </c>
      <c r="N1725" t="s">
        <v>4190</v>
      </c>
      <c r="O1725" s="2">
        <v>43191</v>
      </c>
      <c r="P1725" s="2">
        <v>43646</v>
      </c>
      <c r="Q1725">
        <v>0</v>
      </c>
      <c r="R1725" t="s">
        <v>4191</v>
      </c>
    </row>
    <row r="1726" spans="1:18" x14ac:dyDescent="0.25">
      <c r="A1726" t="s">
        <v>4192</v>
      </c>
      <c r="B1726" t="s">
        <v>237</v>
      </c>
      <c r="C1726" t="s">
        <v>20</v>
      </c>
      <c r="D1726" t="s">
        <v>21</v>
      </c>
      <c r="E1726" t="s">
        <v>74</v>
      </c>
      <c r="F1726" t="s">
        <v>47</v>
      </c>
      <c r="G1726" t="s">
        <v>4193</v>
      </c>
      <c r="H1726" s="10">
        <v>493169</v>
      </c>
      <c r="I1726" s="10">
        <v>0</v>
      </c>
      <c r="J1726" s="10">
        <v>0</v>
      </c>
      <c r="L1726" t="s">
        <v>55</v>
      </c>
      <c r="M1726" t="s">
        <v>26</v>
      </c>
      <c r="N1726" t="s">
        <v>3807</v>
      </c>
      <c r="O1726" s="2">
        <v>41000</v>
      </c>
      <c r="P1726" s="2">
        <v>42094</v>
      </c>
      <c r="Q1726">
        <v>1</v>
      </c>
      <c r="R1726" t="s">
        <v>4194</v>
      </c>
    </row>
    <row r="1727" spans="1:18" x14ac:dyDescent="0.25">
      <c r="A1727" t="s">
        <v>5027</v>
      </c>
      <c r="B1727" t="s">
        <v>114</v>
      </c>
      <c r="C1727" t="s">
        <v>20</v>
      </c>
      <c r="D1727" t="s">
        <v>4557</v>
      </c>
      <c r="E1727" t="s">
        <v>4597</v>
      </c>
      <c r="F1727" t="s">
        <v>4559</v>
      </c>
      <c r="G1727" t="s">
        <v>5028</v>
      </c>
      <c r="H1727" s="10">
        <v>299046</v>
      </c>
      <c r="I1727" s="10">
        <v>0</v>
      </c>
      <c r="J1727" s="10">
        <v>0</v>
      </c>
      <c r="L1727" t="s">
        <v>55</v>
      </c>
      <c r="M1727" t="s">
        <v>26</v>
      </c>
      <c r="N1727" t="s">
        <v>5925</v>
      </c>
      <c r="O1727" s="2">
        <v>42095</v>
      </c>
      <c r="P1727" s="2">
        <v>43190</v>
      </c>
      <c r="Q1727">
        <v>0</v>
      </c>
      <c r="R1727" t="s">
        <v>5924</v>
      </c>
    </row>
    <row r="1728" spans="1:18" x14ac:dyDescent="0.25">
      <c r="A1728" t="s">
        <v>6254</v>
      </c>
      <c r="B1728" t="s">
        <v>114</v>
      </c>
      <c r="C1728" t="s">
        <v>20</v>
      </c>
      <c r="D1728" t="s">
        <v>4557</v>
      </c>
      <c r="E1728" t="s">
        <v>4581</v>
      </c>
      <c r="F1728" t="s">
        <v>4559</v>
      </c>
      <c r="G1728" t="s">
        <v>5031</v>
      </c>
      <c r="H1728" s="12">
        <v>491750</v>
      </c>
      <c r="I1728" s="12">
        <v>0</v>
      </c>
      <c r="J1728" s="10">
        <v>0</v>
      </c>
      <c r="L1728" t="s">
        <v>55</v>
      </c>
      <c r="M1728" t="s">
        <v>85</v>
      </c>
      <c r="N1728" t="s">
        <v>6255</v>
      </c>
      <c r="O1728" s="2">
        <v>43556</v>
      </c>
      <c r="P1728" s="2">
        <v>44651</v>
      </c>
      <c r="Q1728">
        <v>3</v>
      </c>
      <c r="R1728" t="s">
        <v>6256</v>
      </c>
    </row>
    <row r="1729" spans="1:18" x14ac:dyDescent="0.25">
      <c r="A1729" t="s">
        <v>5029</v>
      </c>
      <c r="B1729" t="s">
        <v>114</v>
      </c>
      <c r="C1729" t="s">
        <v>20</v>
      </c>
      <c r="D1729" t="s">
        <v>4557</v>
      </c>
      <c r="E1729" t="s">
        <v>4597</v>
      </c>
      <c r="F1729" t="s">
        <v>4559</v>
      </c>
      <c r="G1729" t="s">
        <v>5030</v>
      </c>
      <c r="H1729" s="10">
        <v>388551</v>
      </c>
      <c r="I1729" s="10">
        <v>0</v>
      </c>
      <c r="J1729" s="10">
        <v>0</v>
      </c>
      <c r="L1729" t="s">
        <v>55</v>
      </c>
      <c r="M1729" t="s">
        <v>85</v>
      </c>
      <c r="N1729" t="s">
        <v>6047</v>
      </c>
      <c r="O1729" s="2">
        <v>42095</v>
      </c>
      <c r="P1729" s="2">
        <v>43190</v>
      </c>
      <c r="Q1729">
        <v>3</v>
      </c>
      <c r="R1729" t="s">
        <v>6046</v>
      </c>
    </row>
    <row r="1730" spans="1:18" x14ac:dyDescent="0.25">
      <c r="A1730" t="s">
        <v>4195</v>
      </c>
      <c r="B1730" t="s">
        <v>162</v>
      </c>
      <c r="C1730" t="s">
        <v>149</v>
      </c>
      <c r="D1730" t="s">
        <v>51</v>
      </c>
      <c r="E1730" t="s">
        <v>259</v>
      </c>
      <c r="F1730" t="s">
        <v>109</v>
      </c>
      <c r="G1730" t="s">
        <v>4196</v>
      </c>
      <c r="H1730" s="10">
        <v>550800</v>
      </c>
      <c r="I1730" s="10">
        <v>0</v>
      </c>
      <c r="J1730" s="10">
        <v>0</v>
      </c>
      <c r="L1730" t="s">
        <v>42</v>
      </c>
      <c r="M1730" t="s">
        <v>26</v>
      </c>
      <c r="N1730" t="s">
        <v>4197</v>
      </c>
      <c r="O1730" s="2">
        <v>44105</v>
      </c>
      <c r="P1730" s="2">
        <v>45930</v>
      </c>
      <c r="Q1730">
        <v>0</v>
      </c>
      <c r="R1730" t="s">
        <v>4198</v>
      </c>
    </row>
    <row r="1731" spans="1:18" x14ac:dyDescent="0.25">
      <c r="A1731" t="s">
        <v>4199</v>
      </c>
      <c r="B1731" t="s">
        <v>19</v>
      </c>
      <c r="C1731" t="s">
        <v>20</v>
      </c>
      <c r="D1731" t="s">
        <v>21</v>
      </c>
      <c r="E1731" t="s">
        <v>572</v>
      </c>
      <c r="F1731" t="s">
        <v>32</v>
      </c>
      <c r="G1731" t="s">
        <v>4335</v>
      </c>
      <c r="H1731" s="10">
        <v>486928</v>
      </c>
      <c r="I1731" s="10">
        <v>0</v>
      </c>
      <c r="J1731" s="10">
        <v>0</v>
      </c>
      <c r="L1731" t="s">
        <v>25</v>
      </c>
      <c r="M1731" t="s">
        <v>26</v>
      </c>
      <c r="N1731" t="s">
        <v>1427</v>
      </c>
      <c r="O1731" s="2">
        <v>41730</v>
      </c>
      <c r="P1731" s="2">
        <v>43190</v>
      </c>
      <c r="Q1731">
        <v>0</v>
      </c>
      <c r="R1731" t="s">
        <v>4336</v>
      </c>
    </row>
    <row r="1732" spans="1:18" x14ac:dyDescent="0.25">
      <c r="A1732" t="s">
        <v>4199</v>
      </c>
      <c r="B1732" t="s">
        <v>19</v>
      </c>
      <c r="C1732" t="s">
        <v>20</v>
      </c>
      <c r="D1732" t="s">
        <v>51</v>
      </c>
      <c r="E1732" t="s">
        <v>186</v>
      </c>
      <c r="F1732" t="s">
        <v>47</v>
      </c>
      <c r="G1732" t="s">
        <v>4200</v>
      </c>
      <c r="H1732" s="10">
        <v>956250</v>
      </c>
      <c r="I1732" s="10">
        <v>0</v>
      </c>
      <c r="J1732" s="10">
        <v>0</v>
      </c>
      <c r="L1732" t="s">
        <v>42</v>
      </c>
      <c r="M1732" t="s">
        <v>26</v>
      </c>
      <c r="N1732" t="s">
        <v>4045</v>
      </c>
      <c r="O1732" s="2">
        <v>44470</v>
      </c>
      <c r="P1732" s="2">
        <v>46295</v>
      </c>
      <c r="Q1732">
        <v>0</v>
      </c>
      <c r="R1732" t="s">
        <v>4201</v>
      </c>
    </row>
    <row r="1733" spans="1:18" x14ac:dyDescent="0.25">
      <c r="A1733" t="s">
        <v>4202</v>
      </c>
      <c r="B1733" t="s">
        <v>19</v>
      </c>
      <c r="C1733" t="s">
        <v>20</v>
      </c>
      <c r="D1733" t="s">
        <v>51</v>
      </c>
      <c r="E1733" t="s">
        <v>116</v>
      </c>
      <c r="F1733" t="s">
        <v>47</v>
      </c>
      <c r="G1733" t="s">
        <v>4214</v>
      </c>
      <c r="H1733" s="10">
        <v>1503226</v>
      </c>
      <c r="I1733" s="10">
        <v>0</v>
      </c>
      <c r="J1733" s="10">
        <v>0</v>
      </c>
      <c r="L1733" t="s">
        <v>42</v>
      </c>
      <c r="M1733" t="s">
        <v>26</v>
      </c>
      <c r="N1733" t="s">
        <v>261</v>
      </c>
      <c r="O1733" s="2">
        <v>43374</v>
      </c>
      <c r="P1733" s="2">
        <v>45199</v>
      </c>
      <c r="Q1733">
        <v>0</v>
      </c>
      <c r="R1733" t="s">
        <v>4215</v>
      </c>
    </row>
    <row r="1734" spans="1:18" x14ac:dyDescent="0.25">
      <c r="A1734" t="s">
        <v>4202</v>
      </c>
      <c r="B1734" t="s">
        <v>19</v>
      </c>
      <c r="C1734" t="s">
        <v>20</v>
      </c>
      <c r="D1734" t="s">
        <v>51</v>
      </c>
      <c r="E1734" t="s">
        <v>259</v>
      </c>
      <c r="F1734" t="s">
        <v>23</v>
      </c>
      <c r="G1734" t="s">
        <v>4203</v>
      </c>
      <c r="H1734" s="10">
        <v>902700</v>
      </c>
      <c r="I1734" s="10">
        <v>0</v>
      </c>
      <c r="J1734" s="10">
        <v>0</v>
      </c>
      <c r="L1734" t="s">
        <v>42</v>
      </c>
      <c r="M1734" t="s">
        <v>26</v>
      </c>
      <c r="N1734" t="s">
        <v>4204</v>
      </c>
      <c r="O1734" s="2">
        <v>44105</v>
      </c>
      <c r="P1734" s="2">
        <v>45930</v>
      </c>
      <c r="Q1734">
        <v>0</v>
      </c>
      <c r="R1734" t="s">
        <v>4205</v>
      </c>
    </row>
    <row r="1735" spans="1:18" x14ac:dyDescent="0.25">
      <c r="A1735" t="s">
        <v>4202</v>
      </c>
      <c r="B1735" t="s">
        <v>19</v>
      </c>
      <c r="C1735" t="s">
        <v>20</v>
      </c>
      <c r="D1735" t="s">
        <v>51</v>
      </c>
      <c r="E1735" t="s">
        <v>52</v>
      </c>
      <c r="F1735" t="s">
        <v>23</v>
      </c>
      <c r="G1735" t="s">
        <v>4206</v>
      </c>
      <c r="H1735" s="10">
        <v>1147500</v>
      </c>
      <c r="I1735" s="10">
        <v>0</v>
      </c>
      <c r="J1735" s="10">
        <v>0</v>
      </c>
      <c r="L1735" t="s">
        <v>42</v>
      </c>
      <c r="M1735" t="s">
        <v>26</v>
      </c>
      <c r="N1735" t="s">
        <v>3033</v>
      </c>
      <c r="O1735" s="2">
        <v>44287</v>
      </c>
      <c r="P1735" s="2">
        <v>46112</v>
      </c>
      <c r="Q1735">
        <v>1</v>
      </c>
      <c r="R1735" t="s">
        <v>4207</v>
      </c>
    </row>
    <row r="1736" spans="1:18" x14ac:dyDescent="0.25">
      <c r="A1736" t="s">
        <v>4202</v>
      </c>
      <c r="B1736" t="s">
        <v>19</v>
      </c>
      <c r="C1736" t="s">
        <v>20</v>
      </c>
      <c r="D1736" t="s">
        <v>51</v>
      </c>
      <c r="E1736" t="s">
        <v>127</v>
      </c>
      <c r="F1736" t="s">
        <v>23</v>
      </c>
      <c r="G1736" t="s">
        <v>4212</v>
      </c>
      <c r="H1736" s="10">
        <v>1051876</v>
      </c>
      <c r="I1736" s="10">
        <v>0</v>
      </c>
      <c r="J1736" s="10">
        <v>0</v>
      </c>
      <c r="L1736" t="s">
        <v>42</v>
      </c>
      <c r="M1736" t="s">
        <v>26</v>
      </c>
      <c r="N1736" t="s">
        <v>72</v>
      </c>
      <c r="O1736" s="2">
        <v>44835</v>
      </c>
      <c r="P1736" s="2">
        <v>46660</v>
      </c>
      <c r="Q1736">
        <v>0</v>
      </c>
      <c r="R1736" t="s">
        <v>4213</v>
      </c>
    </row>
    <row r="1737" spans="1:18" x14ac:dyDescent="0.25">
      <c r="A1737" t="s">
        <v>5120</v>
      </c>
      <c r="B1737" t="s">
        <v>19</v>
      </c>
      <c r="C1737" t="s">
        <v>20</v>
      </c>
      <c r="D1737" t="s">
        <v>21</v>
      </c>
      <c r="E1737" t="s">
        <v>377</v>
      </c>
      <c r="F1737" t="s">
        <v>47</v>
      </c>
      <c r="G1737" t="s">
        <v>4210</v>
      </c>
      <c r="H1737" s="10">
        <v>560636</v>
      </c>
      <c r="I1737" s="10">
        <v>0</v>
      </c>
      <c r="J1737" s="10">
        <v>0</v>
      </c>
      <c r="L1737" t="s">
        <v>25</v>
      </c>
      <c r="M1737" t="s">
        <v>26</v>
      </c>
      <c r="N1737" t="s">
        <v>1427</v>
      </c>
      <c r="O1737" s="2">
        <v>41183</v>
      </c>
      <c r="P1737" s="2">
        <v>42643</v>
      </c>
      <c r="Q1737">
        <v>0</v>
      </c>
      <c r="R1737" t="s">
        <v>4211</v>
      </c>
    </row>
    <row r="1738" spans="1:18" x14ac:dyDescent="0.25">
      <c r="A1738" t="s">
        <v>5119</v>
      </c>
      <c r="B1738" t="s">
        <v>19</v>
      </c>
      <c r="C1738" t="s">
        <v>20</v>
      </c>
      <c r="D1738" t="s">
        <v>21</v>
      </c>
      <c r="E1738" t="s">
        <v>74</v>
      </c>
      <c r="F1738" t="s">
        <v>23</v>
      </c>
      <c r="G1738" t="s">
        <v>4208</v>
      </c>
      <c r="H1738" s="10">
        <v>385251</v>
      </c>
      <c r="I1738" s="10">
        <v>0</v>
      </c>
      <c r="J1738" s="10">
        <v>0</v>
      </c>
      <c r="L1738" t="s">
        <v>55</v>
      </c>
      <c r="M1738" t="s">
        <v>26</v>
      </c>
      <c r="N1738" t="s">
        <v>1427</v>
      </c>
      <c r="O1738" s="2">
        <v>41000</v>
      </c>
      <c r="P1738" s="2">
        <v>42094</v>
      </c>
      <c r="Q1738">
        <v>0</v>
      </c>
      <c r="R1738" t="s">
        <v>4209</v>
      </c>
    </row>
    <row r="1739" spans="1:18" x14ac:dyDescent="0.25">
      <c r="A1739" t="s">
        <v>4216</v>
      </c>
      <c r="B1739" t="s">
        <v>114</v>
      </c>
      <c r="C1739" t="s">
        <v>20</v>
      </c>
      <c r="D1739" t="s">
        <v>21</v>
      </c>
      <c r="E1739" t="s">
        <v>377</v>
      </c>
      <c r="F1739" t="s">
        <v>53</v>
      </c>
      <c r="G1739" t="s">
        <v>4217</v>
      </c>
      <c r="H1739" s="10">
        <v>819405</v>
      </c>
      <c r="I1739" s="10">
        <v>0</v>
      </c>
      <c r="J1739" s="10">
        <v>0</v>
      </c>
      <c r="L1739" t="s">
        <v>42</v>
      </c>
      <c r="M1739" t="s">
        <v>103</v>
      </c>
      <c r="N1739" t="s">
        <v>4218</v>
      </c>
      <c r="O1739" s="2">
        <v>41183</v>
      </c>
      <c r="P1739" s="2">
        <v>43008</v>
      </c>
      <c r="Q1739">
        <v>0</v>
      </c>
      <c r="R1739" t="s">
        <v>4219</v>
      </c>
    </row>
    <row r="1740" spans="1:18" x14ac:dyDescent="0.25">
      <c r="A1740" t="s">
        <v>4216</v>
      </c>
      <c r="B1740" t="s">
        <v>114</v>
      </c>
      <c r="C1740" t="s">
        <v>20</v>
      </c>
      <c r="D1740" t="s">
        <v>21</v>
      </c>
      <c r="E1740" t="s">
        <v>572</v>
      </c>
      <c r="F1740" t="s">
        <v>53</v>
      </c>
      <c r="G1740" t="s">
        <v>4223</v>
      </c>
      <c r="H1740" s="10">
        <v>917420</v>
      </c>
      <c r="I1740" s="10">
        <v>0</v>
      </c>
      <c r="J1740" s="10">
        <v>0</v>
      </c>
      <c r="L1740" t="s">
        <v>42</v>
      </c>
      <c r="M1740" t="s">
        <v>831</v>
      </c>
      <c r="N1740" t="s">
        <v>4224</v>
      </c>
      <c r="O1740" s="2">
        <v>41730</v>
      </c>
      <c r="P1740" s="2">
        <v>42916</v>
      </c>
      <c r="Q1740">
        <v>5</v>
      </c>
      <c r="R1740" t="s">
        <v>4225</v>
      </c>
    </row>
    <row r="1741" spans="1:18" x14ac:dyDescent="0.25">
      <c r="A1741" t="s">
        <v>4216</v>
      </c>
      <c r="B1741" t="s">
        <v>49</v>
      </c>
      <c r="C1741" t="s">
        <v>50</v>
      </c>
      <c r="D1741" t="s">
        <v>51</v>
      </c>
      <c r="E1741" t="s">
        <v>223</v>
      </c>
      <c r="F1741" t="s">
        <v>356</v>
      </c>
      <c r="G1741" t="s">
        <v>4220</v>
      </c>
      <c r="H1741" s="10">
        <v>1208700</v>
      </c>
      <c r="I1741" s="10">
        <v>0</v>
      </c>
      <c r="J1741" s="10">
        <v>0</v>
      </c>
      <c r="L1741" t="s">
        <v>42</v>
      </c>
      <c r="M1741" t="s">
        <v>143</v>
      </c>
      <c r="N1741" t="s">
        <v>4221</v>
      </c>
      <c r="O1741" s="2">
        <v>45566</v>
      </c>
      <c r="P1741" s="2">
        <v>47391</v>
      </c>
      <c r="Q1741">
        <v>0</v>
      </c>
      <c r="R1741" t="s">
        <v>4222</v>
      </c>
    </row>
    <row r="1742" spans="1:18" x14ac:dyDescent="0.25">
      <c r="A1742" t="s">
        <v>4226</v>
      </c>
      <c r="B1742" t="s">
        <v>49</v>
      </c>
      <c r="C1742" t="s">
        <v>50</v>
      </c>
      <c r="D1742" t="s">
        <v>21</v>
      </c>
      <c r="E1742" t="s">
        <v>572</v>
      </c>
      <c r="F1742" t="s">
        <v>32</v>
      </c>
      <c r="G1742" t="s">
        <v>4227</v>
      </c>
      <c r="H1742" s="10">
        <v>795064</v>
      </c>
      <c r="I1742" s="10">
        <v>0</v>
      </c>
      <c r="J1742" s="10">
        <v>0</v>
      </c>
      <c r="L1742" t="s">
        <v>42</v>
      </c>
      <c r="M1742" t="s">
        <v>26</v>
      </c>
      <c r="N1742" t="s">
        <v>4228</v>
      </c>
      <c r="O1742" s="2">
        <v>41730</v>
      </c>
      <c r="P1742" s="2">
        <v>43281</v>
      </c>
      <c r="Q1742">
        <v>0</v>
      </c>
      <c r="R1742" t="s">
        <v>4229</v>
      </c>
    </row>
    <row r="1743" spans="1:18" x14ac:dyDescent="0.25">
      <c r="A1743" t="s">
        <v>5478</v>
      </c>
      <c r="B1743" t="s">
        <v>114</v>
      </c>
      <c r="C1743" t="s">
        <v>20</v>
      </c>
      <c r="D1743" t="s">
        <v>51</v>
      </c>
      <c r="E1743" t="s">
        <v>127</v>
      </c>
      <c r="F1743" t="s">
        <v>53</v>
      </c>
      <c r="G1743" t="s">
        <v>4230</v>
      </c>
      <c r="H1743" s="10">
        <v>822376</v>
      </c>
      <c r="I1743" s="10">
        <v>0</v>
      </c>
      <c r="J1743" s="10">
        <v>0</v>
      </c>
      <c r="L1743" t="s">
        <v>42</v>
      </c>
      <c r="M1743" t="s">
        <v>111</v>
      </c>
      <c r="N1743" t="s">
        <v>4231</v>
      </c>
      <c r="O1743" s="2">
        <v>44835</v>
      </c>
      <c r="P1743" s="2">
        <v>46660</v>
      </c>
      <c r="Q1743">
        <v>0</v>
      </c>
      <c r="R1743" t="s">
        <v>4232</v>
      </c>
    </row>
    <row r="1744" spans="1:18" x14ac:dyDescent="0.25">
      <c r="A1744" t="s">
        <v>4233</v>
      </c>
      <c r="B1744" t="s">
        <v>19</v>
      </c>
      <c r="C1744" t="s">
        <v>20</v>
      </c>
      <c r="D1744" t="s">
        <v>51</v>
      </c>
      <c r="E1744" t="s">
        <v>197</v>
      </c>
      <c r="F1744" t="s">
        <v>109</v>
      </c>
      <c r="G1744" t="s">
        <v>4234</v>
      </c>
      <c r="H1744" s="10">
        <v>677025</v>
      </c>
      <c r="I1744" s="10">
        <v>0</v>
      </c>
      <c r="J1744" s="10">
        <v>0</v>
      </c>
      <c r="L1744" t="s">
        <v>42</v>
      </c>
      <c r="M1744" t="s">
        <v>26</v>
      </c>
      <c r="N1744" t="s">
        <v>308</v>
      </c>
      <c r="O1744" s="2">
        <v>44652</v>
      </c>
      <c r="P1744" s="2">
        <v>46477</v>
      </c>
      <c r="Q1744">
        <v>1</v>
      </c>
      <c r="R1744" t="s">
        <v>4235</v>
      </c>
    </row>
    <row r="1745" spans="1:18" x14ac:dyDescent="0.25">
      <c r="A1745" t="s">
        <v>4233</v>
      </c>
      <c r="B1745" t="s">
        <v>19</v>
      </c>
      <c r="C1745" t="s">
        <v>20</v>
      </c>
      <c r="D1745" t="s">
        <v>51</v>
      </c>
      <c r="E1745" t="s">
        <v>208</v>
      </c>
      <c r="F1745" t="s">
        <v>109</v>
      </c>
      <c r="G1745" t="s">
        <v>4236</v>
      </c>
      <c r="H1745" s="10">
        <v>619650</v>
      </c>
      <c r="I1745" s="10">
        <v>0</v>
      </c>
      <c r="J1745" s="10">
        <v>0</v>
      </c>
      <c r="L1745" t="s">
        <v>42</v>
      </c>
      <c r="M1745" t="s">
        <v>26</v>
      </c>
      <c r="N1745" t="s">
        <v>261</v>
      </c>
      <c r="O1745" s="2">
        <v>45383</v>
      </c>
      <c r="P1745" s="2">
        <v>47208</v>
      </c>
      <c r="Q1745">
        <v>0</v>
      </c>
      <c r="R1745" t="s">
        <v>4237</v>
      </c>
    </row>
    <row r="1746" spans="1:18" x14ac:dyDescent="0.25">
      <c r="A1746" t="s">
        <v>5159</v>
      </c>
      <c r="B1746" t="s">
        <v>710</v>
      </c>
      <c r="C1746" t="s">
        <v>711</v>
      </c>
      <c r="D1746" t="s">
        <v>99</v>
      </c>
      <c r="E1746" t="s">
        <v>100</v>
      </c>
      <c r="F1746" t="s">
        <v>101</v>
      </c>
      <c r="G1746" t="s">
        <v>4238</v>
      </c>
      <c r="H1746" s="10">
        <v>3573336</v>
      </c>
      <c r="I1746" s="10">
        <v>0</v>
      </c>
      <c r="J1746" s="10">
        <v>0</v>
      </c>
      <c r="L1746" t="s">
        <v>34</v>
      </c>
      <c r="M1746" t="s">
        <v>103</v>
      </c>
      <c r="N1746" t="s">
        <v>3267</v>
      </c>
      <c r="O1746" s="2">
        <v>43983</v>
      </c>
      <c r="P1746" s="2">
        <v>44347</v>
      </c>
      <c r="Q1746">
        <v>0</v>
      </c>
      <c r="R1746" t="s">
        <v>4239</v>
      </c>
    </row>
    <row r="1747" spans="1:18" x14ac:dyDescent="0.25">
      <c r="A1747" t="s">
        <v>5032</v>
      </c>
      <c r="B1747" t="s">
        <v>3164</v>
      </c>
      <c r="C1747" t="s">
        <v>20</v>
      </c>
      <c r="D1747" t="s">
        <v>4557</v>
      </c>
      <c r="E1747" t="s">
        <v>4597</v>
      </c>
      <c r="F1747" t="s">
        <v>4559</v>
      </c>
      <c r="G1747" t="s">
        <v>5033</v>
      </c>
      <c r="H1747" s="10">
        <v>226870</v>
      </c>
      <c r="I1747" s="10">
        <v>0</v>
      </c>
      <c r="J1747" s="10">
        <v>0</v>
      </c>
      <c r="L1747" t="s">
        <v>55</v>
      </c>
      <c r="M1747" t="s">
        <v>26</v>
      </c>
      <c r="N1747" t="s">
        <v>5915</v>
      </c>
      <c r="O1747" s="2">
        <v>42095</v>
      </c>
      <c r="P1747" s="2">
        <v>43190</v>
      </c>
      <c r="Q1747">
        <v>0</v>
      </c>
      <c r="R1747" t="s">
        <v>5914</v>
      </c>
    </row>
    <row r="1748" spans="1:18" x14ac:dyDescent="0.25">
      <c r="A1748" t="s">
        <v>4240</v>
      </c>
      <c r="B1748" t="s">
        <v>162</v>
      </c>
      <c r="C1748" t="s">
        <v>149</v>
      </c>
      <c r="D1748" t="s">
        <v>51</v>
      </c>
      <c r="E1748" t="s">
        <v>158</v>
      </c>
      <c r="F1748" t="s">
        <v>109</v>
      </c>
      <c r="G1748" t="s">
        <v>4241</v>
      </c>
      <c r="H1748" s="10">
        <v>551542</v>
      </c>
      <c r="I1748" s="10">
        <v>0</v>
      </c>
      <c r="J1748" s="10">
        <v>0</v>
      </c>
      <c r="L1748" t="s">
        <v>25</v>
      </c>
      <c r="M1748" t="s">
        <v>26</v>
      </c>
      <c r="N1748" t="s">
        <v>458</v>
      </c>
      <c r="O1748" s="2">
        <v>43922</v>
      </c>
      <c r="P1748" s="2">
        <v>45382</v>
      </c>
      <c r="Q1748">
        <v>1</v>
      </c>
      <c r="R1748" t="s">
        <v>4242</v>
      </c>
    </row>
    <row r="1749" spans="1:18" x14ac:dyDescent="0.25">
      <c r="A1749" t="s">
        <v>4240</v>
      </c>
      <c r="B1749" t="s">
        <v>162</v>
      </c>
      <c r="C1749" t="s">
        <v>149</v>
      </c>
      <c r="D1749" t="s">
        <v>4557</v>
      </c>
      <c r="E1749" t="s">
        <v>4567</v>
      </c>
      <c r="F1749" t="s">
        <v>4559</v>
      </c>
      <c r="G1749" t="s">
        <v>5035</v>
      </c>
      <c r="H1749" s="10">
        <v>274000</v>
      </c>
      <c r="I1749" s="10">
        <v>0</v>
      </c>
      <c r="J1749" s="10">
        <v>0</v>
      </c>
      <c r="L1749" t="s">
        <v>55</v>
      </c>
      <c r="M1749" t="s">
        <v>26</v>
      </c>
      <c r="N1749" t="s">
        <v>5878</v>
      </c>
      <c r="O1749" s="2">
        <v>41730</v>
      </c>
      <c r="P1749" s="2">
        <v>42825</v>
      </c>
      <c r="Q1749">
        <v>9</v>
      </c>
      <c r="R1749" t="s">
        <v>5877</v>
      </c>
    </row>
    <row r="1750" spans="1:18" x14ac:dyDescent="0.25">
      <c r="A1750" t="s">
        <v>6293</v>
      </c>
      <c r="B1750" t="s">
        <v>49</v>
      </c>
      <c r="C1750" t="s">
        <v>50</v>
      </c>
      <c r="D1750" t="s">
        <v>21</v>
      </c>
      <c r="E1750" t="s">
        <v>323</v>
      </c>
      <c r="F1750" t="s">
        <v>109</v>
      </c>
      <c r="G1750" t="s">
        <v>4249</v>
      </c>
      <c r="H1750" s="10">
        <v>293915</v>
      </c>
      <c r="I1750" s="10">
        <v>0</v>
      </c>
      <c r="J1750" s="10">
        <v>0</v>
      </c>
      <c r="L1750" t="s">
        <v>55</v>
      </c>
      <c r="M1750" t="s">
        <v>26</v>
      </c>
      <c r="N1750" t="s">
        <v>4250</v>
      </c>
      <c r="O1750" s="2">
        <v>40269</v>
      </c>
      <c r="P1750" s="2">
        <v>41364</v>
      </c>
      <c r="Q1750">
        <v>2</v>
      </c>
      <c r="R1750" t="s">
        <v>4251</v>
      </c>
    </row>
    <row r="1751" spans="1:18" x14ac:dyDescent="0.25">
      <c r="A1751" t="s">
        <v>6293</v>
      </c>
      <c r="B1751" t="s">
        <v>49</v>
      </c>
      <c r="C1751" t="s">
        <v>50</v>
      </c>
      <c r="D1751" t="s">
        <v>420</v>
      </c>
      <c r="E1751" t="s">
        <v>667</v>
      </c>
      <c r="F1751" t="s">
        <v>109</v>
      </c>
      <c r="G1751" t="s">
        <v>4243</v>
      </c>
      <c r="H1751" s="10">
        <v>100000</v>
      </c>
      <c r="I1751" s="10">
        <v>0</v>
      </c>
      <c r="J1751" s="10">
        <v>0</v>
      </c>
      <c r="L1751" t="s">
        <v>34</v>
      </c>
      <c r="M1751" t="s">
        <v>26</v>
      </c>
      <c r="N1751" t="s">
        <v>4244</v>
      </c>
      <c r="O1751" s="2">
        <v>45352</v>
      </c>
      <c r="P1751" s="2">
        <v>45716</v>
      </c>
      <c r="Q1751">
        <v>0</v>
      </c>
      <c r="R1751" t="s">
        <v>4245</v>
      </c>
    </row>
    <row r="1752" spans="1:18" x14ac:dyDescent="0.25">
      <c r="A1752" t="s">
        <v>6293</v>
      </c>
      <c r="B1752" t="s">
        <v>49</v>
      </c>
      <c r="C1752" t="s">
        <v>50</v>
      </c>
      <c r="D1752" t="s">
        <v>21</v>
      </c>
      <c r="E1752" t="s">
        <v>108</v>
      </c>
      <c r="F1752" t="s">
        <v>109</v>
      </c>
      <c r="G1752" t="s">
        <v>4246</v>
      </c>
      <c r="H1752" s="10">
        <v>493204</v>
      </c>
      <c r="I1752" s="10">
        <v>0</v>
      </c>
      <c r="J1752" s="10">
        <v>0</v>
      </c>
      <c r="L1752" t="s">
        <v>42</v>
      </c>
      <c r="M1752" t="s">
        <v>26</v>
      </c>
      <c r="N1752" t="s">
        <v>4247</v>
      </c>
      <c r="O1752" s="2">
        <v>41548</v>
      </c>
      <c r="P1752" s="2">
        <v>43373</v>
      </c>
      <c r="Q1752">
        <v>2</v>
      </c>
      <c r="R1752" t="s">
        <v>4248</v>
      </c>
    </row>
    <row r="1753" spans="1:18" x14ac:dyDescent="0.25">
      <c r="A1753" t="s">
        <v>6293</v>
      </c>
      <c r="B1753" t="s">
        <v>49</v>
      </c>
      <c r="C1753" t="s">
        <v>50</v>
      </c>
      <c r="D1753" t="s">
        <v>51</v>
      </c>
      <c r="E1753" t="s">
        <v>122</v>
      </c>
      <c r="F1753" t="s">
        <v>109</v>
      </c>
      <c r="G1753" t="s">
        <v>4252</v>
      </c>
      <c r="H1753" s="10">
        <v>711451</v>
      </c>
      <c r="I1753" s="10">
        <v>0</v>
      </c>
      <c r="J1753" s="10">
        <v>0</v>
      </c>
      <c r="L1753" t="s">
        <v>25</v>
      </c>
      <c r="M1753" t="s">
        <v>111</v>
      </c>
      <c r="N1753" t="s">
        <v>4253</v>
      </c>
      <c r="O1753" s="2">
        <v>43739</v>
      </c>
      <c r="P1753" s="2">
        <v>45199</v>
      </c>
      <c r="Q1753">
        <v>0</v>
      </c>
      <c r="R1753" t="s">
        <v>4254</v>
      </c>
    </row>
    <row r="1754" spans="1:18" x14ac:dyDescent="0.25">
      <c r="A1754" t="s">
        <v>4255</v>
      </c>
      <c r="B1754" t="s">
        <v>98</v>
      </c>
      <c r="C1754" t="s">
        <v>20</v>
      </c>
      <c r="D1754" t="s">
        <v>51</v>
      </c>
      <c r="E1754" t="s">
        <v>163</v>
      </c>
      <c r="F1754" t="s">
        <v>53</v>
      </c>
      <c r="G1754" t="s">
        <v>4256</v>
      </c>
      <c r="H1754" s="10">
        <v>386324</v>
      </c>
      <c r="I1754" s="10">
        <v>0</v>
      </c>
      <c r="J1754" s="10">
        <v>0</v>
      </c>
      <c r="L1754" t="s">
        <v>25</v>
      </c>
      <c r="M1754" t="s">
        <v>103</v>
      </c>
      <c r="N1754" t="s">
        <v>4257</v>
      </c>
      <c r="O1754" s="2">
        <v>43556</v>
      </c>
      <c r="P1754" s="2">
        <v>45016</v>
      </c>
      <c r="Q1754">
        <v>6</v>
      </c>
      <c r="R1754" t="s">
        <v>4258</v>
      </c>
    </row>
    <row r="1755" spans="1:18" x14ac:dyDescent="0.25">
      <c r="A1755" t="s">
        <v>4255</v>
      </c>
      <c r="B1755" t="s">
        <v>98</v>
      </c>
      <c r="C1755" t="s">
        <v>20</v>
      </c>
      <c r="D1755" t="s">
        <v>51</v>
      </c>
      <c r="E1755" t="s">
        <v>122</v>
      </c>
      <c r="F1755" t="s">
        <v>53</v>
      </c>
      <c r="G1755" t="s">
        <v>4259</v>
      </c>
      <c r="H1755" s="10">
        <v>684675</v>
      </c>
      <c r="I1755" s="10">
        <v>0</v>
      </c>
      <c r="J1755" s="10">
        <v>0</v>
      </c>
      <c r="L1755" t="s">
        <v>25</v>
      </c>
      <c r="M1755" t="s">
        <v>103</v>
      </c>
      <c r="N1755" t="s">
        <v>339</v>
      </c>
      <c r="O1755" s="2">
        <v>43739</v>
      </c>
      <c r="P1755" s="2">
        <v>45199</v>
      </c>
      <c r="Q1755">
        <v>0</v>
      </c>
      <c r="R1755" t="s">
        <v>4260</v>
      </c>
    </row>
    <row r="1756" spans="1:18" x14ac:dyDescent="0.25">
      <c r="A1756" t="s">
        <v>4261</v>
      </c>
      <c r="B1756" t="s">
        <v>474</v>
      </c>
      <c r="C1756" t="s">
        <v>20</v>
      </c>
      <c r="D1756" t="s">
        <v>21</v>
      </c>
      <c r="E1756" t="s">
        <v>194</v>
      </c>
      <c r="F1756" t="s">
        <v>32</v>
      </c>
      <c r="G1756" t="s">
        <v>4262</v>
      </c>
      <c r="H1756" s="11">
        <v>694200</v>
      </c>
      <c r="I1756" s="11">
        <v>0</v>
      </c>
      <c r="J1756" s="11">
        <v>0</v>
      </c>
      <c r="L1756" t="s">
        <v>42</v>
      </c>
      <c r="M1756" t="s">
        <v>26</v>
      </c>
      <c r="N1756" t="s">
        <v>3297</v>
      </c>
      <c r="O1756" s="2">
        <v>40087</v>
      </c>
      <c r="P1756" s="2">
        <v>41912</v>
      </c>
      <c r="Q1756">
        <v>0</v>
      </c>
      <c r="R1756" t="s">
        <v>4263</v>
      </c>
    </row>
    <row r="1757" spans="1:18" x14ac:dyDescent="0.25">
      <c r="A1757" t="s">
        <v>4264</v>
      </c>
      <c r="B1757" t="s">
        <v>19</v>
      </c>
      <c r="C1757" t="s">
        <v>20</v>
      </c>
      <c r="D1757" t="s">
        <v>21</v>
      </c>
      <c r="E1757" t="s">
        <v>74</v>
      </c>
      <c r="F1757" t="s">
        <v>23</v>
      </c>
      <c r="G1757" t="s">
        <v>4265</v>
      </c>
      <c r="H1757" s="10">
        <v>785005</v>
      </c>
      <c r="I1757" s="10">
        <v>0</v>
      </c>
      <c r="J1757" s="10">
        <v>0</v>
      </c>
      <c r="L1757" t="s">
        <v>42</v>
      </c>
      <c r="M1757" t="s">
        <v>26</v>
      </c>
      <c r="N1757" t="s">
        <v>4266</v>
      </c>
      <c r="O1757" s="2">
        <v>41000</v>
      </c>
      <c r="P1757" s="2">
        <v>42825</v>
      </c>
      <c r="Q1757">
        <v>8</v>
      </c>
      <c r="R1757" t="s">
        <v>4267</v>
      </c>
    </row>
    <row r="1758" spans="1:18" x14ac:dyDescent="0.25">
      <c r="A1758" t="s">
        <v>4268</v>
      </c>
      <c r="B1758" t="s">
        <v>2610</v>
      </c>
      <c r="C1758" t="s">
        <v>20</v>
      </c>
      <c r="D1758" t="s">
        <v>51</v>
      </c>
      <c r="E1758" t="s">
        <v>163</v>
      </c>
      <c r="F1758" t="s">
        <v>47</v>
      </c>
      <c r="G1758" t="s">
        <v>4269</v>
      </c>
      <c r="H1758" s="10">
        <v>745875</v>
      </c>
      <c r="I1758" s="10">
        <v>0</v>
      </c>
      <c r="J1758" s="10">
        <v>0</v>
      </c>
      <c r="L1758" t="s">
        <v>42</v>
      </c>
      <c r="M1758" t="s">
        <v>26</v>
      </c>
      <c r="N1758" t="s">
        <v>3535</v>
      </c>
      <c r="O1758" s="2">
        <v>43556</v>
      </c>
      <c r="P1758" s="2">
        <v>45382</v>
      </c>
      <c r="Q1758">
        <v>1</v>
      </c>
      <c r="R1758" t="s">
        <v>4270</v>
      </c>
    </row>
    <row r="1759" spans="1:18" x14ac:dyDescent="0.25">
      <c r="A1759" t="s">
        <v>4271</v>
      </c>
      <c r="B1759" t="s">
        <v>148</v>
      </c>
      <c r="C1759" t="s">
        <v>149</v>
      </c>
      <c r="D1759" t="s">
        <v>51</v>
      </c>
      <c r="E1759" t="s">
        <v>259</v>
      </c>
      <c r="F1759" t="s">
        <v>109</v>
      </c>
      <c r="G1759" t="s">
        <v>4272</v>
      </c>
      <c r="H1759" s="10">
        <v>711450</v>
      </c>
      <c r="I1759" s="10">
        <v>0</v>
      </c>
      <c r="J1759" s="10">
        <v>0</v>
      </c>
      <c r="L1759" t="s">
        <v>42</v>
      </c>
      <c r="M1759" t="s">
        <v>111</v>
      </c>
      <c r="N1759" t="s">
        <v>4273</v>
      </c>
      <c r="O1759" s="2">
        <v>43891</v>
      </c>
      <c r="P1759" s="2">
        <v>44255</v>
      </c>
      <c r="Q1759">
        <v>0</v>
      </c>
      <c r="R1759" t="s">
        <v>4274</v>
      </c>
    </row>
    <row r="1760" spans="1:18" x14ac:dyDescent="0.25">
      <c r="A1760" t="s">
        <v>4271</v>
      </c>
      <c r="B1760" t="s">
        <v>148</v>
      </c>
      <c r="C1760" t="s">
        <v>149</v>
      </c>
      <c r="D1760" t="s">
        <v>631</v>
      </c>
      <c r="E1760" t="s">
        <v>632</v>
      </c>
      <c r="F1760" t="s">
        <v>109</v>
      </c>
      <c r="G1760" t="s">
        <v>4272</v>
      </c>
      <c r="H1760" s="10">
        <v>100000</v>
      </c>
      <c r="I1760" s="10">
        <v>0</v>
      </c>
      <c r="J1760" s="10">
        <v>0</v>
      </c>
      <c r="L1760" t="s">
        <v>34</v>
      </c>
      <c r="M1760" t="s">
        <v>111</v>
      </c>
      <c r="N1760" t="s">
        <v>4273</v>
      </c>
      <c r="O1760" s="2">
        <v>43891</v>
      </c>
      <c r="P1760" s="2">
        <v>44255</v>
      </c>
      <c r="Q1760">
        <v>0</v>
      </c>
      <c r="R1760" t="s">
        <v>4274</v>
      </c>
    </row>
    <row r="1761" spans="1:18" x14ac:dyDescent="0.25">
      <c r="A1761" t="s">
        <v>4275</v>
      </c>
      <c r="B1761" t="s">
        <v>4492</v>
      </c>
      <c r="C1761" t="s">
        <v>38</v>
      </c>
      <c r="D1761" t="s">
        <v>21</v>
      </c>
      <c r="E1761" t="s">
        <v>172</v>
      </c>
      <c r="F1761" t="s">
        <v>53</v>
      </c>
      <c r="G1761" t="s">
        <v>4276</v>
      </c>
      <c r="H1761" s="10">
        <v>459471</v>
      </c>
      <c r="I1761" s="10">
        <v>0</v>
      </c>
      <c r="J1761" s="10">
        <v>0</v>
      </c>
      <c r="L1761" t="s">
        <v>42</v>
      </c>
      <c r="M1761" t="s">
        <v>204</v>
      </c>
      <c r="N1761" t="s">
        <v>4277</v>
      </c>
      <c r="O1761" s="2">
        <v>40452</v>
      </c>
      <c r="P1761" s="2">
        <v>42277</v>
      </c>
      <c r="Q1761">
        <v>0</v>
      </c>
      <c r="R1761" t="s">
        <v>4278</v>
      </c>
    </row>
    <row r="1762" spans="1:18" x14ac:dyDescent="0.25">
      <c r="A1762" t="s">
        <v>4279</v>
      </c>
      <c r="B1762" t="s">
        <v>19</v>
      </c>
      <c r="C1762" t="s">
        <v>20</v>
      </c>
      <c r="D1762" t="s">
        <v>21</v>
      </c>
      <c r="E1762" t="s">
        <v>74</v>
      </c>
      <c r="F1762" t="s">
        <v>32</v>
      </c>
      <c r="G1762" t="s">
        <v>4286</v>
      </c>
      <c r="H1762" s="10">
        <v>756699</v>
      </c>
      <c r="I1762" s="10">
        <v>0</v>
      </c>
      <c r="J1762" s="10">
        <v>0</v>
      </c>
      <c r="L1762" t="s">
        <v>42</v>
      </c>
      <c r="M1762" t="s">
        <v>26</v>
      </c>
      <c r="N1762" t="s">
        <v>4287</v>
      </c>
      <c r="O1762" s="2">
        <v>41000</v>
      </c>
      <c r="P1762" s="2">
        <v>42825</v>
      </c>
      <c r="Q1762">
        <v>6</v>
      </c>
      <c r="R1762" t="s">
        <v>4288</v>
      </c>
    </row>
    <row r="1763" spans="1:18" x14ac:dyDescent="0.25">
      <c r="A1763" t="s">
        <v>4279</v>
      </c>
      <c r="B1763" t="s">
        <v>19</v>
      </c>
      <c r="C1763" t="s">
        <v>20</v>
      </c>
      <c r="D1763" t="s">
        <v>21</v>
      </c>
      <c r="E1763" t="s">
        <v>572</v>
      </c>
      <c r="F1763" t="s">
        <v>23</v>
      </c>
      <c r="G1763" t="s">
        <v>4280</v>
      </c>
      <c r="H1763" s="10">
        <v>695400</v>
      </c>
      <c r="I1763" s="10">
        <v>0</v>
      </c>
      <c r="J1763" s="10">
        <v>0</v>
      </c>
      <c r="L1763" t="s">
        <v>42</v>
      </c>
      <c r="M1763" t="s">
        <v>26</v>
      </c>
      <c r="N1763" t="s">
        <v>4281</v>
      </c>
      <c r="O1763" s="2">
        <v>41730</v>
      </c>
      <c r="P1763" s="2">
        <v>42916</v>
      </c>
      <c r="Q1763">
        <v>3</v>
      </c>
      <c r="R1763" t="s">
        <v>4282</v>
      </c>
    </row>
    <row r="1764" spans="1:18" x14ac:dyDescent="0.25">
      <c r="A1764" t="s">
        <v>4279</v>
      </c>
      <c r="B1764" t="s">
        <v>19</v>
      </c>
      <c r="C1764" t="s">
        <v>20</v>
      </c>
      <c r="D1764" t="s">
        <v>51</v>
      </c>
      <c r="E1764" t="s">
        <v>70</v>
      </c>
      <c r="F1764" t="s">
        <v>356</v>
      </c>
      <c r="G1764" t="s">
        <v>4283</v>
      </c>
      <c r="H1764" s="10">
        <v>837676</v>
      </c>
      <c r="I1764" s="10">
        <v>0</v>
      </c>
      <c r="J1764" s="10">
        <v>0</v>
      </c>
      <c r="L1764" t="s">
        <v>42</v>
      </c>
      <c r="M1764" t="s">
        <v>94</v>
      </c>
      <c r="N1764" t="s">
        <v>4284</v>
      </c>
      <c r="O1764" s="2">
        <v>45200</v>
      </c>
      <c r="P1764" s="2">
        <v>47026</v>
      </c>
      <c r="Q1764">
        <v>0</v>
      </c>
      <c r="R1764" t="s">
        <v>4285</v>
      </c>
    </row>
    <row r="1765" spans="1:18" x14ac:dyDescent="0.25">
      <c r="A1765" t="s">
        <v>4279</v>
      </c>
      <c r="B1765" t="s">
        <v>19</v>
      </c>
      <c r="C1765" t="s">
        <v>20</v>
      </c>
      <c r="D1765" t="s">
        <v>51</v>
      </c>
      <c r="E1765" t="s">
        <v>70</v>
      </c>
      <c r="F1765" t="s">
        <v>47</v>
      </c>
      <c r="G1765" t="s">
        <v>4289</v>
      </c>
      <c r="H1765" s="10">
        <v>994500</v>
      </c>
      <c r="I1765" s="10">
        <v>0</v>
      </c>
      <c r="J1765" s="10">
        <v>0</v>
      </c>
      <c r="L1765" t="s">
        <v>42</v>
      </c>
      <c r="M1765" t="s">
        <v>26</v>
      </c>
      <c r="N1765" t="s">
        <v>4290</v>
      </c>
      <c r="O1765" s="2">
        <v>45474</v>
      </c>
      <c r="P1765" s="2">
        <v>47299</v>
      </c>
      <c r="Q1765">
        <v>0</v>
      </c>
      <c r="R1765" t="s">
        <v>4291</v>
      </c>
    </row>
    <row r="1766" spans="1:18" x14ac:dyDescent="0.25">
      <c r="A1766" t="s">
        <v>4292</v>
      </c>
      <c r="B1766" t="s">
        <v>49</v>
      </c>
      <c r="C1766" t="s">
        <v>50</v>
      </c>
      <c r="D1766" t="s">
        <v>21</v>
      </c>
      <c r="E1766" t="s">
        <v>534</v>
      </c>
      <c r="F1766" t="s">
        <v>23</v>
      </c>
      <c r="G1766" t="s">
        <v>4293</v>
      </c>
      <c r="H1766" s="10">
        <v>340314</v>
      </c>
      <c r="I1766" s="10">
        <v>0</v>
      </c>
      <c r="J1766" s="10">
        <v>0</v>
      </c>
      <c r="L1766" t="s">
        <v>55</v>
      </c>
      <c r="M1766" t="s">
        <v>204</v>
      </c>
      <c r="N1766" t="s">
        <v>4294</v>
      </c>
      <c r="O1766" s="2">
        <v>40817</v>
      </c>
      <c r="P1766" s="2">
        <v>41912</v>
      </c>
      <c r="Q1766">
        <v>2</v>
      </c>
      <c r="R1766" t="s">
        <v>4295</v>
      </c>
    </row>
    <row r="1767" spans="1:18" x14ac:dyDescent="0.25">
      <c r="A1767" t="s">
        <v>4296</v>
      </c>
      <c r="B1767" t="s">
        <v>98</v>
      </c>
      <c r="C1767" t="s">
        <v>20</v>
      </c>
      <c r="D1767" t="s">
        <v>21</v>
      </c>
      <c r="E1767" t="s">
        <v>22</v>
      </c>
      <c r="F1767" t="s">
        <v>32</v>
      </c>
      <c r="G1767" t="s">
        <v>4299</v>
      </c>
      <c r="H1767" s="10">
        <v>813505</v>
      </c>
      <c r="I1767" s="10">
        <v>0</v>
      </c>
      <c r="J1767" s="10">
        <v>0</v>
      </c>
      <c r="L1767" t="s">
        <v>42</v>
      </c>
      <c r="M1767" t="s">
        <v>26</v>
      </c>
      <c r="N1767" t="s">
        <v>1766</v>
      </c>
      <c r="O1767" s="2">
        <v>41365</v>
      </c>
      <c r="P1767" s="2">
        <v>43190</v>
      </c>
      <c r="Q1767">
        <v>0</v>
      </c>
      <c r="R1767" t="s">
        <v>4300</v>
      </c>
    </row>
    <row r="1768" spans="1:18" x14ac:dyDescent="0.25">
      <c r="A1768" t="s">
        <v>4296</v>
      </c>
      <c r="B1768" t="s">
        <v>98</v>
      </c>
      <c r="C1768" t="s">
        <v>20</v>
      </c>
      <c r="D1768" t="s">
        <v>51</v>
      </c>
      <c r="E1768" t="s">
        <v>116</v>
      </c>
      <c r="F1768" t="s">
        <v>32</v>
      </c>
      <c r="G1768" t="s">
        <v>4297</v>
      </c>
      <c r="H1768" s="10">
        <v>902700</v>
      </c>
      <c r="I1768" s="10">
        <v>0</v>
      </c>
      <c r="J1768" s="10">
        <v>0</v>
      </c>
      <c r="L1768" t="s">
        <v>42</v>
      </c>
      <c r="M1768" t="s">
        <v>26</v>
      </c>
      <c r="N1768" t="s">
        <v>1329</v>
      </c>
      <c r="O1768" s="2">
        <v>43374</v>
      </c>
      <c r="P1768" s="2">
        <v>45199</v>
      </c>
      <c r="Q1768">
        <v>0</v>
      </c>
      <c r="R1768" t="s">
        <v>4298</v>
      </c>
    </row>
    <row r="1769" spans="1:18" x14ac:dyDescent="0.25">
      <c r="A1769" t="s">
        <v>4301</v>
      </c>
      <c r="B1769" t="s">
        <v>49</v>
      </c>
      <c r="C1769" t="s">
        <v>50</v>
      </c>
      <c r="D1769" t="s">
        <v>51</v>
      </c>
      <c r="E1769" t="s">
        <v>116</v>
      </c>
      <c r="F1769" t="s">
        <v>128</v>
      </c>
      <c r="G1769" t="s">
        <v>4302</v>
      </c>
      <c r="H1769" s="10">
        <v>669376</v>
      </c>
      <c r="I1769" s="10">
        <v>0</v>
      </c>
      <c r="J1769" s="10">
        <v>0</v>
      </c>
      <c r="L1769" t="s">
        <v>42</v>
      </c>
      <c r="M1769" t="s">
        <v>26</v>
      </c>
      <c r="N1769" t="s">
        <v>3241</v>
      </c>
      <c r="O1769" s="2">
        <v>43374</v>
      </c>
      <c r="P1769" s="2">
        <v>45199</v>
      </c>
      <c r="Q1769">
        <v>0</v>
      </c>
      <c r="R1769" t="s">
        <v>4303</v>
      </c>
    </row>
    <row r="1770" spans="1:18" x14ac:dyDescent="0.25">
      <c r="A1770" t="s">
        <v>4301</v>
      </c>
      <c r="B1770" t="s">
        <v>49</v>
      </c>
      <c r="C1770" t="s">
        <v>50</v>
      </c>
      <c r="D1770" t="s">
        <v>51</v>
      </c>
      <c r="E1770" t="s">
        <v>158</v>
      </c>
      <c r="F1770" t="s">
        <v>23</v>
      </c>
      <c r="G1770" t="s">
        <v>4304</v>
      </c>
      <c r="H1770" s="10">
        <v>841500</v>
      </c>
      <c r="I1770" s="10">
        <v>0</v>
      </c>
      <c r="J1770" s="10">
        <v>0</v>
      </c>
      <c r="L1770" t="s">
        <v>42</v>
      </c>
      <c r="M1770" t="s">
        <v>26</v>
      </c>
      <c r="N1770" t="s">
        <v>72</v>
      </c>
      <c r="O1770" s="2">
        <v>43922</v>
      </c>
      <c r="P1770" s="2">
        <v>45747</v>
      </c>
      <c r="Q1770">
        <v>0</v>
      </c>
      <c r="R1770" t="s">
        <v>4305</v>
      </c>
    </row>
  </sheetData>
  <sortState xmlns:xlrd2="http://schemas.microsoft.com/office/spreadsheetml/2017/richdata2" ref="A2:R1770">
    <sortCondition ref="A2:A1770"/>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38DE-8852-F948-9020-9D2E56D511B4}">
  <sheetPr codeName="Sheet1"/>
  <dimension ref="A1:V1315"/>
  <sheetViews>
    <sheetView topLeftCell="A14" zoomScaleNormal="100" workbookViewId="0">
      <selection activeCell="A53" sqref="A53"/>
    </sheetView>
  </sheetViews>
  <sheetFormatPr defaultColWidth="10.625" defaultRowHeight="15.75" x14ac:dyDescent="0.25"/>
  <cols>
    <col min="1" max="1" width="44.5" customWidth="1"/>
    <col min="2" max="3" width="13.625" bestFit="1" customWidth="1"/>
    <col min="4" max="4" width="11.5" customWidth="1"/>
    <col min="5" max="5" width="38.375" bestFit="1" customWidth="1"/>
    <col min="6" max="6" width="13.625" bestFit="1" customWidth="1"/>
    <col min="7" max="7" width="21.5" bestFit="1" customWidth="1"/>
    <col min="8" max="8" width="23" bestFit="1" customWidth="1"/>
    <col min="9" max="9" width="13.5" bestFit="1" customWidth="1"/>
    <col min="10" max="10" width="13" bestFit="1" customWidth="1"/>
    <col min="11" max="11" width="72.125" bestFit="1" customWidth="1"/>
    <col min="12" max="12" width="13.5" bestFit="1" customWidth="1"/>
    <col min="13" max="13" width="21.5" bestFit="1" customWidth="1"/>
    <col min="14" max="14" width="23" bestFit="1" customWidth="1"/>
    <col min="15" max="15" width="13.5" bestFit="1" customWidth="1"/>
    <col min="18" max="18" width="12.5" customWidth="1"/>
    <col min="22" max="22" width="13" bestFit="1" customWidth="1"/>
    <col min="23" max="23" width="13.5" bestFit="1" customWidth="1"/>
  </cols>
  <sheetData>
    <row r="1" spans="1:22" x14ac:dyDescent="0.25">
      <c r="A1" s="4" t="s">
        <v>4422</v>
      </c>
      <c r="B1" t="s">
        <v>4450</v>
      </c>
      <c r="C1" s="5" t="s">
        <v>4451</v>
      </c>
      <c r="E1" s="4" t="s">
        <v>4422</v>
      </c>
      <c r="F1" t="s">
        <v>4444</v>
      </c>
      <c r="G1" t="s">
        <v>4424</v>
      </c>
      <c r="H1" t="s">
        <v>4423</v>
      </c>
      <c r="I1" s="5" t="s">
        <v>4452</v>
      </c>
      <c r="J1" t="s">
        <v>4451</v>
      </c>
    </row>
    <row r="2" spans="1:22" x14ac:dyDescent="0.25">
      <c r="A2" s="3" t="s">
        <v>149</v>
      </c>
      <c r="B2">
        <v>137</v>
      </c>
      <c r="C2" s="6">
        <f>B2/$B$12</f>
        <v>7.7444884115319385E-2</v>
      </c>
      <c r="E2" s="3" t="s">
        <v>149</v>
      </c>
      <c r="F2" s="12">
        <v>815500</v>
      </c>
      <c r="G2" s="12">
        <v>100371</v>
      </c>
      <c r="H2" s="12">
        <v>77282879</v>
      </c>
      <c r="I2" s="7">
        <f>SUM(F2:H2)/1000000</f>
        <v>78.198750000000004</v>
      </c>
      <c r="J2" s="6">
        <f>I2/$I$12</f>
        <v>7.7069016785201422E-2</v>
      </c>
      <c r="T2" s="8"/>
      <c r="V2" s="9"/>
    </row>
    <row r="3" spans="1:22" x14ac:dyDescent="0.25">
      <c r="A3" s="3" t="s">
        <v>50</v>
      </c>
      <c r="B3">
        <v>300</v>
      </c>
      <c r="C3" s="6">
        <f t="shared" ref="C3:C12" si="0">B3/$B$12</f>
        <v>0.16958733747880159</v>
      </c>
      <c r="E3" s="3" t="s">
        <v>50</v>
      </c>
      <c r="F3" s="12">
        <v>1779659</v>
      </c>
      <c r="G3" s="12">
        <v>249953</v>
      </c>
      <c r="H3" s="12">
        <v>160712624</v>
      </c>
      <c r="I3" s="7">
        <f t="shared" ref="I3:I12" si="1">SUM(F3:H3)/1000000</f>
        <v>162.74223599999999</v>
      </c>
      <c r="J3" s="6">
        <f t="shared" ref="J3:J12" si="2">I3/$I$12</f>
        <v>0.1603911075042147</v>
      </c>
      <c r="T3" s="8"/>
      <c r="V3" s="9"/>
    </row>
    <row r="4" spans="1:22" x14ac:dyDescent="0.25">
      <c r="A4" s="3" t="s">
        <v>711</v>
      </c>
      <c r="B4">
        <v>20</v>
      </c>
      <c r="C4" s="6">
        <f t="shared" si="0"/>
        <v>1.1305822498586773E-2</v>
      </c>
      <c r="E4" s="3" t="s">
        <v>711</v>
      </c>
      <c r="F4" s="12">
        <v>0</v>
      </c>
      <c r="G4" s="12">
        <v>5232</v>
      </c>
      <c r="H4" s="12">
        <v>15197519</v>
      </c>
      <c r="I4" s="7">
        <f t="shared" si="1"/>
        <v>15.202750999999999</v>
      </c>
      <c r="J4" s="6">
        <f t="shared" si="2"/>
        <v>1.4983117658533385E-2</v>
      </c>
      <c r="T4" s="8"/>
      <c r="V4" s="9"/>
    </row>
    <row r="5" spans="1:22" x14ac:dyDescent="0.25">
      <c r="A5" s="3" t="s">
        <v>2485</v>
      </c>
      <c r="B5">
        <v>3</v>
      </c>
      <c r="C5" s="6">
        <f t="shared" si="0"/>
        <v>1.6958733747880158E-3</v>
      </c>
      <c r="E5" s="3" t="s">
        <v>2485</v>
      </c>
      <c r="F5" s="12">
        <v>0</v>
      </c>
      <c r="G5" s="12">
        <v>0</v>
      </c>
      <c r="H5" s="12">
        <v>695930</v>
      </c>
      <c r="I5" s="7">
        <f t="shared" si="1"/>
        <v>0.69593000000000005</v>
      </c>
      <c r="J5" s="6">
        <f t="shared" si="2"/>
        <v>6.8587593601336628E-4</v>
      </c>
      <c r="T5" s="8"/>
      <c r="V5" s="9"/>
    </row>
    <row r="6" spans="1:22" x14ac:dyDescent="0.25">
      <c r="A6" s="3" t="s">
        <v>1373</v>
      </c>
      <c r="B6">
        <v>4</v>
      </c>
      <c r="C6" s="6">
        <f t="shared" si="0"/>
        <v>2.2611644997173543E-3</v>
      </c>
      <c r="E6" s="3" t="s">
        <v>1373</v>
      </c>
      <c r="F6" s="12">
        <v>497175</v>
      </c>
      <c r="G6" s="12">
        <v>0</v>
      </c>
      <c r="H6" s="12">
        <v>367202</v>
      </c>
      <c r="I6" s="7">
        <f t="shared" si="1"/>
        <v>0.86437699999999995</v>
      </c>
      <c r="J6" s="6">
        <f t="shared" si="2"/>
        <v>8.5188939109310624E-4</v>
      </c>
      <c r="T6" s="8"/>
      <c r="V6" s="9"/>
    </row>
    <row r="7" spans="1:22" x14ac:dyDescent="0.25">
      <c r="A7" s="3" t="s">
        <v>311</v>
      </c>
      <c r="B7">
        <v>32</v>
      </c>
      <c r="C7" s="6">
        <f>B7/$B$12</f>
        <v>1.8089315997738834E-2</v>
      </c>
      <c r="E7" s="3" t="s">
        <v>311</v>
      </c>
      <c r="F7" s="12">
        <v>0</v>
      </c>
      <c r="G7" s="12">
        <v>31265</v>
      </c>
      <c r="H7" s="12">
        <v>17128203</v>
      </c>
      <c r="I7" s="7">
        <f t="shared" si="1"/>
        <v>17.159468</v>
      </c>
      <c r="J7" s="6">
        <f t="shared" si="2"/>
        <v>1.6911566071287923E-2</v>
      </c>
      <c r="T7" s="8"/>
      <c r="V7" s="9"/>
    </row>
    <row r="8" spans="1:22" x14ac:dyDescent="0.25">
      <c r="A8" s="3" t="s">
        <v>20</v>
      </c>
      <c r="B8">
        <v>805</v>
      </c>
      <c r="C8" s="6">
        <f t="shared" si="0"/>
        <v>0.45505935556811761</v>
      </c>
      <c r="E8" s="3" t="s">
        <v>20</v>
      </c>
      <c r="F8" s="12">
        <v>1228766</v>
      </c>
      <c r="G8" s="12">
        <v>597963</v>
      </c>
      <c r="H8" s="12">
        <v>470518382</v>
      </c>
      <c r="I8" s="7">
        <f t="shared" si="1"/>
        <v>472.34511099999997</v>
      </c>
      <c r="J8" s="6">
        <f t="shared" si="2"/>
        <v>0.46552116610645083</v>
      </c>
      <c r="T8" s="8"/>
      <c r="V8" s="9"/>
    </row>
    <row r="9" spans="1:22" x14ac:dyDescent="0.25">
      <c r="A9" s="3" t="s">
        <v>4050</v>
      </c>
      <c r="B9">
        <v>1</v>
      </c>
      <c r="C9" s="6">
        <f t="shared" si="0"/>
        <v>5.6529112492933857E-4</v>
      </c>
      <c r="E9" s="3" t="s">
        <v>4050</v>
      </c>
      <c r="F9" s="12">
        <v>0</v>
      </c>
      <c r="G9" s="12">
        <v>0</v>
      </c>
      <c r="H9" s="12">
        <v>618797</v>
      </c>
      <c r="I9" s="7">
        <f t="shared" si="1"/>
        <v>0.61879700000000004</v>
      </c>
      <c r="J9" s="6">
        <f t="shared" si="2"/>
        <v>6.0985727239415313E-4</v>
      </c>
      <c r="T9" s="8"/>
      <c r="V9" s="9"/>
    </row>
    <row r="10" spans="1:22" x14ac:dyDescent="0.25">
      <c r="A10" s="3" t="s">
        <v>38</v>
      </c>
      <c r="B10">
        <v>451</v>
      </c>
      <c r="C10" s="6">
        <f t="shared" si="0"/>
        <v>0.25494629734313173</v>
      </c>
      <c r="E10" s="3" t="s">
        <v>38</v>
      </c>
      <c r="F10" s="12">
        <v>0</v>
      </c>
      <c r="G10" s="12">
        <v>502089</v>
      </c>
      <c r="H10" s="12">
        <v>258508132</v>
      </c>
      <c r="I10" s="7">
        <f t="shared" si="1"/>
        <v>259.010221</v>
      </c>
      <c r="J10" s="6">
        <f t="shared" si="2"/>
        <v>0.25526831400486233</v>
      </c>
      <c r="T10" s="8"/>
      <c r="V10" s="9"/>
    </row>
    <row r="11" spans="1:22" x14ac:dyDescent="0.25">
      <c r="A11" s="3" t="s">
        <v>138</v>
      </c>
      <c r="B11">
        <v>16</v>
      </c>
      <c r="C11" s="6">
        <f t="shared" si="0"/>
        <v>9.0446579988694171E-3</v>
      </c>
      <c r="E11" s="3" t="s">
        <v>138</v>
      </c>
      <c r="F11" s="12">
        <v>0</v>
      </c>
      <c r="G11" s="12">
        <v>0</v>
      </c>
      <c r="H11" s="12">
        <v>7821080</v>
      </c>
      <c r="I11" s="7">
        <f t="shared" si="1"/>
        <v>7.8210800000000003</v>
      </c>
      <c r="J11" s="6">
        <f t="shared" si="2"/>
        <v>7.7080892699487279E-3</v>
      </c>
      <c r="T11" s="8"/>
      <c r="V11" s="9"/>
    </row>
    <row r="12" spans="1:22" x14ac:dyDescent="0.25">
      <c r="A12" s="3" t="s">
        <v>4425</v>
      </c>
      <c r="B12">
        <v>1769</v>
      </c>
      <c r="C12" s="6">
        <f t="shared" si="0"/>
        <v>1</v>
      </c>
      <c r="E12" s="3" t="s">
        <v>4425</v>
      </c>
      <c r="F12" s="12">
        <v>4321100</v>
      </c>
      <c r="G12" s="12">
        <v>1486873</v>
      </c>
      <c r="H12" s="12">
        <v>1008850748</v>
      </c>
      <c r="I12" s="7">
        <f t="shared" si="1"/>
        <v>1014.658721</v>
      </c>
      <c r="J12" s="6">
        <f t="shared" si="2"/>
        <v>1</v>
      </c>
      <c r="T12" s="8"/>
      <c r="V12" s="9"/>
    </row>
    <row r="13" spans="1:22" x14ac:dyDescent="0.25">
      <c r="C13" s="6"/>
      <c r="T13" s="8"/>
      <c r="V13" s="9"/>
    </row>
    <row r="14" spans="1:22" x14ac:dyDescent="0.25">
      <c r="A14" s="4" t="s">
        <v>4422</v>
      </c>
      <c r="B14" t="s">
        <v>4450</v>
      </c>
      <c r="C14" s="5" t="s">
        <v>4451</v>
      </c>
      <c r="E14" s="4" t="s">
        <v>4422</v>
      </c>
      <c r="F14" t="s">
        <v>4444</v>
      </c>
      <c r="G14" t="s">
        <v>4424</v>
      </c>
      <c r="H14" t="s">
        <v>4423</v>
      </c>
      <c r="I14" s="5" t="s">
        <v>4452</v>
      </c>
      <c r="J14" t="s">
        <v>4451</v>
      </c>
      <c r="T14" s="8"/>
      <c r="V14" s="9"/>
    </row>
    <row r="15" spans="1:22" x14ac:dyDescent="0.25">
      <c r="A15" s="3" t="s">
        <v>217</v>
      </c>
      <c r="B15">
        <v>45</v>
      </c>
      <c r="C15" s="6">
        <f>B15/$B$28</f>
        <v>2.5438100621820236E-2</v>
      </c>
      <c r="E15" s="3" t="s">
        <v>217</v>
      </c>
      <c r="F15" s="12">
        <v>0</v>
      </c>
      <c r="G15" s="12">
        <v>167225</v>
      </c>
      <c r="H15" s="12">
        <v>17958500</v>
      </c>
      <c r="I15" s="7">
        <f>SUM(F15:H15)/1000000</f>
        <v>18.125724999999999</v>
      </c>
      <c r="J15" s="6">
        <f>I15/$I$28</f>
        <v>1.7863863607397112E-2</v>
      </c>
      <c r="P15" s="3"/>
      <c r="T15" s="8"/>
    </row>
    <row r="16" spans="1:22" x14ac:dyDescent="0.25">
      <c r="A16" s="3" t="s">
        <v>26</v>
      </c>
      <c r="B16">
        <v>984</v>
      </c>
      <c r="C16" s="6">
        <f t="shared" ref="C16:C28" si="3">B16/$B$28</f>
        <v>0.5562464669304692</v>
      </c>
      <c r="E16" s="3" t="s">
        <v>26</v>
      </c>
      <c r="F16" s="12">
        <v>2381358</v>
      </c>
      <c r="G16" s="12">
        <v>318441</v>
      </c>
      <c r="H16" s="12">
        <v>619869129</v>
      </c>
      <c r="I16" s="7">
        <f t="shared" ref="I16:I28" si="4">SUM(F16:H16)/1000000</f>
        <v>622.56892800000003</v>
      </c>
      <c r="J16" s="6">
        <f t="shared" ref="J16:J28" si="5">I16/$I$28</f>
        <v>0.61357470754937715</v>
      </c>
      <c r="P16" s="3"/>
      <c r="T16" s="8"/>
    </row>
    <row r="17" spans="1:20" x14ac:dyDescent="0.25">
      <c r="A17" s="3" t="s">
        <v>103</v>
      </c>
      <c r="B17">
        <v>170</v>
      </c>
      <c r="C17" s="6">
        <f t="shared" si="3"/>
        <v>9.6099491237987569E-2</v>
      </c>
      <c r="E17" s="3" t="s">
        <v>103</v>
      </c>
      <c r="F17" s="12">
        <v>398301</v>
      </c>
      <c r="G17" s="12">
        <v>374001</v>
      </c>
      <c r="H17" s="12">
        <v>95950198</v>
      </c>
      <c r="I17" s="7">
        <f t="shared" si="4"/>
        <v>96.722499999999997</v>
      </c>
      <c r="J17" s="6">
        <f t="shared" si="5"/>
        <v>9.532515514642681E-2</v>
      </c>
      <c r="P17" s="3"/>
      <c r="T17" s="8"/>
    </row>
    <row r="18" spans="1:20" x14ac:dyDescent="0.25">
      <c r="A18" s="3" t="s">
        <v>413</v>
      </c>
      <c r="B18">
        <v>25</v>
      </c>
      <c r="C18" s="6">
        <f t="shared" si="3"/>
        <v>1.4132278123233465E-2</v>
      </c>
      <c r="E18" s="3" t="s">
        <v>413</v>
      </c>
      <c r="F18" s="12">
        <v>0</v>
      </c>
      <c r="G18" s="12">
        <v>0</v>
      </c>
      <c r="H18" s="12">
        <v>8183126</v>
      </c>
      <c r="I18" s="7">
        <f t="shared" si="4"/>
        <v>8.1831259999999997</v>
      </c>
      <c r="J18" s="6">
        <f t="shared" si="5"/>
        <v>8.0649048104914477E-3</v>
      </c>
      <c r="P18" s="3"/>
      <c r="T18" s="8"/>
    </row>
    <row r="19" spans="1:20" x14ac:dyDescent="0.25">
      <c r="A19" s="3" t="s">
        <v>143</v>
      </c>
      <c r="B19">
        <v>42</v>
      </c>
      <c r="C19" s="6">
        <f t="shared" si="3"/>
        <v>2.3742227247032222E-2</v>
      </c>
      <c r="E19" s="3" t="s">
        <v>143</v>
      </c>
      <c r="F19" s="12">
        <v>0</v>
      </c>
      <c r="G19" s="12">
        <v>25000</v>
      </c>
      <c r="H19" s="12">
        <v>19979671</v>
      </c>
      <c r="I19" s="7">
        <f t="shared" si="4"/>
        <v>20.004670999999998</v>
      </c>
      <c r="J19" s="6">
        <f t="shared" si="5"/>
        <v>1.9715664573684771E-2</v>
      </c>
      <c r="P19" s="3"/>
      <c r="T19" s="8"/>
    </row>
    <row r="20" spans="1:20" x14ac:dyDescent="0.25">
      <c r="A20" s="3" t="s">
        <v>238</v>
      </c>
      <c r="B20">
        <v>13</v>
      </c>
      <c r="C20" s="6">
        <f t="shared" si="3"/>
        <v>7.3487846240814017E-3</v>
      </c>
      <c r="E20" s="3" t="s">
        <v>238</v>
      </c>
      <c r="F20" s="12">
        <v>91916</v>
      </c>
      <c r="G20" s="12">
        <v>19361</v>
      </c>
      <c r="H20" s="12">
        <v>2335936</v>
      </c>
      <c r="I20" s="7">
        <f t="shared" si="4"/>
        <v>2.4472130000000001</v>
      </c>
      <c r="J20" s="6">
        <f t="shared" si="5"/>
        <v>2.4118582429254062E-3</v>
      </c>
      <c r="P20" s="3"/>
      <c r="T20" s="8"/>
    </row>
    <row r="21" spans="1:20" x14ac:dyDescent="0.25">
      <c r="A21" s="3" t="s">
        <v>831</v>
      </c>
      <c r="B21">
        <v>41</v>
      </c>
      <c r="C21" s="6">
        <f t="shared" si="3"/>
        <v>2.3176936122102882E-2</v>
      </c>
      <c r="E21" s="3" t="s">
        <v>831</v>
      </c>
      <c r="F21" s="12">
        <v>0</v>
      </c>
      <c r="G21" s="12">
        <v>205630</v>
      </c>
      <c r="H21" s="12">
        <v>19650965</v>
      </c>
      <c r="I21" s="7">
        <f t="shared" si="4"/>
        <v>19.856594999999999</v>
      </c>
      <c r="J21" s="6">
        <f t="shared" si="5"/>
        <v>1.956972781984298E-2</v>
      </c>
      <c r="P21" s="3"/>
      <c r="T21" s="8"/>
    </row>
    <row r="22" spans="1:20" x14ac:dyDescent="0.25">
      <c r="A22" s="3" t="s">
        <v>6251</v>
      </c>
      <c r="B22">
        <v>1</v>
      </c>
      <c r="C22" s="6">
        <f t="shared" si="3"/>
        <v>5.6529112492933857E-4</v>
      </c>
      <c r="E22" s="3" t="s">
        <v>6251</v>
      </c>
      <c r="F22" s="12">
        <v>0</v>
      </c>
      <c r="G22" s="12">
        <v>0</v>
      </c>
      <c r="H22" s="12">
        <v>600000</v>
      </c>
      <c r="I22" s="7">
        <f t="shared" si="4"/>
        <v>0.6</v>
      </c>
      <c r="J22" s="6">
        <f t="shared" si="5"/>
        <v>5.9133183166125858E-4</v>
      </c>
      <c r="P22" s="3"/>
      <c r="T22" s="8"/>
    </row>
    <row r="23" spans="1:20" x14ac:dyDescent="0.25">
      <c r="A23" s="3" t="s">
        <v>94</v>
      </c>
      <c r="B23">
        <v>123</v>
      </c>
      <c r="C23" s="6">
        <f t="shared" si="3"/>
        <v>6.953080836630865E-2</v>
      </c>
      <c r="E23" s="3" t="s">
        <v>94</v>
      </c>
      <c r="F23" s="12">
        <v>1449525</v>
      </c>
      <c r="G23" s="12">
        <v>66944</v>
      </c>
      <c r="H23" s="12">
        <v>66040657</v>
      </c>
      <c r="I23" s="7">
        <f t="shared" si="4"/>
        <v>67.557125999999997</v>
      </c>
      <c r="J23" s="6">
        <f t="shared" si="5"/>
        <v>6.6581131765584056E-2</v>
      </c>
      <c r="P23" s="3"/>
      <c r="T23" s="8"/>
    </row>
    <row r="24" spans="1:20" x14ac:dyDescent="0.25">
      <c r="A24" s="3" t="s">
        <v>204</v>
      </c>
      <c r="B24">
        <v>145</v>
      </c>
      <c r="C24" s="6">
        <f t="shared" si="3"/>
        <v>8.1967213114754092E-2</v>
      </c>
      <c r="E24" s="3" t="s">
        <v>204</v>
      </c>
      <c r="F24" s="12">
        <v>0</v>
      </c>
      <c r="G24" s="12">
        <v>44223</v>
      </c>
      <c r="H24" s="12">
        <v>64557472</v>
      </c>
      <c r="I24" s="7">
        <f t="shared" si="4"/>
        <v>64.601695000000007</v>
      </c>
      <c r="J24" s="6">
        <f t="shared" si="5"/>
        <v>6.3668397721286629E-2</v>
      </c>
      <c r="P24" s="3"/>
      <c r="T24" s="8"/>
    </row>
    <row r="25" spans="1:20" x14ac:dyDescent="0.25">
      <c r="A25" s="3" t="s">
        <v>111</v>
      </c>
      <c r="B25">
        <v>133</v>
      </c>
      <c r="C25" s="6">
        <f t="shared" si="3"/>
        <v>7.5183719615602038E-2</v>
      </c>
      <c r="E25" s="3" t="s">
        <v>111</v>
      </c>
      <c r="F25" s="12">
        <v>0</v>
      </c>
      <c r="G25" s="12">
        <v>141425</v>
      </c>
      <c r="H25" s="12">
        <v>70616252</v>
      </c>
      <c r="I25" s="7">
        <f t="shared" si="4"/>
        <v>70.757677000000001</v>
      </c>
      <c r="J25" s="6">
        <f t="shared" si="5"/>
        <v>6.9735444574176186E-2</v>
      </c>
      <c r="P25" s="3"/>
      <c r="T25" s="8"/>
    </row>
    <row r="26" spans="1:20" x14ac:dyDescent="0.25">
      <c r="A26" s="3" t="s">
        <v>85</v>
      </c>
      <c r="B26">
        <v>36</v>
      </c>
      <c r="C26" s="6">
        <f t="shared" si="3"/>
        <v>2.0350480497456191E-2</v>
      </c>
      <c r="E26" s="3" t="s">
        <v>85</v>
      </c>
      <c r="F26" s="12">
        <v>0</v>
      </c>
      <c r="G26" s="12">
        <v>6303</v>
      </c>
      <c r="H26" s="12">
        <v>16929095</v>
      </c>
      <c r="I26" s="7">
        <f t="shared" si="4"/>
        <v>16.935397999999999</v>
      </c>
      <c r="J26" s="6">
        <f t="shared" si="5"/>
        <v>1.6690733198754026E-2</v>
      </c>
      <c r="P26" s="3"/>
      <c r="T26" s="8"/>
    </row>
    <row r="27" spans="1:20" x14ac:dyDescent="0.25">
      <c r="A27" s="3" t="s">
        <v>746</v>
      </c>
      <c r="B27">
        <v>11</v>
      </c>
      <c r="C27" s="6">
        <f t="shared" si="3"/>
        <v>6.2182023742227248E-3</v>
      </c>
      <c r="E27" s="3" t="s">
        <v>746</v>
      </c>
      <c r="F27" s="12">
        <v>0</v>
      </c>
      <c r="G27" s="12">
        <v>118320</v>
      </c>
      <c r="H27" s="12">
        <v>6179747</v>
      </c>
      <c r="I27" s="7">
        <f t="shared" si="4"/>
        <v>6.2980669999999996</v>
      </c>
      <c r="J27" s="6">
        <f t="shared" si="5"/>
        <v>6.2070791583922133E-3</v>
      </c>
      <c r="T27" s="8"/>
    </row>
    <row r="28" spans="1:20" x14ac:dyDescent="0.25">
      <c r="A28" s="3" t="s">
        <v>4425</v>
      </c>
      <c r="B28">
        <v>1769</v>
      </c>
      <c r="C28" s="6">
        <f t="shared" si="3"/>
        <v>1</v>
      </c>
      <c r="E28" s="3" t="s">
        <v>4425</v>
      </c>
      <c r="F28" s="12">
        <v>4321100</v>
      </c>
      <c r="G28" s="12">
        <v>1486873</v>
      </c>
      <c r="H28" s="12">
        <v>1008850748</v>
      </c>
      <c r="I28" s="7">
        <f t="shared" si="4"/>
        <v>1014.658721</v>
      </c>
      <c r="J28" s="6">
        <f t="shared" si="5"/>
        <v>1</v>
      </c>
      <c r="T28" s="8"/>
    </row>
    <row r="29" spans="1:20" x14ac:dyDescent="0.25">
      <c r="C29" s="6"/>
      <c r="D29" s="3"/>
      <c r="F29" s="1"/>
      <c r="G29" s="1"/>
      <c r="T29" s="8"/>
    </row>
    <row r="30" spans="1:20" x14ac:dyDescent="0.25">
      <c r="A30" s="3"/>
      <c r="D30" s="3"/>
      <c r="F30" s="1"/>
      <c r="G30" s="1"/>
      <c r="T30" s="8"/>
    </row>
    <row r="31" spans="1:20" x14ac:dyDescent="0.25">
      <c r="A31" s="4" t="s">
        <v>4422</v>
      </c>
      <c r="B31" t="s">
        <v>4450</v>
      </c>
      <c r="E31" s="4" t="s">
        <v>4422</v>
      </c>
      <c r="F31" t="s">
        <v>4442</v>
      </c>
      <c r="T31" s="8"/>
    </row>
    <row r="32" spans="1:20" x14ac:dyDescent="0.25">
      <c r="A32" s="3" t="s">
        <v>4426</v>
      </c>
      <c r="B32">
        <v>127</v>
      </c>
      <c r="E32" s="3" t="s">
        <v>217</v>
      </c>
      <c r="F32">
        <v>35</v>
      </c>
    </row>
    <row r="33" spans="1:18" x14ac:dyDescent="0.25">
      <c r="A33" s="3" t="s">
        <v>4427</v>
      </c>
      <c r="B33">
        <v>99</v>
      </c>
      <c r="E33" s="3" t="s">
        <v>26</v>
      </c>
      <c r="F33">
        <v>514</v>
      </c>
    </row>
    <row r="34" spans="1:18" x14ac:dyDescent="0.25">
      <c r="A34" s="3" t="s">
        <v>4428</v>
      </c>
      <c r="B34">
        <v>98</v>
      </c>
      <c r="E34" s="3" t="s">
        <v>103</v>
      </c>
      <c r="F34">
        <v>154</v>
      </c>
    </row>
    <row r="35" spans="1:18" x14ac:dyDescent="0.25">
      <c r="A35" s="3" t="s">
        <v>4429</v>
      </c>
      <c r="B35">
        <v>103</v>
      </c>
      <c r="E35" s="3" t="s">
        <v>413</v>
      </c>
      <c r="F35">
        <v>0</v>
      </c>
      <c r="O35" s="3"/>
      <c r="Q35" s="1"/>
      <c r="R35" s="1"/>
    </row>
    <row r="36" spans="1:18" x14ac:dyDescent="0.25">
      <c r="A36" s="3" t="s">
        <v>4430</v>
      </c>
      <c r="B36">
        <v>143</v>
      </c>
      <c r="E36" s="3" t="s">
        <v>143</v>
      </c>
      <c r="F36">
        <v>32</v>
      </c>
      <c r="O36" s="3"/>
      <c r="Q36" s="1"/>
      <c r="R36" s="1"/>
    </row>
    <row r="37" spans="1:18" x14ac:dyDescent="0.25">
      <c r="A37" s="3" t="s">
        <v>4431</v>
      </c>
      <c r="B37">
        <v>151</v>
      </c>
      <c r="E37" s="3" t="s">
        <v>238</v>
      </c>
      <c r="F37">
        <v>0</v>
      </c>
      <c r="O37" s="3"/>
      <c r="Q37" s="1"/>
      <c r="R37" s="1"/>
    </row>
    <row r="38" spans="1:18" x14ac:dyDescent="0.25">
      <c r="A38" s="3" t="s">
        <v>4432</v>
      </c>
      <c r="B38">
        <v>88</v>
      </c>
      <c r="E38" s="3" t="s">
        <v>831</v>
      </c>
      <c r="F38">
        <v>12</v>
      </c>
      <c r="O38" s="3"/>
      <c r="Q38" s="1"/>
      <c r="R38" s="1"/>
    </row>
    <row r="39" spans="1:18" x14ac:dyDescent="0.25">
      <c r="A39" s="3" t="s">
        <v>4433</v>
      </c>
      <c r="B39">
        <v>40</v>
      </c>
      <c r="E39" s="3" t="s">
        <v>6251</v>
      </c>
      <c r="F39">
        <v>0</v>
      </c>
      <c r="O39" s="3"/>
      <c r="Q39" s="1"/>
      <c r="R39" s="1"/>
    </row>
    <row r="40" spans="1:18" x14ac:dyDescent="0.25">
      <c r="A40" s="3" t="s">
        <v>4434</v>
      </c>
      <c r="B40">
        <v>45</v>
      </c>
      <c r="E40" s="3" t="s">
        <v>94</v>
      </c>
      <c r="F40">
        <v>128</v>
      </c>
      <c r="O40" s="3"/>
      <c r="Q40" s="1"/>
      <c r="R40" s="1"/>
    </row>
    <row r="41" spans="1:18" x14ac:dyDescent="0.25">
      <c r="A41" s="3" t="s">
        <v>4435</v>
      </c>
      <c r="B41">
        <v>131</v>
      </c>
      <c r="E41" s="3" t="s">
        <v>204</v>
      </c>
      <c r="F41">
        <v>67</v>
      </c>
      <c r="O41" s="3"/>
      <c r="Q41" s="1"/>
      <c r="R41" s="1"/>
    </row>
    <row r="42" spans="1:18" x14ac:dyDescent="0.25">
      <c r="A42" s="3" t="s">
        <v>4436</v>
      </c>
      <c r="B42">
        <v>117</v>
      </c>
      <c r="E42" s="3" t="s">
        <v>111</v>
      </c>
      <c r="F42">
        <v>60</v>
      </c>
      <c r="O42" s="3"/>
      <c r="Q42" s="1"/>
      <c r="R42" s="1"/>
    </row>
    <row r="43" spans="1:18" x14ac:dyDescent="0.25">
      <c r="A43" s="3" t="s">
        <v>4437</v>
      </c>
      <c r="B43">
        <v>163</v>
      </c>
      <c r="E43" s="3" t="s">
        <v>85</v>
      </c>
      <c r="F43">
        <v>26</v>
      </c>
      <c r="O43" s="3"/>
      <c r="Q43" s="1"/>
      <c r="R43" s="1"/>
    </row>
    <row r="44" spans="1:18" x14ac:dyDescent="0.25">
      <c r="A44" s="3" t="s">
        <v>4438</v>
      </c>
      <c r="B44">
        <v>87</v>
      </c>
      <c r="E44" s="3" t="s">
        <v>746</v>
      </c>
      <c r="F44">
        <v>2</v>
      </c>
      <c r="O44" s="3"/>
      <c r="Q44" s="1"/>
      <c r="R44" s="1"/>
    </row>
    <row r="45" spans="1:18" x14ac:dyDescent="0.25">
      <c r="A45" s="3" t="s">
        <v>4439</v>
      </c>
      <c r="B45">
        <v>108</v>
      </c>
      <c r="E45" s="3" t="s">
        <v>4425</v>
      </c>
      <c r="F45">
        <v>1030</v>
      </c>
    </row>
    <row r="46" spans="1:18" x14ac:dyDescent="0.25">
      <c r="A46" s="3" t="s">
        <v>4440</v>
      </c>
      <c r="B46">
        <v>134</v>
      </c>
    </row>
    <row r="47" spans="1:18" x14ac:dyDescent="0.25">
      <c r="A47" s="3" t="s">
        <v>4441</v>
      </c>
      <c r="B47">
        <v>135</v>
      </c>
    </row>
    <row r="48" spans="1:18" x14ac:dyDescent="0.25">
      <c r="A48" s="3" t="s">
        <v>4425</v>
      </c>
      <c r="B48">
        <v>1769</v>
      </c>
    </row>
    <row r="53" spans="1:18" x14ac:dyDescent="0.25">
      <c r="A53" s="4" t="s">
        <v>4422</v>
      </c>
      <c r="B53" t="s">
        <v>4442</v>
      </c>
    </row>
    <row r="54" spans="1:18" x14ac:dyDescent="0.25">
      <c r="A54" s="3" t="s">
        <v>4556</v>
      </c>
      <c r="B54">
        <v>0</v>
      </c>
    </row>
    <row r="55" spans="1:18" x14ac:dyDescent="0.25">
      <c r="A55" s="3" t="s">
        <v>4561</v>
      </c>
      <c r="B55">
        <v>0</v>
      </c>
    </row>
    <row r="56" spans="1:18" x14ac:dyDescent="0.25">
      <c r="A56" s="3" t="s">
        <v>4345</v>
      </c>
      <c r="B56">
        <v>1</v>
      </c>
      <c r="H56">
        <f>604/SUM(I60:I70)</f>
        <v>0.72162485065710869</v>
      </c>
      <c r="I56">
        <f>SUM(I61:I70)/SUM(I60:I70)</f>
        <v>0.29032258064516131</v>
      </c>
    </row>
    <row r="57" spans="1:18" x14ac:dyDescent="0.25">
      <c r="A57" s="3" t="s">
        <v>5327</v>
      </c>
      <c r="B57">
        <v>2</v>
      </c>
    </row>
    <row r="58" spans="1:18" x14ac:dyDescent="0.25">
      <c r="A58" s="3" t="s">
        <v>5328</v>
      </c>
      <c r="B58">
        <v>0</v>
      </c>
    </row>
    <row r="59" spans="1:18" x14ac:dyDescent="0.25">
      <c r="A59" s="3" t="s">
        <v>4564</v>
      </c>
      <c r="B59">
        <v>1</v>
      </c>
      <c r="H59" t="s">
        <v>4445</v>
      </c>
      <c r="I59" t="s">
        <v>4446</v>
      </c>
      <c r="J59" t="s">
        <v>4447</v>
      </c>
      <c r="L59" t="s">
        <v>4448</v>
      </c>
      <c r="M59" t="s">
        <v>4446</v>
      </c>
      <c r="N59" t="s">
        <v>4447</v>
      </c>
      <c r="P59" t="s">
        <v>4449</v>
      </c>
      <c r="Q59" t="s">
        <v>4446</v>
      </c>
      <c r="R59" t="s">
        <v>4447</v>
      </c>
    </row>
    <row r="60" spans="1:18" x14ac:dyDescent="0.25">
      <c r="A60" s="3" t="s">
        <v>4352</v>
      </c>
      <c r="B60">
        <v>0</v>
      </c>
      <c r="H60">
        <v>0</v>
      </c>
      <c r="I60">
        <v>594</v>
      </c>
      <c r="J60">
        <v>70.9677419354839</v>
      </c>
      <c r="L60">
        <v>0</v>
      </c>
      <c r="M60">
        <v>250</v>
      </c>
      <c r="N60">
        <v>68.870523415977956</v>
      </c>
      <c r="P60">
        <v>0</v>
      </c>
      <c r="Q60">
        <v>266</v>
      </c>
      <c r="R60">
        <v>73.480662983425418</v>
      </c>
    </row>
    <row r="61" spans="1:18" x14ac:dyDescent="0.25">
      <c r="A61" s="3" t="s">
        <v>4341</v>
      </c>
      <c r="B61">
        <v>0</v>
      </c>
      <c r="H61">
        <v>1</v>
      </c>
      <c r="I61">
        <v>113</v>
      </c>
      <c r="J61">
        <v>13.500597371565112</v>
      </c>
      <c r="L61">
        <v>1</v>
      </c>
      <c r="M61">
        <v>55</v>
      </c>
      <c r="N61">
        <v>15.151515151515152</v>
      </c>
      <c r="P61">
        <v>1</v>
      </c>
      <c r="Q61">
        <v>43</v>
      </c>
      <c r="R61">
        <v>11.878453038674033</v>
      </c>
    </row>
    <row r="62" spans="1:18" x14ac:dyDescent="0.25">
      <c r="A62" s="3" t="s">
        <v>4337</v>
      </c>
      <c r="B62">
        <v>0</v>
      </c>
      <c r="H62">
        <v>2</v>
      </c>
      <c r="I62">
        <v>46</v>
      </c>
      <c r="J62">
        <v>5.4958183990442055</v>
      </c>
      <c r="L62">
        <v>2</v>
      </c>
      <c r="M62">
        <v>12</v>
      </c>
      <c r="N62">
        <v>3.3057851239669422</v>
      </c>
      <c r="P62">
        <v>2</v>
      </c>
      <c r="Q62">
        <v>19</v>
      </c>
      <c r="R62">
        <v>5.2486187845303869</v>
      </c>
    </row>
    <row r="63" spans="1:18" x14ac:dyDescent="0.25">
      <c r="A63" s="3" t="s">
        <v>4566</v>
      </c>
      <c r="B63">
        <v>0</v>
      </c>
      <c r="H63">
        <v>3</v>
      </c>
      <c r="I63">
        <v>28</v>
      </c>
      <c r="J63">
        <v>3.3452807646356031</v>
      </c>
      <c r="L63">
        <v>3</v>
      </c>
      <c r="M63">
        <v>16</v>
      </c>
      <c r="N63">
        <v>4.4077134986225897</v>
      </c>
      <c r="P63">
        <v>3</v>
      </c>
      <c r="Q63">
        <v>9</v>
      </c>
      <c r="R63">
        <v>2.4861878453038675</v>
      </c>
    </row>
    <row r="64" spans="1:18" x14ac:dyDescent="0.25">
      <c r="A64" s="3" t="s">
        <v>4357</v>
      </c>
      <c r="B64">
        <v>2</v>
      </c>
      <c r="H64">
        <v>4</v>
      </c>
      <c r="I64">
        <v>16</v>
      </c>
      <c r="J64">
        <v>1.9115890083632019</v>
      </c>
      <c r="L64">
        <v>4</v>
      </c>
      <c r="M64">
        <v>6</v>
      </c>
      <c r="N64">
        <v>1.6528925619834711</v>
      </c>
      <c r="P64">
        <v>4</v>
      </c>
      <c r="Q64">
        <v>6</v>
      </c>
      <c r="R64">
        <v>1.6574585635359116</v>
      </c>
    </row>
    <row r="65" spans="1:18" x14ac:dyDescent="0.25">
      <c r="A65" s="3" t="s">
        <v>4569</v>
      </c>
      <c r="B65">
        <v>4</v>
      </c>
      <c r="H65">
        <v>5</v>
      </c>
      <c r="I65">
        <v>11</v>
      </c>
      <c r="J65">
        <v>1.3142174432497014</v>
      </c>
      <c r="L65">
        <v>5</v>
      </c>
      <c r="M65">
        <v>3</v>
      </c>
      <c r="N65">
        <v>0.82644628099173556</v>
      </c>
      <c r="P65">
        <v>5</v>
      </c>
      <c r="Q65">
        <v>3</v>
      </c>
      <c r="R65">
        <v>0.82872928176795579</v>
      </c>
    </row>
    <row r="66" spans="1:18" x14ac:dyDescent="0.25">
      <c r="A66" s="3" t="s">
        <v>5279</v>
      </c>
      <c r="B66">
        <v>0</v>
      </c>
      <c r="H66">
        <v>6</v>
      </c>
      <c r="I66">
        <v>10</v>
      </c>
      <c r="J66">
        <v>1.1947431302270013</v>
      </c>
      <c r="L66">
        <v>6</v>
      </c>
      <c r="M66">
        <v>8</v>
      </c>
      <c r="N66">
        <v>2.2038567493112948</v>
      </c>
      <c r="P66">
        <v>6</v>
      </c>
      <c r="Q66">
        <v>9</v>
      </c>
      <c r="R66">
        <v>2.4861878453038675</v>
      </c>
    </row>
    <row r="67" spans="1:18" x14ac:dyDescent="0.25">
      <c r="A67" s="3" t="s">
        <v>4360</v>
      </c>
      <c r="B67">
        <v>0</v>
      </c>
      <c r="H67">
        <v>7</v>
      </c>
      <c r="I67">
        <v>3</v>
      </c>
      <c r="J67">
        <v>0.35842293906810035</v>
      </c>
      <c r="L67">
        <v>7</v>
      </c>
      <c r="M67">
        <v>3</v>
      </c>
      <c r="N67">
        <v>0.82644628099173556</v>
      </c>
      <c r="P67">
        <v>7</v>
      </c>
      <c r="Q67">
        <v>2</v>
      </c>
      <c r="R67">
        <v>0.55248618784530379</v>
      </c>
    </row>
    <row r="68" spans="1:18" x14ac:dyDescent="0.25">
      <c r="A68" s="3" t="s">
        <v>6100</v>
      </c>
      <c r="B68">
        <v>0</v>
      </c>
      <c r="H68">
        <v>8</v>
      </c>
      <c r="I68">
        <v>4</v>
      </c>
      <c r="J68">
        <v>0.47789725209080047</v>
      </c>
      <c r="L68">
        <v>8</v>
      </c>
      <c r="M68">
        <v>1</v>
      </c>
      <c r="N68">
        <v>0.27548209366391185</v>
      </c>
      <c r="P68">
        <v>8</v>
      </c>
      <c r="Q68">
        <v>2</v>
      </c>
      <c r="R68">
        <v>0.55248618784530379</v>
      </c>
    </row>
    <row r="69" spans="1:18" x14ac:dyDescent="0.25">
      <c r="A69" s="3" t="s">
        <v>18</v>
      </c>
      <c r="B69">
        <v>0</v>
      </c>
      <c r="H69">
        <v>9</v>
      </c>
      <c r="I69">
        <v>3</v>
      </c>
      <c r="J69">
        <v>0.35842293906810035</v>
      </c>
      <c r="L69">
        <v>9</v>
      </c>
      <c r="M69">
        <v>3</v>
      </c>
      <c r="N69">
        <v>0.82644628099173556</v>
      </c>
      <c r="P69">
        <v>9</v>
      </c>
      <c r="Q69">
        <v>2</v>
      </c>
      <c r="R69">
        <v>0.55248618784530379</v>
      </c>
    </row>
    <row r="70" spans="1:18" x14ac:dyDescent="0.25">
      <c r="A70" s="3" t="s">
        <v>5329</v>
      </c>
      <c r="B70">
        <v>0</v>
      </c>
      <c r="H70" t="s">
        <v>4443</v>
      </c>
      <c r="I70">
        <v>9</v>
      </c>
      <c r="J70">
        <v>1.0752688172043012</v>
      </c>
      <c r="L70" t="s">
        <v>4443</v>
      </c>
      <c r="M70">
        <v>6</v>
      </c>
      <c r="N70">
        <v>1.6528925619834711</v>
      </c>
      <c r="P70" t="s">
        <v>4443</v>
      </c>
      <c r="Q70">
        <v>1</v>
      </c>
      <c r="R70">
        <v>0.27624309392265189</v>
      </c>
    </row>
    <row r="71" spans="1:18" x14ac:dyDescent="0.25">
      <c r="A71" s="3" t="s">
        <v>5482</v>
      </c>
      <c r="B71">
        <v>0</v>
      </c>
    </row>
    <row r="72" spans="1:18" x14ac:dyDescent="0.25">
      <c r="A72" s="3" t="s">
        <v>37</v>
      </c>
      <c r="B72">
        <v>0</v>
      </c>
      <c r="H72">
        <v>10</v>
      </c>
      <c r="I72">
        <v>1</v>
      </c>
      <c r="L72">
        <v>10</v>
      </c>
      <c r="M72">
        <v>1</v>
      </c>
      <c r="P72">
        <v>10</v>
      </c>
      <c r="Q72">
        <v>0</v>
      </c>
    </row>
    <row r="73" spans="1:18" x14ac:dyDescent="0.25">
      <c r="A73" s="3" t="s">
        <v>5330</v>
      </c>
      <c r="B73">
        <v>0</v>
      </c>
      <c r="H73">
        <v>11</v>
      </c>
      <c r="I73">
        <v>1</v>
      </c>
      <c r="L73">
        <v>11</v>
      </c>
      <c r="M73">
        <v>0</v>
      </c>
      <c r="P73">
        <v>11</v>
      </c>
      <c r="Q73">
        <v>0</v>
      </c>
    </row>
    <row r="74" spans="1:18" x14ac:dyDescent="0.25">
      <c r="A74" s="3" t="s">
        <v>5148</v>
      </c>
      <c r="B74">
        <v>0</v>
      </c>
      <c r="H74">
        <v>12</v>
      </c>
      <c r="I74">
        <v>2</v>
      </c>
      <c r="L74">
        <v>12</v>
      </c>
      <c r="M74">
        <v>2</v>
      </c>
      <c r="P74">
        <v>12</v>
      </c>
      <c r="Q74">
        <v>0</v>
      </c>
    </row>
    <row r="75" spans="1:18" x14ac:dyDescent="0.25">
      <c r="A75" s="3" t="s">
        <v>4373</v>
      </c>
      <c r="B75">
        <v>0</v>
      </c>
      <c r="H75">
        <v>14</v>
      </c>
      <c r="I75">
        <v>1</v>
      </c>
      <c r="L75">
        <v>14</v>
      </c>
      <c r="M75">
        <v>1</v>
      </c>
      <c r="P75">
        <v>14</v>
      </c>
      <c r="Q75">
        <v>0</v>
      </c>
    </row>
    <row r="76" spans="1:18" x14ac:dyDescent="0.25">
      <c r="A76" s="3" t="s">
        <v>5331</v>
      </c>
      <c r="B76">
        <v>0</v>
      </c>
      <c r="H76">
        <v>17</v>
      </c>
      <c r="I76">
        <v>1</v>
      </c>
      <c r="L76">
        <v>17</v>
      </c>
      <c r="M76">
        <v>0</v>
      </c>
      <c r="P76">
        <v>17</v>
      </c>
      <c r="Q76">
        <v>0</v>
      </c>
    </row>
    <row r="77" spans="1:18" x14ac:dyDescent="0.25">
      <c r="A77" s="3" t="s">
        <v>5060</v>
      </c>
      <c r="B77">
        <v>0</v>
      </c>
      <c r="H77">
        <v>19</v>
      </c>
      <c r="I77">
        <v>1</v>
      </c>
      <c r="L77">
        <v>19</v>
      </c>
      <c r="M77">
        <v>1</v>
      </c>
      <c r="P77">
        <v>19</v>
      </c>
      <c r="Q77">
        <v>1</v>
      </c>
    </row>
    <row r="78" spans="1:18" x14ac:dyDescent="0.25">
      <c r="A78" s="3" t="s">
        <v>4572</v>
      </c>
      <c r="B78">
        <v>1</v>
      </c>
      <c r="H78">
        <v>22</v>
      </c>
      <c r="I78">
        <v>1</v>
      </c>
      <c r="L78">
        <v>22</v>
      </c>
      <c r="M78">
        <v>1</v>
      </c>
      <c r="P78">
        <v>22</v>
      </c>
      <c r="Q78">
        <v>0</v>
      </c>
    </row>
    <row r="79" spans="1:18" x14ac:dyDescent="0.25">
      <c r="A79" s="3" t="s">
        <v>4574</v>
      </c>
      <c r="B79">
        <v>1</v>
      </c>
      <c r="H79">
        <v>27</v>
      </c>
      <c r="I79">
        <v>1</v>
      </c>
      <c r="L79">
        <v>27</v>
      </c>
      <c r="M79">
        <v>0</v>
      </c>
      <c r="P79">
        <v>27</v>
      </c>
      <c r="Q79">
        <v>0</v>
      </c>
    </row>
    <row r="80" spans="1:18" x14ac:dyDescent="0.25">
      <c r="A80" s="3" t="s">
        <v>4384</v>
      </c>
      <c r="B80">
        <v>0</v>
      </c>
    </row>
    <row r="81" spans="1:12" x14ac:dyDescent="0.25">
      <c r="A81" s="3" t="s">
        <v>4388</v>
      </c>
      <c r="B81">
        <v>0</v>
      </c>
      <c r="H81" s="4" t="s">
        <v>4422</v>
      </c>
      <c r="I81" t="s">
        <v>4450</v>
      </c>
      <c r="K81" s="4" t="s">
        <v>4422</v>
      </c>
      <c r="L81" t="s">
        <v>4450</v>
      </c>
    </row>
    <row r="82" spans="1:12" x14ac:dyDescent="0.25">
      <c r="A82" s="3" t="s">
        <v>4576</v>
      </c>
      <c r="B82">
        <v>0</v>
      </c>
      <c r="H82" s="3" t="s">
        <v>5138</v>
      </c>
      <c r="I82">
        <v>3</v>
      </c>
      <c r="K82" s="3" t="s">
        <v>4454</v>
      </c>
      <c r="L82">
        <v>13</v>
      </c>
    </row>
    <row r="83" spans="1:12" x14ac:dyDescent="0.25">
      <c r="A83" s="3" t="s">
        <v>4392</v>
      </c>
      <c r="B83">
        <v>0</v>
      </c>
      <c r="H83" s="3" t="s">
        <v>53</v>
      </c>
      <c r="I83">
        <v>207</v>
      </c>
      <c r="K83" s="3" t="s">
        <v>4484</v>
      </c>
      <c r="L83">
        <v>3</v>
      </c>
    </row>
    <row r="84" spans="1:12" x14ac:dyDescent="0.25">
      <c r="A84" s="3" t="s">
        <v>4578</v>
      </c>
      <c r="B84">
        <v>0</v>
      </c>
      <c r="H84" s="3" t="s">
        <v>356</v>
      </c>
      <c r="I84">
        <v>30</v>
      </c>
      <c r="K84" s="3" t="s">
        <v>1377</v>
      </c>
      <c r="L84">
        <v>5</v>
      </c>
    </row>
    <row r="85" spans="1:12" x14ac:dyDescent="0.25">
      <c r="A85" s="3" t="s">
        <v>4396</v>
      </c>
      <c r="B85">
        <v>0</v>
      </c>
      <c r="H85" s="3" t="s">
        <v>32</v>
      </c>
      <c r="I85">
        <v>265</v>
      </c>
      <c r="K85" s="3" t="s">
        <v>273</v>
      </c>
      <c r="L85">
        <v>10</v>
      </c>
    </row>
    <row r="86" spans="1:12" x14ac:dyDescent="0.25">
      <c r="A86" s="3" t="s">
        <v>4400</v>
      </c>
      <c r="B86">
        <v>3</v>
      </c>
      <c r="H86" s="3" t="s">
        <v>128</v>
      </c>
      <c r="I86">
        <v>85</v>
      </c>
      <c r="K86" s="3" t="s">
        <v>241</v>
      </c>
      <c r="L86">
        <v>17</v>
      </c>
    </row>
    <row r="87" spans="1:12" x14ac:dyDescent="0.25">
      <c r="A87" s="3" t="s">
        <v>4405</v>
      </c>
      <c r="B87">
        <v>0</v>
      </c>
      <c r="H87" s="3" t="s">
        <v>47</v>
      </c>
      <c r="I87">
        <v>256</v>
      </c>
      <c r="K87" s="3" t="s">
        <v>4499</v>
      </c>
      <c r="L87">
        <v>24</v>
      </c>
    </row>
    <row r="88" spans="1:12" x14ac:dyDescent="0.25">
      <c r="A88" s="3" t="s">
        <v>4580</v>
      </c>
      <c r="B88">
        <v>0</v>
      </c>
      <c r="H88" s="3" t="s">
        <v>23</v>
      </c>
      <c r="I88">
        <v>184</v>
      </c>
      <c r="K88" s="3" t="s">
        <v>80</v>
      </c>
      <c r="L88">
        <v>13</v>
      </c>
    </row>
    <row r="89" spans="1:12" x14ac:dyDescent="0.25">
      <c r="A89" s="3" t="s">
        <v>5332</v>
      </c>
      <c r="B89">
        <v>0</v>
      </c>
      <c r="H89" s="3" t="s">
        <v>1029</v>
      </c>
      <c r="I89">
        <v>11</v>
      </c>
      <c r="K89" s="3" t="s">
        <v>817</v>
      </c>
      <c r="L89">
        <v>1</v>
      </c>
    </row>
    <row r="90" spans="1:12" x14ac:dyDescent="0.25">
      <c r="A90" s="3" t="s">
        <v>4413</v>
      </c>
      <c r="B90">
        <v>0</v>
      </c>
      <c r="H90" s="3" t="s">
        <v>4559</v>
      </c>
      <c r="I90">
        <v>240</v>
      </c>
      <c r="K90" s="3" t="s">
        <v>4552</v>
      </c>
      <c r="L90">
        <v>1</v>
      </c>
    </row>
    <row r="91" spans="1:12" x14ac:dyDescent="0.25">
      <c r="A91" s="3" t="s">
        <v>5333</v>
      </c>
      <c r="B91">
        <v>0</v>
      </c>
      <c r="H91" s="3" t="s">
        <v>141</v>
      </c>
      <c r="I91">
        <v>19</v>
      </c>
      <c r="K91" s="3" t="s">
        <v>4557</v>
      </c>
      <c r="L91">
        <v>240</v>
      </c>
    </row>
    <row r="92" spans="1:12" x14ac:dyDescent="0.25">
      <c r="A92" s="3" t="s">
        <v>4583</v>
      </c>
      <c r="B92">
        <v>0</v>
      </c>
      <c r="H92" s="3" t="s">
        <v>101</v>
      </c>
      <c r="I92">
        <v>28</v>
      </c>
      <c r="K92" s="3" t="s">
        <v>5036</v>
      </c>
      <c r="L92">
        <v>3</v>
      </c>
    </row>
    <row r="93" spans="1:12" x14ac:dyDescent="0.25">
      <c r="A93" s="3" t="s">
        <v>5061</v>
      </c>
      <c r="B93">
        <v>1</v>
      </c>
      <c r="H93" s="3" t="s">
        <v>92</v>
      </c>
      <c r="I93">
        <v>9</v>
      </c>
      <c r="K93" s="3" t="s">
        <v>5042</v>
      </c>
      <c r="L93">
        <v>11</v>
      </c>
    </row>
    <row r="94" spans="1:12" x14ac:dyDescent="0.25">
      <c r="A94" s="3" t="s">
        <v>5285</v>
      </c>
      <c r="B94">
        <v>0</v>
      </c>
      <c r="H94" s="3" t="s">
        <v>4456</v>
      </c>
      <c r="I94">
        <v>16</v>
      </c>
      <c r="K94" s="3" t="s">
        <v>5056</v>
      </c>
      <c r="L94">
        <v>2</v>
      </c>
    </row>
    <row r="95" spans="1:12" x14ac:dyDescent="0.25">
      <c r="A95" s="3" t="s">
        <v>4419</v>
      </c>
      <c r="B95">
        <v>1</v>
      </c>
      <c r="H95" s="3" t="s">
        <v>5058</v>
      </c>
      <c r="I95">
        <v>2</v>
      </c>
      <c r="K95" s="3" t="s">
        <v>21</v>
      </c>
      <c r="L95">
        <v>502</v>
      </c>
    </row>
    <row r="96" spans="1:12" x14ac:dyDescent="0.25">
      <c r="A96" s="3" t="s">
        <v>5334</v>
      </c>
      <c r="B96">
        <v>0</v>
      </c>
      <c r="H96" s="3" t="s">
        <v>5322</v>
      </c>
      <c r="I96">
        <v>4</v>
      </c>
      <c r="K96" s="3" t="s">
        <v>150</v>
      </c>
      <c r="L96">
        <v>3</v>
      </c>
    </row>
    <row r="97" spans="1:12" x14ac:dyDescent="0.25">
      <c r="A97" s="3" t="s">
        <v>58</v>
      </c>
      <c r="B97">
        <v>0</v>
      </c>
      <c r="H97" s="3" t="s">
        <v>275</v>
      </c>
      <c r="I97">
        <v>10</v>
      </c>
      <c r="K97" s="3" t="s">
        <v>395</v>
      </c>
      <c r="L97">
        <v>20</v>
      </c>
    </row>
    <row r="98" spans="1:12" x14ac:dyDescent="0.25">
      <c r="A98" s="3" t="s">
        <v>69</v>
      </c>
      <c r="B98">
        <v>0</v>
      </c>
      <c r="H98" s="3" t="s">
        <v>1379</v>
      </c>
      <c r="I98">
        <v>5</v>
      </c>
      <c r="K98" s="3" t="s">
        <v>3393</v>
      </c>
      <c r="L98">
        <v>2</v>
      </c>
    </row>
    <row r="99" spans="1:12" x14ac:dyDescent="0.25">
      <c r="A99" s="3" t="s">
        <v>78</v>
      </c>
      <c r="B99">
        <v>0</v>
      </c>
      <c r="H99" s="3" t="s">
        <v>4554</v>
      </c>
      <c r="I99">
        <v>73</v>
      </c>
      <c r="K99" s="3" t="s">
        <v>1293</v>
      </c>
      <c r="L99">
        <v>2</v>
      </c>
    </row>
    <row r="100" spans="1:12" x14ac:dyDescent="0.25">
      <c r="A100" s="3" t="s">
        <v>88</v>
      </c>
      <c r="B100">
        <v>2</v>
      </c>
      <c r="H100" s="3" t="s">
        <v>243</v>
      </c>
      <c r="I100">
        <v>17</v>
      </c>
      <c r="K100" s="3" t="s">
        <v>2432</v>
      </c>
      <c r="L100">
        <v>1</v>
      </c>
    </row>
    <row r="101" spans="1:12" x14ac:dyDescent="0.25">
      <c r="A101" s="3" t="s">
        <v>5247</v>
      </c>
      <c r="B101">
        <v>0</v>
      </c>
      <c r="H101" s="3" t="s">
        <v>109</v>
      </c>
      <c r="I101">
        <v>241</v>
      </c>
      <c r="K101" s="3" t="s">
        <v>341</v>
      </c>
      <c r="L101">
        <v>3</v>
      </c>
    </row>
    <row r="102" spans="1:12" x14ac:dyDescent="0.25">
      <c r="A102" s="3" t="s">
        <v>97</v>
      </c>
      <c r="B102">
        <v>0</v>
      </c>
      <c r="H102" s="3" t="s">
        <v>662</v>
      </c>
      <c r="I102">
        <v>6</v>
      </c>
      <c r="K102" s="3" t="s">
        <v>524</v>
      </c>
      <c r="L102">
        <v>2</v>
      </c>
    </row>
    <row r="103" spans="1:12" x14ac:dyDescent="0.25">
      <c r="A103" s="3" t="s">
        <v>5149</v>
      </c>
      <c r="B103">
        <v>0</v>
      </c>
      <c r="H103" s="3" t="s">
        <v>5313</v>
      </c>
      <c r="I103">
        <v>3</v>
      </c>
      <c r="K103" s="3" t="s">
        <v>45</v>
      </c>
      <c r="L103">
        <v>3</v>
      </c>
    </row>
    <row r="104" spans="1:12" x14ac:dyDescent="0.25">
      <c r="A104" s="3" t="s">
        <v>106</v>
      </c>
      <c r="B104">
        <v>0</v>
      </c>
      <c r="H104" s="3" t="s">
        <v>5038</v>
      </c>
      <c r="I104">
        <v>14</v>
      </c>
      <c r="K104" s="3" t="s">
        <v>529</v>
      </c>
      <c r="L104">
        <v>7</v>
      </c>
    </row>
    <row r="105" spans="1:12" x14ac:dyDescent="0.25">
      <c r="A105" s="3" t="s">
        <v>5164</v>
      </c>
      <c r="B105">
        <v>0</v>
      </c>
      <c r="H105" s="3" t="s">
        <v>4501</v>
      </c>
      <c r="I105">
        <v>24</v>
      </c>
      <c r="K105" s="3" t="s">
        <v>1816</v>
      </c>
      <c r="L105">
        <v>2</v>
      </c>
    </row>
    <row r="106" spans="1:12" x14ac:dyDescent="0.25">
      <c r="A106" s="3" t="s">
        <v>115</v>
      </c>
      <c r="B106">
        <v>0</v>
      </c>
      <c r="H106" s="3" t="s">
        <v>5130</v>
      </c>
      <c r="I106">
        <v>3</v>
      </c>
      <c r="K106" s="3" t="s">
        <v>312</v>
      </c>
      <c r="L106">
        <v>2</v>
      </c>
    </row>
    <row r="107" spans="1:12" x14ac:dyDescent="0.25">
      <c r="A107" s="3" t="s">
        <v>120</v>
      </c>
      <c r="B107">
        <v>1</v>
      </c>
      <c r="H107" s="3" t="s">
        <v>1930</v>
      </c>
      <c r="I107">
        <v>1</v>
      </c>
      <c r="K107" s="3" t="s">
        <v>2328</v>
      </c>
      <c r="L107">
        <v>1</v>
      </c>
    </row>
    <row r="108" spans="1:12" x14ac:dyDescent="0.25">
      <c r="A108" s="3" t="s">
        <v>5335</v>
      </c>
      <c r="B108">
        <v>0</v>
      </c>
      <c r="H108" s="3" t="s">
        <v>82</v>
      </c>
      <c r="I108">
        <v>13</v>
      </c>
      <c r="K108" s="3" t="s">
        <v>39</v>
      </c>
      <c r="L108">
        <v>10</v>
      </c>
    </row>
    <row r="109" spans="1:12" x14ac:dyDescent="0.25">
      <c r="A109" s="3" t="s">
        <v>132</v>
      </c>
      <c r="B109">
        <v>0</v>
      </c>
      <c r="H109" s="3" t="s">
        <v>4425</v>
      </c>
      <c r="I109">
        <v>1769</v>
      </c>
      <c r="K109" s="3" t="s">
        <v>1337</v>
      </c>
      <c r="L109">
        <v>2</v>
      </c>
    </row>
    <row r="110" spans="1:12" x14ac:dyDescent="0.25">
      <c r="A110" s="3" t="s">
        <v>5142</v>
      </c>
      <c r="B110">
        <v>0</v>
      </c>
      <c r="K110" s="3" t="s">
        <v>1973</v>
      </c>
      <c r="L110">
        <v>2</v>
      </c>
    </row>
    <row r="111" spans="1:12" x14ac:dyDescent="0.25">
      <c r="A111" s="3" t="s">
        <v>147</v>
      </c>
      <c r="B111">
        <v>0</v>
      </c>
      <c r="K111" s="3" t="s">
        <v>5128</v>
      </c>
      <c r="L111">
        <v>3</v>
      </c>
    </row>
    <row r="112" spans="1:12" x14ac:dyDescent="0.25">
      <c r="A112" s="3" t="s">
        <v>156</v>
      </c>
      <c r="B112">
        <v>0</v>
      </c>
      <c r="K112" s="3" t="s">
        <v>5136</v>
      </c>
      <c r="L112">
        <v>3</v>
      </c>
    </row>
    <row r="113" spans="1:12" x14ac:dyDescent="0.25">
      <c r="A113" s="3" t="s">
        <v>4586</v>
      </c>
      <c r="B113">
        <v>0</v>
      </c>
      <c r="K113" s="3" t="s">
        <v>139</v>
      </c>
      <c r="L113">
        <v>19</v>
      </c>
    </row>
    <row r="114" spans="1:12" x14ac:dyDescent="0.25">
      <c r="A114" s="3" t="s">
        <v>161</v>
      </c>
      <c r="B114">
        <v>1</v>
      </c>
      <c r="K114" s="3" t="s">
        <v>99</v>
      </c>
      <c r="L114">
        <v>28</v>
      </c>
    </row>
    <row r="115" spans="1:12" x14ac:dyDescent="0.25">
      <c r="A115" s="3" t="s">
        <v>171</v>
      </c>
      <c r="B115">
        <v>0</v>
      </c>
      <c r="K115" s="3" t="s">
        <v>90</v>
      </c>
      <c r="L115">
        <v>9</v>
      </c>
    </row>
    <row r="116" spans="1:12" x14ac:dyDescent="0.25">
      <c r="A116" s="3" t="s">
        <v>5336</v>
      </c>
      <c r="B116">
        <v>0</v>
      </c>
      <c r="K116" s="3" t="s">
        <v>702</v>
      </c>
      <c r="L116">
        <v>2</v>
      </c>
    </row>
    <row r="117" spans="1:12" x14ac:dyDescent="0.25">
      <c r="A117" s="3" t="s">
        <v>181</v>
      </c>
      <c r="B117">
        <v>0</v>
      </c>
      <c r="K117" s="3" t="s">
        <v>5165</v>
      </c>
      <c r="L117">
        <v>41</v>
      </c>
    </row>
    <row r="118" spans="1:12" x14ac:dyDescent="0.25">
      <c r="A118" s="3" t="s">
        <v>185</v>
      </c>
      <c r="B118">
        <v>0</v>
      </c>
      <c r="K118" s="3" t="s">
        <v>5248</v>
      </c>
      <c r="L118">
        <v>14</v>
      </c>
    </row>
    <row r="119" spans="1:12" x14ac:dyDescent="0.25">
      <c r="A119" s="3" t="s">
        <v>190</v>
      </c>
      <c r="B119">
        <v>6</v>
      </c>
      <c r="K119" s="3" t="s">
        <v>5280</v>
      </c>
      <c r="L119">
        <v>17</v>
      </c>
    </row>
    <row r="120" spans="1:12" x14ac:dyDescent="0.25">
      <c r="A120" s="3" t="s">
        <v>6106</v>
      </c>
      <c r="B120">
        <v>0</v>
      </c>
      <c r="K120" s="3" t="s">
        <v>5311</v>
      </c>
      <c r="L120">
        <v>3</v>
      </c>
    </row>
    <row r="121" spans="1:12" x14ac:dyDescent="0.25">
      <c r="A121" s="3" t="s">
        <v>195</v>
      </c>
      <c r="B121">
        <v>0</v>
      </c>
      <c r="K121" s="3" t="s">
        <v>1928</v>
      </c>
      <c r="L121">
        <v>1</v>
      </c>
    </row>
    <row r="122" spans="1:12" x14ac:dyDescent="0.25">
      <c r="A122" s="3" t="s">
        <v>202</v>
      </c>
      <c r="B122">
        <v>0</v>
      </c>
      <c r="K122" s="3" t="s">
        <v>482</v>
      </c>
      <c r="L122">
        <v>2</v>
      </c>
    </row>
    <row r="123" spans="1:12" x14ac:dyDescent="0.25">
      <c r="A123" s="3" t="s">
        <v>207</v>
      </c>
      <c r="B123">
        <v>0</v>
      </c>
      <c r="K123" s="3" t="s">
        <v>5320</v>
      </c>
      <c r="L123">
        <v>4</v>
      </c>
    </row>
    <row r="124" spans="1:12" x14ac:dyDescent="0.25">
      <c r="A124" s="3" t="s">
        <v>214</v>
      </c>
      <c r="B124">
        <v>0</v>
      </c>
      <c r="K124" s="3" t="s">
        <v>1401</v>
      </c>
      <c r="L124">
        <v>1</v>
      </c>
    </row>
    <row r="125" spans="1:12" x14ac:dyDescent="0.25">
      <c r="A125" s="3" t="s">
        <v>4588</v>
      </c>
      <c r="B125">
        <v>0</v>
      </c>
      <c r="K125" s="3" t="s">
        <v>1664</v>
      </c>
      <c r="L125">
        <v>1</v>
      </c>
    </row>
    <row r="126" spans="1:12" x14ac:dyDescent="0.25">
      <c r="A126" s="3" t="s">
        <v>4590</v>
      </c>
      <c r="B126">
        <v>1</v>
      </c>
      <c r="K126" s="3" t="s">
        <v>51</v>
      </c>
      <c r="L126">
        <v>630</v>
      </c>
    </row>
    <row r="127" spans="1:12" x14ac:dyDescent="0.25">
      <c r="A127" s="3" t="s">
        <v>5337</v>
      </c>
      <c r="B127">
        <v>0</v>
      </c>
      <c r="K127" s="3" t="s">
        <v>2369</v>
      </c>
      <c r="L127">
        <v>1</v>
      </c>
    </row>
    <row r="128" spans="1:12" x14ac:dyDescent="0.25">
      <c r="A128" s="3" t="s">
        <v>5338</v>
      </c>
      <c r="B128">
        <v>0</v>
      </c>
      <c r="K128" s="3" t="s">
        <v>30</v>
      </c>
      <c r="L128">
        <v>23</v>
      </c>
    </row>
    <row r="129" spans="1:12" x14ac:dyDescent="0.25">
      <c r="A129" s="3" t="s">
        <v>227</v>
      </c>
      <c r="B129">
        <v>0</v>
      </c>
      <c r="K129" s="3" t="s">
        <v>2238</v>
      </c>
      <c r="L129">
        <v>2</v>
      </c>
    </row>
    <row r="130" spans="1:12" x14ac:dyDescent="0.25">
      <c r="A130" s="3" t="s">
        <v>5339</v>
      </c>
      <c r="B130">
        <v>0</v>
      </c>
      <c r="K130" s="3" t="s">
        <v>835</v>
      </c>
      <c r="L130">
        <v>3</v>
      </c>
    </row>
    <row r="131" spans="1:12" x14ac:dyDescent="0.25">
      <c r="A131" s="3" t="s">
        <v>4592</v>
      </c>
      <c r="B131">
        <v>1</v>
      </c>
      <c r="K131" s="3" t="s">
        <v>1861</v>
      </c>
      <c r="L131">
        <v>1</v>
      </c>
    </row>
    <row r="132" spans="1:12" x14ac:dyDescent="0.25">
      <c r="A132" s="3" t="s">
        <v>233</v>
      </c>
      <c r="B132">
        <v>0</v>
      </c>
      <c r="K132" s="3" t="s">
        <v>576</v>
      </c>
      <c r="L132">
        <v>2</v>
      </c>
    </row>
    <row r="133" spans="1:12" x14ac:dyDescent="0.25">
      <c r="A133" s="3" t="s">
        <v>239</v>
      </c>
      <c r="B133">
        <v>0</v>
      </c>
      <c r="K133" s="3" t="s">
        <v>3001</v>
      </c>
      <c r="L133">
        <v>1</v>
      </c>
    </row>
    <row r="134" spans="1:12" x14ac:dyDescent="0.25">
      <c r="A134" s="3" t="s">
        <v>247</v>
      </c>
      <c r="B134">
        <v>0</v>
      </c>
      <c r="K134" s="3" t="s">
        <v>1279</v>
      </c>
      <c r="L134">
        <v>1</v>
      </c>
    </row>
    <row r="135" spans="1:12" x14ac:dyDescent="0.25">
      <c r="A135" s="3" t="s">
        <v>251</v>
      </c>
      <c r="B135">
        <v>0</v>
      </c>
      <c r="K135" s="3" t="s">
        <v>2511</v>
      </c>
      <c r="L135">
        <v>1</v>
      </c>
    </row>
    <row r="136" spans="1:12" x14ac:dyDescent="0.25">
      <c r="A136" s="3" t="s">
        <v>5340</v>
      </c>
      <c r="B136">
        <v>0</v>
      </c>
      <c r="K136" s="3" t="s">
        <v>631</v>
      </c>
      <c r="L136">
        <v>2</v>
      </c>
    </row>
    <row r="137" spans="1:12" x14ac:dyDescent="0.25">
      <c r="A137" s="3" t="s">
        <v>263</v>
      </c>
      <c r="B137">
        <v>0</v>
      </c>
      <c r="K137" s="3" t="s">
        <v>3896</v>
      </c>
      <c r="L137">
        <v>1</v>
      </c>
    </row>
    <row r="138" spans="1:12" x14ac:dyDescent="0.25">
      <c r="A138" s="3" t="s">
        <v>5341</v>
      </c>
      <c r="B138">
        <v>0</v>
      </c>
      <c r="K138" s="3" t="s">
        <v>2785</v>
      </c>
      <c r="L138">
        <v>1</v>
      </c>
    </row>
    <row r="139" spans="1:12" x14ac:dyDescent="0.25">
      <c r="A139" s="3" t="s">
        <v>5342</v>
      </c>
      <c r="B139">
        <v>0</v>
      </c>
      <c r="K139" s="3" t="s">
        <v>410</v>
      </c>
      <c r="L139">
        <v>2</v>
      </c>
    </row>
    <row r="140" spans="1:12" x14ac:dyDescent="0.25">
      <c r="A140" s="3" t="s">
        <v>4594</v>
      </c>
      <c r="B140">
        <v>0</v>
      </c>
      <c r="K140" s="3" t="s">
        <v>4062</v>
      </c>
      <c r="L140">
        <v>1</v>
      </c>
    </row>
    <row r="141" spans="1:12" x14ac:dyDescent="0.25">
      <c r="A141" s="3" t="s">
        <v>272</v>
      </c>
      <c r="B141">
        <v>0</v>
      </c>
      <c r="K141" s="3" t="s">
        <v>1342</v>
      </c>
      <c r="L141">
        <v>8</v>
      </c>
    </row>
    <row r="142" spans="1:12" x14ac:dyDescent="0.25">
      <c r="A142" s="3" t="s">
        <v>279</v>
      </c>
      <c r="B142">
        <v>19</v>
      </c>
      <c r="K142" s="3" t="s">
        <v>2780</v>
      </c>
      <c r="L142">
        <v>1</v>
      </c>
    </row>
    <row r="143" spans="1:12" x14ac:dyDescent="0.25">
      <c r="A143" s="3" t="s">
        <v>5160</v>
      </c>
      <c r="B143">
        <v>1</v>
      </c>
      <c r="K143" s="3" t="s">
        <v>420</v>
      </c>
      <c r="L143">
        <v>7</v>
      </c>
    </row>
    <row r="144" spans="1:12" x14ac:dyDescent="0.25">
      <c r="A144" s="3" t="s">
        <v>286</v>
      </c>
      <c r="B144">
        <v>0</v>
      </c>
      <c r="K144" s="3" t="s">
        <v>2773</v>
      </c>
      <c r="L144">
        <v>1</v>
      </c>
    </row>
    <row r="145" spans="1:12" x14ac:dyDescent="0.25">
      <c r="A145" s="3" t="s">
        <v>291</v>
      </c>
      <c r="B145">
        <v>0</v>
      </c>
      <c r="K145" s="3" t="s">
        <v>1444</v>
      </c>
      <c r="L145">
        <v>1</v>
      </c>
    </row>
    <row r="146" spans="1:12" x14ac:dyDescent="0.25">
      <c r="A146" s="3" t="s">
        <v>301</v>
      </c>
      <c r="B146">
        <v>0</v>
      </c>
      <c r="K146" s="3" t="s">
        <v>64</v>
      </c>
      <c r="L146">
        <v>13</v>
      </c>
    </row>
    <row r="147" spans="1:12" x14ac:dyDescent="0.25">
      <c r="A147" s="3" t="s">
        <v>306</v>
      </c>
      <c r="B147">
        <v>0</v>
      </c>
      <c r="K147" s="3" t="s">
        <v>1027</v>
      </c>
      <c r="L147">
        <v>11</v>
      </c>
    </row>
    <row r="148" spans="1:12" x14ac:dyDescent="0.25">
      <c r="A148" s="3" t="s">
        <v>4503</v>
      </c>
      <c r="B148">
        <v>0</v>
      </c>
      <c r="K148" s="3" t="s">
        <v>4425</v>
      </c>
      <c r="L148">
        <v>1769</v>
      </c>
    </row>
    <row r="149" spans="1:12" x14ac:dyDescent="0.25">
      <c r="A149" s="3" t="s">
        <v>327</v>
      </c>
      <c r="B149">
        <v>0</v>
      </c>
    </row>
    <row r="150" spans="1:12" x14ac:dyDescent="0.25">
      <c r="A150" s="3" t="s">
        <v>331</v>
      </c>
      <c r="B150">
        <v>0</v>
      </c>
    </row>
    <row r="151" spans="1:12" x14ac:dyDescent="0.25">
      <c r="A151" s="3" t="s">
        <v>335</v>
      </c>
      <c r="B151">
        <v>0</v>
      </c>
    </row>
    <row r="152" spans="1:12" x14ac:dyDescent="0.25">
      <c r="A152" s="3" t="s">
        <v>346</v>
      </c>
      <c r="B152">
        <v>0</v>
      </c>
    </row>
    <row r="153" spans="1:12" x14ac:dyDescent="0.25">
      <c r="A153" s="3" t="s">
        <v>351</v>
      </c>
      <c r="B153">
        <v>1</v>
      </c>
    </row>
    <row r="154" spans="1:12" x14ac:dyDescent="0.25">
      <c r="A154" s="3" t="s">
        <v>354</v>
      </c>
      <c r="B154">
        <v>0</v>
      </c>
    </row>
    <row r="155" spans="1:12" x14ac:dyDescent="0.25">
      <c r="A155" s="3" t="s">
        <v>6113</v>
      </c>
      <c r="B155">
        <v>0</v>
      </c>
    </row>
    <row r="156" spans="1:12" x14ac:dyDescent="0.25">
      <c r="A156" s="3" t="s">
        <v>4596</v>
      </c>
      <c r="B156">
        <v>0</v>
      </c>
    </row>
    <row r="157" spans="1:12" x14ac:dyDescent="0.25">
      <c r="A157" s="3" t="s">
        <v>4599</v>
      </c>
      <c r="B157">
        <v>0</v>
      </c>
    </row>
    <row r="158" spans="1:12" x14ac:dyDescent="0.25">
      <c r="A158" s="3" t="s">
        <v>6115</v>
      </c>
      <c r="B158">
        <v>0</v>
      </c>
    </row>
    <row r="159" spans="1:12" x14ac:dyDescent="0.25">
      <c r="A159" s="3" t="s">
        <v>5344</v>
      </c>
      <c r="B159">
        <v>0</v>
      </c>
    </row>
    <row r="160" spans="1:12" x14ac:dyDescent="0.25">
      <c r="A160" s="3" t="s">
        <v>5343</v>
      </c>
      <c r="B160">
        <v>0</v>
      </c>
    </row>
    <row r="161" spans="1:2" x14ac:dyDescent="0.25">
      <c r="A161" s="3" t="s">
        <v>4601</v>
      </c>
      <c r="B161">
        <v>0</v>
      </c>
    </row>
    <row r="162" spans="1:2" x14ac:dyDescent="0.25">
      <c r="A162" s="3" t="s">
        <v>4604</v>
      </c>
      <c r="B162">
        <v>0</v>
      </c>
    </row>
    <row r="163" spans="1:2" x14ac:dyDescent="0.25">
      <c r="A163" s="3" t="s">
        <v>367</v>
      </c>
      <c r="B163">
        <v>0</v>
      </c>
    </row>
    <row r="164" spans="1:2" x14ac:dyDescent="0.25">
      <c r="A164" s="3" t="s">
        <v>372</v>
      </c>
      <c r="B164">
        <v>0</v>
      </c>
    </row>
    <row r="165" spans="1:2" x14ac:dyDescent="0.25">
      <c r="A165" s="3" t="s">
        <v>376</v>
      </c>
      <c r="B165">
        <v>0</v>
      </c>
    </row>
    <row r="166" spans="1:2" x14ac:dyDescent="0.25">
      <c r="A166" s="3" t="s">
        <v>5066</v>
      </c>
      <c r="B166">
        <v>1</v>
      </c>
    </row>
    <row r="167" spans="1:2" x14ac:dyDescent="0.25">
      <c r="A167" s="3" t="s">
        <v>387</v>
      </c>
      <c r="B167">
        <v>0</v>
      </c>
    </row>
    <row r="168" spans="1:2" x14ac:dyDescent="0.25">
      <c r="A168" s="3" t="s">
        <v>391</v>
      </c>
      <c r="B168">
        <v>0</v>
      </c>
    </row>
    <row r="169" spans="1:2" x14ac:dyDescent="0.25">
      <c r="A169" s="3" t="s">
        <v>399</v>
      </c>
      <c r="B169">
        <v>10</v>
      </c>
    </row>
    <row r="170" spans="1:2" x14ac:dyDescent="0.25">
      <c r="A170" s="3" t="s">
        <v>4606</v>
      </c>
      <c r="B170">
        <v>0</v>
      </c>
    </row>
    <row r="171" spans="1:2" x14ac:dyDescent="0.25">
      <c r="A171" s="3" t="s">
        <v>400</v>
      </c>
      <c r="B171">
        <v>0</v>
      </c>
    </row>
    <row r="172" spans="1:2" x14ac:dyDescent="0.25">
      <c r="A172" s="3" t="s">
        <v>5067</v>
      </c>
      <c r="B172">
        <v>0</v>
      </c>
    </row>
    <row r="173" spans="1:2" x14ac:dyDescent="0.25">
      <c r="A173" s="3" t="s">
        <v>5491</v>
      </c>
      <c r="B173">
        <v>0</v>
      </c>
    </row>
    <row r="174" spans="1:2" x14ac:dyDescent="0.25">
      <c r="A174" s="3" t="s">
        <v>4608</v>
      </c>
      <c r="B174">
        <v>5</v>
      </c>
    </row>
    <row r="175" spans="1:2" x14ac:dyDescent="0.25">
      <c r="A175" s="3" t="s">
        <v>5170</v>
      </c>
      <c r="B175">
        <v>0</v>
      </c>
    </row>
    <row r="176" spans="1:2" x14ac:dyDescent="0.25">
      <c r="A176" s="3" t="s">
        <v>425</v>
      </c>
      <c r="B176">
        <v>0</v>
      </c>
    </row>
    <row r="177" spans="1:2" x14ac:dyDescent="0.25">
      <c r="A177" s="3" t="s">
        <v>5123</v>
      </c>
      <c r="B177">
        <v>0</v>
      </c>
    </row>
    <row r="178" spans="1:2" x14ac:dyDescent="0.25">
      <c r="A178" s="3" t="s">
        <v>433</v>
      </c>
      <c r="B178">
        <v>0</v>
      </c>
    </row>
    <row r="179" spans="1:2" x14ac:dyDescent="0.25">
      <c r="A179" s="3" t="s">
        <v>5345</v>
      </c>
      <c r="B179">
        <v>0</v>
      </c>
    </row>
    <row r="180" spans="1:2" x14ac:dyDescent="0.25">
      <c r="A180" s="3" t="s">
        <v>4610</v>
      </c>
      <c r="B180">
        <v>1</v>
      </c>
    </row>
    <row r="181" spans="1:2" x14ac:dyDescent="0.25">
      <c r="A181" s="3" t="s">
        <v>5291</v>
      </c>
      <c r="B181">
        <v>0</v>
      </c>
    </row>
    <row r="182" spans="1:2" x14ac:dyDescent="0.25">
      <c r="A182" s="3" t="s">
        <v>439</v>
      </c>
      <c r="B182">
        <v>0</v>
      </c>
    </row>
    <row r="183" spans="1:2" x14ac:dyDescent="0.25">
      <c r="A183" s="3" t="s">
        <v>442</v>
      </c>
      <c r="B183">
        <v>0</v>
      </c>
    </row>
    <row r="184" spans="1:2" x14ac:dyDescent="0.25">
      <c r="A184" s="3" t="s">
        <v>447</v>
      </c>
      <c r="B184">
        <v>6</v>
      </c>
    </row>
    <row r="185" spans="1:2" x14ac:dyDescent="0.25">
      <c r="A185" s="3" t="s">
        <v>5173</v>
      </c>
      <c r="B185">
        <v>1</v>
      </c>
    </row>
    <row r="186" spans="1:2" x14ac:dyDescent="0.25">
      <c r="A186" s="3" t="s">
        <v>4613</v>
      </c>
      <c r="B186">
        <v>0</v>
      </c>
    </row>
    <row r="187" spans="1:2" x14ac:dyDescent="0.25">
      <c r="A187" s="3" t="s">
        <v>450</v>
      </c>
      <c r="B187">
        <v>0</v>
      </c>
    </row>
    <row r="188" spans="1:2" x14ac:dyDescent="0.25">
      <c r="A188" s="3" t="s">
        <v>5068</v>
      </c>
      <c r="B188">
        <v>0</v>
      </c>
    </row>
    <row r="189" spans="1:2" x14ac:dyDescent="0.25">
      <c r="A189" s="3" t="s">
        <v>5346</v>
      </c>
      <c r="B189">
        <v>0</v>
      </c>
    </row>
    <row r="190" spans="1:2" x14ac:dyDescent="0.25">
      <c r="A190" s="3" t="s">
        <v>464</v>
      </c>
      <c r="B190">
        <v>9</v>
      </c>
    </row>
    <row r="191" spans="1:2" x14ac:dyDescent="0.25">
      <c r="A191" s="3" t="s">
        <v>5347</v>
      </c>
      <c r="B191">
        <v>0</v>
      </c>
    </row>
    <row r="192" spans="1:2" x14ac:dyDescent="0.25">
      <c r="A192" s="3" t="s">
        <v>5348</v>
      </c>
      <c r="B192">
        <v>6</v>
      </c>
    </row>
    <row r="193" spans="1:2" x14ac:dyDescent="0.25">
      <c r="A193" s="3" t="s">
        <v>473</v>
      </c>
      <c r="B193">
        <v>0</v>
      </c>
    </row>
    <row r="194" spans="1:2" x14ac:dyDescent="0.25">
      <c r="A194" s="3" t="s">
        <v>6119</v>
      </c>
      <c r="B194">
        <v>0</v>
      </c>
    </row>
    <row r="195" spans="1:2" x14ac:dyDescent="0.25">
      <c r="A195" s="3" t="s">
        <v>5294</v>
      </c>
      <c r="B195">
        <v>0</v>
      </c>
    </row>
    <row r="196" spans="1:2" x14ac:dyDescent="0.25">
      <c r="A196" s="3" t="s">
        <v>478</v>
      </c>
      <c r="B196">
        <v>0</v>
      </c>
    </row>
    <row r="197" spans="1:2" x14ac:dyDescent="0.25">
      <c r="A197" s="3" t="s">
        <v>481</v>
      </c>
      <c r="B197">
        <v>0</v>
      </c>
    </row>
    <row r="198" spans="1:2" x14ac:dyDescent="0.25">
      <c r="A198" s="3" t="s">
        <v>487</v>
      </c>
      <c r="B198">
        <v>0</v>
      </c>
    </row>
    <row r="199" spans="1:2" x14ac:dyDescent="0.25">
      <c r="A199" s="3" t="s">
        <v>491</v>
      </c>
      <c r="B199">
        <v>1</v>
      </c>
    </row>
    <row r="200" spans="1:2" x14ac:dyDescent="0.25">
      <c r="A200" s="3" t="s">
        <v>4615</v>
      </c>
      <c r="B200">
        <v>0</v>
      </c>
    </row>
    <row r="201" spans="1:2" x14ac:dyDescent="0.25">
      <c r="A201" s="3" t="s">
        <v>4617</v>
      </c>
      <c r="B201">
        <v>0</v>
      </c>
    </row>
    <row r="202" spans="1:2" x14ac:dyDescent="0.25">
      <c r="A202" s="3" t="s">
        <v>4619</v>
      </c>
      <c r="B202">
        <v>22</v>
      </c>
    </row>
    <row r="203" spans="1:2" x14ac:dyDescent="0.25">
      <c r="A203" s="3" t="s">
        <v>498</v>
      </c>
      <c r="B203">
        <v>2</v>
      </c>
    </row>
    <row r="204" spans="1:2" x14ac:dyDescent="0.25">
      <c r="A204" s="3" t="s">
        <v>503</v>
      </c>
      <c r="B204">
        <v>0</v>
      </c>
    </row>
    <row r="205" spans="1:2" x14ac:dyDescent="0.25">
      <c r="A205" s="3" t="s">
        <v>4621</v>
      </c>
      <c r="B205">
        <v>1</v>
      </c>
    </row>
    <row r="206" spans="1:2" x14ac:dyDescent="0.25">
      <c r="A206" s="3" t="s">
        <v>507</v>
      </c>
      <c r="B206">
        <v>0</v>
      </c>
    </row>
    <row r="207" spans="1:2" x14ac:dyDescent="0.25">
      <c r="A207" s="3" t="s">
        <v>6122</v>
      </c>
      <c r="B207">
        <v>0</v>
      </c>
    </row>
    <row r="208" spans="1:2" x14ac:dyDescent="0.25">
      <c r="A208" s="3" t="s">
        <v>512</v>
      </c>
      <c r="B208">
        <v>0</v>
      </c>
    </row>
    <row r="209" spans="1:2" x14ac:dyDescent="0.25">
      <c r="A209" s="3" t="s">
        <v>5251</v>
      </c>
      <c r="B209">
        <v>0</v>
      </c>
    </row>
    <row r="210" spans="1:2" x14ac:dyDescent="0.25">
      <c r="A210" s="3" t="s">
        <v>516</v>
      </c>
      <c r="B210">
        <v>1</v>
      </c>
    </row>
    <row r="211" spans="1:2" x14ac:dyDescent="0.25">
      <c r="A211" s="3" t="s">
        <v>6126</v>
      </c>
      <c r="B211">
        <v>0</v>
      </c>
    </row>
    <row r="212" spans="1:2" x14ac:dyDescent="0.25">
      <c r="A212" s="3" t="s">
        <v>523</v>
      </c>
      <c r="B212">
        <v>6</v>
      </c>
    </row>
    <row r="213" spans="1:2" x14ac:dyDescent="0.25">
      <c r="A213" s="3" t="s">
        <v>4623</v>
      </c>
      <c r="B213">
        <v>4</v>
      </c>
    </row>
    <row r="214" spans="1:2" x14ac:dyDescent="0.25">
      <c r="A214" s="3" t="s">
        <v>538</v>
      </c>
      <c r="B214">
        <v>0</v>
      </c>
    </row>
    <row r="215" spans="1:2" x14ac:dyDescent="0.25">
      <c r="A215" s="3" t="s">
        <v>542</v>
      </c>
      <c r="B215">
        <v>0</v>
      </c>
    </row>
    <row r="216" spans="1:2" x14ac:dyDescent="0.25">
      <c r="A216" s="3" t="s">
        <v>4453</v>
      </c>
      <c r="B216">
        <v>0</v>
      </c>
    </row>
    <row r="217" spans="1:2" x14ac:dyDescent="0.25">
      <c r="A217" s="3" t="s">
        <v>4551</v>
      </c>
      <c r="B217">
        <v>0</v>
      </c>
    </row>
    <row r="218" spans="1:2" x14ac:dyDescent="0.25">
      <c r="A218" s="3" t="s">
        <v>5070</v>
      </c>
      <c r="B218">
        <v>0</v>
      </c>
    </row>
    <row r="219" spans="1:2" x14ac:dyDescent="0.25">
      <c r="A219" s="3" t="s">
        <v>5255</v>
      </c>
      <c r="B219">
        <v>0</v>
      </c>
    </row>
    <row r="220" spans="1:2" x14ac:dyDescent="0.25">
      <c r="A220" s="3" t="s">
        <v>4626</v>
      </c>
      <c r="B220">
        <v>0</v>
      </c>
    </row>
    <row r="221" spans="1:2" x14ac:dyDescent="0.25">
      <c r="A221" s="3" t="s">
        <v>4628</v>
      </c>
      <c r="B221">
        <v>1</v>
      </c>
    </row>
    <row r="222" spans="1:2" x14ac:dyDescent="0.25">
      <c r="A222" s="3" t="s">
        <v>553</v>
      </c>
      <c r="B222">
        <v>5</v>
      </c>
    </row>
    <row r="223" spans="1:2" x14ac:dyDescent="0.25">
      <c r="A223" s="3" t="s">
        <v>4630</v>
      </c>
      <c r="B223">
        <v>0</v>
      </c>
    </row>
    <row r="224" spans="1:2" x14ac:dyDescent="0.25">
      <c r="A224" s="3" t="s">
        <v>561</v>
      </c>
      <c r="B224">
        <v>0</v>
      </c>
    </row>
    <row r="225" spans="1:2" x14ac:dyDescent="0.25">
      <c r="A225" s="3" t="s">
        <v>5071</v>
      </c>
      <c r="B225">
        <v>0</v>
      </c>
    </row>
    <row r="226" spans="1:2" x14ac:dyDescent="0.25">
      <c r="A226" s="3" t="s">
        <v>567</v>
      </c>
      <c r="B226">
        <v>0</v>
      </c>
    </row>
    <row r="227" spans="1:2" x14ac:dyDescent="0.25">
      <c r="A227" s="3" t="s">
        <v>4632</v>
      </c>
      <c r="B227">
        <v>0</v>
      </c>
    </row>
    <row r="228" spans="1:2" x14ac:dyDescent="0.25">
      <c r="A228" s="3" t="s">
        <v>5175</v>
      </c>
      <c r="B228">
        <v>15</v>
      </c>
    </row>
    <row r="229" spans="1:2" x14ac:dyDescent="0.25">
      <c r="A229" s="3" t="s">
        <v>5178</v>
      </c>
      <c r="B229">
        <v>0</v>
      </c>
    </row>
    <row r="230" spans="1:2" x14ac:dyDescent="0.25">
      <c r="A230" s="3" t="s">
        <v>571</v>
      </c>
      <c r="B230">
        <v>1</v>
      </c>
    </row>
    <row r="231" spans="1:2" x14ac:dyDescent="0.25">
      <c r="A231" s="3" t="s">
        <v>581</v>
      </c>
      <c r="B231">
        <v>0</v>
      </c>
    </row>
    <row r="232" spans="1:2" x14ac:dyDescent="0.25">
      <c r="A232" s="3" t="s">
        <v>587</v>
      </c>
      <c r="B232">
        <v>0</v>
      </c>
    </row>
    <row r="233" spans="1:2" x14ac:dyDescent="0.25">
      <c r="A233" s="3" t="s">
        <v>591</v>
      </c>
      <c r="B233">
        <v>0</v>
      </c>
    </row>
    <row r="234" spans="1:2" x14ac:dyDescent="0.25">
      <c r="A234" s="3" t="s">
        <v>594</v>
      </c>
      <c r="B234">
        <v>0</v>
      </c>
    </row>
    <row r="235" spans="1:2" x14ac:dyDescent="0.25">
      <c r="A235" s="3" t="s">
        <v>598</v>
      </c>
      <c r="B235">
        <v>0</v>
      </c>
    </row>
    <row r="236" spans="1:2" x14ac:dyDescent="0.25">
      <c r="A236" s="3" t="s">
        <v>602</v>
      </c>
      <c r="B236">
        <v>0</v>
      </c>
    </row>
    <row r="237" spans="1:2" x14ac:dyDescent="0.25">
      <c r="A237" s="3" t="s">
        <v>606</v>
      </c>
      <c r="B237">
        <v>0</v>
      </c>
    </row>
    <row r="238" spans="1:2" x14ac:dyDescent="0.25">
      <c r="A238" s="3" t="s">
        <v>614</v>
      </c>
      <c r="B238">
        <v>0</v>
      </c>
    </row>
    <row r="239" spans="1:2" x14ac:dyDescent="0.25">
      <c r="A239" s="3" t="s">
        <v>4636</v>
      </c>
      <c r="B239">
        <v>0</v>
      </c>
    </row>
    <row r="240" spans="1:2" x14ac:dyDescent="0.25">
      <c r="A240" s="3" t="s">
        <v>4638</v>
      </c>
      <c r="B240">
        <v>2</v>
      </c>
    </row>
    <row r="241" spans="1:2" x14ac:dyDescent="0.25">
      <c r="A241" s="3" t="s">
        <v>4634</v>
      </c>
      <c r="B241">
        <v>5</v>
      </c>
    </row>
    <row r="242" spans="1:2" x14ac:dyDescent="0.25">
      <c r="A242" s="3" t="s">
        <v>618</v>
      </c>
      <c r="B242">
        <v>0</v>
      </c>
    </row>
    <row r="243" spans="1:2" x14ac:dyDescent="0.25">
      <c r="A243" s="3" t="s">
        <v>6129</v>
      </c>
      <c r="B243">
        <v>0</v>
      </c>
    </row>
    <row r="244" spans="1:2" x14ac:dyDescent="0.25">
      <c r="A244" s="3" t="s">
        <v>625</v>
      </c>
      <c r="B244">
        <v>0</v>
      </c>
    </row>
    <row r="245" spans="1:2" x14ac:dyDescent="0.25">
      <c r="A245" s="3" t="s">
        <v>629</v>
      </c>
      <c r="B245">
        <v>1</v>
      </c>
    </row>
    <row r="246" spans="1:2" x14ac:dyDescent="0.25">
      <c r="A246" s="3" t="s">
        <v>639</v>
      </c>
      <c r="B246">
        <v>0</v>
      </c>
    </row>
    <row r="247" spans="1:2" x14ac:dyDescent="0.25">
      <c r="A247" s="3" t="s">
        <v>5181</v>
      </c>
      <c r="B247">
        <v>0</v>
      </c>
    </row>
    <row r="248" spans="1:2" x14ac:dyDescent="0.25">
      <c r="A248" s="3" t="s">
        <v>643</v>
      </c>
      <c r="B248">
        <v>0</v>
      </c>
    </row>
    <row r="249" spans="1:2" x14ac:dyDescent="0.25">
      <c r="A249" s="3" t="s">
        <v>4506</v>
      </c>
      <c r="B249">
        <v>0</v>
      </c>
    </row>
    <row r="250" spans="1:2" x14ac:dyDescent="0.25">
      <c r="A250" s="3" t="s">
        <v>5349</v>
      </c>
      <c r="B250">
        <v>0</v>
      </c>
    </row>
    <row r="251" spans="1:2" x14ac:dyDescent="0.25">
      <c r="A251" s="3" t="s">
        <v>651</v>
      </c>
      <c r="B251">
        <v>2</v>
      </c>
    </row>
    <row r="252" spans="1:2" x14ac:dyDescent="0.25">
      <c r="A252" s="3" t="s">
        <v>5150</v>
      </c>
      <c r="B252">
        <v>0</v>
      </c>
    </row>
    <row r="253" spans="1:2" x14ac:dyDescent="0.25">
      <c r="A253" s="3" t="s">
        <v>657</v>
      </c>
      <c r="B253">
        <v>0</v>
      </c>
    </row>
    <row r="254" spans="1:2" x14ac:dyDescent="0.25">
      <c r="A254" s="3" t="s">
        <v>661</v>
      </c>
      <c r="B254">
        <v>0</v>
      </c>
    </row>
    <row r="255" spans="1:2" x14ac:dyDescent="0.25">
      <c r="A255" s="3" t="s">
        <v>4640</v>
      </c>
      <c r="B255">
        <v>0</v>
      </c>
    </row>
    <row r="256" spans="1:2" x14ac:dyDescent="0.25">
      <c r="A256" s="3" t="s">
        <v>666</v>
      </c>
      <c r="B256">
        <v>0</v>
      </c>
    </row>
    <row r="257" spans="1:2" x14ac:dyDescent="0.25">
      <c r="A257" s="3" t="s">
        <v>671</v>
      </c>
      <c r="B257">
        <v>0</v>
      </c>
    </row>
    <row r="258" spans="1:2" x14ac:dyDescent="0.25">
      <c r="A258" s="3" t="s">
        <v>675</v>
      </c>
      <c r="B258">
        <v>0</v>
      </c>
    </row>
    <row r="259" spans="1:2" x14ac:dyDescent="0.25">
      <c r="A259" s="3" t="s">
        <v>4642</v>
      </c>
      <c r="B259">
        <v>1</v>
      </c>
    </row>
    <row r="260" spans="1:2" x14ac:dyDescent="0.25">
      <c r="A260" s="3" t="s">
        <v>4509</v>
      </c>
      <c r="B260">
        <v>0</v>
      </c>
    </row>
    <row r="261" spans="1:2" x14ac:dyDescent="0.25">
      <c r="A261" s="3" t="s">
        <v>5183</v>
      </c>
      <c r="B261">
        <v>0</v>
      </c>
    </row>
    <row r="262" spans="1:2" x14ac:dyDescent="0.25">
      <c r="A262" s="3" t="s">
        <v>4644</v>
      </c>
      <c r="B262">
        <v>1</v>
      </c>
    </row>
    <row r="263" spans="1:2" x14ac:dyDescent="0.25">
      <c r="A263" s="3" t="s">
        <v>5132</v>
      </c>
      <c r="B263">
        <v>0</v>
      </c>
    </row>
    <row r="264" spans="1:2" x14ac:dyDescent="0.25">
      <c r="A264" s="3" t="s">
        <v>678</v>
      </c>
      <c r="B264">
        <v>0</v>
      </c>
    </row>
    <row r="265" spans="1:2" x14ac:dyDescent="0.25">
      <c r="A265" s="3" t="s">
        <v>682</v>
      </c>
      <c r="B265">
        <v>2</v>
      </c>
    </row>
    <row r="266" spans="1:2" x14ac:dyDescent="0.25">
      <c r="A266" s="3" t="s">
        <v>4646</v>
      </c>
      <c r="B266">
        <v>0</v>
      </c>
    </row>
    <row r="267" spans="1:2" x14ac:dyDescent="0.25">
      <c r="A267" s="3" t="s">
        <v>4648</v>
      </c>
      <c r="B267">
        <v>1</v>
      </c>
    </row>
    <row r="268" spans="1:2" x14ac:dyDescent="0.25">
      <c r="A268" s="3" t="s">
        <v>5350</v>
      </c>
      <c r="B268">
        <v>0</v>
      </c>
    </row>
    <row r="269" spans="1:2" x14ac:dyDescent="0.25">
      <c r="A269" s="3" t="s">
        <v>690</v>
      </c>
      <c r="B269">
        <v>0</v>
      </c>
    </row>
    <row r="270" spans="1:2" x14ac:dyDescent="0.25">
      <c r="A270" s="3" t="s">
        <v>5186</v>
      </c>
      <c r="B270">
        <v>0</v>
      </c>
    </row>
    <row r="271" spans="1:2" x14ac:dyDescent="0.25">
      <c r="A271" s="3" t="s">
        <v>5134</v>
      </c>
      <c r="B271">
        <v>0</v>
      </c>
    </row>
    <row r="272" spans="1:2" x14ac:dyDescent="0.25">
      <c r="A272" s="3" t="s">
        <v>694</v>
      </c>
      <c r="B272">
        <v>0</v>
      </c>
    </row>
    <row r="273" spans="1:2" x14ac:dyDescent="0.25">
      <c r="A273" s="3" t="s">
        <v>698</v>
      </c>
      <c r="B273">
        <v>1</v>
      </c>
    </row>
    <row r="274" spans="1:2" x14ac:dyDescent="0.25">
      <c r="A274" s="3" t="s">
        <v>4650</v>
      </c>
      <c r="B274">
        <v>0</v>
      </c>
    </row>
    <row r="275" spans="1:2" x14ac:dyDescent="0.25">
      <c r="A275" s="3" t="s">
        <v>5072</v>
      </c>
      <c r="B275">
        <v>0</v>
      </c>
    </row>
    <row r="276" spans="1:2" x14ac:dyDescent="0.25">
      <c r="A276" s="3" t="s">
        <v>4652</v>
      </c>
      <c r="B276">
        <v>2</v>
      </c>
    </row>
    <row r="277" spans="1:2" x14ac:dyDescent="0.25">
      <c r="A277" s="3" t="s">
        <v>709</v>
      </c>
      <c r="B277">
        <v>0</v>
      </c>
    </row>
    <row r="278" spans="1:2" x14ac:dyDescent="0.25">
      <c r="A278" s="3" t="s">
        <v>5319</v>
      </c>
      <c r="B278">
        <v>0</v>
      </c>
    </row>
    <row r="279" spans="1:2" x14ac:dyDescent="0.25">
      <c r="A279" s="3" t="s">
        <v>5073</v>
      </c>
      <c r="B279">
        <v>1</v>
      </c>
    </row>
    <row r="280" spans="1:2" x14ac:dyDescent="0.25">
      <c r="A280" s="3" t="s">
        <v>4654</v>
      </c>
      <c r="B280">
        <v>0</v>
      </c>
    </row>
    <row r="281" spans="1:2" x14ac:dyDescent="0.25">
      <c r="A281" s="3" t="s">
        <v>4656</v>
      </c>
      <c r="B281">
        <v>0</v>
      </c>
    </row>
    <row r="282" spans="1:2" x14ac:dyDescent="0.25">
      <c r="A282" s="3" t="s">
        <v>6142</v>
      </c>
      <c r="B282">
        <v>0</v>
      </c>
    </row>
    <row r="283" spans="1:2" x14ac:dyDescent="0.25">
      <c r="A283" s="3" t="s">
        <v>720</v>
      </c>
      <c r="B283">
        <v>0</v>
      </c>
    </row>
    <row r="284" spans="1:2" x14ac:dyDescent="0.25">
      <c r="A284" s="3" t="s">
        <v>724</v>
      </c>
      <c r="B284">
        <v>3</v>
      </c>
    </row>
    <row r="285" spans="1:2" x14ac:dyDescent="0.25">
      <c r="A285" s="3" t="s">
        <v>5351</v>
      </c>
      <c r="B285">
        <v>1</v>
      </c>
    </row>
    <row r="286" spans="1:2" x14ac:dyDescent="0.25">
      <c r="A286" s="3" t="s">
        <v>733</v>
      </c>
      <c r="B286">
        <v>0</v>
      </c>
    </row>
    <row r="287" spans="1:2" x14ac:dyDescent="0.25">
      <c r="A287" s="3" t="s">
        <v>5074</v>
      </c>
      <c r="B287">
        <v>0</v>
      </c>
    </row>
    <row r="288" spans="1:2" x14ac:dyDescent="0.25">
      <c r="A288" s="3" t="s">
        <v>5352</v>
      </c>
      <c r="B288">
        <v>2</v>
      </c>
    </row>
    <row r="289" spans="1:2" x14ac:dyDescent="0.25">
      <c r="A289" s="3" t="s">
        <v>747</v>
      </c>
      <c r="B289">
        <v>27</v>
      </c>
    </row>
    <row r="290" spans="1:2" x14ac:dyDescent="0.25">
      <c r="A290" s="3" t="s">
        <v>5353</v>
      </c>
      <c r="B290">
        <v>1</v>
      </c>
    </row>
    <row r="291" spans="1:2" x14ac:dyDescent="0.25">
      <c r="A291" s="3" t="s">
        <v>5190</v>
      </c>
      <c r="B291">
        <v>0</v>
      </c>
    </row>
    <row r="292" spans="1:2" x14ac:dyDescent="0.25">
      <c r="A292" s="3" t="s">
        <v>762</v>
      </c>
      <c r="B292">
        <v>2</v>
      </c>
    </row>
    <row r="293" spans="1:2" x14ac:dyDescent="0.25">
      <c r="A293" s="3" t="s">
        <v>769</v>
      </c>
      <c r="B293">
        <v>0</v>
      </c>
    </row>
    <row r="294" spans="1:2" x14ac:dyDescent="0.25">
      <c r="A294" s="3" t="s">
        <v>5075</v>
      </c>
      <c r="B294">
        <v>2</v>
      </c>
    </row>
    <row r="295" spans="1:2" x14ac:dyDescent="0.25">
      <c r="A295" s="3" t="s">
        <v>5354</v>
      </c>
      <c r="B295">
        <v>1</v>
      </c>
    </row>
    <row r="296" spans="1:2" x14ac:dyDescent="0.25">
      <c r="A296" s="3" t="s">
        <v>778</v>
      </c>
      <c r="B296">
        <v>0</v>
      </c>
    </row>
    <row r="297" spans="1:2" x14ac:dyDescent="0.25">
      <c r="A297" s="3" t="s">
        <v>5076</v>
      </c>
      <c r="B297">
        <v>3</v>
      </c>
    </row>
    <row r="298" spans="1:2" x14ac:dyDescent="0.25">
      <c r="A298" s="3" t="s">
        <v>789</v>
      </c>
      <c r="B298">
        <v>18</v>
      </c>
    </row>
    <row r="299" spans="1:2" x14ac:dyDescent="0.25">
      <c r="A299" s="3" t="s">
        <v>5355</v>
      </c>
      <c r="B299">
        <v>1</v>
      </c>
    </row>
    <row r="300" spans="1:2" x14ac:dyDescent="0.25">
      <c r="A300" s="3" t="s">
        <v>801</v>
      </c>
      <c r="B300">
        <v>0</v>
      </c>
    </row>
    <row r="301" spans="1:2" x14ac:dyDescent="0.25">
      <c r="A301" s="3" t="s">
        <v>805</v>
      </c>
      <c r="B301">
        <v>0</v>
      </c>
    </row>
    <row r="302" spans="1:2" x14ac:dyDescent="0.25">
      <c r="A302" s="3" t="s">
        <v>809</v>
      </c>
      <c r="B302">
        <v>0</v>
      </c>
    </row>
    <row r="303" spans="1:2" x14ac:dyDescent="0.25">
      <c r="A303" s="3" t="s">
        <v>5258</v>
      </c>
      <c r="B303">
        <v>0</v>
      </c>
    </row>
    <row r="304" spans="1:2" x14ac:dyDescent="0.25">
      <c r="A304" s="3" t="s">
        <v>813</v>
      </c>
      <c r="B304">
        <v>1</v>
      </c>
    </row>
    <row r="305" spans="1:2" x14ac:dyDescent="0.25">
      <c r="A305" s="3" t="s">
        <v>816</v>
      </c>
      <c r="B305">
        <v>0</v>
      </c>
    </row>
    <row r="306" spans="1:2" x14ac:dyDescent="0.25">
      <c r="A306" s="3" t="s">
        <v>5297</v>
      </c>
      <c r="B306">
        <v>0</v>
      </c>
    </row>
    <row r="307" spans="1:2" x14ac:dyDescent="0.25">
      <c r="A307" s="3" t="s">
        <v>822</v>
      </c>
      <c r="B307">
        <v>7</v>
      </c>
    </row>
    <row r="308" spans="1:2" x14ac:dyDescent="0.25">
      <c r="A308" s="3" t="s">
        <v>4306</v>
      </c>
      <c r="B308">
        <v>0</v>
      </c>
    </row>
    <row r="309" spans="1:2" x14ac:dyDescent="0.25">
      <c r="A309" s="3" t="s">
        <v>4658</v>
      </c>
      <c r="B309">
        <v>0</v>
      </c>
    </row>
    <row r="310" spans="1:2" x14ac:dyDescent="0.25">
      <c r="A310" s="3" t="s">
        <v>829</v>
      </c>
      <c r="B310">
        <v>0</v>
      </c>
    </row>
    <row r="311" spans="1:2" x14ac:dyDescent="0.25">
      <c r="A311" s="3" t="s">
        <v>834</v>
      </c>
      <c r="B311">
        <v>0</v>
      </c>
    </row>
    <row r="312" spans="1:2" x14ac:dyDescent="0.25">
      <c r="A312" s="3" t="s">
        <v>841</v>
      </c>
      <c r="B312">
        <v>4</v>
      </c>
    </row>
    <row r="313" spans="1:2" x14ac:dyDescent="0.25">
      <c r="A313" s="3" t="s">
        <v>854</v>
      </c>
      <c r="B313">
        <v>0</v>
      </c>
    </row>
    <row r="314" spans="1:2" x14ac:dyDescent="0.25">
      <c r="A314" s="3" t="s">
        <v>859</v>
      </c>
      <c r="B314">
        <v>0</v>
      </c>
    </row>
    <row r="315" spans="1:2" x14ac:dyDescent="0.25">
      <c r="A315" s="3" t="s">
        <v>5356</v>
      </c>
      <c r="B315">
        <v>0</v>
      </c>
    </row>
    <row r="316" spans="1:2" x14ac:dyDescent="0.25">
      <c r="A316" s="3" t="s">
        <v>5357</v>
      </c>
      <c r="B316">
        <v>0</v>
      </c>
    </row>
    <row r="317" spans="1:2" x14ac:dyDescent="0.25">
      <c r="A317" s="3" t="s">
        <v>871</v>
      </c>
      <c r="B317">
        <v>0</v>
      </c>
    </row>
    <row r="318" spans="1:2" x14ac:dyDescent="0.25">
      <c r="A318" s="3" t="s">
        <v>875</v>
      </c>
      <c r="B318">
        <v>0</v>
      </c>
    </row>
    <row r="319" spans="1:2" x14ac:dyDescent="0.25">
      <c r="A319" s="3" t="s">
        <v>5077</v>
      </c>
      <c r="B319">
        <v>0</v>
      </c>
    </row>
    <row r="320" spans="1:2" x14ac:dyDescent="0.25">
      <c r="A320" s="3" t="s">
        <v>4660</v>
      </c>
      <c r="B320">
        <v>0</v>
      </c>
    </row>
    <row r="321" spans="1:2" x14ac:dyDescent="0.25">
      <c r="A321" s="3" t="s">
        <v>880</v>
      </c>
      <c r="B321">
        <v>3</v>
      </c>
    </row>
    <row r="322" spans="1:2" x14ac:dyDescent="0.25">
      <c r="A322" s="3" t="s">
        <v>884</v>
      </c>
      <c r="B322">
        <v>1</v>
      </c>
    </row>
    <row r="323" spans="1:2" x14ac:dyDescent="0.25">
      <c r="A323" s="3" t="s">
        <v>6145</v>
      </c>
      <c r="B323">
        <v>0</v>
      </c>
    </row>
    <row r="324" spans="1:2" x14ac:dyDescent="0.25">
      <c r="A324" s="3" t="s">
        <v>888</v>
      </c>
      <c r="B324">
        <v>2</v>
      </c>
    </row>
    <row r="325" spans="1:2" x14ac:dyDescent="0.25">
      <c r="A325" s="3" t="s">
        <v>891</v>
      </c>
      <c r="B325">
        <v>1</v>
      </c>
    </row>
    <row r="326" spans="1:2" x14ac:dyDescent="0.25">
      <c r="A326" s="3" t="s">
        <v>898</v>
      </c>
      <c r="B326">
        <v>0</v>
      </c>
    </row>
    <row r="327" spans="1:2" x14ac:dyDescent="0.25">
      <c r="A327" s="3" t="s">
        <v>907</v>
      </c>
      <c r="B327">
        <v>0</v>
      </c>
    </row>
    <row r="328" spans="1:2" x14ac:dyDescent="0.25">
      <c r="A328" s="3" t="s">
        <v>911</v>
      </c>
      <c r="B328">
        <v>1</v>
      </c>
    </row>
    <row r="329" spans="1:2" x14ac:dyDescent="0.25">
      <c r="A329" s="3" t="s">
        <v>5359</v>
      </c>
      <c r="B329">
        <v>0</v>
      </c>
    </row>
    <row r="330" spans="1:2" x14ac:dyDescent="0.25">
      <c r="A330" s="3" t="s">
        <v>4662</v>
      </c>
      <c r="B330">
        <v>0</v>
      </c>
    </row>
    <row r="331" spans="1:2" x14ac:dyDescent="0.25">
      <c r="A331" s="3" t="s">
        <v>917</v>
      </c>
      <c r="B331">
        <v>0</v>
      </c>
    </row>
    <row r="332" spans="1:2" x14ac:dyDescent="0.25">
      <c r="A332" s="3" t="s">
        <v>925</v>
      </c>
      <c r="B332">
        <v>1</v>
      </c>
    </row>
    <row r="333" spans="1:2" x14ac:dyDescent="0.25">
      <c r="A333" s="3" t="s">
        <v>5195</v>
      </c>
      <c r="B333">
        <v>0</v>
      </c>
    </row>
    <row r="334" spans="1:2" x14ac:dyDescent="0.25">
      <c r="A334" s="3" t="s">
        <v>938</v>
      </c>
      <c r="B334">
        <v>0</v>
      </c>
    </row>
    <row r="335" spans="1:2" x14ac:dyDescent="0.25">
      <c r="A335" s="3" t="s">
        <v>946</v>
      </c>
      <c r="B335">
        <v>0</v>
      </c>
    </row>
    <row r="336" spans="1:2" x14ac:dyDescent="0.25">
      <c r="A336" s="3" t="s">
        <v>4664</v>
      </c>
      <c r="B336">
        <v>0</v>
      </c>
    </row>
    <row r="337" spans="1:2" x14ac:dyDescent="0.25">
      <c r="A337" s="3" t="s">
        <v>951</v>
      </c>
      <c r="B337">
        <v>0</v>
      </c>
    </row>
    <row r="338" spans="1:2" x14ac:dyDescent="0.25">
      <c r="A338" s="3" t="s">
        <v>956</v>
      </c>
      <c r="B338">
        <v>0</v>
      </c>
    </row>
    <row r="339" spans="1:2" x14ac:dyDescent="0.25">
      <c r="A339" s="3" t="s">
        <v>4666</v>
      </c>
      <c r="B339">
        <v>1</v>
      </c>
    </row>
    <row r="340" spans="1:2" x14ac:dyDescent="0.25">
      <c r="A340" s="3" t="s">
        <v>5360</v>
      </c>
      <c r="B340">
        <v>1</v>
      </c>
    </row>
    <row r="341" spans="1:2" x14ac:dyDescent="0.25">
      <c r="A341" s="3" t="s">
        <v>5361</v>
      </c>
      <c r="B341">
        <v>0</v>
      </c>
    </row>
    <row r="342" spans="1:2" x14ac:dyDescent="0.25">
      <c r="A342" s="3" t="s">
        <v>968</v>
      </c>
      <c r="B342">
        <v>3</v>
      </c>
    </row>
    <row r="343" spans="1:2" x14ac:dyDescent="0.25">
      <c r="A343" s="3" t="s">
        <v>974</v>
      </c>
      <c r="B343">
        <v>0</v>
      </c>
    </row>
    <row r="344" spans="1:2" x14ac:dyDescent="0.25">
      <c r="A344" s="3" t="s">
        <v>978</v>
      </c>
      <c r="B344">
        <v>0</v>
      </c>
    </row>
    <row r="345" spans="1:2" x14ac:dyDescent="0.25">
      <c r="A345" s="3" t="s">
        <v>4668</v>
      </c>
      <c r="B345">
        <v>1</v>
      </c>
    </row>
    <row r="346" spans="1:2" x14ac:dyDescent="0.25">
      <c r="A346" s="3" t="s">
        <v>5151</v>
      </c>
      <c r="B346">
        <v>0</v>
      </c>
    </row>
    <row r="347" spans="1:2" x14ac:dyDescent="0.25">
      <c r="A347" s="3" t="s">
        <v>5315</v>
      </c>
      <c r="B347">
        <v>0</v>
      </c>
    </row>
    <row r="348" spans="1:2" x14ac:dyDescent="0.25">
      <c r="A348" s="3" t="s">
        <v>988</v>
      </c>
      <c r="B348">
        <v>0</v>
      </c>
    </row>
    <row r="349" spans="1:2" x14ac:dyDescent="0.25">
      <c r="A349" s="3" t="s">
        <v>4670</v>
      </c>
      <c r="B349">
        <v>2</v>
      </c>
    </row>
    <row r="350" spans="1:2" x14ac:dyDescent="0.25">
      <c r="A350" s="3" t="s">
        <v>4512</v>
      </c>
      <c r="B350">
        <v>0</v>
      </c>
    </row>
    <row r="351" spans="1:2" x14ac:dyDescent="0.25">
      <c r="A351" s="3" t="s">
        <v>992</v>
      </c>
      <c r="B351">
        <v>0</v>
      </c>
    </row>
    <row r="352" spans="1:2" x14ac:dyDescent="0.25">
      <c r="A352" s="3" t="s">
        <v>4672</v>
      </c>
      <c r="B352">
        <v>0</v>
      </c>
    </row>
    <row r="353" spans="1:2" x14ac:dyDescent="0.25">
      <c r="A353" s="3" t="s">
        <v>1001</v>
      </c>
      <c r="B353">
        <v>5</v>
      </c>
    </row>
    <row r="354" spans="1:2" x14ac:dyDescent="0.25">
      <c r="A354" s="3" t="s">
        <v>1008</v>
      </c>
      <c r="B354">
        <v>6</v>
      </c>
    </row>
    <row r="355" spans="1:2" x14ac:dyDescent="0.25">
      <c r="A355" s="3" t="s">
        <v>1018</v>
      </c>
      <c r="B355">
        <v>0</v>
      </c>
    </row>
    <row r="356" spans="1:2" x14ac:dyDescent="0.25">
      <c r="A356" s="3" t="s">
        <v>1021</v>
      </c>
      <c r="B356">
        <v>0</v>
      </c>
    </row>
    <row r="357" spans="1:2" x14ac:dyDescent="0.25">
      <c r="A357" s="3" t="s">
        <v>5362</v>
      </c>
      <c r="B357">
        <v>0</v>
      </c>
    </row>
    <row r="358" spans="1:2" x14ac:dyDescent="0.25">
      <c r="A358" s="3" t="s">
        <v>4674</v>
      </c>
      <c r="B358">
        <v>0</v>
      </c>
    </row>
    <row r="359" spans="1:2" x14ac:dyDescent="0.25">
      <c r="A359" s="3" t="s">
        <v>1030</v>
      </c>
      <c r="B359">
        <v>0</v>
      </c>
    </row>
    <row r="360" spans="1:2" x14ac:dyDescent="0.25">
      <c r="A360" s="3" t="s">
        <v>5078</v>
      </c>
      <c r="B360">
        <v>0</v>
      </c>
    </row>
    <row r="361" spans="1:2" x14ac:dyDescent="0.25">
      <c r="A361" s="3" t="s">
        <v>5079</v>
      </c>
      <c r="B361">
        <v>0</v>
      </c>
    </row>
    <row r="362" spans="1:2" x14ac:dyDescent="0.25">
      <c r="A362" s="3" t="s">
        <v>1044</v>
      </c>
      <c r="B362">
        <v>0</v>
      </c>
    </row>
    <row r="363" spans="1:2" x14ac:dyDescent="0.25">
      <c r="A363" s="3" t="s">
        <v>1049</v>
      </c>
      <c r="B363">
        <v>0</v>
      </c>
    </row>
    <row r="364" spans="1:2" x14ac:dyDescent="0.25">
      <c r="A364" s="3" t="s">
        <v>1053</v>
      </c>
      <c r="B364">
        <v>0</v>
      </c>
    </row>
    <row r="365" spans="1:2" x14ac:dyDescent="0.25">
      <c r="A365" s="3" t="s">
        <v>5152</v>
      </c>
      <c r="B365">
        <v>0</v>
      </c>
    </row>
    <row r="366" spans="1:2" x14ac:dyDescent="0.25">
      <c r="A366" s="3" t="s">
        <v>6151</v>
      </c>
      <c r="B366">
        <v>0</v>
      </c>
    </row>
    <row r="367" spans="1:2" x14ac:dyDescent="0.25">
      <c r="A367" s="3" t="s">
        <v>1060</v>
      </c>
      <c r="B367">
        <v>4</v>
      </c>
    </row>
    <row r="368" spans="1:2" x14ac:dyDescent="0.25">
      <c r="A368" s="3" t="s">
        <v>1067</v>
      </c>
      <c r="B368">
        <v>0</v>
      </c>
    </row>
    <row r="369" spans="1:2" x14ac:dyDescent="0.25">
      <c r="A369" s="3" t="s">
        <v>1071</v>
      </c>
      <c r="B369">
        <v>0</v>
      </c>
    </row>
    <row r="370" spans="1:2" x14ac:dyDescent="0.25">
      <c r="A370" s="3" t="s">
        <v>5080</v>
      </c>
      <c r="B370">
        <v>1</v>
      </c>
    </row>
    <row r="371" spans="1:2" x14ac:dyDescent="0.25">
      <c r="A371" s="3" t="s">
        <v>1086</v>
      </c>
      <c r="B371">
        <v>0</v>
      </c>
    </row>
    <row r="372" spans="1:2" x14ac:dyDescent="0.25">
      <c r="A372" s="3" t="s">
        <v>4676</v>
      </c>
      <c r="B372">
        <v>0</v>
      </c>
    </row>
    <row r="373" spans="1:2" x14ac:dyDescent="0.25">
      <c r="A373" s="3" t="s">
        <v>4678</v>
      </c>
      <c r="B373">
        <v>0</v>
      </c>
    </row>
    <row r="374" spans="1:2" x14ac:dyDescent="0.25">
      <c r="A374" s="3" t="s">
        <v>4680</v>
      </c>
      <c r="B374">
        <v>0</v>
      </c>
    </row>
    <row r="375" spans="1:2" x14ac:dyDescent="0.25">
      <c r="A375" s="3" t="s">
        <v>1090</v>
      </c>
      <c r="B375">
        <v>0</v>
      </c>
    </row>
    <row r="376" spans="1:2" x14ac:dyDescent="0.25">
      <c r="A376" s="3" t="s">
        <v>5317</v>
      </c>
      <c r="B376">
        <v>0</v>
      </c>
    </row>
    <row r="377" spans="1:2" x14ac:dyDescent="0.25">
      <c r="A377" s="3" t="s">
        <v>1096</v>
      </c>
      <c r="B377">
        <v>1</v>
      </c>
    </row>
    <row r="378" spans="1:2" x14ac:dyDescent="0.25">
      <c r="A378" s="3" t="s">
        <v>1100</v>
      </c>
      <c r="B378">
        <v>1</v>
      </c>
    </row>
    <row r="379" spans="1:2" x14ac:dyDescent="0.25">
      <c r="A379" s="3" t="s">
        <v>5197</v>
      </c>
      <c r="B379">
        <v>2</v>
      </c>
    </row>
    <row r="380" spans="1:2" x14ac:dyDescent="0.25">
      <c r="A380" s="3" t="s">
        <v>4682</v>
      </c>
      <c r="B380">
        <v>0</v>
      </c>
    </row>
    <row r="381" spans="1:2" x14ac:dyDescent="0.25">
      <c r="A381" s="3" t="s">
        <v>1104</v>
      </c>
      <c r="B381">
        <v>0</v>
      </c>
    </row>
    <row r="382" spans="1:2" x14ac:dyDescent="0.25">
      <c r="A382" s="3" t="s">
        <v>5199</v>
      </c>
      <c r="B382">
        <v>0</v>
      </c>
    </row>
    <row r="383" spans="1:2" x14ac:dyDescent="0.25">
      <c r="A383" s="3" t="s">
        <v>4684</v>
      </c>
      <c r="B383">
        <v>0</v>
      </c>
    </row>
    <row r="384" spans="1:2" x14ac:dyDescent="0.25">
      <c r="A384" s="3" t="s">
        <v>5201</v>
      </c>
      <c r="B384">
        <v>0</v>
      </c>
    </row>
    <row r="385" spans="1:2" x14ac:dyDescent="0.25">
      <c r="A385" s="3" t="s">
        <v>1109</v>
      </c>
      <c r="B385">
        <v>7</v>
      </c>
    </row>
    <row r="386" spans="1:2" x14ac:dyDescent="0.25">
      <c r="A386" s="3" t="s">
        <v>1119</v>
      </c>
      <c r="B386">
        <v>0</v>
      </c>
    </row>
    <row r="387" spans="1:2" x14ac:dyDescent="0.25">
      <c r="A387" s="3" t="s">
        <v>1126</v>
      </c>
      <c r="B387">
        <v>0</v>
      </c>
    </row>
    <row r="388" spans="1:2" x14ac:dyDescent="0.25">
      <c r="A388" s="3" t="s">
        <v>4688</v>
      </c>
      <c r="B388">
        <v>9</v>
      </c>
    </row>
    <row r="389" spans="1:2" x14ac:dyDescent="0.25">
      <c r="A389" s="3" t="s">
        <v>4690</v>
      </c>
      <c r="B389">
        <v>1</v>
      </c>
    </row>
    <row r="390" spans="1:2" x14ac:dyDescent="0.25">
      <c r="A390" s="3" t="s">
        <v>4692</v>
      </c>
      <c r="B390">
        <v>0</v>
      </c>
    </row>
    <row r="391" spans="1:2" x14ac:dyDescent="0.25">
      <c r="A391" s="3" t="s">
        <v>4686</v>
      </c>
      <c r="B391">
        <v>2</v>
      </c>
    </row>
    <row r="392" spans="1:2" x14ac:dyDescent="0.25">
      <c r="A392" s="3" t="s">
        <v>4694</v>
      </c>
      <c r="B392">
        <v>1</v>
      </c>
    </row>
    <row r="393" spans="1:2" x14ac:dyDescent="0.25">
      <c r="A393" s="3" t="s">
        <v>4495</v>
      </c>
      <c r="B393">
        <v>1</v>
      </c>
    </row>
    <row r="394" spans="1:2" x14ac:dyDescent="0.25">
      <c r="A394" s="3" t="s">
        <v>4515</v>
      </c>
      <c r="B394">
        <v>0</v>
      </c>
    </row>
    <row r="395" spans="1:2" x14ac:dyDescent="0.25">
      <c r="A395" s="3" t="s">
        <v>4696</v>
      </c>
      <c r="B395">
        <v>0</v>
      </c>
    </row>
    <row r="396" spans="1:2" x14ac:dyDescent="0.25">
      <c r="A396" s="3" t="s">
        <v>1139</v>
      </c>
      <c r="B396">
        <v>0</v>
      </c>
    </row>
    <row r="397" spans="1:2" x14ac:dyDescent="0.25">
      <c r="A397" s="3" t="s">
        <v>1143</v>
      </c>
      <c r="B397">
        <v>0</v>
      </c>
    </row>
    <row r="398" spans="1:2" x14ac:dyDescent="0.25">
      <c r="A398" s="3" t="s">
        <v>5081</v>
      </c>
      <c r="B398">
        <v>1</v>
      </c>
    </row>
    <row r="399" spans="1:2" x14ac:dyDescent="0.25">
      <c r="A399" s="3" t="s">
        <v>1149</v>
      </c>
      <c r="B399">
        <v>0</v>
      </c>
    </row>
    <row r="400" spans="1:2" x14ac:dyDescent="0.25">
      <c r="A400" s="3" t="s">
        <v>1153</v>
      </c>
      <c r="B400">
        <v>0</v>
      </c>
    </row>
    <row r="401" spans="1:2" x14ac:dyDescent="0.25">
      <c r="A401" s="3" t="s">
        <v>5363</v>
      </c>
      <c r="B401">
        <v>0</v>
      </c>
    </row>
    <row r="402" spans="1:2" x14ac:dyDescent="0.25">
      <c r="A402" s="3" t="s">
        <v>1160</v>
      </c>
      <c r="B402">
        <v>0</v>
      </c>
    </row>
    <row r="403" spans="1:2" x14ac:dyDescent="0.25">
      <c r="A403" s="3" t="s">
        <v>1164</v>
      </c>
      <c r="B403">
        <v>0</v>
      </c>
    </row>
    <row r="404" spans="1:2" x14ac:dyDescent="0.25">
      <c r="A404" s="3" t="s">
        <v>1170</v>
      </c>
      <c r="B404">
        <v>0</v>
      </c>
    </row>
    <row r="405" spans="1:2" x14ac:dyDescent="0.25">
      <c r="A405" s="3" t="s">
        <v>4698</v>
      </c>
      <c r="B405">
        <v>1</v>
      </c>
    </row>
    <row r="406" spans="1:2" x14ac:dyDescent="0.25">
      <c r="A406" s="3" t="s">
        <v>5364</v>
      </c>
      <c r="B406">
        <v>0</v>
      </c>
    </row>
    <row r="407" spans="1:2" x14ac:dyDescent="0.25">
      <c r="A407" s="3" t="s">
        <v>1178</v>
      </c>
      <c r="B407">
        <v>1</v>
      </c>
    </row>
    <row r="408" spans="1:2" x14ac:dyDescent="0.25">
      <c r="A408" s="3" t="s">
        <v>1185</v>
      </c>
      <c r="B408">
        <v>0</v>
      </c>
    </row>
    <row r="409" spans="1:2" x14ac:dyDescent="0.25">
      <c r="A409" s="3" t="s">
        <v>1191</v>
      </c>
      <c r="B409">
        <v>0</v>
      </c>
    </row>
    <row r="410" spans="1:2" x14ac:dyDescent="0.25">
      <c r="A410" s="3" t="s">
        <v>4700</v>
      </c>
      <c r="B410">
        <v>0</v>
      </c>
    </row>
    <row r="411" spans="1:2" x14ac:dyDescent="0.25">
      <c r="A411" s="3" t="s">
        <v>1195</v>
      </c>
      <c r="B411">
        <v>0</v>
      </c>
    </row>
    <row r="412" spans="1:2" x14ac:dyDescent="0.25">
      <c r="A412" s="3" t="s">
        <v>1198</v>
      </c>
      <c r="B412">
        <v>0</v>
      </c>
    </row>
    <row r="413" spans="1:2" x14ac:dyDescent="0.25">
      <c r="A413" s="3" t="s">
        <v>4702</v>
      </c>
      <c r="B413">
        <v>5</v>
      </c>
    </row>
    <row r="414" spans="1:2" x14ac:dyDescent="0.25">
      <c r="A414" s="3" t="s">
        <v>5483</v>
      </c>
      <c r="B414">
        <v>0</v>
      </c>
    </row>
    <row r="415" spans="1:2" x14ac:dyDescent="0.25">
      <c r="A415" s="3" t="s">
        <v>5365</v>
      </c>
      <c r="B415">
        <v>0</v>
      </c>
    </row>
    <row r="416" spans="1:2" x14ac:dyDescent="0.25">
      <c r="A416" s="3" t="s">
        <v>5366</v>
      </c>
      <c r="B416">
        <v>0</v>
      </c>
    </row>
    <row r="417" spans="1:2" x14ac:dyDescent="0.25">
      <c r="A417" s="3" t="s">
        <v>4704</v>
      </c>
      <c r="B417">
        <v>0</v>
      </c>
    </row>
    <row r="418" spans="1:2" x14ac:dyDescent="0.25">
      <c r="A418" s="3" t="s">
        <v>6160</v>
      </c>
      <c r="B418">
        <v>0</v>
      </c>
    </row>
    <row r="419" spans="1:2" x14ac:dyDescent="0.25">
      <c r="A419" s="3" t="s">
        <v>1210</v>
      </c>
      <c r="B419">
        <v>0</v>
      </c>
    </row>
    <row r="420" spans="1:2" x14ac:dyDescent="0.25">
      <c r="A420" s="3" t="s">
        <v>1214</v>
      </c>
      <c r="B420">
        <v>8</v>
      </c>
    </row>
    <row r="421" spans="1:2" x14ac:dyDescent="0.25">
      <c r="A421" s="3" t="s">
        <v>1218</v>
      </c>
      <c r="B421">
        <v>0</v>
      </c>
    </row>
    <row r="422" spans="1:2" x14ac:dyDescent="0.25">
      <c r="A422" s="3" t="s">
        <v>1221</v>
      </c>
      <c r="B422">
        <v>0</v>
      </c>
    </row>
    <row r="423" spans="1:2" x14ac:dyDescent="0.25">
      <c r="A423" s="3" t="s">
        <v>1227</v>
      </c>
      <c r="B423">
        <v>0</v>
      </c>
    </row>
    <row r="424" spans="1:2" x14ac:dyDescent="0.25">
      <c r="A424" s="3" t="s">
        <v>1230</v>
      </c>
      <c r="B424">
        <v>0</v>
      </c>
    </row>
    <row r="425" spans="1:2" x14ac:dyDescent="0.25">
      <c r="A425" s="3" t="s">
        <v>1234</v>
      </c>
      <c r="B425">
        <v>0</v>
      </c>
    </row>
    <row r="426" spans="1:2" x14ac:dyDescent="0.25">
      <c r="A426" s="3" t="s">
        <v>1237</v>
      </c>
      <c r="B426">
        <v>1</v>
      </c>
    </row>
    <row r="427" spans="1:2" x14ac:dyDescent="0.25">
      <c r="A427" s="3" t="s">
        <v>1242</v>
      </c>
      <c r="B427">
        <v>0</v>
      </c>
    </row>
    <row r="428" spans="1:2" x14ac:dyDescent="0.25">
      <c r="A428" s="3" t="s">
        <v>1249</v>
      </c>
      <c r="B428">
        <v>0</v>
      </c>
    </row>
    <row r="429" spans="1:2" x14ac:dyDescent="0.25">
      <c r="A429" s="3" t="s">
        <v>1256</v>
      </c>
      <c r="B429">
        <v>1</v>
      </c>
    </row>
    <row r="430" spans="1:2" x14ac:dyDescent="0.25">
      <c r="A430" s="3" t="s">
        <v>4706</v>
      </c>
      <c r="B430">
        <v>0</v>
      </c>
    </row>
    <row r="431" spans="1:2" x14ac:dyDescent="0.25">
      <c r="A431" s="3" t="s">
        <v>1260</v>
      </c>
      <c r="B431">
        <v>0</v>
      </c>
    </row>
    <row r="432" spans="1:2" x14ac:dyDescent="0.25">
      <c r="A432" s="3" t="s">
        <v>4545</v>
      </c>
      <c r="B432">
        <v>0</v>
      </c>
    </row>
    <row r="433" spans="1:2" x14ac:dyDescent="0.25">
      <c r="A433" s="3" t="s">
        <v>1264</v>
      </c>
      <c r="B433">
        <v>0</v>
      </c>
    </row>
    <row r="434" spans="1:2" x14ac:dyDescent="0.25">
      <c r="A434" s="3" t="s">
        <v>4708</v>
      </c>
      <c r="B434">
        <v>4</v>
      </c>
    </row>
    <row r="435" spans="1:2" x14ac:dyDescent="0.25">
      <c r="A435" s="3" t="s">
        <v>4710</v>
      </c>
      <c r="B435">
        <v>1</v>
      </c>
    </row>
    <row r="436" spans="1:2" x14ac:dyDescent="0.25">
      <c r="A436" s="3" t="s">
        <v>1268</v>
      </c>
      <c r="B436">
        <v>0</v>
      </c>
    </row>
    <row r="437" spans="1:2" x14ac:dyDescent="0.25">
      <c r="A437" s="3" t="s">
        <v>5367</v>
      </c>
      <c r="B437">
        <v>0</v>
      </c>
    </row>
    <row r="438" spans="1:2" x14ac:dyDescent="0.25">
      <c r="A438" s="3" t="s">
        <v>1274</v>
      </c>
      <c r="B438">
        <v>0</v>
      </c>
    </row>
    <row r="439" spans="1:2" x14ac:dyDescent="0.25">
      <c r="A439" s="3" t="s">
        <v>1278</v>
      </c>
      <c r="B439">
        <v>0</v>
      </c>
    </row>
    <row r="440" spans="1:2" x14ac:dyDescent="0.25">
      <c r="A440" s="3" t="s">
        <v>4712</v>
      </c>
      <c r="B440">
        <v>0</v>
      </c>
    </row>
    <row r="441" spans="1:2" x14ac:dyDescent="0.25">
      <c r="A441" s="3" t="s">
        <v>5082</v>
      </c>
      <c r="B441">
        <v>0</v>
      </c>
    </row>
    <row r="442" spans="1:2" x14ac:dyDescent="0.25">
      <c r="A442" s="3" t="s">
        <v>5083</v>
      </c>
      <c r="B442">
        <v>2</v>
      </c>
    </row>
    <row r="443" spans="1:2" x14ac:dyDescent="0.25">
      <c r="A443" s="3" t="s">
        <v>1289</v>
      </c>
      <c r="B443">
        <v>0</v>
      </c>
    </row>
    <row r="444" spans="1:2" x14ac:dyDescent="0.25">
      <c r="A444" s="3" t="s">
        <v>5368</v>
      </c>
      <c r="B444">
        <v>0</v>
      </c>
    </row>
    <row r="445" spans="1:2" x14ac:dyDescent="0.25">
      <c r="A445" s="3" t="s">
        <v>5369</v>
      </c>
      <c r="B445">
        <v>0</v>
      </c>
    </row>
    <row r="446" spans="1:2" x14ac:dyDescent="0.25">
      <c r="A446" s="3" t="s">
        <v>5370</v>
      </c>
      <c r="B446">
        <v>0</v>
      </c>
    </row>
    <row r="447" spans="1:2" x14ac:dyDescent="0.25">
      <c r="A447" s="3" t="s">
        <v>1304</v>
      </c>
      <c r="B447">
        <v>0</v>
      </c>
    </row>
    <row r="448" spans="1:2" x14ac:dyDescent="0.25">
      <c r="A448" s="3" t="s">
        <v>5371</v>
      </c>
      <c r="B448">
        <v>0</v>
      </c>
    </row>
    <row r="449" spans="1:2" x14ac:dyDescent="0.25">
      <c r="A449" s="3" t="s">
        <v>5084</v>
      </c>
      <c r="B449">
        <v>0</v>
      </c>
    </row>
    <row r="450" spans="1:2" x14ac:dyDescent="0.25">
      <c r="A450" s="3" t="s">
        <v>1313</v>
      </c>
      <c r="B450">
        <v>0</v>
      </c>
    </row>
    <row r="451" spans="1:2" x14ac:dyDescent="0.25">
      <c r="A451" s="3" t="s">
        <v>4714</v>
      </c>
      <c r="B451">
        <v>0</v>
      </c>
    </row>
    <row r="452" spans="1:2" x14ac:dyDescent="0.25">
      <c r="A452" s="3" t="s">
        <v>4716</v>
      </c>
      <c r="B452">
        <v>0</v>
      </c>
    </row>
    <row r="453" spans="1:2" x14ac:dyDescent="0.25">
      <c r="A453" s="3" t="s">
        <v>1318</v>
      </c>
      <c r="B453">
        <v>1</v>
      </c>
    </row>
    <row r="454" spans="1:2" x14ac:dyDescent="0.25">
      <c r="A454" s="3" t="s">
        <v>1324</v>
      </c>
      <c r="B454">
        <v>0</v>
      </c>
    </row>
    <row r="455" spans="1:2" x14ac:dyDescent="0.25">
      <c r="A455" s="3" t="s">
        <v>1331</v>
      </c>
      <c r="B455">
        <v>1</v>
      </c>
    </row>
    <row r="456" spans="1:2" x14ac:dyDescent="0.25">
      <c r="A456" s="3" t="s">
        <v>1335</v>
      </c>
      <c r="B456">
        <v>0</v>
      </c>
    </row>
    <row r="457" spans="1:2" x14ac:dyDescent="0.25">
      <c r="A457" s="3" t="s">
        <v>1346</v>
      </c>
      <c r="B457">
        <v>0</v>
      </c>
    </row>
    <row r="458" spans="1:2" x14ac:dyDescent="0.25">
      <c r="A458" s="3" t="s">
        <v>1350</v>
      </c>
      <c r="B458">
        <v>0</v>
      </c>
    </row>
    <row r="459" spans="1:2" x14ac:dyDescent="0.25">
      <c r="A459" s="3" t="s">
        <v>5372</v>
      </c>
      <c r="B459">
        <v>0</v>
      </c>
    </row>
    <row r="460" spans="1:2" x14ac:dyDescent="0.25">
      <c r="A460" s="3" t="s">
        <v>1360</v>
      </c>
      <c r="B460">
        <v>0</v>
      </c>
    </row>
    <row r="461" spans="1:2" x14ac:dyDescent="0.25">
      <c r="A461" s="3" t="s">
        <v>5373</v>
      </c>
      <c r="B461">
        <v>0</v>
      </c>
    </row>
    <row r="462" spans="1:2" x14ac:dyDescent="0.25">
      <c r="A462" s="3" t="s">
        <v>1367</v>
      </c>
      <c r="B462">
        <v>0</v>
      </c>
    </row>
    <row r="463" spans="1:2" x14ac:dyDescent="0.25">
      <c r="A463" s="3" t="s">
        <v>1371</v>
      </c>
      <c r="B463">
        <v>0</v>
      </c>
    </row>
    <row r="464" spans="1:2" x14ac:dyDescent="0.25">
      <c r="A464" s="3" t="s">
        <v>5203</v>
      </c>
      <c r="B464">
        <v>9</v>
      </c>
    </row>
    <row r="465" spans="1:2" x14ac:dyDescent="0.25">
      <c r="A465" s="3" t="s">
        <v>1382</v>
      </c>
      <c r="B465">
        <v>0</v>
      </c>
    </row>
    <row r="466" spans="1:2" x14ac:dyDescent="0.25">
      <c r="A466" s="3" t="s">
        <v>1391</v>
      </c>
      <c r="B466">
        <v>0</v>
      </c>
    </row>
    <row r="467" spans="1:2" x14ac:dyDescent="0.25">
      <c r="A467" s="3" t="s">
        <v>5374</v>
      </c>
      <c r="B467">
        <v>1</v>
      </c>
    </row>
    <row r="468" spans="1:2" x14ac:dyDescent="0.25">
      <c r="A468" s="3" t="s">
        <v>4718</v>
      </c>
      <c r="B468">
        <v>3</v>
      </c>
    </row>
    <row r="469" spans="1:2" x14ac:dyDescent="0.25">
      <c r="A469" s="3" t="s">
        <v>1398</v>
      </c>
      <c r="B469">
        <v>0</v>
      </c>
    </row>
    <row r="470" spans="1:2" x14ac:dyDescent="0.25">
      <c r="A470" s="3" t="s">
        <v>1405</v>
      </c>
      <c r="B470">
        <v>0</v>
      </c>
    </row>
    <row r="471" spans="1:2" x14ac:dyDescent="0.25">
      <c r="A471" s="3" t="s">
        <v>4458</v>
      </c>
      <c r="B471">
        <v>0</v>
      </c>
    </row>
    <row r="472" spans="1:2" x14ac:dyDescent="0.25">
      <c r="A472" s="3" t="s">
        <v>4720</v>
      </c>
      <c r="B472">
        <v>0</v>
      </c>
    </row>
    <row r="473" spans="1:2" x14ac:dyDescent="0.25">
      <c r="A473" s="3" t="s">
        <v>1414</v>
      </c>
      <c r="B473">
        <v>2</v>
      </c>
    </row>
    <row r="474" spans="1:2" x14ac:dyDescent="0.25">
      <c r="A474" s="3" t="s">
        <v>1417</v>
      </c>
      <c r="B474">
        <v>0</v>
      </c>
    </row>
    <row r="475" spans="1:2" x14ac:dyDescent="0.25">
      <c r="A475" s="3" t="s">
        <v>1421</v>
      </c>
      <c r="B475">
        <v>0</v>
      </c>
    </row>
    <row r="476" spans="1:2" x14ac:dyDescent="0.25">
      <c r="A476" s="3" t="s">
        <v>1425</v>
      </c>
      <c r="B476">
        <v>0</v>
      </c>
    </row>
    <row r="477" spans="1:2" x14ac:dyDescent="0.25">
      <c r="A477" s="3" t="s">
        <v>1429</v>
      </c>
      <c r="B477">
        <v>0</v>
      </c>
    </row>
    <row r="478" spans="1:2" x14ac:dyDescent="0.25">
      <c r="A478" s="3" t="s">
        <v>1434</v>
      </c>
      <c r="B478">
        <v>0</v>
      </c>
    </row>
    <row r="479" spans="1:2" x14ac:dyDescent="0.25">
      <c r="A479" s="3" t="s">
        <v>4722</v>
      </c>
      <c r="B479">
        <v>1</v>
      </c>
    </row>
    <row r="480" spans="1:2" x14ac:dyDescent="0.25">
      <c r="A480" s="3" t="s">
        <v>4724</v>
      </c>
      <c r="B480">
        <v>0</v>
      </c>
    </row>
    <row r="481" spans="1:2" x14ac:dyDescent="0.25">
      <c r="A481" s="3" t="s">
        <v>1437</v>
      </c>
      <c r="B481">
        <v>0</v>
      </c>
    </row>
    <row r="482" spans="1:2" x14ac:dyDescent="0.25">
      <c r="A482" s="3" t="s">
        <v>1441</v>
      </c>
      <c r="B482">
        <v>1</v>
      </c>
    </row>
    <row r="483" spans="1:2" x14ac:dyDescent="0.25">
      <c r="A483" s="3" t="s">
        <v>5376</v>
      </c>
      <c r="B483">
        <v>0</v>
      </c>
    </row>
    <row r="484" spans="1:2" x14ac:dyDescent="0.25">
      <c r="A484" s="3" t="s">
        <v>4726</v>
      </c>
      <c r="B484">
        <v>1</v>
      </c>
    </row>
    <row r="485" spans="1:2" x14ac:dyDescent="0.25">
      <c r="A485" s="3" t="s">
        <v>5377</v>
      </c>
      <c r="B485">
        <v>0</v>
      </c>
    </row>
    <row r="486" spans="1:2" x14ac:dyDescent="0.25">
      <c r="A486" s="3" t="s">
        <v>1454</v>
      </c>
      <c r="B486">
        <v>0</v>
      </c>
    </row>
    <row r="487" spans="1:2" x14ac:dyDescent="0.25">
      <c r="A487" s="3" t="s">
        <v>1461</v>
      </c>
      <c r="B487">
        <v>3</v>
      </c>
    </row>
    <row r="488" spans="1:2" x14ac:dyDescent="0.25">
      <c r="A488" s="3" t="s">
        <v>1468</v>
      </c>
      <c r="B488">
        <v>0</v>
      </c>
    </row>
    <row r="489" spans="1:2" x14ac:dyDescent="0.25">
      <c r="A489" s="3" t="s">
        <v>1474</v>
      </c>
      <c r="B489">
        <v>1</v>
      </c>
    </row>
    <row r="490" spans="1:2" x14ac:dyDescent="0.25">
      <c r="A490" s="3" t="s">
        <v>4728</v>
      </c>
      <c r="B490">
        <v>0</v>
      </c>
    </row>
    <row r="491" spans="1:2" x14ac:dyDescent="0.25">
      <c r="A491" s="3" t="s">
        <v>1483</v>
      </c>
      <c r="B491">
        <v>0</v>
      </c>
    </row>
    <row r="492" spans="1:2" x14ac:dyDescent="0.25">
      <c r="A492" s="3" t="s">
        <v>5299</v>
      </c>
      <c r="B492">
        <v>1</v>
      </c>
    </row>
    <row r="493" spans="1:2" x14ac:dyDescent="0.25">
      <c r="A493" s="3" t="s">
        <v>5378</v>
      </c>
      <c r="B493">
        <v>0</v>
      </c>
    </row>
    <row r="494" spans="1:2" x14ac:dyDescent="0.25">
      <c r="A494" s="3" t="s">
        <v>1491</v>
      </c>
      <c r="B494">
        <v>0</v>
      </c>
    </row>
    <row r="495" spans="1:2" x14ac:dyDescent="0.25">
      <c r="A495" s="3" t="s">
        <v>4730</v>
      </c>
      <c r="B495">
        <v>3</v>
      </c>
    </row>
    <row r="496" spans="1:2" x14ac:dyDescent="0.25">
      <c r="A496" s="3" t="s">
        <v>1495</v>
      </c>
      <c r="B496">
        <v>0</v>
      </c>
    </row>
    <row r="497" spans="1:2" x14ac:dyDescent="0.25">
      <c r="A497" s="3" t="s">
        <v>1498</v>
      </c>
      <c r="B497">
        <v>0</v>
      </c>
    </row>
    <row r="498" spans="1:2" x14ac:dyDescent="0.25">
      <c r="A498" s="3" t="s">
        <v>1502</v>
      </c>
      <c r="B498">
        <v>0</v>
      </c>
    </row>
    <row r="499" spans="1:2" x14ac:dyDescent="0.25">
      <c r="A499" s="3" t="s">
        <v>5301</v>
      </c>
      <c r="B499">
        <v>1</v>
      </c>
    </row>
    <row r="500" spans="1:2" x14ac:dyDescent="0.25">
      <c r="A500" s="3" t="s">
        <v>5303</v>
      </c>
      <c r="B500">
        <v>1</v>
      </c>
    </row>
    <row r="501" spans="1:2" x14ac:dyDescent="0.25">
      <c r="A501" s="3" t="s">
        <v>1506</v>
      </c>
      <c r="B501">
        <v>0</v>
      </c>
    </row>
    <row r="502" spans="1:2" x14ac:dyDescent="0.25">
      <c r="A502" s="3" t="s">
        <v>4732</v>
      </c>
      <c r="B502">
        <v>2</v>
      </c>
    </row>
    <row r="503" spans="1:2" x14ac:dyDescent="0.25">
      <c r="A503" s="3" t="s">
        <v>1509</v>
      </c>
      <c r="B503">
        <v>0</v>
      </c>
    </row>
    <row r="504" spans="1:2" x14ac:dyDescent="0.25">
      <c r="A504" s="3" t="s">
        <v>4460</v>
      </c>
      <c r="B504">
        <v>0</v>
      </c>
    </row>
    <row r="505" spans="1:2" x14ac:dyDescent="0.25">
      <c r="A505" s="3" t="s">
        <v>1516</v>
      </c>
      <c r="B505">
        <v>0</v>
      </c>
    </row>
    <row r="506" spans="1:2" x14ac:dyDescent="0.25">
      <c r="A506" s="3" t="s">
        <v>5379</v>
      </c>
      <c r="B506">
        <v>0</v>
      </c>
    </row>
    <row r="507" spans="1:2" x14ac:dyDescent="0.25">
      <c r="A507" s="3" t="s">
        <v>5380</v>
      </c>
      <c r="B507">
        <v>0</v>
      </c>
    </row>
    <row r="508" spans="1:2" x14ac:dyDescent="0.25">
      <c r="A508" s="3" t="s">
        <v>5381</v>
      </c>
      <c r="B508">
        <v>0</v>
      </c>
    </row>
    <row r="509" spans="1:2" x14ac:dyDescent="0.25">
      <c r="A509" s="3" t="s">
        <v>1535</v>
      </c>
      <c r="B509">
        <v>1</v>
      </c>
    </row>
    <row r="510" spans="1:2" x14ac:dyDescent="0.25">
      <c r="A510" s="3" t="s">
        <v>5205</v>
      </c>
      <c r="B510">
        <v>0</v>
      </c>
    </row>
    <row r="511" spans="1:2" x14ac:dyDescent="0.25">
      <c r="A511" s="3" t="s">
        <v>1543</v>
      </c>
      <c r="B511">
        <v>0</v>
      </c>
    </row>
    <row r="512" spans="1:2" x14ac:dyDescent="0.25">
      <c r="A512" s="3" t="s">
        <v>1547</v>
      </c>
      <c r="B512">
        <v>0</v>
      </c>
    </row>
    <row r="513" spans="1:2" x14ac:dyDescent="0.25">
      <c r="A513" s="3" t="s">
        <v>1550</v>
      </c>
      <c r="B513">
        <v>0</v>
      </c>
    </row>
    <row r="514" spans="1:2" x14ac:dyDescent="0.25">
      <c r="A514" s="3" t="s">
        <v>1553</v>
      </c>
      <c r="B514">
        <v>0</v>
      </c>
    </row>
    <row r="515" spans="1:2" x14ac:dyDescent="0.25">
      <c r="A515" s="3" t="s">
        <v>1557</v>
      </c>
      <c r="B515">
        <v>0</v>
      </c>
    </row>
    <row r="516" spans="1:2" x14ac:dyDescent="0.25">
      <c r="A516" s="3" t="s">
        <v>5085</v>
      </c>
      <c r="B516">
        <v>0</v>
      </c>
    </row>
    <row r="517" spans="1:2" x14ac:dyDescent="0.25">
      <c r="A517" s="3" t="s">
        <v>1568</v>
      </c>
      <c r="B517">
        <v>0</v>
      </c>
    </row>
    <row r="518" spans="1:2" x14ac:dyDescent="0.25">
      <c r="A518" s="3" t="s">
        <v>5382</v>
      </c>
      <c r="B518">
        <v>4</v>
      </c>
    </row>
    <row r="519" spans="1:2" x14ac:dyDescent="0.25">
      <c r="A519" s="3" t="s">
        <v>1575</v>
      </c>
      <c r="B519">
        <v>0</v>
      </c>
    </row>
    <row r="520" spans="1:2" x14ac:dyDescent="0.25">
      <c r="A520" s="3" t="s">
        <v>5383</v>
      </c>
      <c r="B520">
        <v>0</v>
      </c>
    </row>
    <row r="521" spans="1:2" x14ac:dyDescent="0.25">
      <c r="A521" s="3" t="s">
        <v>4734</v>
      </c>
      <c r="B521">
        <v>3</v>
      </c>
    </row>
    <row r="522" spans="1:2" x14ac:dyDescent="0.25">
      <c r="A522" s="3" t="s">
        <v>4736</v>
      </c>
      <c r="B522">
        <v>0</v>
      </c>
    </row>
    <row r="523" spans="1:2" x14ac:dyDescent="0.25">
      <c r="A523" s="3" t="s">
        <v>4738</v>
      </c>
      <c r="B523">
        <v>0</v>
      </c>
    </row>
    <row r="524" spans="1:2" x14ac:dyDescent="0.25">
      <c r="A524" s="3" t="s">
        <v>1581</v>
      </c>
      <c r="B524">
        <v>2</v>
      </c>
    </row>
    <row r="525" spans="1:2" x14ac:dyDescent="0.25">
      <c r="A525" s="3" t="s">
        <v>1585</v>
      </c>
      <c r="B525">
        <v>0</v>
      </c>
    </row>
    <row r="526" spans="1:2" x14ac:dyDescent="0.25">
      <c r="A526" s="3" t="s">
        <v>5384</v>
      </c>
      <c r="B526">
        <v>1</v>
      </c>
    </row>
    <row r="527" spans="1:2" x14ac:dyDescent="0.25">
      <c r="A527" s="3" t="s">
        <v>1592</v>
      </c>
      <c r="B527">
        <v>0</v>
      </c>
    </row>
    <row r="528" spans="1:2" x14ac:dyDescent="0.25">
      <c r="A528" s="3" t="s">
        <v>1597</v>
      </c>
      <c r="B528">
        <v>1</v>
      </c>
    </row>
    <row r="529" spans="1:2" x14ac:dyDescent="0.25">
      <c r="A529" s="3" t="s">
        <v>1607</v>
      </c>
      <c r="B529">
        <v>0</v>
      </c>
    </row>
    <row r="530" spans="1:2" x14ac:dyDescent="0.25">
      <c r="A530" s="3" t="s">
        <v>1617</v>
      </c>
      <c r="B530">
        <v>0</v>
      </c>
    </row>
    <row r="531" spans="1:2" x14ac:dyDescent="0.25">
      <c r="A531" s="3" t="s">
        <v>1620</v>
      </c>
      <c r="B531">
        <v>2</v>
      </c>
    </row>
    <row r="532" spans="1:2" x14ac:dyDescent="0.25">
      <c r="A532" s="3" t="s">
        <v>1634</v>
      </c>
      <c r="B532">
        <v>0</v>
      </c>
    </row>
    <row r="533" spans="1:2" x14ac:dyDescent="0.25">
      <c r="A533" s="3" t="s">
        <v>1644</v>
      </c>
      <c r="B533">
        <v>0</v>
      </c>
    </row>
    <row r="534" spans="1:2" x14ac:dyDescent="0.25">
      <c r="A534" s="3" t="s">
        <v>1647</v>
      </c>
      <c r="B534">
        <v>0</v>
      </c>
    </row>
    <row r="535" spans="1:2" x14ac:dyDescent="0.25">
      <c r="A535" s="3" t="s">
        <v>1650</v>
      </c>
      <c r="B535">
        <v>5</v>
      </c>
    </row>
    <row r="536" spans="1:2" x14ac:dyDescent="0.25">
      <c r="A536" s="3" t="s">
        <v>1656</v>
      </c>
      <c r="B536">
        <v>10</v>
      </c>
    </row>
    <row r="537" spans="1:2" x14ac:dyDescent="0.25">
      <c r="A537" s="3" t="s">
        <v>1663</v>
      </c>
      <c r="B537">
        <v>0</v>
      </c>
    </row>
    <row r="538" spans="1:2" x14ac:dyDescent="0.25">
      <c r="A538" s="3" t="s">
        <v>5086</v>
      </c>
      <c r="B538">
        <v>0</v>
      </c>
    </row>
    <row r="539" spans="1:2" x14ac:dyDescent="0.25">
      <c r="A539" s="3" t="s">
        <v>1677</v>
      </c>
      <c r="B539">
        <v>1</v>
      </c>
    </row>
    <row r="540" spans="1:2" x14ac:dyDescent="0.25">
      <c r="A540" s="3" t="s">
        <v>1686</v>
      </c>
      <c r="B540">
        <v>0</v>
      </c>
    </row>
    <row r="541" spans="1:2" x14ac:dyDescent="0.25">
      <c r="A541" s="3" t="s">
        <v>1690</v>
      </c>
      <c r="B541">
        <v>1</v>
      </c>
    </row>
    <row r="542" spans="1:2" x14ac:dyDescent="0.25">
      <c r="A542" s="3" t="s">
        <v>5087</v>
      </c>
      <c r="B542">
        <v>0</v>
      </c>
    </row>
    <row r="543" spans="1:2" x14ac:dyDescent="0.25">
      <c r="A543" s="3" t="s">
        <v>1696</v>
      </c>
      <c r="B543">
        <v>0</v>
      </c>
    </row>
    <row r="544" spans="1:2" x14ac:dyDescent="0.25">
      <c r="A544" s="3" t="s">
        <v>5260</v>
      </c>
      <c r="B544">
        <v>0</v>
      </c>
    </row>
    <row r="545" spans="1:2" x14ac:dyDescent="0.25">
      <c r="A545" s="3" t="s">
        <v>5385</v>
      </c>
      <c r="B545">
        <v>0</v>
      </c>
    </row>
    <row r="546" spans="1:2" x14ac:dyDescent="0.25">
      <c r="A546" s="3" t="s">
        <v>5386</v>
      </c>
      <c r="B546">
        <v>0</v>
      </c>
    </row>
    <row r="547" spans="1:2" x14ac:dyDescent="0.25">
      <c r="A547" s="3" t="s">
        <v>1706</v>
      </c>
      <c r="B547">
        <v>27</v>
      </c>
    </row>
    <row r="548" spans="1:2" x14ac:dyDescent="0.25">
      <c r="A548" s="3" t="s">
        <v>1713</v>
      </c>
      <c r="B548">
        <v>3</v>
      </c>
    </row>
    <row r="549" spans="1:2" x14ac:dyDescent="0.25">
      <c r="A549" s="3" t="s">
        <v>1725</v>
      </c>
      <c r="B549">
        <v>0</v>
      </c>
    </row>
    <row r="550" spans="1:2" x14ac:dyDescent="0.25">
      <c r="A550" s="3" t="s">
        <v>1729</v>
      </c>
      <c r="B550">
        <v>0</v>
      </c>
    </row>
    <row r="551" spans="1:2" x14ac:dyDescent="0.25">
      <c r="A551" s="3" t="s">
        <v>1736</v>
      </c>
      <c r="B551">
        <v>1</v>
      </c>
    </row>
    <row r="552" spans="1:2" x14ac:dyDescent="0.25">
      <c r="A552" s="3" t="s">
        <v>4740</v>
      </c>
      <c r="B552">
        <v>0</v>
      </c>
    </row>
    <row r="553" spans="1:2" x14ac:dyDescent="0.25">
      <c r="A553" s="3" t="s">
        <v>1739</v>
      </c>
      <c r="B553">
        <v>2</v>
      </c>
    </row>
    <row r="554" spans="1:2" x14ac:dyDescent="0.25">
      <c r="A554" s="3" t="s">
        <v>1742</v>
      </c>
      <c r="B554">
        <v>0</v>
      </c>
    </row>
    <row r="555" spans="1:2" x14ac:dyDescent="0.25">
      <c r="A555" s="3" t="s">
        <v>5387</v>
      </c>
      <c r="B555">
        <v>0</v>
      </c>
    </row>
    <row r="556" spans="1:2" x14ac:dyDescent="0.25">
      <c r="A556" s="3" t="s">
        <v>4742</v>
      </c>
      <c r="B556">
        <v>0</v>
      </c>
    </row>
    <row r="557" spans="1:2" x14ac:dyDescent="0.25">
      <c r="A557" s="3" t="s">
        <v>5208</v>
      </c>
      <c r="B557">
        <v>0</v>
      </c>
    </row>
    <row r="558" spans="1:2" x14ac:dyDescent="0.25">
      <c r="A558" s="3" t="s">
        <v>1748</v>
      </c>
      <c r="B558">
        <v>0</v>
      </c>
    </row>
    <row r="559" spans="1:2" x14ac:dyDescent="0.25">
      <c r="A559" s="3" t="s">
        <v>5210</v>
      </c>
      <c r="B559">
        <v>0</v>
      </c>
    </row>
    <row r="560" spans="1:2" x14ac:dyDescent="0.25">
      <c r="A560" s="3" t="s">
        <v>1752</v>
      </c>
      <c r="B560">
        <v>1</v>
      </c>
    </row>
    <row r="561" spans="1:2" x14ac:dyDescent="0.25">
      <c r="A561" s="3" t="s">
        <v>1756</v>
      </c>
      <c r="B561">
        <v>0</v>
      </c>
    </row>
    <row r="562" spans="1:2" x14ac:dyDescent="0.25">
      <c r="A562" s="3" t="s">
        <v>5262</v>
      </c>
      <c r="B562">
        <v>0</v>
      </c>
    </row>
    <row r="563" spans="1:2" x14ac:dyDescent="0.25">
      <c r="A563" s="3" t="s">
        <v>1759</v>
      </c>
      <c r="B563">
        <v>1</v>
      </c>
    </row>
    <row r="564" spans="1:2" x14ac:dyDescent="0.25">
      <c r="A564" s="3" t="s">
        <v>1768</v>
      </c>
      <c r="B564">
        <v>0</v>
      </c>
    </row>
    <row r="565" spans="1:2" x14ac:dyDescent="0.25">
      <c r="A565" s="3" t="s">
        <v>5388</v>
      </c>
      <c r="B565">
        <v>0</v>
      </c>
    </row>
    <row r="566" spans="1:2" x14ac:dyDescent="0.25">
      <c r="A566" s="3" t="s">
        <v>1774</v>
      </c>
      <c r="B566">
        <v>2</v>
      </c>
    </row>
    <row r="567" spans="1:2" x14ac:dyDescent="0.25">
      <c r="A567" s="3" t="s">
        <v>4744</v>
      </c>
      <c r="B567">
        <v>1</v>
      </c>
    </row>
    <row r="568" spans="1:2" x14ac:dyDescent="0.25">
      <c r="A568" s="3" t="s">
        <v>1783</v>
      </c>
      <c r="B568">
        <v>0</v>
      </c>
    </row>
    <row r="569" spans="1:2" x14ac:dyDescent="0.25">
      <c r="A569" s="3" t="s">
        <v>1787</v>
      </c>
      <c r="B569">
        <v>1</v>
      </c>
    </row>
    <row r="570" spans="1:2" x14ac:dyDescent="0.25">
      <c r="A570" s="3" t="s">
        <v>4746</v>
      </c>
      <c r="B570">
        <v>0</v>
      </c>
    </row>
    <row r="571" spans="1:2" x14ac:dyDescent="0.25">
      <c r="A571" s="3" t="s">
        <v>5389</v>
      </c>
      <c r="B571">
        <v>0</v>
      </c>
    </row>
    <row r="572" spans="1:2" x14ac:dyDescent="0.25">
      <c r="A572" s="3" t="s">
        <v>5153</v>
      </c>
      <c r="B572">
        <v>0</v>
      </c>
    </row>
    <row r="573" spans="1:2" x14ac:dyDescent="0.25">
      <c r="A573" s="3" t="s">
        <v>1796</v>
      </c>
      <c r="B573">
        <v>0</v>
      </c>
    </row>
    <row r="574" spans="1:2" x14ac:dyDescent="0.25">
      <c r="A574" s="3" t="s">
        <v>1800</v>
      </c>
      <c r="B574">
        <v>0</v>
      </c>
    </row>
    <row r="575" spans="1:2" x14ac:dyDescent="0.25">
      <c r="A575" s="3" t="s">
        <v>4748</v>
      </c>
      <c r="B575">
        <v>2</v>
      </c>
    </row>
    <row r="576" spans="1:2" x14ac:dyDescent="0.25">
      <c r="A576" s="3" t="s">
        <v>1803</v>
      </c>
      <c r="B576">
        <v>2</v>
      </c>
    </row>
    <row r="577" spans="1:2" x14ac:dyDescent="0.25">
      <c r="A577" s="3" t="s">
        <v>4750</v>
      </c>
      <c r="B577">
        <v>0</v>
      </c>
    </row>
    <row r="578" spans="1:2" x14ac:dyDescent="0.25">
      <c r="A578" s="3" t="s">
        <v>5390</v>
      </c>
      <c r="B578">
        <v>0</v>
      </c>
    </row>
    <row r="579" spans="1:2" x14ac:dyDescent="0.25">
      <c r="A579" s="3" t="s">
        <v>1815</v>
      </c>
      <c r="B579">
        <v>0</v>
      </c>
    </row>
    <row r="580" spans="1:2" x14ac:dyDescent="0.25">
      <c r="A580" s="3" t="s">
        <v>1820</v>
      </c>
      <c r="B580">
        <v>0</v>
      </c>
    </row>
    <row r="581" spans="1:2" x14ac:dyDescent="0.25">
      <c r="A581" s="3" t="s">
        <v>4752</v>
      </c>
      <c r="B581">
        <v>0</v>
      </c>
    </row>
    <row r="582" spans="1:2" x14ac:dyDescent="0.25">
      <c r="A582" s="3" t="s">
        <v>1824</v>
      </c>
      <c r="B582">
        <v>0</v>
      </c>
    </row>
    <row r="583" spans="1:2" x14ac:dyDescent="0.25">
      <c r="A583" s="3" t="s">
        <v>1830</v>
      </c>
      <c r="B583">
        <v>0</v>
      </c>
    </row>
    <row r="584" spans="1:2" x14ac:dyDescent="0.25">
      <c r="A584" s="3" t="s">
        <v>5143</v>
      </c>
      <c r="B584">
        <v>0</v>
      </c>
    </row>
    <row r="585" spans="1:2" x14ac:dyDescent="0.25">
      <c r="A585" s="3" t="s">
        <v>1837</v>
      </c>
      <c r="B585">
        <v>0</v>
      </c>
    </row>
    <row r="586" spans="1:2" x14ac:dyDescent="0.25">
      <c r="A586" s="3" t="s">
        <v>4754</v>
      </c>
      <c r="B586">
        <v>1</v>
      </c>
    </row>
    <row r="587" spans="1:2" x14ac:dyDescent="0.25">
      <c r="A587" s="3" t="s">
        <v>1841</v>
      </c>
      <c r="B587">
        <v>5</v>
      </c>
    </row>
    <row r="588" spans="1:2" x14ac:dyDescent="0.25">
      <c r="A588" s="3" t="s">
        <v>1845</v>
      </c>
      <c r="B588">
        <v>0</v>
      </c>
    </row>
    <row r="589" spans="1:2" x14ac:dyDescent="0.25">
      <c r="A589" s="3" t="s">
        <v>4756</v>
      </c>
      <c r="B589">
        <v>3</v>
      </c>
    </row>
    <row r="590" spans="1:2" x14ac:dyDescent="0.25">
      <c r="A590" s="3" t="s">
        <v>4758</v>
      </c>
      <c r="B590">
        <v>4</v>
      </c>
    </row>
    <row r="591" spans="1:2" x14ac:dyDescent="0.25">
      <c r="A591" s="3" t="s">
        <v>4760</v>
      </c>
      <c r="B591">
        <v>0</v>
      </c>
    </row>
    <row r="592" spans="1:2" x14ac:dyDescent="0.25">
      <c r="A592" s="3" t="s">
        <v>1849</v>
      </c>
      <c r="B592">
        <v>0</v>
      </c>
    </row>
    <row r="593" spans="1:2" x14ac:dyDescent="0.25">
      <c r="A593" s="3" t="s">
        <v>4762</v>
      </c>
      <c r="B593">
        <v>0</v>
      </c>
    </row>
    <row r="594" spans="1:2" x14ac:dyDescent="0.25">
      <c r="A594" s="3" t="s">
        <v>1853</v>
      </c>
      <c r="B594">
        <v>0</v>
      </c>
    </row>
    <row r="595" spans="1:2" x14ac:dyDescent="0.25">
      <c r="A595" s="3" t="s">
        <v>1860</v>
      </c>
      <c r="B595">
        <v>0</v>
      </c>
    </row>
    <row r="596" spans="1:2" x14ac:dyDescent="0.25">
      <c r="A596" s="3" t="s">
        <v>1865</v>
      </c>
      <c r="B596">
        <v>0</v>
      </c>
    </row>
    <row r="597" spans="1:2" x14ac:dyDescent="0.25">
      <c r="A597" s="3" t="s">
        <v>1872</v>
      </c>
      <c r="B597">
        <v>0</v>
      </c>
    </row>
    <row r="598" spans="1:2" x14ac:dyDescent="0.25">
      <c r="A598" s="3" t="s">
        <v>5144</v>
      </c>
      <c r="B598">
        <v>0</v>
      </c>
    </row>
    <row r="599" spans="1:2" x14ac:dyDescent="0.25">
      <c r="A599" s="3" t="s">
        <v>1879</v>
      </c>
      <c r="B599">
        <v>0</v>
      </c>
    </row>
    <row r="600" spans="1:2" x14ac:dyDescent="0.25">
      <c r="A600" s="3" t="s">
        <v>1882</v>
      </c>
      <c r="B600">
        <v>0</v>
      </c>
    </row>
    <row r="601" spans="1:2" x14ac:dyDescent="0.25">
      <c r="A601" s="3" t="s">
        <v>1886</v>
      </c>
      <c r="B601">
        <v>0</v>
      </c>
    </row>
    <row r="602" spans="1:2" x14ac:dyDescent="0.25">
      <c r="A602" s="3" t="s">
        <v>5391</v>
      </c>
      <c r="B602">
        <v>0</v>
      </c>
    </row>
    <row r="603" spans="1:2" x14ac:dyDescent="0.25">
      <c r="A603" s="3" t="s">
        <v>1894</v>
      </c>
      <c r="B603">
        <v>1</v>
      </c>
    </row>
    <row r="604" spans="1:2" x14ac:dyDescent="0.25">
      <c r="A604" s="3" t="s">
        <v>5392</v>
      </c>
      <c r="B604">
        <v>2</v>
      </c>
    </row>
    <row r="605" spans="1:2" x14ac:dyDescent="0.25">
      <c r="A605" s="3" t="s">
        <v>5088</v>
      </c>
      <c r="B605">
        <v>1</v>
      </c>
    </row>
    <row r="606" spans="1:2" x14ac:dyDescent="0.25">
      <c r="A606" s="3" t="s">
        <v>5089</v>
      </c>
      <c r="B606">
        <v>2</v>
      </c>
    </row>
    <row r="607" spans="1:2" x14ac:dyDescent="0.25">
      <c r="A607" s="3" t="s">
        <v>1910</v>
      </c>
      <c r="B607">
        <v>4</v>
      </c>
    </row>
    <row r="608" spans="1:2" x14ac:dyDescent="0.25">
      <c r="A608" s="3" t="s">
        <v>5393</v>
      </c>
      <c r="B608">
        <v>1</v>
      </c>
    </row>
    <row r="609" spans="1:2" x14ac:dyDescent="0.25">
      <c r="A609" s="3" t="s">
        <v>4764</v>
      </c>
      <c r="B609">
        <v>0</v>
      </c>
    </row>
    <row r="610" spans="1:2" x14ac:dyDescent="0.25">
      <c r="A610" s="3" t="s">
        <v>4766</v>
      </c>
      <c r="B610">
        <v>1</v>
      </c>
    </row>
    <row r="611" spans="1:2" x14ac:dyDescent="0.25">
      <c r="A611" s="3" t="s">
        <v>5394</v>
      </c>
      <c r="B611">
        <v>0</v>
      </c>
    </row>
    <row r="612" spans="1:2" x14ac:dyDescent="0.25">
      <c r="A612" s="3" t="s">
        <v>1924</v>
      </c>
      <c r="B612">
        <v>0</v>
      </c>
    </row>
    <row r="613" spans="1:2" x14ac:dyDescent="0.25">
      <c r="A613" s="3" t="s">
        <v>4483</v>
      </c>
      <c r="B613">
        <v>0</v>
      </c>
    </row>
    <row r="614" spans="1:2" x14ac:dyDescent="0.25">
      <c r="A614" s="3" t="s">
        <v>1927</v>
      </c>
      <c r="B614">
        <v>5</v>
      </c>
    </row>
    <row r="615" spans="1:2" x14ac:dyDescent="0.25">
      <c r="A615" s="3" t="s">
        <v>1934</v>
      </c>
      <c r="B615">
        <v>0</v>
      </c>
    </row>
    <row r="616" spans="1:2" x14ac:dyDescent="0.25">
      <c r="A616" s="3" t="s">
        <v>5395</v>
      </c>
      <c r="B616">
        <v>0</v>
      </c>
    </row>
    <row r="617" spans="1:2" x14ac:dyDescent="0.25">
      <c r="A617" s="3" t="s">
        <v>4770</v>
      </c>
      <c r="B617">
        <v>3</v>
      </c>
    </row>
    <row r="618" spans="1:2" x14ac:dyDescent="0.25">
      <c r="A618" s="3" t="s">
        <v>4768</v>
      </c>
      <c r="B618">
        <v>13</v>
      </c>
    </row>
    <row r="619" spans="1:2" x14ac:dyDescent="0.25">
      <c r="A619" s="3" t="s">
        <v>4772</v>
      </c>
      <c r="B619">
        <v>2</v>
      </c>
    </row>
    <row r="620" spans="1:2" x14ac:dyDescent="0.25">
      <c r="A620" s="3" t="s">
        <v>5396</v>
      </c>
      <c r="B620">
        <v>3</v>
      </c>
    </row>
    <row r="621" spans="1:2" x14ac:dyDescent="0.25">
      <c r="A621" s="3" t="s">
        <v>1945</v>
      </c>
      <c r="B621">
        <v>0</v>
      </c>
    </row>
    <row r="622" spans="1:2" x14ac:dyDescent="0.25">
      <c r="A622" s="3" t="s">
        <v>1949</v>
      </c>
      <c r="B622">
        <v>0</v>
      </c>
    </row>
    <row r="623" spans="1:2" x14ac:dyDescent="0.25">
      <c r="A623" s="3" t="s">
        <v>1955</v>
      </c>
      <c r="B623">
        <v>0</v>
      </c>
    </row>
    <row r="624" spans="1:2" x14ac:dyDescent="0.25">
      <c r="A624" s="3" t="s">
        <v>1959</v>
      </c>
      <c r="B624">
        <v>0</v>
      </c>
    </row>
    <row r="625" spans="1:2" x14ac:dyDescent="0.25">
      <c r="A625" s="3" t="s">
        <v>1963</v>
      </c>
      <c r="B625">
        <v>0</v>
      </c>
    </row>
    <row r="626" spans="1:2" x14ac:dyDescent="0.25">
      <c r="A626" s="3" t="s">
        <v>1967</v>
      </c>
      <c r="B626">
        <v>0</v>
      </c>
    </row>
    <row r="627" spans="1:2" x14ac:dyDescent="0.25">
      <c r="A627" s="3" t="s">
        <v>1972</v>
      </c>
      <c r="B627">
        <v>0</v>
      </c>
    </row>
    <row r="628" spans="1:2" x14ac:dyDescent="0.25">
      <c r="A628" s="3" t="s">
        <v>1978</v>
      </c>
      <c r="B628">
        <v>0</v>
      </c>
    </row>
    <row r="629" spans="1:2" x14ac:dyDescent="0.25">
      <c r="A629" s="3" t="s">
        <v>1982</v>
      </c>
      <c r="B629">
        <v>0</v>
      </c>
    </row>
    <row r="630" spans="1:2" x14ac:dyDescent="0.25">
      <c r="A630" s="3" t="s">
        <v>6165</v>
      </c>
      <c r="B630">
        <v>0</v>
      </c>
    </row>
    <row r="631" spans="1:2" x14ac:dyDescent="0.25">
      <c r="A631" s="3" t="s">
        <v>4463</v>
      </c>
      <c r="B631">
        <v>0</v>
      </c>
    </row>
    <row r="632" spans="1:2" x14ac:dyDescent="0.25">
      <c r="A632" s="3" t="s">
        <v>1986</v>
      </c>
      <c r="B632">
        <v>0</v>
      </c>
    </row>
    <row r="633" spans="1:2" x14ac:dyDescent="0.25">
      <c r="A633" s="3" t="s">
        <v>4774</v>
      </c>
      <c r="B633">
        <v>0</v>
      </c>
    </row>
    <row r="634" spans="1:2" x14ac:dyDescent="0.25">
      <c r="A634" s="3" t="s">
        <v>4517</v>
      </c>
      <c r="B634">
        <v>0</v>
      </c>
    </row>
    <row r="635" spans="1:2" x14ac:dyDescent="0.25">
      <c r="A635" s="3" t="s">
        <v>5154</v>
      </c>
      <c r="B635">
        <v>0</v>
      </c>
    </row>
    <row r="636" spans="1:2" x14ac:dyDescent="0.25">
      <c r="A636" s="3" t="s">
        <v>5398</v>
      </c>
      <c r="B636">
        <v>0</v>
      </c>
    </row>
    <row r="637" spans="1:2" x14ac:dyDescent="0.25">
      <c r="A637" s="3" t="s">
        <v>5397</v>
      </c>
      <c r="B637">
        <v>0</v>
      </c>
    </row>
    <row r="638" spans="1:2" x14ac:dyDescent="0.25">
      <c r="A638" s="3" t="s">
        <v>1999</v>
      </c>
      <c r="B638">
        <v>2</v>
      </c>
    </row>
    <row r="639" spans="1:2" x14ac:dyDescent="0.25">
      <c r="A639" s="3" t="s">
        <v>4776</v>
      </c>
      <c r="B639">
        <v>0</v>
      </c>
    </row>
    <row r="640" spans="1:2" x14ac:dyDescent="0.25">
      <c r="A640" s="3" t="s">
        <v>2008</v>
      </c>
      <c r="B640">
        <v>0</v>
      </c>
    </row>
    <row r="641" spans="1:2" x14ac:dyDescent="0.25">
      <c r="A641" s="3" t="s">
        <v>2011</v>
      </c>
      <c r="B641">
        <v>1</v>
      </c>
    </row>
    <row r="642" spans="1:2" x14ac:dyDescent="0.25">
      <c r="A642" s="3" t="s">
        <v>2015</v>
      </c>
      <c r="B642">
        <v>1</v>
      </c>
    </row>
    <row r="643" spans="1:2" x14ac:dyDescent="0.25">
      <c r="A643" s="3" t="s">
        <v>2024</v>
      </c>
      <c r="B643">
        <v>2</v>
      </c>
    </row>
    <row r="644" spans="1:2" x14ac:dyDescent="0.25">
      <c r="A644" s="3" t="s">
        <v>4778</v>
      </c>
      <c r="B644">
        <v>1</v>
      </c>
    </row>
    <row r="645" spans="1:2" x14ac:dyDescent="0.25">
      <c r="A645" s="3" t="s">
        <v>2028</v>
      </c>
      <c r="B645">
        <v>0</v>
      </c>
    </row>
    <row r="646" spans="1:2" x14ac:dyDescent="0.25">
      <c r="A646" s="3" t="s">
        <v>5212</v>
      </c>
      <c r="B646">
        <v>0</v>
      </c>
    </row>
    <row r="647" spans="1:2" x14ac:dyDescent="0.25">
      <c r="A647" s="3" t="s">
        <v>2032</v>
      </c>
      <c r="B647">
        <v>1</v>
      </c>
    </row>
    <row r="648" spans="1:2" x14ac:dyDescent="0.25">
      <c r="A648" s="3" t="s">
        <v>4780</v>
      </c>
      <c r="B648">
        <v>0</v>
      </c>
    </row>
    <row r="649" spans="1:2" x14ac:dyDescent="0.25">
      <c r="A649" s="3" t="s">
        <v>5399</v>
      </c>
      <c r="B649">
        <v>1</v>
      </c>
    </row>
    <row r="650" spans="1:2" x14ac:dyDescent="0.25">
      <c r="A650" s="3" t="s">
        <v>5493</v>
      </c>
      <c r="B650">
        <v>2</v>
      </c>
    </row>
    <row r="651" spans="1:2" x14ac:dyDescent="0.25">
      <c r="A651" s="3" t="s">
        <v>5214</v>
      </c>
      <c r="B651">
        <v>0</v>
      </c>
    </row>
    <row r="652" spans="1:2" x14ac:dyDescent="0.25">
      <c r="A652" s="3" t="s">
        <v>5484</v>
      </c>
      <c r="B652">
        <v>0</v>
      </c>
    </row>
    <row r="653" spans="1:2" x14ac:dyDescent="0.25">
      <c r="A653" s="3" t="s">
        <v>2046</v>
      </c>
      <c r="B653">
        <v>0</v>
      </c>
    </row>
    <row r="654" spans="1:2" x14ac:dyDescent="0.25">
      <c r="A654" s="3" t="s">
        <v>4782</v>
      </c>
      <c r="B654">
        <v>0</v>
      </c>
    </row>
    <row r="655" spans="1:2" x14ac:dyDescent="0.25">
      <c r="A655" s="3" t="s">
        <v>2050</v>
      </c>
      <c r="B655">
        <v>1</v>
      </c>
    </row>
    <row r="656" spans="1:2" x14ac:dyDescent="0.25">
      <c r="A656" s="3" t="s">
        <v>2054</v>
      </c>
      <c r="B656">
        <v>0</v>
      </c>
    </row>
    <row r="657" spans="1:2" x14ac:dyDescent="0.25">
      <c r="A657" s="3" t="s">
        <v>2058</v>
      </c>
      <c r="B657">
        <v>0</v>
      </c>
    </row>
    <row r="658" spans="1:2" x14ac:dyDescent="0.25">
      <c r="A658" s="3" t="s">
        <v>4784</v>
      </c>
      <c r="B658">
        <v>0</v>
      </c>
    </row>
    <row r="659" spans="1:2" x14ac:dyDescent="0.25">
      <c r="A659" s="3" t="s">
        <v>2061</v>
      </c>
      <c r="B659">
        <v>0</v>
      </c>
    </row>
    <row r="660" spans="1:2" x14ac:dyDescent="0.25">
      <c r="A660" s="3" t="s">
        <v>4786</v>
      </c>
      <c r="B660">
        <v>0</v>
      </c>
    </row>
    <row r="661" spans="1:2" x14ac:dyDescent="0.25">
      <c r="A661" s="3" t="s">
        <v>2069</v>
      </c>
      <c r="B661">
        <v>0</v>
      </c>
    </row>
    <row r="662" spans="1:2" x14ac:dyDescent="0.25">
      <c r="A662" s="3" t="s">
        <v>4790</v>
      </c>
      <c r="B662">
        <v>4</v>
      </c>
    </row>
    <row r="663" spans="1:2" x14ac:dyDescent="0.25">
      <c r="A663" s="3" t="s">
        <v>4788</v>
      </c>
      <c r="B663">
        <v>2</v>
      </c>
    </row>
    <row r="664" spans="1:2" x14ac:dyDescent="0.25">
      <c r="A664" s="3" t="s">
        <v>5090</v>
      </c>
      <c r="B664">
        <v>1</v>
      </c>
    </row>
    <row r="665" spans="1:2" x14ac:dyDescent="0.25">
      <c r="A665" s="3" t="s">
        <v>4487</v>
      </c>
      <c r="B665">
        <v>0</v>
      </c>
    </row>
    <row r="666" spans="1:2" x14ac:dyDescent="0.25">
      <c r="A666" s="3" t="s">
        <v>2076</v>
      </c>
      <c r="B666">
        <v>0</v>
      </c>
    </row>
    <row r="667" spans="1:2" x14ac:dyDescent="0.25">
      <c r="A667" s="3" t="s">
        <v>2079</v>
      </c>
      <c r="B667">
        <v>0</v>
      </c>
    </row>
    <row r="668" spans="1:2" x14ac:dyDescent="0.25">
      <c r="A668" s="3" t="s">
        <v>2084</v>
      </c>
      <c r="B668">
        <v>6</v>
      </c>
    </row>
    <row r="669" spans="1:2" x14ac:dyDescent="0.25">
      <c r="A669" s="3" t="s">
        <v>2088</v>
      </c>
      <c r="B669">
        <v>0</v>
      </c>
    </row>
    <row r="670" spans="1:2" x14ac:dyDescent="0.25">
      <c r="A670" s="3" t="s">
        <v>5127</v>
      </c>
      <c r="B670">
        <v>0</v>
      </c>
    </row>
    <row r="671" spans="1:2" x14ac:dyDescent="0.25">
      <c r="A671" s="3" t="s">
        <v>2098</v>
      </c>
      <c r="B671">
        <v>3</v>
      </c>
    </row>
    <row r="672" spans="1:2" x14ac:dyDescent="0.25">
      <c r="A672" s="3" t="s">
        <v>4792</v>
      </c>
      <c r="B672">
        <v>2</v>
      </c>
    </row>
    <row r="673" spans="1:2" x14ac:dyDescent="0.25">
      <c r="A673" s="3" t="s">
        <v>2106</v>
      </c>
      <c r="B673">
        <v>0</v>
      </c>
    </row>
    <row r="674" spans="1:2" x14ac:dyDescent="0.25">
      <c r="A674" s="3" t="s">
        <v>4546</v>
      </c>
      <c r="B674">
        <v>0</v>
      </c>
    </row>
    <row r="675" spans="1:2" x14ac:dyDescent="0.25">
      <c r="A675" s="3" t="s">
        <v>2113</v>
      </c>
      <c r="B675">
        <v>3</v>
      </c>
    </row>
    <row r="676" spans="1:2" x14ac:dyDescent="0.25">
      <c r="A676" s="3" t="s">
        <v>2117</v>
      </c>
      <c r="B676">
        <v>0</v>
      </c>
    </row>
    <row r="677" spans="1:2" x14ac:dyDescent="0.25">
      <c r="A677" s="3" t="s">
        <v>6170</v>
      </c>
      <c r="B677">
        <v>0</v>
      </c>
    </row>
    <row r="678" spans="1:2" x14ac:dyDescent="0.25">
      <c r="A678" s="3" t="s">
        <v>2120</v>
      </c>
      <c r="B678">
        <v>1</v>
      </c>
    </row>
    <row r="679" spans="1:2" x14ac:dyDescent="0.25">
      <c r="A679" s="3" t="s">
        <v>2122</v>
      </c>
      <c r="B679">
        <v>0</v>
      </c>
    </row>
    <row r="680" spans="1:2" x14ac:dyDescent="0.25">
      <c r="A680" s="3" t="s">
        <v>2132</v>
      </c>
      <c r="B680">
        <v>0</v>
      </c>
    </row>
    <row r="681" spans="1:2" x14ac:dyDescent="0.25">
      <c r="A681" s="3" t="s">
        <v>5091</v>
      </c>
      <c r="B681">
        <v>0</v>
      </c>
    </row>
    <row r="682" spans="1:2" x14ac:dyDescent="0.25">
      <c r="A682" s="3" t="s">
        <v>4797</v>
      </c>
      <c r="B682">
        <v>2</v>
      </c>
    </row>
    <row r="683" spans="1:2" x14ac:dyDescent="0.25">
      <c r="A683" s="3" t="s">
        <v>4794</v>
      </c>
      <c r="B683">
        <v>0</v>
      </c>
    </row>
    <row r="684" spans="1:2" x14ac:dyDescent="0.25">
      <c r="A684" s="3" t="s">
        <v>4497</v>
      </c>
      <c r="B684">
        <v>0</v>
      </c>
    </row>
    <row r="685" spans="1:2" x14ac:dyDescent="0.25">
      <c r="A685" s="3" t="s">
        <v>4801</v>
      </c>
      <c r="B685">
        <v>0</v>
      </c>
    </row>
    <row r="686" spans="1:2" x14ac:dyDescent="0.25">
      <c r="A686" s="3" t="s">
        <v>4799</v>
      </c>
      <c r="B686">
        <v>0</v>
      </c>
    </row>
    <row r="687" spans="1:2" x14ac:dyDescent="0.25">
      <c r="A687" s="3" t="s">
        <v>4803</v>
      </c>
      <c r="B687">
        <v>0</v>
      </c>
    </row>
    <row r="688" spans="1:2" x14ac:dyDescent="0.25">
      <c r="A688" s="3" t="s">
        <v>5401</v>
      </c>
      <c r="B688">
        <v>0</v>
      </c>
    </row>
    <row r="689" spans="1:2" x14ac:dyDescent="0.25">
      <c r="A689" s="3" t="s">
        <v>2155</v>
      </c>
      <c r="B689">
        <v>0</v>
      </c>
    </row>
    <row r="690" spans="1:2" x14ac:dyDescent="0.25">
      <c r="A690" s="3" t="s">
        <v>4520</v>
      </c>
      <c r="B690">
        <v>0</v>
      </c>
    </row>
    <row r="691" spans="1:2" x14ac:dyDescent="0.25">
      <c r="A691" s="3" t="s">
        <v>2065</v>
      </c>
      <c r="B691">
        <v>0</v>
      </c>
    </row>
    <row r="692" spans="1:2" x14ac:dyDescent="0.25">
      <c r="A692" s="3" t="s">
        <v>6175</v>
      </c>
      <c r="B692">
        <v>3</v>
      </c>
    </row>
    <row r="693" spans="1:2" x14ac:dyDescent="0.25">
      <c r="A693" s="3" t="s">
        <v>2159</v>
      </c>
      <c r="B693">
        <v>2</v>
      </c>
    </row>
    <row r="694" spans="1:2" x14ac:dyDescent="0.25">
      <c r="A694" s="3" t="s">
        <v>2203</v>
      </c>
      <c r="B694">
        <v>0</v>
      </c>
    </row>
    <row r="695" spans="1:2" x14ac:dyDescent="0.25">
      <c r="A695" s="3" t="s">
        <v>2163</v>
      </c>
      <c r="B695">
        <v>0</v>
      </c>
    </row>
    <row r="696" spans="1:2" x14ac:dyDescent="0.25">
      <c r="A696" s="3" t="s">
        <v>2166</v>
      </c>
      <c r="B696">
        <v>0</v>
      </c>
    </row>
    <row r="697" spans="1:2" x14ac:dyDescent="0.25">
      <c r="A697" s="3" t="s">
        <v>2171</v>
      </c>
      <c r="B697">
        <v>0</v>
      </c>
    </row>
    <row r="698" spans="1:2" x14ac:dyDescent="0.25">
      <c r="A698" s="3" t="s">
        <v>2181</v>
      </c>
      <c r="B698">
        <v>1</v>
      </c>
    </row>
    <row r="699" spans="1:2" x14ac:dyDescent="0.25">
      <c r="A699" s="3" t="s">
        <v>2186</v>
      </c>
      <c r="B699">
        <v>0</v>
      </c>
    </row>
    <row r="700" spans="1:2" x14ac:dyDescent="0.25">
      <c r="A700" s="3" t="s">
        <v>4547</v>
      </c>
      <c r="B700">
        <v>0</v>
      </c>
    </row>
    <row r="701" spans="1:2" x14ac:dyDescent="0.25">
      <c r="A701" s="3" t="s">
        <v>4807</v>
      </c>
      <c r="B701">
        <v>3</v>
      </c>
    </row>
    <row r="702" spans="1:2" x14ac:dyDescent="0.25">
      <c r="A702" s="3" t="s">
        <v>2190</v>
      </c>
      <c r="B702">
        <v>0</v>
      </c>
    </row>
    <row r="703" spans="1:2" x14ac:dyDescent="0.25">
      <c r="A703" s="3" t="s">
        <v>2193</v>
      </c>
      <c r="B703">
        <v>7</v>
      </c>
    </row>
    <row r="704" spans="1:2" x14ac:dyDescent="0.25">
      <c r="A704" s="3" t="s">
        <v>5145</v>
      </c>
      <c r="B704">
        <v>9</v>
      </c>
    </row>
    <row r="705" spans="1:2" x14ac:dyDescent="0.25">
      <c r="A705" s="3" t="s">
        <v>4809</v>
      </c>
      <c r="B705">
        <v>2</v>
      </c>
    </row>
    <row r="706" spans="1:2" x14ac:dyDescent="0.25">
      <c r="A706" s="3" t="s">
        <v>2206</v>
      </c>
      <c r="B706">
        <v>0</v>
      </c>
    </row>
    <row r="707" spans="1:2" x14ac:dyDescent="0.25">
      <c r="A707" s="3" t="s">
        <v>2210</v>
      </c>
      <c r="B707">
        <v>0</v>
      </c>
    </row>
    <row r="708" spans="1:2" x14ac:dyDescent="0.25">
      <c r="A708" s="3" t="s">
        <v>2214</v>
      </c>
      <c r="B708">
        <v>3</v>
      </c>
    </row>
    <row r="709" spans="1:2" x14ac:dyDescent="0.25">
      <c r="A709" s="3" t="s">
        <v>5218</v>
      </c>
      <c r="B709">
        <v>0</v>
      </c>
    </row>
    <row r="710" spans="1:2" x14ac:dyDescent="0.25">
      <c r="A710" s="3" t="s">
        <v>2224</v>
      </c>
      <c r="B710">
        <v>1</v>
      </c>
    </row>
    <row r="711" spans="1:2" x14ac:dyDescent="0.25">
      <c r="A711" s="3" t="s">
        <v>4805</v>
      </c>
      <c r="B711">
        <v>3</v>
      </c>
    </row>
    <row r="712" spans="1:2" x14ac:dyDescent="0.25">
      <c r="A712" s="3" t="s">
        <v>2227</v>
      </c>
      <c r="B712">
        <v>4</v>
      </c>
    </row>
    <row r="713" spans="1:2" x14ac:dyDescent="0.25">
      <c r="A713" s="3" t="s">
        <v>2233</v>
      </c>
      <c r="B713">
        <v>1</v>
      </c>
    </row>
    <row r="714" spans="1:2" x14ac:dyDescent="0.25">
      <c r="A714" s="3" t="s">
        <v>2237</v>
      </c>
      <c r="B714">
        <v>1</v>
      </c>
    </row>
    <row r="715" spans="1:2" x14ac:dyDescent="0.25">
      <c r="A715" s="3" t="s">
        <v>2242</v>
      </c>
      <c r="B715">
        <v>0</v>
      </c>
    </row>
    <row r="716" spans="1:2" x14ac:dyDescent="0.25">
      <c r="A716" s="3" t="s">
        <v>2246</v>
      </c>
      <c r="B716">
        <v>0</v>
      </c>
    </row>
    <row r="717" spans="1:2" x14ac:dyDescent="0.25">
      <c r="A717" s="3" t="s">
        <v>2250</v>
      </c>
      <c r="B717">
        <v>3</v>
      </c>
    </row>
    <row r="718" spans="1:2" x14ac:dyDescent="0.25">
      <c r="A718" s="3" t="s">
        <v>2259</v>
      </c>
      <c r="B718">
        <v>0</v>
      </c>
    </row>
    <row r="719" spans="1:2" x14ac:dyDescent="0.25">
      <c r="A719" s="3" t="s">
        <v>2264</v>
      </c>
      <c r="B719">
        <v>2</v>
      </c>
    </row>
    <row r="720" spans="1:2" x14ac:dyDescent="0.25">
      <c r="A720" s="3" t="s">
        <v>5220</v>
      </c>
      <c r="B720">
        <v>13</v>
      </c>
    </row>
    <row r="721" spans="1:2" x14ac:dyDescent="0.25">
      <c r="A721" s="3" t="s">
        <v>5402</v>
      </c>
      <c r="B721">
        <v>0</v>
      </c>
    </row>
    <row r="722" spans="1:2" x14ac:dyDescent="0.25">
      <c r="A722" s="3" t="s">
        <v>5403</v>
      </c>
      <c r="B722">
        <v>1</v>
      </c>
    </row>
    <row r="723" spans="1:2" x14ac:dyDescent="0.25">
      <c r="A723" s="3" t="s">
        <v>2274</v>
      </c>
      <c r="B723">
        <v>0</v>
      </c>
    </row>
    <row r="724" spans="1:2" x14ac:dyDescent="0.25">
      <c r="A724" s="3" t="s">
        <v>5092</v>
      </c>
      <c r="B724">
        <v>0</v>
      </c>
    </row>
    <row r="725" spans="1:2" x14ac:dyDescent="0.25">
      <c r="A725" s="3" t="s">
        <v>5404</v>
      </c>
      <c r="B725">
        <v>0</v>
      </c>
    </row>
    <row r="726" spans="1:2" x14ac:dyDescent="0.25">
      <c r="A726" s="3" t="s">
        <v>2286</v>
      </c>
      <c r="B726">
        <v>0</v>
      </c>
    </row>
    <row r="727" spans="1:2" x14ac:dyDescent="0.25">
      <c r="A727" s="3" t="s">
        <v>5405</v>
      </c>
      <c r="B727">
        <v>0</v>
      </c>
    </row>
    <row r="728" spans="1:2" x14ac:dyDescent="0.25">
      <c r="A728" s="3" t="s">
        <v>2293</v>
      </c>
      <c r="B728">
        <v>0</v>
      </c>
    </row>
    <row r="729" spans="1:2" x14ac:dyDescent="0.25">
      <c r="A729" s="3" t="s">
        <v>2298</v>
      </c>
      <c r="B729">
        <v>3</v>
      </c>
    </row>
    <row r="730" spans="1:2" x14ac:dyDescent="0.25">
      <c r="A730" s="3" t="s">
        <v>4811</v>
      </c>
      <c r="B730">
        <v>5</v>
      </c>
    </row>
    <row r="731" spans="1:2" x14ac:dyDescent="0.25">
      <c r="A731" s="3" t="s">
        <v>4815</v>
      </c>
      <c r="B731">
        <v>0</v>
      </c>
    </row>
    <row r="732" spans="1:2" x14ac:dyDescent="0.25">
      <c r="A732" s="3" t="s">
        <v>2304</v>
      </c>
      <c r="B732">
        <v>0</v>
      </c>
    </row>
    <row r="733" spans="1:2" x14ac:dyDescent="0.25">
      <c r="A733" s="3" t="s">
        <v>2308</v>
      </c>
      <c r="B733">
        <v>0</v>
      </c>
    </row>
    <row r="734" spans="1:2" x14ac:dyDescent="0.25">
      <c r="A734" s="3" t="s">
        <v>2312</v>
      </c>
      <c r="B734">
        <v>1</v>
      </c>
    </row>
    <row r="735" spans="1:2" x14ac:dyDescent="0.25">
      <c r="A735" s="3" t="s">
        <v>2318</v>
      </c>
      <c r="B735">
        <v>1</v>
      </c>
    </row>
    <row r="736" spans="1:2" x14ac:dyDescent="0.25">
      <c r="A736" s="3" t="s">
        <v>2321</v>
      </c>
      <c r="B736">
        <v>1</v>
      </c>
    </row>
    <row r="737" spans="1:2" x14ac:dyDescent="0.25">
      <c r="A737" s="3" t="s">
        <v>4821</v>
      </c>
      <c r="B737">
        <v>0</v>
      </c>
    </row>
    <row r="738" spans="1:2" x14ac:dyDescent="0.25">
      <c r="A738" s="3" t="s">
        <v>4819</v>
      </c>
      <c r="B738">
        <v>0</v>
      </c>
    </row>
    <row r="739" spans="1:2" x14ac:dyDescent="0.25">
      <c r="A739" s="3" t="s">
        <v>2339</v>
      </c>
      <c r="B739">
        <v>2</v>
      </c>
    </row>
    <row r="740" spans="1:2" x14ac:dyDescent="0.25">
      <c r="A740" s="3" t="s">
        <v>5093</v>
      </c>
      <c r="B740">
        <v>0</v>
      </c>
    </row>
    <row r="741" spans="1:2" x14ac:dyDescent="0.25">
      <c r="A741" s="3" t="s">
        <v>4817</v>
      </c>
      <c r="B741">
        <v>2</v>
      </c>
    </row>
    <row r="742" spans="1:2" x14ac:dyDescent="0.25">
      <c r="A742" s="3" t="s">
        <v>2351</v>
      </c>
      <c r="B742">
        <v>0</v>
      </c>
    </row>
    <row r="743" spans="1:2" x14ac:dyDescent="0.25">
      <c r="A743" s="3" t="s">
        <v>2335</v>
      </c>
      <c r="B743">
        <v>0</v>
      </c>
    </row>
    <row r="744" spans="1:2" x14ac:dyDescent="0.25">
      <c r="A744" s="3" t="s">
        <v>4522</v>
      </c>
      <c r="B744">
        <v>0</v>
      </c>
    </row>
    <row r="745" spans="1:2" x14ac:dyDescent="0.25">
      <c r="A745" s="3" t="s">
        <v>5124</v>
      </c>
      <c r="B745">
        <v>1</v>
      </c>
    </row>
    <row r="746" spans="1:2" x14ac:dyDescent="0.25">
      <c r="A746" s="3" t="s">
        <v>2363</v>
      </c>
      <c r="B746">
        <v>0</v>
      </c>
    </row>
    <row r="747" spans="1:2" x14ac:dyDescent="0.25">
      <c r="A747" s="3" t="s">
        <v>5481</v>
      </c>
      <c r="B747">
        <v>1</v>
      </c>
    </row>
    <row r="748" spans="1:2" x14ac:dyDescent="0.25">
      <c r="A748" s="3" t="s">
        <v>5406</v>
      </c>
      <c r="B748">
        <v>0</v>
      </c>
    </row>
    <row r="749" spans="1:2" x14ac:dyDescent="0.25">
      <c r="A749" s="3" t="s">
        <v>2374</v>
      </c>
      <c r="B749">
        <v>6</v>
      </c>
    </row>
    <row r="750" spans="1:2" x14ac:dyDescent="0.25">
      <c r="A750" s="3" t="s">
        <v>2378</v>
      </c>
      <c r="B750">
        <v>1</v>
      </c>
    </row>
    <row r="751" spans="1:2" x14ac:dyDescent="0.25">
      <c r="A751" s="3" t="s">
        <v>2386</v>
      </c>
      <c r="B751">
        <v>0</v>
      </c>
    </row>
    <row r="752" spans="1:2" x14ac:dyDescent="0.25">
      <c r="A752" s="3" t="s">
        <v>5408</v>
      </c>
      <c r="B752">
        <v>0</v>
      </c>
    </row>
    <row r="753" spans="1:2" x14ac:dyDescent="0.25">
      <c r="A753" s="3" t="s">
        <v>5407</v>
      </c>
      <c r="B753">
        <v>0</v>
      </c>
    </row>
    <row r="754" spans="1:2" x14ac:dyDescent="0.25">
      <c r="A754" s="3" t="s">
        <v>6180</v>
      </c>
      <c r="B754">
        <v>0</v>
      </c>
    </row>
    <row r="755" spans="1:2" x14ac:dyDescent="0.25">
      <c r="A755" s="3" t="s">
        <v>4825</v>
      </c>
      <c r="B755">
        <v>1</v>
      </c>
    </row>
    <row r="756" spans="1:2" x14ac:dyDescent="0.25">
      <c r="A756" s="3" t="s">
        <v>4823</v>
      </c>
      <c r="B756">
        <v>1</v>
      </c>
    </row>
    <row r="757" spans="1:2" x14ac:dyDescent="0.25">
      <c r="A757" s="3" t="s">
        <v>2405</v>
      </c>
      <c r="B757">
        <v>1</v>
      </c>
    </row>
    <row r="758" spans="1:2" x14ac:dyDescent="0.25">
      <c r="A758" s="3" t="s">
        <v>4827</v>
      </c>
      <c r="B758">
        <v>0</v>
      </c>
    </row>
    <row r="759" spans="1:2" x14ac:dyDescent="0.25">
      <c r="A759" s="3" t="s">
        <v>2416</v>
      </c>
      <c r="B759">
        <v>0</v>
      </c>
    </row>
    <row r="760" spans="1:2" x14ac:dyDescent="0.25">
      <c r="A760" s="3" t="s">
        <v>5410</v>
      </c>
      <c r="B760">
        <v>0</v>
      </c>
    </row>
    <row r="761" spans="1:2" x14ac:dyDescent="0.25">
      <c r="A761" s="3" t="s">
        <v>5411</v>
      </c>
      <c r="B761">
        <v>0</v>
      </c>
    </row>
    <row r="762" spans="1:2" x14ac:dyDescent="0.25">
      <c r="A762" s="3" t="s">
        <v>5409</v>
      </c>
      <c r="B762">
        <v>1</v>
      </c>
    </row>
    <row r="763" spans="1:2" x14ac:dyDescent="0.25">
      <c r="A763" s="3" t="s">
        <v>4829</v>
      </c>
      <c r="B763">
        <v>0</v>
      </c>
    </row>
    <row r="764" spans="1:2" x14ac:dyDescent="0.25">
      <c r="A764" s="3" t="s">
        <v>2427</v>
      </c>
      <c r="B764">
        <v>1</v>
      </c>
    </row>
    <row r="765" spans="1:2" x14ac:dyDescent="0.25">
      <c r="A765" s="3" t="s">
        <v>2431</v>
      </c>
      <c r="B765">
        <v>0</v>
      </c>
    </row>
    <row r="766" spans="1:2" x14ac:dyDescent="0.25">
      <c r="A766" s="3" t="s">
        <v>2440</v>
      </c>
      <c r="B766">
        <v>0</v>
      </c>
    </row>
    <row r="767" spans="1:2" x14ac:dyDescent="0.25">
      <c r="A767" s="3" t="s">
        <v>2449</v>
      </c>
      <c r="B767">
        <v>0</v>
      </c>
    </row>
    <row r="768" spans="1:2" x14ac:dyDescent="0.25">
      <c r="A768" s="3" t="s">
        <v>5412</v>
      </c>
      <c r="B768">
        <v>0</v>
      </c>
    </row>
    <row r="769" spans="1:2" x14ac:dyDescent="0.25">
      <c r="A769" s="3" t="s">
        <v>5413</v>
      </c>
      <c r="B769">
        <v>0</v>
      </c>
    </row>
    <row r="770" spans="1:2" x14ac:dyDescent="0.25">
      <c r="A770" s="3" t="s">
        <v>2457</v>
      </c>
      <c r="B770">
        <v>0</v>
      </c>
    </row>
    <row r="771" spans="1:2" x14ac:dyDescent="0.25">
      <c r="A771" s="3" t="s">
        <v>4833</v>
      </c>
      <c r="B771">
        <v>1</v>
      </c>
    </row>
    <row r="772" spans="1:2" x14ac:dyDescent="0.25">
      <c r="A772" s="3" t="s">
        <v>4831</v>
      </c>
      <c r="B772">
        <v>1</v>
      </c>
    </row>
    <row r="773" spans="1:2" x14ac:dyDescent="0.25">
      <c r="A773" s="3" t="s">
        <v>5265</v>
      </c>
      <c r="B773">
        <v>0</v>
      </c>
    </row>
    <row r="774" spans="1:2" x14ac:dyDescent="0.25">
      <c r="A774" s="3" t="s">
        <v>2461</v>
      </c>
      <c r="B774">
        <v>0</v>
      </c>
    </row>
    <row r="775" spans="1:2" x14ac:dyDescent="0.25">
      <c r="A775" s="3" t="s">
        <v>5414</v>
      </c>
      <c r="B775">
        <v>0</v>
      </c>
    </row>
    <row r="776" spans="1:2" x14ac:dyDescent="0.25">
      <c r="A776" s="3" t="s">
        <v>6184</v>
      </c>
      <c r="B776">
        <v>0</v>
      </c>
    </row>
    <row r="777" spans="1:2" x14ac:dyDescent="0.25">
      <c r="A777" s="3" t="s">
        <v>2468</v>
      </c>
      <c r="B777">
        <v>0</v>
      </c>
    </row>
    <row r="778" spans="1:2" x14ac:dyDescent="0.25">
      <c r="A778" s="3" t="s">
        <v>2473</v>
      </c>
      <c r="B778">
        <v>0</v>
      </c>
    </row>
    <row r="779" spans="1:2" x14ac:dyDescent="0.25">
      <c r="A779" s="3" t="s">
        <v>4835</v>
      </c>
      <c r="B779">
        <v>0</v>
      </c>
    </row>
    <row r="780" spans="1:2" x14ac:dyDescent="0.25">
      <c r="A780" s="3" t="s">
        <v>2476</v>
      </c>
      <c r="B780">
        <v>0</v>
      </c>
    </row>
    <row r="781" spans="1:2" x14ac:dyDescent="0.25">
      <c r="A781" s="3" t="s">
        <v>4837</v>
      </c>
      <c r="B781">
        <v>0</v>
      </c>
    </row>
    <row r="782" spans="1:2" x14ac:dyDescent="0.25">
      <c r="A782" s="3" t="s">
        <v>2480</v>
      </c>
      <c r="B782">
        <v>1</v>
      </c>
    </row>
    <row r="783" spans="1:2" x14ac:dyDescent="0.25">
      <c r="A783" s="3" t="s">
        <v>2483</v>
      </c>
      <c r="B783">
        <v>0</v>
      </c>
    </row>
    <row r="784" spans="1:2" x14ac:dyDescent="0.25">
      <c r="A784" s="3" t="s">
        <v>6187</v>
      </c>
      <c r="B784">
        <v>0</v>
      </c>
    </row>
    <row r="785" spans="1:2" x14ac:dyDescent="0.25">
      <c r="A785" s="3" t="s">
        <v>2528</v>
      </c>
      <c r="B785">
        <v>0</v>
      </c>
    </row>
    <row r="786" spans="1:2" x14ac:dyDescent="0.25">
      <c r="A786" s="3" t="s">
        <v>2489</v>
      </c>
      <c r="B786">
        <v>0</v>
      </c>
    </row>
    <row r="787" spans="1:2" x14ac:dyDescent="0.25">
      <c r="A787" s="3" t="s">
        <v>2502</v>
      </c>
      <c r="B787">
        <v>0</v>
      </c>
    </row>
    <row r="788" spans="1:2" x14ac:dyDescent="0.25">
      <c r="A788" s="3" t="s">
        <v>4839</v>
      </c>
      <c r="B788">
        <v>0</v>
      </c>
    </row>
    <row r="789" spans="1:2" x14ac:dyDescent="0.25">
      <c r="A789" s="3" t="s">
        <v>2506</v>
      </c>
      <c r="B789">
        <v>0</v>
      </c>
    </row>
    <row r="790" spans="1:2" x14ac:dyDescent="0.25">
      <c r="A790" s="3" t="s">
        <v>4841</v>
      </c>
      <c r="B790">
        <v>0</v>
      </c>
    </row>
    <row r="791" spans="1:2" x14ac:dyDescent="0.25">
      <c r="A791" s="3" t="s">
        <v>2510</v>
      </c>
      <c r="B791">
        <v>0</v>
      </c>
    </row>
    <row r="792" spans="1:2" x14ac:dyDescent="0.25">
      <c r="A792" s="3" t="s">
        <v>6190</v>
      </c>
      <c r="B792">
        <v>0</v>
      </c>
    </row>
    <row r="793" spans="1:2" x14ac:dyDescent="0.25">
      <c r="A793" s="3" t="s">
        <v>6193</v>
      </c>
      <c r="B793">
        <v>0</v>
      </c>
    </row>
    <row r="794" spans="1:2" x14ac:dyDescent="0.25">
      <c r="A794" s="3" t="s">
        <v>2515</v>
      </c>
      <c r="B794">
        <v>0</v>
      </c>
    </row>
    <row r="795" spans="1:2" x14ac:dyDescent="0.25">
      <c r="A795" s="3" t="s">
        <v>2535</v>
      </c>
      <c r="B795">
        <v>0</v>
      </c>
    </row>
    <row r="796" spans="1:2" x14ac:dyDescent="0.25">
      <c r="A796" s="3" t="s">
        <v>2519</v>
      </c>
      <c r="B796">
        <v>2</v>
      </c>
    </row>
    <row r="797" spans="1:2" x14ac:dyDescent="0.25">
      <c r="A797" s="3" t="s">
        <v>5485</v>
      </c>
      <c r="B797">
        <v>0</v>
      </c>
    </row>
    <row r="798" spans="1:2" x14ac:dyDescent="0.25">
      <c r="A798" s="3" t="s">
        <v>5222</v>
      </c>
      <c r="B798">
        <v>6</v>
      </c>
    </row>
    <row r="799" spans="1:2" x14ac:dyDescent="0.25">
      <c r="A799" s="3" t="s">
        <v>4843</v>
      </c>
      <c r="B799">
        <v>0</v>
      </c>
    </row>
    <row r="800" spans="1:2" x14ac:dyDescent="0.25">
      <c r="A800" s="3" t="s">
        <v>4846</v>
      </c>
      <c r="B800">
        <v>0</v>
      </c>
    </row>
    <row r="801" spans="1:2" x14ac:dyDescent="0.25">
      <c r="A801" s="3" t="s">
        <v>4848</v>
      </c>
      <c r="B801">
        <v>1</v>
      </c>
    </row>
    <row r="802" spans="1:2" x14ac:dyDescent="0.25">
      <c r="A802" s="3" t="s">
        <v>2539</v>
      </c>
      <c r="B802">
        <v>0</v>
      </c>
    </row>
    <row r="803" spans="1:2" x14ac:dyDescent="0.25">
      <c r="A803" s="3" t="s">
        <v>4850</v>
      </c>
      <c r="B803">
        <v>0</v>
      </c>
    </row>
    <row r="804" spans="1:2" x14ac:dyDescent="0.25">
      <c r="A804" s="3" t="s">
        <v>5415</v>
      </c>
      <c r="B804">
        <v>0</v>
      </c>
    </row>
    <row r="805" spans="1:2" x14ac:dyDescent="0.25">
      <c r="A805" s="3" t="s">
        <v>4525</v>
      </c>
      <c r="B805">
        <v>0</v>
      </c>
    </row>
    <row r="806" spans="1:2" x14ac:dyDescent="0.25">
      <c r="A806" s="3" t="s">
        <v>4852</v>
      </c>
      <c r="B806">
        <v>0</v>
      </c>
    </row>
    <row r="807" spans="1:2" x14ac:dyDescent="0.25">
      <c r="A807" s="3" t="s">
        <v>4854</v>
      </c>
      <c r="B807">
        <v>0</v>
      </c>
    </row>
    <row r="808" spans="1:2" x14ac:dyDescent="0.25">
      <c r="A808" s="3" t="s">
        <v>4858</v>
      </c>
      <c r="B808">
        <v>1</v>
      </c>
    </row>
    <row r="809" spans="1:2" x14ac:dyDescent="0.25">
      <c r="A809" s="3" t="s">
        <v>4856</v>
      </c>
      <c r="B809">
        <v>0</v>
      </c>
    </row>
    <row r="810" spans="1:2" x14ac:dyDescent="0.25">
      <c r="A810" s="3" t="s">
        <v>4467</v>
      </c>
      <c r="B810">
        <v>0</v>
      </c>
    </row>
    <row r="811" spans="1:2" x14ac:dyDescent="0.25">
      <c r="A811" s="3" t="s">
        <v>4860</v>
      </c>
      <c r="B811">
        <v>1</v>
      </c>
    </row>
    <row r="812" spans="1:2" x14ac:dyDescent="0.25">
      <c r="A812" s="3" t="s">
        <v>5094</v>
      </c>
      <c r="B812">
        <v>0</v>
      </c>
    </row>
    <row r="813" spans="1:2" x14ac:dyDescent="0.25">
      <c r="A813" s="3" t="s">
        <v>4864</v>
      </c>
      <c r="B813">
        <v>1</v>
      </c>
    </row>
    <row r="814" spans="1:2" x14ac:dyDescent="0.25">
      <c r="A814" s="3" t="s">
        <v>4862</v>
      </c>
      <c r="B814">
        <v>2</v>
      </c>
    </row>
    <row r="815" spans="1:2" x14ac:dyDescent="0.25">
      <c r="A815" s="3" t="s">
        <v>2551</v>
      </c>
      <c r="B815">
        <v>0</v>
      </c>
    </row>
    <row r="816" spans="1:2" x14ac:dyDescent="0.25">
      <c r="A816" s="3" t="s">
        <v>2555</v>
      </c>
      <c r="B816">
        <v>0</v>
      </c>
    </row>
    <row r="817" spans="1:2" x14ac:dyDescent="0.25">
      <c r="A817" s="3" t="s">
        <v>2571</v>
      </c>
      <c r="B817">
        <v>0</v>
      </c>
    </row>
    <row r="818" spans="1:2" x14ac:dyDescent="0.25">
      <c r="A818" s="3" t="s">
        <v>2575</v>
      </c>
      <c r="B818">
        <v>0</v>
      </c>
    </row>
    <row r="819" spans="1:2" x14ac:dyDescent="0.25">
      <c r="A819" s="3" t="s">
        <v>2578</v>
      </c>
      <c r="B819">
        <v>3</v>
      </c>
    </row>
    <row r="820" spans="1:2" x14ac:dyDescent="0.25">
      <c r="A820" s="3" t="s">
        <v>4866</v>
      </c>
      <c r="B820">
        <v>3</v>
      </c>
    </row>
    <row r="821" spans="1:2" x14ac:dyDescent="0.25">
      <c r="A821" s="3" t="s">
        <v>2590</v>
      </c>
      <c r="B821">
        <v>2</v>
      </c>
    </row>
    <row r="822" spans="1:2" x14ac:dyDescent="0.25">
      <c r="A822" s="3" t="s">
        <v>2599</v>
      </c>
      <c r="B822">
        <v>1</v>
      </c>
    </row>
    <row r="823" spans="1:2" x14ac:dyDescent="0.25">
      <c r="A823" s="3" t="s">
        <v>5416</v>
      </c>
      <c r="B823">
        <v>0</v>
      </c>
    </row>
    <row r="824" spans="1:2" x14ac:dyDescent="0.25">
      <c r="A824" s="3" t="s">
        <v>4527</v>
      </c>
      <c r="B824">
        <v>0</v>
      </c>
    </row>
    <row r="825" spans="1:2" x14ac:dyDescent="0.25">
      <c r="A825" s="3" t="s">
        <v>2606</v>
      </c>
      <c r="B825">
        <v>0</v>
      </c>
    </row>
    <row r="826" spans="1:2" x14ac:dyDescent="0.25">
      <c r="A826" s="3" t="s">
        <v>2609</v>
      </c>
      <c r="B826">
        <v>0</v>
      </c>
    </row>
    <row r="827" spans="1:2" x14ac:dyDescent="0.25">
      <c r="A827" s="3" t="s">
        <v>5125</v>
      </c>
      <c r="B827">
        <v>3</v>
      </c>
    </row>
    <row r="828" spans="1:2" x14ac:dyDescent="0.25">
      <c r="A828" s="3" t="s">
        <v>2622</v>
      </c>
      <c r="B828">
        <v>0</v>
      </c>
    </row>
    <row r="829" spans="1:2" x14ac:dyDescent="0.25">
      <c r="A829" s="3" t="s">
        <v>2625</v>
      </c>
      <c r="B829">
        <v>0</v>
      </c>
    </row>
    <row r="830" spans="1:2" x14ac:dyDescent="0.25">
      <c r="A830" s="3" t="s">
        <v>4868</v>
      </c>
      <c r="B830">
        <v>0</v>
      </c>
    </row>
    <row r="831" spans="1:2" x14ac:dyDescent="0.25">
      <c r="A831" s="3" t="s">
        <v>4529</v>
      </c>
      <c r="B831">
        <v>0</v>
      </c>
    </row>
    <row r="832" spans="1:2" x14ac:dyDescent="0.25">
      <c r="A832" s="3" t="s">
        <v>2628</v>
      </c>
      <c r="B832">
        <v>2</v>
      </c>
    </row>
    <row r="833" spans="1:2" x14ac:dyDescent="0.25">
      <c r="A833" s="3" t="s">
        <v>2638</v>
      </c>
      <c r="B833">
        <v>1</v>
      </c>
    </row>
    <row r="834" spans="1:2" x14ac:dyDescent="0.25">
      <c r="A834" s="3" t="s">
        <v>5224</v>
      </c>
      <c r="B834">
        <v>1</v>
      </c>
    </row>
    <row r="835" spans="1:2" x14ac:dyDescent="0.25">
      <c r="A835" s="3" t="s">
        <v>4870</v>
      </c>
      <c r="B835">
        <v>0</v>
      </c>
    </row>
    <row r="836" spans="1:2" x14ac:dyDescent="0.25">
      <c r="A836" s="3" t="s">
        <v>5417</v>
      </c>
      <c r="B836">
        <v>0</v>
      </c>
    </row>
    <row r="837" spans="1:2" x14ac:dyDescent="0.25">
      <c r="A837" s="3" t="s">
        <v>4872</v>
      </c>
      <c r="B837">
        <v>2</v>
      </c>
    </row>
    <row r="838" spans="1:2" x14ac:dyDescent="0.25">
      <c r="A838" s="3" t="s">
        <v>4874</v>
      </c>
      <c r="B838">
        <v>1</v>
      </c>
    </row>
    <row r="839" spans="1:2" x14ac:dyDescent="0.25">
      <c r="A839" s="3" t="s">
        <v>5418</v>
      </c>
      <c r="B839">
        <v>0</v>
      </c>
    </row>
    <row r="840" spans="1:2" x14ac:dyDescent="0.25">
      <c r="A840" s="3" t="s">
        <v>4876</v>
      </c>
      <c r="B840">
        <v>0</v>
      </c>
    </row>
    <row r="841" spans="1:2" x14ac:dyDescent="0.25">
      <c r="A841" s="3" t="s">
        <v>2659</v>
      </c>
      <c r="B841">
        <v>1</v>
      </c>
    </row>
    <row r="842" spans="1:2" x14ac:dyDescent="0.25">
      <c r="A842" s="3" t="s">
        <v>2666</v>
      </c>
      <c r="B842">
        <v>0</v>
      </c>
    </row>
    <row r="843" spans="1:2" x14ac:dyDescent="0.25">
      <c r="A843" s="3" t="s">
        <v>2673</v>
      </c>
      <c r="B843">
        <v>0</v>
      </c>
    </row>
    <row r="844" spans="1:2" x14ac:dyDescent="0.25">
      <c r="A844" s="3" t="s">
        <v>2679</v>
      </c>
      <c r="B844">
        <v>1</v>
      </c>
    </row>
    <row r="845" spans="1:2" x14ac:dyDescent="0.25">
      <c r="A845" s="3" t="s">
        <v>2683</v>
      </c>
      <c r="B845">
        <v>3</v>
      </c>
    </row>
    <row r="846" spans="1:2" x14ac:dyDescent="0.25">
      <c r="A846" s="3" t="s">
        <v>4878</v>
      </c>
      <c r="B846">
        <v>0</v>
      </c>
    </row>
    <row r="847" spans="1:2" x14ac:dyDescent="0.25">
      <c r="A847" s="3" t="s">
        <v>2693</v>
      </c>
      <c r="B847">
        <v>1</v>
      </c>
    </row>
    <row r="848" spans="1:2" x14ac:dyDescent="0.25">
      <c r="A848" s="3" t="s">
        <v>5419</v>
      </c>
      <c r="B848">
        <v>0</v>
      </c>
    </row>
    <row r="849" spans="1:2" x14ac:dyDescent="0.25">
      <c r="A849" s="3" t="s">
        <v>2699</v>
      </c>
      <c r="B849">
        <v>0</v>
      </c>
    </row>
    <row r="850" spans="1:2" x14ac:dyDescent="0.25">
      <c r="A850" s="3" t="s">
        <v>4880</v>
      </c>
      <c r="B850">
        <v>0</v>
      </c>
    </row>
    <row r="851" spans="1:2" x14ac:dyDescent="0.25">
      <c r="A851" s="3" t="s">
        <v>5095</v>
      </c>
      <c r="B851">
        <v>1</v>
      </c>
    </row>
    <row r="852" spans="1:2" x14ac:dyDescent="0.25">
      <c r="A852" s="3" t="s">
        <v>2705</v>
      </c>
      <c r="B852">
        <v>0</v>
      </c>
    </row>
    <row r="853" spans="1:2" x14ac:dyDescent="0.25">
      <c r="A853" s="3" t="s">
        <v>4882</v>
      </c>
      <c r="B853">
        <v>0</v>
      </c>
    </row>
    <row r="854" spans="1:2" x14ac:dyDescent="0.25">
      <c r="A854" s="3" t="s">
        <v>2709</v>
      </c>
      <c r="B854">
        <v>0</v>
      </c>
    </row>
    <row r="855" spans="1:2" x14ac:dyDescent="0.25">
      <c r="A855" s="3" t="s">
        <v>5096</v>
      </c>
      <c r="B855">
        <v>0</v>
      </c>
    </row>
    <row r="856" spans="1:2" x14ac:dyDescent="0.25">
      <c r="A856" s="3" t="s">
        <v>2716</v>
      </c>
      <c r="B856">
        <v>0</v>
      </c>
    </row>
    <row r="857" spans="1:2" x14ac:dyDescent="0.25">
      <c r="A857" s="3" t="s">
        <v>2723</v>
      </c>
      <c r="B857">
        <v>1</v>
      </c>
    </row>
    <row r="858" spans="1:2" x14ac:dyDescent="0.25">
      <c r="A858" s="3" t="s">
        <v>5420</v>
      </c>
      <c r="B858">
        <v>0</v>
      </c>
    </row>
    <row r="859" spans="1:2" x14ac:dyDescent="0.25">
      <c r="A859" s="3" t="s">
        <v>5421</v>
      </c>
      <c r="B859">
        <v>0</v>
      </c>
    </row>
    <row r="860" spans="1:2" x14ac:dyDescent="0.25">
      <c r="A860" s="3" t="s">
        <v>2733</v>
      </c>
      <c r="B860">
        <v>5</v>
      </c>
    </row>
    <row r="861" spans="1:2" x14ac:dyDescent="0.25">
      <c r="A861" s="3" t="s">
        <v>2739</v>
      </c>
      <c r="B861">
        <v>8</v>
      </c>
    </row>
    <row r="862" spans="1:2" x14ac:dyDescent="0.25">
      <c r="A862" s="3" t="s">
        <v>2749</v>
      </c>
      <c r="B862">
        <v>1</v>
      </c>
    </row>
    <row r="863" spans="1:2" x14ac:dyDescent="0.25">
      <c r="A863" s="3" t="s">
        <v>2762</v>
      </c>
      <c r="B863">
        <v>0</v>
      </c>
    </row>
    <row r="864" spans="1:2" x14ac:dyDescent="0.25">
      <c r="A864" s="3" t="s">
        <v>4884</v>
      </c>
      <c r="B864">
        <v>0</v>
      </c>
    </row>
    <row r="865" spans="1:2" x14ac:dyDescent="0.25">
      <c r="A865" s="3" t="s">
        <v>4886</v>
      </c>
      <c r="B865">
        <v>0</v>
      </c>
    </row>
    <row r="866" spans="1:2" x14ac:dyDescent="0.25">
      <c r="A866" s="3" t="s">
        <v>2768</v>
      </c>
      <c r="B866">
        <v>0</v>
      </c>
    </row>
    <row r="867" spans="1:2" x14ac:dyDescent="0.25">
      <c r="A867" s="3" t="s">
        <v>2772</v>
      </c>
      <c r="B867">
        <v>3</v>
      </c>
    </row>
    <row r="868" spans="1:2" x14ac:dyDescent="0.25">
      <c r="A868" s="3" t="s">
        <v>2784</v>
      </c>
      <c r="B868">
        <v>0</v>
      </c>
    </row>
    <row r="869" spans="1:2" x14ac:dyDescent="0.25">
      <c r="A869" s="3" t="s">
        <v>2790</v>
      </c>
      <c r="B869">
        <v>0</v>
      </c>
    </row>
    <row r="870" spans="1:2" x14ac:dyDescent="0.25">
      <c r="A870" s="3" t="s">
        <v>2797</v>
      </c>
      <c r="B870">
        <v>0</v>
      </c>
    </row>
    <row r="871" spans="1:2" x14ac:dyDescent="0.25">
      <c r="A871" s="3" t="s">
        <v>5422</v>
      </c>
      <c r="B871">
        <v>0</v>
      </c>
    </row>
    <row r="872" spans="1:2" x14ac:dyDescent="0.25">
      <c r="A872" s="3" t="s">
        <v>4888</v>
      </c>
      <c r="B872">
        <v>0</v>
      </c>
    </row>
    <row r="873" spans="1:2" x14ac:dyDescent="0.25">
      <c r="A873" s="3" t="s">
        <v>5226</v>
      </c>
      <c r="B873">
        <v>0</v>
      </c>
    </row>
    <row r="874" spans="1:2" x14ac:dyDescent="0.25">
      <c r="A874" s="3" t="s">
        <v>2810</v>
      </c>
      <c r="B874">
        <v>0</v>
      </c>
    </row>
    <row r="875" spans="1:2" x14ac:dyDescent="0.25">
      <c r="A875" s="3" t="s">
        <v>2813</v>
      </c>
      <c r="B875">
        <v>0</v>
      </c>
    </row>
    <row r="876" spans="1:2" x14ac:dyDescent="0.25">
      <c r="A876" s="3" t="s">
        <v>5267</v>
      </c>
      <c r="B876">
        <v>4</v>
      </c>
    </row>
    <row r="877" spans="1:2" x14ac:dyDescent="0.25">
      <c r="A877" s="3" t="s">
        <v>2821</v>
      </c>
      <c r="B877">
        <v>0</v>
      </c>
    </row>
    <row r="878" spans="1:2" x14ac:dyDescent="0.25">
      <c r="A878" s="3" t="s">
        <v>5423</v>
      </c>
      <c r="B878">
        <v>0</v>
      </c>
    </row>
    <row r="879" spans="1:2" x14ac:dyDescent="0.25">
      <c r="A879" s="3" t="s">
        <v>2827</v>
      </c>
      <c r="B879">
        <v>0</v>
      </c>
    </row>
    <row r="880" spans="1:2" x14ac:dyDescent="0.25">
      <c r="A880" s="3" t="s">
        <v>2833</v>
      </c>
      <c r="B880">
        <v>0</v>
      </c>
    </row>
    <row r="881" spans="1:2" x14ac:dyDescent="0.25">
      <c r="A881" s="3" t="s">
        <v>2837</v>
      </c>
      <c r="B881">
        <v>0</v>
      </c>
    </row>
    <row r="882" spans="1:2" x14ac:dyDescent="0.25">
      <c r="A882" s="3" t="s">
        <v>2841</v>
      </c>
      <c r="B882">
        <v>0</v>
      </c>
    </row>
    <row r="883" spans="1:2" x14ac:dyDescent="0.25">
      <c r="A883" s="3" t="s">
        <v>4890</v>
      </c>
      <c r="B883">
        <v>0</v>
      </c>
    </row>
    <row r="884" spans="1:2" x14ac:dyDescent="0.25">
      <c r="A884" s="3" t="s">
        <v>2848</v>
      </c>
      <c r="B884">
        <v>3</v>
      </c>
    </row>
    <row r="885" spans="1:2" x14ac:dyDescent="0.25">
      <c r="A885" s="3" t="s">
        <v>2853</v>
      </c>
      <c r="B885">
        <v>0</v>
      </c>
    </row>
    <row r="886" spans="1:2" x14ac:dyDescent="0.25">
      <c r="A886" s="3" t="s">
        <v>4892</v>
      </c>
      <c r="B886">
        <v>0</v>
      </c>
    </row>
    <row r="887" spans="1:2" x14ac:dyDescent="0.25">
      <c r="A887" s="3" t="s">
        <v>2857</v>
      </c>
      <c r="B887">
        <v>0</v>
      </c>
    </row>
    <row r="888" spans="1:2" x14ac:dyDescent="0.25">
      <c r="A888" s="3" t="s">
        <v>2864</v>
      </c>
      <c r="B888">
        <v>0</v>
      </c>
    </row>
    <row r="889" spans="1:2" x14ac:dyDescent="0.25">
      <c r="A889" s="3" t="s">
        <v>2868</v>
      </c>
      <c r="B889">
        <v>0</v>
      </c>
    </row>
    <row r="890" spans="1:2" x14ac:dyDescent="0.25">
      <c r="A890" s="3" t="s">
        <v>2872</v>
      </c>
      <c r="B890">
        <v>0</v>
      </c>
    </row>
    <row r="891" spans="1:2" x14ac:dyDescent="0.25">
      <c r="A891" s="3" t="s">
        <v>6203</v>
      </c>
      <c r="B891">
        <v>0</v>
      </c>
    </row>
    <row r="892" spans="1:2" x14ac:dyDescent="0.25">
      <c r="A892" s="3" t="s">
        <v>2879</v>
      </c>
      <c r="B892">
        <v>0</v>
      </c>
    </row>
    <row r="893" spans="1:2" x14ac:dyDescent="0.25">
      <c r="A893" s="3" t="s">
        <v>5228</v>
      </c>
      <c r="B893">
        <v>3</v>
      </c>
    </row>
    <row r="894" spans="1:2" x14ac:dyDescent="0.25">
      <c r="A894" s="3" t="s">
        <v>5424</v>
      </c>
      <c r="B894">
        <v>0</v>
      </c>
    </row>
    <row r="895" spans="1:2" x14ac:dyDescent="0.25">
      <c r="A895" s="3" t="s">
        <v>2886</v>
      </c>
      <c r="B895">
        <v>0</v>
      </c>
    </row>
    <row r="896" spans="1:2" x14ac:dyDescent="0.25">
      <c r="A896" s="3" t="s">
        <v>4498</v>
      </c>
      <c r="B896">
        <v>0</v>
      </c>
    </row>
    <row r="897" spans="1:2" x14ac:dyDescent="0.25">
      <c r="A897" s="3" t="s">
        <v>2892</v>
      </c>
      <c r="B897">
        <v>0</v>
      </c>
    </row>
    <row r="898" spans="1:2" x14ac:dyDescent="0.25">
      <c r="A898" s="3" t="s">
        <v>5425</v>
      </c>
      <c r="B898">
        <v>0</v>
      </c>
    </row>
    <row r="899" spans="1:2" x14ac:dyDescent="0.25">
      <c r="A899" s="3" t="s">
        <v>4894</v>
      </c>
      <c r="B899">
        <v>2</v>
      </c>
    </row>
    <row r="900" spans="1:2" x14ac:dyDescent="0.25">
      <c r="A900" s="3" t="s">
        <v>4896</v>
      </c>
      <c r="B900">
        <v>1</v>
      </c>
    </row>
    <row r="901" spans="1:2" x14ac:dyDescent="0.25">
      <c r="A901" s="3" t="s">
        <v>2898</v>
      </c>
      <c r="B901">
        <v>0</v>
      </c>
    </row>
    <row r="902" spans="1:2" x14ac:dyDescent="0.25">
      <c r="A902" s="3" t="s">
        <v>4898</v>
      </c>
      <c r="B902">
        <v>0</v>
      </c>
    </row>
    <row r="903" spans="1:2" x14ac:dyDescent="0.25">
      <c r="A903" s="3" t="s">
        <v>2902</v>
      </c>
      <c r="B903">
        <v>0</v>
      </c>
    </row>
    <row r="904" spans="1:2" x14ac:dyDescent="0.25">
      <c r="A904" s="3" t="s">
        <v>4900</v>
      </c>
      <c r="B904">
        <v>0</v>
      </c>
    </row>
    <row r="905" spans="1:2" x14ac:dyDescent="0.25">
      <c r="A905" s="3" t="s">
        <v>2905</v>
      </c>
      <c r="B905">
        <v>0</v>
      </c>
    </row>
    <row r="906" spans="1:2" x14ac:dyDescent="0.25">
      <c r="A906" s="3" t="s">
        <v>2908</v>
      </c>
      <c r="B906">
        <v>2</v>
      </c>
    </row>
    <row r="907" spans="1:2" x14ac:dyDescent="0.25">
      <c r="A907" s="3" t="s">
        <v>4902</v>
      </c>
      <c r="B907">
        <v>0</v>
      </c>
    </row>
    <row r="908" spans="1:2" x14ac:dyDescent="0.25">
      <c r="A908" s="3" t="s">
        <v>2915</v>
      </c>
      <c r="B908">
        <v>0</v>
      </c>
    </row>
    <row r="909" spans="1:2" x14ac:dyDescent="0.25">
      <c r="A909" s="3" t="s">
        <v>2924</v>
      </c>
      <c r="B909">
        <v>4</v>
      </c>
    </row>
    <row r="910" spans="1:2" x14ac:dyDescent="0.25">
      <c r="A910" s="3" t="s">
        <v>5230</v>
      </c>
      <c r="B910">
        <v>0</v>
      </c>
    </row>
    <row r="911" spans="1:2" x14ac:dyDescent="0.25">
      <c r="A911" s="3" t="s">
        <v>2928</v>
      </c>
      <c r="B911">
        <v>0</v>
      </c>
    </row>
    <row r="912" spans="1:2" x14ac:dyDescent="0.25">
      <c r="A912" s="3" t="s">
        <v>2935</v>
      </c>
      <c r="B912">
        <v>6</v>
      </c>
    </row>
    <row r="913" spans="1:2" x14ac:dyDescent="0.25">
      <c r="A913" s="3" t="s">
        <v>4904</v>
      </c>
      <c r="B913">
        <v>1</v>
      </c>
    </row>
    <row r="914" spans="1:2" x14ac:dyDescent="0.25">
      <c r="A914" s="3" t="s">
        <v>2945</v>
      </c>
      <c r="B914">
        <v>0</v>
      </c>
    </row>
    <row r="915" spans="1:2" x14ac:dyDescent="0.25">
      <c r="A915" s="3" t="s">
        <v>2951</v>
      </c>
      <c r="B915">
        <v>0</v>
      </c>
    </row>
    <row r="916" spans="1:2" x14ac:dyDescent="0.25">
      <c r="A916" s="3" t="s">
        <v>4906</v>
      </c>
      <c r="B916">
        <v>0</v>
      </c>
    </row>
    <row r="917" spans="1:2" x14ac:dyDescent="0.25">
      <c r="A917" s="3" t="s">
        <v>2958</v>
      </c>
      <c r="B917">
        <v>1</v>
      </c>
    </row>
    <row r="918" spans="1:2" x14ac:dyDescent="0.25">
      <c r="A918" s="3" t="s">
        <v>4908</v>
      </c>
      <c r="B918">
        <v>1</v>
      </c>
    </row>
    <row r="919" spans="1:2" x14ac:dyDescent="0.25">
      <c r="A919" s="3" t="s">
        <v>2962</v>
      </c>
      <c r="B919">
        <v>0</v>
      </c>
    </row>
    <row r="920" spans="1:2" x14ac:dyDescent="0.25">
      <c r="A920" s="3" t="s">
        <v>2966</v>
      </c>
      <c r="B920">
        <v>0</v>
      </c>
    </row>
    <row r="921" spans="1:2" x14ac:dyDescent="0.25">
      <c r="A921" s="3" t="s">
        <v>2969</v>
      </c>
      <c r="B921">
        <v>0</v>
      </c>
    </row>
    <row r="922" spans="1:2" x14ac:dyDescent="0.25">
      <c r="A922" s="3" t="s">
        <v>4910</v>
      </c>
      <c r="B922">
        <v>0</v>
      </c>
    </row>
    <row r="923" spans="1:2" x14ac:dyDescent="0.25">
      <c r="A923" s="3" t="s">
        <v>6206</v>
      </c>
      <c r="B923">
        <v>0</v>
      </c>
    </row>
    <row r="924" spans="1:2" x14ac:dyDescent="0.25">
      <c r="A924" s="3" t="s">
        <v>2975</v>
      </c>
      <c r="B924">
        <v>0</v>
      </c>
    </row>
    <row r="925" spans="1:2" x14ac:dyDescent="0.25">
      <c r="A925" s="3" t="s">
        <v>5489</v>
      </c>
      <c r="B925">
        <v>0</v>
      </c>
    </row>
    <row r="926" spans="1:2" x14ac:dyDescent="0.25">
      <c r="A926" s="3" t="s">
        <v>2982</v>
      </c>
      <c r="B926">
        <v>0</v>
      </c>
    </row>
    <row r="927" spans="1:2" x14ac:dyDescent="0.25">
      <c r="A927" s="3" t="s">
        <v>2986</v>
      </c>
      <c r="B927">
        <v>0</v>
      </c>
    </row>
    <row r="928" spans="1:2" x14ac:dyDescent="0.25">
      <c r="A928" s="3" t="s">
        <v>4912</v>
      </c>
      <c r="B928">
        <v>0</v>
      </c>
    </row>
    <row r="929" spans="1:2" x14ac:dyDescent="0.25">
      <c r="A929" s="3" t="s">
        <v>4914</v>
      </c>
      <c r="B929">
        <v>0</v>
      </c>
    </row>
    <row r="930" spans="1:2" x14ac:dyDescent="0.25">
      <c r="A930" s="3" t="s">
        <v>2990</v>
      </c>
      <c r="B930">
        <v>1</v>
      </c>
    </row>
    <row r="931" spans="1:2" x14ac:dyDescent="0.25">
      <c r="A931" s="3" t="s">
        <v>2995</v>
      </c>
      <c r="B931">
        <v>0</v>
      </c>
    </row>
    <row r="932" spans="1:2" x14ac:dyDescent="0.25">
      <c r="A932" s="3" t="s">
        <v>3000</v>
      </c>
      <c r="B932">
        <v>0</v>
      </c>
    </row>
    <row r="933" spans="1:2" x14ac:dyDescent="0.25">
      <c r="A933" s="3" t="s">
        <v>4327</v>
      </c>
      <c r="B933">
        <v>0</v>
      </c>
    </row>
    <row r="934" spans="1:2" x14ac:dyDescent="0.25">
      <c r="A934" s="3" t="s">
        <v>4916</v>
      </c>
      <c r="B934">
        <v>0</v>
      </c>
    </row>
    <row r="935" spans="1:2" x14ac:dyDescent="0.25">
      <c r="A935" s="3" t="s">
        <v>3005</v>
      </c>
      <c r="B935">
        <v>4</v>
      </c>
    </row>
    <row r="936" spans="1:2" x14ac:dyDescent="0.25">
      <c r="A936" s="3" t="s">
        <v>3012</v>
      </c>
      <c r="B936">
        <v>0</v>
      </c>
    </row>
    <row r="937" spans="1:2" x14ac:dyDescent="0.25">
      <c r="A937" s="3" t="s">
        <v>3016</v>
      </c>
      <c r="B937">
        <v>1</v>
      </c>
    </row>
    <row r="938" spans="1:2" x14ac:dyDescent="0.25">
      <c r="A938" s="3" t="s">
        <v>5426</v>
      </c>
      <c r="B938">
        <v>0</v>
      </c>
    </row>
    <row r="939" spans="1:2" x14ac:dyDescent="0.25">
      <c r="A939" s="3" t="s">
        <v>3020</v>
      </c>
      <c r="B939">
        <v>0</v>
      </c>
    </row>
    <row r="940" spans="1:2" x14ac:dyDescent="0.25">
      <c r="A940" s="3" t="s">
        <v>4489</v>
      </c>
      <c r="B940">
        <v>0</v>
      </c>
    </row>
    <row r="941" spans="1:2" x14ac:dyDescent="0.25">
      <c r="A941" s="3" t="s">
        <v>4918</v>
      </c>
      <c r="B941">
        <v>0</v>
      </c>
    </row>
    <row r="942" spans="1:2" x14ac:dyDescent="0.25">
      <c r="A942" s="3" t="s">
        <v>4530</v>
      </c>
      <c r="B942">
        <v>0</v>
      </c>
    </row>
    <row r="943" spans="1:2" x14ac:dyDescent="0.25">
      <c r="A943" s="3" t="s">
        <v>3024</v>
      </c>
      <c r="B943">
        <v>2</v>
      </c>
    </row>
    <row r="944" spans="1:2" x14ac:dyDescent="0.25">
      <c r="A944" s="3" t="s">
        <v>5428</v>
      </c>
      <c r="B944">
        <v>0</v>
      </c>
    </row>
    <row r="945" spans="1:2" x14ac:dyDescent="0.25">
      <c r="A945" s="3" t="s">
        <v>5429</v>
      </c>
      <c r="B945">
        <v>0</v>
      </c>
    </row>
    <row r="946" spans="1:2" x14ac:dyDescent="0.25">
      <c r="A946" s="3" t="s">
        <v>5427</v>
      </c>
      <c r="B946">
        <v>0</v>
      </c>
    </row>
    <row r="947" spans="1:2" x14ac:dyDescent="0.25">
      <c r="A947" s="3" t="s">
        <v>6210</v>
      </c>
      <c r="B947">
        <v>0</v>
      </c>
    </row>
    <row r="948" spans="1:2" x14ac:dyDescent="0.25">
      <c r="A948" s="3" t="s">
        <v>5430</v>
      </c>
      <c r="B948">
        <v>0</v>
      </c>
    </row>
    <row r="949" spans="1:2" x14ac:dyDescent="0.25">
      <c r="A949" s="3" t="s">
        <v>4920</v>
      </c>
      <c r="B949">
        <v>1</v>
      </c>
    </row>
    <row r="950" spans="1:2" x14ac:dyDescent="0.25">
      <c r="A950" s="3" t="s">
        <v>4922</v>
      </c>
      <c r="B950">
        <v>1</v>
      </c>
    </row>
    <row r="951" spans="1:2" x14ac:dyDescent="0.25">
      <c r="A951" s="3" t="s">
        <v>4532</v>
      </c>
      <c r="B951">
        <v>0</v>
      </c>
    </row>
    <row r="952" spans="1:2" x14ac:dyDescent="0.25">
      <c r="A952" s="3" t="s">
        <v>5146</v>
      </c>
      <c r="B952">
        <v>0</v>
      </c>
    </row>
    <row r="953" spans="1:2" x14ac:dyDescent="0.25">
      <c r="A953" s="3" t="s">
        <v>3043</v>
      </c>
      <c r="B953">
        <v>0</v>
      </c>
    </row>
    <row r="954" spans="1:2" x14ac:dyDescent="0.25">
      <c r="A954" s="3" t="s">
        <v>3049</v>
      </c>
      <c r="B954">
        <v>0</v>
      </c>
    </row>
    <row r="955" spans="1:2" x14ac:dyDescent="0.25">
      <c r="A955" s="3" t="s">
        <v>3053</v>
      </c>
      <c r="B955">
        <v>14</v>
      </c>
    </row>
    <row r="956" spans="1:2" x14ac:dyDescent="0.25">
      <c r="A956" s="3" t="s">
        <v>4924</v>
      </c>
      <c r="B956">
        <v>4</v>
      </c>
    </row>
    <row r="957" spans="1:2" x14ac:dyDescent="0.25">
      <c r="A957" s="3" t="s">
        <v>3060</v>
      </c>
      <c r="B957">
        <v>1</v>
      </c>
    </row>
    <row r="958" spans="1:2" x14ac:dyDescent="0.25">
      <c r="A958" s="3" t="s">
        <v>4926</v>
      </c>
      <c r="B958">
        <v>0</v>
      </c>
    </row>
    <row r="959" spans="1:2" x14ac:dyDescent="0.25">
      <c r="A959" s="3" t="s">
        <v>3065</v>
      </c>
      <c r="B959">
        <v>0</v>
      </c>
    </row>
    <row r="960" spans="1:2" x14ac:dyDescent="0.25">
      <c r="A960" s="3" t="s">
        <v>3068</v>
      </c>
      <c r="B960">
        <v>0</v>
      </c>
    </row>
    <row r="961" spans="1:2" x14ac:dyDescent="0.25">
      <c r="A961" s="3" t="s">
        <v>3075</v>
      </c>
      <c r="B961">
        <v>4</v>
      </c>
    </row>
    <row r="962" spans="1:2" x14ac:dyDescent="0.25">
      <c r="A962" s="3" t="s">
        <v>3087</v>
      </c>
      <c r="B962">
        <v>0</v>
      </c>
    </row>
    <row r="963" spans="1:2" x14ac:dyDescent="0.25">
      <c r="A963" s="3" t="s">
        <v>5431</v>
      </c>
      <c r="B963">
        <v>0</v>
      </c>
    </row>
    <row r="964" spans="1:2" x14ac:dyDescent="0.25">
      <c r="A964" s="3" t="s">
        <v>3094</v>
      </c>
      <c r="B964">
        <v>0</v>
      </c>
    </row>
    <row r="965" spans="1:2" x14ac:dyDescent="0.25">
      <c r="A965" s="3" t="s">
        <v>5432</v>
      </c>
      <c r="B965">
        <v>0</v>
      </c>
    </row>
    <row r="966" spans="1:2" x14ac:dyDescent="0.25">
      <c r="A966" s="3" t="s">
        <v>3100</v>
      </c>
      <c r="B966">
        <v>0</v>
      </c>
    </row>
    <row r="967" spans="1:2" x14ac:dyDescent="0.25">
      <c r="A967" s="3" t="s">
        <v>6215</v>
      </c>
      <c r="B967">
        <v>0</v>
      </c>
    </row>
    <row r="968" spans="1:2" x14ac:dyDescent="0.25">
      <c r="A968" s="3" t="s">
        <v>5098</v>
      </c>
      <c r="B968">
        <v>3</v>
      </c>
    </row>
    <row r="969" spans="1:2" x14ac:dyDescent="0.25">
      <c r="A969" s="3" t="s">
        <v>3110</v>
      </c>
      <c r="B969">
        <v>0</v>
      </c>
    </row>
    <row r="970" spans="1:2" x14ac:dyDescent="0.25">
      <c r="A970" s="3" t="s">
        <v>5433</v>
      </c>
      <c r="B970">
        <v>0</v>
      </c>
    </row>
    <row r="971" spans="1:2" x14ac:dyDescent="0.25">
      <c r="A971" s="3" t="s">
        <v>5486</v>
      </c>
      <c r="B971">
        <v>0</v>
      </c>
    </row>
    <row r="972" spans="1:2" x14ac:dyDescent="0.25">
      <c r="A972" s="3" t="s">
        <v>4928</v>
      </c>
      <c r="B972">
        <v>0</v>
      </c>
    </row>
    <row r="973" spans="1:2" x14ac:dyDescent="0.25">
      <c r="A973" s="3" t="s">
        <v>5232</v>
      </c>
      <c r="B973">
        <v>2</v>
      </c>
    </row>
    <row r="974" spans="1:2" x14ac:dyDescent="0.25">
      <c r="A974" s="3" t="s">
        <v>3124</v>
      </c>
      <c r="B974">
        <v>0</v>
      </c>
    </row>
    <row r="975" spans="1:2" x14ac:dyDescent="0.25">
      <c r="A975" s="3" t="s">
        <v>3130</v>
      </c>
      <c r="B975">
        <v>0</v>
      </c>
    </row>
    <row r="976" spans="1:2" x14ac:dyDescent="0.25">
      <c r="A976" s="3" t="s">
        <v>3139</v>
      </c>
      <c r="B976">
        <v>0</v>
      </c>
    </row>
    <row r="977" spans="1:2" x14ac:dyDescent="0.25">
      <c r="A977" s="3" t="s">
        <v>3144</v>
      </c>
      <c r="B977">
        <v>0</v>
      </c>
    </row>
    <row r="978" spans="1:2" x14ac:dyDescent="0.25">
      <c r="A978" s="3" t="s">
        <v>4534</v>
      </c>
      <c r="B978">
        <v>0</v>
      </c>
    </row>
    <row r="979" spans="1:2" x14ac:dyDescent="0.25">
      <c r="A979" s="3" t="s">
        <v>4932</v>
      </c>
      <c r="B979">
        <v>0</v>
      </c>
    </row>
    <row r="980" spans="1:2" x14ac:dyDescent="0.25">
      <c r="A980" s="3" t="s">
        <v>4930</v>
      </c>
      <c r="B980">
        <v>1</v>
      </c>
    </row>
    <row r="981" spans="1:2" x14ac:dyDescent="0.25">
      <c r="A981" s="3" t="s">
        <v>3152</v>
      </c>
      <c r="B981">
        <v>0</v>
      </c>
    </row>
    <row r="982" spans="1:2" x14ac:dyDescent="0.25">
      <c r="A982" s="3" t="s">
        <v>3156</v>
      </c>
      <c r="B982">
        <v>4</v>
      </c>
    </row>
    <row r="983" spans="1:2" x14ac:dyDescent="0.25">
      <c r="A983" s="3" t="s">
        <v>3163</v>
      </c>
      <c r="B983">
        <v>0</v>
      </c>
    </row>
    <row r="984" spans="1:2" x14ac:dyDescent="0.25">
      <c r="A984" s="3" t="s">
        <v>5099</v>
      </c>
      <c r="B984">
        <v>0</v>
      </c>
    </row>
    <row r="985" spans="1:2" x14ac:dyDescent="0.25">
      <c r="A985" s="3" t="s">
        <v>3176</v>
      </c>
      <c r="B985">
        <v>0</v>
      </c>
    </row>
    <row r="986" spans="1:2" x14ac:dyDescent="0.25">
      <c r="A986" s="3" t="s">
        <v>3179</v>
      </c>
      <c r="B986">
        <v>0</v>
      </c>
    </row>
    <row r="987" spans="1:2" x14ac:dyDescent="0.25">
      <c r="A987" s="3" t="s">
        <v>5435</v>
      </c>
      <c r="B987">
        <v>0</v>
      </c>
    </row>
    <row r="988" spans="1:2" x14ac:dyDescent="0.25">
      <c r="A988" s="3" t="s">
        <v>5434</v>
      </c>
      <c r="B988">
        <v>0</v>
      </c>
    </row>
    <row r="989" spans="1:2" x14ac:dyDescent="0.25">
      <c r="A989" s="3" t="s">
        <v>5305</v>
      </c>
      <c r="B989">
        <v>0</v>
      </c>
    </row>
    <row r="990" spans="1:2" x14ac:dyDescent="0.25">
      <c r="A990" s="3" t="s">
        <v>3187</v>
      </c>
      <c r="B990">
        <v>0</v>
      </c>
    </row>
    <row r="991" spans="1:2" x14ac:dyDescent="0.25">
      <c r="A991" s="3" t="s">
        <v>3191</v>
      </c>
      <c r="B991">
        <v>3</v>
      </c>
    </row>
    <row r="992" spans="1:2" x14ac:dyDescent="0.25">
      <c r="A992" s="3" t="s">
        <v>3198</v>
      </c>
      <c r="B992">
        <v>0</v>
      </c>
    </row>
    <row r="993" spans="1:2" x14ac:dyDescent="0.25">
      <c r="A993" s="3" t="s">
        <v>3201</v>
      </c>
      <c r="B993">
        <v>2</v>
      </c>
    </row>
    <row r="994" spans="1:2" x14ac:dyDescent="0.25">
      <c r="A994" s="3" t="s">
        <v>4934</v>
      </c>
      <c r="B994">
        <v>0</v>
      </c>
    </row>
    <row r="995" spans="1:2" x14ac:dyDescent="0.25">
      <c r="A995" s="3" t="s">
        <v>3205</v>
      </c>
      <c r="B995">
        <v>0</v>
      </c>
    </row>
    <row r="996" spans="1:2" x14ac:dyDescent="0.25">
      <c r="A996" s="3" t="s">
        <v>3210</v>
      </c>
      <c r="B996">
        <v>0</v>
      </c>
    </row>
    <row r="997" spans="1:2" x14ac:dyDescent="0.25">
      <c r="A997" s="3" t="s">
        <v>3213</v>
      </c>
      <c r="B997">
        <v>0</v>
      </c>
    </row>
    <row r="998" spans="1:2" x14ac:dyDescent="0.25">
      <c r="A998" s="3" t="s">
        <v>3216</v>
      </c>
      <c r="B998">
        <v>1</v>
      </c>
    </row>
    <row r="999" spans="1:2" x14ac:dyDescent="0.25">
      <c r="A999" s="3" t="s">
        <v>5436</v>
      </c>
      <c r="B999">
        <v>1</v>
      </c>
    </row>
    <row r="1000" spans="1:2" x14ac:dyDescent="0.25">
      <c r="A1000" s="3" t="s">
        <v>3221</v>
      </c>
      <c r="B1000">
        <v>0</v>
      </c>
    </row>
    <row r="1001" spans="1:2" x14ac:dyDescent="0.25">
      <c r="A1001" s="3" t="s">
        <v>3225</v>
      </c>
      <c r="B1001">
        <v>0</v>
      </c>
    </row>
    <row r="1002" spans="1:2" x14ac:dyDescent="0.25">
      <c r="A1002" s="3" t="s">
        <v>3231</v>
      </c>
      <c r="B1002">
        <v>1</v>
      </c>
    </row>
    <row r="1003" spans="1:2" x14ac:dyDescent="0.25">
      <c r="A1003" s="3" t="s">
        <v>3235</v>
      </c>
      <c r="B1003">
        <v>0</v>
      </c>
    </row>
    <row r="1004" spans="1:2" x14ac:dyDescent="0.25">
      <c r="A1004" s="3" t="s">
        <v>3239</v>
      </c>
      <c r="B1004">
        <v>0</v>
      </c>
    </row>
    <row r="1005" spans="1:2" x14ac:dyDescent="0.25">
      <c r="A1005" s="3" t="s">
        <v>3243</v>
      </c>
      <c r="B1005">
        <v>0</v>
      </c>
    </row>
    <row r="1006" spans="1:2" x14ac:dyDescent="0.25">
      <c r="A1006" s="3" t="s">
        <v>3246</v>
      </c>
      <c r="B1006">
        <v>0</v>
      </c>
    </row>
    <row r="1007" spans="1:2" x14ac:dyDescent="0.25">
      <c r="A1007" s="3" t="s">
        <v>3252</v>
      </c>
      <c r="B1007">
        <v>0</v>
      </c>
    </row>
    <row r="1008" spans="1:2" x14ac:dyDescent="0.25">
      <c r="A1008" s="3" t="s">
        <v>3255</v>
      </c>
      <c r="B1008">
        <v>0</v>
      </c>
    </row>
    <row r="1009" spans="1:2" x14ac:dyDescent="0.25">
      <c r="A1009" s="3" t="s">
        <v>5100</v>
      </c>
      <c r="B1009">
        <v>1</v>
      </c>
    </row>
    <row r="1010" spans="1:2" x14ac:dyDescent="0.25">
      <c r="A1010" s="3" t="s">
        <v>5101</v>
      </c>
      <c r="B1010">
        <v>1</v>
      </c>
    </row>
    <row r="1011" spans="1:2" x14ac:dyDescent="0.25">
      <c r="A1011" s="3" t="s">
        <v>3265</v>
      </c>
      <c r="B1011">
        <v>0</v>
      </c>
    </row>
    <row r="1012" spans="1:2" x14ac:dyDescent="0.25">
      <c r="A1012" s="3" t="s">
        <v>3269</v>
      </c>
      <c r="B1012">
        <v>0</v>
      </c>
    </row>
    <row r="1013" spans="1:2" x14ac:dyDescent="0.25">
      <c r="A1013" s="3" t="s">
        <v>3273</v>
      </c>
      <c r="B1013">
        <v>0</v>
      </c>
    </row>
    <row r="1014" spans="1:2" x14ac:dyDescent="0.25">
      <c r="A1014" s="3" t="s">
        <v>3280</v>
      </c>
      <c r="B1014">
        <v>0</v>
      </c>
    </row>
    <row r="1015" spans="1:2" x14ac:dyDescent="0.25">
      <c r="A1015" s="3" t="s">
        <v>3284</v>
      </c>
      <c r="B1015">
        <v>0</v>
      </c>
    </row>
    <row r="1016" spans="1:2" x14ac:dyDescent="0.25">
      <c r="A1016" s="3" t="s">
        <v>3289</v>
      </c>
      <c r="B1016">
        <v>7</v>
      </c>
    </row>
    <row r="1017" spans="1:2" x14ac:dyDescent="0.25">
      <c r="A1017" s="3" t="s">
        <v>5102</v>
      </c>
      <c r="B1017">
        <v>20</v>
      </c>
    </row>
    <row r="1018" spans="1:2" x14ac:dyDescent="0.25">
      <c r="A1018" s="3" t="s">
        <v>4548</v>
      </c>
      <c r="B1018">
        <v>0</v>
      </c>
    </row>
    <row r="1019" spans="1:2" x14ac:dyDescent="0.25">
      <c r="A1019" s="3" t="s">
        <v>3302</v>
      </c>
      <c r="B1019">
        <v>0</v>
      </c>
    </row>
    <row r="1020" spans="1:2" x14ac:dyDescent="0.25">
      <c r="A1020" s="3" t="s">
        <v>5438</v>
      </c>
      <c r="B1020">
        <v>0</v>
      </c>
    </row>
    <row r="1021" spans="1:2" x14ac:dyDescent="0.25">
      <c r="A1021" s="3" t="s">
        <v>5437</v>
      </c>
      <c r="B1021">
        <v>1</v>
      </c>
    </row>
    <row r="1022" spans="1:2" x14ac:dyDescent="0.25">
      <c r="A1022" s="3" t="s">
        <v>3312</v>
      </c>
      <c r="B1022">
        <v>0</v>
      </c>
    </row>
    <row r="1023" spans="1:2" x14ac:dyDescent="0.25">
      <c r="A1023" s="3" t="s">
        <v>5103</v>
      </c>
      <c r="B1023">
        <v>3</v>
      </c>
    </row>
    <row r="1024" spans="1:2" x14ac:dyDescent="0.25">
      <c r="A1024" s="3" t="s">
        <v>5439</v>
      </c>
      <c r="B1024">
        <v>0</v>
      </c>
    </row>
    <row r="1025" spans="1:2" x14ac:dyDescent="0.25">
      <c r="A1025" s="3" t="s">
        <v>3321</v>
      </c>
      <c r="B1025">
        <v>0</v>
      </c>
    </row>
    <row r="1026" spans="1:2" x14ac:dyDescent="0.25">
      <c r="A1026" s="3" t="s">
        <v>5440</v>
      </c>
      <c r="B1026">
        <v>1</v>
      </c>
    </row>
    <row r="1027" spans="1:2" x14ac:dyDescent="0.25">
      <c r="A1027" s="3" t="s">
        <v>3332</v>
      </c>
      <c r="B1027">
        <v>0</v>
      </c>
    </row>
    <row r="1028" spans="1:2" x14ac:dyDescent="0.25">
      <c r="A1028" s="3" t="s">
        <v>5104</v>
      </c>
      <c r="B1028">
        <v>0</v>
      </c>
    </row>
    <row r="1029" spans="1:2" x14ac:dyDescent="0.25">
      <c r="A1029" s="3" t="s">
        <v>3341</v>
      </c>
      <c r="B1029">
        <v>0</v>
      </c>
    </row>
    <row r="1030" spans="1:2" x14ac:dyDescent="0.25">
      <c r="A1030" s="3" t="s">
        <v>3345</v>
      </c>
      <c r="B1030">
        <v>1</v>
      </c>
    </row>
    <row r="1031" spans="1:2" x14ac:dyDescent="0.25">
      <c r="A1031" s="3" t="s">
        <v>4936</v>
      </c>
      <c r="B1031">
        <v>3</v>
      </c>
    </row>
    <row r="1032" spans="1:2" x14ac:dyDescent="0.25">
      <c r="A1032" s="3" t="s">
        <v>4938</v>
      </c>
      <c r="B1032">
        <v>2</v>
      </c>
    </row>
    <row r="1033" spans="1:2" x14ac:dyDescent="0.25">
      <c r="A1033" s="3" t="s">
        <v>3352</v>
      </c>
      <c r="B1033">
        <v>0</v>
      </c>
    </row>
    <row r="1034" spans="1:2" x14ac:dyDescent="0.25">
      <c r="A1034" s="3" t="s">
        <v>5106</v>
      </c>
      <c r="B1034">
        <v>0</v>
      </c>
    </row>
    <row r="1035" spans="1:2" x14ac:dyDescent="0.25">
      <c r="A1035" s="3" t="s">
        <v>3362</v>
      </c>
      <c r="B1035">
        <v>2</v>
      </c>
    </row>
    <row r="1036" spans="1:2" x14ac:dyDescent="0.25">
      <c r="A1036" s="3" t="s">
        <v>5107</v>
      </c>
      <c r="B1036">
        <v>1</v>
      </c>
    </row>
    <row r="1037" spans="1:2" x14ac:dyDescent="0.25">
      <c r="A1037" s="3" t="s">
        <v>4940</v>
      </c>
      <c r="B1037">
        <v>5</v>
      </c>
    </row>
    <row r="1038" spans="1:2" x14ac:dyDescent="0.25">
      <c r="A1038" s="3" t="s">
        <v>3365</v>
      </c>
      <c r="B1038">
        <v>0</v>
      </c>
    </row>
    <row r="1039" spans="1:2" x14ac:dyDescent="0.25">
      <c r="A1039" s="3" t="s">
        <v>3369</v>
      </c>
      <c r="B1039">
        <v>0</v>
      </c>
    </row>
    <row r="1040" spans="1:2" x14ac:dyDescent="0.25">
      <c r="A1040" s="3" t="s">
        <v>3372</v>
      </c>
      <c r="B1040">
        <v>0</v>
      </c>
    </row>
    <row r="1041" spans="1:2" x14ac:dyDescent="0.25">
      <c r="A1041" s="3" t="s">
        <v>3377</v>
      </c>
      <c r="B1041">
        <v>0</v>
      </c>
    </row>
    <row r="1042" spans="1:2" x14ac:dyDescent="0.25">
      <c r="A1042" s="3" t="s">
        <v>3388</v>
      </c>
      <c r="B1042">
        <v>2</v>
      </c>
    </row>
    <row r="1043" spans="1:2" x14ac:dyDescent="0.25">
      <c r="A1043" s="3" t="s">
        <v>3397</v>
      </c>
      <c r="B1043">
        <v>0</v>
      </c>
    </row>
    <row r="1044" spans="1:2" x14ac:dyDescent="0.25">
      <c r="A1044" s="3" t="s">
        <v>3402</v>
      </c>
      <c r="B1044">
        <v>0</v>
      </c>
    </row>
    <row r="1045" spans="1:2" x14ac:dyDescent="0.25">
      <c r="A1045" s="3" t="s">
        <v>3409</v>
      </c>
      <c r="B1045">
        <v>0</v>
      </c>
    </row>
    <row r="1046" spans="1:2" x14ac:dyDescent="0.25">
      <c r="A1046" s="3" t="s">
        <v>4942</v>
      </c>
      <c r="B1046">
        <v>0</v>
      </c>
    </row>
    <row r="1047" spans="1:2" x14ac:dyDescent="0.25">
      <c r="A1047" s="3" t="s">
        <v>3413</v>
      </c>
      <c r="B1047">
        <v>0</v>
      </c>
    </row>
    <row r="1048" spans="1:2" x14ac:dyDescent="0.25">
      <c r="A1048" s="3" t="s">
        <v>4944</v>
      </c>
      <c r="B1048">
        <v>0</v>
      </c>
    </row>
    <row r="1049" spans="1:2" x14ac:dyDescent="0.25">
      <c r="A1049" s="3" t="s">
        <v>3417</v>
      </c>
      <c r="B1049">
        <v>9</v>
      </c>
    </row>
    <row r="1050" spans="1:2" x14ac:dyDescent="0.25">
      <c r="A1050" s="3" t="s">
        <v>3421</v>
      </c>
      <c r="B1050">
        <v>1</v>
      </c>
    </row>
    <row r="1051" spans="1:2" x14ac:dyDescent="0.25">
      <c r="A1051" s="3" t="s">
        <v>5271</v>
      </c>
      <c r="B1051">
        <v>0</v>
      </c>
    </row>
    <row r="1052" spans="1:2" x14ac:dyDescent="0.25">
      <c r="A1052" s="3" t="s">
        <v>3425</v>
      </c>
      <c r="B1052">
        <v>1</v>
      </c>
    </row>
    <row r="1053" spans="1:2" x14ac:dyDescent="0.25">
      <c r="A1053" s="3" t="s">
        <v>4946</v>
      </c>
      <c r="B1053">
        <v>0</v>
      </c>
    </row>
    <row r="1054" spans="1:2" x14ac:dyDescent="0.25">
      <c r="A1054" s="3" t="s">
        <v>5494</v>
      </c>
      <c r="B1054">
        <v>1</v>
      </c>
    </row>
    <row r="1055" spans="1:2" x14ac:dyDescent="0.25">
      <c r="A1055" s="3" t="s">
        <v>3435</v>
      </c>
      <c r="B1055">
        <v>0</v>
      </c>
    </row>
    <row r="1056" spans="1:2" x14ac:dyDescent="0.25">
      <c r="A1056" s="3" t="s">
        <v>4469</v>
      </c>
      <c r="B1056">
        <v>0</v>
      </c>
    </row>
    <row r="1057" spans="1:2" x14ac:dyDescent="0.25">
      <c r="A1057" s="3" t="s">
        <v>4471</v>
      </c>
      <c r="B1057">
        <v>0</v>
      </c>
    </row>
    <row r="1058" spans="1:2" x14ac:dyDescent="0.25">
      <c r="A1058" s="3" t="s">
        <v>3439</v>
      </c>
      <c r="B1058">
        <v>2</v>
      </c>
    </row>
    <row r="1059" spans="1:2" x14ac:dyDescent="0.25">
      <c r="A1059" s="3" t="s">
        <v>5441</v>
      </c>
      <c r="B1059">
        <v>0</v>
      </c>
    </row>
    <row r="1060" spans="1:2" x14ac:dyDescent="0.25">
      <c r="A1060" s="3" t="s">
        <v>5307</v>
      </c>
      <c r="B1060">
        <v>0</v>
      </c>
    </row>
    <row r="1061" spans="1:2" x14ac:dyDescent="0.25">
      <c r="A1061" s="3" t="s">
        <v>3445</v>
      </c>
      <c r="B1061">
        <v>0</v>
      </c>
    </row>
    <row r="1062" spans="1:2" x14ac:dyDescent="0.25">
      <c r="A1062" s="3" t="s">
        <v>5442</v>
      </c>
      <c r="B1062">
        <v>0</v>
      </c>
    </row>
    <row r="1063" spans="1:2" x14ac:dyDescent="0.25">
      <c r="A1063" s="3" t="s">
        <v>3451</v>
      </c>
      <c r="B1063">
        <v>0</v>
      </c>
    </row>
    <row r="1064" spans="1:2" x14ac:dyDescent="0.25">
      <c r="A1064" s="3" t="s">
        <v>5108</v>
      </c>
      <c r="B1064">
        <v>4</v>
      </c>
    </row>
    <row r="1065" spans="1:2" x14ac:dyDescent="0.25">
      <c r="A1065" s="3" t="s">
        <v>3458</v>
      </c>
      <c r="B1065">
        <v>1</v>
      </c>
    </row>
    <row r="1066" spans="1:2" x14ac:dyDescent="0.25">
      <c r="A1066" s="3" t="s">
        <v>5126</v>
      </c>
      <c r="B1066">
        <v>0</v>
      </c>
    </row>
    <row r="1067" spans="1:2" x14ac:dyDescent="0.25">
      <c r="A1067" s="3" t="s">
        <v>3464</v>
      </c>
      <c r="B1067">
        <v>0</v>
      </c>
    </row>
    <row r="1068" spans="1:2" x14ac:dyDescent="0.25">
      <c r="A1068" s="3" t="s">
        <v>3468</v>
      </c>
      <c r="B1068">
        <v>0</v>
      </c>
    </row>
    <row r="1069" spans="1:2" x14ac:dyDescent="0.25">
      <c r="A1069" s="3" t="s">
        <v>3472</v>
      </c>
      <c r="B1069">
        <v>0</v>
      </c>
    </row>
    <row r="1070" spans="1:2" x14ac:dyDescent="0.25">
      <c r="A1070" s="3" t="s">
        <v>6227</v>
      </c>
      <c r="B1070">
        <v>0</v>
      </c>
    </row>
    <row r="1071" spans="1:2" x14ac:dyDescent="0.25">
      <c r="A1071" s="3" t="s">
        <v>4948</v>
      </c>
      <c r="B1071">
        <v>0</v>
      </c>
    </row>
    <row r="1072" spans="1:2" x14ac:dyDescent="0.25">
      <c r="A1072" s="3" t="s">
        <v>3476</v>
      </c>
      <c r="B1072">
        <v>3</v>
      </c>
    </row>
    <row r="1073" spans="1:2" x14ac:dyDescent="0.25">
      <c r="A1073" s="3" t="s">
        <v>4952</v>
      </c>
      <c r="B1073">
        <v>5</v>
      </c>
    </row>
    <row r="1074" spans="1:2" x14ac:dyDescent="0.25">
      <c r="A1074" s="3" t="s">
        <v>4950</v>
      </c>
      <c r="B1074">
        <v>0</v>
      </c>
    </row>
    <row r="1075" spans="1:2" x14ac:dyDescent="0.25">
      <c r="A1075" s="3" t="s">
        <v>3486</v>
      </c>
      <c r="B1075">
        <v>0</v>
      </c>
    </row>
    <row r="1076" spans="1:2" x14ac:dyDescent="0.25">
      <c r="A1076" s="3" t="s">
        <v>4536</v>
      </c>
      <c r="B1076">
        <v>0</v>
      </c>
    </row>
    <row r="1077" spans="1:2" x14ac:dyDescent="0.25">
      <c r="A1077" s="3" t="s">
        <v>3493</v>
      </c>
      <c r="B1077">
        <v>0</v>
      </c>
    </row>
    <row r="1078" spans="1:2" x14ac:dyDescent="0.25">
      <c r="A1078" s="3" t="s">
        <v>3497</v>
      </c>
      <c r="B1078">
        <v>9</v>
      </c>
    </row>
    <row r="1079" spans="1:2" x14ac:dyDescent="0.25">
      <c r="A1079" s="3" t="s">
        <v>3506</v>
      </c>
      <c r="B1079">
        <v>0</v>
      </c>
    </row>
    <row r="1080" spans="1:2" x14ac:dyDescent="0.25">
      <c r="A1080" s="3" t="s">
        <v>5443</v>
      </c>
      <c r="B1080">
        <v>0</v>
      </c>
    </row>
    <row r="1081" spans="1:2" x14ac:dyDescent="0.25">
      <c r="A1081" s="3" t="s">
        <v>3518</v>
      </c>
      <c r="B1081">
        <v>1</v>
      </c>
    </row>
    <row r="1082" spans="1:2" x14ac:dyDescent="0.25">
      <c r="A1082" s="3" t="s">
        <v>4956</v>
      </c>
      <c r="B1082">
        <v>4</v>
      </c>
    </row>
    <row r="1083" spans="1:2" x14ac:dyDescent="0.25">
      <c r="A1083" s="3" t="s">
        <v>4958</v>
      </c>
      <c r="B1083">
        <v>0</v>
      </c>
    </row>
    <row r="1084" spans="1:2" x14ac:dyDescent="0.25">
      <c r="A1084" s="3" t="s">
        <v>4954</v>
      </c>
      <c r="B1084">
        <v>2</v>
      </c>
    </row>
    <row r="1085" spans="1:2" x14ac:dyDescent="0.25">
      <c r="A1085" s="3" t="s">
        <v>3527</v>
      </c>
      <c r="B1085">
        <v>4</v>
      </c>
    </row>
    <row r="1086" spans="1:2" x14ac:dyDescent="0.25">
      <c r="A1086" s="3" t="s">
        <v>3537</v>
      </c>
      <c r="B1086">
        <v>0</v>
      </c>
    </row>
    <row r="1087" spans="1:2" x14ac:dyDescent="0.25">
      <c r="A1087" s="3" t="s">
        <v>4960</v>
      </c>
      <c r="B1087">
        <v>1</v>
      </c>
    </row>
    <row r="1088" spans="1:2" x14ac:dyDescent="0.25">
      <c r="A1088" s="3" t="s">
        <v>3544</v>
      </c>
      <c r="B1088">
        <v>0</v>
      </c>
    </row>
    <row r="1089" spans="1:2" x14ac:dyDescent="0.25">
      <c r="A1089" s="3" t="s">
        <v>5495</v>
      </c>
      <c r="B1089">
        <v>0</v>
      </c>
    </row>
    <row r="1090" spans="1:2" x14ac:dyDescent="0.25">
      <c r="A1090" s="3" t="s">
        <v>3551</v>
      </c>
      <c r="B1090">
        <v>0</v>
      </c>
    </row>
    <row r="1091" spans="1:2" x14ac:dyDescent="0.25">
      <c r="A1091" s="3" t="s">
        <v>5109</v>
      </c>
      <c r="B1091">
        <v>0</v>
      </c>
    </row>
    <row r="1092" spans="1:2" x14ac:dyDescent="0.25">
      <c r="A1092" s="3" t="s">
        <v>4962</v>
      </c>
      <c r="B1092">
        <v>0</v>
      </c>
    </row>
    <row r="1093" spans="1:2" x14ac:dyDescent="0.25">
      <c r="A1093" s="3" t="s">
        <v>4539</v>
      </c>
      <c r="B1093">
        <v>0</v>
      </c>
    </row>
    <row r="1094" spans="1:2" x14ac:dyDescent="0.25">
      <c r="A1094" s="3" t="s">
        <v>3561</v>
      </c>
      <c r="B1094">
        <v>0</v>
      </c>
    </row>
    <row r="1095" spans="1:2" x14ac:dyDescent="0.25">
      <c r="A1095" s="3" t="s">
        <v>3565</v>
      </c>
      <c r="B1095">
        <v>1</v>
      </c>
    </row>
    <row r="1096" spans="1:2" x14ac:dyDescent="0.25">
      <c r="A1096" s="3" t="s">
        <v>3569</v>
      </c>
      <c r="B1096">
        <v>0</v>
      </c>
    </row>
    <row r="1097" spans="1:2" x14ac:dyDescent="0.25">
      <c r="A1097" s="3" t="s">
        <v>4964</v>
      </c>
      <c r="B1097">
        <v>0</v>
      </c>
    </row>
    <row r="1098" spans="1:2" x14ac:dyDescent="0.25">
      <c r="A1098" s="3" t="s">
        <v>5155</v>
      </c>
      <c r="B1098">
        <v>0</v>
      </c>
    </row>
    <row r="1099" spans="1:2" x14ac:dyDescent="0.25">
      <c r="A1099" s="3" t="s">
        <v>3575</v>
      </c>
      <c r="B1099">
        <v>0</v>
      </c>
    </row>
    <row r="1100" spans="1:2" x14ac:dyDescent="0.25">
      <c r="A1100" s="3" t="s">
        <v>3584</v>
      </c>
      <c r="B1100">
        <v>0</v>
      </c>
    </row>
    <row r="1101" spans="1:2" x14ac:dyDescent="0.25">
      <c r="A1101" s="3" t="s">
        <v>5273</v>
      </c>
      <c r="B1101">
        <v>2</v>
      </c>
    </row>
    <row r="1102" spans="1:2" x14ac:dyDescent="0.25">
      <c r="A1102" s="3" t="s">
        <v>5444</v>
      </c>
      <c r="B1102">
        <v>0</v>
      </c>
    </row>
    <row r="1103" spans="1:2" x14ac:dyDescent="0.25">
      <c r="A1103" s="3" t="s">
        <v>4966</v>
      </c>
      <c r="B1103">
        <v>0</v>
      </c>
    </row>
    <row r="1104" spans="1:2" x14ac:dyDescent="0.25">
      <c r="A1104" s="3" t="s">
        <v>3590</v>
      </c>
      <c r="B1104">
        <v>1</v>
      </c>
    </row>
    <row r="1105" spans="1:2" x14ac:dyDescent="0.25">
      <c r="A1105" s="3" t="s">
        <v>3596</v>
      </c>
      <c r="B1105">
        <v>0</v>
      </c>
    </row>
    <row r="1106" spans="1:2" x14ac:dyDescent="0.25">
      <c r="A1106" s="3" t="s">
        <v>3602</v>
      </c>
      <c r="B1106">
        <v>0</v>
      </c>
    </row>
    <row r="1107" spans="1:2" x14ac:dyDescent="0.25">
      <c r="A1107" s="3" t="s">
        <v>3606</v>
      </c>
      <c r="B1107">
        <v>0</v>
      </c>
    </row>
    <row r="1108" spans="1:2" x14ac:dyDescent="0.25">
      <c r="A1108" s="3" t="s">
        <v>3610</v>
      </c>
      <c r="B1108">
        <v>0</v>
      </c>
    </row>
    <row r="1109" spans="1:2" x14ac:dyDescent="0.25">
      <c r="A1109" s="3" t="s">
        <v>4970</v>
      </c>
      <c r="B1109">
        <v>0</v>
      </c>
    </row>
    <row r="1110" spans="1:2" x14ac:dyDescent="0.25">
      <c r="A1110" s="3" t="s">
        <v>3624</v>
      </c>
      <c r="B1110">
        <v>0</v>
      </c>
    </row>
    <row r="1111" spans="1:2" x14ac:dyDescent="0.25">
      <c r="A1111" s="3" t="s">
        <v>3632</v>
      </c>
      <c r="B1111">
        <v>3</v>
      </c>
    </row>
    <row r="1112" spans="1:2" x14ac:dyDescent="0.25">
      <c r="A1112" s="3" t="s">
        <v>3639</v>
      </c>
      <c r="B1112">
        <v>0</v>
      </c>
    </row>
    <row r="1113" spans="1:2" x14ac:dyDescent="0.25">
      <c r="A1113" s="3" t="s">
        <v>5445</v>
      </c>
      <c r="B1113">
        <v>0</v>
      </c>
    </row>
    <row r="1114" spans="1:2" x14ac:dyDescent="0.25">
      <c r="A1114" s="3" t="s">
        <v>4968</v>
      </c>
      <c r="B1114">
        <v>0</v>
      </c>
    </row>
    <row r="1115" spans="1:2" x14ac:dyDescent="0.25">
      <c r="A1115" s="3" t="s">
        <v>5110</v>
      </c>
      <c r="B1115">
        <v>1</v>
      </c>
    </row>
    <row r="1116" spans="1:2" x14ac:dyDescent="0.25">
      <c r="A1116" s="3" t="s">
        <v>3651</v>
      </c>
      <c r="B1116">
        <v>0</v>
      </c>
    </row>
    <row r="1117" spans="1:2" x14ac:dyDescent="0.25">
      <c r="A1117" s="3" t="s">
        <v>5446</v>
      </c>
      <c r="B1117">
        <v>0</v>
      </c>
    </row>
    <row r="1118" spans="1:2" x14ac:dyDescent="0.25">
      <c r="A1118" s="3" t="s">
        <v>3661</v>
      </c>
      <c r="B1118">
        <v>0</v>
      </c>
    </row>
    <row r="1119" spans="1:2" x14ac:dyDescent="0.25">
      <c r="A1119" s="3" t="s">
        <v>5448</v>
      </c>
      <c r="B1119">
        <v>0</v>
      </c>
    </row>
    <row r="1120" spans="1:2" x14ac:dyDescent="0.25">
      <c r="A1120" s="3" t="s">
        <v>5450</v>
      </c>
      <c r="B1120">
        <v>0</v>
      </c>
    </row>
    <row r="1121" spans="1:2" x14ac:dyDescent="0.25">
      <c r="A1121" s="3" t="s">
        <v>5449</v>
      </c>
      <c r="B1121">
        <v>0</v>
      </c>
    </row>
    <row r="1122" spans="1:2" x14ac:dyDescent="0.25">
      <c r="A1122" s="3" t="s">
        <v>3674</v>
      </c>
      <c r="B1122">
        <v>2</v>
      </c>
    </row>
    <row r="1123" spans="1:2" x14ac:dyDescent="0.25">
      <c r="A1123" s="3" t="s">
        <v>3686</v>
      </c>
      <c r="B1123">
        <v>0</v>
      </c>
    </row>
    <row r="1124" spans="1:2" x14ac:dyDescent="0.25">
      <c r="A1124" s="3" t="s">
        <v>5451</v>
      </c>
      <c r="B1124">
        <v>0</v>
      </c>
    </row>
    <row r="1125" spans="1:2" x14ac:dyDescent="0.25">
      <c r="A1125" s="3" t="s">
        <v>5156</v>
      </c>
      <c r="B1125">
        <v>0</v>
      </c>
    </row>
    <row r="1126" spans="1:2" x14ac:dyDescent="0.25">
      <c r="A1126" s="3" t="s">
        <v>4473</v>
      </c>
      <c r="B1126">
        <v>0</v>
      </c>
    </row>
    <row r="1127" spans="1:2" x14ac:dyDescent="0.25">
      <c r="A1127" s="3" t="s">
        <v>4476</v>
      </c>
      <c r="B1127">
        <v>0</v>
      </c>
    </row>
    <row r="1128" spans="1:2" x14ac:dyDescent="0.25">
      <c r="A1128" s="3" t="s">
        <v>3697</v>
      </c>
      <c r="B1128">
        <v>0</v>
      </c>
    </row>
    <row r="1129" spans="1:2" x14ac:dyDescent="0.25">
      <c r="A1129" s="3" t="s">
        <v>4972</v>
      </c>
      <c r="B1129">
        <v>0</v>
      </c>
    </row>
    <row r="1130" spans="1:2" x14ac:dyDescent="0.25">
      <c r="A1130" s="3" t="s">
        <v>3701</v>
      </c>
      <c r="B1130">
        <v>7</v>
      </c>
    </row>
    <row r="1131" spans="1:2" x14ac:dyDescent="0.25">
      <c r="A1131" s="3" t="s">
        <v>3704</v>
      </c>
      <c r="B1131">
        <v>0</v>
      </c>
    </row>
    <row r="1132" spans="1:2" x14ac:dyDescent="0.25">
      <c r="A1132" s="3" t="s">
        <v>4974</v>
      </c>
      <c r="B1132">
        <v>3</v>
      </c>
    </row>
    <row r="1133" spans="1:2" x14ac:dyDescent="0.25">
      <c r="A1133" s="3" t="s">
        <v>4549</v>
      </c>
      <c r="B1133">
        <v>0</v>
      </c>
    </row>
    <row r="1134" spans="1:2" x14ac:dyDescent="0.25">
      <c r="A1134" s="3" t="s">
        <v>5452</v>
      </c>
      <c r="B1134">
        <v>0</v>
      </c>
    </row>
    <row r="1135" spans="1:2" x14ac:dyDescent="0.25">
      <c r="A1135" s="3" t="s">
        <v>4976</v>
      </c>
      <c r="B1135">
        <v>3</v>
      </c>
    </row>
    <row r="1136" spans="1:2" x14ac:dyDescent="0.25">
      <c r="A1136" s="3" t="s">
        <v>4978</v>
      </c>
      <c r="B1136">
        <v>1</v>
      </c>
    </row>
    <row r="1137" spans="1:2" x14ac:dyDescent="0.25">
      <c r="A1137" s="3" t="s">
        <v>4478</v>
      </c>
      <c r="B1137">
        <v>0</v>
      </c>
    </row>
    <row r="1138" spans="1:2" x14ac:dyDescent="0.25">
      <c r="A1138" s="3" t="s">
        <v>3713</v>
      </c>
      <c r="B1138">
        <v>4</v>
      </c>
    </row>
    <row r="1139" spans="1:2" x14ac:dyDescent="0.25">
      <c r="A1139" s="3" t="s">
        <v>3728</v>
      </c>
      <c r="B1139">
        <v>0</v>
      </c>
    </row>
    <row r="1140" spans="1:2" x14ac:dyDescent="0.25">
      <c r="A1140" s="3" t="s">
        <v>4980</v>
      </c>
      <c r="B1140">
        <v>1</v>
      </c>
    </row>
    <row r="1141" spans="1:2" x14ac:dyDescent="0.25">
      <c r="A1141" s="3" t="s">
        <v>5453</v>
      </c>
      <c r="B1141">
        <v>0</v>
      </c>
    </row>
    <row r="1142" spans="1:2" x14ac:dyDescent="0.25">
      <c r="A1142" s="3" t="s">
        <v>4982</v>
      </c>
      <c r="B1142">
        <v>0</v>
      </c>
    </row>
    <row r="1143" spans="1:2" x14ac:dyDescent="0.25">
      <c r="A1143" s="3" t="s">
        <v>5454</v>
      </c>
      <c r="B1143">
        <v>0</v>
      </c>
    </row>
    <row r="1144" spans="1:2" x14ac:dyDescent="0.25">
      <c r="A1144" s="3" t="s">
        <v>3738</v>
      </c>
      <c r="B1144">
        <v>4</v>
      </c>
    </row>
    <row r="1145" spans="1:2" x14ac:dyDescent="0.25">
      <c r="A1145" s="3" t="s">
        <v>3742</v>
      </c>
      <c r="B1145">
        <v>1</v>
      </c>
    </row>
    <row r="1146" spans="1:2" x14ac:dyDescent="0.25">
      <c r="A1146" s="3" t="s">
        <v>4986</v>
      </c>
      <c r="B1146">
        <v>0</v>
      </c>
    </row>
    <row r="1147" spans="1:2" x14ac:dyDescent="0.25">
      <c r="A1147" s="3" t="s">
        <v>4984</v>
      </c>
      <c r="B1147">
        <v>0</v>
      </c>
    </row>
    <row r="1148" spans="1:2" x14ac:dyDescent="0.25">
      <c r="A1148" s="3" t="s">
        <v>3747</v>
      </c>
      <c r="B1148">
        <v>0</v>
      </c>
    </row>
    <row r="1149" spans="1:2" x14ac:dyDescent="0.25">
      <c r="A1149" s="3" t="s">
        <v>3751</v>
      </c>
      <c r="B1149">
        <v>0</v>
      </c>
    </row>
    <row r="1150" spans="1:2" x14ac:dyDescent="0.25">
      <c r="A1150" s="3" t="s">
        <v>4988</v>
      </c>
      <c r="B1150">
        <v>0</v>
      </c>
    </row>
    <row r="1151" spans="1:2" x14ac:dyDescent="0.25">
      <c r="A1151" s="3" t="s">
        <v>4990</v>
      </c>
      <c r="B1151">
        <v>0</v>
      </c>
    </row>
    <row r="1152" spans="1:2" x14ac:dyDescent="0.25">
      <c r="A1152" s="3" t="s">
        <v>3756</v>
      </c>
      <c r="B1152">
        <v>0</v>
      </c>
    </row>
    <row r="1153" spans="1:2" x14ac:dyDescent="0.25">
      <c r="A1153" s="3" t="s">
        <v>4994</v>
      </c>
      <c r="B1153">
        <v>1</v>
      </c>
    </row>
    <row r="1154" spans="1:2" x14ac:dyDescent="0.25">
      <c r="A1154" s="3" t="s">
        <v>4992</v>
      </c>
      <c r="B1154">
        <v>2</v>
      </c>
    </row>
    <row r="1155" spans="1:2" x14ac:dyDescent="0.25">
      <c r="A1155" s="3" t="s">
        <v>4541</v>
      </c>
      <c r="B1155">
        <v>0</v>
      </c>
    </row>
    <row r="1156" spans="1:2" x14ac:dyDescent="0.25">
      <c r="A1156" s="3" t="s">
        <v>3762</v>
      </c>
      <c r="B1156">
        <v>0</v>
      </c>
    </row>
    <row r="1157" spans="1:2" x14ac:dyDescent="0.25">
      <c r="A1157" s="3" t="s">
        <v>5236</v>
      </c>
      <c r="B1157">
        <v>0</v>
      </c>
    </row>
    <row r="1158" spans="1:2" x14ac:dyDescent="0.25">
      <c r="A1158" s="3" t="s">
        <v>3766</v>
      </c>
      <c r="B1158">
        <v>0</v>
      </c>
    </row>
    <row r="1159" spans="1:2" x14ac:dyDescent="0.25">
      <c r="A1159" s="3" t="s">
        <v>5455</v>
      </c>
      <c r="B1159">
        <v>0</v>
      </c>
    </row>
    <row r="1160" spans="1:2" x14ac:dyDescent="0.25">
      <c r="A1160" s="3" t="s">
        <v>5308</v>
      </c>
      <c r="B1160">
        <v>5</v>
      </c>
    </row>
    <row r="1161" spans="1:2" x14ac:dyDescent="0.25">
      <c r="A1161" s="3" t="s">
        <v>4996</v>
      </c>
      <c r="B1161">
        <v>4</v>
      </c>
    </row>
    <row r="1162" spans="1:2" x14ac:dyDescent="0.25">
      <c r="A1162" s="3" t="s">
        <v>3776</v>
      </c>
      <c r="B1162">
        <v>1</v>
      </c>
    </row>
    <row r="1163" spans="1:2" x14ac:dyDescent="0.25">
      <c r="A1163" s="3" t="s">
        <v>5457</v>
      </c>
      <c r="B1163">
        <v>1</v>
      </c>
    </row>
    <row r="1164" spans="1:2" x14ac:dyDescent="0.25">
      <c r="A1164" s="3" t="s">
        <v>5456</v>
      </c>
      <c r="B1164">
        <v>0</v>
      </c>
    </row>
    <row r="1165" spans="1:2" x14ac:dyDescent="0.25">
      <c r="A1165" s="3" t="s">
        <v>3790</v>
      </c>
      <c r="B1165">
        <v>0</v>
      </c>
    </row>
    <row r="1166" spans="1:2" x14ac:dyDescent="0.25">
      <c r="A1166" s="3" t="s">
        <v>3795</v>
      </c>
      <c r="B1166">
        <v>0</v>
      </c>
    </row>
    <row r="1167" spans="1:2" x14ac:dyDescent="0.25">
      <c r="A1167" s="3" t="s">
        <v>3798</v>
      </c>
      <c r="B1167">
        <v>1</v>
      </c>
    </row>
    <row r="1168" spans="1:2" x14ac:dyDescent="0.25">
      <c r="A1168" s="3" t="s">
        <v>3802</v>
      </c>
      <c r="B1168">
        <v>0</v>
      </c>
    </row>
    <row r="1169" spans="1:2" x14ac:dyDescent="0.25">
      <c r="A1169" s="3" t="s">
        <v>4480</v>
      </c>
      <c r="B1169">
        <v>0</v>
      </c>
    </row>
    <row r="1170" spans="1:2" x14ac:dyDescent="0.25">
      <c r="A1170" s="3" t="s">
        <v>3805</v>
      </c>
      <c r="B1170">
        <v>0</v>
      </c>
    </row>
    <row r="1171" spans="1:2" x14ac:dyDescent="0.25">
      <c r="A1171" s="3" t="s">
        <v>3814</v>
      </c>
      <c r="B1171">
        <v>0</v>
      </c>
    </row>
    <row r="1172" spans="1:2" x14ac:dyDescent="0.25">
      <c r="A1172" s="3" t="s">
        <v>3819</v>
      </c>
      <c r="B1172">
        <v>0</v>
      </c>
    </row>
    <row r="1173" spans="1:2" x14ac:dyDescent="0.25">
      <c r="A1173" s="3" t="s">
        <v>4998</v>
      </c>
      <c r="B1173">
        <v>4</v>
      </c>
    </row>
    <row r="1174" spans="1:2" x14ac:dyDescent="0.25">
      <c r="A1174" s="3" t="s">
        <v>5001</v>
      </c>
      <c r="B1174">
        <v>1</v>
      </c>
    </row>
    <row r="1175" spans="1:2" x14ac:dyDescent="0.25">
      <c r="A1175" s="3" t="s">
        <v>3823</v>
      </c>
      <c r="B1175">
        <v>5</v>
      </c>
    </row>
    <row r="1176" spans="1:2" x14ac:dyDescent="0.25">
      <c r="A1176" s="3" t="s">
        <v>3826</v>
      </c>
      <c r="B1176">
        <v>0</v>
      </c>
    </row>
    <row r="1177" spans="1:2" x14ac:dyDescent="0.25">
      <c r="A1177" s="3" t="s">
        <v>3830</v>
      </c>
      <c r="B1177">
        <v>0</v>
      </c>
    </row>
    <row r="1178" spans="1:2" x14ac:dyDescent="0.25">
      <c r="A1178" s="3" t="s">
        <v>3834</v>
      </c>
      <c r="B1178">
        <v>0</v>
      </c>
    </row>
    <row r="1179" spans="1:2" x14ac:dyDescent="0.25">
      <c r="A1179" s="3" t="s">
        <v>5458</v>
      </c>
      <c r="B1179">
        <v>0</v>
      </c>
    </row>
    <row r="1180" spans="1:2" x14ac:dyDescent="0.25">
      <c r="A1180" s="3" t="s">
        <v>3841</v>
      </c>
      <c r="B1180">
        <v>0</v>
      </c>
    </row>
    <row r="1181" spans="1:2" x14ac:dyDescent="0.25">
      <c r="A1181" s="3" t="s">
        <v>5459</v>
      </c>
      <c r="B1181">
        <v>1</v>
      </c>
    </row>
    <row r="1182" spans="1:2" x14ac:dyDescent="0.25">
      <c r="A1182" s="3" t="s">
        <v>3847</v>
      </c>
      <c r="B1182">
        <v>0</v>
      </c>
    </row>
    <row r="1183" spans="1:2" x14ac:dyDescent="0.25">
      <c r="A1183" s="3" t="s">
        <v>5003</v>
      </c>
      <c r="B1183">
        <v>0</v>
      </c>
    </row>
    <row r="1184" spans="1:2" x14ac:dyDescent="0.25">
      <c r="A1184" s="3" t="s">
        <v>5147</v>
      </c>
      <c r="B1184">
        <v>0</v>
      </c>
    </row>
    <row r="1185" spans="1:2" x14ac:dyDescent="0.25">
      <c r="A1185" s="3" t="s">
        <v>3854</v>
      </c>
      <c r="B1185">
        <v>3</v>
      </c>
    </row>
    <row r="1186" spans="1:2" x14ac:dyDescent="0.25">
      <c r="A1186" s="3" t="s">
        <v>5460</v>
      </c>
      <c r="B1186">
        <v>0</v>
      </c>
    </row>
    <row r="1187" spans="1:2" x14ac:dyDescent="0.25">
      <c r="A1187" s="3" t="s">
        <v>5461</v>
      </c>
      <c r="B1187">
        <v>0</v>
      </c>
    </row>
    <row r="1188" spans="1:2" x14ac:dyDescent="0.25">
      <c r="A1188" s="3" t="s">
        <v>3865</v>
      </c>
      <c r="B1188">
        <v>0</v>
      </c>
    </row>
    <row r="1189" spans="1:2" x14ac:dyDescent="0.25">
      <c r="A1189" s="3" t="s">
        <v>5276</v>
      </c>
      <c r="B1189">
        <v>0</v>
      </c>
    </row>
    <row r="1190" spans="1:2" x14ac:dyDescent="0.25">
      <c r="A1190" s="3" t="s">
        <v>5005</v>
      </c>
      <c r="B1190">
        <v>0</v>
      </c>
    </row>
    <row r="1191" spans="1:2" x14ac:dyDescent="0.25">
      <c r="A1191" s="3" t="s">
        <v>3871</v>
      </c>
      <c r="B1191">
        <v>3</v>
      </c>
    </row>
    <row r="1192" spans="1:2" x14ac:dyDescent="0.25">
      <c r="A1192" s="3" t="s">
        <v>5157</v>
      </c>
      <c r="B1192">
        <v>0</v>
      </c>
    </row>
    <row r="1193" spans="1:2" x14ac:dyDescent="0.25">
      <c r="A1193" s="3" t="s">
        <v>3877</v>
      </c>
      <c r="B1193">
        <v>2</v>
      </c>
    </row>
    <row r="1194" spans="1:2" x14ac:dyDescent="0.25">
      <c r="A1194" s="3" t="s">
        <v>3889</v>
      </c>
      <c r="B1194">
        <v>0</v>
      </c>
    </row>
    <row r="1195" spans="1:2" x14ac:dyDescent="0.25">
      <c r="A1195" s="3" t="s">
        <v>3892</v>
      </c>
      <c r="B1195">
        <v>0</v>
      </c>
    </row>
    <row r="1196" spans="1:2" x14ac:dyDescent="0.25">
      <c r="A1196" s="3" t="s">
        <v>3901</v>
      </c>
      <c r="B1196">
        <v>1</v>
      </c>
    </row>
    <row r="1197" spans="1:2" x14ac:dyDescent="0.25">
      <c r="A1197" s="3" t="s">
        <v>3905</v>
      </c>
      <c r="B1197">
        <v>1</v>
      </c>
    </row>
    <row r="1198" spans="1:2" x14ac:dyDescent="0.25">
      <c r="A1198" s="3" t="s">
        <v>5462</v>
      </c>
      <c r="B1198">
        <v>0</v>
      </c>
    </row>
    <row r="1199" spans="1:2" x14ac:dyDescent="0.25">
      <c r="A1199" s="3" t="s">
        <v>3910</v>
      </c>
      <c r="B1199">
        <v>0</v>
      </c>
    </row>
    <row r="1200" spans="1:2" x14ac:dyDescent="0.25">
      <c r="A1200" s="3" t="s">
        <v>5463</v>
      </c>
      <c r="B1200">
        <v>0</v>
      </c>
    </row>
    <row r="1201" spans="1:2" x14ac:dyDescent="0.25">
      <c r="A1201" s="3" t="s">
        <v>5490</v>
      </c>
      <c r="B1201">
        <v>0</v>
      </c>
    </row>
    <row r="1202" spans="1:2" x14ac:dyDescent="0.25">
      <c r="A1202" s="3" t="s">
        <v>3930</v>
      </c>
      <c r="B1202">
        <v>0</v>
      </c>
    </row>
    <row r="1203" spans="1:2" x14ac:dyDescent="0.25">
      <c r="A1203" s="3" t="s">
        <v>5007</v>
      </c>
      <c r="B1203">
        <v>0</v>
      </c>
    </row>
    <row r="1204" spans="1:2" x14ac:dyDescent="0.25">
      <c r="A1204" s="3" t="s">
        <v>6238</v>
      </c>
      <c r="B1204">
        <v>0</v>
      </c>
    </row>
    <row r="1205" spans="1:2" x14ac:dyDescent="0.25">
      <c r="A1205" s="3" t="s">
        <v>5504</v>
      </c>
      <c r="B1205">
        <v>0</v>
      </c>
    </row>
    <row r="1206" spans="1:2" x14ac:dyDescent="0.25">
      <c r="A1206" s="3" t="s">
        <v>3933</v>
      </c>
      <c r="B1206">
        <v>0</v>
      </c>
    </row>
    <row r="1207" spans="1:2" x14ac:dyDescent="0.25">
      <c r="A1207" s="3" t="s">
        <v>5464</v>
      </c>
      <c r="B1207">
        <v>0</v>
      </c>
    </row>
    <row r="1208" spans="1:2" x14ac:dyDescent="0.25">
      <c r="A1208" s="3" t="s">
        <v>3943</v>
      </c>
      <c r="B1208">
        <v>0</v>
      </c>
    </row>
    <row r="1209" spans="1:2" x14ac:dyDescent="0.25">
      <c r="A1209" s="3" t="s">
        <v>3947</v>
      </c>
      <c r="B1209">
        <v>0</v>
      </c>
    </row>
    <row r="1210" spans="1:2" x14ac:dyDescent="0.25">
      <c r="A1210" s="3" t="s">
        <v>3951</v>
      </c>
      <c r="B1210">
        <v>0</v>
      </c>
    </row>
    <row r="1211" spans="1:2" x14ac:dyDescent="0.25">
      <c r="A1211" s="3" t="s">
        <v>5465</v>
      </c>
      <c r="B1211">
        <v>0</v>
      </c>
    </row>
    <row r="1212" spans="1:2" x14ac:dyDescent="0.25">
      <c r="A1212" s="3" t="s">
        <v>5466</v>
      </c>
      <c r="B1212">
        <v>0</v>
      </c>
    </row>
    <row r="1213" spans="1:2" x14ac:dyDescent="0.25">
      <c r="A1213" s="3" t="s">
        <v>3962</v>
      </c>
      <c r="B1213">
        <v>0</v>
      </c>
    </row>
    <row r="1214" spans="1:2" x14ac:dyDescent="0.25">
      <c r="A1214" s="3" t="s">
        <v>5238</v>
      </c>
      <c r="B1214">
        <v>0</v>
      </c>
    </row>
    <row r="1215" spans="1:2" x14ac:dyDescent="0.25">
      <c r="A1215" s="3" t="s">
        <v>3965</v>
      </c>
      <c r="B1215">
        <v>1</v>
      </c>
    </row>
    <row r="1216" spans="1:2" x14ac:dyDescent="0.25">
      <c r="A1216" s="3" t="s">
        <v>5009</v>
      </c>
      <c r="B1216">
        <v>0</v>
      </c>
    </row>
    <row r="1217" spans="1:2" x14ac:dyDescent="0.25">
      <c r="A1217" s="3" t="s">
        <v>3972</v>
      </c>
      <c r="B1217">
        <v>0</v>
      </c>
    </row>
    <row r="1218" spans="1:2" x14ac:dyDescent="0.25">
      <c r="A1218" s="3" t="s">
        <v>3977</v>
      </c>
      <c r="B1218">
        <v>1</v>
      </c>
    </row>
    <row r="1219" spans="1:2" x14ac:dyDescent="0.25">
      <c r="A1219" s="3" t="s">
        <v>3980</v>
      </c>
      <c r="B1219">
        <v>0</v>
      </c>
    </row>
    <row r="1220" spans="1:2" x14ac:dyDescent="0.25">
      <c r="A1220" s="3" t="s">
        <v>6244</v>
      </c>
      <c r="B1220">
        <v>0</v>
      </c>
    </row>
    <row r="1221" spans="1:2" x14ac:dyDescent="0.25">
      <c r="A1221" s="3" t="s">
        <v>5487</v>
      </c>
      <c r="B1221">
        <v>0</v>
      </c>
    </row>
    <row r="1222" spans="1:2" x14ac:dyDescent="0.25">
      <c r="A1222" s="3" t="s">
        <v>5112</v>
      </c>
      <c r="B1222">
        <v>0</v>
      </c>
    </row>
    <row r="1223" spans="1:2" x14ac:dyDescent="0.25">
      <c r="A1223" s="3" t="s">
        <v>5011</v>
      </c>
      <c r="B1223">
        <v>0</v>
      </c>
    </row>
    <row r="1224" spans="1:2" x14ac:dyDescent="0.25">
      <c r="A1224" s="3" t="s">
        <v>3991</v>
      </c>
      <c r="B1224">
        <v>0</v>
      </c>
    </row>
    <row r="1225" spans="1:2" x14ac:dyDescent="0.25">
      <c r="A1225" s="3" t="s">
        <v>3994</v>
      </c>
      <c r="B1225">
        <v>10</v>
      </c>
    </row>
    <row r="1226" spans="1:2" x14ac:dyDescent="0.25">
      <c r="A1226" s="3" t="s">
        <v>5240</v>
      </c>
      <c r="B1226">
        <v>0</v>
      </c>
    </row>
    <row r="1227" spans="1:2" x14ac:dyDescent="0.25">
      <c r="A1227" s="3" t="s">
        <v>5113</v>
      </c>
      <c r="B1227">
        <v>1</v>
      </c>
    </row>
    <row r="1228" spans="1:2" x14ac:dyDescent="0.25">
      <c r="A1228" s="3" t="s">
        <v>5467</v>
      </c>
      <c r="B1228">
        <v>0</v>
      </c>
    </row>
    <row r="1229" spans="1:2" x14ac:dyDescent="0.25">
      <c r="A1229" s="3" t="s">
        <v>5244</v>
      </c>
      <c r="B1229">
        <v>5</v>
      </c>
    </row>
    <row r="1230" spans="1:2" x14ac:dyDescent="0.25">
      <c r="A1230" s="3" t="s">
        <v>5013</v>
      </c>
      <c r="B1230">
        <v>0</v>
      </c>
    </row>
    <row r="1231" spans="1:2" x14ac:dyDescent="0.25">
      <c r="A1231" s="3" t="s">
        <v>4011</v>
      </c>
      <c r="B1231">
        <v>0</v>
      </c>
    </row>
    <row r="1232" spans="1:2" x14ac:dyDescent="0.25">
      <c r="A1232" s="3" t="s">
        <v>5468</v>
      </c>
      <c r="B1232">
        <v>0</v>
      </c>
    </row>
    <row r="1233" spans="1:2" x14ac:dyDescent="0.25">
      <c r="A1233" s="3" t="s">
        <v>5161</v>
      </c>
      <c r="B1233">
        <v>0</v>
      </c>
    </row>
    <row r="1234" spans="1:2" x14ac:dyDescent="0.25">
      <c r="A1234" s="3" t="s">
        <v>4022</v>
      </c>
      <c r="B1234">
        <v>0</v>
      </c>
    </row>
    <row r="1235" spans="1:2" x14ac:dyDescent="0.25">
      <c r="A1235" s="3" t="s">
        <v>4026</v>
      </c>
      <c r="B1235">
        <v>3</v>
      </c>
    </row>
    <row r="1236" spans="1:2" x14ac:dyDescent="0.25">
      <c r="A1236" s="3" t="s">
        <v>5469</v>
      </c>
      <c r="B1236">
        <v>0</v>
      </c>
    </row>
    <row r="1237" spans="1:2" x14ac:dyDescent="0.25">
      <c r="A1237" s="3" t="s">
        <v>4035</v>
      </c>
      <c r="B1237">
        <v>0</v>
      </c>
    </row>
    <row r="1238" spans="1:2" x14ac:dyDescent="0.25">
      <c r="A1238" s="3" t="s">
        <v>4040</v>
      </c>
      <c r="B1238">
        <v>1</v>
      </c>
    </row>
    <row r="1239" spans="1:2" x14ac:dyDescent="0.25">
      <c r="A1239" s="3" t="s">
        <v>5114</v>
      </c>
      <c r="B1239">
        <v>0</v>
      </c>
    </row>
    <row r="1240" spans="1:2" x14ac:dyDescent="0.25">
      <c r="A1240" s="3" t="s">
        <v>4051</v>
      </c>
      <c r="B1240">
        <v>0</v>
      </c>
    </row>
    <row r="1241" spans="1:2" x14ac:dyDescent="0.25">
      <c r="A1241" s="3" t="s">
        <v>5488</v>
      </c>
      <c r="B1241">
        <v>0</v>
      </c>
    </row>
    <row r="1242" spans="1:2" x14ac:dyDescent="0.25">
      <c r="A1242" s="3" t="s">
        <v>5015</v>
      </c>
      <c r="B1242">
        <v>0</v>
      </c>
    </row>
    <row r="1243" spans="1:2" x14ac:dyDescent="0.25">
      <c r="A1243" s="3" t="s">
        <v>5115</v>
      </c>
      <c r="B1243">
        <v>1</v>
      </c>
    </row>
    <row r="1244" spans="1:2" x14ac:dyDescent="0.25">
      <c r="A1244" s="3" t="s">
        <v>6247</v>
      </c>
      <c r="B1244">
        <v>0</v>
      </c>
    </row>
    <row r="1245" spans="1:2" x14ac:dyDescent="0.25">
      <c r="A1245" s="3" t="s">
        <v>4070</v>
      </c>
      <c r="B1245">
        <v>1</v>
      </c>
    </row>
    <row r="1246" spans="1:2" x14ac:dyDescent="0.25">
      <c r="A1246" s="3" t="s">
        <v>4081</v>
      </c>
      <c r="B1246">
        <v>0</v>
      </c>
    </row>
    <row r="1247" spans="1:2" x14ac:dyDescent="0.25">
      <c r="A1247" s="3" t="s">
        <v>5470</v>
      </c>
      <c r="B1247">
        <v>0</v>
      </c>
    </row>
    <row r="1248" spans="1:2" x14ac:dyDescent="0.25">
      <c r="A1248" s="3" t="s">
        <v>5471</v>
      </c>
      <c r="B1248">
        <v>3</v>
      </c>
    </row>
    <row r="1249" spans="1:2" x14ac:dyDescent="0.25">
      <c r="A1249" s="3" t="s">
        <v>4096</v>
      </c>
      <c r="B1249">
        <v>0</v>
      </c>
    </row>
    <row r="1250" spans="1:2" x14ac:dyDescent="0.25">
      <c r="A1250" s="3" t="s">
        <v>5116</v>
      </c>
      <c r="B1250">
        <v>2</v>
      </c>
    </row>
    <row r="1251" spans="1:2" x14ac:dyDescent="0.25">
      <c r="A1251" s="3" t="s">
        <v>5472</v>
      </c>
      <c r="B1251">
        <v>0</v>
      </c>
    </row>
    <row r="1252" spans="1:2" x14ac:dyDescent="0.25">
      <c r="A1252" s="3" t="s">
        <v>5158</v>
      </c>
      <c r="B1252">
        <v>0</v>
      </c>
    </row>
    <row r="1253" spans="1:2" x14ac:dyDescent="0.25">
      <c r="A1253" s="3" t="s">
        <v>5473</v>
      </c>
      <c r="B1253">
        <v>0</v>
      </c>
    </row>
    <row r="1254" spans="1:2" x14ac:dyDescent="0.25">
      <c r="A1254" s="3" t="s">
        <v>4107</v>
      </c>
      <c r="B1254">
        <v>0</v>
      </c>
    </row>
    <row r="1255" spans="1:2" x14ac:dyDescent="0.25">
      <c r="A1255" s="3" t="s">
        <v>5017</v>
      </c>
      <c r="B1255">
        <v>3</v>
      </c>
    </row>
    <row r="1256" spans="1:2" x14ac:dyDescent="0.25">
      <c r="A1256" s="3" t="s">
        <v>4116</v>
      </c>
      <c r="B1256">
        <v>0</v>
      </c>
    </row>
    <row r="1257" spans="1:2" x14ac:dyDescent="0.25">
      <c r="A1257" s="3" t="s">
        <v>5019</v>
      </c>
      <c r="B1257">
        <v>0</v>
      </c>
    </row>
    <row r="1258" spans="1:2" x14ac:dyDescent="0.25">
      <c r="A1258" s="3" t="s">
        <v>4120</v>
      </c>
      <c r="B1258">
        <v>0</v>
      </c>
    </row>
    <row r="1259" spans="1:2" x14ac:dyDescent="0.25">
      <c r="A1259" s="3" t="s">
        <v>4123</v>
      </c>
      <c r="B1259">
        <v>0</v>
      </c>
    </row>
    <row r="1260" spans="1:2" x14ac:dyDescent="0.25">
      <c r="A1260" s="3" t="s">
        <v>5117</v>
      </c>
      <c r="B1260">
        <v>0</v>
      </c>
    </row>
    <row r="1261" spans="1:2" x14ac:dyDescent="0.25">
      <c r="A1261" s="3" t="s">
        <v>4128</v>
      </c>
      <c r="B1261">
        <v>13</v>
      </c>
    </row>
    <row r="1262" spans="1:2" x14ac:dyDescent="0.25">
      <c r="A1262" s="3" t="s">
        <v>4550</v>
      </c>
      <c r="B1262">
        <v>1</v>
      </c>
    </row>
    <row r="1263" spans="1:2" x14ac:dyDescent="0.25">
      <c r="A1263" s="3" t="s">
        <v>4138</v>
      </c>
      <c r="B1263">
        <v>3</v>
      </c>
    </row>
    <row r="1264" spans="1:2" x14ac:dyDescent="0.25">
      <c r="A1264" s="3" t="s">
        <v>4142</v>
      </c>
      <c r="B1264">
        <v>0</v>
      </c>
    </row>
    <row r="1265" spans="1:2" x14ac:dyDescent="0.25">
      <c r="A1265" s="3" t="s">
        <v>4146</v>
      </c>
      <c r="B1265">
        <v>0</v>
      </c>
    </row>
    <row r="1266" spans="1:2" x14ac:dyDescent="0.25">
      <c r="A1266" s="3" t="s">
        <v>5475</v>
      </c>
      <c r="B1266">
        <v>0</v>
      </c>
    </row>
    <row r="1267" spans="1:2" x14ac:dyDescent="0.25">
      <c r="A1267" s="3" t="s">
        <v>5476</v>
      </c>
      <c r="B1267">
        <v>0</v>
      </c>
    </row>
    <row r="1268" spans="1:2" x14ac:dyDescent="0.25">
      <c r="A1268" s="3" t="s">
        <v>5474</v>
      </c>
      <c r="B1268">
        <v>1</v>
      </c>
    </row>
    <row r="1269" spans="1:2" x14ac:dyDescent="0.25">
      <c r="A1269" s="3" t="s">
        <v>4156</v>
      </c>
      <c r="B1269">
        <v>0</v>
      </c>
    </row>
    <row r="1270" spans="1:2" x14ac:dyDescent="0.25">
      <c r="A1270" s="3" t="s">
        <v>4159</v>
      </c>
      <c r="B1270">
        <v>0</v>
      </c>
    </row>
    <row r="1271" spans="1:2" x14ac:dyDescent="0.25">
      <c r="A1271" s="3" t="s">
        <v>4163</v>
      </c>
      <c r="B1271">
        <v>1</v>
      </c>
    </row>
    <row r="1272" spans="1:2" x14ac:dyDescent="0.25">
      <c r="A1272" s="3" t="s">
        <v>5162</v>
      </c>
      <c r="B1272">
        <v>2</v>
      </c>
    </row>
    <row r="1273" spans="1:2" x14ac:dyDescent="0.25">
      <c r="A1273" s="3" t="s">
        <v>5021</v>
      </c>
      <c r="B1273">
        <v>3</v>
      </c>
    </row>
    <row r="1274" spans="1:2" x14ac:dyDescent="0.25">
      <c r="A1274" s="3" t="s">
        <v>4170</v>
      </c>
      <c r="B1274">
        <v>5</v>
      </c>
    </row>
    <row r="1275" spans="1:2" x14ac:dyDescent="0.25">
      <c r="A1275" s="3" t="s">
        <v>5023</v>
      </c>
      <c r="B1275">
        <v>2</v>
      </c>
    </row>
    <row r="1276" spans="1:2" x14ac:dyDescent="0.25">
      <c r="A1276" s="3" t="s">
        <v>4174</v>
      </c>
      <c r="B1276">
        <v>0</v>
      </c>
    </row>
    <row r="1277" spans="1:2" x14ac:dyDescent="0.25">
      <c r="A1277" s="3" t="s">
        <v>4177</v>
      </c>
      <c r="B1277">
        <v>1</v>
      </c>
    </row>
    <row r="1278" spans="1:2" x14ac:dyDescent="0.25">
      <c r="A1278" s="3" t="s">
        <v>6250</v>
      </c>
      <c r="B1278">
        <v>0</v>
      </c>
    </row>
    <row r="1279" spans="1:2" x14ac:dyDescent="0.25">
      <c r="A1279" s="3" t="s">
        <v>5025</v>
      </c>
      <c r="B1279">
        <v>0</v>
      </c>
    </row>
    <row r="1280" spans="1:2" x14ac:dyDescent="0.25">
      <c r="A1280" s="3" t="s">
        <v>5477</v>
      </c>
      <c r="B1280">
        <v>0</v>
      </c>
    </row>
    <row r="1281" spans="1:2" x14ac:dyDescent="0.25">
      <c r="A1281" s="3" t="s">
        <v>4184</v>
      </c>
      <c r="B1281">
        <v>0</v>
      </c>
    </row>
    <row r="1282" spans="1:2" x14ac:dyDescent="0.25">
      <c r="A1282" s="3" t="s">
        <v>4188</v>
      </c>
      <c r="B1282">
        <v>0</v>
      </c>
    </row>
    <row r="1283" spans="1:2" x14ac:dyDescent="0.25">
      <c r="A1283" s="3" t="s">
        <v>4192</v>
      </c>
      <c r="B1283">
        <v>1</v>
      </c>
    </row>
    <row r="1284" spans="1:2" x14ac:dyDescent="0.25">
      <c r="A1284" s="3" t="s">
        <v>5027</v>
      </c>
      <c r="B1284">
        <v>0</v>
      </c>
    </row>
    <row r="1285" spans="1:2" x14ac:dyDescent="0.25">
      <c r="A1285" s="3" t="s">
        <v>6254</v>
      </c>
      <c r="B1285">
        <v>3</v>
      </c>
    </row>
    <row r="1286" spans="1:2" x14ac:dyDescent="0.25">
      <c r="A1286" s="3" t="s">
        <v>5029</v>
      </c>
      <c r="B1286">
        <v>3</v>
      </c>
    </row>
    <row r="1287" spans="1:2" x14ac:dyDescent="0.25">
      <c r="A1287" s="3" t="s">
        <v>4195</v>
      </c>
      <c r="B1287">
        <v>0</v>
      </c>
    </row>
    <row r="1288" spans="1:2" x14ac:dyDescent="0.25">
      <c r="A1288" s="3" t="s">
        <v>4199</v>
      </c>
      <c r="B1288">
        <v>0</v>
      </c>
    </row>
    <row r="1289" spans="1:2" x14ac:dyDescent="0.25">
      <c r="A1289" s="3" t="s">
        <v>4202</v>
      </c>
      <c r="B1289">
        <v>1</v>
      </c>
    </row>
    <row r="1290" spans="1:2" x14ac:dyDescent="0.25">
      <c r="A1290" s="3" t="s">
        <v>5120</v>
      </c>
      <c r="B1290">
        <v>0</v>
      </c>
    </row>
    <row r="1291" spans="1:2" x14ac:dyDescent="0.25">
      <c r="A1291" s="3" t="s">
        <v>5119</v>
      </c>
      <c r="B1291">
        <v>0</v>
      </c>
    </row>
    <row r="1292" spans="1:2" x14ac:dyDescent="0.25">
      <c r="A1292" s="3" t="s">
        <v>4216</v>
      </c>
      <c r="B1292">
        <v>5</v>
      </c>
    </row>
    <row r="1293" spans="1:2" x14ac:dyDescent="0.25">
      <c r="A1293" s="3" t="s">
        <v>4226</v>
      </c>
      <c r="B1293">
        <v>0</v>
      </c>
    </row>
    <row r="1294" spans="1:2" x14ac:dyDescent="0.25">
      <c r="A1294" s="3" t="s">
        <v>5478</v>
      </c>
      <c r="B1294">
        <v>0</v>
      </c>
    </row>
    <row r="1295" spans="1:2" x14ac:dyDescent="0.25">
      <c r="A1295" s="3" t="s">
        <v>4233</v>
      </c>
      <c r="B1295">
        <v>1</v>
      </c>
    </row>
    <row r="1296" spans="1:2" x14ac:dyDescent="0.25">
      <c r="A1296" s="3" t="s">
        <v>5159</v>
      </c>
      <c r="B1296">
        <v>0</v>
      </c>
    </row>
    <row r="1297" spans="1:2" x14ac:dyDescent="0.25">
      <c r="A1297" s="3" t="s">
        <v>5032</v>
      </c>
      <c r="B1297">
        <v>0</v>
      </c>
    </row>
    <row r="1298" spans="1:2" x14ac:dyDescent="0.25">
      <c r="A1298" s="3" t="s">
        <v>4240</v>
      </c>
      <c r="B1298">
        <v>1</v>
      </c>
    </row>
    <row r="1299" spans="1:2" x14ac:dyDescent="0.25">
      <c r="A1299" s="3" t="s">
        <v>5034</v>
      </c>
      <c r="B1299">
        <v>9</v>
      </c>
    </row>
    <row r="1300" spans="1:2" x14ac:dyDescent="0.25">
      <c r="A1300" s="3" t="s">
        <v>5122</v>
      </c>
      <c r="B1300">
        <v>2</v>
      </c>
    </row>
    <row r="1301" spans="1:2" x14ac:dyDescent="0.25">
      <c r="A1301" s="3" t="s">
        <v>5492</v>
      </c>
      <c r="B1301">
        <v>0</v>
      </c>
    </row>
    <row r="1302" spans="1:2" x14ac:dyDescent="0.25">
      <c r="A1302" s="3" t="s">
        <v>5121</v>
      </c>
      <c r="B1302">
        <v>2</v>
      </c>
    </row>
    <row r="1303" spans="1:2" x14ac:dyDescent="0.25">
      <c r="A1303" s="3" t="s">
        <v>5479</v>
      </c>
      <c r="B1303">
        <v>0</v>
      </c>
    </row>
    <row r="1304" spans="1:2" x14ac:dyDescent="0.25">
      <c r="A1304" s="3" t="s">
        <v>4255</v>
      </c>
      <c r="B1304">
        <v>6</v>
      </c>
    </row>
    <row r="1305" spans="1:2" x14ac:dyDescent="0.25">
      <c r="A1305" s="3" t="s">
        <v>4261</v>
      </c>
      <c r="B1305">
        <v>0</v>
      </c>
    </row>
    <row r="1306" spans="1:2" x14ac:dyDescent="0.25">
      <c r="A1306" s="3" t="s">
        <v>4264</v>
      </c>
      <c r="B1306">
        <v>8</v>
      </c>
    </row>
    <row r="1307" spans="1:2" x14ac:dyDescent="0.25">
      <c r="A1307" s="3" t="s">
        <v>4268</v>
      </c>
      <c r="B1307">
        <v>1</v>
      </c>
    </row>
    <row r="1308" spans="1:2" x14ac:dyDescent="0.25">
      <c r="A1308" s="3" t="s">
        <v>4271</v>
      </c>
      <c r="B1308">
        <v>0</v>
      </c>
    </row>
    <row r="1309" spans="1:2" x14ac:dyDescent="0.25">
      <c r="A1309" s="3" t="s">
        <v>4275</v>
      </c>
      <c r="B1309">
        <v>0</v>
      </c>
    </row>
    <row r="1310" spans="1:2" x14ac:dyDescent="0.25">
      <c r="A1310" s="3" t="s">
        <v>4279</v>
      </c>
      <c r="B1310">
        <v>9</v>
      </c>
    </row>
    <row r="1311" spans="1:2" x14ac:dyDescent="0.25">
      <c r="A1311" s="3" t="s">
        <v>5480</v>
      </c>
      <c r="B1311">
        <v>0</v>
      </c>
    </row>
    <row r="1312" spans="1:2" x14ac:dyDescent="0.25">
      <c r="A1312" s="3" t="s">
        <v>4292</v>
      </c>
      <c r="B1312">
        <v>2</v>
      </c>
    </row>
    <row r="1313" spans="1:2" x14ac:dyDescent="0.25">
      <c r="A1313" s="3" t="s">
        <v>4296</v>
      </c>
      <c r="B1313">
        <v>0</v>
      </c>
    </row>
    <row r="1314" spans="1:2" x14ac:dyDescent="0.25">
      <c r="A1314" s="3" t="s">
        <v>4301</v>
      </c>
      <c r="B1314">
        <v>0</v>
      </c>
    </row>
    <row r="1315" spans="1:2" x14ac:dyDescent="0.25">
      <c r="A1315" s="3" t="s">
        <v>4425</v>
      </c>
      <c r="B1315">
        <v>1030</v>
      </c>
    </row>
  </sheetData>
  <sortState xmlns:xlrd2="http://schemas.microsoft.com/office/spreadsheetml/2017/richdata2" ref="P15:Q26">
    <sortCondition ref="P14:P2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7FD2BC003D584BB21DD38425BC03A1" ma:contentTypeVersion="3" ma:contentTypeDescription="Create a new document." ma:contentTypeScope="" ma:versionID="a13558884cf16fe63c45b09ba0b177fe">
  <xsd:schema xmlns:xsd="http://www.w3.org/2001/XMLSchema" xmlns:xs="http://www.w3.org/2001/XMLSchema" xmlns:p="http://schemas.microsoft.com/office/2006/metadata/properties" xmlns:ns2="f9abba5c-c6ac-40f6-9bce-df6fe0d5849d" targetNamespace="http://schemas.microsoft.com/office/2006/metadata/properties" ma:root="true" ma:fieldsID="024070713647e44e29b9722142610afe" ns2:_="">
    <xsd:import namespace="f9abba5c-c6ac-40f6-9bce-df6fe0d5849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abba5c-c6ac-40f6-9bce-df6fe0d58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91047A-C02A-4E84-871D-D7225EF89E2B}">
  <ds:schemaRefs>
    <ds:schemaRef ds:uri="http://www.w3.org/XML/1998/namespace"/>
    <ds:schemaRef ds:uri="http://schemas.microsoft.com/office/2006/metadata/properties"/>
    <ds:schemaRef ds:uri="http://schemas.microsoft.com/office/2006/documentManagement/types"/>
    <ds:schemaRef ds:uri="http://purl.org/dc/elements/1.1/"/>
    <ds:schemaRef ds:uri="http://purl.org/dc/dcmitype/"/>
    <ds:schemaRef ds:uri="f9abba5c-c6ac-40f6-9bce-df6fe0d5849d"/>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A77A8A78-9D36-4B8B-A4A9-1F8C5EEAC9B3}">
  <ds:schemaRefs>
    <ds:schemaRef ds:uri="http://schemas.microsoft.com/sharepoint/v3/contenttype/forms"/>
  </ds:schemaRefs>
</ds:datastoreItem>
</file>

<file path=customXml/itemProps3.xml><?xml version="1.0" encoding="utf-8"?>
<ds:datastoreItem xmlns:ds="http://schemas.openxmlformats.org/officeDocument/2006/customXml" ds:itemID="{35F2AAEB-79B0-4B2F-B6DE-12DDC1AE69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abba5c-c6ac-40f6-9bce-df6fe0d58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vt:lpstr>
      <vt:lpstr>TECH - 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Noah Kornberg</cp:lastModifiedBy>
  <dcterms:created xsi:type="dcterms:W3CDTF">2025-06-27T18:01:58Z</dcterms:created>
  <dcterms:modified xsi:type="dcterms:W3CDTF">2025-08-18T18:27:10Z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0x0101005F7FD2BC003D584BB21DD38425BC03A1</vt:lpwstr>
  </property>
</Properties>
</file>