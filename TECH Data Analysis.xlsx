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hidePivotFieldList="1"/>
  <mc:AlternateContent xmlns:mc="http://schemas.openxmlformats.org/markup-compatibility/2006">
    <mc:Choice Requires="x15">
      <x15ac:absPath xmlns:x15ac="http://schemas.microsoft.com/office/spreadsheetml/2010/11/ac" url="https://d.docs.live.net/cd089068972272aa/Desktop/Project Jayce/CIHR/"/>
    </mc:Choice>
  </mc:AlternateContent>
  <xr:revisionPtr revIDLastSave="0" documentId="8_{4FB97DAC-CEC6-4719-BDAB-725F72D04B93}" xr6:coauthVersionLast="47" xr6:coauthVersionMax="47" xr10:uidLastSave="{00000000-0000-0000-0000-000000000000}"/>
  <bookViews>
    <workbookView xWindow="-120" yWindow="-120" windowWidth="29040" windowHeight="15720" activeTab="1" xr2:uid="{09E673F7-5294-324E-A1A7-47D27B312160}"/>
  </bookViews>
  <sheets>
    <sheet name="TECH" sheetId="5" r:id="rId1"/>
    <sheet name="TECH Data Analysis" sheetId="4" r:id="rId2"/>
    <sheet name="TECH - Data Analysis" sheetId="2" r:id="rId3"/>
  </sheets>
  <definedNames>
    <definedName name="_xlnm._FilterDatabase" localSheetId="0" hidden="1">TECH!$A$1:$R$1755</definedName>
    <definedName name="_xlnm._FilterDatabase" localSheetId="1" hidden="1">'TECH Data Analysis'!#REF!</definedName>
  </definedNames>
  <calcPr calcId="191028"/>
  <pivotCaches>
    <pivotCache cacheId="0"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5" i="2" l="1"/>
  <c r="S4" i="4"/>
  <c r="S6" i="4"/>
  <c r="S6" i="2"/>
  <c r="S4" i="2"/>
  <c r="S16" i="4" l="1"/>
  <c r="S28" i="4"/>
  <c r="S23" i="4"/>
  <c r="S31" i="4"/>
  <c r="S9" i="4"/>
  <c r="S10" i="4"/>
  <c r="S27" i="4"/>
  <c r="S29" i="4"/>
  <c r="S19" i="4"/>
  <c r="S8" i="4"/>
  <c r="S25" i="4"/>
  <c r="S13" i="4"/>
  <c r="S32" i="4"/>
  <c r="S15" i="4"/>
  <c r="S18" i="4"/>
  <c r="S5" i="4"/>
  <c r="S24" i="4"/>
  <c r="S22" i="4"/>
  <c r="S7" i="4"/>
  <c r="S14" i="4"/>
  <c r="S11" i="4"/>
  <c r="S21" i="4"/>
  <c r="S30" i="4"/>
  <c r="S26" i="4"/>
  <c r="S17" i="4"/>
  <c r="S20" i="4"/>
  <c r="S3" i="4"/>
  <c r="S12" i="4"/>
  <c r="S2" i="4"/>
  <c r="S7" i="2" l="1"/>
  <c r="F80" i="2"/>
  <c r="E80" i="2"/>
  <c r="F84" i="2"/>
  <c r="G84" i="2" s="1"/>
  <c r="F85" i="2"/>
  <c r="G85" i="2" s="1"/>
  <c r="F83" i="2"/>
  <c r="G83" i="2" s="1"/>
  <c r="F56" i="2"/>
  <c r="H9" i="2"/>
  <c r="M58" i="2"/>
  <c r="M56" i="2"/>
  <c r="M52" i="2" s="1"/>
  <c r="F64" i="2"/>
  <c r="T56" i="2"/>
  <c r="T52" i="2" s="1"/>
  <c r="T57" i="2"/>
  <c r="T58" i="2"/>
  <c r="T59" i="2"/>
  <c r="T60" i="2"/>
  <c r="T61" i="2"/>
  <c r="T62" i="2"/>
  <c r="T63" i="2"/>
  <c r="T64" i="2"/>
  <c r="T65" i="2"/>
  <c r="T69" i="2"/>
  <c r="T70" i="2"/>
  <c r="T71" i="2"/>
  <c r="T72" i="2"/>
  <c r="T73" i="2"/>
  <c r="T74" i="2"/>
  <c r="T75" i="2"/>
  <c r="T76" i="2"/>
  <c r="T68" i="2"/>
  <c r="M57" i="2"/>
  <c r="M69" i="2"/>
  <c r="M70" i="2"/>
  <c r="M71" i="2"/>
  <c r="M72" i="2"/>
  <c r="M73" i="2"/>
  <c r="M74" i="2"/>
  <c r="M75" i="2"/>
  <c r="M76" i="2"/>
  <c r="M68" i="2"/>
  <c r="M59" i="2"/>
  <c r="M60" i="2"/>
  <c r="M61" i="2"/>
  <c r="M62" i="2"/>
  <c r="M63" i="2"/>
  <c r="M64" i="2"/>
  <c r="M65" i="2"/>
  <c r="F57" i="2"/>
  <c r="F58" i="2"/>
  <c r="F59" i="2"/>
  <c r="F60" i="2"/>
  <c r="F61" i="2"/>
  <c r="F62" i="2"/>
  <c r="F63" i="2"/>
  <c r="F65" i="2"/>
  <c r="F68" i="2"/>
  <c r="F69" i="2"/>
  <c r="F70" i="2"/>
  <c r="F71" i="2"/>
  <c r="F72" i="2"/>
  <c r="F73" i="2"/>
  <c r="F74" i="2"/>
  <c r="F75" i="2"/>
  <c r="F76" i="2"/>
  <c r="F52" i="2"/>
  <c r="G34" i="2"/>
  <c r="G35" i="2"/>
  <c r="G36" i="2"/>
  <c r="G37" i="2"/>
  <c r="G38" i="2"/>
  <c r="G39" i="2"/>
  <c r="G40" i="2"/>
  <c r="G41" i="2"/>
  <c r="G42" i="2"/>
  <c r="G43" i="2"/>
  <c r="G44" i="2"/>
  <c r="G45" i="2"/>
  <c r="G46" i="2"/>
  <c r="G33" i="2"/>
  <c r="C34" i="2"/>
  <c r="C35" i="2"/>
  <c r="C36" i="2"/>
  <c r="C37" i="2"/>
  <c r="C38" i="2"/>
  <c r="C39" i="2"/>
  <c r="C40" i="2"/>
  <c r="C41" i="2"/>
  <c r="C42" i="2"/>
  <c r="C43" i="2"/>
  <c r="C33" i="2"/>
  <c r="H21" i="2"/>
  <c r="C18" i="2"/>
  <c r="C3" i="2"/>
  <c r="H29" i="2"/>
  <c r="H16" i="2"/>
  <c r="H27" i="2"/>
  <c r="H28" i="2"/>
  <c r="H26" i="2"/>
  <c r="H25" i="2"/>
  <c r="H24" i="2"/>
  <c r="H23" i="2"/>
  <c r="H22" i="2"/>
  <c r="H20" i="2"/>
  <c r="H19" i="2"/>
  <c r="H18" i="2"/>
  <c r="H17" i="2"/>
  <c r="H4" i="2"/>
  <c r="H5" i="2"/>
  <c r="H6" i="2"/>
  <c r="H7" i="2"/>
  <c r="H8" i="2"/>
  <c r="H10" i="2"/>
  <c r="I10" i="2" s="1"/>
  <c r="H11" i="2"/>
  <c r="H12" i="2"/>
  <c r="I12" i="2" s="1"/>
  <c r="H13" i="2"/>
  <c r="I13" i="2" s="1"/>
  <c r="H3" i="2"/>
  <c r="T66" i="2" l="1"/>
  <c r="U62" i="2" s="1"/>
  <c r="F66" i="2"/>
  <c r="G61" i="2" s="1"/>
  <c r="I6" i="2"/>
  <c r="I25" i="2"/>
  <c r="I5" i="2"/>
  <c r="I26" i="2"/>
  <c r="I3" i="2"/>
  <c r="I4" i="2"/>
  <c r="M66" i="2"/>
  <c r="N62" i="2" s="1"/>
  <c r="I9" i="2"/>
  <c r="I8" i="2"/>
  <c r="I11" i="2"/>
  <c r="I7" i="2"/>
  <c r="I24" i="2"/>
  <c r="I28" i="2"/>
  <c r="I27" i="2"/>
  <c r="I17" i="2"/>
  <c r="I19" i="2"/>
  <c r="I29" i="2"/>
  <c r="I20" i="2"/>
  <c r="I22" i="2"/>
  <c r="I18" i="2"/>
  <c r="I16" i="2"/>
  <c r="I23" i="2"/>
  <c r="I21" i="2"/>
  <c r="N61" i="2" l="1"/>
  <c r="N59" i="2"/>
  <c r="N63" i="2"/>
  <c r="U65" i="2"/>
  <c r="U57" i="2"/>
  <c r="U59" i="2"/>
  <c r="U63" i="2"/>
  <c r="U64" i="2"/>
  <c r="G60" i="2"/>
  <c r="G65" i="2"/>
  <c r="G58" i="2"/>
  <c r="E52" i="2"/>
  <c r="G64" i="2"/>
  <c r="N57" i="2"/>
  <c r="G59" i="2"/>
  <c r="N56" i="2"/>
  <c r="G62" i="2"/>
  <c r="L52" i="2"/>
  <c r="N65" i="2"/>
  <c r="U60" i="2"/>
  <c r="G57" i="2"/>
  <c r="N64" i="2"/>
  <c r="N66" i="2"/>
  <c r="G63" i="2"/>
  <c r="N60" i="2"/>
  <c r="N58" i="2"/>
  <c r="U61" i="2"/>
  <c r="G66" i="2"/>
  <c r="G56" i="2"/>
  <c r="U58" i="2"/>
  <c r="U56" i="2"/>
  <c r="U66" i="2"/>
  <c r="S52" i="2"/>
  <c r="E53" i="2" l="1"/>
  <c r="F53" i="2"/>
  <c r="L53" i="2"/>
  <c r="M53" i="2"/>
  <c r="S53" i="2"/>
  <c r="T53" i="2"/>
  <c r="C17" i="2" l="1"/>
  <c r="C19" i="2"/>
  <c r="C20" i="2"/>
  <c r="C21" i="2"/>
  <c r="C22" i="2"/>
  <c r="C23" i="2"/>
  <c r="C24" i="2"/>
  <c r="C25" i="2"/>
  <c r="C26" i="2"/>
  <c r="C27" i="2"/>
  <c r="C28" i="2"/>
  <c r="C29" i="2"/>
  <c r="C16" i="2"/>
  <c r="C8" i="2"/>
  <c r="C4" i="2"/>
  <c r="C5" i="2"/>
  <c r="C6" i="2"/>
  <c r="C7" i="2"/>
  <c r="C9" i="2"/>
  <c r="C10" i="2"/>
  <c r="C11" i="2"/>
  <c r="C12" i="2"/>
  <c r="C13" i="2"/>
</calcChain>
</file>

<file path=xl/sharedStrings.xml><?xml version="1.0" encoding="utf-8"?>
<sst xmlns="http://schemas.openxmlformats.org/spreadsheetml/2006/main" count="24794" uniqueCount="4923">
  <si>
    <t>Name</t>
  </si>
  <si>
    <t>Institution_Paid</t>
  </si>
  <si>
    <t>Provinces</t>
  </si>
  <si>
    <t>Program_Name</t>
  </si>
  <si>
    <t>Competition_CD</t>
  </si>
  <si>
    <t>PRC_Name</t>
  </si>
  <si>
    <t>Project_Title</t>
  </si>
  <si>
    <t>CIHR_Contribution</t>
  </si>
  <si>
    <t>CIHR_Equipment</t>
  </si>
  <si>
    <t>Primary_Institute</t>
  </si>
  <si>
    <t>Funding_Start</t>
  </si>
  <si>
    <t>Patents</t>
  </si>
  <si>
    <t>title_keywords</t>
  </si>
  <si>
    <t>Sage, Andrew T</t>
  </si>
  <si>
    <t>University Health Network (Toronto)</t>
  </si>
  <si>
    <t>Ontario</t>
  </si>
  <si>
    <t>Project Grant</t>
  </si>
  <si>
    <t>202309PJT</t>
  </si>
  <si>
    <t>Biomedical Engineering</t>
  </si>
  <si>
    <t>'Smart Ventilation' - Novel Real-Time Biosensors and Artificial Intelligence for Optimized Mechanical Ventilation in Human Lungs</t>
  </si>
  <si>
    <t xml:space="preserve">5 yrs 0 mth </t>
  </si>
  <si>
    <t>Circulatory and Respiratory Health</t>
  </si>
  <si>
    <t>Biosensors, Artificial Intelligence, Mechanical Ventilation</t>
  </si>
  <si>
    <t>Leong, Hon Sing</t>
  </si>
  <si>
    <t>Sunnybrook Research Institute (Toronto, Ontario)</t>
  </si>
  <si>
    <t>202203PJT</t>
  </si>
  <si>
    <t>Cancer Progression &amp; Therapeutics 2</t>
  </si>
  <si>
    <t>'Two-Step Authentication' for Optimal Prostate Cancer Risk Determination: An "Extracellular Vesicle"-Based Liquid Biopsy Followed by Multi-Parametric MRI.</t>
  </si>
  <si>
    <t>Cancer Research</t>
  </si>
  <si>
    <t>Extracellular Vesicle, Liquid Biopsy, MRI</t>
  </si>
  <si>
    <t>Fenster, Aaron</t>
  </si>
  <si>
    <t>Western University (Ontario)</t>
  </si>
  <si>
    <t>Operating Grant</t>
  </si>
  <si>
    <t>200809MOP</t>
  </si>
  <si>
    <t>Medical Physics &amp; Imaging</t>
  </si>
  <si>
    <t>3D ultrasound-guided trans-perineal focal prostate therapy platform</t>
  </si>
  <si>
    <t>ultrasound, prostate, therapy</t>
  </si>
  <si>
    <t>Raynal, Noel J</t>
  </si>
  <si>
    <t>Centre hospitalier universitaire Sainte-Justine (Montréal, Québec)</t>
  </si>
  <si>
    <t>Quebec</t>
  </si>
  <si>
    <t>Project Grant - PA: Epigenetics/epigenomics in human health or disease</t>
  </si>
  <si>
    <t>202003PJG</t>
  </si>
  <si>
    <t>Cancer Biology &amp; Therapeutics 2</t>
  </si>
  <si>
    <t>4D spheroids identify type I protein arginine methyltransferases as a target in NSCLC</t>
  </si>
  <si>
    <t xml:space="preserve">1 yr 0 mth </t>
  </si>
  <si>
    <t>4D, spheroids, NSCLC</t>
  </si>
  <si>
    <t>Macaulay, Calum E</t>
  </si>
  <si>
    <t>University of British Columbia</t>
  </si>
  <si>
    <t>British Columbia</t>
  </si>
  <si>
    <t>Operating Grant - PA: Institute of Cancer Research (bridge funding)</t>
  </si>
  <si>
    <t>200909IC3</t>
  </si>
  <si>
    <t>A 3D cell-based computer model for a system biology approach to the study of intra epithelial neoplastic processes.</t>
  </si>
  <si>
    <t>3D cell model, system biology, intra epithelial neoplastic</t>
  </si>
  <si>
    <t>Shakiba, Nika</t>
  </si>
  <si>
    <t>Operating Grant - PA: Genetics (Bridge Funding: Research Priorities)</t>
  </si>
  <si>
    <t>202109OGB</t>
  </si>
  <si>
    <t>A bioengineering platform to promote safe cell therapies</t>
  </si>
  <si>
    <t>Genetics</t>
  </si>
  <si>
    <t>bioengineering, cell therapies, platform</t>
  </si>
  <si>
    <t>Biomedical Engineering 2</t>
  </si>
  <si>
    <t>Boyd, Steven K</t>
  </si>
  <si>
    <t>University of Calgary</t>
  </si>
  <si>
    <t>Alberta</t>
  </si>
  <si>
    <t>201003MOP</t>
  </si>
  <si>
    <t>A biomedical engineering approach to investigating bone quality across the lifespan</t>
  </si>
  <si>
    <t>Musculoskeletal Health and Arthritis</t>
  </si>
  <si>
    <t>biomedical engineering, bone quality, lifespan</t>
  </si>
  <si>
    <t>Chemtob, Sylvain</t>
  </si>
  <si>
    <t>Centre hospitalier universitaire Sainte-Justine (Montreal, Quebec)</t>
  </si>
  <si>
    <t>Op. Grant: NWHRI: Innovation Fund - Translational Research</t>
  </si>
  <si>
    <t>202403NW3</t>
  </si>
  <si>
    <t>National Women's Health Research Initiative: Innovation Fund</t>
  </si>
  <si>
    <t>A Breakthrough Solution to Effectively Prevent Preterm Birth</t>
  </si>
  <si>
    <t xml:space="preserve">2 yrs 10 mths </t>
  </si>
  <si>
    <t>Human Development, Child and Youth Health</t>
  </si>
  <si>
    <t>Preterm Birth, Prevention</t>
  </si>
  <si>
    <t>Licht, Christoph</t>
  </si>
  <si>
    <t>Hospital for Sick Children (Toronto)</t>
  </si>
  <si>
    <t>Operating Grant: COVID-19 Rapid Research Funding Opportunity - Diagnostics</t>
  </si>
  <si>
    <t>202005VR2</t>
  </si>
  <si>
    <t>COVID-19 Rapid Research - Diagnostics</t>
  </si>
  <si>
    <t>A central role for the vascular endothelium in COVID-19 pathogenesis</t>
  </si>
  <si>
    <t>vascular endothelium, COVID-19, pathogenesis</t>
  </si>
  <si>
    <t>Chan, Warren C</t>
  </si>
  <si>
    <t>University of Toronto</t>
  </si>
  <si>
    <t>Collaborative Health Research Projects (NSERC partnered)</t>
  </si>
  <si>
    <t>201510CPG</t>
  </si>
  <si>
    <t>Collaborative Health Research Projects - NSERC Partnered</t>
  </si>
  <si>
    <t>A combined nanotechnology and surgical strategy to treating liver cancer</t>
  </si>
  <si>
    <t xml:space="preserve">3 yrs 0 mth </t>
  </si>
  <si>
    <t>nanotechnology, surgery, liver cancer</t>
  </si>
  <si>
    <t>Wang, Rizhi</t>
  </si>
  <si>
    <t>202104PJT</t>
  </si>
  <si>
    <t>A comprehensive study on bone quality for the prediction of second hip fractures</t>
  </si>
  <si>
    <t>bone, fracture, prediction</t>
  </si>
  <si>
    <t>Cashman, Neil R</t>
  </si>
  <si>
    <t>Operating Grant: Industry-partnered Collaborative Research</t>
  </si>
  <si>
    <t>201503IPR</t>
  </si>
  <si>
    <t>Industry Partnered Collaborative Research</t>
  </si>
  <si>
    <t>A Defined Abeta Oligomer Epitope: Theranostic Applications</t>
  </si>
  <si>
    <t>Aging</t>
  </si>
  <si>
    <t>Abeta, Oligomer, Epitope</t>
  </si>
  <si>
    <t>Sheardown, Heather D</t>
  </si>
  <si>
    <t>McMaster University</t>
  </si>
  <si>
    <t>202003PJT</t>
  </si>
  <si>
    <t>A Degradable Sustained Release Mucoadhesive Drug Delivery System to Regulate Intraocular Pressure (IOP) in Glaucoma</t>
  </si>
  <si>
    <t>Degradable, Mucoadhesive, Intraocular Pressure</t>
  </si>
  <si>
    <t>Brock, Kristy K</t>
  </si>
  <si>
    <t>Operating Grant - PA: Cancer Research (bridge funding)</t>
  </si>
  <si>
    <t>201109IC1</t>
  </si>
  <si>
    <t>A Finite Element Model Approach to Modeling Changes of the Head and Neck</t>
  </si>
  <si>
    <t>Finite Element, Head, Neck</t>
  </si>
  <si>
    <t>Law, Edith</t>
  </si>
  <si>
    <t>University of Waterloo (Ontario)</t>
  </si>
  <si>
    <t>201410CPG</t>
  </si>
  <si>
    <t>A framework for hybrid machine and human computation for the accurate and scalable analysis of human clinical EEG recordings</t>
  </si>
  <si>
    <t>Neurosciences, Mental Health and Addiction</t>
  </si>
  <si>
    <t>machine, EEG, analysis</t>
  </si>
  <si>
    <t>Chen, Junjian Z</t>
  </si>
  <si>
    <t>Research Institute of the McGill University Health Centre</t>
  </si>
  <si>
    <t>Catalyst Grant: Invention and High-Risk, High-Benefit Research</t>
  </si>
  <si>
    <t>200903NHG</t>
  </si>
  <si>
    <t>Inventions, Technologies, or High Risk Grants</t>
  </si>
  <si>
    <t>A high throughput platform for discovery and noninvasive detection of tumor-specific fusion genes in human cancer</t>
  </si>
  <si>
    <t>high throughput, fusion genes, cancer</t>
  </si>
  <si>
    <t>Guerin, Sylvain L</t>
  </si>
  <si>
    <t>Université Laval</t>
  </si>
  <si>
    <t>A human tissue-engineered three-layer cornea (hTEC) supplemented with macrophages as a biomaterial for in vitro studies</t>
  </si>
  <si>
    <t>tissue-engineered, cornea, macrophages</t>
  </si>
  <si>
    <t>Kaushic, Charu</t>
  </si>
  <si>
    <t>Catalyst Grant: Innovation in HIV Vaccine and HIV Cure Research</t>
  </si>
  <si>
    <t>201211CHR</t>
  </si>
  <si>
    <t>HIV Vaccine and Cure Research</t>
  </si>
  <si>
    <t>A humanized mouse model for understanding HIV-1 mucosal pathogenesis</t>
  </si>
  <si>
    <t>Infection and Immunity</t>
  </si>
  <si>
    <t>humanized mouse, HIV-1, mucosal</t>
  </si>
  <si>
    <t>Toronto Metropolitan University</t>
  </si>
  <si>
    <t>Wang, Yuzhuo</t>
  </si>
  <si>
    <t>Project Grant - Priority Announcement: Cancer Research</t>
  </si>
  <si>
    <t>202209PJS</t>
  </si>
  <si>
    <t>Cancer Progression &amp; Therapeutics</t>
  </si>
  <si>
    <t>A master transcription factor driving cell lineage reprogramming in neuroendocrine prostate cancer development and progression</t>
  </si>
  <si>
    <t>transcription factor, cell reprogramming, neuroendocrine prostate cancer</t>
  </si>
  <si>
    <t>Price, Morgan Thomas M</t>
  </si>
  <si>
    <t>Catalyst Grant: eHealth Innovations - Aging</t>
  </si>
  <si>
    <t>201310CEA</t>
  </si>
  <si>
    <t>e-Health Innovation Partnership Program (eHIPP)</t>
  </si>
  <si>
    <t>A mixed-method study to explore, assess, and explain the translation of a complex set of evidence-based rules into practice through electronic medical record based decision support: How can STOPP effectively be deployed in primary care?</t>
  </si>
  <si>
    <t>Health Services and Policy Research</t>
  </si>
  <si>
    <t>decision support, electronic medical record, primary care</t>
  </si>
  <si>
    <t>Zacksenhaus, Eldad</t>
  </si>
  <si>
    <t>201309MOP</t>
  </si>
  <si>
    <t>Cancer Biology &amp; Therapeutics</t>
  </si>
  <si>
    <t>A model for Group C Medulloblastoma induced by deletion of RB1 and p53 tumor suppressors</t>
  </si>
  <si>
    <t xml:space="preserve">4 yrs 0 mth </t>
  </si>
  <si>
    <t>Medulloblastoma,RB1,p53</t>
  </si>
  <si>
    <t>Mihailidis, Alex</t>
  </si>
  <si>
    <t>201210CPG</t>
  </si>
  <si>
    <t>A Modular Intelligent Power Wheelchair System to Enhance Mobility, Safety and Participation of Users</t>
  </si>
  <si>
    <t>Power, Wheelchair, Mobility</t>
  </si>
  <si>
    <t>Nguyen, Dang K</t>
  </si>
  <si>
    <t>Université de Montréal</t>
  </si>
  <si>
    <t>201810CPG</t>
  </si>
  <si>
    <t>A multimodal seizure detection artificial intelligence-based smart wear</t>
  </si>
  <si>
    <t>seizure detection, artificial intelligence, smart wear</t>
  </si>
  <si>
    <t>Tremblay, Michel J</t>
  </si>
  <si>
    <t>Catalyst Grant: HIV/AIDS Vaccine Discovery Research (Can HIV Vaccine Initiative)</t>
  </si>
  <si>
    <t>200811CHV</t>
  </si>
  <si>
    <t>HIV Vaccine Discovery</t>
  </si>
  <si>
    <t>A new human cell experimental system for evaluating prototype HIV-1 vaccines</t>
  </si>
  <si>
    <t>human cell, HIV-1, vaccines</t>
  </si>
  <si>
    <t>Blades, Michael W</t>
  </si>
  <si>
    <t>201003NHG</t>
  </si>
  <si>
    <t>A New Tool for the Comprehensive Analysis of Peptides and Proteins in Biological and Biomedical Research</t>
  </si>
  <si>
    <t>peptides, proteins, analysis</t>
  </si>
  <si>
    <t>Kislinger, Thomas</t>
  </si>
  <si>
    <t>A Novel Biomarker Discovery Strategy Combining Primary Tumour Xenograft Models and Glyco-Capture of Secreted Proteins</t>
  </si>
  <si>
    <t>Biomarker, Xenograft, Glyco-Capture</t>
  </si>
  <si>
    <t>Sone, Eli D</t>
  </si>
  <si>
    <t>201310CPG</t>
  </si>
  <si>
    <t>A novel mineralization-inducing membrane for promoting periodontal attachment</t>
  </si>
  <si>
    <t>mineralization, membrane, periodontal</t>
  </si>
  <si>
    <t>Sutherland, Garnette R</t>
  </si>
  <si>
    <t>A novel neurosurgery-specific haptic hand-controller for robot-assisted surgical systems</t>
  </si>
  <si>
    <t>neurosurgery, haptic, robotic</t>
  </si>
  <si>
    <t>Jiang, Xiaoyan</t>
  </si>
  <si>
    <t>202210PJT</t>
  </si>
  <si>
    <t>A novel oncolytic virotherapy to overcome drug-resistance in acute myeloid leukemia</t>
  </si>
  <si>
    <t>oncolytic virotherapy, drug-resistance, leukemia</t>
  </si>
  <si>
    <t>Elliott, Bruce E</t>
  </si>
  <si>
    <t>Queen's University (Kingston, Ontario)</t>
  </si>
  <si>
    <t>200909MOP</t>
  </si>
  <si>
    <t>A novel Src/ezrin signalling network as a potential marker for breast cancer metastasis</t>
  </si>
  <si>
    <t>Src, ezrin, metastasis</t>
  </si>
  <si>
    <t>Cheng, Hai-Ling M</t>
  </si>
  <si>
    <t>202403PJT</t>
  </si>
  <si>
    <t>A Novel Targeted MRI Probe for Safe and Early Detection of Fibrosis</t>
  </si>
  <si>
    <t>MRI, Probe, Fibrosis</t>
  </si>
  <si>
    <t>Liu, Xinyu</t>
  </si>
  <si>
    <t>201803PJT</t>
  </si>
  <si>
    <t>A Paper-based Microfluidic Platform for Automated Point-of-Care Diagnosis of Laryngopharyngeal Reflux</t>
  </si>
  <si>
    <t>Population and Public Health</t>
  </si>
  <si>
    <t>Microfluidic, Point-of-Care, Diagnosis</t>
  </si>
  <si>
    <t>Cotechini, Tiziana</t>
  </si>
  <si>
    <t>Catalyst Grant: NWHRI: Innovation Fund - Biomedical Discovery Grants</t>
  </si>
  <si>
    <t>202307NWI</t>
  </si>
  <si>
    <t>NWHRI: Innovation Fund - Biomedical Discovery Grants</t>
  </si>
  <si>
    <t>A paradigm shift in understanding Hunner lesion-interstitial cystitis/bladder pain syndrome: examining autoimmunity as a driver of disease and targeting B cells as a novel therapeutic opportunity</t>
  </si>
  <si>
    <t>Hunner lesion, interstitial cystitis, B cells</t>
  </si>
  <si>
    <t>Perreault, Sebastien</t>
  </si>
  <si>
    <t>Project Grant - Priority Announcement: Pediatric Cancer Research</t>
  </si>
  <si>
    <t>202203PDI</t>
  </si>
  <si>
    <t>A phase 2 study of mirdametinib and vinblastine for newly diagnosed or previously untreated patients with pediatric low-grade glioma and activation of the MAPK pathway</t>
  </si>
  <si>
    <t xml:space="preserve">1 yr 5 mths </t>
  </si>
  <si>
    <t>mirdametinib, vinblastine, glioma</t>
  </si>
  <si>
    <t>201903PJT</t>
  </si>
  <si>
    <t>A Phase 2 study of Trametinib for patients with pediatric glioma or plexiform neurofibroma with refractory tumor and activation of the MAPK/ERK pathwa</t>
  </si>
  <si>
    <t>Trametinib, glioma, MAPK/ERK</t>
  </si>
  <si>
    <t>Shafey, Mona</t>
  </si>
  <si>
    <t>202303PJT</t>
  </si>
  <si>
    <t>A Phase I Feasibility and Safety Study of GCAR1, a Chimeric Antigen Receptor (CAR) T-cell Therapy for Patients with Relapsed/Refractory GPNMB-Expressing Solid Tumors</t>
  </si>
  <si>
    <t>Chimeric Antigen Receptor, T-cell Therapy, GPNMB</t>
  </si>
  <si>
    <t>Hay, Kevin A</t>
  </si>
  <si>
    <t>202109PJT</t>
  </si>
  <si>
    <t>A Phase I first-in-human trial of CLIC-2201, a VHH-CD22 CAR-T cell product for the treatment of relapsed/refractory CD22 positive B-cell non-Hodgkin lymphoma</t>
  </si>
  <si>
    <t>CAR-T, CD22, B-cell</t>
  </si>
  <si>
    <t>Parulekar, Wendy R</t>
  </si>
  <si>
    <t>201710PJT</t>
  </si>
  <si>
    <t>A Phase II Single Arm Trial of Elective Volume Adjusted De-Escalation Radiotherapy (EVADER) in Patients with Low-Risk HPV-Related Oropharyngeal Squamous Cell Carcinoma</t>
  </si>
  <si>
    <t>Radiotherapy, HPV, Oropharyngeal carcinoma</t>
  </si>
  <si>
    <t xml:space="preserve">6 yrs 0 mth </t>
  </si>
  <si>
    <t>Tsakiridis, Theodoros</t>
  </si>
  <si>
    <t>201303MOP</t>
  </si>
  <si>
    <t>A phase II study to investigate combination of chemo-radiotherapy with metformin in patients with Locally Advanced Non-Small Cell Lung Cancer (LA-NSCLC).</t>
  </si>
  <si>
    <t>chemo-radiotherapy, metformin, lung cancer</t>
  </si>
  <si>
    <t>Mikulis, David J</t>
  </si>
  <si>
    <t>A potential biomarker for vascular dementia</t>
  </si>
  <si>
    <t>biomarker, vascular, dementia</t>
  </si>
  <si>
    <t>McLachlin, Stewart D</t>
  </si>
  <si>
    <t>Project Grant - PA: Myalgic Encephalomyelitis and IMHA Mandate Areas</t>
  </si>
  <si>
    <t>202109PAY</t>
  </si>
  <si>
    <t>A prospective investigation for characterization and predictive modeling of cage subsidence following anterior spinal column reconstruction</t>
  </si>
  <si>
    <t>cage subsidence, anterior spinal, predictive modeling</t>
  </si>
  <si>
    <t>Muanza, Thierry M</t>
  </si>
  <si>
    <t>CIUSSS de Centre-Ouest-de-l'Ile-de-Montréal-Jewish General</t>
  </si>
  <si>
    <t>A prospective trial of radiation omission in patients with clinically node negative breast cancer and pathologic complete response after neoadjuvant chemotherapy.</t>
  </si>
  <si>
    <t xml:space="preserve">10 yrs 0 mth </t>
  </si>
  <si>
    <t>radiation, breast cancer, chemotherapy</t>
  </si>
  <si>
    <t>Teo, Koon K</t>
  </si>
  <si>
    <t>201109IPR</t>
  </si>
  <si>
    <t>A randomized double-blind placebo-controlled trial for the evaluation of a polypill, a low dose aspirin and vitamin D supplementation in primary prevention to reduce cardiovascular disease (CVD) outcomes - The International Polycap Study 3 (TIPS-3)</t>
  </si>
  <si>
    <t>polypill, aspirin, cardiovascular disease</t>
  </si>
  <si>
    <t>Arnold, Donald M</t>
  </si>
  <si>
    <t>Operating Grant: COVID-19 Rapid Research Funding Opportunity - Therapeutics</t>
  </si>
  <si>
    <t>202005VR3</t>
  </si>
  <si>
    <t>COVID-19 Rapid Research - Therapeutics</t>
  </si>
  <si>
    <t>A Randomized Open-Label Trial of CONvalescent Plasma for Hospitalized Adults With Acute COVID-19 Respiratory Illness (CONCOR-1)</t>
  </si>
  <si>
    <t>Convalescent Plasma, COVID-19, Respiratory Illness</t>
  </si>
  <si>
    <t>Jolly, Sanjit S</t>
  </si>
  <si>
    <t>A randomized trial of ThrOmbectomy vs. PCI Alone for STEMI (TOTAL trial)</t>
  </si>
  <si>
    <t xml:space="preserve">3 yrs 6 mths </t>
  </si>
  <si>
    <t>Thrombectomy, PCI, STEMI</t>
  </si>
  <si>
    <t>Kain, Kevin C</t>
  </si>
  <si>
    <t>A Randomized trial to determine the effect of vitamin D and zinc supplementation for improving treatment outcomes among COVID-19 patients in Mumbai, India</t>
  </si>
  <si>
    <t>vitamin D, zinc, COVID-19</t>
  </si>
  <si>
    <t>Li, Yingfu</t>
  </si>
  <si>
    <t>A rapid at-home test for SARS-CoV-2</t>
  </si>
  <si>
    <t>SARS-CoV-2, rapid test, at-home</t>
  </si>
  <si>
    <t>Tiedemann, Rodger</t>
  </si>
  <si>
    <t>201109MOP</t>
  </si>
  <si>
    <t>A small molecule inhibitor of G protein-coupled Receptor Kinase 6 (GRK6) to treat human Multiple Myeloma and related diseases</t>
  </si>
  <si>
    <t>small molecule, G protein-coupled Receptor Kinase 6, Multiple Myeloma</t>
  </si>
  <si>
    <t>Daskalakis, Zafiris J</t>
  </si>
  <si>
    <t>Centre for Addiction and Mental Health (Toronto)</t>
  </si>
  <si>
    <t>Operating Grant: Industry-partnered Collaborative Research - Other Partner</t>
  </si>
  <si>
    <t>201103ISO</t>
  </si>
  <si>
    <t>A Study of H-Coil Repetitive Transcranial Magnetic Stimulation for Late-Life Depression</t>
  </si>
  <si>
    <t>H-Coil, Transcranial Magnetic Stimulation, Depression</t>
  </si>
  <si>
    <t>Galipeau, Jacques</t>
  </si>
  <si>
    <t>200903MOP</t>
  </si>
  <si>
    <t>A study of novel anti-cancer immunomodulatory fusion proteins and transgenic cell therapy</t>
  </si>
  <si>
    <t>anti-cancer, immunomodulatory, fusion proteins</t>
  </si>
  <si>
    <t>201103MOP</t>
  </si>
  <si>
    <t>A Systematic Proteomic Analysis Strategy for Biomarker Discovery in Head &amp; Neck Cancer</t>
  </si>
  <si>
    <t>Proteomic, Biomarker, Cancer</t>
  </si>
  <si>
    <t>Ellis, Christopher G</t>
  </si>
  <si>
    <t>A Systems Approach to Sepsis: Pathological versus Adaptive Microvascular Responses</t>
  </si>
  <si>
    <t>Sepsis, Microvascular, Responses</t>
  </si>
  <si>
    <t>Lorimer, Ian Anthony J</t>
  </si>
  <si>
    <t>Ottawa Hospital Research Institute</t>
  </si>
  <si>
    <t>A therapeutic strategy for PTEN tumour suppressor restoration in glioblastoma</t>
  </si>
  <si>
    <t>PTEN, glioblastoma, tumor suppressor</t>
  </si>
  <si>
    <t>McGuigan, Alison P</t>
  </si>
  <si>
    <t>A tissue engineering platform to identify target combinations in tumour stoma to render tumours therapy sensitive</t>
  </si>
  <si>
    <t>tissue engineering, tumour stroma, therapy sensitivity</t>
  </si>
  <si>
    <t>Lipsman, Nir</t>
  </si>
  <si>
    <t>Project Grant - PA: Cancer Research - Breast Cancer</t>
  </si>
  <si>
    <t>202010PWW</t>
  </si>
  <si>
    <t>A trial to evaluate the safety and feasibility of blood-brain brain opening using MRI-guided focused ultrasound in the treatment of Her2-positive breast cancer brain metastases</t>
  </si>
  <si>
    <t>MRI, focused ultrasound, brain metastases</t>
  </si>
  <si>
    <t>Rink, Alexandra</t>
  </si>
  <si>
    <t>201809PJT</t>
  </si>
  <si>
    <t>A universal self-calibrating in vivo real-time optical radiation dosimeter for quality assurance and quality control of radiotherapy treatment.</t>
  </si>
  <si>
    <t>self-calibrating, optical radiation, dosimeter</t>
  </si>
  <si>
    <t>Rennie, Paul S</t>
  </si>
  <si>
    <t>201209MOP</t>
  </si>
  <si>
    <t>A virus-based strategy for measurement of circulating tumour cells</t>
  </si>
  <si>
    <t>virus, circulating tumour cells, measurement</t>
  </si>
  <si>
    <t>Gulak, Glenn</t>
  </si>
  <si>
    <t>A Wireless CMOS Device for Rapid Point-of-Care Diagnosis of Bacterial Infections and Antibiotic Susceptibility Profiling</t>
  </si>
  <si>
    <t>Wireless, CMOS, Bacterial Infections</t>
  </si>
  <si>
    <t>Zhou, Youwen</t>
  </si>
  <si>
    <t>Abnormal Activation of Thymocytes High-Mobility Group Box Protein (TOX) in Cutaneous T Cell Lymphomas: Pathogenic Significance and Clinical Applications</t>
  </si>
  <si>
    <t>Thymocytes, TOX, T Cell Lymphomas</t>
  </si>
  <si>
    <t>Kamen, Amine</t>
  </si>
  <si>
    <t>McGill University</t>
  </si>
  <si>
    <t>201610CPG</t>
  </si>
  <si>
    <t>Acceleration and Intensification of Cell Culture-Produced Influenza Vaccines for Rapid Response to Pandemic Situation</t>
  </si>
  <si>
    <t>cell culture, influenza vaccines, pandemic</t>
  </si>
  <si>
    <t>Dumoulin, Chantal</t>
  </si>
  <si>
    <t>CIUSSS du Centre-Sud-de-l'ele-de-Montreal (Montreal, Quebec)</t>
  </si>
  <si>
    <t>Acceptability, user experience and effect of a new mobile app, 'OUPS!', a FemTech solution designed for the treatment of urinary incontinence in menopausal women: a mixed method study</t>
  </si>
  <si>
    <t>Gender and Health</t>
  </si>
  <si>
    <t>mobile app, urinary incontinence, FemTech</t>
  </si>
  <si>
    <t>Haji Reza, Parsin</t>
  </si>
  <si>
    <t>Accurate Retinal Oximetry for the Pre-Symptomatic Diagnosis of Major Blinding Diseases</t>
  </si>
  <si>
    <t>Nutrition, Metabolism and Diabetes</t>
  </si>
  <si>
    <t>Retinal oximetry, diagnosis, blinding diseases</t>
  </si>
  <si>
    <t>Collins, Donald L</t>
  </si>
  <si>
    <t>201711CPG</t>
  </si>
  <si>
    <t>Achieving precision in Image-guided Neurosurgery via an open source collaborative software environment</t>
  </si>
  <si>
    <t>Image-guided, Neurosurgery, Software</t>
  </si>
  <si>
    <t>Xiang, Jim</t>
  </si>
  <si>
    <t>University of Saskatchewan</t>
  </si>
  <si>
    <t>Saskatchewan</t>
  </si>
  <si>
    <t>Vaccines of the 21st Century</t>
  </si>
  <si>
    <t>200903CVC</t>
  </si>
  <si>
    <t>Catalyst Grant: Vaccines of the 21st Century</t>
  </si>
  <si>
    <t>Acombined early and late HIV-1 protein-specific exosome-targeted T cell vaccine capable of stimulating HIV-1 specific CD8+ CTL responses in absence of CD4+ T cells and counteracting immune suppression.</t>
  </si>
  <si>
    <t>HIV-1, exosome, T cell</t>
  </si>
  <si>
    <t>Burns, Peter N</t>
  </si>
  <si>
    <t>Acoustically activated submicron droplets of liquid perfluorocarbon as a new contrast agent for ultrasound imaging</t>
  </si>
  <si>
    <t>acoustically activated, submicron droplets, ultrasound imaging</t>
  </si>
  <si>
    <t>Takahata, Kenichi</t>
  </si>
  <si>
    <t>Active Stent Based Endohyperthermia System for Inhibition of In-Stent Restenosis</t>
  </si>
  <si>
    <t>Stent, Endohyperthermia, Restenosis</t>
  </si>
  <si>
    <t>Ferri, Lorenzo</t>
  </si>
  <si>
    <t>Acute bacterial infection promotes cancer metastasis through toll like receptor signal transduction</t>
  </si>
  <si>
    <t>bacterial infection, toll like receptor, metastasis</t>
  </si>
  <si>
    <t>Duchesne, Simon</t>
  </si>
  <si>
    <t>Universite Laval</t>
  </si>
  <si>
    <t>Operating Grant: Methodological Innovations for Neuroimaging Datasets</t>
  </si>
  <si>
    <t>201304OMI</t>
  </si>
  <si>
    <t>Methodological Innovations for Neuroimaging Datasets</t>
  </si>
  <si>
    <t>AD ontological architecture for neuroimaging datawarehouse: merging and establishing anatomical normative data from 17 datasets</t>
  </si>
  <si>
    <t>ontology, neuroimaging, datawarehouse</t>
  </si>
  <si>
    <t>Wouters, Bradly</t>
  </si>
  <si>
    <t>Adaptation to hypoxia in cancer through the unfolded protein response</t>
  </si>
  <si>
    <t>hypoxia, unfolded protein response, cancer</t>
  </si>
  <si>
    <t>Pineau, Joelle</t>
  </si>
  <si>
    <t>Adaptive stimulation strategies for the treatment of epileptic syndromes in vivo</t>
  </si>
  <si>
    <t>adaptive, stimulation, epileptic</t>
  </si>
  <si>
    <t>Pinthus, Jehonathan H</t>
  </si>
  <si>
    <t>200809IC1</t>
  </si>
  <si>
    <t>Adiponectin Signaling in Cancer</t>
  </si>
  <si>
    <t>Adiponectin, Signaling, Cancer</t>
  </si>
  <si>
    <t>Duval, Michel</t>
  </si>
  <si>
    <t>Adoptive transfers of in vitro differentiated plasmacytoid dendritic cells to prevent acute lymphoblastic leukemia relapse: mechanisms and biomarkers of sensitivity</t>
  </si>
  <si>
    <t>dendritic cells, leukemia, biomarkers</t>
  </si>
  <si>
    <t>Weng, Andrew P</t>
  </si>
  <si>
    <t>201203MOP</t>
  </si>
  <si>
    <t>Adult vs. Fetal Programs in Leukemia Pathogenesis</t>
  </si>
  <si>
    <t>Leukemia, Pathogenesis, Fetal</t>
  </si>
  <si>
    <t>202209PJT</t>
  </si>
  <si>
    <t>Advanced Artificial Intelligence for Human Ex Vivo Lung Perfusion using Digital Twins</t>
  </si>
  <si>
    <t>Artificial Intelligence, Lung Perfusion, Digital Twins</t>
  </si>
  <si>
    <t>Amon, Cristina</t>
  </si>
  <si>
    <t>Advanced Bioreactors for Evaluation and Systematic Optimization of Decellularization and Recellularization of the Lung and Trachea</t>
  </si>
  <si>
    <t>Bioreactors, Decellularization, Recellularization</t>
  </si>
  <si>
    <t>Macgowan, Christopher K</t>
  </si>
  <si>
    <t>Advanced Fetal MRI Methods to Evaluate Prenatal Organ Development and Predict Postnatal Outcome in Congenital Heart Disease</t>
  </si>
  <si>
    <t>Fetal MRI, Prenatal Organ Development, Congenital Heart Disease</t>
  </si>
  <si>
    <t>Sled, John G</t>
  </si>
  <si>
    <t>Advanced MRI methods for early detection and characterization of placental dysfunction and the monitoring of therapy</t>
  </si>
  <si>
    <t>MRI, placental dysfunction, detection</t>
  </si>
  <si>
    <t>Advanced multi-modal imaging to monitor progressive joint adaptation in the knee following an acute ligament injury</t>
  </si>
  <si>
    <t>multi-modal imaging, joint adaptation, ligament injury</t>
  </si>
  <si>
    <t>Ju, MyeongJin</t>
  </si>
  <si>
    <t>Advanced Multi-parametric Retinal Imaging for AMD Classification Modeling</t>
  </si>
  <si>
    <t>Retinal imaging, AMD, classification</t>
  </si>
  <si>
    <t>Shadgan, Babak</t>
  </si>
  <si>
    <t>Advanced optical monitoring of free tissue transfer hemodynamics</t>
  </si>
  <si>
    <t>optical, monitoring, hemodynamics</t>
  </si>
  <si>
    <t>Zeng, Haishan</t>
  </si>
  <si>
    <t>Project Grant - Priority Announcement: Early Detection/Cancer Prevention</t>
  </si>
  <si>
    <t>202309DCP</t>
  </si>
  <si>
    <t>Advanced Raman Spectroscopy for Exhaled Breath Analysis for Lung Cancer Detection</t>
  </si>
  <si>
    <t>Raman spectroscopy, exhaled breath, lung cancer</t>
  </si>
  <si>
    <t>Harvey, Edward J</t>
  </si>
  <si>
    <t>201804PJT</t>
  </si>
  <si>
    <t>Advanced sensors for acute and chronic brain injury</t>
  </si>
  <si>
    <t>sensors, brain injury</t>
  </si>
  <si>
    <t>Drangova, Maria</t>
  </si>
  <si>
    <t>Advanced techniques for image assisted cardiac interventions</t>
  </si>
  <si>
    <t>image, cardiac, interventions</t>
  </si>
  <si>
    <t>Tyrrell, D. Lorne J</t>
  </si>
  <si>
    <t>University of Alberta</t>
  </si>
  <si>
    <t>Advancing a Potent Inhibitor of SARS-CoV-2 3CL Protease into Clinical Trials</t>
  </si>
  <si>
    <t>SARS-CoV-2, 3CL Protease, Inhibitor</t>
  </si>
  <si>
    <t>Schreiner, L. John</t>
  </si>
  <si>
    <t>Advancing gel dosimetry for clinical radiation therapy</t>
  </si>
  <si>
    <t>gel, dosimetry, radiation</t>
  </si>
  <si>
    <t>201009IC1</t>
  </si>
  <si>
    <t>Gueziri, Houssem-Eddine</t>
  </si>
  <si>
    <t>Université TÉLUQ (Québec)</t>
  </si>
  <si>
    <t>Advancing Neurosurgery Training: A Realistic Simulation Platform with Sensorless Force Feedback Tutoring</t>
  </si>
  <si>
    <t>Neurosurgery, Simulation, Force Feedback</t>
  </si>
  <si>
    <t>Purdie, Thomas G</t>
  </si>
  <si>
    <t>Advancing Personalized Cancer Care with an Automated Radiomics-Based Radiation Therapy Method</t>
  </si>
  <si>
    <t>Radiomics, Radiation Therapy, Cancer</t>
  </si>
  <si>
    <t>Franklin, Daniel</t>
  </si>
  <si>
    <t>Advancing Pulse Oximetry Accuracy and Equity through Wearable Spectroscopy Devices</t>
  </si>
  <si>
    <t>Pulse Oximetry, Spectroscopy, Wearable</t>
  </si>
  <si>
    <t>AI Assisted Organ and Target Segmentation for Cervix Brachytherapy Treatment Planning</t>
  </si>
  <si>
    <t>AI, Organ Segmentation, Brachytherapy</t>
  </si>
  <si>
    <t>Morin, Ryan D</t>
  </si>
  <si>
    <t>Simon Fraser University (Burnaby, B.C.)</t>
  </si>
  <si>
    <t>All roads lead to Rome: Tracing the evolutionary paths to diffuse large B-cell lymphoma</t>
  </si>
  <si>
    <t>B-cell lymphoma, tracing, evolutionary</t>
  </si>
  <si>
    <t>Perrin, David M</t>
  </si>
  <si>
    <t>201709PJT</t>
  </si>
  <si>
    <t>Alpha-amanitin: synthetic derivatives for applications in targeted therapy</t>
  </si>
  <si>
    <t>alpha-amanitin, synthetic derivatives, targeted therapy</t>
  </si>
  <si>
    <t>Reilly, Raymond M</t>
  </si>
  <si>
    <t>Alpha-Particle Radioimmunotherapy of Brain Metastases from HER2-Positive Breast Cancer</t>
  </si>
  <si>
    <t>Alpha-particle, Radioimmunotherapy, Brain metastases</t>
  </si>
  <si>
    <t>Basik, Mark</t>
  </si>
  <si>
    <t>Altering the gut microbiome in Triple- negative breast cancer: a pilot study</t>
  </si>
  <si>
    <t>gut microbiome, breast cancer, triple-negative</t>
  </si>
  <si>
    <t>Project Grant - PA: Breast Cancer Research</t>
  </si>
  <si>
    <t>202309PLL</t>
  </si>
  <si>
    <t>McGlade, Catherine J</t>
  </si>
  <si>
    <t>Alternative splicing and Numb protein isoform function in cancer metastasis.</t>
  </si>
  <si>
    <t>splicing, Numb protein, metastasis</t>
  </si>
  <si>
    <t>Haddad, Elie</t>
  </si>
  <si>
    <t>Alternatives to current Chimeric-Antigen Receptor (CAR)-T cell therapy in acute lymphoblastic leukemia</t>
  </si>
  <si>
    <t>Chimeric-Antigen Receptor, CAR-T, leukemia</t>
  </si>
  <si>
    <t>Moran, Michael F</t>
  </si>
  <si>
    <t>An ACO2-Iron Axis in Aggressive Lung Cancer</t>
  </si>
  <si>
    <t>ACO2, Iron, Lung Cancer</t>
  </si>
  <si>
    <t>Li, Linda C</t>
  </si>
  <si>
    <t>Catalyst Grant: Personalized Health Catalyst Grants</t>
  </si>
  <si>
    <t>201706PCG</t>
  </si>
  <si>
    <t>Personalized Health - novel e-health applications</t>
  </si>
  <si>
    <t>An app-based intervention to empower self-management for people with rheumatoid arthritis</t>
  </si>
  <si>
    <t xml:space="preserve">2 yrs 0 mth </t>
  </si>
  <si>
    <t>app, self-management, rheumatoid arthritis</t>
  </si>
  <si>
    <t>Tabrizian, Maryam</t>
  </si>
  <si>
    <t>An Injectable Phosphate Releasing Bone Tissue Construct Encapsulating Adipose-Derived Stem Cells and Diphosphate Cleaving Enzymes to Promote Biomineralization in Critical Size Bone Defects</t>
  </si>
  <si>
    <t>Bone, Stem Cells, Biomineralization</t>
  </si>
  <si>
    <t>Tonin, Patricia N</t>
  </si>
  <si>
    <t>200903IC1</t>
  </si>
  <si>
    <t>An integrated functional and genomics approach at elucidating the chromosome 3 genes important in ovarian cancer</t>
  </si>
  <si>
    <t>chromosome 3, genomics, ovarian cancer</t>
  </si>
  <si>
    <t>Beaulieu, Luc</t>
  </si>
  <si>
    <t>An Integrated Real-Time 3D Ultrasound Guidance System for Multi-catheters Breast Brachytherapy</t>
  </si>
  <si>
    <t>Ultrasound, Brachytherapy, Guidance</t>
  </si>
  <si>
    <t>Mousavi, Parvin</t>
  </si>
  <si>
    <t>An integrated spectroscopy-ultrasound surgical navigation system for residual cancer detection in breast surgery.</t>
  </si>
  <si>
    <t>spectroscopy, ultrasound, cancer detection</t>
  </si>
  <si>
    <t>Stanford, William L</t>
  </si>
  <si>
    <t>University of Ottawa</t>
  </si>
  <si>
    <t>An Integrated Systems Biology Approach to Developing Mesenchymal Stem/Stromal Cell-derived Cellular Therapeutics</t>
  </si>
  <si>
    <t>Systems biology, Mesenchymal stem cells, Cellular therapeutics</t>
  </si>
  <si>
    <t>Tavakoli, Mahdi</t>
  </si>
  <si>
    <t>An Intelligent Needle Adjustment Assistant for Prostate Brachytherapy</t>
  </si>
  <si>
    <t>Needle, Adjustment, Brachytherapy</t>
  </si>
  <si>
    <t>Kandel, Rita A</t>
  </si>
  <si>
    <t>Sinai Health System (Toronto)</t>
  </si>
  <si>
    <t>An intervertebral disc replacement: a regenerative medicine approach</t>
  </si>
  <si>
    <t>intervertebral disc, regenerative medicine, replacement</t>
  </si>
  <si>
    <t>Drake, James M</t>
  </si>
  <si>
    <t>An MRI-compatible focused ultrasound platform for non-invasive treatment of intraventricular hemorrhage of prematurity</t>
  </si>
  <si>
    <t>MRI, ultrasound, hemorrhage</t>
  </si>
  <si>
    <t>Narod, Steven A</t>
  </si>
  <si>
    <t>Women's College Hospital (Toronto)</t>
  </si>
  <si>
    <t>An observational study of treatment and outcomes among BRCA1 carriers with breast cancer</t>
  </si>
  <si>
    <t>BRCA1, breast cancer, outcomes</t>
  </si>
  <si>
    <t>Boutopoulos, Christos</t>
  </si>
  <si>
    <t>CIUSSS Est-de-l'Ile-de- Montréal-Maisonneuve Rosemont</t>
  </si>
  <si>
    <t>An OCT-controlled system for precise and reproducible subretinal drug injection in mice</t>
  </si>
  <si>
    <t xml:space="preserve">2 yrs 6 mths </t>
  </si>
  <si>
    <t>OCT, subretinal injection, mice</t>
  </si>
  <si>
    <t>Langlois, Marc-Andre</t>
  </si>
  <si>
    <t>Analysis of Antibody Neutralization Efficiency and Cellular Immunity in SARS-CoV-2-Positive Individuals Identified in At-Risk Individuals</t>
  </si>
  <si>
    <t>Antibody, Neutralization, SARS-CoV-2</t>
  </si>
  <si>
    <t>Kelley, Shana O</t>
  </si>
  <si>
    <t>Analysis of Circulating Tumor Cell Heterogeneity Using a Multi-Marker Microscale Capture Approach as a tool in the Management and Treatment of Cancer</t>
  </si>
  <si>
    <t>Circulating Tumor Cells, Microscale Capture, Cancer</t>
  </si>
  <si>
    <t>Kao, Kenneth R</t>
  </si>
  <si>
    <t>Memorial University of Newfoundland</t>
  </si>
  <si>
    <t>Newfoundland and Labrador</t>
  </si>
  <si>
    <t>Operating Grant - PA: Regional Partnership Program - Newfoundland and Labrador</t>
  </si>
  <si>
    <t>201303RNL</t>
  </si>
  <si>
    <t>Analysis of human Pygopus 2 as an essential androgen-responsive cellular biomarker for prostate cancer progression</t>
  </si>
  <si>
    <t>Pygopus 2, androgen-responsive, prostate cancer</t>
  </si>
  <si>
    <t>Legare, France</t>
  </si>
  <si>
    <t>Analytical mobile application to support shared decision making for pregnant women</t>
  </si>
  <si>
    <t>mobile application, shared decision making, pregnant women</t>
  </si>
  <si>
    <t>Fortin, Marc-Andre</t>
  </si>
  <si>
    <t>Anatomically relevant brachytherapy implants by a 3D printing and radiosensitizing approach</t>
  </si>
  <si>
    <t>brachytherapy, 3D printing, radiosensitizing</t>
  </si>
  <si>
    <t>Catalyst Grant: eHealth Innovations</t>
  </si>
  <si>
    <t>201210CEH</t>
  </si>
  <si>
    <t>ANSWER-2: A biologic decision aid for patients with rheumatoid arthritis</t>
  </si>
  <si>
    <t>biologic, decision aid, rheumatoid arthritis</t>
  </si>
  <si>
    <t>Eikelboom, John W</t>
  </si>
  <si>
    <t>Anti-Coronavirus Therapy (ACT) to prevent COVID-19 disease progression: a clinical trial platform</t>
  </si>
  <si>
    <t>Anti-Coronavirus, COVID-19, clinical trial</t>
  </si>
  <si>
    <t>Zarychanski, Ryan</t>
  </si>
  <si>
    <t>University of Manitoba</t>
  </si>
  <si>
    <t>Manitoba</t>
  </si>
  <si>
    <t>ANTI-THROMBOTIC THERAPY TO AMELIORATE COMPLICATIONS OF COVID-19 (ATTACC): A randomized, international, multi-centre, adaptive, controlled clinical trial</t>
  </si>
  <si>
    <t>anti-thrombotic, COVID-19, clinical trial</t>
  </si>
  <si>
    <t>Sanderson, J. Thomas</t>
  </si>
  <si>
    <t>INRS - (Québec, QC)</t>
  </si>
  <si>
    <t>Antiandrogenic and antiproliferative effects of diindolylmethane (DIM) and ring-substituted analogs (ring-DIMs) in androgen -ependent and -independent human prostate cancer cells in vitro, and in vivo using real-time imaging technology.</t>
  </si>
  <si>
    <t>antiandrogenic, antiproliferative, prostate cancer</t>
  </si>
  <si>
    <t>Ng, Sylvia</t>
  </si>
  <si>
    <t>201003IC1</t>
  </si>
  <si>
    <t>Antiangiogenesis-Induced Changes in the Tumour Microenvironment: A Window for Therapeutic Exploitation in Pancreatic Cancer</t>
  </si>
  <si>
    <t>Antiangiogenesis, Tumour Microenvironment, Pancreatic Cancer</t>
  </si>
  <si>
    <t>Mader, Sylvie N</t>
  </si>
  <si>
    <t>201203IC1</t>
  </si>
  <si>
    <t>Antiestrogen-HDACi hybrid molecules for breast cancer treatment.</t>
  </si>
  <si>
    <t>Antiestrogen, HDACi, breast cancer</t>
  </si>
  <si>
    <t>201509IPR</t>
  </si>
  <si>
    <t>Application of antibody internalization domain to improve the efficacy and safety of Antibody Drug Conjugates</t>
  </si>
  <si>
    <t>antibody, internalization, conjugates</t>
  </si>
  <si>
    <t>Dunn, Jeff F</t>
  </si>
  <si>
    <t>Application of functional near-infrared imaging as a biomarker of injury and recovery in mild traumatic brain injury and concussion</t>
  </si>
  <si>
    <t>near-infrared imaging, biomarker, brain injury</t>
  </si>
  <si>
    <t>Application of Magnetically Actuated Robotic System for Minimally Invasive Epilepsy Surgery</t>
  </si>
  <si>
    <t>Magnetically Actuated, Robotic System, Epilepsy</t>
  </si>
  <si>
    <t>201910CPG</t>
  </si>
  <si>
    <t>Applying machine learning to 3D tumor histopathology for predicting patient outcomes</t>
  </si>
  <si>
    <t>machine learning, histopathology, tumor</t>
  </si>
  <si>
    <t>Approaches to regulate Cbl ubiquitin ligase activity and control oncogenic tyrosine kinase signaling.</t>
  </si>
  <si>
    <t>Cbl, ubiquitin ligase, tyrosine kinase</t>
  </si>
  <si>
    <t>Tsai, Scott</t>
  </si>
  <si>
    <t>Aqueous two-phase system technology for biomarker isolation and next-generation non-invasive active surveillance of prostate cancer</t>
  </si>
  <si>
    <t>Aqueous two-phase system, biomarker isolation, prostate cancer</t>
  </si>
  <si>
    <t>Richard, Stephane</t>
  </si>
  <si>
    <t>Arginine methylase PRMT1 and PRMT6 in cancer and genomic instability.</t>
  </si>
  <si>
    <t>Arginine methylase, PRMT1, PRMT6</t>
  </si>
  <si>
    <t>Lepage, Martin</t>
  </si>
  <si>
    <t>CIUSSS de l'Ouest-de-l'Ile-de-Montréal-Douglas Hospital</t>
  </si>
  <si>
    <t>Aripiprazole Long Acting Injectable (ALAI), its potential enhancing effect on memory and associated neural structures: A longitudinal brain imaging study in first-episode psychosis</t>
  </si>
  <si>
    <t>Aripiprazole, Injectable, Brain imaging</t>
  </si>
  <si>
    <t>Boyd, Lara</t>
  </si>
  <si>
    <t>ARMS UP/Assisted Robotic Movement after Stroke using Brain Power: Controlling robotics with EEG</t>
  </si>
  <si>
    <t>Robotics, EEG, Stroke</t>
  </si>
  <si>
    <t>Amsden, Brian G</t>
  </si>
  <si>
    <t>Articular Cartilage Reconstruction</t>
  </si>
  <si>
    <t>Articular, Cartilage, Reconstruction</t>
  </si>
  <si>
    <t>Nicolaou, Savvakis</t>
  </si>
  <si>
    <t>Project Grant - PA: Pandemic Preparedness and Health Emergencies Research</t>
  </si>
  <si>
    <t>202209PPE</t>
  </si>
  <si>
    <t>Artificial intelligence assisted Method, Optimizing the Prediction of Patient Outcomes among Long COVID-19 Patients.</t>
  </si>
  <si>
    <t>artificial intelligence, prediction, COVID-19</t>
  </si>
  <si>
    <t>Bashashati, Ali</t>
  </si>
  <si>
    <t>aRtificial intelligence-driven computational pathology platform for blAdder Cancer subTyping (REACT)</t>
  </si>
  <si>
    <t>artificial intelligence, computational pathology, bladder cancer</t>
  </si>
  <si>
    <t>Selvaganapathy, Ponnambalam R</t>
  </si>
  <si>
    <t>201909PJT</t>
  </si>
  <si>
    <t>Artificial Placenta: A biomimetic approach to support neonates with respiratory distress</t>
  </si>
  <si>
    <t>Artificial placenta, biomimetic, respiratory</t>
  </si>
  <si>
    <t>Assessing the Size Dependent Cancer Targeting of Herceptin-coated Nanoparticles</t>
  </si>
  <si>
    <t>Herceptin, nanoparticles, cancer</t>
  </si>
  <si>
    <t>Brezden-Masley, Christine</t>
  </si>
  <si>
    <t>Unity Health Toronto</t>
  </si>
  <si>
    <t>Operating Grant: Industry-partnered Collaborative Research - Rx&amp;D partner</t>
  </si>
  <si>
    <t>200903IRO</t>
  </si>
  <si>
    <t>Assessment of Cardiotoxicity by Cardiac MRI in Early Stage Breast Cancer Patients Receiving Adjuvant Trastuzumab: A Prospective Observational Pilot Study</t>
  </si>
  <si>
    <t>Cardiac MRI, Cardiotoxicity, Breast Cancer</t>
  </si>
  <si>
    <t>Katyal, Sachin</t>
  </si>
  <si>
    <t>201403MOP</t>
  </si>
  <si>
    <t>ATM and TDP1 coordinate neurodevelopment and modulate Top1-mediated anti-cancer therapeutic outcome</t>
  </si>
  <si>
    <t>ATM, TDP1, Top1</t>
  </si>
  <si>
    <t>Luo, Ma</t>
  </si>
  <si>
    <t>ATTACKING HIV PROTEASE CLEAVAGE SITES WITH IMMUNIZATION - Explore the rapid mutation rate of HIV-1</t>
  </si>
  <si>
    <t>HIV, Protease, Immunization</t>
  </si>
  <si>
    <t>Auger Electron Radioimmunotherapy for Treatment and Prevention of Metastases from Triple-Negative Breast Cancer</t>
  </si>
  <si>
    <t>Auger Electron, Radioimmunotherapy, Metastases</t>
  </si>
  <si>
    <t>Trudel, Guy</t>
  </si>
  <si>
    <t>201009MOP</t>
  </si>
  <si>
    <t>Autologous Bone Marrow-Derived Cellular Augmentation in Rotator Cuff Repair</t>
  </si>
  <si>
    <t>Bone Marrow, Cellular, Rotator Cuff</t>
  </si>
  <si>
    <t>Sun, Yu</t>
  </si>
  <si>
    <t>Automated assays of gap junction functions and screening of drugs for rescuing conduction in heart tissues</t>
  </si>
  <si>
    <t>assays, gap junctions, heart tissues</t>
  </si>
  <si>
    <t>Diamandis, Phedias</t>
  </si>
  <si>
    <t>Automated computational pathology workflows for resolving patterns of heterogeneity in cancer</t>
  </si>
  <si>
    <t>computational pathology, heterogeneity, cancer</t>
  </si>
  <si>
    <t>Bainbridge, Shannon A</t>
  </si>
  <si>
    <t>Automated placenta screening to improve maternal lifetime cardiovascular health</t>
  </si>
  <si>
    <t>placenta, screening, cardiovascular</t>
  </si>
  <si>
    <t>Abolmaesumi, Purang</t>
  </si>
  <si>
    <t>Automatic Assessment of Aortic Stenosis with Point of Care Ultrasound</t>
  </si>
  <si>
    <t>Aortic Stenosis, Ultrasound, Point of Care</t>
  </si>
  <si>
    <t>Martel, Anne L</t>
  </si>
  <si>
    <t>Automatic Motion Correction for Dynamic Contrast Enhanced MRI</t>
  </si>
  <si>
    <t>Motion, Correction, MRI</t>
  </si>
  <si>
    <t>Van Houten, Elijah E</t>
  </si>
  <si>
    <t>Universite de Sherbrooke</t>
  </si>
  <si>
    <t>Automating data acquisition and data processing pipeline via artificial intelligence and machine learning approaches to allow at-home use of a novel breast cancer screening method employing bra-based elastography imaging.</t>
  </si>
  <si>
    <t>data acquisition, elastography imaging, breast cancer</t>
  </si>
  <si>
    <t>Gorski, Sharon M</t>
  </si>
  <si>
    <t>Barralet, Jake E</t>
  </si>
  <si>
    <t>Autosynthetics: Cranial Regeneration</t>
  </si>
  <si>
    <t>Autosynthetics, Cranial, Regeneration</t>
  </si>
  <si>
    <t>Whelan, Timothy J</t>
  </si>
  <si>
    <t>Avoidance of Radiotherapy in Luminal A Breast Cancer</t>
  </si>
  <si>
    <t>Radiotherapy, Luminal A, Breast Cancer</t>
  </si>
  <si>
    <t>Alhazzani, Waleed</t>
  </si>
  <si>
    <t>Awake Prone Position in Hypoxemic Patients with Coronavirus Disease 19</t>
  </si>
  <si>
    <t xml:space="preserve">0 yr 6 mths </t>
  </si>
  <si>
    <t>Prone Position, Hypoxemic, Coronavirus</t>
  </si>
  <si>
    <t>Lubell, William D</t>
  </si>
  <si>
    <t>Azacyclopeptide Modulators of Immuno-metabolism to Treat Age-Related Macular Degeneration</t>
  </si>
  <si>
    <t>Azacyclopeptide, Immuno-metabolism, Macular Degeneration</t>
  </si>
  <si>
    <t>Nepveu, Alain</t>
  </si>
  <si>
    <t>Base Excision Repair in Cancer- New Mechanisms, Dependencies and Vulnerabilities</t>
  </si>
  <si>
    <t>Base Excision Repair, Cancer, Vulnerabilities</t>
  </si>
  <si>
    <t>Bertrand, Richard</t>
  </si>
  <si>
    <t>Centre hospitalier de l'Université de Montréal (CHUM)</t>
  </si>
  <si>
    <t>Bcl-xL regulation and function during G2 and mitotic spindle assembly checkpoints</t>
  </si>
  <si>
    <t>Bcl-xL, mitotic spindle, checkpoints</t>
  </si>
  <si>
    <t>Ma, Hongshen</t>
  </si>
  <si>
    <t>Behaviour-based cell separation to interrogate host cell heterogeneity in CAR-T cell therapies</t>
  </si>
  <si>
    <t>cell separation, CAR-T, heterogeneity</t>
  </si>
  <si>
    <t>Strynadka, Natalie C</t>
  </si>
  <si>
    <t>Bespoke transition state analog inhibitors of SARS-CoV-2 3CL and PL proteases</t>
  </si>
  <si>
    <t>transition state, inhibitors, proteases</t>
  </si>
  <si>
    <t>Schirrmacher, Ralf</t>
  </si>
  <si>
    <t>Beta-cell imaging with 18F-labeled glibenclamide-glucose conjugates by positron emission tomography</t>
  </si>
  <si>
    <t>beta-cell, imaging, positron emission tomography</t>
  </si>
  <si>
    <t>Operating Grant - PA: Inst of Nutrition, Metabolism and Diabetes -Bridge Funding</t>
  </si>
  <si>
    <t>200809NMD</t>
  </si>
  <si>
    <t>Murphy, Leigh C</t>
  </si>
  <si>
    <t>Beyond the estrogen receptor: Involvement of kinases in estrogen dependence and independence in human breast cancer</t>
  </si>
  <si>
    <t>estrogen receptor, kinases, breast cancer</t>
  </si>
  <si>
    <t>Menon, Ravi S</t>
  </si>
  <si>
    <t>Beyond the McDonald Criteria. Can MRI diagnose Multiple Sclerosis at the onset of initial symptoms ?</t>
  </si>
  <si>
    <t>MRI, Multiple Sclerosis, Diagnosis</t>
  </si>
  <si>
    <t>Zariffa, Jose</t>
  </si>
  <si>
    <t>Bidirectional, selective, and implantable peripheral nerve interface for restoring function after spinal cord injury</t>
  </si>
  <si>
    <t>nerve interface, spinal cord, implantable</t>
  </si>
  <si>
    <t>Menon, Carlo</t>
  </si>
  <si>
    <t>Bimanual wearable robotic orthoses to promote cortical function and recovery from stroke</t>
  </si>
  <si>
    <t>wearable, robotic, orthoses</t>
  </si>
  <si>
    <t>Kennedy, Timothy E</t>
  </si>
  <si>
    <t>Bio-integrated fully implantable peripheral nerve electrode for functional upper limb prostheses</t>
  </si>
  <si>
    <t>bio-integrated, nerve electrode, prostheses</t>
  </si>
  <si>
    <t>Xing, Zhou</t>
  </si>
  <si>
    <t>Bioengineered chimpanzee adenovirus-based vaccines against tuberculosis: Optimization of immunologic property, formulation and delivery for bench-to-human applications</t>
  </si>
  <si>
    <t>chimpanzee adenovirus, vaccines, tuberculosis</t>
  </si>
  <si>
    <t>Yim, Evelyn K</t>
  </si>
  <si>
    <t>Bioengineered self-sealing synthetic arteriovenous graft for hemodialysis access</t>
  </si>
  <si>
    <t>bioengineering, arteriovenous graft, hemodialysis</t>
  </si>
  <si>
    <t>Bioengineering a finger joint replacement</t>
  </si>
  <si>
    <t>Bioengineering, finger joint, replacement</t>
  </si>
  <si>
    <t>Li, Jianyu</t>
  </si>
  <si>
    <t>Bioengineering Tough Blood Clots for Hemorrhage Control</t>
  </si>
  <si>
    <t>Bioengineering, Blood Clots, Hemorrhage</t>
  </si>
  <si>
    <t>Azad, Taha</t>
  </si>
  <si>
    <t>Université de Sherbrooke</t>
  </si>
  <si>
    <t>Bioengineering viruses to create safer and more effective oncolytic viruses</t>
  </si>
  <si>
    <t>bioengineering, viruses, oncolytic</t>
  </si>
  <si>
    <t>Tabori, Uri</t>
  </si>
  <si>
    <t>Biological and translational implications of replication repair deficiency and hypermutation in human cancer</t>
  </si>
  <si>
    <t>replication repair, hypermutation, cancer</t>
  </si>
  <si>
    <t>Biological Finger Joint Replacement</t>
  </si>
  <si>
    <t>biological, finger joint, replacement</t>
  </si>
  <si>
    <t>Barabe, Frederic</t>
  </si>
  <si>
    <t>Biology of S100A8 and S100A9 proteins in Human Acute Myeloid Leukemia</t>
  </si>
  <si>
    <t>S100A8, S100A9, Leukemia</t>
  </si>
  <si>
    <t>Podsypanina, Katrina</t>
  </si>
  <si>
    <t>Institut de recherches cliniques de Montréal</t>
  </si>
  <si>
    <t>Operating Grant - Priority Announcement: Breast Cancer</t>
  </si>
  <si>
    <t>201209COP</t>
  </si>
  <si>
    <t>Biomarker discovery for human breast cancer relapse in a mouse model of artificial late recurrence.</t>
  </si>
  <si>
    <t>biomarker, breast cancer, relapse</t>
  </si>
  <si>
    <t>Schultz, Kirk R</t>
  </si>
  <si>
    <t>200810MOP</t>
  </si>
  <si>
    <t>Biomarkers for Chronic Graft-Versus-Host disease</t>
  </si>
  <si>
    <t>biomarkers, Graft-Versus-Host, disease</t>
  </si>
  <si>
    <t>Biomarkers for the detection of aggressive prostate cancers: Application of targeted proteomics to clinically stratified expressed prostatic secretions and urines</t>
  </si>
  <si>
    <t>biomarkers, proteomics, prostate</t>
  </si>
  <si>
    <t>Simmons, Craig A</t>
  </si>
  <si>
    <t>Biomaterial substrates for xeno- and feeder layer-free culture of human pluripotent stem cells</t>
  </si>
  <si>
    <t>biomaterial, stem cells, culture</t>
  </si>
  <si>
    <t>Andrysek, Jan</t>
  </si>
  <si>
    <t>Biomechanical biofeedback targeting the high-level rehabilitation of mobility in youth with lower limb amputations</t>
  </si>
  <si>
    <t>biomechanical, biofeedback, rehabilitation</t>
  </si>
  <si>
    <t>Oxland, Thomas R</t>
  </si>
  <si>
    <t>Biomechanical factors in spinal cord injury - relevance to the timing of decompression</t>
  </si>
  <si>
    <t>biomechanical, spinal cord injury, decompression</t>
  </si>
  <si>
    <t>Biomimetic Scaffold for Ligament Tissue Engineering</t>
  </si>
  <si>
    <t>Biomimetic, Scaffold, Ligament</t>
  </si>
  <si>
    <t>Operating Grant - PA: Musculoskeletal Health, Arthritis, Skin and Oral Health</t>
  </si>
  <si>
    <t>201109IMH</t>
  </si>
  <si>
    <t>Brown, Claire M</t>
  </si>
  <si>
    <t>Biophysical Tools for the Characterization of Breast Cancer Cell Migration and Invasion</t>
  </si>
  <si>
    <t>biophysical, breast cancer, cell migration</t>
  </si>
  <si>
    <t>Stefanovic, Bojana</t>
  </si>
  <si>
    <t>Biophysics of Functional MRI</t>
  </si>
  <si>
    <t>Biophysics, Functional MRI</t>
  </si>
  <si>
    <t>Piret, James M</t>
  </si>
  <si>
    <t>Bioprocess Engineering for Therapeutic T-cell Manufacturing</t>
  </si>
  <si>
    <t>Bioprocess, T-cell, Manufacturing</t>
  </si>
  <si>
    <t>Brunette, Isabelle</t>
  </si>
  <si>
    <t>Biosynthetic alternatives to human donor corneal transplantation</t>
  </si>
  <si>
    <t>biosynthetic, corneal, transplantation</t>
  </si>
  <si>
    <t>Gujar, Shashi A</t>
  </si>
  <si>
    <t>Dalhousie University (Nova Scotia)</t>
  </si>
  <si>
    <t>Nova Scotia</t>
  </si>
  <si>
    <t>Biotherapeutic implications for oncolytic virus-induced MHC class I ligandomes</t>
  </si>
  <si>
    <t>oncolytic virus, MHC class I, ligandomes</t>
  </si>
  <si>
    <t>Shultz, Sandy</t>
  </si>
  <si>
    <t>Vancouver Island University (Nanaimo, BC)</t>
  </si>
  <si>
    <t>Blood biomarkers to detect brain injury due to intimate partner violence</t>
  </si>
  <si>
    <t>blood biomarkers, brain injury, partner violence</t>
  </si>
  <si>
    <t>Juncker, David</t>
  </si>
  <si>
    <t>Blood-based protein test for early detection of breast cancer using antibody colocalization microarrays</t>
  </si>
  <si>
    <t>blood, protein, breast cancer</t>
  </si>
  <si>
    <t>Lavender, Kerry J</t>
  </si>
  <si>
    <t>BLT-Lung mice for the rapid evaluation of COVID-19 therapeutics</t>
  </si>
  <si>
    <t>BLT, COVID-19, mice</t>
  </si>
  <si>
    <t>Mcfadyen, Bradford J</t>
  </si>
  <si>
    <t>Body-Environment Proximity Measurement: An integrated approach to measuring mobility deficits for assessment and treatment</t>
  </si>
  <si>
    <t>Proximity, Measurement, Mobility</t>
  </si>
  <si>
    <t>Project Grant - PA: MSK, Skin and Oral Health: Clinical Research - MSK Health</t>
  </si>
  <si>
    <t>201809PJ5</t>
  </si>
  <si>
    <t>Bone hypermineralization in older men and women and its impact on hip fragility</t>
  </si>
  <si>
    <t>bone, hypermineralization, fragility</t>
  </si>
  <si>
    <t>Willett, Thomas</t>
  </si>
  <si>
    <t>Bone-mimetic nanocomposite biomaterials for critically-sized skeletal defect reconstruction</t>
  </si>
  <si>
    <t>bone, nanocomposite, biomaterials</t>
  </si>
  <si>
    <t>Bahlis, Nizar J</t>
  </si>
  <si>
    <t>Bortezomib mediated BRCAness in Myeloma cells: novel therapeutic approach combining PARP1-2 and 26S proteasome inhibitors.</t>
  </si>
  <si>
    <t>Bortezomib, BRCAness, PARP1-2</t>
  </si>
  <si>
    <t>Shoichet, Molly S</t>
  </si>
  <si>
    <t>Brain Cancer Treatment: innovations in delivery of stable siRNAs and chemotherapeutics</t>
  </si>
  <si>
    <t>siRNAs, chemotherapeutics, brain cancer</t>
  </si>
  <si>
    <t>Lilge, Lothar</t>
  </si>
  <si>
    <t>Breast cancer risk assessment using optical transillumination spectroscopy</t>
  </si>
  <si>
    <t>breast cancer, optical transillumination, spectroscopy</t>
  </si>
  <si>
    <t>Adeli, Khosrow</t>
  </si>
  <si>
    <t>201103IRO</t>
  </si>
  <si>
    <t>CALIPER: A Canadian Initiative to Close the Critical Gaps in Pediatric Reference Intervals</t>
  </si>
  <si>
    <t>pediatric, reference intervals, gaps</t>
  </si>
  <si>
    <t>Greer, Peter A</t>
  </si>
  <si>
    <t>Calpain as a novel therapeutic target in breast cancer</t>
  </si>
  <si>
    <t>Calpain, breast cancer, therapeutic target</t>
  </si>
  <si>
    <t>Hatcher, Simon</t>
  </si>
  <si>
    <t>201310CEH</t>
  </si>
  <si>
    <t>Can e-therapies reduce waiting lists in secondary mental health care? A randomised controlled trial</t>
  </si>
  <si>
    <t>e-therapies, mental health, waiting lists</t>
  </si>
  <si>
    <t>Bourbeau, Jean</t>
  </si>
  <si>
    <t>200809IRO</t>
  </si>
  <si>
    <t>Canadian Cohort Obstructive Lung Disease (CanCOLD)</t>
  </si>
  <si>
    <t>Obstructive Lung Disease, Cohort, CanCOLD</t>
  </si>
  <si>
    <t>201009IRO</t>
  </si>
  <si>
    <t>Gamper, Armin</t>
  </si>
  <si>
    <t>Cancer Therapy exploiting Conditional Synthetic Lethality based on Genotoxic Stress levels</t>
  </si>
  <si>
    <t>Cancer, Synthetic Lethality, Genotoxic Stress</t>
  </si>
  <si>
    <t>Ursini-Siegel, Giuseppina</t>
  </si>
  <si>
    <t>Capitalizing on an oxidative stress response to sensitize poor outcome cancers to PARP inhibitors</t>
  </si>
  <si>
    <t>oxidative stress, cancer, PARP inhibitors</t>
  </si>
  <si>
    <t>Bramson, Jonathan L</t>
  </si>
  <si>
    <t>CAR-engineered CD4+ T cells for tumor immunotherapy</t>
  </si>
  <si>
    <t>CAR, CD4+, T cells</t>
  </si>
  <si>
    <t>Catalytic DNA for protein sensing</t>
  </si>
  <si>
    <t>Catalytic DNA, protein sensing</t>
  </si>
  <si>
    <t>Evans, Alan C</t>
  </si>
  <si>
    <t>CBRAIN: A national platform for neurodegenerative disease imaging data</t>
  </si>
  <si>
    <t>neurodegenerative, imaging, data</t>
  </si>
  <si>
    <t>Leask, Andrew C</t>
  </si>
  <si>
    <t>CCN3: a novel antifibrotic treatment?</t>
  </si>
  <si>
    <t>CCN3, antifibrotic</t>
  </si>
  <si>
    <t>CD123-Targeted Auger Electron Radioimmunotherapy of Acute Myelogenous Leukemia (AML)</t>
  </si>
  <si>
    <t>CD123, Auger electron, leukemia</t>
  </si>
  <si>
    <t>Chevrette, Mario</t>
  </si>
  <si>
    <t>CD9 and its partners: their role in induction of mitotic catastrophe and in irradiation and microtubule-targeted drug sensitivity.</t>
  </si>
  <si>
    <t>CD9, mitotic catastrophe, microtubules</t>
  </si>
  <si>
    <t>Beauchemin, Nicole</t>
  </si>
  <si>
    <t>CEACAM1 in colon cancer progression and metastasis</t>
  </si>
  <si>
    <t>CEACAM1, colon cancer, metastasis</t>
  </si>
  <si>
    <t>Neel, Benjamin G</t>
  </si>
  <si>
    <t>Cell of Origin and Tumor Initiating Cells in Serous Ovarian Cancer</t>
  </si>
  <si>
    <t>Cell, Tumor, Ovarian</t>
  </si>
  <si>
    <t>Zhang, Ze</t>
  </si>
  <si>
    <t>Cell Response to Electrical Stimulation Mediated by Conductive Scaffold</t>
  </si>
  <si>
    <t>Cell, Electrical Stimulation, Conductive Scaffold</t>
  </si>
  <si>
    <t>Schild-Poulter, Caroline</t>
  </si>
  <si>
    <t>201503MOP</t>
  </si>
  <si>
    <t>Cell signaling pathway regulation by the RanBPM/CTLH complex in cancer development</t>
  </si>
  <si>
    <t>cell signaling, RanBPM, cancer</t>
  </si>
  <si>
    <t>Stewart, Duncan J</t>
  </si>
  <si>
    <t>Cellular Immuno-Therapy for COVID-19 Induced Acute Respiratory Distress Syndrome: the CIRCA-19 Trial</t>
  </si>
  <si>
    <t>Cellular, Immuno-Therapy, COVID-19</t>
  </si>
  <si>
    <t>Bobyn, John D</t>
  </si>
  <si>
    <t>Characterization and efficacy of bisphosphonate eluting orthopaedic implants</t>
  </si>
  <si>
    <t>bisphosphonate, orthopaedic implants, eluting</t>
  </si>
  <si>
    <t>Mubareka, Samira</t>
  </si>
  <si>
    <t>Characterization and mitigation of experimental and natural viral bioaerosols</t>
  </si>
  <si>
    <t>viral, bioaerosols, characterization</t>
  </si>
  <si>
    <t>Jones, Courtney L</t>
  </si>
  <si>
    <t>202010PJT</t>
  </si>
  <si>
    <t>Characterization and Targeting of SIRT3 in Acute Myeloid Leukemia Stem Cells</t>
  </si>
  <si>
    <t>SIRT3, Acute Myeloid Leukemia, Stem Cells</t>
  </si>
  <si>
    <t>Cunningham, Charles H</t>
  </si>
  <si>
    <t>Characterization and Validation of Hyperpolarized Carbon-13 Signals Associated with Heart Failure</t>
  </si>
  <si>
    <t>Hyperpolarized, Carbon-13, Heart Failure</t>
  </si>
  <si>
    <t>Jirik, Frank R</t>
  </si>
  <si>
    <t>Characterization of a novel model of inflammation-induced gastric neoplasia.</t>
  </si>
  <si>
    <t>inflammation, gastric, neoplasia</t>
  </si>
  <si>
    <t>Fisette, Alexandre</t>
  </si>
  <si>
    <t>Universite du Quebec e Trois-Rivieres</t>
  </si>
  <si>
    <t>Characterization of a novel molecular strategy to alleviate post-menopausal metabolic &amp; mood disorders</t>
  </si>
  <si>
    <t>molecular strategy, post-menopausal, metabolic</t>
  </si>
  <si>
    <t>Tang, Damu</t>
  </si>
  <si>
    <t>Characterization of a novel prostate cancer factor contactin 1 (CNTN1)-derived tumorigenesis through establishing a new transgenic mouse model for prostate cancer</t>
  </si>
  <si>
    <t>prostate cancer, contactin 1, tumorigenesis</t>
  </si>
  <si>
    <t>Koch, Anne</t>
  </si>
  <si>
    <t>Characterization of APLF (C2orf13) in DNA double-strand break repair and in the maintenance of genome stability</t>
  </si>
  <si>
    <t>DNA repair, genome stability, APLF</t>
  </si>
  <si>
    <t>Kolios, Michael C</t>
  </si>
  <si>
    <t>Characterization of blood storage lesions using photoacoustic technologies</t>
  </si>
  <si>
    <t>blood, photoacoustic, lesions</t>
  </si>
  <si>
    <t>Grant, Michael D</t>
  </si>
  <si>
    <t>Operating Grant: COVID-19 Rapid Research Funding Opportunity - Vaccines</t>
  </si>
  <si>
    <t>202005VR1</t>
  </si>
  <si>
    <t>COVID-19 Rapid Research - Vaccines</t>
  </si>
  <si>
    <t>Roux, Sophie</t>
  </si>
  <si>
    <t>Characterization of Covid-19 infection in rheumatoid arthritis patients- the CoViD-in-RA project</t>
  </si>
  <si>
    <t>Covid-19, rheumatoid arthritis, infection</t>
  </si>
  <si>
    <t>Sadar, Marianne D</t>
  </si>
  <si>
    <t>Characterization of EPI-001 for the treatment of prostate cancer</t>
  </si>
  <si>
    <t>EPI-001, prostate cancer</t>
  </si>
  <si>
    <t>Dellaire, Graham P</t>
  </si>
  <si>
    <t>Characterization of HR-Killer1 and identification of small molecules for cancer therapy and enhanced gene editing using CRISPR/Cas9-based DNA repair strategies</t>
  </si>
  <si>
    <t>HR-Killer1, small molecules, CRISPR</t>
  </si>
  <si>
    <t>Pause, Arnim P</t>
  </si>
  <si>
    <t>202209PLL</t>
  </si>
  <si>
    <t>Characterization of human TFE3 isoforms as drivers in breast cancer</t>
  </si>
  <si>
    <t>TFE3, isoforms, breast cancer</t>
  </si>
  <si>
    <t>Gorczynski, Reginald M</t>
  </si>
  <si>
    <t>Characterization of importance of sCD200 levels for prognosis in CLL patients</t>
  </si>
  <si>
    <t>sCD200, prognosis, CLL</t>
  </si>
  <si>
    <t>Characterization of interferon-lambda 1 as a treatment for COVID-19</t>
  </si>
  <si>
    <t>interferon-lambda, COVID-19</t>
  </si>
  <si>
    <t>Turcotte, Sandra</t>
  </si>
  <si>
    <t>Université de Moncton (New Brunswick)</t>
  </si>
  <si>
    <t>New Brunswick</t>
  </si>
  <si>
    <t>Characterization of PIKfyve as novel therapeutic target in clear cell Renal Cell Carcinoma</t>
  </si>
  <si>
    <t>PIKfyve, renal cell carcinoma, characterization</t>
  </si>
  <si>
    <t>Characterization of RanBPM function in apoptosis and cell transformation</t>
  </si>
  <si>
    <t>RanBPM, apoptosis, cell transformation</t>
  </si>
  <si>
    <t>Casper, Robert F</t>
  </si>
  <si>
    <t>201409IPR</t>
  </si>
  <si>
    <t>Characterization of the bioenergetic and metabolic function of mitochondria isolated from oocyte precursor stem cells.</t>
  </si>
  <si>
    <t>mitochondria, bioenergetic, stem cells</t>
  </si>
  <si>
    <t>Velenosi, Thomas J</t>
  </si>
  <si>
    <t>Characterizing and validating diacetylspermine as a metabolic biomarker of drug response and precision treatment in triple-negative breast cancer</t>
  </si>
  <si>
    <t>diacetylspermine, biomarker, breast cancer</t>
  </si>
  <si>
    <t>Characterizing cerebral thrombus composition with Phase-based MRI</t>
  </si>
  <si>
    <t>cerebral thrombus, MRI, phase-based</t>
  </si>
  <si>
    <t>Characterizing diacetylspermine as a biomarker of drug response and precision treatment in triple-negative breast cancer</t>
  </si>
  <si>
    <t>Brennand, Erin A</t>
  </si>
  <si>
    <t>Characterizing the impact of hysterectomy on female physiology: A proof-of-concept cohort study in pelvic organ prolapse patients</t>
  </si>
  <si>
    <t>hysterectomy, physiology, pelvic organ prolapse</t>
  </si>
  <si>
    <t>Alman, Benjamin A</t>
  </si>
  <si>
    <t>Characterizing the Sarcoma Tumor Initiating Cell: Implications for the Development of Novel Treatments for Undifferentiated Pleomorphic Sarcoma</t>
  </si>
  <si>
    <t>Sarcoma, Tumor, Cell</t>
  </si>
  <si>
    <t>Hope, Kristin</t>
  </si>
  <si>
    <t>Characterizing the stress granule network as a determinant of leukemic stem cells and novel therapeutic target in acute myeloid leukemia</t>
  </si>
  <si>
    <t>stress granule, leukemic stem cells, acute myeloid leukemia</t>
  </si>
  <si>
    <t>Chemical Biology of Amanitin-Induced Transcriptional Inhibiton</t>
  </si>
  <si>
    <t>Amanitin, Transcription, Inhibition</t>
  </si>
  <si>
    <t>Baker, Kristi</t>
  </si>
  <si>
    <t>Chemokine-mediated control of anti-tumor immunity in DNA-repair deficient colorectal cancer</t>
  </si>
  <si>
    <t>Chemokine, DNA-repair, colorectal cancer</t>
  </si>
  <si>
    <t>Muller, William J</t>
  </si>
  <si>
    <t>Chi3L1 (YKL-40) plays a multifaceted role in modulating tumor immune microenvironment during breast cancer progression.</t>
  </si>
  <si>
    <t>Chi3L1, immune microenvironment, breast cancer</t>
  </si>
  <si>
    <t>Buschmann, Michael D</t>
  </si>
  <si>
    <t>Polytechnique Montréal</t>
  </si>
  <si>
    <t>Chitosan-siRNA nanoparticles for gene silencing in Atherosclerosis and Cancer</t>
  </si>
  <si>
    <t>Chitosan, siRNA, nanoparticles</t>
  </si>
  <si>
    <t>200903NMD</t>
  </si>
  <si>
    <t>Chitosan/Plasmid-DNA Polyelectrolyte Complexes for Delivery of Glucagon-Like Peptide-1 (GLP-1) in Diabetes Type 2 Models</t>
  </si>
  <si>
    <t>Chitosan, Plasmid-DNA, GLP-1</t>
  </si>
  <si>
    <t>Herzog, Walter</t>
  </si>
  <si>
    <t>Chondrocyte mechanics and biology in the intact joint: towards an understanding of osteoarthritis development in vivo</t>
  </si>
  <si>
    <t>chondrocyte, biomechanics, osteoarthritis</t>
  </si>
  <si>
    <t>Goodarzi, Aaron</t>
  </si>
  <si>
    <t>Chromatin remodeling dynamics during human DNA double strand break repair</t>
  </si>
  <si>
    <t>chromatin remodeling, DNA repair, double strand break</t>
  </si>
  <si>
    <t>Nijnik, Anastasia</t>
  </si>
  <si>
    <t>Chromatin-binding deubiquitinase MYSM1 as a putative drug target for cMYC-driven B cell lymphoma</t>
  </si>
  <si>
    <t>chromatin, deubiquitinase, lymphoma</t>
  </si>
  <si>
    <t>Done, Susan J</t>
  </si>
  <si>
    <t>Circulating tumour cells and breast cancer heterogeneity</t>
  </si>
  <si>
    <t>circulating tumour cells, breast cancer, heterogeneity</t>
  </si>
  <si>
    <t>Bardakjian, Berj L</t>
  </si>
  <si>
    <t>Classification and control of the electrical activities in the brain's neural networks under epileptic seizure conditions</t>
  </si>
  <si>
    <t>brain, neural networks, epilepsy</t>
  </si>
  <si>
    <t>Siegel, Peter M</t>
  </si>
  <si>
    <t>Claudin-2 as a Prognostic and Therapeutic Target in Breast Cancer Liver Metastasis</t>
  </si>
  <si>
    <t>Claudin-2, Breast Cancer, Liver Metastasis</t>
  </si>
  <si>
    <t>Wootton, Sarah</t>
  </si>
  <si>
    <t>University of Guelph</t>
  </si>
  <si>
    <t>Clinical Advancement of an AAV Lung Gene Therapy Platform for the Treatment of Monogenic Lung Diseases</t>
  </si>
  <si>
    <t>AAV, gene therapy, lung</t>
  </si>
  <si>
    <t>Clinical and biological implications of monoallelic gene expression in pediatric malignant brain tumors.</t>
  </si>
  <si>
    <t>monoallelic gene expression, pediatric brain tumors, malignancy</t>
  </si>
  <si>
    <t>Huntsman, David G</t>
  </si>
  <si>
    <t>Clinical and functional significance of a pathognomonic FOXL2 mutation in granulosa cell tumours of the ovary</t>
  </si>
  <si>
    <t>FOXL2, granulosa cells, tumours</t>
  </si>
  <si>
    <t>Clinical Deployment of an End-to-End Artificial Intelligence (AI)-only Radiotherapy Treatment Planning and Decision Support Workflow</t>
  </si>
  <si>
    <t>Artificial Intelligence, Radiotherapy, Planning</t>
  </si>
  <si>
    <t>Pelletier, Joelle N</t>
  </si>
  <si>
    <t>Clinical evaluation of surface-plasmon resonance and nanoparticle-based fluorescent detection of serum biomarkers</t>
  </si>
  <si>
    <t>surface-plasmon resonance, nanoparticle, biomarkers</t>
  </si>
  <si>
    <t>Chung, Caroline</t>
  </si>
  <si>
    <t>Clinical Investigation of Frameless, Adaptive, Image-guided Gamma Knife Radiosurgery</t>
  </si>
  <si>
    <t>Gamma Knife, Image-guided, Radiosurgery</t>
  </si>
  <si>
    <t>Adamson, Robert B</t>
  </si>
  <si>
    <t>Clinical optical coherence tomography of the middle ear</t>
  </si>
  <si>
    <t>optical coherence tomography, middle ear</t>
  </si>
  <si>
    <t>Singh, Sheila K</t>
  </si>
  <si>
    <t>Clonal evolution of medulloblastoma BTICs (brain tumor initiating cells) in response to therapy: Discovering the refractory BTIC population through genes regulating stem cell self-renewal</t>
  </si>
  <si>
    <t>medulloblastoma, BTICs, stem cell</t>
  </si>
  <si>
    <t>Karsan, Aly</t>
  </si>
  <si>
    <t>Clonal interactions in myeloid malignancy</t>
  </si>
  <si>
    <t>clonal interactions, myeloid malignancy</t>
  </si>
  <si>
    <t>Dumont, Guy A</t>
  </si>
  <si>
    <t>Closed-Loop Control of Anesthesia</t>
  </si>
  <si>
    <t>Closed-Loop, Control, Anesthesia</t>
  </si>
  <si>
    <t>Kremer, Richard B</t>
  </si>
  <si>
    <t>Co-targeting parathyroid-hormone related protein (PTHrP) signaling and osteoclast activation to counter breast cancer metastasis to bone</t>
  </si>
  <si>
    <t>PTHrP, osteoclast, metastasis</t>
  </si>
  <si>
    <t>Rak, Janusz</t>
  </si>
  <si>
    <t>Coagulation system effectors as regulators of tumour dormancy and therapeutic targets</t>
  </si>
  <si>
    <t>coagulation, tumour, dormancy</t>
  </si>
  <si>
    <t>Godin, Michel</t>
  </si>
  <si>
    <t>Cocooning Therapeutic Cells</t>
  </si>
  <si>
    <t>Cocooning, Therapeutic Cells</t>
  </si>
  <si>
    <t>Wilansky, Pamela</t>
  </si>
  <si>
    <t>Operation:eHealth Innov Partnership Program(eHIPP)-Youth &amp;Adolescent Mental Hlth</t>
  </si>
  <si>
    <t>201506EH1</t>
  </si>
  <si>
    <t>eHealth Innovation Partnership Program (eHIPP): Youth and Adolescents Mental Health</t>
  </si>
  <si>
    <t>Cognitive Behavior Therapy for Anxious and Depressed Youth: Improving Outcomes through Mobile Technology</t>
  </si>
  <si>
    <t>Cognitive Behavior Therapy, Mobile Technology, Youth</t>
  </si>
  <si>
    <t>Frampton, John P</t>
  </si>
  <si>
    <t>Collagen Fiber Scaffolds for Emergency Treatment of Corneal Injury</t>
  </si>
  <si>
    <t>Collagen, Fiber, Corneal</t>
  </si>
  <si>
    <t>Holdsworth, David W</t>
  </si>
  <si>
    <t>Combined gamma probe and ultrasound imaging system for cancer surgery</t>
  </si>
  <si>
    <t>gamma probe, ultrasound, imaging</t>
  </si>
  <si>
    <t>Korneluk, Robert G</t>
  </si>
  <si>
    <t>Children's Hospital of Eastern Ontario Research Institute Inc</t>
  </si>
  <si>
    <t>Combined IAP antagonism and immunotherapy for cancer treatment</t>
  </si>
  <si>
    <t>IAP, immunotherapy, cancer</t>
  </si>
  <si>
    <t>Bouffet, Eric</t>
  </si>
  <si>
    <t>Combined MEK inhibition and metronomic chemotherapy for recurrent/refractory paediatric low grade gliomas</t>
  </si>
  <si>
    <t>MEK inhibition, chemotherapy, gliomas</t>
  </si>
  <si>
    <t>Stanisz, Greg J</t>
  </si>
  <si>
    <t>Combining Advanced Metabolic MRI with Genomics to Refine the Treatment Paradigm for Grade 2/3 IDH-wildtype Astrocytoma ("Molecular Glioblastoma")</t>
  </si>
  <si>
    <t>Metabolic MRI, Genomics, Astrocytoma</t>
  </si>
  <si>
    <t>Bherer, Louis</t>
  </si>
  <si>
    <t>Operating Grant : Adv Theoretical Meth Innov Hlth Res-Longitudinal Studies Aging</t>
  </si>
  <si>
    <t>201110TO1</t>
  </si>
  <si>
    <t>Operating Grant: Innovations in Health Research</t>
  </si>
  <si>
    <t>Combining functional near infra-red spectroscopy and dual-task walking to track preclinical motor and cognitive declines and their evolution in aging individuals.</t>
  </si>
  <si>
    <t>near-infrared spectroscopy, dual-task walking, aging</t>
  </si>
  <si>
    <t>Walsh, Logan A</t>
  </si>
  <si>
    <t>Combining highly multiplexed imaging data with AI to unlock new predictive biomarkers for lung cancer</t>
  </si>
  <si>
    <t>multiplexed imaging, AI, biomarkers</t>
  </si>
  <si>
    <t>Kim, Keekyoung</t>
  </si>
  <si>
    <t>Computational modeling of anatomy guided 3D vasculature network for organ bioprinting and regeneration</t>
  </si>
  <si>
    <t>computational modeling, vasculature, bioprinting</t>
  </si>
  <si>
    <t>Moradi, Mehdi</t>
  </si>
  <si>
    <t>201309IC1</t>
  </si>
  <si>
    <t>Computational multimodal radiologic profiling as a prognostic biomarker for individualized prostate cancer therapy</t>
  </si>
  <si>
    <t>computational, radiologic, prostate cancer</t>
  </si>
  <si>
    <t>Johnson, James A</t>
  </si>
  <si>
    <t>Computer Assisted Surgery of the Elbow</t>
  </si>
  <si>
    <t>Computer, Surgery, Elbow</t>
  </si>
  <si>
    <t>Krause, Juergen</t>
  </si>
  <si>
    <t>University of Prince Edward Island (Charlottetown)</t>
  </si>
  <si>
    <t>Prince Edward Island</t>
  </si>
  <si>
    <t>Computer Based Training for Cognitive Behavioral Therapy (CBT4CBT) for Improved  Addiction Treatment in Canadian Youth</t>
  </si>
  <si>
    <t>Computer, Behavioral Therapy, Addiction</t>
  </si>
  <si>
    <t>Cherkasov, Artem</t>
  </si>
  <si>
    <t>Computer-aided discovery of synergistic drug combinations with Remdevisir for COVID-19 through mechanism-based drug repurposing and combinatorial organoid screening.</t>
  </si>
  <si>
    <t>drug combinations, COVID-19, organoid screening</t>
  </si>
  <si>
    <t>Computer-Integrated Ultrasound Guidance and Mechatronics Assistance for Breast Brachytherapy</t>
  </si>
  <si>
    <t>Ultrasound, Guidance, Brachytherapy</t>
  </si>
  <si>
    <t>Mckeown, Martin J</t>
  </si>
  <si>
    <t>Confidential Automatic Monitoring, Examination, and Recognition of disease Activity (CAMERA): Application to Parkinson and Alzheimer Diseases</t>
  </si>
  <si>
    <t>Automatic, Monitoring, Disease</t>
  </si>
  <si>
    <t>Conformal coating using layer-by-layer self-assembly of polyelectrolytes for immunomodulation of pancreatic islets</t>
  </si>
  <si>
    <t>conformal coating, layer-by-layer, polyelectrolytes</t>
  </si>
  <si>
    <t>Naus, Christian C</t>
  </si>
  <si>
    <t>Connexin regulation and glioma growth control</t>
  </si>
  <si>
    <t>Connexin, glioma, regulation</t>
  </si>
  <si>
    <t>St. Lawrence, Keith S</t>
  </si>
  <si>
    <t>London Health Sciences Centre Res. Inc. (Ont.)</t>
  </si>
  <si>
    <t>Continuous monitoring of cerebral blood flow and metabolism in the critically ill newborn</t>
  </si>
  <si>
    <t>cerebral blood flow, metabolism, newborn</t>
  </si>
  <si>
    <t>Haas, Kurt</t>
  </si>
  <si>
    <t>Contribution of genetic variation of ACE2, the receptor for SARS-CoV-2, to COVID-19 disease expression and development of therapeutics</t>
  </si>
  <si>
    <t>ACE2, SARS-CoV-2, genetics</t>
  </si>
  <si>
    <t>Waldman, Stephen D</t>
  </si>
  <si>
    <t>Controlling Glucose Metabolism to Develop Superior Tissue Engineered Cartilage</t>
  </si>
  <si>
    <t>Glucose, Metabolism, Cartilage</t>
  </si>
  <si>
    <t>Ahmed, Shahid</t>
  </si>
  <si>
    <t>Conversion From Unresectable To Resectable Liver Metastases In Patients With Liver-Only Metastatic Colorectal Cancer Treated With FOLFOXIRI Plus Bevacizumab. The Conversion Trial.</t>
  </si>
  <si>
    <t>liver metastases, colorectal cancer, FOLFOXIRI</t>
  </si>
  <si>
    <t>Boucher, Marie-Josee</t>
  </si>
  <si>
    <t>200909IC1</t>
  </si>
  <si>
    <t>Cooperation between the Notch and the kRas signaling pathways in pancreatic cancer progression.</t>
  </si>
  <si>
    <t>Notch, kRas, pancreatic cancer</t>
  </si>
  <si>
    <t>Di Noia, Javier M</t>
  </si>
  <si>
    <t>Coordinating DNA deamination, double strand break and repair to prevent genomic instability during antibody gene diversification.</t>
  </si>
  <si>
    <t>DNA, deamination, repair</t>
  </si>
  <si>
    <t>Bell, Brendan B</t>
  </si>
  <si>
    <t>Core promoter-binding complexes as novel targets to cure HIV/AIDS</t>
  </si>
  <si>
    <t>core promoter, binding complexes, HIV/AIDS</t>
  </si>
  <si>
    <t>Germain, Lucie</t>
  </si>
  <si>
    <t>Cornee reconstruite in vitro par genie tissulaire pour des applications experimentales et cliniques</t>
  </si>
  <si>
    <t>cornee, genie tissulaire, in vitro</t>
  </si>
  <si>
    <t>Flamand, Louis</t>
  </si>
  <si>
    <t>COVID-19 trilogy: ARDS, inflammation and coagulopathy.</t>
  </si>
  <si>
    <t>COVID-19, ARDS, coagulopathy</t>
  </si>
  <si>
    <t>Kim, Paul Y</t>
  </si>
  <si>
    <t>COVID-19: Comprehensive biomarker analysis for prediction of clinical course and patient treatment outcomes (COVID-BEACONS)</t>
  </si>
  <si>
    <t>COVID-19, biomarker, prediction</t>
  </si>
  <si>
    <t>Elliott, Janet A</t>
  </si>
  <si>
    <t>Cryobiology and Cryopreservation of Corneal Endothelial Monolayers</t>
  </si>
  <si>
    <t>Cryobiology, Cryopreservation, Corneal Endothelial</t>
  </si>
  <si>
    <t>201110MOP</t>
  </si>
  <si>
    <t>Cryobiology and Preservation of Cells and Tissues</t>
  </si>
  <si>
    <t>Cryobiology, Preservation, Cells</t>
  </si>
  <si>
    <t>Operating Grant - PA: INMHA (bridge funding)</t>
  </si>
  <si>
    <t>201209INO</t>
  </si>
  <si>
    <t>201303INO</t>
  </si>
  <si>
    <t>Cryobiology of Cardiomyocytes and Engineered Living Cardiac Tissue</t>
  </si>
  <si>
    <t>Cryobiology, Cardiomyocytes, Cardiac tissue</t>
  </si>
  <si>
    <t>Nielsen, Torsten O</t>
  </si>
  <si>
    <t>CSF1 pathway inhibitors in tenosynovial giant cell tumors and leiomyosarcoma</t>
  </si>
  <si>
    <t>CSF1, pathway inhibitors, giant cell tumors</t>
  </si>
  <si>
    <t>Minden, Mark D</t>
  </si>
  <si>
    <t>CSF1R as a therapeutic target in Acute Myeloid Leukemia</t>
  </si>
  <si>
    <t>CSF1R, Acute Myeloid Leukemia, therapeutic target</t>
  </si>
  <si>
    <t>Devereaux, Philip J</t>
  </si>
  <si>
    <t>CT Angiography Prediction of Vascular events In noncardiac Surgery patients cOhort evaluatioN (CTA-VISION)</t>
  </si>
  <si>
    <t>CT, Angiography, Vascular</t>
  </si>
  <si>
    <t>Haglund, Lisbet A</t>
  </si>
  <si>
    <t>Curve progression, tissue remodelling and disease-modifying drugs in idiopathic scoliosis.</t>
  </si>
  <si>
    <t>curve, tissue remodelling, scoliosis</t>
  </si>
  <si>
    <t>McElwee, Kevin J</t>
  </si>
  <si>
    <t>Operating Grant: Fall 2008 Priority Announcement (IMHA)</t>
  </si>
  <si>
    <t>200809MUS</t>
  </si>
  <si>
    <t>CXC chemokines in basal cell carcinomas</t>
  </si>
  <si>
    <t>CXC chemokines, basal cell carcinoma</t>
  </si>
  <si>
    <t>Steidl, Christian</t>
  </si>
  <si>
    <t>Cytokine receptor common beta chain alterations in mediastinal lymphomas</t>
  </si>
  <si>
    <t>cytokine receptor, beta chain, lymphomas</t>
  </si>
  <si>
    <t>Thornton, Gail M</t>
  </si>
  <si>
    <t>200809IMH</t>
  </si>
  <si>
    <t>Damage Mechanics and Mechanisms in Ligament and Tendon</t>
  </si>
  <si>
    <t>Damage, Mechanics, Ligament</t>
  </si>
  <si>
    <t>Rakovitch, Eileen</t>
  </si>
  <si>
    <t>DCIS-Precise: A Genomics-Driven Model for Predicting DCIS Response to Radiation</t>
  </si>
  <si>
    <t>DCIS, Genomics, Radiation</t>
  </si>
  <si>
    <t>Garnis, Cathie</t>
  </si>
  <si>
    <t>Deciphering and reconstituting genetic events in oral cancer progression</t>
  </si>
  <si>
    <t>genetic, oral cancer, reconstitution</t>
  </si>
  <si>
    <t>Deciphering communication networks across glioblastoma cell states</t>
  </si>
  <si>
    <t>communication, networks, glioblastoma</t>
  </si>
  <si>
    <t>Lerch, Jason P</t>
  </si>
  <si>
    <t>Deciphering the bases of sex differences in the brain and their role in psychiatric disorders</t>
  </si>
  <si>
    <t>sex differences, brain, psychiatric disorders</t>
  </si>
  <si>
    <t>Nelson, Brad H</t>
  </si>
  <si>
    <t>Deciphering the Hottest Immune Neighbourhoods in Ovarian Cancer to Advance Immunotherapy</t>
  </si>
  <si>
    <t>immune, ovarian, immunotherapy</t>
  </si>
  <si>
    <t>Deciphering the impact of genetic and microenvironmental variation on pancreatic ductal adenocarcinoma (PDAC) cell phenotype and response to therapy</t>
  </si>
  <si>
    <t>genetic, microenvironmental, pancreatic ductal adenocarcinoma</t>
  </si>
  <si>
    <t>Stagg, John</t>
  </si>
  <si>
    <t>Deciphering the role of protease-activated receptor 2 in immuno-oncology</t>
  </si>
  <si>
    <t>protease-activated receptor, immuno-oncology, receptor</t>
  </si>
  <si>
    <t>Gevry, Nicolas</t>
  </si>
  <si>
    <t>Deciphering the role of the nuclear receptor LRH-1 in the establishment of a specific transcriptional program in triple negative breast cancer.</t>
  </si>
  <si>
    <t>nuclear receptor, LRH-1, breast cancer</t>
  </si>
  <si>
    <t>Haigh, Jody J</t>
  </si>
  <si>
    <t>Deciphering the Role of ZEB2 transcription factor in B cell Ontogeny and Transformation.</t>
  </si>
  <si>
    <t>ZEB2, transcription factor, B cell</t>
  </si>
  <si>
    <t>Anglesio, Michael S</t>
  </si>
  <si>
    <t>Deconvoluting Prognostic and Targetable Features of Endometrioid Ovarian Carcinomas of No Specific Molecular Profile</t>
  </si>
  <si>
    <t>Deconvoluting, Prognostic, Ovarian Carcinomas</t>
  </si>
  <si>
    <t>Lapointe, Rejean</t>
  </si>
  <si>
    <t>Defining innovating cancer vaccine based on virus-like particles by targeting multiple antigens</t>
  </si>
  <si>
    <t>cancer vaccine, virus-like particles, antigens</t>
  </si>
  <si>
    <t>Watson, Ian R</t>
  </si>
  <si>
    <t>Defining the distinct roles of MAPK pathway mutations in immune and targeted therapy response in melanoma</t>
  </si>
  <si>
    <t>MAPK, mutations, melanoma</t>
  </si>
  <si>
    <t>Defining the Immunomodulatory Role of GPNMB in Triple Negative Breast Cancer</t>
  </si>
  <si>
    <t>GPNMB, Immunomodulatory, Breast Cancer</t>
  </si>
  <si>
    <t>Marcato, Paola</t>
  </si>
  <si>
    <t>Defining the mechanism of ALDH1A3 in breast cancer for the identification of novel therapeutic targets</t>
  </si>
  <si>
    <t>ALDH1A3, breast cancer, therapeutic targets</t>
  </si>
  <si>
    <t>Defining the mechanisms and therapeutic potential of ShcA-mediated angiogenesis and metabolism that fuel breast tumorigenesis</t>
  </si>
  <si>
    <t>ShcA, angiogenesis, tumorigenesis</t>
  </si>
  <si>
    <t>Defining the Molecular Mechanisms and Clinical Implications of p66ShcA as a Driver of the Epithelial to Mesenchymal Transition in Breast Cancer</t>
  </si>
  <si>
    <t>p66ShcA, Epithelial to Mesenchymal Transition, Breast Cancer</t>
  </si>
  <si>
    <t>Pin, Christopher L</t>
  </si>
  <si>
    <t>Defining the role for ATF3 in recurrent pancreatic injury and PDAC</t>
  </si>
  <si>
    <t>ATF3, pancreatic injury, PDAC</t>
  </si>
  <si>
    <t>Benoit, Yannick D</t>
  </si>
  <si>
    <t>Defining the role of dopamine transporter in the hierarchical organization of colorectal tumors</t>
  </si>
  <si>
    <t>dopamine transporter, colorectal tumors</t>
  </si>
  <si>
    <t>Defining the role of protein arginine methyltransferases (PRMTs) and RGG/RG motifs in cancer and in the maintenance of genomic stability.</t>
  </si>
  <si>
    <t>protein arginine methyltransferases, RGG/RG motifs, genomic stability</t>
  </si>
  <si>
    <t>Hawkins, Cynthia E</t>
  </si>
  <si>
    <t>Defining the role of the histone 3 (H3.3G34R) mutation in the pathogenesis of pediatric high grade astrocytoma</t>
  </si>
  <si>
    <t>histone, mutation, astrocytoma</t>
  </si>
  <si>
    <t>Cummins, Carolyn L</t>
  </si>
  <si>
    <t>201309IPR</t>
  </si>
  <si>
    <t>Defining the structural basis for LXR beta antagonism</t>
  </si>
  <si>
    <t>LXR, beta, antagonism</t>
  </si>
  <si>
    <t>Nichols, Anthony C</t>
  </si>
  <si>
    <t>Project Grant - Priority Announcement: Patient-Oriented Research</t>
  </si>
  <si>
    <t>202203PJK</t>
  </si>
  <si>
    <t>Defining the tumour immune microenvironment underlying chemoradiation resistance in human papillomavirus related head and neck cancer</t>
  </si>
  <si>
    <t>tumour, immune, chemoradiation</t>
  </si>
  <si>
    <t>Hoemann, Caroline D</t>
  </si>
  <si>
    <t>Defining therapeutic inflammation for cartilage repair</t>
  </si>
  <si>
    <t>therapeutic inflammation, cartilage repair</t>
  </si>
  <si>
    <t>Deformability based Cell Sorting Enabling Quality Control of Stored Red Blood Cells</t>
  </si>
  <si>
    <t>Deformability, Cell Sorting, Red Blood Cells</t>
  </si>
  <si>
    <t>Santerre, Paul</t>
  </si>
  <si>
    <t>Degradable Cardiac Patch with Immuno-modulatory function</t>
  </si>
  <si>
    <t>Cardiac, Degradable, Immuno-modulatory</t>
  </si>
  <si>
    <t>Huang, Annie</t>
  </si>
  <si>
    <t>Delineating mechanisms of cellular and phenotypic heterogeneity in ETMRs</t>
  </si>
  <si>
    <t>cellular, heterogeneity, ETMRs</t>
  </si>
  <si>
    <t>Delineating transforming pathways in childhood primitive neuro-ectodermal brain tumours</t>
  </si>
  <si>
    <t>neuro-ectodermal, brain tumours, pathways</t>
  </si>
  <si>
    <t>Delivery improvements for photodynamic therapy</t>
  </si>
  <si>
    <t>delivery, photodynamic, therapy</t>
  </si>
  <si>
    <t>Unsworth, Larry D</t>
  </si>
  <si>
    <t>Delivery platforms for treating perinatal brain injury</t>
  </si>
  <si>
    <t>delivery, brain injury, perinatal</t>
  </si>
  <si>
    <t>Gros-Louis, Francois</t>
  </si>
  <si>
    <t>Depicting disease heterogeneity in neurofibromatosis type 1 and the role of dermal fibroblasts in the establishment of microenvironment favouring NF1-associated skin tumor formation using personalized tissue-engineered 3D models</t>
  </si>
  <si>
    <t>neurofibromatosis, dermal fibroblasts, tissue-engineered</t>
  </si>
  <si>
    <t>Pro. Gr. - PA: Inst. of Musculoskeletal Health and Arthritis: IMHA Mandate Areas</t>
  </si>
  <si>
    <t>202209MHM</t>
  </si>
  <si>
    <t>Depicting disease heterogeneity in neurofibromatosis type 1 and the role of microenvironment in NF1-associated skin tumor formation through personalized tissue-engineered 3D models</t>
  </si>
  <si>
    <t>neurofibromatosis, microenvironment, tissue-engineered</t>
  </si>
  <si>
    <t>Lee, Tim K</t>
  </si>
  <si>
    <t>201003IMH</t>
  </si>
  <si>
    <t>Depth-sensitive low-coherent speckle technique for skin lesion differentiation</t>
  </si>
  <si>
    <t>depth, speckle, skin lesion</t>
  </si>
  <si>
    <t>Rancourt, Derrick E</t>
  </si>
  <si>
    <t>Derivation and Culture of Naeve Pluripotent Stem Cells in Stirred Suspension Bioreactors</t>
  </si>
  <si>
    <t>Naive, pluripotent, bioreactors</t>
  </si>
  <si>
    <t>Dong, Xuesen</t>
  </si>
  <si>
    <t>Design a Double-Bolt Lock to Control Cancer Cell Growth</t>
  </si>
  <si>
    <t>Double-Bolt Lock, Cancer Cell, Control</t>
  </si>
  <si>
    <t>Biddiss, Elaine A</t>
  </si>
  <si>
    <t>Design and evaluation of an interactive computer play platform to motivate participation in home-based therapies for young people with cerebral palsy: Let's Play!</t>
  </si>
  <si>
    <t>interactive, computer, therapies</t>
  </si>
  <si>
    <t>Cafazzo, Joseph A</t>
  </si>
  <si>
    <t>Design and Evaluation of an mHealth Behavioural Intervention for the Self-Management of Type 2 Diabetes Mellitus</t>
  </si>
  <si>
    <t>mHealth, Behavioural Intervention, Diabetes</t>
  </si>
  <si>
    <t>Design and evaluation of small molecules that target the dimerization interface of full-length and splice-variant forms of the androgen receptor as a potential treatment for advanced prostate cancer</t>
  </si>
  <si>
    <t>small molecules, androgen receptor, prostate cancer</t>
  </si>
  <si>
    <t>Cloutier, Guy</t>
  </si>
  <si>
    <t>Design of a bracelet embedding high-frequency ultrasound transducers to acquire venous blood echogenicity spectral data for patient monitoring</t>
  </si>
  <si>
    <t>ultrasound, transducers, blood</t>
  </si>
  <si>
    <t>Design of a high content personalized medicine screening tool for the treatment of cancer</t>
  </si>
  <si>
    <t>personalized medicine, screening, cancer</t>
  </si>
  <si>
    <t>Cullis, Pieter R</t>
  </si>
  <si>
    <t>201203IPR</t>
  </si>
  <si>
    <t>Design of Lipid Nanoparticle Systems for the Systemic Delivery of siRNA</t>
  </si>
  <si>
    <t>Lipid Nanoparticle, siRNA, Delivery</t>
  </si>
  <si>
    <t>Rocheleau, Jonathan V</t>
  </si>
  <si>
    <t>200902NHG</t>
  </si>
  <si>
    <t>Design of novel microfluidic devices to stimulate growth and maintenance of ex vivo pancreatic islet endothelial cells.</t>
  </si>
  <si>
    <t>microfluidic, pancreatic islet, endothelial cells</t>
  </si>
  <si>
    <t>Uludag, Hasan</t>
  </si>
  <si>
    <t>Designing Amphiphilic Polymeric Carriers of DNA for Gene Therapy</t>
  </si>
  <si>
    <t>Amphiphilic, Polymeric, DNA</t>
  </si>
  <si>
    <t>Hoare, Todd R</t>
  </si>
  <si>
    <t>Designing Highly Porous Drug-Impregnated Polymer Scaffolds Using Pressurized Gas Expanded Liquids for the Treatment of Lung Fibrosis and Wound Infections</t>
  </si>
  <si>
    <t>Polymer scaffolds, Gas expanded liquids, Lung fibrosis</t>
  </si>
  <si>
    <t>Bernard, Nicole F</t>
  </si>
  <si>
    <t>Determinants of the functional cure profile observed in HIV infected Elite Controllers.</t>
  </si>
  <si>
    <t>HIV, Elite Controllers, functional cure</t>
  </si>
  <si>
    <t>Dirks, Peter B</t>
  </si>
  <si>
    <t>Determining the cellular mechanisms of initiation and evolution of hypermutant glioma</t>
  </si>
  <si>
    <t>cellular, glioma, hypermutant</t>
  </si>
  <si>
    <t>Lichty, Brian D</t>
  </si>
  <si>
    <t>Determining the fate of tumour cells killed by an oncolytic virus.</t>
  </si>
  <si>
    <t>oncolytic virus, tumour cells, fate</t>
  </si>
  <si>
    <t>McCoy, Kathy</t>
  </si>
  <si>
    <t>Determining the impact of inosine-producing microbes in promoting the efficacy and modulating toxicity of immune checkpoint blockade therapy in cancer.</t>
  </si>
  <si>
    <t>inosine, microbes, immune checkpoint</t>
  </si>
  <si>
    <t>Lankarany, Milad</t>
  </si>
  <si>
    <t>Developing a Biologically-realistic Model-based Approach for Generating Deep Brain Stimulation Patterns</t>
  </si>
  <si>
    <t>Deep Brain Stimulation, Model-based, Patterns</t>
  </si>
  <si>
    <t>Giles, Joshua W</t>
  </si>
  <si>
    <t>University of Victoria (British Columbia)</t>
  </si>
  <si>
    <t>Developing a Patient-Specific Surgical Decision-Assistance Tool to Improve Reverse Shoulder Replacement Outcomes</t>
  </si>
  <si>
    <t>Patient-specific, Surgical, Reverse shoulder</t>
  </si>
  <si>
    <t>Wu, Robert</t>
  </si>
  <si>
    <t>Developing a wearable device and a mobile application that aids patients in self-management of their COPD by providing biofeedback, education and guidance</t>
  </si>
  <si>
    <t>wearable device, mobile application, COPD</t>
  </si>
  <si>
    <t>Vahidi, Siavash</t>
  </si>
  <si>
    <t>Developing allosteric inhibitors of mitochondrial ClpP protease for acute myeloid leukemia</t>
  </si>
  <si>
    <t>allosteric, inhibitors, ClpP</t>
  </si>
  <si>
    <t>Bizzotto, Dan</t>
  </si>
  <si>
    <t>Developing an electrochemical beacon detection method for pathogen nucleic acid speciation</t>
  </si>
  <si>
    <t>electrochemical, beacon, nucleic acid</t>
  </si>
  <si>
    <t>Kearney, Robert E</t>
  </si>
  <si>
    <t>Developing and clinically testing a learning algorithm that optimizes the performance of the artificial pancreas</t>
  </si>
  <si>
    <t>learning algorithm, artificial pancreas, performance</t>
  </si>
  <si>
    <t>Malkin, David D</t>
  </si>
  <si>
    <t>Developing diagnostics of patient-specific cancer risk and early-stage tumorigenesis</t>
  </si>
  <si>
    <t>diagnostics, cancer, tumorigenesis</t>
  </si>
  <si>
    <t>Lee, Seung-Hwan</t>
  </si>
  <si>
    <t>Developing Natural Killer Cell-Mediated Combination Immunotherapies for the Treatment of Multiple Myeloma</t>
  </si>
  <si>
    <t>Natural Killer, Immunotherapies, Multiple Myeloma</t>
  </si>
  <si>
    <t>Lin, Francis</t>
  </si>
  <si>
    <t>Developing Novel Integrated Point-of-Care Systems for Chronic Kidney Disease Biomarkers Measurements</t>
  </si>
  <si>
    <t>Point-of-Care, Biomarkers, Kidney Disease</t>
  </si>
  <si>
    <t>Liu, Peter P</t>
  </si>
  <si>
    <t>Ottawa Heart Institute Research Corporation (Ontario)</t>
  </si>
  <si>
    <t>Developing Novel Therapeutic Targets for Heart Failure</t>
  </si>
  <si>
    <t>Therapeutic targets, Heart failure</t>
  </si>
  <si>
    <t>Dacosta, Ralph S</t>
  </si>
  <si>
    <t>Developing Preclinical Optical Imaging Tools for Studying Vasculature, Microenvironment, and Radiation Response of Solid Tumours In Vivo.</t>
  </si>
  <si>
    <t>Optical imaging, Vasculature, Tumours</t>
  </si>
  <si>
    <t>Jirasek, Andrew I</t>
  </si>
  <si>
    <t>Developing Raman spectroscopic techniques for the prediction and monitoring of cellular and tumour response to radiation therapy</t>
  </si>
  <si>
    <t>Raman spectroscopy, cellular response, radiation</t>
  </si>
  <si>
    <t>Developing RNA-cleaving DNAzymes as Molecular Tools for Cancer Study and as Cancer Therapeutics</t>
  </si>
  <si>
    <t>RNA, DNAzymes, Cancer</t>
  </si>
  <si>
    <t>Jefferies, Wilfred A</t>
  </si>
  <si>
    <t>Developing Technologies to Modulate Immunogenicity in Disease</t>
  </si>
  <si>
    <t>Immunogenicity, Modulation, Disease</t>
  </si>
  <si>
    <t>Thompson, Michael R</t>
  </si>
  <si>
    <t>Developing Thermally Stable Dry Powder Vaccine Platforms Via Spray Drying Tailored for Inhalation Delivery</t>
  </si>
  <si>
    <t>Thermal stability, Dry powder, Inhalation</t>
  </si>
  <si>
    <t>Ghahary, Aziz</t>
  </si>
  <si>
    <t>Project Grant - PA: MSK/Skin/Oral Health: Clinical Research - Skin Health</t>
  </si>
  <si>
    <t>201903PJ6</t>
  </si>
  <si>
    <t>Development and application of a Multifunctional Nutrient-rich Composite Scaffold for Treatment of Complex Wounds</t>
  </si>
  <si>
    <t>Nutrient-rich, Composite Scaffold, Wounds</t>
  </si>
  <si>
    <t>Stirling, Peter C</t>
  </si>
  <si>
    <t>Development and application of novel FEN1 endonuclease inhibitors</t>
  </si>
  <si>
    <t>FEN1, endonuclease, inhibitors</t>
  </si>
  <si>
    <t>Calon, Frederic</t>
  </si>
  <si>
    <t>Development and bioimaging of blood-brain barrier vectorized nanoparticles</t>
  </si>
  <si>
    <t>blood-brain barrier, nanoparticles, bioimaging</t>
  </si>
  <si>
    <t>Miller, Donald W</t>
  </si>
  <si>
    <t>Development and clinical assessment of novel biomarker drugs targeting SSAT1 for detection and therapeutic monitoring of glioblastoma</t>
  </si>
  <si>
    <t>biomarker, SSAT1, glioblastoma</t>
  </si>
  <si>
    <t>Anglin, Carolyn</t>
  </si>
  <si>
    <t>Development and Clinical Efficacies of an Innovative Quantitative Intraoperative C-arm System</t>
  </si>
  <si>
    <t>C-arm, Intraoperative, Quantitative</t>
  </si>
  <si>
    <t>Leblond, Frederic</t>
  </si>
  <si>
    <t>Development and clinical translation of a Raman spectroscopy imaging technique to increase the extent of tumor resection in glioma surgery</t>
  </si>
  <si>
    <t>Raman spectroscopy, imaging, glioma</t>
  </si>
  <si>
    <t>Haibe-Kains, Benjamin</t>
  </si>
  <si>
    <t>Development and comparison of radiomics models for prognosis and monitoring</t>
  </si>
  <si>
    <t>radiomics, prognosis, monitoring</t>
  </si>
  <si>
    <t>van Donkelaar, Paul</t>
  </si>
  <si>
    <t>Development and validation of a clinical assessment tool to improve detection of brain injury in intimate partner violence</t>
  </si>
  <si>
    <t>brain injury, assessment tool, violence</t>
  </si>
  <si>
    <t>Musselman, Kristin E</t>
  </si>
  <si>
    <t>Development and validation of a clinically feasible, novel therapy for improving standing balance and reducing falls</t>
  </si>
  <si>
    <t>standing balance, fall prevention, clinical validation</t>
  </si>
  <si>
    <t>Development and validation of MRI biomarkers for diagnosis and prognosis of prodromal Alzheimer's disease</t>
  </si>
  <si>
    <t>MRI, biomarkers, Alzheimer's</t>
  </si>
  <si>
    <t>De Ribaupierre, Sandrine</t>
  </si>
  <si>
    <t>Development and validation of new technologies to monitor hydrocephalus</t>
  </si>
  <si>
    <t>hydrocephalus, monitoring, validation</t>
  </si>
  <si>
    <t>Bathe, Oliver F</t>
  </si>
  <si>
    <t>Development of a Blood Test for Colorectal Cancer based on Metabolomic Signature</t>
  </si>
  <si>
    <t>Blood test, colorectal cancer, metabolomics</t>
  </si>
  <si>
    <t>Chiao, Mu</t>
  </si>
  <si>
    <t>Development of a confocal endoscope for gastrointestinal cancer diagnosis</t>
  </si>
  <si>
    <t>confocal, endoscope, gastrointestinal</t>
  </si>
  <si>
    <t>Mandelis, Andreas</t>
  </si>
  <si>
    <t>Development of a high-resolution photothermal coherence tomography clinical device for detection and 3-D mapping of early dental caries</t>
  </si>
  <si>
    <t>photothermal, coherence tomography, dental caries</t>
  </si>
  <si>
    <t>Yudin, Andrei</t>
  </si>
  <si>
    <t>Development of a lead boron-containing ClpP inhibitor for AML therapy</t>
  </si>
  <si>
    <t>lead, boron, ClpP</t>
  </si>
  <si>
    <t>Lee, Warren L</t>
  </si>
  <si>
    <t>Development of a lung ultrasound therapy system for acute respiratory distress syndrome</t>
  </si>
  <si>
    <t>lung, ultrasound, respiratory distress</t>
  </si>
  <si>
    <t>Waspe, Adam C</t>
  </si>
  <si>
    <t>Development of a Magnetic Resonance guided High Intensity Focused Ultrasound Therapy Platform for Perinatal Applications</t>
  </si>
  <si>
    <t>Magnetic Resonance, Focused Ultrasound, Perinatal</t>
  </si>
  <si>
    <t>Pasini, Damiano</t>
  </si>
  <si>
    <t>Development of a mechanically biomcompatible hip replacement implant with Ti-6Al-4V open-cell microlattice architecture</t>
  </si>
  <si>
    <t>hip replacement, biomcompatible, Ti-6Al-4V</t>
  </si>
  <si>
    <t>Ren, Carolyn L</t>
  </si>
  <si>
    <t>Development of a Microwave Enabled Bio-Nano-Microfluidic Device for Point-of-Care Diagnosis of COVID-19</t>
  </si>
  <si>
    <t>Microwave, Bio-Nano-Microfluidic, Diagnosis</t>
  </si>
  <si>
    <t>Podolsky, Dale J</t>
  </si>
  <si>
    <t>Development of a minimally invasive bone cutting tool for craniosynostosis surgery</t>
  </si>
  <si>
    <t>bone, cutting, craniosynostosis</t>
  </si>
  <si>
    <t>Development of a near-care diagnostic test for Lyme disease</t>
  </si>
  <si>
    <t>diagnostic test, Lyme disease</t>
  </si>
  <si>
    <t>Development of a non-invasive optical device to guide individualized neurointensive care</t>
  </si>
  <si>
    <t>optical device, neurointensive care, non-invasive</t>
  </si>
  <si>
    <t>Abbasi Nejad Enger, Shirin</t>
  </si>
  <si>
    <t>Development of a non-invasive positron detector to measure the arterial input function for pharmacokinetic modelling in dynamic positron emission tomography imaging</t>
  </si>
  <si>
    <t>positron, detector, imaging</t>
  </si>
  <si>
    <t>Hirano, Naoto</t>
  </si>
  <si>
    <t>Development of a novel mesothelin CAR-T immunotherapy and pharmacologic combinations for triple negative breast cancer</t>
  </si>
  <si>
    <t>mesothelin, CAR-T, breast cancer</t>
  </si>
  <si>
    <t>Leonardi, Mathew</t>
  </si>
  <si>
    <t>Development of a Novel Non-Surgical Endometriosis Diagnostic by Combining an Ultrasound-Based Procedure with Single Molecule Arrays (SIMOA)</t>
  </si>
  <si>
    <t>Endometriosis, Ultrasound, SIMOA</t>
  </si>
  <si>
    <t>Wang, Li</t>
  </si>
  <si>
    <t>Development of a novel risk prediction model for chronic postsurgical pain after breast cancer surgery</t>
  </si>
  <si>
    <t>risk prediction, chronic postsurgical pain, breast cancer</t>
  </si>
  <si>
    <t>Parks, Robin J</t>
  </si>
  <si>
    <t>Development of a novel therapy for treatment of Spinal Muscular Atrophy</t>
  </si>
  <si>
    <t>Spinal Muscular Atrophy, therapy</t>
  </si>
  <si>
    <t>Boffa, Michael B</t>
  </si>
  <si>
    <t>Development of a Novel Therapy to Prevent Breast Cancer Metastasis: Modulation of TAFI, a Master Regulator of Extracellular Proteolysis</t>
  </si>
  <si>
    <t>Breast cancer, metastasis, TAFI</t>
  </si>
  <si>
    <t>Development of a Perfusion MRI Technique to Investigate Longitudinal Effects of Chronic Pain on Brain Function</t>
  </si>
  <si>
    <t>Perfusion MRI, Chronic Pain, Brain Function</t>
  </si>
  <si>
    <t>Carson, Jeffrey J</t>
  </si>
  <si>
    <t>Development of a photoacoustic imaging system for lesion characterization during breast cancer diagnostics</t>
  </si>
  <si>
    <t>photoacoustic, imaging, breast cancer</t>
  </si>
  <si>
    <t>Development of a physiological cardiac microtissue platform for drug development</t>
  </si>
  <si>
    <t>cardiac, microtissue, drug</t>
  </si>
  <si>
    <t>Connolly, John F</t>
  </si>
  <si>
    <t>Development of a Point of Care System for Automated Coma Prognosis</t>
  </si>
  <si>
    <t>Point of Care, Automated, Coma</t>
  </si>
  <si>
    <t>Rottapel, Robert K</t>
  </si>
  <si>
    <t>Development of a Predictive Serologic Test for Cytopathogenic Autoantibodies in COVID-19 Patients</t>
  </si>
  <si>
    <t>Predictive, Serologic, Autoantibodies</t>
  </si>
  <si>
    <t>Fusch, Christoph</t>
  </si>
  <si>
    <t>Development of a pumpless lung assist device which acts like an artificial placenta for neonates with respiratory failure.</t>
  </si>
  <si>
    <t>lung assist, artificial placenta, neonates</t>
  </si>
  <si>
    <t>Kobinger, Gary P</t>
  </si>
  <si>
    <t>Operating Grant: Optimizing the VSV Vector towards an HIV Vaccine</t>
  </si>
  <si>
    <t>201702OVV</t>
  </si>
  <si>
    <t>Optimizing the VSV towards an HIV Vaccine</t>
  </si>
  <si>
    <t>Development of a safe, effective and clinically acceptable VSV-based HIV vaccine</t>
  </si>
  <si>
    <t>VSV, HIV, vaccine</t>
  </si>
  <si>
    <t>Bell, John C</t>
  </si>
  <si>
    <t>Development of a Therapeutic Oncolytic Poxvirus with Enhanced Systemic Delivery and Potency</t>
  </si>
  <si>
    <t>Oncolytic Poxvirus, Systemic Delivery, Potency</t>
  </si>
  <si>
    <t>Sebag, Michael</t>
  </si>
  <si>
    <t>Development of a Transgenic Mouse Model and Testing Platform of Multiple Myeloma Bone Disease</t>
  </si>
  <si>
    <t>Transgenic, Mouse Model, Multiple Myeloma</t>
  </si>
  <si>
    <t>Development of a Virtual Training Simulator to Model Shoulder Replacement Surgery</t>
  </si>
  <si>
    <t>Virtual, Simulator, Shoulder</t>
  </si>
  <si>
    <t>Mcmillen, David R</t>
  </si>
  <si>
    <t>Development of a yeast-based immunoassay for SARS-CoV-2 serologic testing amenable to inexpensive local production</t>
  </si>
  <si>
    <t>yeast, immunoassay, SARS-CoV-2</t>
  </si>
  <si>
    <t>Zhang, Wei</t>
  </si>
  <si>
    <t>Development of allosteric inhibitors for HECT E3 ligases</t>
  </si>
  <si>
    <t>allosteric, inhibitors, E3 ligases</t>
  </si>
  <si>
    <t>Bolduc, Franeois</t>
  </si>
  <si>
    <t>Development of an Artificial Intelligence Chatbot supporting coaching and optimal service for individuals with Neurodevelopmental disabilities and their families</t>
  </si>
  <si>
    <t>Artificial Intelligence, Chatbot, Neurodevelopmental</t>
  </si>
  <si>
    <t>Development of an automated end-to-end next generation sequencing assay to detect all classes of genetic variant in a single diagnostic test</t>
  </si>
  <si>
    <t>automated, sequencing, genetic variant</t>
  </si>
  <si>
    <t>Mazzulli, Tony</t>
  </si>
  <si>
    <t>Operating Grant: AMR: Point of Care Diagnostics in Human Health Phase 2</t>
  </si>
  <si>
    <t>201810APC</t>
  </si>
  <si>
    <t>AMR: Point of Care Diagnostics in Human Health - Phase 2</t>
  </si>
  <si>
    <t>Development of an automated point of care system for rapid multiplex detection and antibiotic resistance profiling of microbial pathogens.</t>
  </si>
  <si>
    <t>point of care, multiplex detection, antibiotic resistance</t>
  </si>
  <si>
    <t>Freed, Darren H</t>
  </si>
  <si>
    <t>Development of an ex vivo heart perfusion system for pre-transplant preservation and evaluation of donor hearts</t>
  </si>
  <si>
    <t>heart perfusion, ex vivo, donor preservation</t>
  </si>
  <si>
    <t>Nguan, Christopher</t>
  </si>
  <si>
    <t>Development of an Ultrasound based Elastography System for Renal Transplantation</t>
  </si>
  <si>
    <t>Ultrasound, Elastography, Renal</t>
  </si>
  <si>
    <t>Allingham, John S</t>
  </si>
  <si>
    <t>Development of antibody-drug conjugates that use actin-targeting warheads</t>
  </si>
  <si>
    <t>antibody, drug conjugates, actin</t>
  </si>
  <si>
    <t>Development of bi-specific T cell engagers (BiTEs) for the treatment of acute myeloid leukemia (AML)</t>
  </si>
  <si>
    <t>bi-specific T cell engagers, AML, leukemia</t>
  </si>
  <si>
    <t>Foster, F. Stuart</t>
  </si>
  <si>
    <t>Development of biogenic gas nanostructures as a new class of molecular reporters for ultrasound</t>
  </si>
  <si>
    <t>biogenic gas, nanostructures, ultrasound</t>
  </si>
  <si>
    <t>Development of boron-based inhibitors of the mitochondrial ClpXP protease to combat AML</t>
  </si>
  <si>
    <t>boron, ClpXP, AML</t>
  </si>
  <si>
    <t>Lavigne, Pierre</t>
  </si>
  <si>
    <t>Development of cancer therapies targeting Myc with cell penetrating b-HLH-LZ domains</t>
  </si>
  <si>
    <t>cancer, Myc, cell penetrating</t>
  </si>
  <si>
    <t>Near, Jamie</t>
  </si>
  <si>
    <t>Development of dynamic 1H MRSI for the assessment of impaired brain glucose metabolism in patients with early Alzheimer's Disease</t>
  </si>
  <si>
    <t>1H MRSI, brain glucose, Alzheimer's</t>
  </si>
  <si>
    <t>Saragovi, Horacio U</t>
  </si>
  <si>
    <t>Development of effective targeted anti-GD2 cancer immunotherapies, that synergize with immune-checkpoint inhibitor blockades</t>
  </si>
  <si>
    <t>anti-GD2, immunotherapies, immune-checkpoint</t>
  </si>
  <si>
    <t>Development of integrated bioanalyte sensors for process monitoring in closed system bioreactors</t>
  </si>
  <si>
    <t>bioanalyte, sensors, bioreactors</t>
  </si>
  <si>
    <t>Dudley, Roy W</t>
  </si>
  <si>
    <t>Development of intraoperative label-free Raman Spectroscopy techniques to delineate Focal Cortical Dysplasia borders in Epilepsy surgery and detect cells carrying somatic variants</t>
  </si>
  <si>
    <t>Raman Spectroscopy, Focal Cortical Dysplasia, Epilepsy</t>
  </si>
  <si>
    <t>Development of LNP/mRNA systems for direct transfection and generation of functional Chimeric Antigen Receptor (CAR) T-cells in-vivo for treatment of blood and other cancer cell types</t>
  </si>
  <si>
    <t>LNP, mRNA, CAR T-cells</t>
  </si>
  <si>
    <t>Chow, Chung-Wai</t>
  </si>
  <si>
    <t>Development of Machine Learning to Assess Lung Function Using Airway Oscillometry</t>
  </si>
  <si>
    <t>Machine Learning, Lung Function, Airway Oscillometry</t>
  </si>
  <si>
    <t>Development of Magnetic Nanoparticles to Breakthrough the Blood-Brain Barrier</t>
  </si>
  <si>
    <t>Magnetic Nanoparticles, Blood-Brain Barrier</t>
  </si>
  <si>
    <t>Foster, Paula J</t>
  </si>
  <si>
    <t>Development of Magnetic Particle Imaging for In Vivo Cell Tracking</t>
  </si>
  <si>
    <t>Magnetic Particle Imaging, In Vivo, Cell Tracking</t>
  </si>
  <si>
    <t>Kirby, Miranda A</t>
  </si>
  <si>
    <t>Development of Magnetic Resonance Imaging Airway Segmentation to Assess and Monitor Cystic Fibrosis Lung Disease</t>
  </si>
  <si>
    <t>Magnetic Resonance Imaging, Airway Segmentation, Cystic Fibrosis</t>
  </si>
  <si>
    <t>Hamilton, Douglas W</t>
  </si>
  <si>
    <t>Development of Matricellular Protein-Containing Granulation Tissue Biomimetic Scaffolds to Enhance Skin Regeneration</t>
  </si>
  <si>
    <t>Matricellular protein, Granulation tissue, Skin regeneration</t>
  </si>
  <si>
    <t>Development of miniaturized robotic tools for cleft palate repair</t>
  </si>
  <si>
    <t>robotic tools, cleft palate</t>
  </si>
  <si>
    <t>Ronald, John A</t>
  </si>
  <si>
    <t>Development of Molecular Imaging Tools to Monitor the Fate of an Off-The-Shelf Chimeric Antigen Receptor Natural Killer (CAR-NK) Cell Immunotherapy</t>
  </si>
  <si>
    <t>Molecular Imaging, Chimeric Antigen Receptor, Natural Killer</t>
  </si>
  <si>
    <t>Development of Molecular Imaging Tools to Monitor the Fate of an Off-The-Shelf Chimeric Antigen Receptor Natural Killer (CAR-NK) Cell Immunotherapy for Breast Cancer</t>
  </si>
  <si>
    <t>Valliant, John F</t>
  </si>
  <si>
    <t>Development of Molecularly Targeted Ultrasound Contrast Agents for Prostate Cancer Imaging using Bioorthogonal Chemistry</t>
  </si>
  <si>
    <t>Ultrasound, Contrast Agents, Prostate Cancer</t>
  </si>
  <si>
    <t>Beaulieu, Christian</t>
  </si>
  <si>
    <t>Development of Novel Diffusion Magnetic Resonance Methods for the Brain: Initial Applications to Stroke</t>
  </si>
  <si>
    <t>Diffusion, Magnetic Resonance, Stroke</t>
  </si>
  <si>
    <t>Sadikot, Abbas F</t>
  </si>
  <si>
    <t>Development of Novel Methods for Analyzing the Structure and Connectivity of the Human Basal Ganglia, Thalamus and Brainstem</t>
  </si>
  <si>
    <t>Basal Ganglia, Connectivity, Brainstem</t>
  </si>
  <si>
    <t>Wang, Jun</t>
  </si>
  <si>
    <t>IWK Health Centre (Halifax)</t>
  </si>
  <si>
    <t>Development of Novel Molecular Adjuvants for Genetic Vaccination</t>
  </si>
  <si>
    <t>Molecular adjuvants, genetic vaccination</t>
  </si>
  <si>
    <t>Lu, Qing-Bin</t>
  </si>
  <si>
    <t>Development of Novel Non-Platinum-Based Antitumor Agents for Natural Targeted Chemotherapy and Radiotherapy of Cervical, Lung and Ovarian Cancers</t>
  </si>
  <si>
    <t>Non-Platinum, Antitumor, Chemotherapy</t>
  </si>
  <si>
    <t>Costantino, Santiago</t>
  </si>
  <si>
    <t>Development of novel OCT-based clinical measurements of ocular elasticity and retinal deformation as risk factors in glaucoma.</t>
  </si>
  <si>
    <t>OCT, ocular elasticity, retinal deformation</t>
  </si>
  <si>
    <t>Masani, Kei</t>
  </si>
  <si>
    <t>Operating Grant - PA: IMHA New investigators - Bridge Funding</t>
  </si>
  <si>
    <t>201303OMH</t>
  </si>
  <si>
    <t>Development of novel tool to reduce muscle fatigue during rehabilitation using functional electrical stimulation</t>
  </si>
  <si>
    <t>muscle fatigue, functional electrical stimulation, rehabilitation</t>
  </si>
  <si>
    <t>Larche, Mark</t>
  </si>
  <si>
    <t>Development of peptide immunotherapy for Rheumatoid Arthritis: Identification and validation of T cell epitopes from citrullinated auto-antigens.</t>
  </si>
  <si>
    <t>peptide, immunotherapy, citrullinated</t>
  </si>
  <si>
    <t>Zhang, Li</t>
  </si>
  <si>
    <t>Development of personalized immunotherapy to treat lung cancer using gamma-delta-T cells</t>
  </si>
  <si>
    <t>immunotherapy, gamma-delta-T cells, lung cancer</t>
  </si>
  <si>
    <t>Liu, Jun</t>
  </si>
  <si>
    <t>Development of safe and effective vaccines against COVID-19</t>
  </si>
  <si>
    <t>vaccines, COVID-19</t>
  </si>
  <si>
    <t>Babu, Mohan</t>
  </si>
  <si>
    <t>University of Regina (Saskatchewan)</t>
  </si>
  <si>
    <t>Development of SARS-CoV-2 Peptide Therapeutics and Point-of-Care Salivary Diagnostics for Rapid Viral Detection</t>
  </si>
  <si>
    <t>SARS-CoV-2, Peptide, Diagnostics</t>
  </si>
  <si>
    <t>Gatignol, Anne</t>
  </si>
  <si>
    <t>Development of small interfering RNAs (siRNAs) for the treatment of Severe Acute Respiratory Syndrome-Coronavirus-2 (SARS-CoV-2)</t>
  </si>
  <si>
    <t>siRNAs, RNA, SARS-CoV-2</t>
  </si>
  <si>
    <t>Development of TCR-engineered T cells against novel NY-ESO-1 epitopes for the treatment of triple negative breast cancer</t>
  </si>
  <si>
    <t>TCR, T cells, NY-ESO-1</t>
  </si>
  <si>
    <t>Development of Technologies for Rapid Isolation and Genome Sequencing of Single Circulating Tumor Cells in Prostate Cancer</t>
  </si>
  <si>
    <t>isolation, genome sequencing, circulating tumor cells</t>
  </si>
  <si>
    <t>Stagljar, Igor</t>
  </si>
  <si>
    <t>Development of the mammalian membrane two-hybrid technology</t>
  </si>
  <si>
    <t>mammalian, membrane, two-hybrid</t>
  </si>
  <si>
    <t>Development of the mammalian membrane two-hybrid technology.</t>
  </si>
  <si>
    <t>Dedhar, Shoukat R</t>
  </si>
  <si>
    <t>Development of therapeutic antibodies targeting carbonic anhydrase IX (CAIX)</t>
  </si>
  <si>
    <t>therapeutic antibodies, carbonic anhydrase IX, CAIX</t>
  </si>
  <si>
    <t>Development of treatment planning platform for ultrasound stimulated microbubble therapy</t>
  </si>
  <si>
    <t>ultrasound, microbubble, therapy</t>
  </si>
  <si>
    <t>Development of Vaccines to Prevent SARS-CoV-2 Infection of High Risk Individuals</t>
  </si>
  <si>
    <t>Vaccines,SARS-CoV-2,Infection</t>
  </si>
  <si>
    <t>Diallo, Jean-Simon</t>
  </si>
  <si>
    <t>Development of Viral Sensitizing Antibody Drug Conjugate and Oncolytic virus Combination Regimens for the Treatment of Breast Cancer</t>
  </si>
  <si>
    <t>Viral, Antibody, Oncolytic</t>
  </si>
  <si>
    <t>Wilson, David R</t>
  </si>
  <si>
    <t>Development, assessment and application of a new method for characterizing degenerative lumbar spondylolisthesis in the symptomatic upright posture.</t>
  </si>
  <si>
    <t>lumbar spondylolisthesis, degenerative, characterization</t>
  </si>
  <si>
    <t>Sadatsafavi, Mohsen</t>
  </si>
  <si>
    <t>Development, validation, and dissemination of an individualized prediction tool for acute exacerbations of chronic obstructive pulmonary disease</t>
  </si>
  <si>
    <t>prediction, COPD, exacerbations</t>
  </si>
  <si>
    <t>Pai, Shraddha</t>
  </si>
  <si>
    <t>Ontario Institute for Cancer Research (Toronto, Ontario)</t>
  </si>
  <si>
    <t>202209PDI</t>
  </si>
  <si>
    <t>Developmental epigenetic origins of Group 3 and 4 medulloblastoma</t>
  </si>
  <si>
    <t>epigenetic, medulloblastoma, developmental</t>
  </si>
  <si>
    <t>Sarret, Philippe</t>
  </si>
  <si>
    <t>Developpement de nouvelles strategies therapeutiques pour enrayer la dissemination metastatique et les douleurs chroniques consecutives au cancer du sein</t>
  </si>
  <si>
    <t>metastatic, cancer, pain</t>
  </si>
  <si>
    <t>Devices for Image-Guided Biopsy of Peripheral Lung Nodules</t>
  </si>
  <si>
    <t>Image-Guided, Biopsy, Lung</t>
  </si>
  <si>
    <t>Gilbert, Lucy</t>
  </si>
  <si>
    <t>Diagnosing Ovarian Cancer Early (DOvE)by targeting symptomatic women</t>
  </si>
  <si>
    <t>Ovarian cancer, diagnosis, symptomatic women</t>
  </si>
  <si>
    <t>Hancock, Robert Ernest W</t>
  </si>
  <si>
    <t>Diagnosing the onset of severe Covid-19 disease</t>
  </si>
  <si>
    <t>Covid-19, diagnosis, disease</t>
  </si>
  <si>
    <t>Trudel, Dominique</t>
  </si>
  <si>
    <t>Diagnosis of Aggressive Prostate Cancer Using Key Features of Raman Spectroscopy</t>
  </si>
  <si>
    <t>Prostate Cancer, Raman Spectroscopy, Diagnosis</t>
  </si>
  <si>
    <t>Dick, Frederick A</t>
  </si>
  <si>
    <t>Differential control of E2F transcription factors by pRB in  normal and cancer cells</t>
  </si>
  <si>
    <t>E2F, pRB, transcription factors</t>
  </si>
  <si>
    <t>Discovering new high-risk ovarian cancer predisposing genes through targeted genetic analyses of a Canadian founder population</t>
  </si>
  <si>
    <t>ovarian cancer, genetic analyses, predisposing genes</t>
  </si>
  <si>
    <t>Tsao, Ming-Sound</t>
  </si>
  <si>
    <t>Discovering pathways to drug tolerance and therapeutic vulnerabilities of persister cells in lung cancer</t>
  </si>
  <si>
    <t>drug tolerance, persister cells, lung cancer</t>
  </si>
  <si>
    <t>Fedida, David</t>
  </si>
  <si>
    <t>Discovery &amp; Development of Novel Small Molecule Inhibitors of Viroporin Proteins for the Treatment of Acute &amp; Chronic Viral Infections.</t>
  </si>
  <si>
    <t>Small Molecule, Viroporin Proteins, Viral Infections</t>
  </si>
  <si>
    <t>Discovery and characterization of C19MC a novel oncogenic miRNA locus in malignant brain tumors</t>
  </si>
  <si>
    <t>C19MC, miRNA, brain tumors</t>
  </si>
  <si>
    <t>Andrulis, Irene L</t>
  </si>
  <si>
    <t>Discovery and characterization of clinically important changes in axillary node-negative breast cancer.</t>
  </si>
  <si>
    <t>axillary node, breast cancer, characterization</t>
  </si>
  <si>
    <t>Liu, Fei-Fei</t>
  </si>
  <si>
    <t>Discovery and Characterization of UROD Inhibitors for Cancer Therapy</t>
  </si>
  <si>
    <t>UROD, Inhibitors, Cancer</t>
  </si>
  <si>
    <t>Melnyk, Roman</t>
  </si>
  <si>
    <t>201209IPR</t>
  </si>
  <si>
    <t>Discovery and Development of Small Molecule Toxin Antagonists to Treat C. difficile-Associated Disease</t>
  </si>
  <si>
    <t>Small Molecule, Toxin, C. difficile</t>
  </si>
  <si>
    <t>Cescon, David W</t>
  </si>
  <si>
    <t>Discovery and validation of vulnerabilities and therapeutic strategies for cyclin-dependent kinase 4/6 inhibitor-resistant hormone receptor positive breast cancer</t>
  </si>
  <si>
    <t>cyclin-dependent kinase, inhibitor, breast cancer</t>
  </si>
  <si>
    <t>Dick, John E</t>
  </si>
  <si>
    <t>Discovery of epigenetic determinants regulating stemness to target the eradication of human pre-leukemic and leukemic stem cells</t>
  </si>
  <si>
    <t>epigenetic, stem cells, leukemia</t>
  </si>
  <si>
    <t>Ostrowski, Mario A</t>
  </si>
  <si>
    <t>Discovery of new B cell immunogens for HIV vaccines</t>
  </si>
  <si>
    <t>B cell, immunogens, HIV</t>
  </si>
  <si>
    <t>Khokha, Rama</t>
  </si>
  <si>
    <t>Discovery of Novel Therapeutic Targets in Osteosarcoma</t>
  </si>
  <si>
    <t>Osteosarcoma, Therapeutic targets</t>
  </si>
  <si>
    <t>De Carvalho, Daniel</t>
  </si>
  <si>
    <t>Disruption of the SPT-ADA-GCN5-ACETYLTRANSFERASE (SAGA) complex in adoptive cell therapies to enhance killing capacity and long-term immune cells effector function</t>
  </si>
  <si>
    <t>SAGA, cell therapies, immune cells</t>
  </si>
  <si>
    <t>Gaiti, Federico</t>
  </si>
  <si>
    <t>Dissecting the determinants and dynamics of cellular states promoting glioma evolution</t>
  </si>
  <si>
    <t>glioma, cellular states, evolution</t>
  </si>
  <si>
    <t>Jolicoeur, Paul</t>
  </si>
  <si>
    <t>Dissecting the mechanisms of protection by attenuated Nef-deleted HIV vaccine</t>
  </si>
  <si>
    <t>HIV, vaccine, Nef</t>
  </si>
  <si>
    <t>Dissecting the origins and microenvironment of replication repair deficient hypermutant gliomas for novel immune based therapies</t>
  </si>
  <si>
    <t>replication, repair, gliomas</t>
  </si>
  <si>
    <t>Dissecting the role of hemodynamics in ascending aorta aneurysm development</t>
  </si>
  <si>
    <t>hemodynamics, ascending aorta, aneurysm</t>
  </si>
  <si>
    <t>McCaffrey, Luke M</t>
  </si>
  <si>
    <t>Distinct roles for the Par6 polarity protein in development of low- and high-grade breast cancers.</t>
  </si>
  <si>
    <t>Par6, polarity protein, breast cancers</t>
  </si>
  <si>
    <t>Forkert, Nils Daniel</t>
  </si>
  <si>
    <t>Distributed Machine Learning for Diagnosis and Treatment Decision Support of Pediatric Brain Tumors</t>
  </si>
  <si>
    <t>Distributed, Machine Learning, Diagnosis</t>
  </si>
  <si>
    <t>Tannock, Ian F</t>
  </si>
  <si>
    <t>Distribution of anticancer drugs and target cells within solid tumours</t>
  </si>
  <si>
    <t>anticancer, drugs, tumours</t>
  </si>
  <si>
    <t>Sleiman, Hanadi</t>
  </si>
  <si>
    <t>DNA Cages as a Platform for Efficient and Selective Delivery of Therapeutics into Tumor Cells</t>
  </si>
  <si>
    <t>DNA cages, targeted delivery, tumor cells</t>
  </si>
  <si>
    <t>DNA Copy Number Variation in Li-Fraumeni Syndrome</t>
  </si>
  <si>
    <t>DNA, Copy Number, Variation</t>
  </si>
  <si>
    <t>DNA Hypermethylation in AML: A means to understand the disease and to direct therapy</t>
  </si>
  <si>
    <t>DNA, Hypermethylation, AML</t>
  </si>
  <si>
    <t>Does Impaired Cerebral Metabolism Link Vascular Dysfunction to Cognitive Decline?</t>
  </si>
  <si>
    <t>Cerebral Metabolism, Vascular Dysfunction, Cognitive Decline</t>
  </si>
  <si>
    <t>Does inflammation in brain cause hypoxia, which then exacerbates inflammation: a multimodal study using the EAE inflammation model of multiple sclerosis.</t>
  </si>
  <si>
    <t>inflammation, hypoxia, multiple sclerosis</t>
  </si>
  <si>
    <t>McLean, Linda</t>
  </si>
  <si>
    <t>Does repetitive transcranial magnetic stimulation (rTMS) reduce pain associated with endometriosis more effectively than a sham rTMS intervention? A randomized controlled trial.</t>
  </si>
  <si>
    <t>transcranial magnetic stimulation, endometriosis, pain</t>
  </si>
  <si>
    <t>Moroy, Tarik</t>
  </si>
  <si>
    <t>Dose dependent role of Gfi1 in the initiation and maintenance of T-cell leukemia and lymphoma</t>
  </si>
  <si>
    <t>Gfi1, T-cell leukemia, lymphoma</t>
  </si>
  <si>
    <t>Bhattacharjee, Rabindra</t>
  </si>
  <si>
    <t>Drug repositioning in a simulated ischemia-reperfusion injury model for the preservation of donor kidneys at room temperature</t>
  </si>
  <si>
    <t>drug repositioning, ischemia-reperfusion injury, kidney preservation</t>
  </si>
  <si>
    <t>Huang, Sidong</t>
  </si>
  <si>
    <t>Drug resistance driven by SWI/SNF chromatin remodelers in lung cancer</t>
  </si>
  <si>
    <t>drug resistance, SWI/SNF, chromatin remodeling</t>
  </si>
  <si>
    <t>Dynamic metabolic reprogramming drives myc-amplified medulloblastoma recurrence</t>
  </si>
  <si>
    <t>metabolic reprogramming, myc-amplified, medulloblastoma</t>
  </si>
  <si>
    <t>Dynamic micro-computed tomography for pre-clinical musculoskeletal research</t>
  </si>
  <si>
    <t>micro-computed tomography, musculoskeletal, pre-clinical</t>
  </si>
  <si>
    <t>Provost, Jean</t>
  </si>
  <si>
    <t>Dynamic Myocardial Ultrasound Localization Microscopy</t>
  </si>
  <si>
    <t>Myocardial, Ultrasound, Localization</t>
  </si>
  <si>
    <t>Dynamic Ultrasound Localization Pulsatility Imaging</t>
  </si>
  <si>
    <t>Ultrasound, Localization, Pulsatility</t>
  </si>
  <si>
    <t>Reid, Robert D</t>
  </si>
  <si>
    <t>E-health intervention for cardiac rehabilitation: Pilot implementation and feasibility assessment</t>
  </si>
  <si>
    <t>e-health, cardiac, rehabilitation</t>
  </si>
  <si>
    <t>Pugh, Trevor J</t>
  </si>
  <si>
    <t>Early detection of cancer in high-risk patients through profiling of circulating tumour DNA</t>
  </si>
  <si>
    <t>cancer, circulating tumour DNA, detection</t>
  </si>
  <si>
    <t>Garcia, Damien</t>
  </si>
  <si>
    <t>Echocardiographic assessment of global and regional left ventricular function using an original modality of coupled wall-fluid dynamics mapping.</t>
  </si>
  <si>
    <t>echocardiographic, ventricular, wall-fluid</t>
  </si>
  <si>
    <t>Litvinov, Ivan V</t>
  </si>
  <si>
    <t>Ectopic reactivation of normally silenced germ cell programs contributes to genomic instability, carcinogenesis and cancer progression in Cutaneous T-Cell Lymphomas (CTCL).</t>
  </si>
  <si>
    <t>ectopic reactivation, germ cell, lymphomas</t>
  </si>
  <si>
    <t>Lesage, Frederic</t>
  </si>
  <si>
    <t>EEG-fNIRS monitoring for critically ill patients</t>
  </si>
  <si>
    <t>EEG,fNIRS,monitoring</t>
  </si>
  <si>
    <t>Segura, Mariela A</t>
  </si>
  <si>
    <t>Effect of sialic acid of Gram-positive bacteria capsular polysaccharides on the immunogenic capacity of conjugate vaccines</t>
  </si>
  <si>
    <t>sialic acid, Gram-positive bacteria, capsular polysaccharides</t>
  </si>
  <si>
    <t>Antel, Jack P</t>
  </si>
  <si>
    <t>Effects of S1P receptor directed pharmaceutical agents on central nervous system myelination</t>
  </si>
  <si>
    <t>S1P receptor, myelination, pharmaceutical agents</t>
  </si>
  <si>
    <t>Gaillet, Bruno</t>
  </si>
  <si>
    <t>elaboration d'un procede de production de cellules therapeutiques autologues destine au traitement de la Dystrophie musculaire de Duchenne</t>
  </si>
  <si>
    <t>cellules, autologues, dystrophie</t>
  </si>
  <si>
    <t>Gotman, Jean</t>
  </si>
  <si>
    <t>Electrical and metobolic analysis of human epileptogenic lesions</t>
  </si>
  <si>
    <t>Electrical, metabolic, epileptogenic</t>
  </si>
  <si>
    <t>Roy, Denis-Claude</t>
  </si>
  <si>
    <t>Elucidating mechanisms of MSC-induced tissue regeneration: path to mesenchymal stromal cell clinical trial in glaucoma</t>
  </si>
  <si>
    <t>MSC, tissue regeneration, glaucoma</t>
  </si>
  <si>
    <t>Abraham, Sheela A</t>
  </si>
  <si>
    <t>Elucidating the role extracellular vesicles play in leukaemogenesis</t>
  </si>
  <si>
    <t>extracellular vesicles, leukaemogenesis</t>
  </si>
  <si>
    <t>Aoudjit, Fawzi</t>
  </si>
  <si>
    <t>Elucidating the role of alpha2beta1 integrin in the chemoresistance of acute lymphoblastic leukemia.</t>
  </si>
  <si>
    <t>alpha2beta1 integrin, chemoresistance, leukemia</t>
  </si>
  <si>
    <t>Zhu, Xu-Dong</t>
  </si>
  <si>
    <t>Elucidating the Role of CSB in the Maintenance of Genomic Stability</t>
  </si>
  <si>
    <t>CSB, Genomic Stability, DNA Repair</t>
  </si>
  <si>
    <t>Elucidating the tumor suppressor genes involved in reprogramming an ovarian cancer cell line model modified by chromosome 3 transfer</t>
  </si>
  <si>
    <t>tumor suppressor, reprogramming, ovarian cancer</t>
  </si>
  <si>
    <t>EMT Transcription factor corruption of epigenetic regulators in Acute Myeloid Leukemia</t>
  </si>
  <si>
    <t>EMT, epigenetic, leukemia</t>
  </si>
  <si>
    <t>Kallos, Michael S</t>
  </si>
  <si>
    <t>Enabling Cellular Therapy Biomanufacturing through Integrated Modeling of Fluid Dynamics and Cellular Metabolism in Bioreactors</t>
  </si>
  <si>
    <t>Cellular therapy, Biomanufacturing, Bioreactors</t>
  </si>
  <si>
    <t>Acker, Jason P</t>
  </si>
  <si>
    <t>Enabling liver cryopreservation by controlling ice recrystallization with small molecule inhibitors</t>
  </si>
  <si>
    <t>liver, cryopreservation, ice recrystallization</t>
  </si>
  <si>
    <t>Enabling the Engineering of Vascular Grafts with Human Cells-Appliations to Pulmonary Arterial Grafting</t>
  </si>
  <si>
    <t>Vascular Grafts, Human Cells, Pulmonary Arterial</t>
  </si>
  <si>
    <t>Lane, Pierre</t>
  </si>
  <si>
    <t>Endoscopic optical coherence tomography and autofluorescence imaging for early cancer detection</t>
  </si>
  <si>
    <t>optical coherence tomography, autofluorescence imaging, cancer detection</t>
  </si>
  <si>
    <t>Leask, Richard L</t>
  </si>
  <si>
    <t>Endothelial Cell Biomechanics: The mechanotransduction of wall shear stress gradients</t>
  </si>
  <si>
    <t>Endothelial cells, Biomechanics, Mechanotransduction</t>
  </si>
  <si>
    <t>Hoesli, Corinne</t>
  </si>
  <si>
    <t>Endothelial progenitor cell adhesion to biomimetic vascular substitutes</t>
  </si>
  <si>
    <t>endothelial, progenitor, biomimetic</t>
  </si>
  <si>
    <t>Martel, Sylvain</t>
  </si>
  <si>
    <t>Endovascular navigation of magnetic drug eluting beads for liver cancer therapy: Feasibility and optimization</t>
  </si>
  <si>
    <t>endovascular, magnetic beads, liver cancer</t>
  </si>
  <si>
    <t>Soulez, Gilles</t>
  </si>
  <si>
    <t>Endovascular repair of abdominal aortic aneurysm : Enhanced guidance by elastic registration between CT-Scanner and fluoroscopy</t>
  </si>
  <si>
    <t>endovascular, aneurysm, elastic registration</t>
  </si>
  <si>
    <t>200809ISO</t>
  </si>
  <si>
    <t>Endovascular repair of abdominal aortic aneurysm: Enhanced planning, guidance and assessment by 2D/3D registration of fluoroscopic, CT, C-arm CT and virtual stent data</t>
  </si>
  <si>
    <t>endovascular, aneurysm, registration</t>
  </si>
  <si>
    <t>Cunningham, Ian A</t>
  </si>
  <si>
    <t>Energy-Subtraction Cardiac Angiography: A New Approach in X-Ray Imaging</t>
  </si>
  <si>
    <t>Energy-Subtraction, Cardiac Angiography, X-Ray Imaging</t>
  </si>
  <si>
    <t>Engineering a vascularized macroencapsulation device for diabetes cellular therapy</t>
  </si>
  <si>
    <t>vascularized, macroencapsulation, diabetes</t>
  </si>
  <si>
    <t>Flynn, Lauren E</t>
  </si>
  <si>
    <t>Engineering Adipogenesis for Soft Tissue Regeneration</t>
  </si>
  <si>
    <t>Adipogenesis, Soft Tissue, Regeneration</t>
  </si>
  <si>
    <t>201009IMH</t>
  </si>
  <si>
    <t>Engineering bacteria-based nanoplexes for melanoma immunomodulation</t>
  </si>
  <si>
    <t>bacteria, nanoplexes, melanoma</t>
  </si>
  <si>
    <t>Fradette, Julie</t>
  </si>
  <si>
    <t>Engineering bioactive dressings from mesenchymal cells to enhance healing of irradiated skin wounds</t>
  </si>
  <si>
    <t>bioactive, dressings, skin</t>
  </si>
  <si>
    <t>Engineering Biomimetic Gene Activated Matrices for Bone Tissue Regeneration</t>
  </si>
  <si>
    <t>Biomimetic, Gene Activated, Bone Tissue</t>
  </si>
  <si>
    <t>Engineering DNA-nanosystems for tumor targeting</t>
  </si>
  <si>
    <t>DNA, nanosystems, tumor</t>
  </si>
  <si>
    <t>Engineering DNAzyme-gold nanoparticle diagnostic device</t>
  </si>
  <si>
    <t>DNAzyme, gold nanoparticle, diagnostic</t>
  </si>
  <si>
    <t>Jaffray, David A</t>
  </si>
  <si>
    <t>Engineering Gold Nanoparticle Radiosensitizers for Cancer Therapy</t>
  </si>
  <si>
    <t>Gold, Nanoparticles, Radiosensitizers</t>
  </si>
  <si>
    <t>Morshead, Cindi M</t>
  </si>
  <si>
    <t>Engineering healing: Combinatorial strategies to promote repair of the stroke injured brain</t>
  </si>
  <si>
    <t>brain, repair, stroke</t>
  </si>
  <si>
    <t>Chen, Guojun</t>
  </si>
  <si>
    <t>Engineering injectable cold atmospheric plasma-preserved hydrogel to treat breast cancer</t>
  </si>
  <si>
    <t>injectable, plasma, hydrogel</t>
  </si>
  <si>
    <t>202109PLL</t>
  </si>
  <si>
    <t>Radisic, Milica</t>
  </si>
  <si>
    <t>Engineering Microenvironments for Cardiac Regeneration</t>
  </si>
  <si>
    <t>Microenvironments, Cardiac, Regeneration</t>
  </si>
  <si>
    <t>Blakney, Anna</t>
  </si>
  <si>
    <t>Engineering next-generation self-amplifying RNA therapeutics encoding bispecific T cell engager (BiTE) antibodies for treatment of ovarian cancer</t>
  </si>
  <si>
    <t>RNA, bispecific T cell engager, ovarian cancer</t>
  </si>
  <si>
    <t>Zandstra, Peter W</t>
  </si>
  <si>
    <t>Engineering niches to support the development of definitive blood progenitors from human pluripotent stem cells</t>
  </si>
  <si>
    <t>blood progenitors, pluripotent stem cells, niches</t>
  </si>
  <si>
    <t>Engineering of Irradiation-Sterilized Musculoskeletal Allografts for Improved Biomechanical Performance</t>
  </si>
  <si>
    <t>Irradiation, Allografts, Biomechanical</t>
  </si>
  <si>
    <t>Operating Grant - PA: IMHA - New Invest.- Musculoskeletal Health Bridge Funding</t>
  </si>
  <si>
    <t>201403ONM</t>
  </si>
  <si>
    <t>Engineering of Irradiation-Sterilized Skeletal Allograft for Improved Clinical Outcomes</t>
  </si>
  <si>
    <t>Irradiation, Sterilization, Allograft</t>
  </si>
  <si>
    <t>Engineering Pulmonary Valve Tissue for Pediatric Patients with Tetralogy of Fallot</t>
  </si>
  <si>
    <t>Pulmonary Valve, Tissue Engineering, Pediatric</t>
  </si>
  <si>
    <t>Wylie, Ryan G</t>
  </si>
  <si>
    <t>Engineering solid tumors for bispecific immunotherapies through controlled delivery</t>
  </si>
  <si>
    <t>solid tumors, bispecific, immunotherapies</t>
  </si>
  <si>
    <t>Engineering Starch-Based Nanoparticles and Nanoparticle Clusters for Improving Local Drug Delivery to Tumour Cores and the Brain</t>
  </si>
  <si>
    <t>Starch, Nanoparticles, Drug delivery</t>
  </si>
  <si>
    <t>Holt, Rob</t>
  </si>
  <si>
    <t>Engineering T cells to overcome an immunosuppressive solid tumour microenvironment</t>
  </si>
  <si>
    <t>T cells, immunosuppressive, tumour</t>
  </si>
  <si>
    <t>Sidhu, Sachdev S</t>
  </si>
  <si>
    <t>Engineering therapeutics for the treatment of anemia in oncology patients</t>
  </si>
  <si>
    <t>therapeutics, anemia, oncology</t>
  </si>
  <si>
    <t>Wu, Xiao Yu S</t>
  </si>
  <si>
    <t>Engineering Transformable Polymer-lipid Nanoparticles for Cascade Drug Delivery to Brain Cancer Cells</t>
  </si>
  <si>
    <t>Polymer-lipid, Nanoparticles, Drug delivery</t>
  </si>
  <si>
    <t>Matsuura, Naomi</t>
  </si>
  <si>
    <t>Enhanced drug delivery to lung cancers using endobronchial ultrasound (EBUS)</t>
  </si>
  <si>
    <t>drug delivery, lung cancers, endobronchial ultrasound</t>
  </si>
  <si>
    <t>Borschel, Gregory H</t>
  </si>
  <si>
    <t>Enhancement of nerve regeneration with controlled release of neurotrophic factors</t>
  </si>
  <si>
    <t>nerve regeneration, neurotrophic factors, controlled release</t>
  </si>
  <si>
    <t>Enhancing cell therapies using microfluidic encapsulation strategies</t>
  </si>
  <si>
    <t>cell, microfluidic, encapsulation</t>
  </si>
  <si>
    <t>Enhancing immunotherapy through the food-gut-axis in non-small cell lung cancer</t>
  </si>
  <si>
    <t>immunotherapy, gut-axis, lung cancer</t>
  </si>
  <si>
    <t>Goertz, David E</t>
  </si>
  <si>
    <t>Enhancing immunotherapy with ultrasound stimulated bubbles</t>
  </si>
  <si>
    <t>immunotherapy, ultrasound, bubbles</t>
  </si>
  <si>
    <t>Vanderhyden, Barbara C</t>
  </si>
  <si>
    <t>Enhancing ovarian cancer immunogenicity by increasing antitumoral responses using engineered oncolytic vaccines</t>
  </si>
  <si>
    <t>ovarian cancer, immunogenicity, oncolytic vaccines</t>
  </si>
  <si>
    <t>Rutka, James T</t>
  </si>
  <si>
    <t>Enhancing the Delivery of Novel Chemotherapeutics to Diffuse Intrinsic Pontine Glioma</t>
  </si>
  <si>
    <t>Chemotherapeutics, Diffuse Intrinsic Pontine Glioma, Delivery</t>
  </si>
  <si>
    <t>Enhancing the Recognition and Killing of HIV Reservoirs</t>
  </si>
  <si>
    <t>HIV, Reservoirs, Recognition</t>
  </si>
  <si>
    <t>Witcher, Michael</t>
  </si>
  <si>
    <t>Epigenetic characterization and therapeutic targeting of cancers harboring dysfunctional CTCF.</t>
  </si>
  <si>
    <t>Epigenetic, CTCF, cancers</t>
  </si>
  <si>
    <t>Orouji, Elias</t>
  </si>
  <si>
    <t>Epigenetic Drivers in Metastatic Melanoma and Chromatin Loop-Specific Targeting Strategies</t>
  </si>
  <si>
    <t>Epigenetic, Melanoma, Chromatin</t>
  </si>
  <si>
    <t>Kim, Tae-Hee</t>
  </si>
  <si>
    <t>Epigenetic mechanisms of gastric cancer associated with ARID1A mutations and H. pylori</t>
  </si>
  <si>
    <t>epigenetic, gastric cancer, ARID1A</t>
  </si>
  <si>
    <t>Garzia, Livia</t>
  </si>
  <si>
    <t>Epigenetic mechanisms of osteosarcoma pathogenesis and progression.</t>
  </si>
  <si>
    <t>epigenetic, osteosarcoma, mechanisms</t>
  </si>
  <si>
    <t>Dos Santos, Claudia C</t>
  </si>
  <si>
    <t>Epigenetic PowerBlade - DNA Precision Marks for Critical Illness</t>
  </si>
  <si>
    <t>Epigenetic, DNA, Marks</t>
  </si>
  <si>
    <t>Epigenetic priming of neuroblastoma to Natural Killer cell-based immunotherapy</t>
  </si>
  <si>
    <t>Epigenetic, neuroblastoma, immunotherapy</t>
  </si>
  <si>
    <t>Epigenetic priming of neuroblastoma to NK cell-based immunotherapy</t>
  </si>
  <si>
    <t>He, Housheng H</t>
  </si>
  <si>
    <t>Epigenetic Regulation and Noncoding RNA in Prostate Cancer Progression</t>
  </si>
  <si>
    <t>Epigenetic, Noncoding RNA, Prostate Cancer</t>
  </si>
  <si>
    <t>Elahi, Shokrollah</t>
  </si>
  <si>
    <t>Erythroid progenitors and precursors impair tumor immunogenicity and promote tumour progression in breast cancer</t>
  </si>
  <si>
    <t>erythroid progenitors, tumor immunogenicity, breast cancer</t>
  </si>
  <si>
    <t>202303PLL</t>
  </si>
  <si>
    <t>Establishing annulus fibrosus interfaces:  towards tissue engineering an intervertebral disc</t>
  </si>
  <si>
    <t>annulus fibrosus, tissue engineering, intervertebral disc</t>
  </si>
  <si>
    <t>Cypel, Marcelo</t>
  </si>
  <si>
    <t>Establishing strategies to preserve donor lungs for multiple days: Cyclic Normothermic Ex vivo Lung Perfusion and Mitochondrial Transplantation .</t>
  </si>
  <si>
    <t>lung perfusion, normothermic, mitochondrial</t>
  </si>
  <si>
    <t>O'Reilly, Meaghan</t>
  </si>
  <si>
    <t>Establishing the chronic safety profile of focused ultrasound-mediated blood-spinal cord barrier opening in a large animal model</t>
  </si>
  <si>
    <t>focused ultrasound, blood-spinal cord barrier, safety</t>
  </si>
  <si>
    <t>Establishing the chronic safety profile of focused ultrasound-mediated blood-spinal cord barrier opening in a large animal model.</t>
  </si>
  <si>
    <t>Zadeh, Gelareh</t>
  </si>
  <si>
    <t>Establishing the epigenetic drivers of aggressive behaviour in meningiomas</t>
  </si>
  <si>
    <t>epigenetic, meningiomas, behaviour</t>
  </si>
  <si>
    <t>Establishment of a drug discovery and delivery platform for diffuse intrinsic pontine glioma (DIPG).</t>
  </si>
  <si>
    <t>drug delivery, diffuse intrinsic pontine glioma, drug discovery</t>
  </si>
  <si>
    <t>201003IRO</t>
  </si>
  <si>
    <t>Establishment of A New Database of Pediatric Laboratory Reference Intervals for Biomarkers of Pediatric Disease</t>
  </si>
  <si>
    <t>database, biomarkers, pediatric disease</t>
  </si>
  <si>
    <t>Establishment of a Novel High Throughput Conditional Gene Trapping System</t>
  </si>
  <si>
    <t>Gene trapping, High throughput, Conditional</t>
  </si>
  <si>
    <t>Ancuta, Petronela</t>
  </si>
  <si>
    <t>Establishment of Long-Lived HIV-1 Reservoirs in Naive Th17 Precursors: Implications for the Cure</t>
  </si>
  <si>
    <t>HIV-1, Reservoirs, Th17</t>
  </si>
  <si>
    <t>Grover, Steven A</t>
  </si>
  <si>
    <t>Evaluating a Multidisciplinary E-Health Program to Promote Regular Physical Activity Among Individuals at Increased Risk of Cardiovascular Disease</t>
  </si>
  <si>
    <t>E-Health, Physical Activity, Cardiovascular Disease</t>
  </si>
  <si>
    <t>Rose, April A</t>
  </si>
  <si>
    <t>Evaluating mutant NRAS as a molecular mediator of immunotherapy resistance in melanoma</t>
  </si>
  <si>
    <t>NRAS, immunotherapy, melanoma</t>
  </si>
  <si>
    <t>Gilbert, Penney M</t>
  </si>
  <si>
    <t>Evaluating the nerve-muscle connection as a Duchenne muscular dystrophy therapeutic target</t>
  </si>
  <si>
    <t>nerve-muscle, Duchenne muscular dystrophy, therapeutic</t>
  </si>
  <si>
    <t>Nabi, Ivan R</t>
  </si>
  <si>
    <t>Evaluation of autocrine motility factor as a targeted delivery agent for cancer therapy</t>
  </si>
  <si>
    <t>autocrine motility factor, targeted delivery, cancer</t>
  </si>
  <si>
    <t>Evaluation of circulating small RNA markers as simple blood test biomarkers for detecting and predicting outcomes in oral cancer</t>
  </si>
  <si>
    <t>small RNA, biomarkers, oral cancer</t>
  </si>
  <si>
    <t>Lillicrap, David P</t>
  </si>
  <si>
    <t>201403IPR</t>
  </si>
  <si>
    <t>Evaluation of innovative therapeutic strategies for hemophilia A in a unique hemophilic dog colony.</t>
  </si>
  <si>
    <t>hemophilia A, therapeutic strategies, dog colony</t>
  </si>
  <si>
    <t>Evaluation of MR Chemical Exchange Saturation Transfer Imaging as a marker of tumour environment and pH</t>
  </si>
  <si>
    <t>MR, Chemical Exchange Saturation Transfer, tumor environment</t>
  </si>
  <si>
    <t>Evaluation of protein kinase C iota as a target for glioblastoma therapy</t>
  </si>
  <si>
    <t>protein kinase C, glioblastoma, target</t>
  </si>
  <si>
    <t>Ansermino, John M</t>
  </si>
  <si>
    <t>eVENT: An expert system for detecting ventilatory events during anesthesia</t>
  </si>
  <si>
    <t>ventilatory events, expert system, anesthesia</t>
  </si>
  <si>
    <t>Pukall, Caroline F</t>
  </si>
  <si>
    <t>Examining the efficacy of a multimodal virtual program on pain and sexual outcomes in individuals with provoked vestibulodynia: A randomized clinical trial</t>
  </si>
  <si>
    <t>virtual, pain, vestibulodynia</t>
  </si>
  <si>
    <t>Wang, Yemin</t>
  </si>
  <si>
    <t>Exploit the metabolic vulnerabilities in SWI/SNF-deficient cancer</t>
  </si>
  <si>
    <t>metabolic, vulnerabilities, SWI/SNF-deficient</t>
  </si>
  <si>
    <t>Exploiting genetic vulnerabilities to improve outcomes in small cell carcinoma of the ovary</t>
  </si>
  <si>
    <t>genetic, vulnerabilities, small cell carcinoma</t>
  </si>
  <si>
    <t>Cellot, Sonia</t>
  </si>
  <si>
    <t>Exploiting induction of mitochondrial apoptosis as a therapeutic vulnerability in high fatality pediatric leukemia</t>
  </si>
  <si>
    <t>mitochondrial apoptosis, pediatric leukemia, therapeutic vulnerability</t>
  </si>
  <si>
    <t>Exploiting minor histocompatibility antigens for personalized cancer immunotherapy</t>
  </si>
  <si>
    <t>minor histocompatibility, antigens, immunotherapy</t>
  </si>
  <si>
    <t>Exploiting synthetic lethality in Renal Cell Carcinoma: Targeting the loss of the von Hippel-Lindau tumor suppressor gene through autophagy for the development of anticancer therapy</t>
  </si>
  <si>
    <t>synthetic lethality, renal cell carcinoma, autophagy</t>
  </si>
  <si>
    <t>Chithrani, Devika B</t>
  </si>
  <si>
    <t>Exploiting the full potential of cancer radiotherapy using a novel combined treatment approach to treat locally advanced tumors</t>
  </si>
  <si>
    <t>cancer, radiotherapy, tumors</t>
  </si>
  <si>
    <t>Ramaswamy, Vijay</t>
  </si>
  <si>
    <t>Exploiting therapeutic vulnerabilities to identify new treatments for high-risk SHH medulloblastoma</t>
  </si>
  <si>
    <t>therapeutic vulnerabilities, SHH medulloblastoma</t>
  </si>
  <si>
    <t>Mallette, Frederick A</t>
  </si>
  <si>
    <t>Exploiting translational reprogramming in neoplasia to devise unique strategies to eliminate cancer and cancer-promoting senescent cells</t>
  </si>
  <si>
    <t>translational reprogramming, neoplasia, cancer</t>
  </si>
  <si>
    <t>Koti, Madhuri</t>
  </si>
  <si>
    <t>Exploiting tumour innate immunity for sensitization of ovarian tumours to PD-L1 immune checkpoint blockade immunotherapy</t>
  </si>
  <si>
    <t>tumour, innate immunity, PD-L1</t>
  </si>
  <si>
    <t>McManus, Kirk J</t>
  </si>
  <si>
    <t>Exploring and Exploiting Reduced USP22 Expression in Colorectal Cancer</t>
  </si>
  <si>
    <t>USP22, colorectal cancer, gene expression</t>
  </si>
  <si>
    <t>Barha, Cindy</t>
  </si>
  <si>
    <t>Exploring biomarkers of physical activity promotion of cognition in menopause: Role of race/ethnicity</t>
  </si>
  <si>
    <t>biomarkers, physical activity, cognition</t>
  </si>
  <si>
    <t>Bouvier, Michel</t>
  </si>
  <si>
    <t>Exploring GPCR functional selectivity for anti-inflammatory drugs</t>
  </si>
  <si>
    <t>GPCR, selectivity, anti-inflammatory</t>
  </si>
  <si>
    <t>Miller, Wilson H</t>
  </si>
  <si>
    <t>Exploring the therapeutic potential of combined inhibition of MNK1/2 and CDK4/6 to treat melanoma.</t>
  </si>
  <si>
    <t>MNK1, CDK4/6, melanoma</t>
  </si>
  <si>
    <t>Richardson, Christopher D</t>
  </si>
  <si>
    <t>Expression and Purification of COVID19 Virus Spike (S) Protein for Diagnostics and Vaccines</t>
  </si>
  <si>
    <t>COVID19, Spike Protein, Diagnostics</t>
  </si>
  <si>
    <t>Montreal Heart Institute</t>
  </si>
  <si>
    <t>Fast multispectral diffuse optical imager applied to pharmacokinetics of cancer.</t>
  </si>
  <si>
    <t>multispectral, diffuse optical, pharmacokinetics</t>
  </si>
  <si>
    <t>Underhill, Michael</t>
  </si>
  <si>
    <t>Fate and function of mesenchymal progenitors within the medulloblastoma tumour microenvironment</t>
  </si>
  <si>
    <t>mesenchymal progenitors, medulloblastoma, microenvironment</t>
  </si>
  <si>
    <t>White, John H</t>
  </si>
  <si>
    <t>FBW7-dependent regulation of cMYC and MXD1 function by the vitamin D receptor</t>
  </si>
  <si>
    <t>FBW7, cMYC, vitamin D receptor</t>
  </si>
  <si>
    <t>Hynynen, Kullervo H</t>
  </si>
  <si>
    <t>Feasibility of focused ultrasound treatment of deep vein thrombosis</t>
  </si>
  <si>
    <t>focused ultrasound, deep vein thrombosis</t>
  </si>
  <si>
    <t>Holland Bloorview Kids Rehabilitation Hospital (Toronto)</t>
  </si>
  <si>
    <t>Feasibility RCT evaluating digitally and traditionally produced ankle foot orthoses for individuals with impaired lower limb function</t>
  </si>
  <si>
    <t>ankle foot orthoses, lower limb, digital fabrication</t>
  </si>
  <si>
    <t>Sussman, Dafna</t>
  </si>
  <si>
    <t>FetAS: Fetal Assessment Suite to Facilitate Rapid Fetal MRI Diagnosis using Artificial Intelligence</t>
  </si>
  <si>
    <t>Fetal MRI, Artificial Intelligence, Diagnosis</t>
  </si>
  <si>
    <t>Minchinton, Andrew I</t>
  </si>
  <si>
    <t>FLASH radiotherapy - mechanisms and translational studies</t>
  </si>
  <si>
    <t>FLASH, radiotherapy, mechanisms</t>
  </si>
  <si>
    <t>Focus:  Engaging patients with chronic pain to use their character strengths to improve quality of life through a tailored mHealth intervention.</t>
  </si>
  <si>
    <t>chronic pain, mHealth, patient engagement</t>
  </si>
  <si>
    <t>Siu, K. W. Michael</t>
  </si>
  <si>
    <t>York University (Toronto, Ontario)</t>
  </si>
  <si>
    <t>From Tumors to Blood: Biomarker-Based Diagnostics, and Implications in Prognostics and Therapeutics of Glioblastoma Multiforme</t>
  </si>
  <si>
    <t>Biomarkers, Glioblastoma, Diagnostics</t>
  </si>
  <si>
    <t>Function and regulation of Numb alternative splicing in cancer.</t>
  </si>
  <si>
    <t>Numb, splicing, cancer</t>
  </si>
  <si>
    <t>Function and regulation of Numb protein isoforms in cancer.</t>
  </si>
  <si>
    <t>Numb protein, isoforms, cancer</t>
  </si>
  <si>
    <t>Function and therapeutic potential of SUV420H2 in neuroendocrine prostate cancer</t>
  </si>
  <si>
    <t>SUV420H2, neuroendocrine, prostate cancer</t>
  </si>
  <si>
    <t>Function of LSD1 in aggressive prostate cancer</t>
  </si>
  <si>
    <t>LSD1, prostate cancer</t>
  </si>
  <si>
    <t>Function of OC2 in Neuroendocrine Transdifferentiation and NEPC</t>
  </si>
  <si>
    <t>OC2, Neuroendocrine, Transdifferentiation</t>
  </si>
  <si>
    <t>Function of the BTB/POZ domain transcription factor Miz-1 in the activation of lymphoid cells and in lymphoid leukemia and lymphoma</t>
  </si>
  <si>
    <t>BTB, transcription factor, lymphoid</t>
  </si>
  <si>
    <t>Functional Analysis of Proteins Involved in Telomere Maintenance and Genome Integrity</t>
  </si>
  <si>
    <t>Proteins, Telomere, Genome</t>
  </si>
  <si>
    <t>Santyr, Giles E</t>
  </si>
  <si>
    <t>Functional and Metabolic Magnetic Resonance Imaging of Lung Inflammation</t>
  </si>
  <si>
    <t>Magnetic Resonance Imaging, Lung Inflammation</t>
  </si>
  <si>
    <t>Werbowetski-Ogilvie, Tamra E</t>
  </si>
  <si>
    <t>Functional characterization of novel biomarkers for subtype-specific medulloblastoma cell phenotypes</t>
  </si>
  <si>
    <t>biomarkers, medulloblastoma, phenotypes</t>
  </si>
  <si>
    <t>Stambolic, Vuk</t>
  </si>
  <si>
    <t>201003COP</t>
  </si>
  <si>
    <t>Functional characterization of the NIMA-related kinase 10 (Nek10) in development and disease</t>
  </si>
  <si>
    <t>NIMA-related kinase, Nek10, disease</t>
  </si>
  <si>
    <t>Snider, Denis P</t>
  </si>
  <si>
    <t>Functional correlate of mucosal antibody response to HIV infection in blood.</t>
  </si>
  <si>
    <t>mucosal antibody, HIV, blood</t>
  </si>
  <si>
    <t>Functional Genomics and in vitro Modeling of Human Pancreatic Carcinogenesis</t>
  </si>
  <si>
    <t>Genomics, in vitro, Pancreatic Carcinogenesis</t>
  </si>
  <si>
    <t>Durocher, Daniel</t>
  </si>
  <si>
    <t>Functional genomics of the response to DNA double-strand breaks</t>
  </si>
  <si>
    <t>genomics, DNA breaks, double-strand</t>
  </si>
  <si>
    <t>Demore, Christine E</t>
  </si>
  <si>
    <t>Functional micro-ultrasound imaging of the neurovascular response to focal ischemia</t>
  </si>
  <si>
    <t>micro-ultrasound, neurovascular, ischemia</t>
  </si>
  <si>
    <t>Pike, G. Bruce</t>
  </si>
  <si>
    <t>Functional MRI of Brain Physiology</t>
  </si>
  <si>
    <t>Functional MRI, Brain Physiology</t>
  </si>
  <si>
    <t>Medical Physics &amp; Imaging 2</t>
  </si>
  <si>
    <t>Functional near-infrared spectroscopic measures of coherence as a new bio-marker of injury in mTBI patients</t>
  </si>
  <si>
    <t>near-infrared, spectroscopic, mTBI</t>
  </si>
  <si>
    <t>Functionalized nanoparticles applied to photoacoustic molecular imaging of atherosclerotic plaque.</t>
  </si>
  <si>
    <t>nanoparticles, photoacoustic, imaging</t>
  </si>
  <si>
    <t>Masson, Jean-Yves</t>
  </si>
  <si>
    <t>Functions of the tumor suppressor PALB2 in DNA double-strand break repair and tumorigenesis</t>
  </si>
  <si>
    <t>PALB2,DNA repair, tumorigenesis</t>
  </si>
  <si>
    <t>Szturm, Tony J</t>
  </si>
  <si>
    <t>Games and Telerehabilitation for Balance impairments and gaze dysfunction: Testing model in clients with Peripheral Vestibular Disorders</t>
  </si>
  <si>
    <t>Telerehabilitation, Balance, Vestibular Disorders</t>
  </si>
  <si>
    <t>Gastruloid Engineering: Precision Organoid Design for Developmental and Disease Modeling</t>
  </si>
  <si>
    <t>Gastruloid, Organoid, Disease Modeling</t>
  </si>
  <si>
    <t>Guha, Abhijit</t>
  </si>
  <si>
    <t>GATA4 and GATA6 Transcription Factors in Gliomagenesis</t>
  </si>
  <si>
    <t>GATA4, GATA6, Gliomagenesis</t>
  </si>
  <si>
    <t>Gel dosimetry for brachytherapy dose delivery validation</t>
  </si>
  <si>
    <t>Gel dosimetry, brachytherapy, dose validation</t>
  </si>
  <si>
    <t>Gene Delivery of Glucagon-like Peptide-1 (GLP-1) for the Treatment of Type 2 Diabetes</t>
  </si>
  <si>
    <t>Gene delivery, GLP-1, diabetes</t>
  </si>
  <si>
    <t>Unrau, Peter J</t>
  </si>
  <si>
    <t>General and Inexpensive Saliva-based Viral RNA Testing by Direct Imaging</t>
  </si>
  <si>
    <t>Saliva, Viral RNA, Imaging</t>
  </si>
  <si>
    <t>Stanescu, Teodor</t>
  </si>
  <si>
    <t>Generative Adversarial Networks for MRI-driven Radiation Therapy</t>
  </si>
  <si>
    <t>Generative Adversarial Networks, MRI, Radiation Therapy</t>
  </si>
  <si>
    <t>Genetic and cell biological analysis of calpain: a potential therapeutic target in breast cancer</t>
  </si>
  <si>
    <t>calpain, genetic, breast cancer</t>
  </si>
  <si>
    <t>Nieman, Brian J</t>
  </si>
  <si>
    <t>Genetic determinants of radiation-induced brain toxicity in a juvenile mouse model</t>
  </si>
  <si>
    <t>genetic, radiation, brain toxicity</t>
  </si>
  <si>
    <t>Krajinovic, Maja</t>
  </si>
  <si>
    <t>Genetic determinants of the resistance to corticosteroids, vincristine and asparaginase in childhood acute lymphoblastic leukemia</t>
  </si>
  <si>
    <t>genetic, corticosteroids, leukemia</t>
  </si>
  <si>
    <t>Genetic drivers of medulloblastoma metastasis</t>
  </si>
  <si>
    <t>genetic, medulloblastoma, metastasis</t>
  </si>
  <si>
    <t>Gascoyne, Randy D</t>
  </si>
  <si>
    <t>Genetic mechanisms underlying immune escape in malignant lymphomas</t>
  </si>
  <si>
    <t>genetic, immune escape, lymphomas</t>
  </si>
  <si>
    <t>Diamandis, Eleftherios P</t>
  </si>
  <si>
    <t>Genetic, Epigenetic and Proteomic Analysis of the Kallikrein Family in Search for Novel Diagnostic Prognostic and Risk Susceptibility Algorithms for Prostate Cancer</t>
  </si>
  <si>
    <t>Genetic, Epigenetic, Proteomic</t>
  </si>
  <si>
    <t>Rudnicki, Michael A</t>
  </si>
  <si>
    <t>Genomic Analysis of Rhabdomyosarcoma Tumor Initiating Cells</t>
  </si>
  <si>
    <t>Genomic, Rhabdomyosarcoma, Tumor Cells</t>
  </si>
  <si>
    <t>Shah, Sohrab P</t>
  </si>
  <si>
    <t>Genomic Disruption in High-Grade Serous Ovarian Carcinomas: Steady State or Continuous Drift?</t>
  </si>
  <si>
    <t>Genomic, Ovarian, Carcinomas</t>
  </si>
  <si>
    <t>Wyatt, Alexander W</t>
  </si>
  <si>
    <t>Genomic dissection of de novo metastatic prostate cancer prior to treatment</t>
  </si>
  <si>
    <t>genomic, metastatic, prostate cancer</t>
  </si>
  <si>
    <t>Poh, Catherine</t>
  </si>
  <si>
    <t>Project Grant - PA: MSK/Skin/Oral Health: Clinical Research - Oral Health</t>
  </si>
  <si>
    <t>201903PJ7</t>
  </si>
  <si>
    <t>Genomic, Epigenomic, and Phenotypic Characterization of Oral Premalignant Fields for the Development of Actionable Prevention Strategies</t>
  </si>
  <si>
    <t>Genomic, Epigenomic, Phenotypic</t>
  </si>
  <si>
    <t>Bratman, Scott V</t>
  </si>
  <si>
    <t>Genomics-based radiosensitization for HPV-negative squamous cell carcinoma of the aerodigestive tract</t>
  </si>
  <si>
    <t>Genomics, radiosensitization, carcinoma</t>
  </si>
  <si>
    <t>Pyle, Glen W</t>
  </si>
  <si>
    <t>Getting to the Heart of Domestic Abuse: Identifying the molecular mechanisms of heart disease in association with physical and psychological stress</t>
  </si>
  <si>
    <t>heart disease, molecular mechanisms, stress</t>
  </si>
  <si>
    <t>Getting to the heart of hard-to-treat cancers: Anti-CD133 theranostics for molecular imaging and treatment of GBM</t>
  </si>
  <si>
    <t>CD133, theranostics, GBM</t>
  </si>
  <si>
    <t>Klein Geltink, Ramon</t>
  </si>
  <si>
    <t>Glucose restriction-mediated changes to mitochondria as a driver of anti-tumour CD8+ T cell function.</t>
  </si>
  <si>
    <t>glucose restriction, mitochondria, CD8+ T cells</t>
  </si>
  <si>
    <t>GPNMB as an emerging therapeutic target in metastatic breast cancer</t>
  </si>
  <si>
    <t>GPNMB, metastatic breast cancer, therapeutic target</t>
  </si>
  <si>
    <t>Martin, Alberto</t>
  </si>
  <si>
    <t>Gut microbiota and the etiology of colon cancer</t>
  </si>
  <si>
    <t>gut microbiota, colon cancer, etiology</t>
  </si>
  <si>
    <t>Tang, Shuo</t>
  </si>
  <si>
    <t>Handheld Multiphoton Imaging Device for Detecting Oral Cancer</t>
  </si>
  <si>
    <t>Multiphoton, Imaging, Oral Cancer</t>
  </si>
  <si>
    <t>Harnessing dendritic cells to regulate antitumor immunity in colorectal cancer</t>
  </si>
  <si>
    <t>dendritic cells, antitumor immunity, colorectal cancer</t>
  </si>
  <si>
    <t>Reid, Gregor</t>
  </si>
  <si>
    <t>Harnessing infection-associated modifiers of paediatric acute lymphoblastic leukaemia progression for therapeutic benefit</t>
  </si>
  <si>
    <t>infection, lymphoblastic leukaemia, paediatric</t>
  </si>
  <si>
    <t>Crome, Sarah A</t>
  </si>
  <si>
    <t>Harnessing innate lymphoid cells to improve hematopoietic stem cell transplant outcomes</t>
  </si>
  <si>
    <t>innate lymphoid cells, hematopoietic stem cell, transplant</t>
  </si>
  <si>
    <t>Monument, Michael J</t>
  </si>
  <si>
    <t>Harnessing STING activation for the treatment of sarcoma</t>
  </si>
  <si>
    <t>STING, activation, sarcoma</t>
  </si>
  <si>
    <t>Tandon, Puneeta</t>
  </si>
  <si>
    <t>HEAL-C : Home-based eHealth App for Cirrhosis</t>
  </si>
  <si>
    <t>eHealth, Cirrhosis, App</t>
  </si>
  <si>
    <t>Allen, Christine J</t>
  </si>
  <si>
    <t>Heat Activated Liposomal Delivery of Chemo and Molecular Therapy in Combination with Radiotherapy for Treatment of Breast Cancer Recurrence at the Chest Wall</t>
  </si>
  <si>
    <t>Liposomal, Chemotherapy, Radiotherapy</t>
  </si>
  <si>
    <t>Charron, Frederic</t>
  </si>
  <si>
    <t>Hedgehog signaling and medulloblastoma tumorigenesis</t>
  </si>
  <si>
    <t>Hedgehog signaling, medulloblastoma, tumorigenesis</t>
  </si>
  <si>
    <t>King, Graham John W</t>
  </si>
  <si>
    <t>Hemi-Arthroplasty of the Elbow: The Effect of Implant Surface Design and Materials on Joint Kinematics and Contact Mechanics</t>
  </si>
  <si>
    <t>Hemi-Arthroplasty, Implant Surface, Contact Mechanics</t>
  </si>
  <si>
    <t>Hemodynamics of Pediatric Congenital Heart Disease Using Accelerated and Motion-Compensated MRI</t>
  </si>
  <si>
    <t>Hemodynamics, MRI, Congenital Heart Disease</t>
  </si>
  <si>
    <t>Bordeleau, Franeois</t>
  </si>
  <si>
    <t>202209DCP</t>
  </si>
  <si>
    <t>Hepatic stellate cells as a driver of the pre-metastatic niche in uveal melanoma</t>
  </si>
  <si>
    <t>hepatic stellate cells, pre-metastatic niche, uveal melanoma</t>
  </si>
  <si>
    <t>Heteroclitic Peptides to Increase Human Immunodeficiency Virus-specific CD8+ T cell Interleukin-2 Production</t>
  </si>
  <si>
    <t>Heteroclitic Peptides, Immunodeficiency Virus, CD8+ T cells</t>
  </si>
  <si>
    <t>Ladbon Bernasconi, Neda</t>
  </si>
  <si>
    <t>High field imaging of focal epilepsy</t>
  </si>
  <si>
    <t>high field, imaging, epilepsy</t>
  </si>
  <si>
    <t>Zehbe, Ingeborg</t>
  </si>
  <si>
    <t>Lakehead University (Thunder Bay, Ontario)</t>
  </si>
  <si>
    <t>High intensity focused ultrasound and newly engineered single domain antibodies for non-invasive treatment of human papillomavirus-related cervical cancer</t>
  </si>
  <si>
    <t>ultrasound, antibodies, cervical cancer</t>
  </si>
  <si>
    <t>High-Performance X-Ray Detectors that Maximize Image Quality and Reduce Patient Exposures</t>
  </si>
  <si>
    <t>X-Ray, Detectors, Image Quality</t>
  </si>
  <si>
    <t>High-Resolution OCT Imaging of Bronchial Epithelium</t>
  </si>
  <si>
    <t>OCT, Imaging, Bronchial Epithelium</t>
  </si>
  <si>
    <t>High-Throughput Analysis of Low Dose, Repetitive Alpha Particle Irradiation as a source of Radon-Induced Lung Cancer</t>
  </si>
  <si>
    <t>Alpha particle, irradiation, lung cancer</t>
  </si>
  <si>
    <t>Ward, Aaron</t>
  </si>
  <si>
    <t>Histopathology image analysis for prostate cancer prognosis after radical prostatectomy</t>
  </si>
  <si>
    <t>histopathology, image analysis, prostate cancer</t>
  </si>
  <si>
    <t>Harrigan, Richard P</t>
  </si>
  <si>
    <t>HIV Drug Resistance: Transitioning to New Sequencing Technologies</t>
  </si>
  <si>
    <t xml:space="preserve">1 yr 6 mths </t>
  </si>
  <si>
    <t>HIV, sequencing, resistance</t>
  </si>
  <si>
    <t>Ahmed, Sofia B</t>
  </si>
  <si>
    <t>Hormonal route of administration and cardiorenal health</t>
  </si>
  <si>
    <t>hormonal, administration, cardiorenal</t>
  </si>
  <si>
    <t>Zoubeidi, Amina</t>
  </si>
  <si>
    <t>Hormone therapy induces reprogramming to drive aggressive prostate cancer</t>
  </si>
  <si>
    <t>hormone therapy, reprogramming, prostate cancer</t>
  </si>
  <si>
    <t>Russell, James A</t>
  </si>
  <si>
    <t>HOST RESPONSE MEDIATORS IN CORONAVIRUS (COVID-19) INFECTION - IS THERE A PROTECTIVE EFFECT OF ARBs ON OUTCOMES OF CORONAVIRUS INFECTION? (ARBs CORONA II)</t>
  </si>
  <si>
    <t>host response, coronavirus, ARBs</t>
  </si>
  <si>
    <t>Grova, Christophe</t>
  </si>
  <si>
    <t>Concordia University (Montreal, Quebec)</t>
  </si>
  <si>
    <t>How is neurovascular coupling impacted by the occurrence of epileptic activity during sleep: a whole night personalized EEG/fNIRS investigation</t>
  </si>
  <si>
    <t>neurovascular, epileptic activity, EEG/fNIRS</t>
  </si>
  <si>
    <t>Pai, Emil F</t>
  </si>
  <si>
    <t>How viral membrane components influence epitope recognition by the broadly neutralizing anti-HIV-1 antibody 2F5: potential translation into vaccine design</t>
  </si>
  <si>
    <t>viral membrane, epitope recognition, HIV-1</t>
  </si>
  <si>
    <t>Hybrid (Co-registered) Intravascular Imaging Technology of Coronary Atherosclerosis using Wavelength-Modulated Differential Photoacoustic Radar and Ultrasonic Tomography</t>
  </si>
  <si>
    <t>Intravascular imaging, Photoacoustic radar, Ultrasonic tomography</t>
  </si>
  <si>
    <t>El Naqa, Issam M</t>
  </si>
  <si>
    <t>Hybrid Image Analysis for Radiotherapy</t>
  </si>
  <si>
    <t>Image analysis, radiotherapy</t>
  </si>
  <si>
    <t>Dhanvantari, Savita</t>
  </si>
  <si>
    <t>Hybrid Molecular Imaging in the Diagnosis of Heart Disease</t>
  </si>
  <si>
    <t>Molecular Imaging, Heart Disease</t>
  </si>
  <si>
    <t>Du, Caigan</t>
  </si>
  <si>
    <t>Hyperbranched polyglycerol-based colloid preservation solutions: Toward clinical applications</t>
  </si>
  <si>
    <t>hyperbranched, polyglycerol, colloid</t>
  </si>
  <si>
    <t>McKenzie, Charles A</t>
  </si>
  <si>
    <t>Hyperpolarised 13C MRI of Placental Metabolism in Intrauterine Growth Restriction</t>
  </si>
  <si>
    <t>hyperpolarised, MRI, placental metabolism</t>
  </si>
  <si>
    <t>Parraga, Grace</t>
  </si>
  <si>
    <t>Hyperpolarized Helium-3 Magnetic Resonance Imaging Phenotypes of Chronic Obstructive Pulmonary Disease</t>
  </si>
  <si>
    <t>Hyperpolarized, Helium-3, MRI</t>
  </si>
  <si>
    <t>Hyperpolarized Xenon-129 Magnetic Resonance Imaging of Radiation-Induced Lung Injury</t>
  </si>
  <si>
    <t>Hyperpolarized, Xenon-129, MRI</t>
  </si>
  <si>
    <t>Hedley, David W</t>
  </si>
  <si>
    <t>Hypoxia in micrometastases as a cause of treatment failure in the adjuvant setting</t>
  </si>
  <si>
    <t>hypoxia, micrometastases, treatment failure</t>
  </si>
  <si>
    <t>Bennewith, Kevin L</t>
  </si>
  <si>
    <t>Hypoxia in tumour-draining lymph nodes as an indication of immune activation and immunotherapy response</t>
  </si>
  <si>
    <t>hypoxia, lymph nodes, immunotherapy</t>
  </si>
  <si>
    <t>Hypoxia-selective inhibitors of DNA repair</t>
  </si>
  <si>
    <t>hypoxia, inhibitors, DNA repair</t>
  </si>
  <si>
    <t>Hypoxia-selective radiation sensitizers</t>
  </si>
  <si>
    <t>Hypoxia, radiation, sensitizers</t>
  </si>
  <si>
    <t>Hill, Richard P</t>
  </si>
  <si>
    <t>Hypoxia:  Effects on Tumour Response and Progression in Cervix Cancer</t>
  </si>
  <si>
    <t>Hypoxia, Tumour, Cervix Cancer</t>
  </si>
  <si>
    <t>Hypoxic-specific activation of natural killer cells: Being resilient in the tumor microenvironment</t>
  </si>
  <si>
    <t>hypoxic, natural killer cells, tumor microenvironment</t>
  </si>
  <si>
    <t>Identification and analysis of new small-molecules active against drug-resistant non-small cell lung cancer</t>
  </si>
  <si>
    <t>small-molecules, drug-resistant, lung cancer</t>
  </si>
  <si>
    <t>Kelvin, David J</t>
  </si>
  <si>
    <t>Identification and Characterization of Adjuvant Controlled Correlates of Immune Protection</t>
  </si>
  <si>
    <t>Adjuvant, Immune, Correlates</t>
  </si>
  <si>
    <t>Hassell, John A</t>
  </si>
  <si>
    <t>201403COP</t>
  </si>
  <si>
    <t>Identification and characterization of drugs affecting serotonin signalling that may be repurposed to treat breast cancer</t>
  </si>
  <si>
    <t>serotonin, drugs, breast cancer</t>
  </si>
  <si>
    <t>Jabado, Nada</t>
  </si>
  <si>
    <t>Identification and characterization of genes involved in the genesis and progression of pediatric astrocytomas.</t>
  </si>
  <si>
    <t>genes, astrocytomas, pediatric</t>
  </si>
  <si>
    <t>Salmena, Leonardo L</t>
  </si>
  <si>
    <t>Identification and characterization of microRNAs essential for the development and fitness of chemoresistant AML</t>
  </si>
  <si>
    <t>microRNAs, chemoresistant AML, characterization</t>
  </si>
  <si>
    <t>Identification and characterization of ovarian cancer initiating cells</t>
  </si>
  <si>
    <t>ovarian cancer, initiating cells, characterization</t>
  </si>
  <si>
    <t>Identification and functional analysis of a novel metastasis-associated gene in prostate cancer</t>
  </si>
  <si>
    <t>metastasis, gene, prostate cancer</t>
  </si>
  <si>
    <t>Catelas, Isabelle</t>
  </si>
  <si>
    <t>Identification and modulation of molecular mechanisms involved in the biological response to wear and corrosion of hip implants</t>
  </si>
  <si>
    <t>molecular mechanisms, biological response, hip implants</t>
  </si>
  <si>
    <t>Spagnuolo, Paul</t>
  </si>
  <si>
    <t>Identification and validation of nutraceuticals that prevent SARS-CoV-2 infection</t>
  </si>
  <si>
    <t>nutraceuticals, SARS-CoV-2, infection</t>
  </si>
  <si>
    <t>Silva Wurzba, Sabrina Daniela</t>
  </si>
  <si>
    <t>Identification of biological properties and molecular signatures to predict treatment response in patients with advanced HPV positive oropharyngeal cancer</t>
  </si>
  <si>
    <t>biological properties, molecular signatures, HPV</t>
  </si>
  <si>
    <t>Identification of biomarkers using single cell technology that inform on optimal duration of immunotherapy treatment in melanoma</t>
  </si>
  <si>
    <t>biomarkers, single cell, immunotherapy</t>
  </si>
  <si>
    <t>Savas, Sevtap</t>
  </si>
  <si>
    <t>201003RNL</t>
  </si>
  <si>
    <t>Identification of genetic factors correlated with survival in colorectal cancer: Investigation of genetic markers from angiogenesis/lymphangiogenesis and metastasis pathways</t>
  </si>
  <si>
    <t>genetic factors, colorectal cancer, metastasis</t>
  </si>
  <si>
    <t>Gleave, Martin E</t>
  </si>
  <si>
    <t>Identification of HOXB13 inhibitors to treat castrate-resistant prostate cancer</t>
  </si>
  <si>
    <t>HOXB13, inhibitors, prostate cancer</t>
  </si>
  <si>
    <t>Identification of lncRNAs that regulate biological processes required for breast cancer progression</t>
  </si>
  <si>
    <t>lncRNAs, breast cancer, biological processes</t>
  </si>
  <si>
    <t>Tikhonova, Anastasia</t>
  </si>
  <si>
    <t>Identification of microenvironmental cues that promote acute lymphoblastic leukemia</t>
  </si>
  <si>
    <t>microenvironmental cues, acute lymphoblastic leukemia</t>
  </si>
  <si>
    <t>Identification of miRNAs and their Specific Gene Targets that are Critical for Prostate Cancer Metastases</t>
  </si>
  <si>
    <t>miRNAs, gene targets, prostate cancer</t>
  </si>
  <si>
    <t>Identification of molecular mechanisms involved in the biological response to implant wear and corrosion</t>
  </si>
  <si>
    <t>molecular mechanisms, implant wear, corrosion</t>
  </si>
  <si>
    <t>201803PJ5</t>
  </si>
  <si>
    <t>Reedijk, Michael</t>
  </si>
  <si>
    <t>Identification of molecular pathways associated with Notch activation in triple-negative breast cancer</t>
  </si>
  <si>
    <t>Notch, molecular pathways, breast cancer</t>
  </si>
  <si>
    <t>Finzi, Andres</t>
  </si>
  <si>
    <t>Identification of Naturally-Occurring anti-HIV-1 Neutralizing Molecules from a Cohort of Highly-HIV-1-Exposed Seronegative Individuals</t>
  </si>
  <si>
    <t>anti-HIV, neutralizing molecules, seronegative</t>
  </si>
  <si>
    <t>Moghal, Nadeem</t>
  </si>
  <si>
    <t>Identification of novel therapeutic targets for SOX2-driven lung squamous cell carcinoma</t>
  </si>
  <si>
    <t>SOX2, lung cancer, targets</t>
  </si>
  <si>
    <t>Identification of PI-3K coupled signalling pathways involved in mammary tumour progression: Implication for resistance to targeted therapy.</t>
  </si>
  <si>
    <t>PI-3K, signalling pathways, mammary tumor</t>
  </si>
  <si>
    <t>LeVan, Pierre</t>
  </si>
  <si>
    <t>Identification of seizure-generating brain areas in drug-resistant epilepsy using dynamic resting-state fMRI</t>
  </si>
  <si>
    <t>seizure, brain areas, fMRI</t>
  </si>
  <si>
    <t>Eppert, Kolja</t>
  </si>
  <si>
    <t>Identification of the mechanisms underlying the early stages of leukemogenesis in human hematopoietic stem cells.</t>
  </si>
  <si>
    <t>leukemogenesis, hematopoietic stem cells, mechanisms</t>
  </si>
  <si>
    <t>Identification of therapeutic targets for pediatric acute megakaryoblastic leukemia</t>
  </si>
  <si>
    <t>therapeutic targets, pediatric leukemia, megakaryoblastic</t>
  </si>
  <si>
    <t>Vizeacoumar, Franco J</t>
  </si>
  <si>
    <t>Identification of therapeutically relevant targets in telomerase overexpressing prostate cancers</t>
  </si>
  <si>
    <t>telomerase, prostate cancer, targets</t>
  </si>
  <si>
    <t>Mak, Tak W</t>
  </si>
  <si>
    <t>Identification of tumour-reactive gamma delta T cell receptors to treat hematological malignancies.</t>
  </si>
  <si>
    <t>gamma delta T, tumor-reactive, receptors</t>
  </si>
  <si>
    <t>Schramek, Daniel</t>
  </si>
  <si>
    <t>Identifying and characterizing essential genes and cancer driver genes in HNSCC using in vivo CRISPR screens.</t>
  </si>
  <si>
    <t>CRISPR, genes, cancer</t>
  </si>
  <si>
    <t>Moffat, Jason</t>
  </si>
  <si>
    <t>Identifying cancer intrinsic immune evasion mechanism for target discovery</t>
  </si>
  <si>
    <t>cancer, immune evasion, target discovery</t>
  </si>
  <si>
    <t>Stein, Lincoln</t>
  </si>
  <si>
    <t>Identifying Cancer Tissue of Origin using Plasma Whole Genome Sequencing</t>
  </si>
  <si>
    <t>Cancer, Genome Sequencing, Tissue</t>
  </si>
  <si>
    <t>Prodger, Jessica L</t>
  </si>
  <si>
    <t>Identifying causes of neovaginal malodour in transfeminine people</t>
  </si>
  <si>
    <t>neovaginal, malodour, transfeminine</t>
  </si>
  <si>
    <t>Bally, Marcel B</t>
  </si>
  <si>
    <t>Identifying Cytoprotective Responses Triggered Following Initial Exposure to Targeted Therapy: Defining Improved Treatment Strategies for Patients with HER-2 Positive Breast Cancer.</t>
  </si>
  <si>
    <t>Cytoprotective responses, HER-2, breast cancer</t>
  </si>
  <si>
    <t>Identifying Determinants of Acute Lymphoblastic Leukemia Progression</t>
  </si>
  <si>
    <t>Acute Lymphoblastic Leukemia, Progression, Determinants</t>
  </si>
  <si>
    <t>Krzeczkowski, John E</t>
  </si>
  <si>
    <t>Brock University (Ontario)</t>
  </si>
  <si>
    <t>Identifying epigenetic biomarkers of the response to cognitive behavioural therapy in mothers/birthing parents treated for postpartum depression</t>
  </si>
  <si>
    <t>epigenetic, biomarkers, postpartum depression</t>
  </si>
  <si>
    <t>Identifying essential genes for epithelial homeostasis and KRas-driven carcinomas using in vivo CRISPR screens.</t>
  </si>
  <si>
    <t>CRISPR, genes, carcinomas</t>
  </si>
  <si>
    <t>Identifying infection-induced determinants of paediatric acute lymphoblastic leukaemia progression</t>
  </si>
  <si>
    <t>Berman, Jason N</t>
  </si>
  <si>
    <t>Identifying novel strategies for leukemia prevention using zebrafish models of dnajc21-mutant Shwachman Diamond syndrome</t>
  </si>
  <si>
    <t>leukemia, zebrafish, dnajc21</t>
  </si>
  <si>
    <t>202309PDI</t>
  </si>
  <si>
    <t>Identifying novel therapeutic vulnerabilities in pediatric acute megakaryoblastic leukemia</t>
  </si>
  <si>
    <t>therapeutic vulnerabilities, pediatric leukemia, megakaryoblastic</t>
  </si>
  <si>
    <t>Ciampi, Antonio</t>
  </si>
  <si>
    <t>Identifying states and courses of a mental disorder from longitudinal data: Delirium as an example</t>
  </si>
  <si>
    <t>mental disorder, longitudinal data, delirium</t>
  </si>
  <si>
    <t>Pearson, Joel</t>
  </si>
  <si>
    <t>Identifying strategies to therapeutically target the unique epigenetic landscape of small cell lung cancer</t>
  </si>
  <si>
    <t>epigenetic, small cell lung cancer, targeting</t>
  </si>
  <si>
    <t>Identifying the molecular and environmental factors involved in promoting escape from breast cancer dormancy.</t>
  </si>
  <si>
    <t>breast cancer, dormancy, molecular factors</t>
  </si>
  <si>
    <t>Identifying tumor-derived and microenvironmental factors that drive invasive growth of brain metastases</t>
  </si>
  <si>
    <t>tumor, microenvironment, metastases</t>
  </si>
  <si>
    <t>MacIntosh, Bradley J</t>
  </si>
  <si>
    <t>Identifying vascular targets to treat cerebral small vessel disease</t>
  </si>
  <si>
    <t>vascular, targets, vessel disease</t>
  </si>
  <si>
    <t>Salcudean, Septimiu E</t>
  </si>
  <si>
    <t>Image guidance for radical prostatectomy</t>
  </si>
  <si>
    <t>Image guidance, prostatectomy</t>
  </si>
  <si>
    <t>Image guided neurosurgery</t>
  </si>
  <si>
    <t>Image, neurosurgery</t>
  </si>
  <si>
    <t>Image guided neurosurgery: Improving guidance during spinal surgery.</t>
  </si>
  <si>
    <t>Image, neurosurgery, guidance</t>
  </si>
  <si>
    <t>Kadoury, Samuel</t>
  </si>
  <si>
    <t>Image-guided device interventions for arterial therapies in liver cancer</t>
  </si>
  <si>
    <t>image-guided, device, liver cancer</t>
  </si>
  <si>
    <t>Peters, Terence M</t>
  </si>
  <si>
    <t>Image-guided Mitral Valve Repair</t>
  </si>
  <si>
    <t>Image-guided, Mitral Valve, Repair</t>
  </si>
  <si>
    <t>Image-Guided Molecular Optical Spectroscopy for Tumor-Targeted Prostate Cancer Interventions</t>
  </si>
  <si>
    <t>Image-Guided, Molecular, Spectroscopy</t>
  </si>
  <si>
    <t>Yee, Albert J</t>
  </si>
  <si>
    <t>Image-guided Radiofrequency Ablation (RFA) - Development, Validation, and Integration of Multimodality Treatment Planning for Vertebral Tumors</t>
  </si>
  <si>
    <t>Image-guided, Radiofrequency Ablation, Tumors</t>
  </si>
  <si>
    <t>Wilman, Alan H</t>
  </si>
  <si>
    <t>Imaging Brain Iron in Multiple Sclerosis: Development, Validation and Clinical Implementation</t>
  </si>
  <si>
    <t>Brain imaging, Iron detection, Multiple sclerosis</t>
  </si>
  <si>
    <t>Kubes, Paul</t>
  </si>
  <si>
    <t>Imaging COVID-19 Lungs to Uncover Therapies</t>
  </si>
  <si>
    <t>Imaging, COVID-19, Lungs</t>
  </si>
  <si>
    <t>Thompson, Richard B</t>
  </si>
  <si>
    <t>Imaging Diffuse Fibrosis in Acute Myocardial Infarction</t>
  </si>
  <si>
    <t>Imaging, Fibrosis, Myocardial Infarction</t>
  </si>
  <si>
    <t>Imaging important steps in the formation of brain metastases</t>
  </si>
  <si>
    <t>imaging, brain metastases, formation</t>
  </si>
  <si>
    <t>Imaging Lactate Production and Consumption in the Human Brain</t>
  </si>
  <si>
    <t>Imaging, Lactate, Brain</t>
  </si>
  <si>
    <t>Rauscher, Alexander</t>
  </si>
  <si>
    <t>Imaging markers for tissue damage and disease progression in MS</t>
  </si>
  <si>
    <t>imaging, markers, tissue damage</t>
  </si>
  <si>
    <t>Imaging metrics of neuronal stochasticity and brain resilience</t>
  </si>
  <si>
    <t>Imaging, neuronal, resilience</t>
  </si>
  <si>
    <t>Imaging of Long Term Tissue Damage from COVID-19 and Cardiometabolic Disease</t>
  </si>
  <si>
    <t>Imaging, Tissue Damage, COVID-19</t>
  </si>
  <si>
    <t>Frayne, Richard</t>
  </si>
  <si>
    <t>Imaging of Small Vessel Disease in Dementia</t>
  </si>
  <si>
    <t>Imaging, Small Vessel Disease, Dementia</t>
  </si>
  <si>
    <t>Imaging the contribution of early cerebrovascular inflammation in Alzheimer's disease</t>
  </si>
  <si>
    <t>imaging, cerebrovascular, Alzheimer's</t>
  </si>
  <si>
    <t>Imaging the Mechanisms of Diastolic Dysfunction and its Role in Cardiovascular Performance</t>
  </si>
  <si>
    <t>Imaging, Diastolic Dysfunction, Cardiovascular</t>
  </si>
  <si>
    <t>Imaging-based assessments of knee mechanics</t>
  </si>
  <si>
    <t>Imaging, knee, mechanics</t>
  </si>
  <si>
    <t>Jolicoeur, Marc E</t>
  </si>
  <si>
    <t>201303IPR</t>
  </si>
  <si>
    <t>Immediate vs. Delayed Stenting after Primary Percutaneous Reperfusion in ST Elevation Myocardial Infarction</t>
  </si>
  <si>
    <t>stenting, reperfusion, myocardial infarction</t>
  </si>
  <si>
    <t>Pantophlet, Ralph A</t>
  </si>
  <si>
    <t>Immunogen design to elicit broadly neutralizing antibodies to influenza</t>
  </si>
  <si>
    <t>Immunogen, neutralizing antibodies, influenza</t>
  </si>
  <si>
    <t>Immunogenicity and HLA restriction of kinase mutations in colorectal adenoma and carcinoma patients</t>
  </si>
  <si>
    <t>Immunogenicity, HLA, kinase mutations</t>
  </si>
  <si>
    <t>Cottrell, Tricia</t>
  </si>
  <si>
    <t>Immunophenotyping Malignant Pleural Mesothelioma: Identifying Predictive and Prognostic Biomarkers for Combinatorial Immunotherapy</t>
  </si>
  <si>
    <t>Immunophenotyping, Mesothelioma, Biomarkers</t>
  </si>
  <si>
    <t>Rafei, Moutih</t>
  </si>
  <si>
    <t>Immunoproteasome-expressing mesenchymal stromal cells: a new tool for cancer vaccination</t>
  </si>
  <si>
    <t>immunoproteasome, mesenchymal stromal cells, cancer vaccination</t>
  </si>
  <si>
    <t>Immunotherapeutic Targeting of the U1 snRNA Mutation in Cancer</t>
  </si>
  <si>
    <t>Immunotherapy, U1 snRNA, Cancer</t>
  </si>
  <si>
    <t>Notta, Faiyaz</t>
  </si>
  <si>
    <t>Impact of copy number imbalances in mutant KRAS on pancreatic cancer chemoresistance and metastases</t>
  </si>
  <si>
    <t>KRAS, chemoresistance, pancreatic cancer</t>
  </si>
  <si>
    <t>Quail, Daniela</t>
  </si>
  <si>
    <t>Impact of obesity-associated inflammation on breast cancer progression</t>
  </si>
  <si>
    <t>obesity, inflammation, breast cancer</t>
  </si>
  <si>
    <t>IMPLANTABLE MICRO-DEVICE to MONITOR MUSCLE COMPARTMENT PRESSURE in TRAUMA VICTIMS</t>
  </si>
  <si>
    <t>implantable, micro-device, pressure</t>
  </si>
  <si>
    <t>Kassouf, Wassim</t>
  </si>
  <si>
    <t>Implication of neutrophil extracellular traps in the efficacy of bladder-sparing therapy in muscle invasive bladder cancer</t>
  </si>
  <si>
    <t>neutrophil extracellular traps, bladder-sparing, bladder cancer</t>
  </si>
  <si>
    <t>Whyne, Cari M</t>
  </si>
  <si>
    <t>Implications of pathologic changes to bone material properties on the skeletal stability of the metastatic spine</t>
  </si>
  <si>
    <t>bone, metastasis, stability</t>
  </si>
  <si>
    <t>201203COP</t>
  </si>
  <si>
    <t>Rahmim, Arman</t>
  </si>
  <si>
    <t>Improved Assessment of Disease in Lymphoma Patients using Quantitative PET Imaging</t>
  </si>
  <si>
    <t>Lymphoma, PET imaging, Quantitative</t>
  </si>
  <si>
    <t>Walker, Gilbert C</t>
  </si>
  <si>
    <t>Improved Diagnosis of Leukemia Using Highly Multiplexed Surface Enhanced Raman Scattering Nanoparticles</t>
  </si>
  <si>
    <t>Leukemia, Surface Enhanced Raman Scattering, Nanoparticles</t>
  </si>
  <si>
    <t>Withers, Stephen G</t>
  </si>
  <si>
    <t>Improved organ transplant across the ABO barrier through enzymatic removal of antigens</t>
  </si>
  <si>
    <t>organ transplant, enzymatic removal, antigens</t>
  </si>
  <si>
    <t>Improved Screening Methods for CCR5-Antagonists Use by Ultra Deep Sequencing and Quantitative Population-Based Sequencing Techniques: Analyzes of the Phase III Human Clinical Trials of Maraviroc (08-09).</t>
  </si>
  <si>
    <t>CCR5, sequencing, Maraviroc</t>
  </si>
  <si>
    <t>Improved treatment of cervical cancer through heat-activated delivery of chemo-radiosensitizing agents in combination with radiotherapy</t>
  </si>
  <si>
    <t>cervical cancer, heat-activated, chemo-radiosensitizing</t>
  </si>
  <si>
    <t>Pardee, Keith I</t>
  </si>
  <si>
    <t>Improving Access to Diagnostics: The Development of Deployable, Low-Burden Hand-Held Testing for Infectious Disease and Health Biomarkers.</t>
  </si>
  <si>
    <t>Diagnostics, Hand-Held Testing, Infectious Disease</t>
  </si>
  <si>
    <t>Zheng, Gang</t>
  </si>
  <si>
    <t>Improving cure rate of early stage lung cancer with personalized nanomedicine</t>
  </si>
  <si>
    <t>lung cancer, nanomedicine, cure rate</t>
  </si>
  <si>
    <t>Spaner, David E</t>
  </si>
  <si>
    <t>Improving Glucocorticoid Therapy in Leukemia</t>
  </si>
  <si>
    <t>Glucocorticoid, Leukemia</t>
  </si>
  <si>
    <t>Arcand, JoAnne</t>
  </si>
  <si>
    <t>Ontario Tech University</t>
  </si>
  <si>
    <t>Improving heart failure outcomes through apps that support self-management and adherence</t>
  </si>
  <si>
    <t>heart failure, self-management, adherence</t>
  </si>
  <si>
    <t>Yasufuku, Kazuhiro</t>
  </si>
  <si>
    <t>Improving lung cancer patient bronchoscopy efficiency through a novel pairing of biosensors with EBUS-TBNA</t>
  </si>
  <si>
    <t>lung, biosensors, EBUS-TBNA</t>
  </si>
  <si>
    <t>Improving neurological outcome of intensive care by bedside monitoring of cerebral perfusion</t>
  </si>
  <si>
    <t>neurological, perfusion, monitoring</t>
  </si>
  <si>
    <t>Improving Quality and Patient Safety in Radiation Therapy by Integrating Multi-Disciplinary Criteria into an Artificial Intelligence System</t>
  </si>
  <si>
    <t>Radiation Therapy, Artificial Intelligence, Patient Safety</t>
  </si>
  <si>
    <t>Dutta, Tilak</t>
  </si>
  <si>
    <t>Improving Repositioning Adherence in Home Care: Supporting Pressure Injury Care and Prevention</t>
  </si>
  <si>
    <t>Repositioning, Pressure Injury, Home Care</t>
  </si>
  <si>
    <t>Weersink, Robert A</t>
  </si>
  <si>
    <t>Improving Target Definition in Radiation Therapy Planning by the Spatial Registration of Optical Endoscopy Imaging with Volumetric Imaging</t>
  </si>
  <si>
    <t>Radiation Therapy, Optical Endoscopy, Volumetric Imaging</t>
  </si>
  <si>
    <t>Improving the identification of retinal biomarkers of Alzheimer disease in vivo</t>
  </si>
  <si>
    <t>retinal biomarkers, Alzheimer, in vivo</t>
  </si>
  <si>
    <t>Meunier, Michel</t>
  </si>
  <si>
    <t>Improving the reliability of cytology diagnosis with immunoplasmonic multiplex labeling.</t>
  </si>
  <si>
    <t>cytology, immunoplasmonic, multiplex labeling</t>
  </si>
  <si>
    <t>Miller, Robert John D</t>
  </si>
  <si>
    <t>Impulsive Heat desorption of the single cell - towards a full protein content determination</t>
  </si>
  <si>
    <t>Heat desorption, protein content, single cell</t>
  </si>
  <si>
    <t>In vivo CRISPR screen to identify clinically relevant therapeutic targets for lung cancer</t>
  </si>
  <si>
    <t>CRISPR, lung cancer, targets</t>
  </si>
  <si>
    <t>In Vivo Investigation of Mechanisms of Brain Metastasis and Metastatic Recurrence</t>
  </si>
  <si>
    <t>brain, metastasis, recurrence</t>
  </si>
  <si>
    <t>In Vivo siRNA Knockdown of Androgen Receptors to Treat Advanced Prostate Cancer</t>
  </si>
  <si>
    <t>siRNA, androgen receptors, prostate cancer</t>
  </si>
  <si>
    <t>Increasing anti-tumoral responses to ovarian cancer using engineered viruses</t>
  </si>
  <si>
    <t>anti-tumoral, engineered viruses, ovarian cancer</t>
  </si>
  <si>
    <t>Sicheri, Frank</t>
  </si>
  <si>
    <t>Induced proximity therapeutics for the difficult-to-drug RAS and RAF oncoproteins</t>
  </si>
  <si>
    <t>induced proximity, RAS, RAF</t>
  </si>
  <si>
    <t>Koropatnick, James</t>
  </si>
  <si>
    <t>Inducing Mismatch Repair Deficiency in Cancer Cells for Therapeutic Benefit</t>
  </si>
  <si>
    <t>Mismatch repair, cancer cells, deficiency</t>
  </si>
  <si>
    <t>Inducing oxidative stress as a mechanism to increase the clinical impact of complex I inhibitors in treating aggressive breast cancers.</t>
  </si>
  <si>
    <t>oxidative stress, complex I inhibitors, breast cancers</t>
  </si>
  <si>
    <t>Inflammatory phenotype, senescence, and viscoelasticity imaging of macrophages in HIV</t>
  </si>
  <si>
    <t>inflammatory, senescence, macrophages</t>
  </si>
  <si>
    <t>Allan, Alison L</t>
  </si>
  <si>
    <t>Influence of breast cancer-derived extracellular vesicles (BCEVs) on lung metastasis of triple negative breast cancer</t>
  </si>
  <si>
    <t>extracellular vesicles, breast cancer, metastasis</t>
  </si>
  <si>
    <t>Milot, Eric</t>
  </si>
  <si>
    <t>Influence of Ikaros on treatment response in Acute Lymphoblastic Leukemia</t>
  </si>
  <si>
    <t>Ikaros, Acute Lymphoblastic Leukemia, response</t>
  </si>
  <si>
    <t>Tsang, Teresa S</t>
  </si>
  <si>
    <t>INformation FUSion for Echocardiography (INFUSE): A Novel Platform for Automatic Analysis of Echocardiography Data at Any Point-Of-Care</t>
  </si>
  <si>
    <t>Information, Fusion, Echocardiography</t>
  </si>
  <si>
    <t>Schimmer, Aaron D</t>
  </si>
  <si>
    <t>Inhibiting oncogenic kinases to target metabolism in AML</t>
  </si>
  <si>
    <t>kinases, metabolism, AML</t>
  </si>
  <si>
    <t>Del Rincon, Sonia V</t>
  </si>
  <si>
    <t>Inhibiting the MNK1/2-eIF4E axis, to favor anti-tumor immunity in melanoma.</t>
  </si>
  <si>
    <t>MNK1, eIF4E, melanoma</t>
  </si>
  <si>
    <t>Chan, Steven M</t>
  </si>
  <si>
    <t>Inhibiting Thrombopoietin Receptor (TPO-R) Signaling as a Novel Approach to Target TET2 Mutation-Driven Clonal Hematopoiesis</t>
  </si>
  <si>
    <t>Thrombopoietin, TPO-R, TET2</t>
  </si>
  <si>
    <t>202303DCP</t>
  </si>
  <si>
    <t>O'Brien, Catherine A</t>
  </si>
  <si>
    <t>Inhibition of CBP/p300 bromodomain activity increases chemosensitivity of p53 mutant colorectal cancers through inhibiting p53 aggregation</t>
  </si>
  <si>
    <t>CBP, p300, bromodomain</t>
  </si>
  <si>
    <t>Lerouge, Sophie</t>
  </si>
  <si>
    <t>École de technologie supérieure (Montréal)</t>
  </si>
  <si>
    <t>Injectable bioactive hydrogel for the regeneration of intervertebral disc</t>
  </si>
  <si>
    <t>bioactive, hydrogel, intervertebral disc</t>
  </si>
  <si>
    <t>Suuronen, Erik</t>
  </si>
  <si>
    <t>Injectable collagen matrices for cardiac tissue repair</t>
  </si>
  <si>
    <t>Injectable, collagen, cardiac</t>
  </si>
  <si>
    <t>Injectable functional tissues: a perfect marriage of tissue engineering and minimally invasive delivery</t>
  </si>
  <si>
    <t>injectable, tissue engineering, minimally invasive</t>
  </si>
  <si>
    <t>202303PDI</t>
  </si>
  <si>
    <t>Injury Reprogramming at the Root of Glioblastoma Initiation and Progression</t>
  </si>
  <si>
    <t>injury, reprogramming, glioblastoma</t>
  </si>
  <si>
    <t>Innovative vascular implants based on electrospinning and bioactive coatings</t>
  </si>
  <si>
    <t>vascular, electrospinning, bioactive</t>
  </si>
  <si>
    <t>Eng, Janice J</t>
  </si>
  <si>
    <t>Instrumented i-GRASP for the assessment and treatment of upper extremity function after neurological injury</t>
  </si>
  <si>
    <t>i-GRASP, assessment, neurological injury</t>
  </si>
  <si>
    <t>Integrated Approach to Discover Prostate Cancer Biomarkers in Seminal Plasma</t>
  </si>
  <si>
    <t>Prostate, Biomarkers, Seminal Plasma</t>
  </si>
  <si>
    <t>Integrated In Vivo Multiphoton Microscopy and Confocal Raman Spectroscopy for Skin Cancer Detection and Evaluation</t>
  </si>
  <si>
    <t>Multiphoton Microscopy, Raman Spectroscopy, Skin Cancer</t>
  </si>
  <si>
    <t>Lagally, Eric T</t>
  </si>
  <si>
    <t>Integrated Microsystems for Selecting and Screening Novel Molecular Recognition Reagents</t>
  </si>
  <si>
    <t>microarrays, molecular recognition, screening</t>
  </si>
  <si>
    <t>Coombs, Kevin M</t>
  </si>
  <si>
    <t>Integrated multi-omic delineation of SARS-CoV-2-dysregulated cellular processes</t>
  </si>
  <si>
    <t>multi-omic, SARS-CoV-2, cellular processes</t>
  </si>
  <si>
    <t>Integrated Software for the Assessment of Diffusion Tensor Imaging of Brain Wiring in Alzheimer's Disease and Dementia</t>
  </si>
  <si>
    <t>Diffusion Tensor Imaging, Brain Wiring, Alzheimer's Disease</t>
  </si>
  <si>
    <t>Integrated time-domain micro-optode to facilitate long-term clinical fNIRS</t>
  </si>
  <si>
    <t>micro-optode, fNIRS, time-domain</t>
  </si>
  <si>
    <t>Pare, Guillaume</t>
  </si>
  <si>
    <t>Integration of clinical, biomarker, and genetic data for prediction of adverse outcomes in diabetes.</t>
  </si>
  <si>
    <t>clinical, biomarker, genetics</t>
  </si>
  <si>
    <t>Integration of mTOR-p53 pathway crosstalk and miR-34 family in prognostication and prediction of response to bladder cancer therapy</t>
  </si>
  <si>
    <t>mTOR, p53, miR-34</t>
  </si>
  <si>
    <t>Dagnino, Lina</t>
  </si>
  <si>
    <t>Integrin-linked kinase in epidermal stem cells</t>
  </si>
  <si>
    <t>Integrin, kinase, epidermal stem cells</t>
  </si>
  <si>
    <t>Intelligent Ureteral Stent System for Prevention of Renal Damage</t>
  </si>
  <si>
    <t>Ureteral stent, Renal damage, Prevention</t>
  </si>
  <si>
    <t>Ben-David, Yaacov</t>
  </si>
  <si>
    <t>Interaction of cancer initiating cells with the tumor microenvironment during leukemogenesis</t>
  </si>
  <si>
    <t>cancer cells, tumor microenvironment, leukemogenesis</t>
  </si>
  <si>
    <t>Sonenberg, Nahum</t>
  </si>
  <si>
    <t>INTERCEPTORs: engINeered ThERapeutiC dEfensive Particles TO SARS-CoV-2</t>
  </si>
  <si>
    <t>interceptor, engineered particles, SARS-CoV-2</t>
  </si>
  <si>
    <t>Buttyan, Ralph</t>
  </si>
  <si>
    <t>Interference with Gli to Control Castration Resistant Prostate Cancer</t>
  </si>
  <si>
    <t>Gli, prostate cancer, interference</t>
  </si>
  <si>
    <t>Interplay between homologous recombination and anti-recombination activities at broken DNA replication forks and genomic instability</t>
  </si>
  <si>
    <t>homologous recombination, DNA replication, genomic instability</t>
  </si>
  <si>
    <t>Bizheva, Kostadinka K</t>
  </si>
  <si>
    <t>Intra-operative Optical Coherence Tomography for corneal transplant surgery in Keratoconus</t>
  </si>
  <si>
    <t>Optical Coherence Tomography, corneal transplant, Keratoconus</t>
  </si>
  <si>
    <t>Campbell, Robert E</t>
  </si>
  <si>
    <t>Intracellular biosensors based on engineered fluorescent proteins: new tools and techniques for imaging the spatiotemporal dynamics of correlated biochemical events in single cells</t>
  </si>
  <si>
    <t>biosensors, fluorescent proteins, imaging</t>
  </si>
  <si>
    <t>Prisman, Eitan</t>
  </si>
  <si>
    <t>Intraoperative Surgical Tools for Advanced Reconstruction Workflow to Optimize Outcomes of Head and Neck Cancer Treatment</t>
  </si>
  <si>
    <t>surgical tools, reconstruction, head and neck cancer</t>
  </si>
  <si>
    <t>Mushahwar, Vivian</t>
  </si>
  <si>
    <t>Intraspinal Neural Prosthesis for Restoring Function after Spinal Cord Injury</t>
  </si>
  <si>
    <t>neural prosthesis, spinal cord, injury</t>
  </si>
  <si>
    <t>Investigating a novel phosphoinositide-lysosomal signalling axis for pancreatic cancer therapy</t>
  </si>
  <si>
    <t>phosphoinositide, lysosomal, pancreatic cancer</t>
  </si>
  <si>
    <t>Investigating diffuse midline glioma evolution and treatment resistance</t>
  </si>
  <si>
    <t>glioma, evolution, resistance</t>
  </si>
  <si>
    <t>Lee, Jong Bok</t>
  </si>
  <si>
    <t>Investigating how double-negative T cells affect anti-leukemic and GvHD-inducing activities of conventional T cells</t>
  </si>
  <si>
    <t>double-negative T cells, leukemia, GvHD</t>
  </si>
  <si>
    <t>Investigating INPP4B signalling as a target for therapy in leukaemia</t>
  </si>
  <si>
    <t>INPP4B, signalling, leukaemia</t>
  </si>
  <si>
    <t>Jones, Russell G</t>
  </si>
  <si>
    <t>Investigating LKB1-mediated inflammation as a mediator of tumour progression</t>
  </si>
  <si>
    <t>LKB1, inflammation, tumour progression</t>
  </si>
  <si>
    <t>Jay-Gerin, Jean-Paul</t>
  </si>
  <si>
    <t>Investigating the 'FLASH' effect: Mechanistic studies of the chemical and biological impact of ultra-high dose-rate radiation.</t>
  </si>
  <si>
    <t>FLASH, radiation, dose-rate</t>
  </si>
  <si>
    <t>Barakat, Khaled H</t>
  </si>
  <si>
    <t>Investigating the cell-based activity of a new class of cytotoxic T-lymphocyte antigen-4 (CTLA-4) small molecule inhibitors</t>
  </si>
  <si>
    <t>cytotoxic T-lymphocyte, CTLA-4, small molecule</t>
  </si>
  <si>
    <t>Shrive, Nigel G</t>
  </si>
  <si>
    <t>Investigating the Mechanisims of Osteoarthritis in an Ovine Model</t>
  </si>
  <si>
    <t>Osteoarthritis, Ovine, Mechanisms</t>
  </si>
  <si>
    <t>Deblois, Genevieve</t>
  </si>
  <si>
    <t>Investigating the metabolic determinants of triple-negative breast cancer progression through chromatin dependencies</t>
  </si>
  <si>
    <t>metabolic, breast cancer, chromatin</t>
  </si>
  <si>
    <t>202104PJG</t>
  </si>
  <si>
    <t>Bailey, Swneke D</t>
  </si>
  <si>
    <t>Investigating the Molecular Determinants of Peritoneal Metastasis from Gastro-Esophageal Adenocarcinomas</t>
  </si>
  <si>
    <t>Peritoneal metastasis, Molecular determinants, Gastro-Esophageal adenocarcinomas</t>
  </si>
  <si>
    <t>Investigating the mutations driving non Hodgkin lymphomas and developing plasma-based assays for tumour detection and monitoring</t>
  </si>
  <si>
    <t>mutations, lymphomas, assays</t>
  </si>
  <si>
    <t>Yang, Xiaolong</t>
  </si>
  <si>
    <t>Investigating the PTK-Hippo axis in breast cancer metastasis</t>
  </si>
  <si>
    <t>PTK, Hippo, metastasis</t>
  </si>
  <si>
    <t>Mulligan, Lois M</t>
  </si>
  <si>
    <t>Investigating the Regulation of RET Receptor-Mediated Perineural Invasion and Metastasis</t>
  </si>
  <si>
    <t>RET, receptor, metastasis</t>
  </si>
  <si>
    <t>Investigating the role of LINC01929 in regulating processes critical for breast cancer progression</t>
  </si>
  <si>
    <t>LINC01929, breast cancer, regulation</t>
  </si>
  <si>
    <t>Investigating the Role of Neutrophil Extracellular Traps In Cancer Metastasis</t>
  </si>
  <si>
    <t>Neutrophil, Extracellular Traps, Cancer</t>
  </si>
  <si>
    <t>Investigation of a novel tumor suppressor mechanism in medulloblastoma</t>
  </si>
  <si>
    <t>tumor suppressor, medulloblastoma</t>
  </si>
  <si>
    <t>Thu, Kelsie L</t>
  </si>
  <si>
    <t>Investigation of centrosome amplification as a therapeutic vulnerability in non-small cell lung cancer</t>
  </si>
  <si>
    <t>centrosome amplification, non-small cell lung cancer</t>
  </si>
  <si>
    <t>Cattral, Mark S</t>
  </si>
  <si>
    <t>Investigation of Dendritic Cell De-differentiation in Cancer</t>
  </si>
  <si>
    <t>Dendritic cell, De-differentiation, Cancer</t>
  </si>
  <si>
    <t>Investigation of Neutrophil Extracellular Trap DNA ( NET-DNA) induced signaling in the progression of Pancreatic Ductal Adenocarcinoma</t>
  </si>
  <si>
    <t>Neutrophil, NET-DNA, Adenocarcinoma</t>
  </si>
  <si>
    <t>Rathee, Satyapal</t>
  </si>
  <si>
    <t>Alberta Health Services</t>
  </si>
  <si>
    <t>Investigation of Pulsed Radiation Effects on RF Coils for Integrated MRI-Linac Project</t>
  </si>
  <si>
    <t>Pulsed Radiation, RF Coils, MRI-Linac</t>
  </si>
  <si>
    <t>Hardy, Pierre</t>
  </si>
  <si>
    <t>Investigation of the antineoplastic effect of miRNA-181a and development a novel pharmaceutical approaches for treating advanced retinoblastoma</t>
  </si>
  <si>
    <t>miRNA-181a, retinoblastoma, antineoplastic</t>
  </si>
  <si>
    <t>Investigation of the bioeffects of blood-brain barrier disruption by focused ultrasound: A multifaceted imaging approach</t>
  </si>
  <si>
    <t>blood-brain barrier, focused ultrasound, imaging</t>
  </si>
  <si>
    <t>Quenneville, Cheryl</t>
  </si>
  <si>
    <t>Investigation of the factors contributing to fracture risk in clinical populations using novel image processing techniques of standard DXA images from longitudinal datasets.</t>
  </si>
  <si>
    <t>fracture risk, image processing, DXA</t>
  </si>
  <si>
    <t>Alaoui-Jamali, Moulay A</t>
  </si>
  <si>
    <t>Investigation of the Filamin Signaling Network's Function in Cancer Progression</t>
  </si>
  <si>
    <t>Filamin, Signaling, Cancer</t>
  </si>
  <si>
    <t>Sinnett, Daniel</t>
  </si>
  <si>
    <t>Investigation of the genomic determinants of childhood leukemia using next-generation sequencing</t>
  </si>
  <si>
    <t>genomic, leukemia, sequencing</t>
  </si>
  <si>
    <t>Investigation of the sexual dimorphic role of DDX3X in melanoma</t>
  </si>
  <si>
    <t>DDX3X, melanoma, sexual dimorphism</t>
  </si>
  <si>
    <t>Sanche, Leon</t>
  </si>
  <si>
    <t>Investigations of low energy electron damage to cellular constituents: application to Chemoradiation therapy.</t>
  </si>
  <si>
    <t>electron, damage, chemoradiation</t>
  </si>
  <si>
    <t>Investigations of nanoparticulate formulations of lipophilic prodrugs</t>
  </si>
  <si>
    <t>nanoparticulate, lipophilic, prodrugs</t>
  </si>
  <si>
    <t>Lee, Patrick W</t>
  </si>
  <si>
    <t>Involvement of the DNA-dependent protein kinase (DNA-PK) in p53-mediated apoptosis.</t>
  </si>
  <si>
    <t>DNA-PK, p53, apoptosis</t>
  </si>
  <si>
    <t>Grynpas, Marc D</t>
  </si>
  <si>
    <t>Irradiation-Sterilized Skeletal Allografts with Superior Biomechanical Performance through Collaborative Multidisciplinary Translational Research</t>
  </si>
  <si>
    <t>Irradiation, Sterilization, Skeletal Allografts</t>
  </si>
  <si>
    <t>Moorehead, Roger A</t>
  </si>
  <si>
    <t>Is IGF-IR Mediated Mammary Tumorigenesis Influenced by the Mammary Developmental Stage</t>
  </si>
  <si>
    <t>IGF-IR, Mammary, Tumorigenesis</t>
  </si>
  <si>
    <t>200909ISO</t>
  </si>
  <si>
    <t>Isolation of therapeutic fractions from intravenous immunoglobulins using the triple transgenic mouse model of Alzheimer's disease</t>
  </si>
  <si>
    <t>immunoglobulins, Alzheimer's, transgenic mouse</t>
  </si>
  <si>
    <t>Daniel, Juliet M</t>
  </si>
  <si>
    <t>Kaiso, Triple Negative Breast Cancer and Women of African Ancestry.</t>
  </si>
  <si>
    <t>Kaiso, Breast Cancer, African Ancestry</t>
  </si>
  <si>
    <t>Cripton, Peter A</t>
  </si>
  <si>
    <t>Kinematics and Muscle Activation of the Cervical Spine During Impending Head First Impacts in Motor Vehicle Rollovers</t>
  </si>
  <si>
    <t>Kinematics, Muscle Activation, Cervical Spine</t>
  </si>
  <si>
    <t>Paquette, Jean-Sebastien</t>
  </si>
  <si>
    <t>Klotho, a new biomarker to improve breast cancer screening programs by reducing false-positive results.</t>
  </si>
  <si>
    <t>Klotho, biomarker, breast cancer</t>
  </si>
  <si>
    <t>Fortin, Sebastien</t>
  </si>
  <si>
    <t>L'AIMZ-938, un nouveau promedicament anticancereux pour le traitement des cancers du sein humain refractaires aux traitements actuels et exprimant le cytochrome P450 1A1</t>
  </si>
  <si>
    <t>anticancer, breast cancer, cytochrome P450</t>
  </si>
  <si>
    <t>Bujold, Emmanuel</t>
  </si>
  <si>
    <t>Op. Grant: NWHRI: Innovation Fund - Healthcare implementation research</t>
  </si>
  <si>
    <t>202403NW2</t>
  </si>
  <si>
    <t>L'inversion de la pyramide des soins antenataux pour ameliorer l'acces aux soins et la sante des meres et des enfants vivant en region eloignee (PROJET PYRAMIDE)</t>
  </si>
  <si>
    <t>pyramide, soins, sante</t>
  </si>
  <si>
    <t>Bolduc, Stephane</t>
  </si>
  <si>
    <t>La methode d'auto-assemblage pour l'elaboration de tissus urologiques autologues reconstruits par genie tissulaire.</t>
  </si>
  <si>
    <t>auto-assemblage, tissus, g√©nie tissulaire</t>
  </si>
  <si>
    <t>Archambault, Denis</t>
  </si>
  <si>
    <t>Universite du Quebec e Montreal</t>
  </si>
  <si>
    <t>La portion C-terminale de la proteine P97 de Mycoplasma hyopneumoniae: une nouvelle molecule adjuvante e des fins vaccinales</t>
  </si>
  <si>
    <t>P97, Mycoplasma hyopneumoniae, adjuvant</t>
  </si>
  <si>
    <t>Lab-on-a-chip platform for single rare cell genomic and proteomic analysis</t>
  </si>
  <si>
    <t>lab-on-a-chip, genomics, proteomics</t>
  </si>
  <si>
    <t>De Koninck, Yves</t>
  </si>
  <si>
    <t>Large-scale, high-resolution light-sheet microscope for whole brain connectomics</t>
  </si>
  <si>
    <t>light-sheet,microscope,connectomics</t>
  </si>
  <si>
    <t>Fine, Alan</t>
  </si>
  <si>
    <t>Lensless microscopy for rapid portable hematology diagnostics at the point of care</t>
  </si>
  <si>
    <t>lensless,microscopy,hematology</t>
  </si>
  <si>
    <t>Lentiviral infusion as a universal approach for genetically modified immune effector cell therapies.</t>
  </si>
  <si>
    <t>Lentiviral, infusion, immune effector cells</t>
  </si>
  <si>
    <t>Di Renna, Tania</t>
  </si>
  <si>
    <t>Let's not wait 11 years: Development and rapid adoption of a screening measure for endometriosis in young Canadian adults</t>
  </si>
  <si>
    <t>endometriosis, screening, young adults</t>
  </si>
  <si>
    <t>Evgin, Laura E</t>
  </si>
  <si>
    <t>Leveraging TCR reactivity to improve CAR T therapy</t>
  </si>
  <si>
    <t>TCR, CAR T, reactivity</t>
  </si>
  <si>
    <t>Limiting late effects following pediatric cranial radiation</t>
  </si>
  <si>
    <t>cranial radiation, late effects, pediatric</t>
  </si>
  <si>
    <t>Lin28b as a therapeutic target for prostate cancer progression</t>
  </si>
  <si>
    <t>Lin28b, prostate cancer, progression</t>
  </si>
  <si>
    <t>Liquid biopsy-based DNA methylation profiling for improved diagnosis and prognostication of primary and metastatic CNS tumors</t>
  </si>
  <si>
    <t>liquid biopsy, DNA methylation, CNS tumors</t>
  </si>
  <si>
    <t>Yeates, Karen</t>
  </si>
  <si>
    <t>Listening to our Women: Understanding barriers, enablers, and strategies to cervical cancer screening uptake using HPV DNA self-sampling through participatory, community-based approaches among Indigenous women living remotely in Ontario</t>
  </si>
  <si>
    <t>Indigenous Peoples' Health</t>
  </si>
  <si>
    <t>HPV DNA, self-sampling, cervical cancer</t>
  </si>
  <si>
    <t>Liver as a bioreactor for robust production of SARS-CoV-2 neutralizing antibodies</t>
  </si>
  <si>
    <t>liver, bioreactor, antibodies</t>
  </si>
  <si>
    <t>Local and global biomechanical properties of the eye as new glaucoma risk factors</t>
  </si>
  <si>
    <t>biomechanical properties, eye, glaucoma</t>
  </si>
  <si>
    <t>Local Delivery of Therapeutic Biomolecules to the Injured Spinal Cord</t>
  </si>
  <si>
    <t>biomolecules, spinal cord, delivery</t>
  </si>
  <si>
    <t>Lin, Fa-Hsuan</t>
  </si>
  <si>
    <t>Localization of epileptic spike generators using combined EEG and MRI</t>
  </si>
  <si>
    <t>epileptic, EEG, MRI</t>
  </si>
  <si>
    <t>Pignol, Jean-Philippe</t>
  </si>
  <si>
    <t>Long term outcomes of a multicentre controlled clinical trial of breast irradiation using Intensity-Modulated Radiation Therapy</t>
  </si>
  <si>
    <t>breast irradiation, intensity-modulated radiation therapy, clinical trial</t>
  </si>
  <si>
    <t>Brambilla, Davide</t>
  </si>
  <si>
    <t>Long-lasting recovery of lysosomal acid lipase deficiency using non-viral delivery of non-integrating episomal DNA constructs.</t>
  </si>
  <si>
    <t>lysosomal acid lipase, non-viral delivery, episomal DNA</t>
  </si>
  <si>
    <t>Chen, Robert E</t>
  </si>
  <si>
    <t>Long-term stability of local field potentials recorded from the subthalamic nucleus and effects of deep brain stimulation</t>
  </si>
  <si>
    <t>local field potentials, subthalamic nucleus, deep brain stimulation</t>
  </si>
  <si>
    <t>Lockwood, William W</t>
  </si>
  <si>
    <t>Longitudinal assessment of immune-tumor interactions during lung cancer progression</t>
  </si>
  <si>
    <t>immune, tumor, lung</t>
  </si>
  <si>
    <t>Sung, Lillian</t>
  </si>
  <si>
    <t>Longitudinal symptom screening and symptom reporting, and development and access to supportive care clinical practice guidelines using SPARK (Supportive care Prioritization, Assessment and Recommendations for Kids) in children receiving cancer treatment</t>
  </si>
  <si>
    <t>symptom screening, supportive care, clinical guidelines</t>
  </si>
  <si>
    <t>Kerbel, Robert S</t>
  </si>
  <si>
    <t>Low Dose Metronomic Chemotherapy as a Combination Strategy to Combat Innate or Acquired Resistance to Immune Checkpoint Therapy</t>
  </si>
  <si>
    <t>Metronomic Chemotherapy, Resistance, Immune Checkpoint</t>
  </si>
  <si>
    <t>Lung cancer early detection and classification using methylome analysis of plasma cell free DNA</t>
  </si>
  <si>
    <t>lung cancer, methylome, plasma cell free DNA</t>
  </si>
  <si>
    <t>Post, Martin</t>
  </si>
  <si>
    <t>Lung cancer therapy using genetically modified macrophages</t>
  </si>
  <si>
    <t>lung cancer, macrophages, genetically modified</t>
  </si>
  <si>
    <t>Chou, Leo</t>
  </si>
  <si>
    <t>Lymph node targeting of DNA nanostructured vaccines</t>
  </si>
  <si>
    <t>Lymph node, DNA nanostructures, vaccines</t>
  </si>
  <si>
    <t>Reinhold, Caroline</t>
  </si>
  <si>
    <t>Magnetic Resonance Imaging (MRI) and Artificial Intelligence (AI) can improve preoperative malignancy risk prediction of ovarian masses.</t>
  </si>
  <si>
    <t>Magnetic Resonance Imaging, Artificial Intelligence, Ovarian masses</t>
  </si>
  <si>
    <t>Wright, Graham A</t>
  </si>
  <si>
    <t>Magnetic Resonance Imaging for Ischemic Heart Disease</t>
  </si>
  <si>
    <t>Magnetic Resonance, Imaging, Ischemic Heart Disease</t>
  </si>
  <si>
    <t>Magnetic resonance imaging of brain plasticity</t>
  </si>
  <si>
    <t>Magnetic resonance, brain, plasticity</t>
  </si>
  <si>
    <t>Bernasconi, Andrea</t>
  </si>
  <si>
    <t>Magnetic resonance imaging of epilepsy</t>
  </si>
  <si>
    <t>Magnetic resonance imaging, epilepsy</t>
  </si>
  <si>
    <t>Arnold, Douglas L</t>
  </si>
  <si>
    <t>Magnetic Resonance Imaging of Multiple Sclerosis</t>
  </si>
  <si>
    <t>Magnetic Resonance, Imaging, Multiple Sclerosis</t>
  </si>
  <si>
    <t>Magnetic Resonance Imaging Toolbox for Assessment of Lung Structure and Function in the Early Years of Life</t>
  </si>
  <si>
    <t>Magnetic Resonance Imaging, Lung, Structure</t>
  </si>
  <si>
    <t>Magnetic resonance navigation of drug eluting beads for liver cancer therapy: in-vitro optimization and preclinical safety efficacy study</t>
  </si>
  <si>
    <t>magnetic resonance, drug eluting beads, liver cancer</t>
  </si>
  <si>
    <t>Bartha, Robert</t>
  </si>
  <si>
    <t>200910MOP</t>
  </si>
  <si>
    <t>Magnetic Resonance PARACEST Imaging of In-vivo Protease Activity</t>
  </si>
  <si>
    <t>Magnetic Resonance, PARACEST, Protease</t>
  </si>
  <si>
    <t>Magnetic Resonance-guided Focused Ultrasound for Incisionless Musculotendinous Contracture Release</t>
  </si>
  <si>
    <t>Magnetic Resonance, Focused Ultrasound, Musculotendinous</t>
  </si>
  <si>
    <t>Bier, Nathalie</t>
  </si>
  <si>
    <t>Universite de Montreal</t>
  </si>
  <si>
    <t>Maintien e domicile des personnes egees vulnerables : co-conception et deploiement de solutions technologiques dans le cadre d'un laboratoire vivant</t>
  </si>
  <si>
    <t>domicile, personnes egees, solutions technologiques</t>
  </si>
  <si>
    <t>Khan, Omar F</t>
  </si>
  <si>
    <t>Project Grant - PA: Infection and Immunity (Early Career Research Support)</t>
  </si>
  <si>
    <t>202203PTT</t>
  </si>
  <si>
    <t>Making donated lungs infected with cytomegalovirus safer: nanoparticle-mediated deletion of essential viral genes prior to transplant using ex vivo lung perfusion</t>
  </si>
  <si>
    <t>cytomegalovirus, nanoparticle, lung perfusion</t>
  </si>
  <si>
    <t>Mcgilvray, Ian D</t>
  </si>
  <si>
    <t>Manipulating the cellular microenvironment to bioengineer bile ducts</t>
  </si>
  <si>
    <t>cellular, microenvironment, bile ducts</t>
  </si>
  <si>
    <t>Mapping and targeting the niche-specific proteomes of glioblastoma</t>
  </si>
  <si>
    <t>glioblastoma, proteomes, mapping</t>
  </si>
  <si>
    <t>Chen, Jing J</t>
  </si>
  <si>
    <t>Baycrest Centre for Geriatric Care (Toronto)</t>
  </si>
  <si>
    <t>Project Grant - PA: Neurosciences, Mental Health and Addiction</t>
  </si>
  <si>
    <t>201909PJ8</t>
  </si>
  <si>
    <t>Mapping cellular and extracellular white-matter changes in aging using MRI: Towards clinical translation</t>
  </si>
  <si>
    <t>white-matter, MRI, aging</t>
  </si>
  <si>
    <t>Guidolin, Leila M</t>
  </si>
  <si>
    <t>Carleton University (Ottawa)</t>
  </si>
  <si>
    <t>Mapping ECM Remodelling in Asthma Using Multimodal Imaging and Physiologically-Relevant Tissue Models</t>
  </si>
  <si>
    <t>ECM, Imaging, Asthma</t>
  </si>
  <si>
    <t>Mapping epigenomic makeup in colorectal cancer patient models to identify novel therapeutic options</t>
  </si>
  <si>
    <t>epigenomic, colorectal cancer, patient models</t>
  </si>
  <si>
    <t>Ladak, Hanif M</t>
  </si>
  <si>
    <t>Mastoidectomy Simulator for Surgical Training and Rehearsal</t>
  </si>
  <si>
    <t>Mastoidectomy, Simulator, Surgical</t>
  </si>
  <si>
    <t>Algar, Walter R</t>
  </si>
  <si>
    <t>Materials and Technologies for Highly Sensitive Biomarker Analysis of Extracellular Vesicles Toward Cancer Diagnostics</t>
  </si>
  <si>
    <t>Biomarker, Extracellular Vesicles, Cancer</t>
  </si>
  <si>
    <t>Matricellular Protein Biomimetic Scaffolds to Enhance Skin Regeneration</t>
  </si>
  <si>
    <t>Matricellular, Biomimetic, Scaffolds</t>
  </si>
  <si>
    <t>Matrix biomechanics and satellite cell aging</t>
  </si>
  <si>
    <t>matrix, biomechanics, satellite cell</t>
  </si>
  <si>
    <t>Duronio, Vincent</t>
  </si>
  <si>
    <t>MCL-1: Functions in the nucleus regulating cell cycle and DNA damage response</t>
  </si>
  <si>
    <t>MCL-1, cell cycle, DNA damage</t>
  </si>
  <si>
    <t>Lee, J. M</t>
  </si>
  <si>
    <t>Mechanical Overload in Tendons Produces Characteristic Nanoscaled Damage to Collagen Fibrils which Activates Cellular Remodelling</t>
  </si>
  <si>
    <t>Mechanical overload, collagen fibrils, cellular remodelling</t>
  </si>
  <si>
    <t>Mechanically and Biologically Functional Adhesives for Intervertebral Disc Repair and Regeneration</t>
  </si>
  <si>
    <t>Adhesives, Intervertebral Disc, Regeneration</t>
  </si>
  <si>
    <t>Mechanism of action of drugs affecting serotonin signalling in breast cancer stem cells</t>
  </si>
  <si>
    <t>serotonin, breast cancer, stem cells</t>
  </si>
  <si>
    <t>Mai, Sabine</t>
  </si>
  <si>
    <t>Mechanisms and consequences of three-dimensional (3D) nuclear remodeling of telomeres in cancer</t>
  </si>
  <si>
    <t>nuclear remodeling, telomeres, cancer</t>
  </si>
  <si>
    <t>Mechanisms and optimisation of marrow stimulated cartilage repair</t>
  </si>
  <si>
    <t>marrow, cartilage, repair</t>
  </si>
  <si>
    <t>Hitzler, Johann H</t>
  </si>
  <si>
    <t>Mechanisms and Risk Stratification for Treatment of Acute Myeloid Leukemia in Children with Down  syndrome</t>
  </si>
  <si>
    <t>Acute Myeloid Leukemia, Risk Stratification, Down syndrome</t>
  </si>
  <si>
    <t>Aparicio, Samuel J</t>
  </si>
  <si>
    <t>Mechanisms and targeting of repair deficient cancers with G-quadruplex small molecule ligands</t>
  </si>
  <si>
    <t>G-quadruplex, small molecule, cancers</t>
  </si>
  <si>
    <t>Johnson, James D</t>
  </si>
  <si>
    <t>Mechanisms by which hyperinsulinemia promotes pancreatic cancer</t>
  </si>
  <si>
    <t>hyperinsulinemia, pancreatic cancer</t>
  </si>
  <si>
    <t>Boivin, Guy</t>
  </si>
  <si>
    <t>Mechanisms of antiviral drug resistance in seasonal and pandemic influenza strains and evaluation of new therapeutic modalities</t>
  </si>
  <si>
    <t>antiviral, drug resistance, influenza</t>
  </si>
  <si>
    <t>Le, Xiaochun C</t>
  </si>
  <si>
    <t>Mechanisms of arsenic carcinogenesis</t>
  </si>
  <si>
    <t>arsenic, carcinogenesis</t>
  </si>
  <si>
    <t>Mechanisms of B cell-mediated immunity in human cancer</t>
  </si>
  <si>
    <t>B cell, immunity, cancer</t>
  </si>
  <si>
    <t>Mechanisms of Bone Fracture and their Clinical Applications</t>
  </si>
  <si>
    <t>Bone, Fracture, Mechanisms</t>
  </si>
  <si>
    <t>Graham, Charles H</t>
  </si>
  <si>
    <t>Mechanisms of hypoxia-induced immune escape in cancer and their regulation by nitric oxide</t>
  </si>
  <si>
    <t>hypoxia, immune escape, nitric oxide</t>
  </si>
  <si>
    <t>201405MOP</t>
  </si>
  <si>
    <t>Mechanisms of Protective Immunity in Ovarian Cancer</t>
  </si>
  <si>
    <t>Protective immunity, ovarian cancer</t>
  </si>
  <si>
    <t>Mechanisms of RanBPM-mediated cell death</t>
  </si>
  <si>
    <t>RanBPM, cell death, mechanisms</t>
  </si>
  <si>
    <t>Mechanisms of resistance and sensitivity to PI3K inhibition in head and neck cancer.</t>
  </si>
  <si>
    <t>PI3K, resistance, cancer</t>
  </si>
  <si>
    <t>Project Grant - Priority Announcement: Dental and craniofacial research</t>
  </si>
  <si>
    <t>202003PJP</t>
  </si>
  <si>
    <t>Mechanisms of resistance to cisplatin and radiation in human papillomavirus (HPV) related head and neck cancer</t>
  </si>
  <si>
    <t>cisplatin, radiation, HPV</t>
  </si>
  <si>
    <t>Mechanisms of response and resistance to epigenetic therapy in hematological malignancy</t>
  </si>
  <si>
    <t>epigenetic, hematological malignancy, response</t>
  </si>
  <si>
    <t>Mechanisms of the anti-cancer actions of arsenic.</t>
  </si>
  <si>
    <t>arsenic, anti-cancer, mechanisms</t>
  </si>
  <si>
    <t>Ferbeyre, Gerardo</t>
  </si>
  <si>
    <t>Mechanisms of the tumor suppression activity of the ERK pathway</t>
  </si>
  <si>
    <t>tumor suppression, ERK pathway</t>
  </si>
  <si>
    <t>Rodier, Francis</t>
  </si>
  <si>
    <t>Mechanisms regulating persistent DNA damage signaling and the linked control of cell proliferation and extracellular signals</t>
  </si>
  <si>
    <t>DNA damage, cell proliferation, signaling</t>
  </si>
  <si>
    <t>Mechanisms regulating RET receptor-mediated tumourigenesis</t>
  </si>
  <si>
    <t>RET, receptor, tumourigenesis</t>
  </si>
  <si>
    <t>Mechanisms through which ShcA integrates tyrosine kinase signaling to promote breast cancer progression</t>
  </si>
  <si>
    <t>ShcA, tyrosine kinase, breast cancer</t>
  </si>
  <si>
    <t>Mahoney, Douglas J</t>
  </si>
  <si>
    <t>Mechanisms underlying oncolytic rhabdovirus-mediated anticancer immunity</t>
  </si>
  <si>
    <t>oncolytic, rhabdovirus, anticancer</t>
  </si>
  <si>
    <t>Jones, Glenville</t>
  </si>
  <si>
    <t>200903ISO</t>
  </si>
  <si>
    <t>Mechanistic basis for the metabolic differences between vitamin D2 and vitamin D3</t>
  </si>
  <si>
    <t>metabolic, vitamin D, D2, D3</t>
  </si>
  <si>
    <t>McGaha, Tracy</t>
  </si>
  <si>
    <t>Mechanistic studies of macrophages and the tumour microenvironment as immunologic barriers to therapy in pancreatic ductal adenocarcinoma</t>
  </si>
  <si>
    <t>macrophages, tumour microenvironment, pancreatic ductal adenocarcinoma</t>
  </si>
  <si>
    <t>Penninger, Josef</t>
  </si>
  <si>
    <t>Mechanistic studies on ACE2 as a rational therapy for COVID-19</t>
  </si>
  <si>
    <t>ACE2, COVID-19, therapy</t>
  </si>
  <si>
    <t>Trejos, Ana Luisa</t>
  </si>
  <si>
    <t>Mechatronic Device for Multimodal Suppression of Parkinsonian Tremor</t>
  </si>
  <si>
    <t>Mechatronic, Suppression, Tremor</t>
  </si>
  <si>
    <t>Membrane domain regulation of receptor signaling</t>
  </si>
  <si>
    <t>Membrane, receptor, signaling</t>
  </si>
  <si>
    <t>MEMS Enabled Reflectance Confocal Microscopy for Early GI Cancer Detection</t>
  </si>
  <si>
    <t>MEMS, Confocal Microscopy, GI Cancer</t>
  </si>
  <si>
    <t>Kreindler, David</t>
  </si>
  <si>
    <t>Mental Health Telemetry for Self-Management in Major Depression</t>
  </si>
  <si>
    <t>Mental Health, Telemetry, Depression</t>
  </si>
  <si>
    <t>Lum, Julian J</t>
  </si>
  <si>
    <t>Metabolic Insights into Immune Suppression in Ovarian Cancer</t>
  </si>
  <si>
    <t>Metabolic, Immune Suppression, Ovarian Cancer</t>
  </si>
  <si>
    <t>Metabolic manipulation of hypoxia and radiotherapy response</t>
  </si>
  <si>
    <t>metabolic, hypoxia, radiotherapy</t>
  </si>
  <si>
    <t>Metabolic manipulation of hypoxia for improved radiotherapy response</t>
  </si>
  <si>
    <t>metabolic manipulation, hypoxia, radiotherapy</t>
  </si>
  <si>
    <t>Metabolic Regulation of Toll-like Receptor Agonist Therapy in Leukemia</t>
  </si>
  <si>
    <t>Metabolic, Toll-like Receptor, Leukemia</t>
  </si>
  <si>
    <t>Dennis, James W</t>
  </si>
  <si>
    <t>Metabolic reprogramming in cancer cells and the hexosamine biosynthesis pathway</t>
  </si>
  <si>
    <t>metabolic reprogramming, cancer cells, hexosamine biosynthesis</t>
  </si>
  <si>
    <t>Davenport Huyer, Locke S</t>
  </si>
  <si>
    <t>Metabolite-based Immunoregulatory Polymer Surgical Meshes for Pelvic Floor Reconstructive Surgery</t>
  </si>
  <si>
    <t>Metabolite, Immunoregulatory, Polymer</t>
  </si>
  <si>
    <t>Hampson, David R</t>
  </si>
  <si>
    <t>Metabotropic Glutamate and GABA Receptors in Neuroinflammation</t>
  </si>
  <si>
    <t>Glutamate, GABA, Receptors</t>
  </si>
  <si>
    <t>Microenvironmental strategies for the optimal utilization of anti-angiogenic drugs combinations</t>
  </si>
  <si>
    <t>microenvironment, anti-angiogenic, drugs</t>
  </si>
  <si>
    <t>Microfiltration of Circulating and Disseminated Tumor Cells in Ovarian Cancer: From Monitoring Therapeutic Response Towards Predicting Disease Outcome</t>
  </si>
  <si>
    <t>Microfiltration, Tumor Cells, Ovarian Cancer</t>
  </si>
  <si>
    <t>Microfluidic Device to Measure the Deformability of Stored Red Blood Cells</t>
  </si>
  <si>
    <t>microfluidic, deformability, red blood cells</t>
  </si>
  <si>
    <t>Canadian Blood Services (Ottawa)</t>
  </si>
  <si>
    <t>Microfluidic Separation of Circulating Tumor Cells</t>
  </si>
  <si>
    <t>microfluidic, circulating tumor cells</t>
  </si>
  <si>
    <t>Hansen, Carl L</t>
  </si>
  <si>
    <t>Microfluidic technology platform for selection of functional monoclonal antibodies with application to fibrosis</t>
  </si>
  <si>
    <t>microfluidic, monoclonal antibodies, fibrosis</t>
  </si>
  <si>
    <t>MicroRNA and mRNA Expression Profiling to Predict Outcome and Characterize the Cervix Cancer Microenvironment</t>
  </si>
  <si>
    <t>MicroRNA, mRNA, Cervix Cancer</t>
  </si>
  <si>
    <t>Microscopic underpinnings of brain oxygen delivery with aging.</t>
  </si>
  <si>
    <t>brain, oxygen, delivery</t>
  </si>
  <si>
    <t>Baron, Corey A</t>
  </si>
  <si>
    <t>Microstructural MRI in Temporal Lobe Epilepsy</t>
  </si>
  <si>
    <t>Microstructural MRI, Temporal Lobe Epilepsy</t>
  </si>
  <si>
    <t>Mid to High frequency ultrasound imaging and spectroscopy for cancer treatment monitoring</t>
  </si>
  <si>
    <t>ultrasound, imaging, spectroscopy</t>
  </si>
  <si>
    <t>Minimally Invasive Robotic Surgical Tools for In-utero Repair of Open Spina Bifida</t>
  </si>
  <si>
    <t>Robotic, Surgical, Spina Bifida</t>
  </si>
  <si>
    <t>Messaddeq, Younes</t>
  </si>
  <si>
    <t>Minimally-invasive, wireless, multimodal micro-optrodes for brain sensing</t>
  </si>
  <si>
    <t>micro-optrodes, brain sensing, wireless</t>
  </si>
  <si>
    <t>miRNA function in breast cancer</t>
  </si>
  <si>
    <t>miRNA, breast cancer</t>
  </si>
  <si>
    <t>Mitochondrial delivery of DNA-alkylating anticancer agents</t>
  </si>
  <si>
    <t>Mitochondrial, DNA-alkylating, anticancer</t>
  </si>
  <si>
    <t>Fichtinger, Gabor</t>
  </si>
  <si>
    <t>Mobile Image Overlay System (MIOS) for Musculoskeletal Needle Placement Guidance</t>
  </si>
  <si>
    <t>Mobile, Image Overlay, Needle Placement</t>
  </si>
  <si>
    <t>Yong, Voon W</t>
  </si>
  <si>
    <t>Mobilizing anti-tumor microglia/macrophages with niacin to improve the prognosis of glioblastoma: Bench to clinical trial and back.</t>
  </si>
  <si>
    <t>microglia, glioblastoma, niacin</t>
  </si>
  <si>
    <t>Modeling brain cancer in a regionally defined human neural stem cell system</t>
  </si>
  <si>
    <t>brain cancer, neural stem cells, modeling</t>
  </si>
  <si>
    <t>Funnell, W. Robert J.</t>
  </si>
  <si>
    <t>Modelling and machine learning for newborn hearing screening</t>
  </si>
  <si>
    <t>modelling, machine learning, hearing screening</t>
  </si>
  <si>
    <t>Burnier, Julia</t>
  </si>
  <si>
    <t>Modelling cancer cell-derived extracellular vesicles using synthetic nanoparticles</t>
  </si>
  <si>
    <t>cancer, extracellular vesicles, nanoparticles</t>
  </si>
  <si>
    <t>Modelling of Radiotherapy Induced Damage in Locally Advanced Lung Cancer by a Novel System Radiobiology Approach</t>
  </si>
  <si>
    <t>Radiotherapy, Lung Cancer, Radiobiology</t>
  </si>
  <si>
    <t>Pelletier, Jerry M</t>
  </si>
  <si>
    <t>Modelling Translation Inhibition as Cancer Therapy</t>
  </si>
  <si>
    <t>Translation, Inhibition, Cancer</t>
  </si>
  <si>
    <t>Graham, Simon J</t>
  </si>
  <si>
    <t>Modernizing Classic Tests of Cognition using Computerized Tablets, Eye-tracking and Functional Neuroimaging</t>
  </si>
  <si>
    <t>Cognition, Eye-tracking, Neuroimaging</t>
  </si>
  <si>
    <t>Kizhakkedathu, Jayachandran N</t>
  </si>
  <si>
    <t>Modular Design of Macromolecular Iron Chelator Structures for Chelation Therapy: Towards Effective Prevention of Primary and Transfusional Iron Overload</t>
  </si>
  <si>
    <t>Macromolecular, Iron, Chelator</t>
  </si>
  <si>
    <t>Sefton, Michael V</t>
  </si>
  <si>
    <t>Modular Tissue Engineering for Islet Transplantation</t>
  </si>
  <si>
    <t>Tissue engineering, Islet transplantation</t>
  </si>
  <si>
    <t>Modulating peri-ischemic neuronal hyperexcitability</t>
  </si>
  <si>
    <t>peri-ischemic, neuronal, hyperexcitability</t>
  </si>
  <si>
    <t>Saibil, Samuel D</t>
  </si>
  <si>
    <t>Modulating T cell metabolism to enhance the efficacy of adoptive cell therapy</t>
  </si>
  <si>
    <t>T cell, metabolism, adoptive cell therapy</t>
  </si>
  <si>
    <t>Sevigny, Jean</t>
  </si>
  <si>
    <t>200909IRO</t>
  </si>
  <si>
    <t>Modulation de la pression arterielle par la NTPDase1 et les nucleotides extracellulaires</t>
  </si>
  <si>
    <t>pressure, NTPDase1, nucleotides</t>
  </si>
  <si>
    <t>Roger, Michel</t>
  </si>
  <si>
    <t>Modulation of BLyS levels to restore immune efficiency and reduce HIV targets.</t>
  </si>
  <si>
    <t>BLyS, immune, HIV</t>
  </si>
  <si>
    <t>Wurtele, Hugo</t>
  </si>
  <si>
    <t>Modulation of UV damage repair by replicative stress-induced RPA exhaustion during skin cancer development</t>
  </si>
  <si>
    <t>UV damage, RPA exhaustion, skin cancer</t>
  </si>
  <si>
    <t>Zemp, Roger J</t>
  </si>
  <si>
    <t>Modulation-Encoded Micromachined Transducer Arrays for Ultrasound and Photoacoustic Imaging of Prostate and Colorectal Cancer</t>
  </si>
  <si>
    <t>Micromachined, Transducer, Imaging</t>
  </si>
  <si>
    <t>Jones, Steven</t>
  </si>
  <si>
    <t>Modulators of epigenomic processes - a novel approach to cancer therapy</t>
  </si>
  <si>
    <t>epigenomic, modulators, cancer</t>
  </si>
  <si>
    <t>Paterson, Ian</t>
  </si>
  <si>
    <t>MOIST study: Multi-Organ Imaging with Serial Testing in COVID-19 infected patients</t>
  </si>
  <si>
    <t>Multi-Organ, Imaging, COVID-19</t>
  </si>
  <si>
    <t>Molecular and Functional Characterization of Childhood Ependymoma</t>
  </si>
  <si>
    <t>Molecular, Functional, Ependymoma</t>
  </si>
  <si>
    <t>Wong, Judy M</t>
  </si>
  <si>
    <t>Molecular and Functional Genomic Characterization of G-quadruplex in Cancers with the Alternate Lengthening of Telomere (ALT) Mechanism</t>
  </si>
  <si>
    <t>G-quadruplex, Genomic, Telomere</t>
  </si>
  <si>
    <t>Molecular and Translational Studies of Filamin Signaling Network in Invasive Cancer</t>
  </si>
  <si>
    <t>Molecular based approach for discovery and improved outcome for children and young adults with low grade glioma</t>
  </si>
  <si>
    <t>molecular, glioma, children</t>
  </si>
  <si>
    <t>Molecular Basis of Clinical Heterogeneity in Rhabdoid Brain Tumours</t>
  </si>
  <si>
    <t>Molecular, Rhabdoid, Brain Tumours</t>
  </si>
  <si>
    <t>Li, Hongbin</t>
  </si>
  <si>
    <t>Molecular basis of tenascin elasticity and mechanotransduction</t>
  </si>
  <si>
    <t>tenascin, elasticity, mechanotransduction</t>
  </si>
  <si>
    <t>Labbe, David</t>
  </si>
  <si>
    <t>Molecular basis to diet-dependent chromatin dependencies in prostate cancer</t>
  </si>
  <si>
    <t>molecular, chromatin, prostate cancer</t>
  </si>
  <si>
    <t>Ohh, Michael</t>
  </si>
  <si>
    <t>Molecular characterization of EpoR regulation in cancer progression</t>
  </si>
  <si>
    <t>EpoR, cancer, regulation</t>
  </si>
  <si>
    <t>Molecular characterization of JMML</t>
  </si>
  <si>
    <t>Molecular, characterization, JMML</t>
  </si>
  <si>
    <t>Molecular Determinants of Li-Fraumeni Syndrome Associated Cancers</t>
  </si>
  <si>
    <t>Li-Fraumeni, Cancers, Molecular</t>
  </si>
  <si>
    <t>Molecular dissection of TIMP3-dependent hepatocellular carcinoma</t>
  </si>
  <si>
    <t>TIMP3, hepatocellular carcinoma, molecular</t>
  </si>
  <si>
    <t>Molecular drivers of the drug tolerant persister state in patient-derived colorectal cancer models</t>
  </si>
  <si>
    <t>molecular drivers, drug tolerant, colorectal cancer</t>
  </si>
  <si>
    <t>Molecular dynamics of the cell-surface proteome in primary prostate cancer cells: Towards a community resource for therapeutic intervention and biomarker discovery</t>
  </si>
  <si>
    <t>molecular dynamics, cell-surface proteome, prostate cancer</t>
  </si>
  <si>
    <t>Molecular evolution of myeloma from precursor through to relapsed disease</t>
  </si>
  <si>
    <t>molecular evolution, myeloma, relapse</t>
  </si>
  <si>
    <t>Rosen, Kirill V</t>
  </si>
  <si>
    <t>Molecular hallmarks of breast cancer sensitivity to ErbB2-targeted therapies</t>
  </si>
  <si>
    <t>molecular, breast cancer, ErbB2</t>
  </si>
  <si>
    <t>Wuest, Frank</t>
  </si>
  <si>
    <t>Molecular imaging of cyclooxygenase-2 (COX-2) expression in vivo by means of positron emission tomography (PET)</t>
  </si>
  <si>
    <t>molecular imaging, cyclooxygenase-2, positron emission tomography</t>
  </si>
  <si>
    <t>Operating Grant - PA: Regional Partnership Program - Nova Scotia</t>
  </si>
  <si>
    <t>201103RNS</t>
  </si>
  <si>
    <t>Molecular interrogation and a small molecule screen of NUP98-HOXA9 induced AML in the zebrafish</t>
  </si>
  <si>
    <t>NUP98-HOXA9, small molecule, AML</t>
  </si>
  <si>
    <t>Mazer, Bruce D</t>
  </si>
  <si>
    <t>Molecular mechanism for immunoprotection and Treg induction by polyspecific immunoglobulins (IVIg)</t>
  </si>
  <si>
    <t>immunoprotection, Treg, immunoglobulins</t>
  </si>
  <si>
    <t>Molecular Mechanism for the Regulation of Titin Elasticity and Myocardial Stiffness by Oxidative Stress</t>
  </si>
  <si>
    <t>Titin, Elasticity, Oxidative Stress</t>
  </si>
  <si>
    <t>Xiao, Wei</t>
  </si>
  <si>
    <t>Molecular mechanisms of DNA damage tolerance - A yeast model</t>
  </si>
  <si>
    <t>DNA, damage, yeast</t>
  </si>
  <si>
    <t>Lam, Wan L</t>
  </si>
  <si>
    <t>Molecular mechanisms of lung cancer development in former smokers</t>
  </si>
  <si>
    <t>molecular, lung cancer, smokers</t>
  </si>
  <si>
    <t>Mahshid, Sara</t>
  </si>
  <si>
    <t>Molecular profiling of single extracellular vesicles reveals therapeutic effects of temozolomide in GBM patients</t>
  </si>
  <si>
    <t>molecular profiling, extracellular vesicles, temozolomide</t>
  </si>
  <si>
    <t>Molecular Targeting of Critical Domains of AHI-1 Oncoprotein in Chronic Myeloid Leukemia Stem Cells Resistant to Current Tyrosine Kinase Inhibitor Therapy</t>
  </si>
  <si>
    <t>AHI-1, Leukemia, Kinase</t>
  </si>
  <si>
    <t>Molecular targeting of the Rho-GTPase pathway in human astrocytomas</t>
  </si>
  <si>
    <t>Rho-GTPase, molecular targeting, astrocytomas</t>
  </si>
  <si>
    <t>Molecular-Mechanism-Based Target Identification and Drug Discovery for Radiotherapy of Cancer</t>
  </si>
  <si>
    <t>molecular, target, radiotherapy</t>
  </si>
  <si>
    <t>Monitoring of abdominal aortic aneurysm after endovascular repair by ultrasound elastography: feasibility, optimization and validation</t>
  </si>
  <si>
    <t>abdominal aortic aneurysm, ultrasound elastography, endovascular repair</t>
  </si>
  <si>
    <t>Monocyte directed tissue regeneration of a blood vessel substitute using a pro-cellular degradable tubular scaffold</t>
  </si>
  <si>
    <t>monocyte, tissue regeneration, blood vessel</t>
  </si>
  <si>
    <t>Seuntjens, Jan P</t>
  </si>
  <si>
    <t>Monte Carlo-based mixed electron/photon beam inverse treatment planning, delivery and verification</t>
  </si>
  <si>
    <t>Monte Carlo, electron/photon, beam</t>
  </si>
  <si>
    <t>MR-Guided Focal Laser Thermal Ablation for Prostate Cancer therapy</t>
  </si>
  <si>
    <t>MR-guided, laser ablation, prostate cancer</t>
  </si>
  <si>
    <t>MR-Guided Focal Laser Thermal Ablation of Prostate Cancer therapy</t>
  </si>
  <si>
    <t>MR, Laser, Prostate</t>
  </si>
  <si>
    <t>MR-Guided Management of Occlusive Peripheral Arterial Disease</t>
  </si>
  <si>
    <t>MR, Peripheral Arterial Disease, Occlusive</t>
  </si>
  <si>
    <t>MR-Guided Revascularization of Occlusive Peripheral Arterial Disease</t>
  </si>
  <si>
    <t>MR, Revascularization, Peripheral Arterial Disease</t>
  </si>
  <si>
    <t>Lau, Angus Z</t>
  </si>
  <si>
    <t>MR-Linac guided adaptive radiotherapy in glioblastoma multiforme</t>
  </si>
  <si>
    <t>MR, radiotherapy, glioblastoma</t>
  </si>
  <si>
    <t>MRE11-RAD50-NBS1: at the crossroads of DNA double-strand break repair and Fanconi anemia</t>
  </si>
  <si>
    <t>DNA repair, double-strand break, Fanconi anemia</t>
  </si>
  <si>
    <t>MRI Assessment of Pulmonary Vascular Remodelling and Vasoconstriction in Pulmonary Hypertension</t>
  </si>
  <si>
    <t>MRI, Pulmonary Vascular, Hypertension</t>
  </si>
  <si>
    <t>Hoge, Richard D</t>
  </si>
  <si>
    <t>CIUSSS du Centre-Sud-de-l'Île-de-Montréal (Montréal, Québec)</t>
  </si>
  <si>
    <t>MRI characterization of neurovascular function in carotid artery disease</t>
  </si>
  <si>
    <t>MRI, neurovascular, carotid artery</t>
  </si>
  <si>
    <t>MRI for Arrhythmia Management in Ischemic Heart Disease</t>
  </si>
  <si>
    <t>MRI, Arrhythmia, Heart Disease</t>
  </si>
  <si>
    <t>Sacher, Adrian G</t>
  </si>
  <si>
    <t>Mucosal Associated Invariant T-cells (MAIT cells) as Key Mediators of Anti-Tumor Immune Responses and the Microbiome Effect in Non-Small Cell Lung Cancer (NSCLC)</t>
  </si>
  <si>
    <t>MAIT cells, immune response, lung cancer</t>
  </si>
  <si>
    <t>So, Aaron</t>
  </si>
  <si>
    <t>Multi-centre diagnostic performance of dynamic CT perfusion for functional assessment of multi-vessel coronary artery disease with dense coronary calcification</t>
  </si>
  <si>
    <t>CT perfusion, coronary artery disease, calcification</t>
  </si>
  <si>
    <t>Multi-centre Temporal Ultrasound Image Analysis for Prostate Cancer Diagnosis</t>
  </si>
  <si>
    <t>Ultrasound, Image Analysis, Prostate Cancer</t>
  </si>
  <si>
    <t>Multi-modal, multi-parametric liver imaging for ultrasound-based stratification of patients with non-alcoholic fatty liver disease</t>
  </si>
  <si>
    <t>liver imaging, ultrasound, fatty liver</t>
  </si>
  <si>
    <t>Kozlowski, Piotr</t>
  </si>
  <si>
    <t>Multi-parametric MRI for prostate cancer diagnosis and prognosis</t>
  </si>
  <si>
    <t>MRI, prostate cancer, diagnosis</t>
  </si>
  <si>
    <t>Gangloff, Anne</t>
  </si>
  <si>
    <t>Multi-pathway cholesterol depletion on top of FOLFIRINOX in newly diagnosed metastatic pancreatic adenocarcinoma: a feasibility and proof-of-concept study</t>
  </si>
  <si>
    <t>cholesterol depletion, FOLFIRINOX, pancreatic adenocarcinoma</t>
  </si>
  <si>
    <t>Multi-Scale Tissue System's Biology approach to Identify Lethal Prostate Cancer</t>
  </si>
  <si>
    <t>Tissue, Prostate, Cancer</t>
  </si>
  <si>
    <t>Multidimensional separation isolation and characterization of circulating tumour cells</t>
  </si>
  <si>
    <t>multidimensional separation, circulating tumour cells, isolation</t>
  </si>
  <si>
    <t>Multifrequency Ultrasound: Technology and Applications</t>
  </si>
  <si>
    <t>Ultrasound, Multifrequency</t>
  </si>
  <si>
    <t>Multimodal identification of the neurovascular coupling within the epileptogenic network</t>
  </si>
  <si>
    <t>neurovascular, coupling, epileptogenic</t>
  </si>
  <si>
    <t>Cheriet, Farida</t>
  </si>
  <si>
    <t>Multimodal Image-based Simulation Tool to Support Decision-Making in Scoliosis Surgery</t>
  </si>
  <si>
    <t>Multimodal, Image-based, Scoliosis</t>
  </si>
  <si>
    <t>Multimodal Sensing Guidewire with Random Optical Gratings by Ultraviolet laser Exposure for Peripheral Vascular Interventions</t>
  </si>
  <si>
    <t>Sensing, Guidewire, Optical Gratings</t>
  </si>
  <si>
    <t>Multiphoton Photothermolysis Based Laser Therapy for Precision Treatment of Neovascular Eye Diseases</t>
  </si>
  <si>
    <t>Multiphoton, Photothermolysis, Laser</t>
  </si>
  <si>
    <t>Boulanger, Pierre B</t>
  </si>
  <si>
    <t>Multiview Ultrasound Fusion for Cardiac and Non-cardiac Imaging</t>
  </si>
  <si>
    <t>Ultrasound, Fusion, Imaging</t>
  </si>
  <si>
    <t>Mutant nucleophosmin AML a heterogeneous disease: characterization and drug sensitivity.</t>
  </si>
  <si>
    <t>nucleophosmin, AML, drug sensitivity</t>
  </si>
  <si>
    <t>Mutations in the SWI/SNF chromatin remodelling complex genes: an alternative mechanism for ovarian carcinogenesis</t>
  </si>
  <si>
    <t>SWI/SNF, chromatin remodelling, ovarian carcinogenesis</t>
  </si>
  <si>
    <t>Fitzpatrick, Lindsay</t>
  </si>
  <si>
    <t>MyD88-dependent modulation of host response to insulin infusion cannulas</t>
  </si>
  <si>
    <t>MyD88, insulin infusion, host response</t>
  </si>
  <si>
    <t>Buckstein, Rena J</t>
  </si>
  <si>
    <t>201103IC1</t>
  </si>
  <si>
    <t>Myelodysplastic Syndromes (MDS) in Canada:  A national prospective study of the epidemiology, quality of life and impact of co-morbidity/frailty on disease outcome</t>
  </si>
  <si>
    <t>Myelodysplastic Syndromes, epidemiology, co-morbidity</t>
  </si>
  <si>
    <t>Reisner, Walter W</t>
  </si>
  <si>
    <t>Nanoconfinement Based Single-Cell Cytogenetic Platform for Pre-/Post-Implantation Genetic Diagnosis</t>
  </si>
  <si>
    <t>Nanoconfinement, Single-Cell, Cytogenetics</t>
  </si>
  <si>
    <t>Lavasanifar, Afsaneh</t>
  </si>
  <si>
    <t>Nanodelivery Systems for Modulation of Chemotherapy Response in Invasive and Metastatic Breast Cancer</t>
  </si>
  <si>
    <t>Nanodelivery, Chemotherapy, Breast Cancer</t>
  </si>
  <si>
    <t>Nanofluidic Wet-Cell for Genomic Analysis of Single Circulating Tumor Cells via Electron Microscopy</t>
  </si>
  <si>
    <t>Nanofluidic, Genomic Analysis, Tumor Cells</t>
  </si>
  <si>
    <t>Bazett-Jones, David P</t>
  </si>
  <si>
    <t>Nanomanipulation and high resolution in situ gene mapping</t>
  </si>
  <si>
    <t>Nanomanipulation, gene mapping, in situ</t>
  </si>
  <si>
    <t>Nanoparticle targeting of the liver</t>
  </si>
  <si>
    <t>Nanoparticle, targeting, liver</t>
  </si>
  <si>
    <t>Nadeau, Jay Louise</t>
  </si>
  <si>
    <t>Nanoparticle-aided radiation therapy with scintillating high Z materials</t>
  </si>
  <si>
    <t>nanoparticle, radiation, scintillating</t>
  </si>
  <si>
    <t>Shin, Jumi</t>
  </si>
  <si>
    <t>Nanoparticle-based anti-Myc cancer therapeutics</t>
  </si>
  <si>
    <t>Nanoparticle, cancer, therapeutics</t>
  </si>
  <si>
    <t>Nanoplasmonics Enhanced Laser Gene Delivery for Retinal Degenerative Diseases</t>
  </si>
  <si>
    <t>Nanoplasmonics, Laser, Gene delivery</t>
  </si>
  <si>
    <t>Nanoplexes for Targeted Anti-Inflammatory Gene Therapy in Atherosclerosis</t>
  </si>
  <si>
    <t>Nanoplexes, Anti-Inflammatory, Gene Therapy</t>
  </si>
  <si>
    <t>Neck Muscle and Head-Neck Dynamics in Rollover Crashes</t>
  </si>
  <si>
    <t>neck, muscle, rollover</t>
  </si>
  <si>
    <t>Needle Guidance System for Neuraxial Analgesia and Anesthesia</t>
  </si>
  <si>
    <t>Needle guidance, Neuraxial, Analgesia</t>
  </si>
  <si>
    <t>Cobb, Jennifer A</t>
  </si>
  <si>
    <t>Nej1 and Lif1 form structural filaments that bridge the ends of DNA at a DSB</t>
  </si>
  <si>
    <t>Nej1, Lif1, DNA</t>
  </si>
  <si>
    <t>Maynes, Jason T</t>
  </si>
  <si>
    <t>Neonatal Stem Cell Secretomes as a Novel Regenerative Therapy for Heart Failure</t>
  </si>
  <si>
    <t>Neonatal, Stem Cell, Heart Failure</t>
  </si>
  <si>
    <t>Hamoui, Anas</t>
  </si>
  <si>
    <t>Neural Encoding in the Visual Cortex: Engineering Principles for Advanced Neural Prosthetics</t>
  </si>
  <si>
    <t>Neural encoding, visual cortex, neural prosthetics</t>
  </si>
  <si>
    <t>Neuroanatomical late effects in pediatric brain irradiation</t>
  </si>
  <si>
    <t>neuroanatomical, brain, irradiation</t>
  </si>
  <si>
    <t>Neurovascular Adaptation</t>
  </si>
  <si>
    <t>Neurovascular, Adaptation</t>
  </si>
  <si>
    <t>New insights into mast cell development and contribution to malignant progression - further exploitation of the zebrafish model</t>
  </si>
  <si>
    <t>mast cell, zebrafish, malignant progression</t>
  </si>
  <si>
    <t>Keillor, Jeffrey W</t>
  </si>
  <si>
    <t>New Methods for Site-Specific Labelling of Proteins</t>
  </si>
  <si>
    <t>Site-specific, Labelling, Proteins</t>
  </si>
  <si>
    <t>Project Grant - Priority Announcement: Pediatric Cancer</t>
  </si>
  <si>
    <t>202109PAE</t>
  </si>
  <si>
    <t>New Modalities of Chimeric Antigen Receptor (CAR) Therapies in Pediatric Rhabdomyosarcoma</t>
  </si>
  <si>
    <t>Chimeric Antigen Receptor, CAR, Rhabdomyosarcoma</t>
  </si>
  <si>
    <t>New mouse models and targeted therapies for aggressive forms of germline and sporadic pineoblastoma</t>
  </si>
  <si>
    <t>mouse models, targeted therapies, pineoblastoma</t>
  </si>
  <si>
    <t>New nanotechnology for non-invasive deep lung-activatable antimicrobial photodynamic therapy of hospital-associated pneumonia</t>
  </si>
  <si>
    <t>nanotechnology, photodynamic, pneumonia</t>
  </si>
  <si>
    <t>New Quantitative MRI for Human Stroke</t>
  </si>
  <si>
    <t>MRI, Stroke</t>
  </si>
  <si>
    <t>Dmitrienko, Gary I</t>
  </si>
  <si>
    <t>New strategies for overcoming bacterial resistance to antibiotics</t>
  </si>
  <si>
    <t>bacterial resistance, antibiotics</t>
  </si>
  <si>
    <t>New tools for real-time imaging of multiple signaling events in single cells: design, construction, and biological applications of genetically encoded biosensors</t>
  </si>
  <si>
    <t>imaging, biosensors, signaling</t>
  </si>
  <si>
    <t>Newly Optimized LNP Systems for Genetic drugs and Gene therapy in Neurological diseases</t>
  </si>
  <si>
    <t>LNP, gene therapy, neurological diseases</t>
  </si>
  <si>
    <t>Next Generation Micro-ultrasound Technology for Detection and Monitoring of Prostate Cancer</t>
  </si>
  <si>
    <t>Micro-ultrasound, Prostate Cancer, Detection</t>
  </si>
  <si>
    <t>Next generation patient-derived, genetically-defined kidney and bladder cancer xenograft models for anti-cancer drug development</t>
  </si>
  <si>
    <t>kidney, bladder, xenograft</t>
  </si>
  <si>
    <t>Next generation patient-derived, genetically-defined prostate cancer xenograft models for anti- cancer drug development</t>
  </si>
  <si>
    <t>patient-derived, prostate cancer, xenograft</t>
  </si>
  <si>
    <t>Next Generation Platelet Storage Devices for Safe and Efficient Transfusion</t>
  </si>
  <si>
    <t>Platelet, Storage, Transfusion</t>
  </si>
  <si>
    <t>Next generation precision oncology for pediatric-type AYA gliomas</t>
  </si>
  <si>
    <t>precision, oncology, gliomas</t>
  </si>
  <si>
    <t>Next Generation Surgical Microscopes for Rapid Virtual Histopathology</t>
  </si>
  <si>
    <t>Surgical Microscopes, Virtual Histopathology</t>
  </si>
  <si>
    <t>Guttman, David S</t>
  </si>
  <si>
    <t>Next-Generation Antimicrobial Diagnostics: Speed and Precision via Whole Genome Sequencing</t>
  </si>
  <si>
    <t>Antimicrobial, Diagnostics, Genome Sequencing</t>
  </si>
  <si>
    <t>Lin, Kuo-Shyan</t>
  </si>
  <si>
    <t>Next-generation GRPR-targeting radiopharmaceuticals with improved in vivo stability and minimized pancreas uptake</t>
  </si>
  <si>
    <t>GRPR, radiopharmaceuticals, stability</t>
  </si>
  <si>
    <t>Nitric oxide-mediated inhibition of hypoxia-induced immune escape in cancer</t>
  </si>
  <si>
    <t>Nitric oxide, hypoxia, immune escape</t>
  </si>
  <si>
    <t>NMR spectroscopy in brain organoids: identifying neurochemical and gene regulatory network signatures of the healthy and Alzheimer's Disease brain</t>
  </si>
  <si>
    <t>NMR, brain organoids, neurochemical</t>
  </si>
  <si>
    <t>Labelle, Hubert B</t>
  </si>
  <si>
    <t>Non Invasive 3D Assessment of the Reducibility of Scoliotic Trunk Deformities for an Effective Surgical Planning</t>
  </si>
  <si>
    <t>3D, assessment, scoliosis</t>
  </si>
  <si>
    <t>Non Invasive Prediction of Scoliosis Progression</t>
  </si>
  <si>
    <t>Non Invasive, Prediction, Scoliosis</t>
  </si>
  <si>
    <t>Denault, Jean-Bernard</t>
  </si>
  <si>
    <t>Non-canonical role of initiator caspases in colorectal cancer</t>
  </si>
  <si>
    <t>caspases, colorectal cancer, initiator</t>
  </si>
  <si>
    <t>Non-contact 3D photoacoustic/ultrasonic imaging for detecting the early response to neoadjuvant chemotherapy in breast cancer patients</t>
  </si>
  <si>
    <t>photoacoustic, ultrasonic, imaging</t>
  </si>
  <si>
    <t>Non-contact, high-resolution optical approach to assessing retinal neurovascular coupling in the healthy and glaucomatous retina</t>
  </si>
  <si>
    <t>retinal, neurovascular, optical</t>
  </si>
  <si>
    <t>Mequanint, Kibret</t>
  </si>
  <si>
    <t>Non-diffusing 3D gel dosimeters: A platform technology for dose verification and quality assurance in radiation therapy</t>
  </si>
  <si>
    <t>3D gel dosimeters, dose verification, radiation therapy</t>
  </si>
  <si>
    <t>Non-Invasive Assessment of Scoliotic Trunk Mobility for an Effective Management of Patients</t>
  </si>
  <si>
    <t>Non-Invasive, Scoliotic, Mobility</t>
  </si>
  <si>
    <t>Cheyne, Douglas O</t>
  </si>
  <si>
    <t>Non-invasive imaging of sensorimotor plasticity following cranial nerve repair</t>
  </si>
  <si>
    <t>imaging, sensorimotor, cranial nerve</t>
  </si>
  <si>
    <t>Liu, Stanley K</t>
  </si>
  <si>
    <t>Non-invasive multi-omics urinary biomarkers to guide prostate cancer management</t>
  </si>
  <si>
    <t>multi-omics, urinary biomarkers, prostate cancer</t>
  </si>
  <si>
    <t>Non-invasive near-infrared spectroscopic measures of brain oxygenation and function--a potential biomarker of disease severity and progression in Multiple Sclerosis</t>
  </si>
  <si>
    <t>near-infrared, spectroscopy, brain oxygenation</t>
  </si>
  <si>
    <t>Thiel, Alexander</t>
  </si>
  <si>
    <t>Non-invasive PET imaging of tropomyosin related kinase B/C receptor in humans</t>
  </si>
  <si>
    <t>PET, imaging, kinase</t>
  </si>
  <si>
    <t>Turner, Robin F</t>
  </si>
  <si>
    <t>Non-Invasive Probe to Assess the Quality and Suitability for Transfusion of Stored Red Blood Cells</t>
  </si>
  <si>
    <t>Probe, Red Blood Cells, Transfusion</t>
  </si>
  <si>
    <t>Non-invasive shear strain ultrasound elastography of carotid atherosclerotic plaques for stroke prevention</t>
  </si>
  <si>
    <t>ultrasound, elastography, atherosclerosis</t>
  </si>
  <si>
    <t>Noninvasive Functional Biomarker for Early Detection and Continuous Monitoring of Microvascular Dysfunction</t>
  </si>
  <si>
    <t>Biomarker, Microvascular, Monitoring</t>
  </si>
  <si>
    <t>Barzda, Virginijus</t>
  </si>
  <si>
    <t>Nonlinear Optical Imaging for Digital Pathology</t>
  </si>
  <si>
    <t>Nonlinear Optical, Imaging, Pathology</t>
  </si>
  <si>
    <t>Nonsense Mediated RNA Decay Shapes the Expressed Transcriptome Required for Ovarian Cancer Progression</t>
  </si>
  <si>
    <t>RNA decay, transcriptome, ovarian cancer</t>
  </si>
  <si>
    <t>Li, Bowen</t>
  </si>
  <si>
    <t>Nonviral Delivery of tRNA Therapeutics for Treating Cystic Fibrosis</t>
  </si>
  <si>
    <t>nonviral, tRNA, cystic fibrosis</t>
  </si>
  <si>
    <t>Novel 3D bioprinted human cardiac tissue models for drug safety and efficacy testing.</t>
  </si>
  <si>
    <t>3D bioprinting, cardiac tissue, drug testing</t>
  </si>
  <si>
    <t>So, Alan I</t>
  </si>
  <si>
    <t>Novel 3D personalized bladder cancer model on demand: A new era for personalized medicine.</t>
  </si>
  <si>
    <t>3D, bladder cancer, personalized</t>
  </si>
  <si>
    <t>Novel adhesive polymeric membranes for binding degradable composite materials to bone in craniomaxillofacial repair</t>
  </si>
  <si>
    <t>adhesive, polymeric membranes, craniomaxillofacial</t>
  </si>
  <si>
    <t>Li, Shun-Cheng S</t>
  </si>
  <si>
    <t>Novel anticancer immunotherapy targeting the molecular mechanisms of T cell suppression by immune checkpoints</t>
  </si>
  <si>
    <t>anticancer, immunotherapy, immune checkpoints</t>
  </si>
  <si>
    <t>Cohen, Alan A</t>
  </si>
  <si>
    <t>Novel approaches to aging physiology: Using statistics and data mining to understand dysregulation of biomarker networks in human populations</t>
  </si>
  <si>
    <t>aging, data mining, biomarkers</t>
  </si>
  <si>
    <t>Novel Biomaterials-Based Strategies to Stimulate Periodontal Tissue Regeneration</t>
  </si>
  <si>
    <t>Biomaterials, Periodontal, Regeneration</t>
  </si>
  <si>
    <t>Novel Catheter Based Therapeutic Ultrasound Approach for the Treatment of Coronary Artery Occlusions</t>
  </si>
  <si>
    <t>Catheter, Ultrasound, Coronary Artery</t>
  </si>
  <si>
    <t>Porter, Lisa A</t>
  </si>
  <si>
    <t>University of Windsor (Ontario)</t>
  </si>
  <si>
    <t>Novel Cell Cycle Regulation in the Initiation and Therapeutic Intervention of Breast Cancer</t>
  </si>
  <si>
    <t>Cell cycle, breast cancer, regulation</t>
  </si>
  <si>
    <t>Novel Cell Surface Engineering Approaches for Cell-based Therapies</t>
  </si>
  <si>
    <t>Cell surface, Engineering, Therapies</t>
  </si>
  <si>
    <t>Hakem, Razqallah</t>
  </si>
  <si>
    <t>Novel contrasting functions of RNF168 and RNF169 in breast cancer and therapeutic implications.</t>
  </si>
  <si>
    <t>RNF168, RNF169, breast cancer</t>
  </si>
  <si>
    <t>Novel Delivery System for High Dose Rate Intensity Modulated Brachytherapy with Yb-169 as a Radiation Source</t>
  </si>
  <si>
    <t>Delivery, Brachytherapy, Yb-169</t>
  </si>
  <si>
    <t>Novel endothelial engineering and localized immunosuppression approaches for the protection of organ transplants</t>
  </si>
  <si>
    <t>endothelial, immunosuppression, transplants</t>
  </si>
  <si>
    <t>Patel, Rajnikant V</t>
  </si>
  <si>
    <t>Novel Haptics-Enabled Robotic Systems for Rehabilitation Therapy</t>
  </si>
  <si>
    <t>Haptics, Robotic Systems, Rehabilitation</t>
  </si>
  <si>
    <t>Rivest, Serge</t>
  </si>
  <si>
    <t>Novel immunotherapies for treating Alzheimer's disease</t>
  </si>
  <si>
    <t>immunotherapies, Alzheimer's</t>
  </si>
  <si>
    <t>Novel implications of THOR hypermethylation in telomere maintenance and gliomageneis.</t>
  </si>
  <si>
    <t>THOR, hypermethylation, telomere</t>
  </si>
  <si>
    <t>Toronto Rehabilitation Institute-UHN</t>
  </si>
  <si>
    <t>Novel methodology to reduce muscle fatigue during functional electrical stimulation</t>
  </si>
  <si>
    <t>muscle fatigue, functional electrical stimulation</t>
  </si>
  <si>
    <t>Novel Methods to Evaluate the Cardiac Activity of Pharmaceuticals: Identifying New Therapies and Predicting Cardiac Toxicity</t>
  </si>
  <si>
    <t>Cardiac activity, Pharmaceuticals, Toxicity</t>
  </si>
  <si>
    <t>Barthelat, Francois</t>
  </si>
  <si>
    <t>Novel multilayered synthetic structural bone graft materials which combine biocompatibility, biodegradability and high toughness.</t>
  </si>
  <si>
    <t>bone graft, biocompatibility, biodegradability</t>
  </si>
  <si>
    <t>Diller, Eric D</t>
  </si>
  <si>
    <t>Novel Multimodal Sensing and Actuation Mechanisms for Intra-Ventricular Neurosurgery Robotic Tools</t>
  </si>
  <si>
    <t>Multimodal sensing, actuation, neurosurgery</t>
  </si>
  <si>
    <t>Lee, Ping I</t>
  </si>
  <si>
    <t>Novel Nitric Oxide Delivery System for Wound Healing</t>
  </si>
  <si>
    <t>Nitric Oxide, Delivery System, Wound Healing</t>
  </si>
  <si>
    <t>Campbell, Melanie Crombie W</t>
  </si>
  <si>
    <t>Novel non-invasive imaging of amyloid in the retina of the eye as a predictor of amyloid in the brain in Alzheimer's disease</t>
  </si>
  <si>
    <t>imaging, amyloid, retina</t>
  </si>
  <si>
    <t>Batist, Gerald</t>
  </si>
  <si>
    <t>Novel strategy to selectively target tumor cell growth and chemosensitivity</t>
  </si>
  <si>
    <t>tumor, cell growth, chemosensitivity</t>
  </si>
  <si>
    <t>Novel targeted therapeutics against leukemia stem cells</t>
  </si>
  <si>
    <t>targeted therapeutics, leukemia, stem cells</t>
  </si>
  <si>
    <t>Novel technologies for engineering closure of non-healing skin wounds</t>
  </si>
  <si>
    <t>skin wounds, closure, engineering</t>
  </si>
  <si>
    <t>Novel therapeutic targets for Group 3 medulloblastoma stem cells</t>
  </si>
  <si>
    <t>medulloblastoma, stem cells, therapeutic targets</t>
  </si>
  <si>
    <t>Czarnota, Gregory J</t>
  </si>
  <si>
    <t>Novel Ultrasound-Activated Microbubble Enhancement of Radiation Response: Optimization of Response</t>
  </si>
  <si>
    <t>Ultrasound, Microbubble, Radiation</t>
  </si>
  <si>
    <t>Wilson, Brian C</t>
  </si>
  <si>
    <t>Nuclear-targeted X-ray activated photodynamic therapy of pancreatic cancer</t>
  </si>
  <si>
    <t>Nuclear, X-ray, photodynamic</t>
  </si>
  <si>
    <t>Davie, James R</t>
  </si>
  <si>
    <t>CIHR/Regional Partnership Program/Operating Grants</t>
  </si>
  <si>
    <t>200903ROP</t>
  </si>
  <si>
    <t>Nucleosomal response and immediate early gene expression</t>
  </si>
  <si>
    <t>Nucleosomal, gene expression, immediate early</t>
  </si>
  <si>
    <t>Beg, Mirza Faisal</t>
  </si>
  <si>
    <t>OCTSurfer - Advanced Imaging and Integrated Image Analysis Platform for 3D Optical Coherence Tomography Images of the Eye</t>
  </si>
  <si>
    <t>Optical Coherence Tomography, Imaging, Eye</t>
  </si>
  <si>
    <t>Flanagan, John G</t>
  </si>
  <si>
    <t>Ocular Biomechanics and Glaucoma:  Finite Element Modeling of the Optic Nerve's Response to Biomechanical Insult and it's Role in Astrocyte Activation</t>
  </si>
  <si>
    <t>ocular, biomechanics, glaucoma</t>
  </si>
  <si>
    <t>Turner, Justine M</t>
  </si>
  <si>
    <t>201009ISO</t>
  </si>
  <si>
    <t>Omega-3 Fatty Acids for Treatment of Intestinal Failure Associated Liver Disease: A Translational Research Study</t>
  </si>
  <si>
    <t>Omega-3, Fatty Acids, Liver Disease</t>
  </si>
  <si>
    <t>Gilks, Cyril B</t>
  </si>
  <si>
    <t>Omics, Histopathology and AI: An Integrative Approach for Biomarker Discovery in Ovarian Cancer</t>
  </si>
  <si>
    <t>Omics, Histopathology, AI</t>
  </si>
  <si>
    <t>Adachi, Jonathan D</t>
  </si>
  <si>
    <t>On the development of bone quality parameters for assessing osteoporosis using peripheral quantitative computed tomography</t>
  </si>
  <si>
    <t>bone, osteoporosis, computed tomography</t>
  </si>
  <si>
    <t>Oncogene-containing microvesicles as mediators and messengers of tumour progression</t>
  </si>
  <si>
    <t>oncogene, microvesicles, tumour</t>
  </si>
  <si>
    <t>Oncogenic activity of poly (ADP-ribose) polymerase.</t>
  </si>
  <si>
    <t>oncogenic, poly (ADP-ribose), polymerase</t>
  </si>
  <si>
    <t>Grandvaux, Nathalie</t>
  </si>
  <si>
    <t>Oncogenic signaling pathways in breast cancer: regulation and function of the IKKepsilon kinase.</t>
  </si>
  <si>
    <t>oncogenic, signaling pathways, IKKepsilon kinase</t>
  </si>
  <si>
    <t>Stojdl, David F</t>
  </si>
  <si>
    <t>Oncolytic Virus Immunotherapy for Brain Cancer</t>
  </si>
  <si>
    <t>Oncolytic virus, Immunotherapy, Brain cancer</t>
  </si>
  <si>
    <t>Cahill, Catherine M</t>
  </si>
  <si>
    <t>CIHR/RxD - Biology of Pain -Young Investigators Grant</t>
  </si>
  <si>
    <t>200810XCP</t>
  </si>
  <si>
    <t>Opioids modify glial activity in models of chronic pain and opioid  tolerant states</t>
  </si>
  <si>
    <t>opioids, glial, pain</t>
  </si>
  <si>
    <t>Vitkin, I. Alex</t>
  </si>
  <si>
    <t>Optical coherence tomography for assessment of early radiobiological response in-vivo</t>
  </si>
  <si>
    <t>Optical coherence tomography, radiobiological response, in-vivo</t>
  </si>
  <si>
    <t>Yang, Victor X</t>
  </si>
  <si>
    <t>Optical Coherence Tomography for Intraoperative Imaging During Skull Base Neurosurgical Procedures</t>
  </si>
  <si>
    <t>Optical Coherence Tomography, Intraoperative Imaging, Skull Base</t>
  </si>
  <si>
    <t>Optical coherence tomography of the middle ear</t>
  </si>
  <si>
    <t>Optical coherence tomography, middle ear</t>
  </si>
  <si>
    <t>Optical guidance for safe and effective brain tumor biopsy</t>
  </si>
  <si>
    <t>Optical guidance, brain tumor, biopsy</t>
  </si>
  <si>
    <t>Sarunic, Marinko V</t>
  </si>
  <si>
    <t>Optical imaging of retinal structure and function with cellular resolution</t>
  </si>
  <si>
    <t>Optical imaging, retinal, cellular</t>
  </si>
  <si>
    <t>Optical system for in-vivo imaging and label-free identification of stem cells in the human corneo-scleral limbus for treatment of corneal blindness</t>
  </si>
  <si>
    <t>optical, imaging, stem cells</t>
  </si>
  <si>
    <t>Morgenstern, Daniel A</t>
  </si>
  <si>
    <t>OPTIMISE: Optimal precision therapies to customise care in childhood and adolescent cancer</t>
  </si>
  <si>
    <t>precision, therapies, cancer</t>
  </si>
  <si>
    <t>Optimization and preclinical testing of a sclerosing and embolizing gel for embolization of varicose veins</t>
  </si>
  <si>
    <t>sclerosing, embolizing, veins</t>
  </si>
  <si>
    <t>Nobes, David S</t>
  </si>
  <si>
    <t>Optimization of an ex vivo heart perfusion device for pre-transplant preservation and evaluation of donor hearts</t>
  </si>
  <si>
    <t>heart, perfusion, preservation</t>
  </si>
  <si>
    <t>Optimization of cell culture media and substrates to mature pluripotent stem cell-derived cardiomyoctyes for improved cardiac cell therapy</t>
  </si>
  <si>
    <t>cell culture, pluripotent stem cells, cardiomyocytes</t>
  </si>
  <si>
    <t>Fradet, Yves</t>
  </si>
  <si>
    <t>Optimization of immunotherapy of bladder cancer: response to various non-specific immunomodulators</t>
  </si>
  <si>
    <t>immunotherapy, bladder cancer, immunomodulators</t>
  </si>
  <si>
    <t>Kairy, Dahlia</t>
  </si>
  <si>
    <t>Optimizing a home-based virtual reality exercise program for chronic stroke patients: A telerehabilitation approach</t>
  </si>
  <si>
    <t>virtual reality, telerehabilitation, stroke</t>
  </si>
  <si>
    <t>Redfearn, Damian P</t>
  </si>
  <si>
    <t>Optimizing Contemporary Sequential Mapping of Atrial Fibrillation Signals as a Strategy to Identify Novel Targets for Ablation</t>
  </si>
  <si>
    <t>Atrial Fibrillation, Sequential Mapping, Ablation</t>
  </si>
  <si>
    <t>Johnson, Nathalie</t>
  </si>
  <si>
    <t>Optimizing immunotherapy in high-risk lymphoma</t>
  </si>
  <si>
    <t>immunotherapy, lymphoma, high-risk</t>
  </si>
  <si>
    <t>Lemieux, Joanne M</t>
  </si>
  <si>
    <t>Optimizing polar, small inhibitors of a viral cysteine protease to identify a lead for an oral COVID-19 treatment</t>
  </si>
  <si>
    <t>polar, inhibitors, cysteine protease</t>
  </si>
  <si>
    <t>Ruel, Marc</t>
  </si>
  <si>
    <t>Optimizing Signaling, Cells, and Host Environment in Matrix-based Cardiac Regenerative Therapy: Towards Pre-clinical Application</t>
  </si>
  <si>
    <t>Signaling, Cells, Cardiac</t>
  </si>
  <si>
    <t>Ungrin, Mark D</t>
  </si>
  <si>
    <t>Optimizing the size and composition of beta cell aggregates to improve islet graft survival</t>
  </si>
  <si>
    <t>beta cell, islet graft, aggregates</t>
  </si>
  <si>
    <t>Shahriari, Dena</t>
  </si>
  <si>
    <t>Optogenetic stimulation after spinal cord injury in rodents</t>
  </si>
  <si>
    <t>Optogenetic, spinal cord injury, stimulation</t>
  </si>
  <si>
    <t>Champagne, Pierre-Olivier</t>
  </si>
  <si>
    <t>Organogenese de muqueuse nasale autologue pour la reconstruction endoscopique endonasale en chirurgie de la base du crene</t>
  </si>
  <si>
    <t>organogenese, muqueuse nasale, reconstruction</t>
  </si>
  <si>
    <t>Liu, Geoffrey</t>
  </si>
  <si>
    <t>Organoids to guide Post-resistance Therapy In driver MutAted Lung cancers (OPTIMAL)</t>
  </si>
  <si>
    <t>Organoids, Lung cancers, Mutated</t>
  </si>
  <si>
    <t>Marjoribanks, Robin S</t>
  </si>
  <si>
    <t>Orthopaedic surgical platform which uses burst-mode ultrafast laser pulses delivered by high-power fiber-optic catheter for less-invasive surgery with ultrafine control</t>
  </si>
  <si>
    <t>ultrafast laser, fiber-optic catheter, minimally invasive</t>
  </si>
  <si>
    <t>Jahani-Asl, Arezu</t>
  </si>
  <si>
    <t>OSMR Regulation of Glioblastoma Pathogenesis</t>
  </si>
  <si>
    <t>OSMR, Glioblastoma, Pathogenesis</t>
  </si>
  <si>
    <t>Capretta, Alfredo A</t>
  </si>
  <si>
    <t>Overcoming Antibiotic Resistance Through the Inhibition of Aminoglycoside Phosphotransferases (APH).</t>
  </si>
  <si>
    <t>Antibiotic resistance, Aminoglycoside, Phosphotransferases</t>
  </si>
  <si>
    <t>202304PJT</t>
  </si>
  <si>
    <t>Overcoming barriers to effective cancer immunotherapy with an engineered virus based therapeutic</t>
  </si>
  <si>
    <t>cancer, immunotherapy, virus</t>
  </si>
  <si>
    <t>Overcoming ER+ Breast Cancer with Fulvestrant-siRNA co-delivery</t>
  </si>
  <si>
    <t>ER+, breast cancer, siRNA</t>
  </si>
  <si>
    <t>Overcoming suppressive micro-environments in early breast cancer progression</t>
  </si>
  <si>
    <t>micro-environments, breast cancer, progression</t>
  </si>
  <si>
    <t>Overcoming therapeutic resistance in lymphoma</t>
  </si>
  <si>
    <t>therapeutic resistance, lymphoma</t>
  </si>
  <si>
    <t>Oxidative Damage of Bone Collagen As A Mechanism Of Bone Fragility</t>
  </si>
  <si>
    <t>oxidative damage, bone collagen, bone fragility</t>
  </si>
  <si>
    <t>p300 histone acetyltransferase-dependency in SWI/SNF-deficient cancers: mechanisms and therapeutic implications</t>
  </si>
  <si>
    <t>p300, histone acetyltransferase, SWI/SNF</t>
  </si>
  <si>
    <t>Gauthier, Lynn R</t>
  </si>
  <si>
    <t>PainQuILT: A patient-centred e-health solution to empower older adults and improve pain assessment and management</t>
  </si>
  <si>
    <t>e-health, pain assessment, older adults</t>
  </si>
  <si>
    <t>Pannexins as a novel growth regulator in gliomas</t>
  </si>
  <si>
    <t>Pannexins, gliomas, growth regulator</t>
  </si>
  <si>
    <t>Paper-based diagnostic device for colorectal cancer detection</t>
  </si>
  <si>
    <t>paper, diagnostic, colorectal cancer</t>
  </si>
  <si>
    <t>Paracrine Hedgehog as a Mediator of Castration Resistant Prostate Cancer</t>
  </si>
  <si>
    <t>Hedgehog, Paracrine, Prostate Cancer</t>
  </si>
  <si>
    <t>Parallel Radiofrequency Transmission MRI Applied to Deep Brain Stimulation</t>
  </si>
  <si>
    <t>Radiofrequency, MRI, Brain Stimulation</t>
  </si>
  <si>
    <t>Coffin, Carla S</t>
  </si>
  <si>
    <t>Pathogenesis of Hepatitis B Virus Infection in Non-Alcoholic Fatty Liver Disease</t>
  </si>
  <si>
    <t>Hepatitis B, Virus Infection, Fatty Liver</t>
  </si>
  <si>
    <t>Brown, Eric D</t>
  </si>
  <si>
    <t>Pathway-specific cell-based high throughput screening for natural product antibiotics</t>
  </si>
  <si>
    <t>cell-based, high throughput, antibiotics</t>
  </si>
  <si>
    <t>Gallinger, Steven</t>
  </si>
  <si>
    <t>Patient derived organoids as a platform for inferring treatment response in pancreatic cancer patients</t>
  </si>
  <si>
    <t>organoids, pancreatic cancer, treatment response</t>
  </si>
  <si>
    <t>Genov, Roman</t>
  </si>
  <si>
    <t>Patient-Specific Adaptive Closed-Loop Neurostimulation for Optimum Treatment of Intractable Epilepsy</t>
  </si>
  <si>
    <t>Neurostimulation, Closed-Loop, Epilepsy</t>
  </si>
  <si>
    <t>Li-Jessen, Yee Key Nicole</t>
  </si>
  <si>
    <t>Patient-specific computational models of vocal recovery from phonosurgery</t>
  </si>
  <si>
    <t>computational models, vocal recovery, phonosurgery</t>
  </si>
  <si>
    <t>Patterned electrical stimulation of the arms and legs to improve walking after spinal cord injury</t>
  </si>
  <si>
    <t>electrical stimulation, spinal cord injury, walking</t>
  </si>
  <si>
    <t>PCSK9, a novel contributor to the development of castration resistant prostate cancer</t>
  </si>
  <si>
    <t>PCSK9, prostate cancer, castration resistant</t>
  </si>
  <si>
    <t>Berthod, Franeois</t>
  </si>
  <si>
    <t>Peau reconstruite par genie tissulaire: etude de l'influence de l'innervation cutanee sur la guerison des plaies</t>
  </si>
  <si>
    <t>tissue engineering, skin innervation, wound healing</t>
  </si>
  <si>
    <t>Peptide decorated magnetic nanoparticle strategies for minimally invasive targeting and removing exfoliation materials from the anterior lens capsule</t>
  </si>
  <si>
    <t>peptide, magnetic nanoparticle, lens capsule</t>
  </si>
  <si>
    <t>Peptide macrocycle decoys against COVID-19 viral spike protein</t>
  </si>
  <si>
    <t>peptide, macrocycle, spike protein</t>
  </si>
  <si>
    <t>Auer, Rebecca Ann C</t>
  </si>
  <si>
    <t>Perioperative Targeting of Myeloid Derived Suppressor Cells to Alleviate Postoperative Immunosuppression and Metastases</t>
  </si>
  <si>
    <t>Myeloid Derived Suppressor Cells, Immunosuppression, Metastases</t>
  </si>
  <si>
    <t>Perk Tutor: Ultrasound-guided Needle Placement Training Platform</t>
  </si>
  <si>
    <t>ultrasound, needle, training</t>
  </si>
  <si>
    <t>Personalized Contingent Neurostimulation for Epilepsy by Machine Learning in Organic Brain Interfaces</t>
  </si>
  <si>
    <t>Neurostimulation, Epilepsy, Brain Interfaces</t>
  </si>
  <si>
    <t>Caldwell, Curtis B</t>
  </si>
  <si>
    <t>Personalizing Radionuclide Therapy of Neuroendocrine Tumours</t>
  </si>
  <si>
    <t>Radionuclide, Neuroendocrine, Tumours</t>
  </si>
  <si>
    <t>Pharmacokinetic modeling: Validation of DCE-MRI and PET/MRI combination</t>
  </si>
  <si>
    <t>pharmacokinetic, DCE-MRI, PET/MRI</t>
  </si>
  <si>
    <t>Noiseux, Nicolas</t>
  </si>
  <si>
    <t>Pharmacological intervention to reduce ischemic injury: Development of a novel infarct-sparing agent</t>
  </si>
  <si>
    <t>ischemic injury, infarct-sparing, pharmacological</t>
  </si>
  <si>
    <t>Phase I first-in-human trial for ThINKK adoptive immunotherapy in children with high-risk cancers</t>
  </si>
  <si>
    <t>immunotherapy, adoptive, cancers</t>
  </si>
  <si>
    <t>Phase I first-in-human trial of ThINKK adoptive immunotherapy in children with high-risk cancers</t>
  </si>
  <si>
    <t>Phase II clinical trial of pantoprazole and docetaxel for men with metastatic castration-resistant prostate cancer</t>
  </si>
  <si>
    <t>pantoprazole, docetaxel, prostate cancer</t>
  </si>
  <si>
    <t>Phenotypic and Functional Characterization of Relapse-Fated Cells Present at Diagnosis in AML leading to improved therapeutic targeting and monitoring</t>
  </si>
  <si>
    <t>Phenotypic, Functional, AML</t>
  </si>
  <si>
    <t>Project Grant - PA: Antimicrobial Resistance (Bridge Grant)</t>
  </si>
  <si>
    <t>202209ARB</t>
  </si>
  <si>
    <t>Phenotypic Profiling of Antibiotic Susceptibility via a Multiplexed Colorimetric Fluidic Assay</t>
  </si>
  <si>
    <t>Phenotypic profiling, Antibiotic susceptibility, Colorimetric assay</t>
  </si>
  <si>
    <t>Photoacoustic Imaging for Image Guided Prostate Cancer Interventions</t>
  </si>
  <si>
    <t>Photoacoustic, Imaging, Prostate Cancer</t>
  </si>
  <si>
    <t>Photoacoustic Remote Sensing Virtual Histology for Tumor Margin Assessment</t>
  </si>
  <si>
    <t>Photoacoustic, Virtual Histology, Tumor Margin</t>
  </si>
  <si>
    <t>Photoacoustics as a novel kidney fibrosis imaging tool</t>
  </si>
  <si>
    <t>Photoacoustics, kidney fibrosis, imaging</t>
  </si>
  <si>
    <t>Photodynamic therapy of non-melanoma skin cancers - development of a comprehensive image-guided planning system for personalized treatment</t>
  </si>
  <si>
    <t>photodynamic, skin cancers, image-guided</t>
  </si>
  <si>
    <t>Physiology Basis of Resting-State Functional MRI</t>
  </si>
  <si>
    <t>Resting-State, Functional MRI, Physiology</t>
  </si>
  <si>
    <t>Zarrine-Afsar, Arash</t>
  </si>
  <si>
    <t>Picosecond InfraRed Laser Mass Spectrometry (PIRL-MS) for Rapid Determination of Pediatric Brain Tumour Pathology</t>
  </si>
  <si>
    <t>Picosecond, InfraRed, Mass Spectrometry</t>
  </si>
  <si>
    <t>PINK1 Inhibition as a Novel Therapeutic Strategy to Target Acute Myeloid Leukemia Stem Cells</t>
  </si>
  <si>
    <t>PINK1, Inhibition, Leukemia</t>
  </si>
  <si>
    <t>Dunn, Sandra E</t>
  </si>
  <si>
    <t>Pioneering novel approaches to manage cancer recurrence  through the use of YB-1 inhibitors and off-patent drugs.</t>
  </si>
  <si>
    <t>YB-1 inhibitors, cancer recurrence, off-patent drugs</t>
  </si>
  <si>
    <t>Raha, Sandeep</t>
  </si>
  <si>
    <t>Placenta on a chip: A humanized platform for testing of pharmaceuticals and environmental chemicals</t>
  </si>
  <si>
    <t>placenta, chip, pharmaceuticals</t>
  </si>
  <si>
    <t>Plane-wave quantitative ultrasound imaging of blood mechanical properties</t>
  </si>
  <si>
    <t>plane-wave, ultrasound, blood</t>
  </si>
  <si>
    <t>Stoeber, Boris</t>
  </si>
  <si>
    <t>Platform technology for blood diagnostics integrating microneedle blood sampling and quantum-dot based multiplexed assays</t>
  </si>
  <si>
    <t>blood, microneedle, quantum-dot</t>
  </si>
  <si>
    <t>Platform technology for maturation of human stem cell derived cardiomyocytes and cardiotoxicity screening</t>
  </si>
  <si>
    <t>stem cells, cardiomyocytes, cardiotoxicity</t>
  </si>
  <si>
    <t>McNagny, Kelly M</t>
  </si>
  <si>
    <t>Podocalyxin's role in tumor invasion, metastasis, and immune evasion</t>
  </si>
  <si>
    <t>Podocalyxin, tumor invasion, metastasis</t>
  </si>
  <si>
    <t>Fox-Robichaud, Alison E</t>
  </si>
  <si>
    <t>Point of Care Device for Rapid Quantification of Cell-Free DNA  with Application in Severe Sepsis</t>
  </si>
  <si>
    <t>Point of Care, Cell-Free DNA, Sepsis</t>
  </si>
  <si>
    <t>Shaw, Tony</t>
  </si>
  <si>
    <t>Point of care diagnostic and analytical metabolomic testing.</t>
  </si>
  <si>
    <t>point of care, diagnostic, metabolomic</t>
  </si>
  <si>
    <t>Point of Care Heart-Lung Imaging for Patients Presenting with COVID-19 Symptoms: Artificial Intelligence Precision Modeling for Prediction of Outcomes</t>
  </si>
  <si>
    <t>Heart-Lung, Imaging, COVID-19</t>
  </si>
  <si>
    <t>Burrell, Robert</t>
  </si>
  <si>
    <t>Point-of-Care Diagnostic Discrimination Between Bacterial and Viral Infections Using a Nanostructured Platform Device for Detection of Host Biomarkers.</t>
  </si>
  <si>
    <t>Point-of-Care, Nanostructured, Biomarkers</t>
  </si>
  <si>
    <t>Poirier, Guy G</t>
  </si>
  <si>
    <t>Poly(ADP-ribose) writers, readers, and erasers: Functions in DNA double-strand break repair and synthetic lethality.</t>
  </si>
  <si>
    <t>Poly(ADP-ribose), DNA repair, synthetic lethality</t>
  </si>
  <si>
    <t>Polymer-based Bioengineering Approaches for Systemic Iron Removal</t>
  </si>
  <si>
    <t>Polymer, Bioengineering, Iron</t>
  </si>
  <si>
    <t>Polymer-based Gene Delivery for Rheumatoid Arthritis</t>
  </si>
  <si>
    <t>Polymer, Gene Delivery, Rheumatoid Arthritis</t>
  </si>
  <si>
    <t>Scott, Mark D</t>
  </si>
  <si>
    <t>Polymer-Grafted Allogeneic Leukocytes and Systemic Immune Modulation</t>
  </si>
  <si>
    <t>Polymer-Grafted, Leukocytes, Immune</t>
  </si>
  <si>
    <t>Polymeric Nanospheres Designed for Targeted Delivery in Breast Cancer</t>
  </si>
  <si>
    <t>Polymeric, Nanospheres, Breast Cancer</t>
  </si>
  <si>
    <t>Overall, Christopher M</t>
  </si>
  <si>
    <t>Polymers for Proteomic Enrichment of Early Cancer Biomarkers</t>
  </si>
  <si>
    <t>Polymers, Proteomic, Biomarkers</t>
  </si>
  <si>
    <t>Weinfeld, Michael</t>
  </si>
  <si>
    <t>Polynucleotide kinase: its role in DNA single-strand break repair and a potential therapeutic target to enhance radio- and chemotherapy.</t>
  </si>
  <si>
    <t>Polynucleotide kinase, DNA repair, chemotherapy</t>
  </si>
  <si>
    <t>Polynucleotide kinase: its role in DNA strand break repair and a potential therapeutic target to enhance radio- and chemotherapy</t>
  </si>
  <si>
    <t>Polynucleotide kinase/phosphatase: its role in DNA strand break repair and a potential therapeutic target to enhance radio- and chemotherapy</t>
  </si>
  <si>
    <t>Drews, Steven J</t>
  </si>
  <si>
    <t>Population-based seroprevalence of prior infection with COVID-19 in Canada: implications for testing, economic revitalization and population health.</t>
  </si>
  <si>
    <t>seroprevalence, COVID-19, infection</t>
  </si>
  <si>
    <t>Porphysome nanoparticle-enabled minimally invasive transbronchial photothermal ablation of lung cancer</t>
  </si>
  <si>
    <t>Porphysome, nanoparticle, photothermal</t>
  </si>
  <si>
    <t>Portable Intraoperative Fluorescence Imaging for Real-time Margin Assessment and Guidance During Breast Cancer Surgery</t>
  </si>
  <si>
    <t>Intraoperative, Fluorescence Imaging, Breast Cancer</t>
  </si>
  <si>
    <t>Armstrong, Glen D</t>
  </si>
  <si>
    <t>201003ISO</t>
  </si>
  <si>
    <t>Potential of pathogen-specific egg yolk antibodies (IgY) for treating Clostridium difficile infections.</t>
  </si>
  <si>
    <t>IgY, Clostridium difficile, antibodies</t>
  </si>
  <si>
    <t>Wan, Yonghong</t>
  </si>
  <si>
    <t>Potentiation of cancer immunotherapy by HDAC inhibition</t>
  </si>
  <si>
    <t>cancer, immunotherapy, HDAC</t>
  </si>
  <si>
    <t>PP2a protein serine/threonine phosphatase mutations in cancer: functional consequences and clinical relevance</t>
  </si>
  <si>
    <t>PP2a, phosphatase, cancer</t>
  </si>
  <si>
    <t>Burns, Karen E</t>
  </si>
  <si>
    <t>Practice Pattern Variation in Discontinuing Mechanical Ventilation in Critically Ill Adults: An International Study.</t>
  </si>
  <si>
    <t>Mechanical Ventilation, Practice Pattern, Critically Ill</t>
  </si>
  <si>
    <t>Zhang, Boyang</t>
  </si>
  <si>
    <t>Pre-clinical evaluation of micro-tissue injection and self-assembly in vivo for cardiac repairs.</t>
  </si>
  <si>
    <t>micro-tissue, injection, cardiac</t>
  </si>
  <si>
    <t>Routy, Bertrand</t>
  </si>
  <si>
    <t>Prebiotics to modify the gut microbiome and enhance immune checkpoint blockers</t>
  </si>
  <si>
    <t>Prebiotics, microbiome, immune checkpoint</t>
  </si>
  <si>
    <t>Di Martino, Elena S</t>
  </si>
  <si>
    <t>Precision assessment of the abdominal aortic aneurysm: role of heterogeneity at the macro and micro scales</t>
  </si>
  <si>
    <t>abdominal aortic aneurysm, heterogeneity, assessment</t>
  </si>
  <si>
    <t>Brown, Jeremy A</t>
  </si>
  <si>
    <t>Precision Image-Guided Ultrasound Ablation of Brain Tumors: A Longitudinal Pre-Clinical Study using a Newly Developed Platform</t>
  </si>
  <si>
    <t>Image-Guided, Ultrasound, Ablation</t>
  </si>
  <si>
    <t>Precision medicine in breast cancer: from the computer to the clinic</t>
  </si>
  <si>
    <t>precision medicine, breast cancer, computer</t>
  </si>
  <si>
    <t>Tai, Lee-Hwa</t>
  </si>
  <si>
    <t>Precision virotherapy to treat bladder cancer</t>
  </si>
  <si>
    <t>virotherapy, bladder cancer, precision</t>
  </si>
  <si>
    <t>Roskelley, Calvin D</t>
  </si>
  <si>
    <t>Preclinical Development Of Inhibitors Of Podocalyxin-Driven Tumor Progression</t>
  </si>
  <si>
    <t>Podocalyxin, Inhibitors, Tumor</t>
  </si>
  <si>
    <t>Preclinical Development of Natural Product-Based Agents as Anti-Cancer Drugs</t>
  </si>
  <si>
    <t>Natural products, Anti-cancer, Agents</t>
  </si>
  <si>
    <t>Preclinical evaluation of polynucleotide kinase/phosphatase as a therapeutic target.</t>
  </si>
  <si>
    <t>polynucleotide kinase, phosphatase, therapeutic target</t>
  </si>
  <si>
    <t>Preclinical models of natural killer cell-based immunotherapy to cure refractory childhood acute lymphoblastic leukemia</t>
  </si>
  <si>
    <t>natural killer, immunotherapy, leukemia</t>
  </si>
  <si>
    <t>Predicting and preventing brain injury in the antenatal period</t>
  </si>
  <si>
    <t>brain injury, antenatal, prediction</t>
  </si>
  <si>
    <t>Lee, Jacques S</t>
  </si>
  <si>
    <t>Predicting Emergency Delirium with an Interactive Computer Tablet(PreDICT)</t>
  </si>
  <si>
    <t>Emergency, Delirium, Tablet</t>
  </si>
  <si>
    <t>Predicting fragility fractures by non-invasive high-resolution imaging and advanced morphometrics</t>
  </si>
  <si>
    <t>fragility fractures, high-resolution imaging, morphometrics</t>
  </si>
  <si>
    <t>Parent, Stefan</t>
  </si>
  <si>
    <t>Predicting the Progression and Brace Treatment Response in Spinal Deformities with Temporal-based Machine Learning Approaches</t>
  </si>
  <si>
    <t>Spinal Deformities, Machine Learning, Progression</t>
  </si>
  <si>
    <t>Predicting therapy resistance in castration-resistant prostate cancer with circulating tumor DNA</t>
  </si>
  <si>
    <t>therapy resistance, circulating tumor DNA, prostate cancer</t>
  </si>
  <si>
    <t>Prediction and control of seizure onset</t>
  </si>
  <si>
    <t>seizure, prediction, control</t>
  </si>
  <si>
    <t>Prediction and Prevention of glioma recurrence by targeting telomere dependent self-renewal capacity of tumor initiating cells.</t>
  </si>
  <si>
    <t>glioma, telomere, self-renewal</t>
  </si>
  <si>
    <t>Zhang, Yunyan</t>
  </si>
  <si>
    <t>Prediction of multiple sclerosis disability worsening scores using multi-stream deep learning</t>
  </si>
  <si>
    <t>multiple sclerosis, deep learning, disability scoring</t>
  </si>
  <si>
    <t>Mohamed, Ali Bedaiwy</t>
  </si>
  <si>
    <t>Prediction of Pregnancy Outcomes Using Point-of-Care First Trimester Biomarkers in a Recurrent Pregnancy Loss Population</t>
  </si>
  <si>
    <t>Pregnancy, Biomarkers, Prediction</t>
  </si>
  <si>
    <t>Predictive biomarkers for adjuvant immune checkpoint inhibitor therapy in non-small cell lung cancer</t>
  </si>
  <si>
    <t>biomarkers, immune checkpoint, lung cancer</t>
  </si>
  <si>
    <t>Sloboda, Deborah M</t>
  </si>
  <si>
    <t>Pregnancy's Microbial Marvels: Unraveling the Intestinal Secrets of Maternal Metabolic Regulation</t>
  </si>
  <si>
    <t>microbial, intestinal, metabolic</t>
  </si>
  <si>
    <t>Premature carotid atherosclerosis evolution and plaque vulnerability assessed by quantitative ultrasound biomarkers in HIV-infected individuals</t>
  </si>
  <si>
    <t>carotid atherosclerosis, ultrasound biomarkers, plaque vulnerability</t>
  </si>
  <si>
    <t>Awadalla, Philip</t>
  </si>
  <si>
    <t>Preparing for the Recovery from the Effects of the PAndemic on cancer control using Real-world Evidence in Canada (PREPARE-Canada)</t>
  </si>
  <si>
    <t>cancer, real-world evidence, pandemic</t>
  </si>
  <si>
    <t>Falk, Bareket</t>
  </si>
  <si>
    <t>Pressure Sore Risk Management in Children with Cerebral Palsy: Local and Whole Body Thermoregulation Strategies, Material Interface and Care Protocols</t>
  </si>
  <si>
    <t>Pressure sore, thermoregulation, cerebral palsy</t>
  </si>
  <si>
    <t>Healey, Jeff S</t>
  </si>
  <si>
    <t>Prevalence of Sub-Clinical Atrial Fibrillation in Patients with Cardiovascular Risk Factors Detected Using an Implantable Loop Recorder (ASSERT-2)</t>
  </si>
  <si>
    <t>Atrial Fibrillation, Implantable Loop Recorder, Cardiovascular Risk</t>
  </si>
  <si>
    <t>Preventing Adverse Tissue Reactions in Total Hip Replacement, from Mechanisms to New Implant Designs</t>
  </si>
  <si>
    <t>hip replacement, tissue reactions, implant design</t>
  </si>
  <si>
    <t>Langley, Joanne M</t>
  </si>
  <si>
    <t>Preventing Respiratory Syncytial Virus (RSV) infection with a novel antigen-adjuvant platform</t>
  </si>
  <si>
    <t>Respiratory Syncytial Virus, antigen, adjuvant</t>
  </si>
  <si>
    <t>Ducharme, Francine M</t>
  </si>
  <si>
    <t>PRevention of COVID-19 with high dose Oral Vitamin D supplemental Therapy in Essential healthCare Teams (PROTECT)</t>
  </si>
  <si>
    <t>COVID-19, Vitamin D, supplementation</t>
  </si>
  <si>
    <t>Prevention of Pressure Ulcer Formation using Intermittent Electrical Stimulation</t>
  </si>
  <si>
    <t>Pressure ulcer, electrical stimulation, prevention</t>
  </si>
  <si>
    <t>Primary prostate cancer cells as novel models for patient therapy prediction</t>
  </si>
  <si>
    <t>prostate cancer, patient models, therapy prediction</t>
  </si>
  <si>
    <t>Priming Notch-activated basal like breast cancer for immune checkpoint blockade</t>
  </si>
  <si>
    <t>Notch, breast cancer, immune checkpoint</t>
  </si>
  <si>
    <t>Prioritization and functional characterization of regulatory mutations in non-Hodgkin lymphoma</t>
  </si>
  <si>
    <t>regulatory mutations, non-Hodgkin lymphoma, functional characterization</t>
  </si>
  <si>
    <t>Griffith, May C</t>
  </si>
  <si>
    <t>Pro-regeneration biomimetic corneal implants with anti-microbial and anti-inflammatory activity</t>
  </si>
  <si>
    <t>biomimetic, corneal, implants</t>
  </si>
  <si>
    <t>Probing MBL function in oligomannose-specific anti-HIV antibody responses</t>
  </si>
  <si>
    <t>MBL, oligomannose, HIV</t>
  </si>
  <si>
    <t>Probing molecular mechanisms of epithelial ovarian cancer therapy-induced senescence to find biomarkers and drug targets</t>
  </si>
  <si>
    <t>molecular, ovarian cancer, biomarkers</t>
  </si>
  <si>
    <t>Probing the developmental origins of pediatric cerebellar brain cancers using single cell profiling</t>
  </si>
  <si>
    <t>pediatric, cerebellar, single cell profiling</t>
  </si>
  <si>
    <t>Derda, Ratmir</t>
  </si>
  <si>
    <t>Probing the Role of Glycans in Immunooncology using Genetically Encoded "Liquid Glycan Arrays"</t>
  </si>
  <si>
    <t>Glycans, Immunooncology, Arrays</t>
  </si>
  <si>
    <t>Probing the Temporal Dynamics of Tumor Cell Kill and Vascular Damage in Radiation Therapy using Optical Molecular Imaging Techniques</t>
  </si>
  <si>
    <t>Tumor, Radiation, Imaging</t>
  </si>
  <si>
    <t>Ailles, Laurie E</t>
  </si>
  <si>
    <t>Prognostic Biomarkers and Novel Therapies for Oral Squamous Cell Carcinoma Patients</t>
  </si>
  <si>
    <t>Biomarkers, Oral Squamous Cell Carcinoma, Prognostic</t>
  </si>
  <si>
    <t>Prognostic markers and biology of relapsed Hodgkin lymphoma</t>
  </si>
  <si>
    <t>prognostic markers, Hodgkin lymphoma, relapsed</t>
  </si>
  <si>
    <t>Maltais, Franeois</t>
  </si>
  <si>
    <t>Oper Grant:eHealth Innov Partnership Program(eHIPP)-Seniors w Complex Care Needs</t>
  </si>
  <si>
    <t>201506EH2</t>
  </si>
  <si>
    <t>eHealth Innovation Partnership Program (eHIPP): Support of Seniors</t>
  </si>
  <si>
    <t>Projet FreeDom (FreeO2 e domicile). Mise au point et evaluation d'une strategie innovante de prise en charge pour reduire la duree d'hospitalisation au cours des exacerbations de MPOC: retour precoce e domicile en combinant le sevrage et l'ajustement automatise de l'oxygene (FreeO2) et la telemedecine. Benefices pour les patients et pour le systeme de sante.</t>
  </si>
  <si>
    <t>oxygen, telemedicine, COPD</t>
  </si>
  <si>
    <t>Klein, Doug</t>
  </si>
  <si>
    <t>Promoting Health of Older Adults through CHANGE technology</t>
  </si>
  <si>
    <t>Older adults, CHANGE, health</t>
  </si>
  <si>
    <t>Promoting innate immunity to HIV infection by vaccine delivery of third generation RNA analogs</t>
  </si>
  <si>
    <t>innate immunity, HIV, RNA analogs</t>
  </si>
  <si>
    <t>Promoting neural regeneration with stem cell based therapies:  A novel source of autologous human neural stem cells for transplantation</t>
  </si>
  <si>
    <t>neural regeneration, stem cells, transplantation</t>
  </si>
  <si>
    <t>Promotion of breast cancer metastasis by tumour hypoxia and myeloid cells.</t>
  </si>
  <si>
    <t>breast cancer, metastasis, hypoxia</t>
  </si>
  <si>
    <t>201109COP</t>
  </si>
  <si>
    <t>Ghert, Michelle A</t>
  </si>
  <si>
    <t>Prophylactic Antibiotic Regimens in Tumor Surgery (PARITY): A Multi-Center Randomized Controlled Trial</t>
  </si>
  <si>
    <t>Antibiotic, Tumor, Surgery</t>
  </si>
  <si>
    <t>Bosma, Karen J</t>
  </si>
  <si>
    <t>Proportional Assist Ventilation for Minimizing the Duration of Mechanical Ventilation</t>
  </si>
  <si>
    <t>Proportional Assist, Ventilation, Mechanical</t>
  </si>
  <si>
    <t>Prospective Evaluation of Breast-Conserving Surgery Alone in Low Risk Ductal Carcinoma in Situ Defined by a Molecular Expression Assay Combined with Clinico-Pathological Features</t>
  </si>
  <si>
    <t>Breast-Conserving Surgery, Ductal Carcinoma, Molecular Expression</t>
  </si>
  <si>
    <t>Prostate Cancer Metastasis-Associated Serum miRNAs</t>
  </si>
  <si>
    <t>Prostate, Cancer, miRNAs</t>
  </si>
  <si>
    <t>Prostate cancer risk stratification for active surveillance using computer-aided analysis of histopathology and transcriptomics</t>
  </si>
  <si>
    <t>prostate cancer, histopathology, transcriptomics</t>
  </si>
  <si>
    <t>Reznik, Alla</t>
  </si>
  <si>
    <t>Prostate-targeted PET/TRUS dual-modality imaging system for diagnosis and image-guided biopsy.</t>
  </si>
  <si>
    <t>Prostate, PET, TRUS</t>
  </si>
  <si>
    <t>Shen, Garry X</t>
  </si>
  <si>
    <t>Protecting and supporting breastfeeding and lactation equity in Manitoba through community-integrated education and care using novel technologies, culturally safe and gender affirming approaches</t>
  </si>
  <si>
    <t>breastfeeding, lactation, community</t>
  </si>
  <si>
    <t>Protein glycation acts as a substrate-dependent tumorigenic molecular switch in prostate cancer</t>
  </si>
  <si>
    <t>Protein, glycation, prostate cancer</t>
  </si>
  <si>
    <t>Proteogenomics Panorama of Localized Prostate Cancers</t>
  </si>
  <si>
    <t>Proteogenomics, Prostate, Cancers</t>
  </si>
  <si>
    <t>Proteolytic Signatures in Breast Cancer</t>
  </si>
  <si>
    <t>Proteolytic, Signatures, Breast Cancer</t>
  </si>
  <si>
    <t>Psilocybin-assisted therapy for post-traumatic stress disorder (PTSD) in intimate partner violence (IPV) survivors</t>
  </si>
  <si>
    <t>Psilocybin, PTSD, survivors</t>
  </si>
  <si>
    <t>PSMA/CAIX-targeting radioligands to improve the management of clear cell renal cell carcinoma</t>
  </si>
  <si>
    <t>PSMA, CAIX, radioligands</t>
  </si>
  <si>
    <t>Morin, Melanie</t>
  </si>
  <si>
    <t>Punctures physiotherapiques avec aiguilles seches pour la vestibulodynie provoquee: une etude de faisabilite et d'acceptabilite randomisee et contrelee</t>
  </si>
  <si>
    <t>punctures, physiotherapy, vestibulodynia</t>
  </si>
  <si>
    <t>Michalak, Erin</t>
  </si>
  <si>
    <t>Quality of life in bipolar disorder: e-health engagement to move evidence into action.</t>
  </si>
  <si>
    <t>bipolar disorder, e-health, engagement</t>
  </si>
  <si>
    <t>Hardisty, Michael R</t>
  </si>
  <si>
    <t>Quantifying Osteosarcopenia Progression with Imaging Biomarkers in Prostate Cancer</t>
  </si>
  <si>
    <t>Osteosarcopenia, Imaging, Biomarkers</t>
  </si>
  <si>
    <t>Edwards, W. Brent</t>
  </si>
  <si>
    <t>Quantifying the relationship between intracortical remodeling, microdamage, and bone quality in a novel in vivo loading model</t>
  </si>
  <si>
    <t>intracortical remodeling, microdamage, bone quality</t>
  </si>
  <si>
    <t>Lee, Ting-Yim</t>
  </si>
  <si>
    <t>Quantitative CT Myocardial Perfusion Imaging</t>
  </si>
  <si>
    <t>CT, Myocardial Perfusion, Imaging</t>
  </si>
  <si>
    <t>Johnsrude, Ingrid S</t>
  </si>
  <si>
    <t>Quantitative functional magnetic resonance imaging for the management of brain injuries</t>
  </si>
  <si>
    <t>functional magnetic resonance imaging, brain injuries</t>
  </si>
  <si>
    <t>Quantitative Imaging for Epilepsy Surgery</t>
  </si>
  <si>
    <t>Imaging, Epilepsy, Surgery</t>
  </si>
  <si>
    <t>Quantitative Imaging of the Evolution of the Whole-Body Fat Profile in Breast Cancer Survivors</t>
  </si>
  <si>
    <t>Imaging, Fat Profile, Breast Cancer</t>
  </si>
  <si>
    <t>Quantitative magnetic resonance imaging of multiple sclerosis</t>
  </si>
  <si>
    <t>magnetic resonance imaging, multiple sclerosis</t>
  </si>
  <si>
    <t>Quantitative Magnetic Resonance Imaging of Neurodevelopment</t>
  </si>
  <si>
    <t>Magnetic Resonance, Imaging, Neurodevelopment</t>
  </si>
  <si>
    <t>Quantitative Magnetic Resonance Imaging of Pulmonary Edema: Application in Acute Heart Failure</t>
  </si>
  <si>
    <t>Magnetic Resonance Imaging, Pulmonary Edema, Heart Failure</t>
  </si>
  <si>
    <t>Quantitative MRI for Multiple Sclerosis</t>
  </si>
  <si>
    <t>MRI, Multiple Sclerosis</t>
  </si>
  <si>
    <t>Quantitative PSMA Targeted Imaging of Prostate Cancer Patients</t>
  </si>
  <si>
    <t>PSMA, Imaging, Prostate Cancer</t>
  </si>
  <si>
    <t>Quantitative Susceptibility Mapping from Clinical Phase Data</t>
  </si>
  <si>
    <t>Susceptibility, Mapping, Clinical</t>
  </si>
  <si>
    <t>Quantitative Ultrasound for A Priori Breast Cancer Chemoerthapy Response Prediction</t>
  </si>
  <si>
    <t>Ultrasound, Breast Cancer, Chemotherapy</t>
  </si>
  <si>
    <t>Quantitative Ultrasound for A Priori Breast Cancer Chemotherapy Response Prediction</t>
  </si>
  <si>
    <t>Rohling, Robert N</t>
  </si>
  <si>
    <t>Quantitative ultrasound for detecting abnormalities of the placenta</t>
  </si>
  <si>
    <t>ultrasound, placenta, abnormalities</t>
  </si>
  <si>
    <t>Sanati Nezhad, Amir</t>
  </si>
  <si>
    <t>RACE Concussion Study: Rapid, accurate cost-effective assessment of fluid biomarkers using a hand-held biosensor in patients with concussion</t>
  </si>
  <si>
    <t>biosensor, biomarkers, concussion</t>
  </si>
  <si>
    <t>Dawson, Laura A</t>
  </si>
  <si>
    <t>Radiation Therapy and Sorafenib for Primary and Metastatic Liver Cancer</t>
  </si>
  <si>
    <t>Radiation therapy, Sorafenib, Liver cancer</t>
  </si>
  <si>
    <t>Radiation-free neuronavigation system for spinal tumor surgery: an intraoperative augmented reality guided surgery platform</t>
  </si>
  <si>
    <t>neuronavigation, augmented reality, spinal tumor</t>
  </si>
  <si>
    <t>Guerin, Brigitte</t>
  </si>
  <si>
    <t>Radiolabelled peptides to improve cancer diagnosis by positron emission tomography / Peptides radiomarques pour ameliorer le diagnostic du cancer par tomographie e emission de positron</t>
  </si>
  <si>
    <t>radiolabelled peptides, cancer diagnosis, positron emission tomography</t>
  </si>
  <si>
    <t>Harding, Shane M</t>
  </si>
  <si>
    <t>Radiotherapy-driven remodelling of the tumour microenvironment dictates response to immune checkpoint blockade</t>
  </si>
  <si>
    <t>Radiotherapy, tumor microenvironment, immune checkpoint</t>
  </si>
  <si>
    <t>Raman Spectroscopy Analysis to Improve the Validation of Cell Therapy Manufacturing Processes</t>
  </si>
  <si>
    <t>Raman Spectroscopy, Cell Therapy, Manufacturing</t>
  </si>
  <si>
    <t>Jain, Arsh K</t>
  </si>
  <si>
    <t>Randomized Controlled Trial of Bimodal Solution for Peritoneal Dialysis: 24-Hour Ultra-Filtration Efficiency Using Bimodal PD Solutions During the Long Dwell</t>
  </si>
  <si>
    <t>Peritoneal Dialysis, Ultra-Filtration, Bimodal Solutions</t>
  </si>
  <si>
    <t>Feld, Jordan J</t>
  </si>
  <si>
    <t>Randomized controlled trial of the efficacy of pre-emptive tenofovir to prevent hepatitis B reactivation in patients who are anti-HBc antibody positive receiving curative intent rituximab-based chemotherapy for non-Hodgkin's lympohma</t>
  </si>
  <si>
    <t>tenofovir, hepatitis B, rituximab</t>
  </si>
  <si>
    <t>Rapid bench-to-human development of safe and effective aerosol vaccine strategies against Covid-19</t>
  </si>
  <si>
    <t>aerosol, vaccine, Covid-19</t>
  </si>
  <si>
    <t>Chiew, Mark</t>
  </si>
  <si>
    <t>Rapid Diagnostic Imaging of Brain Metastases using Computational MRI</t>
  </si>
  <si>
    <t>Diagnostic, Imaging, MRI</t>
  </si>
  <si>
    <t>Rapid gene expression and protein profiling for transplantation medicine</t>
  </si>
  <si>
    <t>gene expression, protein profiling, transplantation</t>
  </si>
  <si>
    <t>Rapid high sensitivity and specificity diagnosis of melanoma with Picosecond infrared laser mass spectrometry</t>
  </si>
  <si>
    <t>melanoma, infrared laser, mass spectrometry</t>
  </si>
  <si>
    <t>Scollie, Susan D</t>
  </si>
  <si>
    <t>Rapid measures of speech-evoked brainstem activity in infants who have hearing loss: Assessing hearing aid benefit for speech sounds.</t>
  </si>
  <si>
    <t>speech, brainstem, hearing loss</t>
  </si>
  <si>
    <t>Lewis, John D</t>
  </si>
  <si>
    <t>Rapid Prototyping and Deployment of a Therapeutic Pan-Coronavirus Fusogenix DNA Vaccine Engineered to Eliminate ADE</t>
  </si>
  <si>
    <t>Prototyping, DNA vaccine, Fusogenix</t>
  </si>
  <si>
    <t>Rapidly-Gelling, Guanosine 5' Diphosphate-Crosslinked Injectable Chitosan Sponges to Promote Oligodendrocyte Progenitor Cells' Differentiation Post-Spinal Cord Injuries</t>
  </si>
  <si>
    <t>Guanosine, Chitosan, Sponges</t>
  </si>
  <si>
    <t>Rational Design of Lipid Nanoparticle Systems for mRNA Delivery</t>
  </si>
  <si>
    <t>Lipid Nanoparticle, mRNA, Delivery</t>
  </si>
  <si>
    <t>Real-time Breast Cancer Surgery Navigation</t>
  </si>
  <si>
    <t>Breast Cancer, Surgery, Navigation</t>
  </si>
  <si>
    <t>Real-Time In Vivo Oral Pathology for Clinical Decision Making</t>
  </si>
  <si>
    <t>Real-Time, In Vivo, Oral Pathology</t>
  </si>
  <si>
    <t>Real-time microscopy during high-frequency mechanostimulation of living cells</t>
  </si>
  <si>
    <t>microscopy, mechanostimulation, cells</t>
  </si>
  <si>
    <t>Real-time molecular-imaging guidance of breast conserving surgery</t>
  </si>
  <si>
    <t>molecular-imaging, breast, surgery</t>
  </si>
  <si>
    <t>Cete, Daniel</t>
  </si>
  <si>
    <t>Real-time multimodal tools for high resolution image-guided surgery and better treatment of Parkinson's disease</t>
  </si>
  <si>
    <t>multimodal, image-guided, Parkinson's disease</t>
  </si>
  <si>
    <t>Pillai Riddell, Rebecca Rita E</t>
  </si>
  <si>
    <t>Rebooting Infant Pain Assessment: Using Machine Learning to Exponentially Improve Neonatal Intensive Care Unit Practice.</t>
  </si>
  <si>
    <t>Machine Learning, Neonatal, Pain Assessment</t>
  </si>
  <si>
    <t>Leung, Brendan M</t>
  </si>
  <si>
    <t>Reconstructing the microbe-host interface in an advanced bioprinted co-culture system to study microbial community contributions to chemotherapy-induced oral mucositis</t>
  </si>
  <si>
    <t>microbe-host, bioprinted, oral mucositis</t>
  </si>
  <si>
    <t>Reconstruction de tissus urologiques par genie tissulaire.</t>
  </si>
  <si>
    <t>tissus, g√©nie tissulaire</t>
  </si>
  <si>
    <t>Gallo, Marco</t>
  </si>
  <si>
    <t>Recurrent 3D genome features in PFA ependymoma</t>
  </si>
  <si>
    <t>3D genome, PFA ependymoma, recurrent</t>
  </si>
  <si>
    <t>McLaughlin, Kelsey M</t>
  </si>
  <si>
    <t>Redefining the diagnosis and treatment of hypertension in pregnancy through the integration of placental growth factor (PlGF) testing.</t>
  </si>
  <si>
    <t>hypertension, pregnancy, placental growth factor</t>
  </si>
  <si>
    <t>Redefining the paradigm for surveillance in patients with low-grade glioma using saturation transfer magnetic resonance imaging</t>
  </si>
  <si>
    <t>glioma, magnetic resonance imaging, saturation transfer</t>
  </si>
  <si>
    <t>Koritzinsky, Marianne</t>
  </si>
  <si>
    <t>Redox homeostasis in pancreatic cancer - molecular mechanisms and combined modalities</t>
  </si>
  <si>
    <t>Redox, pancreatic cancer, homeostasis</t>
  </si>
  <si>
    <t>Lewis, Ian A</t>
  </si>
  <si>
    <t>Reducing the burden of antimicrobial resistance via rapid diagnosis of urinary tract infections</t>
  </si>
  <si>
    <t>antimicrobial resistance, rapid diagnosis, urinary tract infections</t>
  </si>
  <si>
    <t>Langlois, Robert</t>
  </si>
  <si>
    <t>Reducing vibrations to improve infant patient safety during transportation</t>
  </si>
  <si>
    <t>vibrations, infant, transportation</t>
  </si>
  <si>
    <t>Fittipaldi, Nahuel V</t>
  </si>
  <si>
    <t>Refining processes to maximize the provision of donor human milk rich in nutrients and bioactive components: An integrated multidisciplinary approach at a human milk bank serving critically-ill neonates.</t>
  </si>
  <si>
    <t>donor human milk, bioactive components, neonates</t>
  </si>
  <si>
    <t>Refining the clinical utility of circulating tumour DNA in metastatic bladder cancer</t>
  </si>
  <si>
    <t>circulating tumour DNA, metastatic bladder cancer</t>
  </si>
  <si>
    <t>Penn, Linda Z</t>
  </si>
  <si>
    <t>Regulating MYC Oncoprotein Stability as an Anti-Cancer Strategy</t>
  </si>
  <si>
    <t>MYC, Oncoprotein, Stability</t>
  </si>
  <si>
    <t>Blank, Volker</t>
  </si>
  <si>
    <t>Regulation and function of NFE2L3: linking transcription factor activity to carcinogenesis.</t>
  </si>
  <si>
    <t>NFE2L3, transcription factor, carcinogenesis</t>
  </si>
  <si>
    <t>Regulation and function of NFE2L3: linking transcription factor activity to colorectal cancer</t>
  </si>
  <si>
    <t>NFE2L3, transcription factor, colorectal cancer</t>
  </si>
  <si>
    <t>Gendron, Fernand-Pierre</t>
  </si>
  <si>
    <t>Regulation and role of P2Y6 nucleotide receptor in colorectal cancer</t>
  </si>
  <si>
    <t>P2Y6, nucleotide receptor, colorectal cancer</t>
  </si>
  <si>
    <t>Kaartinen, Mari T</t>
  </si>
  <si>
    <t>Regulation of adipogenesis by osteocalcin</t>
  </si>
  <si>
    <t>adipogenesis, osteocalcin</t>
  </si>
  <si>
    <t>Regulation of antigen processing machinery in carcinomas</t>
  </si>
  <si>
    <t>antigen processing, machinery, carcinomas</t>
  </si>
  <si>
    <t>Brunette, Donald M</t>
  </si>
  <si>
    <t>Regulation of cell behaviour on implants by surface topography</t>
  </si>
  <si>
    <t>cell, surface, topography</t>
  </si>
  <si>
    <t>Regulation of FoxO protein and cMYC function by the vitamin D receptor</t>
  </si>
  <si>
    <t>FoxO, cMYC, vitamin D receptor</t>
  </si>
  <si>
    <t>Sorensen, Poul H</t>
  </si>
  <si>
    <t>Regulation of fusion oncoprotein stability by the IGF1 receptor axis</t>
  </si>
  <si>
    <t>fusion,oncoprotein,IGF1 receptor</t>
  </si>
  <si>
    <t>Zaph, Colby</t>
  </si>
  <si>
    <t>Regulation of intestinal homeostasis and cancer by the lysine methyltransferase Set7</t>
  </si>
  <si>
    <t>intestinal, methyltransferase, cancer</t>
  </si>
  <si>
    <t>Regulation of Leukemia Stem Cell Activity by Signaling through PKC[theta]</t>
  </si>
  <si>
    <t>Leukemia, Stem Cell, PKC theta</t>
  </si>
  <si>
    <t>Rahim, Mir Munir Ahmed</t>
  </si>
  <si>
    <t>Regulation of natural killer cell-mediated immune response in breast cancer</t>
  </si>
  <si>
    <t>natural killer, immune response, breast cancer</t>
  </si>
  <si>
    <t>Lees-Miller, Susan P</t>
  </si>
  <si>
    <t>Regulation of PNKP and XRCC4 in non-homologous end-joining by dynamic, reversible protein phosphorylation.</t>
  </si>
  <si>
    <t>PNKP, XRCC4, end-joining</t>
  </si>
  <si>
    <t>Richards, Carl D</t>
  </si>
  <si>
    <t>Regulation of stromal cell support of cancer in lungs</t>
  </si>
  <si>
    <t>stromal cells, cancer, lungs</t>
  </si>
  <si>
    <t>Regulation of tumourigenesis and tumour cell metabolism by the energy sensor AMPK</t>
  </si>
  <si>
    <t>tumourigenesis, cell metabolism, AMPK</t>
  </si>
  <si>
    <t>Drobetsky, Elliot A</t>
  </si>
  <si>
    <t>Regulation of UV Damage Repair by the ATR-mediated DNA Damage Checkpoint in Malignant Melanoma</t>
  </si>
  <si>
    <t>UV damage, DNA repair, melanoma</t>
  </si>
  <si>
    <t>Brodt, Pnina</t>
  </si>
  <si>
    <t>Regulatory circuits controlling the immune microenvironment of liver metastases</t>
  </si>
  <si>
    <t>regulatory circuits, immune microenvironment, liver metastases</t>
  </si>
  <si>
    <t>Regulatory control of pluripotent cell identity and fate</t>
  </si>
  <si>
    <t>regulatory control, pluripotent cell, cell identity</t>
  </si>
  <si>
    <t>Regulatory polymorphisms in apoptosis genes and susceptibility to childhood leukemia</t>
  </si>
  <si>
    <t>polymorphisms, apoptosis, leukemia</t>
  </si>
  <si>
    <t>Quach-Thanh, Caroline</t>
  </si>
  <si>
    <t>REinfection in COVid-19 Estimation of Risk (RECOVER)</t>
  </si>
  <si>
    <t>COVID-19, Reinfection, Risk</t>
  </si>
  <si>
    <t>Busque, Lambert</t>
  </si>
  <si>
    <t>Relationship between clonal architecture of aging hematopoiesis and the risk of developing age-associated myeloid cancers.</t>
  </si>
  <si>
    <t>clonal architecture, hematopoiesis, myeloid cancers</t>
  </si>
  <si>
    <t>Relaxation Mapping for the Clinic: Application to Multiple Sclerosis</t>
  </si>
  <si>
    <t>Relaxation, Mapping, Multiple Sclerosis</t>
  </si>
  <si>
    <t>Remodeling of the tumor microenvironment by CD73: a therapeutic target</t>
  </si>
  <si>
    <t>tumor microenvironment, CD73, remodeling</t>
  </si>
  <si>
    <t>Reparation des lesions des nerfs peripheriques par genie tissulaire</t>
  </si>
  <si>
    <t>nerfs, tissulaire, lesions</t>
  </si>
  <si>
    <t>Semple, John L</t>
  </si>
  <si>
    <t>Replacing ambulatory clinic follow-up with remote home monitoring using smartphones in breast reconstruction patients: Is it cost-effective?</t>
  </si>
  <si>
    <t>remote monitoring, smartphones, breast reconstruction</t>
  </si>
  <si>
    <t>Replicative stress as a primary determinant of chemotherapeutic outcome in ovarian cancer</t>
  </si>
  <si>
    <t>replicative stress, chemotherapeutic, ovarian cancer</t>
  </si>
  <si>
    <t>Ward, Brian J</t>
  </si>
  <si>
    <t>Repurposing an Attenuated Salmonella typhimurium as a Novel Vector for Mucosal Vaccine Delivery</t>
  </si>
  <si>
    <t>Salmonella, vector, vaccine</t>
  </si>
  <si>
    <t>Repurposing Metformin to Target TET2 Mutation Driven Clonal Hematopoiesis and Malignant Transformation</t>
  </si>
  <si>
    <t>Metformin, TET2, Hematopoiesis</t>
  </si>
  <si>
    <t>Li, Ren-Ke</t>
  </si>
  <si>
    <t>Rescue Electrical Conduction of Heart Scar Tissue to Diminish Cardiac Arrhythmia</t>
  </si>
  <si>
    <t>Electrical conduction, heart scar tissue, arrhythmia</t>
  </si>
  <si>
    <t>Rescuing Neurovascular Network Function with Transcranial Neuromodulation</t>
  </si>
  <si>
    <t>Neurovascular, Neuromodulation, Transcranial</t>
  </si>
  <si>
    <t>Restoring normal gait: a disruptive assistive technology</t>
  </si>
  <si>
    <t>Gait, assistive, technology</t>
  </si>
  <si>
    <t>Reversible inhibitors of the N-terminal domain of the androgen receptor</t>
  </si>
  <si>
    <t>inhibitors, androgen receptor, N-terminal</t>
  </si>
  <si>
    <t>Revisiting the Pathophysiology of Immune Thrombocytopenic Purpura in the Era of Thrombopoietin Mimetics</t>
  </si>
  <si>
    <t>Immune Thrombocytopenic Purpura, Thrombopoietin Mimetics</t>
  </si>
  <si>
    <t>Rewiring the Metabolic Ecosystem to Improve Cellular Immunotherapy</t>
  </si>
  <si>
    <t>metabolic, ecosystem, immunotherapy</t>
  </si>
  <si>
    <t>RF Time Series Flashlight for Targeted Prostate Biopsy</t>
  </si>
  <si>
    <t>RF, Time Series, Biopsy</t>
  </si>
  <si>
    <t>Exner, Derek V</t>
  </si>
  <si>
    <t>Risk Estimation Following Infarction Noninvasive Evaluation ICD efficacy (REFINE ICD) Trial.</t>
  </si>
  <si>
    <t>Risk, Infarction, Evaluation</t>
  </si>
  <si>
    <t>Adams, Kimberley D</t>
  </si>
  <si>
    <t>Robotic interface with Haptic Guidance and Artificial Intelligence for People with Disabilities</t>
  </si>
  <si>
    <t>Robotic, Haptic, Artificial Intelligence</t>
  </si>
  <si>
    <t>Robotically assisted real-time metabolomic navigation of breast conserving surgery</t>
  </si>
  <si>
    <t>robotically, metabolomic, navigation</t>
  </si>
  <si>
    <t>Robust vascularization using modular tissue engineering</t>
  </si>
  <si>
    <t>vascularization, tissue engineering, modular</t>
  </si>
  <si>
    <t>Role of APLF in DNA damage signaling, DNA repair and in the maintenance of genome stability</t>
  </si>
  <si>
    <t>APLF,DNA repair,genome stability</t>
  </si>
  <si>
    <t>Role of Bone Marrow Derived Progenitor Cells in Brain Tumor Neovascularizatoin</t>
  </si>
  <si>
    <t>Bone Marrow, Progenitor Cells, Brain Tumor</t>
  </si>
  <si>
    <t>Godbout, Roseline</t>
  </si>
  <si>
    <t>Role of Brain Fatty Acid-binding Protein in Malignant Glioma Progression</t>
  </si>
  <si>
    <t>Brain, Fatty Acid-binding Protein, Glioma</t>
  </si>
  <si>
    <t>Philip, Anie</t>
  </si>
  <si>
    <t>Role of CD109 in regulating cellular signaling and responses in skin and oral squamous cell carcinoma cells</t>
  </si>
  <si>
    <t>CD109, cellular signaling, squamous cell carcinoma</t>
  </si>
  <si>
    <t>Role of chromatin remodeling in the genesis of pediatric and young adult astrocytomas</t>
  </si>
  <si>
    <t>chromatin remodeling, astrocytomas, genesis</t>
  </si>
  <si>
    <t>Mazroui, Rachid</t>
  </si>
  <si>
    <t>Role of eIF4E in stress granules formation and the associated resistance to chemotherapy</t>
  </si>
  <si>
    <t>eIF4E, stress granules, chemotherapy</t>
  </si>
  <si>
    <t>Role of endoglin in aberrant TGF-beta signaling in scleroderma</t>
  </si>
  <si>
    <t>endoglin, TGF-beta, scleroderma</t>
  </si>
  <si>
    <t>Bouchard, Maxime L</t>
  </si>
  <si>
    <t>Role of Gata3 in prostate stem cells and cancer</t>
  </si>
  <si>
    <t>Gata3, prostate, stem cells</t>
  </si>
  <si>
    <t>Role of Gfi1 as a modulator of the ATM/DNA-PK DNA damage response pathway</t>
  </si>
  <si>
    <t>Gfi1, ATM, DNA-PK</t>
  </si>
  <si>
    <t>Gregorieff, Alex</t>
  </si>
  <si>
    <t>Role of Hippo signaling in myofibroblasts during gut regeneration and tumorigenesis.</t>
  </si>
  <si>
    <t>Hippo signaling, myofibroblasts, gut regeneration</t>
  </si>
  <si>
    <t>Taylor, Michael D</t>
  </si>
  <si>
    <t>Role of Histone Lysine Methylation in Medulloblastoma and Cerebellar Development</t>
  </si>
  <si>
    <t>Histone, Methylation, Medulloblastoma</t>
  </si>
  <si>
    <t>Role of HK2 in Regulating Brain Tumor Metabolism and Angiogenesis</t>
  </si>
  <si>
    <t>HK2, Brain Tumor, Angiogenesis</t>
  </si>
  <si>
    <t>201303COP</t>
  </si>
  <si>
    <t>Role of ILK/Rictor complex in the TGF-b and Hippo signaling pathway mediated EMT, cancer stem cell function and tumor progression</t>
  </si>
  <si>
    <t>ILK, Rictor, TGF-b</t>
  </si>
  <si>
    <t>Kopp, Janel</t>
  </si>
  <si>
    <t>Role of inflammation during the genesis of intraductal papillary mucinous neoplasia associated pancreatic ductal adenocarcinoma</t>
  </si>
  <si>
    <t>inflammation, intraductal papillary mucinous neoplasia, pancreatic ductal adenocarcinoma</t>
  </si>
  <si>
    <t>Antoniou, John</t>
  </si>
  <si>
    <t>Role of Link N in Osteoarthritis</t>
  </si>
  <si>
    <t>Link N, Osteoarthritis</t>
  </si>
  <si>
    <t>Ilangumaran, Subburaj</t>
  </si>
  <si>
    <t>Project - PA: Cancer Prevention and Early Detection of Hard to Treat Cancers</t>
  </si>
  <si>
    <t>202104PQQ</t>
  </si>
  <si>
    <t>Role of SOCS1 in maintaining prostate homeostasis and in suppressing malignant growth</t>
  </si>
  <si>
    <t>SOCS1, prostate, malignancy</t>
  </si>
  <si>
    <t>Role of the AMP-activated protein kinase (AMPK) in stress resistance and cancer</t>
  </si>
  <si>
    <t>AMP-activated protein kinase, stress resistance, cancer</t>
  </si>
  <si>
    <t>Spicer, Jonathan D</t>
  </si>
  <si>
    <t>Role of the circadian rhythm in the regulation of the tumor microenvironment of non-small cell cancer</t>
  </si>
  <si>
    <t>circadian rhythm, tumor microenvironment, non-small cell cancer</t>
  </si>
  <si>
    <t>Postovit, Lynne-Marie</t>
  </si>
  <si>
    <t>Role Of The Embryonic Morphpogen Nodal In The Regulation Of Breast Cancer Invasion</t>
  </si>
  <si>
    <t>embryonic, Nodal, breast cancer</t>
  </si>
  <si>
    <t>Role of the microenvironment in liver metastasis</t>
  </si>
  <si>
    <t>microenvironment, liver, metastasis</t>
  </si>
  <si>
    <t>Role of the RAS Pathway Activation on the Biology and Drug Response of Acute Myeloid Leukemias</t>
  </si>
  <si>
    <t>RAS, Leukemias, Pathway</t>
  </si>
  <si>
    <t>Role of Thrombopoietin Receptor (TPO-R) Signaling in TET2 Mutation-Driven Clonal Hematopoiesis</t>
  </si>
  <si>
    <t>Thrombopoietin, Receptor, TET2</t>
  </si>
  <si>
    <t>Role of trained immunity in the response to BCG immunotherapy of bladder cancer</t>
  </si>
  <si>
    <t>trained immunity, BCG, bladder cancer</t>
  </si>
  <si>
    <t>Leng, Roger P</t>
  </si>
  <si>
    <t>Role of USP7 and Potential Therapy in Human Cancers.</t>
  </si>
  <si>
    <t>USP7, Cancer, Therapy</t>
  </si>
  <si>
    <t>Bremner, Rod</t>
  </si>
  <si>
    <t>Role of YAP and TAZ in Acute Myeloid Leukemia</t>
  </si>
  <si>
    <t>YAP, TAZ, Leukemia</t>
  </si>
  <si>
    <t>Roles of carcinoma associated fibroblasts and tumor stromal genes in lung cancer</t>
  </si>
  <si>
    <t>carcinoma associated fibroblasts, tumor stromal genes, lung cancer</t>
  </si>
  <si>
    <t>Craig, Andrew W</t>
  </si>
  <si>
    <t>Roles of F-BAR proteins in lung cancer progression and metastases</t>
  </si>
  <si>
    <t>F-BAR, lung cancer, metastases</t>
  </si>
  <si>
    <t>Okada, Hitoshi</t>
  </si>
  <si>
    <t>Roles of Histone Demethylases in Estrogen Receptor Signaling Network</t>
  </si>
  <si>
    <t>Histone Demethylases, Estrogen Receptor, Signaling</t>
  </si>
  <si>
    <t>Shah, Girish M</t>
  </si>
  <si>
    <t>201303IMH</t>
  </si>
  <si>
    <t>Roles of poly(ADP-ribose)polymerase-1 in cellular responses to ultraviolet radiations</t>
  </si>
  <si>
    <t>poly(ADP-ribose)polymerase-1, cellular responses, ultraviolet radiations</t>
  </si>
  <si>
    <t>Baracos, Vickie E</t>
  </si>
  <si>
    <t>Sarcopenia: a predictor of cancer treatment response, treatment toxicity &amp; drug metabolism</t>
  </si>
  <si>
    <t>Sarcopenia, cancer, metabolism</t>
  </si>
  <si>
    <t>Université du Québec à Montréal</t>
  </si>
  <si>
    <t>SARS-CoV-2 immunization strategies to enhance protective immunity with reduced risk of antibody-dependent enhancement (ADE)</t>
  </si>
  <si>
    <t>SARS-CoV-2, immunization, antibody-dependent enhancement</t>
  </si>
  <si>
    <t>Wilson, Joyce A</t>
  </si>
  <si>
    <t>SARS-CoV2 therapeutic discovery through genetic screens and repurposing drugs that target essential virus-host interactions.</t>
  </si>
  <si>
    <t>SARS-CoV2, genetic screens, virus-host interactions</t>
  </si>
  <si>
    <t>Saturation Transfer MRI as a biomarker of tumour response to radiation treatment in patients with glioblastoma multiforme</t>
  </si>
  <si>
    <t>Saturation Transfer, MRI, glioblastoma</t>
  </si>
  <si>
    <t>Project Grant - PA: Nutrition, Metabolism and Diabetes</t>
  </si>
  <si>
    <t>201809PJ9</t>
  </si>
  <si>
    <t>Scalable production, delivery and assessment of human pseudoislets for research and clinical applications</t>
  </si>
  <si>
    <t>pseudoislets, production, delivery</t>
  </si>
  <si>
    <t>Scanning micro-cantilever based catheter for in vivo imaging</t>
  </si>
  <si>
    <t>micro-cantilever, catheter, imaging</t>
  </si>
  <si>
    <t>McCulloch, Christopher A</t>
  </si>
  <si>
    <t>Screening Assay for Inhibition of Cancer Cell Invasion</t>
  </si>
  <si>
    <t>Cancer, Cell Invasion, Assay</t>
  </si>
  <si>
    <t>Moriarty, Tara J</t>
  </si>
  <si>
    <t>Screening technologies for identification of bacterial vascular dissemination inhibitors and testing of novel antibiotic-complementing therapeutic molecules</t>
  </si>
  <si>
    <t>bacterial, vascular, inhibitors</t>
  </si>
  <si>
    <t>Secondary electron collision cross sections for micro- and nano-dosimetry of emerging radiation and chemo-radiation therapies.</t>
  </si>
  <si>
    <t>electron, dosimetry, radiation</t>
  </si>
  <si>
    <t>Secondary electron collision cross sections for use in radiotherapy and radioprotection/Sections efficaces de diffusion des electrons secondaires pour utilisation en radiotherapie et radioprotection.</t>
  </si>
  <si>
    <t>electron, radiotherapy, radioprotection</t>
  </si>
  <si>
    <t>Logan, Alexander G</t>
  </si>
  <si>
    <t>Security and authentication for large scale deployment of disease-specific applications for patients with serious and complex renal disease.</t>
  </si>
  <si>
    <t>security, authentication, renal disease</t>
  </si>
  <si>
    <t>Selective Brain Hypothermia via Intranasal Cooling to Limit Brain Injury  Post Cardiac Arrest</t>
  </si>
  <si>
    <t>brain injury, hypothermia, intranasal cooling</t>
  </si>
  <si>
    <t>Selective Brain Hypothermia via Intranasal Cooling to Limit Brain Injury Post Cardiac Arrest</t>
  </si>
  <si>
    <t>brain, hypothermia, cooling</t>
  </si>
  <si>
    <t>Selective laser-mediated gene therapy for ocular diseases</t>
  </si>
  <si>
    <t>laser, gene, ocular</t>
  </si>
  <si>
    <t>Venturutti, Leandro</t>
  </si>
  <si>
    <t>Self reactivity as a driver of extranodal diffuse large B-cell lymphoma transformation and progression.</t>
  </si>
  <si>
    <t>self reactivity, extranodal, B-cell lymphoma</t>
  </si>
  <si>
    <t>Dzavik, Vladimir</t>
  </si>
  <si>
    <t>Semaglutide to reduce Myocardial injury in PATIents with COVID-19 (SEMPATICO): An exploratory randomized controlled clinical trial</t>
  </si>
  <si>
    <t>Semaglutide, Myocardial injury, COVID-19</t>
  </si>
  <si>
    <t>Sensing and modulating neuronal activity from the spinal epidural space with optical fibers</t>
  </si>
  <si>
    <t>neuronal activity, optical fibers, epidural space</t>
  </si>
  <si>
    <t>Beaulieu, Jean-Franeois</t>
  </si>
  <si>
    <t>Set-up of a mass spectrometry-based stool test for colorectal cancer screening</t>
  </si>
  <si>
    <t>mass spectrometry, stool test, colorectal cancer</t>
  </si>
  <si>
    <t>Shedding light on SBRT: functional optical coherence tomography and MR imaging for in vivo monitoring of high-dose few-fractions radiotherapy of pancreatic cancer</t>
  </si>
  <si>
    <t>optical coherence tomography, MR imaging, radiotherapy</t>
  </si>
  <si>
    <t>Shifting the Paradigm in Home Physiotherapy: Implementation and Implications of Adherence Monitoring with Artificial Intelligence</t>
  </si>
  <si>
    <t>Physiotherapy, Adherence Monitoring, Artificial Intelligence</t>
  </si>
  <si>
    <t>Leung, Shuk On A</t>
  </si>
  <si>
    <t>Short-term patient-derived ovarian cancer organoids for frontline drug sensitivity testing</t>
  </si>
  <si>
    <t>ovarian cancer, organoids, drug sensitivity</t>
  </si>
  <si>
    <t>Bromme, Dieter</t>
  </si>
  <si>
    <t>Side effect-free cathepsin K targeting drugs for skeletal diseases</t>
  </si>
  <si>
    <t>cathepsin K, skeletal diseases, targeting</t>
  </si>
  <si>
    <t>Waisman, David M</t>
  </si>
  <si>
    <t>Significance of S100A10 (p11) in breast cancer tumor progression</t>
  </si>
  <si>
    <t>S100A10, breast cancer, tumor progression</t>
  </si>
  <si>
    <t>Gates, Byron D</t>
  </si>
  <si>
    <t>Simultaneous chemotherapy and radiation treatment in solid tumours: A new platform to promote synergy and therapeutic efficacy with radiation triggered drug release</t>
  </si>
  <si>
    <t>chemotherapy, radiation, drug release</t>
  </si>
  <si>
    <t>Single-cell imaging affinity proteomics of microfiltered circulating tumor cells: Uncovering biomarkers in colorectal cancer liver metastasis</t>
  </si>
  <si>
    <t>single-cell imaging, proteomics, circulating tumor cells</t>
  </si>
  <si>
    <t>Single-plane dynamic radiography for quantification of bone and joint motion</t>
  </si>
  <si>
    <t>radiography, bone, joint</t>
  </si>
  <si>
    <t>siRNA Therapy for Leukemia: Synthetic Biomaterials to Deliver siRNA and Curb Uncontrolled Growth of Leukemic Cells</t>
  </si>
  <si>
    <t>siRNA, Biomaterials, Leukemia</t>
  </si>
  <si>
    <t>Chung, Hyun-Joong</t>
  </si>
  <si>
    <t>Skin Adhesive Smart Patch to Monitor Hydration Status in Real-Time</t>
  </si>
  <si>
    <t>Skin, Adhesive, Hydration</t>
  </si>
  <si>
    <t>Veillette, Andre</t>
  </si>
  <si>
    <t>SLAMF7 in innate immune cells and anti-cancer immunotherapy</t>
  </si>
  <si>
    <t>SLAMF7, immune cells, immunotherapy</t>
  </si>
  <si>
    <t>Mwale, Fackson</t>
  </si>
  <si>
    <t>Small molecule inhibitor of IL-1b signaling in degenerative disc disease</t>
  </si>
  <si>
    <t>small molecule, IL-1b, degenerative disc</t>
  </si>
  <si>
    <t>Small Molecule Inhibitors Against a Novel Radio- and Chemo-sensitizing Target for Human Cancers</t>
  </si>
  <si>
    <t>Small molecule, Inhibitors, Cancers</t>
  </si>
  <si>
    <t>Mui, Alice L</t>
  </si>
  <si>
    <t>Small molecule SHIP agonists for inhibiting the phosphoinositide 3-kinase pathway</t>
  </si>
  <si>
    <t>small molecule, SHIP, phosphoinositide 3-kinase</t>
  </si>
  <si>
    <t>SNF2 Histone Linker PHD RING Helicase as a novel tumor suppressor gene and risk factor in lung adenocarcinoma development</t>
  </si>
  <si>
    <t>SNF2, histone, adenocarcinoma</t>
  </si>
  <si>
    <t>Pilote, Louise</t>
  </si>
  <si>
    <t>Social Prescribing to Improve Adherence and Outcomes in Women with Heart Failure</t>
  </si>
  <si>
    <t>Social prescribing, heart failure, adherence</t>
  </si>
  <si>
    <t>Somatic mutations in the JAK-STAT and IRF signaling pathways in Non-Hodgkin lymphoma</t>
  </si>
  <si>
    <t>JAK-STAT, IRF, lymphoma</t>
  </si>
  <si>
    <t>Somatic mutations in the JAK-STAT signaling pathway in primary mediastinal large B cell lymphoma</t>
  </si>
  <si>
    <t>JAK-STAT, mutations, lymphoma</t>
  </si>
  <si>
    <t>Specific inhibitors of deubiquitinating enzymes</t>
  </si>
  <si>
    <t>deubiquitinating enzymes, inhibitors</t>
  </si>
  <si>
    <t>Specific inhibitors of ubiquitin ligases and deubiquitinases</t>
  </si>
  <si>
    <t>ubiquitin, ligases, deubiquitinases</t>
  </si>
  <si>
    <t>Sinton, David A</t>
  </si>
  <si>
    <t>Sperm Olympics: Selecting 1 in 100,000 for Intracytoplasmic Sperm Injection</t>
  </si>
  <si>
    <t>Sperm, Intracytoplasmic, Injection</t>
  </si>
  <si>
    <t>Wald, Ron</t>
  </si>
  <si>
    <t>STandard versus Accelerated initiation of Renal Replacement Therapy in Acute Kidney Injury (STARRT-AKI)</t>
  </si>
  <si>
    <t>Renal Replacement Therapy, Acute Kidney Injury, STARRT-AKI</t>
  </si>
  <si>
    <t>Static and Dynamic 3D Computer Model of Pre-Invasive Neoplastic Epithelial Tissues</t>
  </si>
  <si>
    <t>3D modeling, Neoplastic tissues, Epithelial</t>
  </si>
  <si>
    <t>Brinkman, Ryan</t>
  </si>
  <si>
    <t>Operating Grant: Priority Announcement (IHSPR)</t>
  </si>
  <si>
    <t>200809IHP</t>
  </si>
  <si>
    <t>Statistical analysis of clinical lymphoma data for automated quality assurance of diagnosis and biomarker identification</t>
  </si>
  <si>
    <t>statistical analysis, lymphoma, biomarker</t>
  </si>
  <si>
    <t>Project Grant - Priority Announcement - Cancer Survivorship</t>
  </si>
  <si>
    <t>202403CSV</t>
  </si>
  <si>
    <t>Stereotactic Radiotherapy for Spinal Metastases: Quantifying the Impact on Musculoskeletal Health</t>
  </si>
  <si>
    <t>Stereotactic Radiotherapy, Spinal Metastases, Musculoskeletal Health</t>
  </si>
  <si>
    <t>Stimulator of interferon genes (STING)-induced tumour-associated macrophage re-education as a novel strategy for the treatment of lung cancer.</t>
  </si>
  <si>
    <t>STING, macrophage, lung cancer</t>
  </si>
  <si>
    <t>201503INO</t>
  </si>
  <si>
    <t>Strategies de reparation des transsections des nerfs peripheriques par genie tissulaire</t>
  </si>
  <si>
    <t>nerfs, tissulaire, reparation</t>
  </si>
  <si>
    <t>Jamieson, Amy</t>
  </si>
  <si>
    <t>STRIVE Study: STRatIfication of Vulvar squamous cell carcinoma by HPV and p53 status to guide Excision</t>
  </si>
  <si>
    <t xml:space="preserve">7 yrs 0 mth </t>
  </si>
  <si>
    <t>Vulvar squamous cell carcinoma, HPV, p53</t>
  </si>
  <si>
    <t>Hendzel, Michael J</t>
  </si>
  <si>
    <t>Structure-function relationships at DNA double-strand break repair centers</t>
  </si>
  <si>
    <t>DNA, double-strand break, repair</t>
  </si>
  <si>
    <t>Structure/Function Analysis of Cut Repeat Domains in Base Excision Repair</t>
  </si>
  <si>
    <t>Base Excision Repair, Cut Repeat Domains, Structure-Function</t>
  </si>
  <si>
    <t>El Morr, Christo</t>
  </si>
  <si>
    <t>Students Mental Health: Virtual Support on Campus</t>
  </si>
  <si>
    <t>Mental Health, Virtual Support, Campus</t>
  </si>
  <si>
    <t>Zhang, Jinyi</t>
  </si>
  <si>
    <t>Studies of the role of an Ets family protein in prostate cancer</t>
  </si>
  <si>
    <t>Ets, prostate cancer</t>
  </si>
  <si>
    <t>Studies on modulation of the innate immune response to HCV in chimeric mice</t>
  </si>
  <si>
    <t>innate immune response, HCV, chimeric mice</t>
  </si>
  <si>
    <t>Chakravarty, Megha M</t>
  </si>
  <si>
    <t>Studying prenatal exposure to maternal immune activation as risk factor for neurodevelopmental disorders: from the fetus to adulthood</t>
  </si>
  <si>
    <t>prenatal exposure, maternal immune activation, neurodevelopmental disorders</t>
  </si>
  <si>
    <t>Boisvert, Francois-Michel</t>
  </si>
  <si>
    <t>Subcellular Redistribution of Proteins Following DNA Damage: A Role for the MCM Complex in DNA Repair.</t>
  </si>
  <si>
    <t>Proteins, DNA repair, MCM complex</t>
  </si>
  <si>
    <t>Subcellular Redistribution of Proteins Following DNA Damage: A Role for the MCM-ASF1 Complex in DNA Repair.</t>
  </si>
  <si>
    <t>Proteins,DNA Repair,MCM-ASF1</t>
  </si>
  <si>
    <t>Subject-Specific Biomechanical Modelling in Adult Spinal Deformity Patients: A Surgical Planning and Failure Prediction Toolkit</t>
  </si>
  <si>
    <t>Biomechanical, Spinal Deformity, Surgical Planning</t>
  </si>
  <si>
    <t>Lin, Sheng-Xiang</t>
  </si>
  <si>
    <t>Sulfatase and aromatase pathways for estradiol synthesis in human breast cancer cells, tissues and animal models: identifying a combinatory therapy</t>
  </si>
  <si>
    <t>Sulfatase, aromatase, estradiol</t>
  </si>
  <si>
    <t>Yip, Christopher M</t>
  </si>
  <si>
    <t>Super-Resolution Imaging of Receptor Dynamics and Structure: Self-Association of CEACAM and Its Implications for Cancer,Infection, and Inflammation</t>
  </si>
  <si>
    <t>Super-Resolution, Receptor, CEACAM</t>
  </si>
  <si>
    <t>Super-resolution microscopy network analysis: Drug target validation for cystic fibrosis</t>
  </si>
  <si>
    <t>super-resolution, microscopy, cystic fibrosis</t>
  </si>
  <si>
    <t>Pawliszyn, Janusz B</t>
  </si>
  <si>
    <t>Supervised in vivo lung perfusion strategy for treatment of cancer metastases to the lungs. Real time monitoring of chemotherapy by on-site analytical platform</t>
  </si>
  <si>
    <t>lung perfusion, cancer metastases, chemotherapy</t>
  </si>
  <si>
    <t>Nguyen, Minh Dang</t>
  </si>
  <si>
    <t>Surviving the break-up in DNA damage response with a novel partner: TPX2</t>
  </si>
  <si>
    <t>DNA damage, TPX2, response</t>
  </si>
  <si>
    <t>Synergistic Radiosensitization of Hypoxic Pancreatic Adenocarcinoma using Gd-Texaphyrin Oxygen-Loaded Nanodroplets</t>
  </si>
  <si>
    <t>Radiosensitization, Hypoxic, Nanodroplets</t>
  </si>
  <si>
    <t>SynoPlate - Human physiology on demand</t>
  </si>
  <si>
    <t>SynoPlate, physiology, on demand</t>
  </si>
  <si>
    <t>Towler, Mark R</t>
  </si>
  <si>
    <t>Synthesis of Bioactive Augments for use in Revision Knee Joint Replacement</t>
  </si>
  <si>
    <t>Bioactive, Knee Joint, Replacement</t>
  </si>
  <si>
    <t>Philpott, Dana J</t>
  </si>
  <si>
    <t>Synthetic biology approaches to design living medicines to improve intestinal and metabolic health.</t>
  </si>
  <si>
    <t>synthetic biology, living medicines, metabolic health</t>
  </si>
  <si>
    <t>Synthetic Biomaterials to Package and Deliver siRNA Nanoparticles in order to Curb Uncontrolled Growth of Leukemic Cells</t>
  </si>
  <si>
    <t>biomaterials, siRNA, nanoparticles</t>
  </si>
  <si>
    <t>Systematic screening of engineered microenvironments for improved heart valve tissue regeneration</t>
  </si>
  <si>
    <t>microenvironments, heart valve, tissue regeneration</t>
  </si>
  <si>
    <t>Wisnovsky, Simon</t>
  </si>
  <si>
    <t>T-cell glyco-immune checkpoints as next-generation targets for cancer immunotherapy</t>
  </si>
  <si>
    <t>T-cell, glyco-immune, checkpoints</t>
  </si>
  <si>
    <t>Han, Kathy</t>
  </si>
  <si>
    <t>Tailored adjuvant therapy in POLE-mutated and p53-wildtype early stage endometrial cancer (TAPER)</t>
  </si>
  <si>
    <t>adjuvant therapy, POLE-mutated, endometrial cancer</t>
  </si>
  <si>
    <t>Sharif, Tanveer</t>
  </si>
  <si>
    <t>Taking down the 'undruggable' oncogene: therapeutic implications for novel mechanism-based targeting of MYC</t>
  </si>
  <si>
    <t>MYC, oncogene, targeting</t>
  </si>
  <si>
    <t>Targeted and immuno-therapy to overcome innate and acquired resistance in aggressive MAPK-addicted cancers.</t>
  </si>
  <si>
    <t>immuno-therapy, MAPK, resistance</t>
  </si>
  <si>
    <t>Gariepy, Jean</t>
  </si>
  <si>
    <t>Targeted imaging and therapy of breast cancers using Tn antigen-specific DNA aptamers</t>
  </si>
  <si>
    <t>imaging, DNA aptamers, breast cancers</t>
  </si>
  <si>
    <t>Beug, Shawn T</t>
  </si>
  <si>
    <t>Targeted immunotherapy for the treatment of brain cancer</t>
  </si>
  <si>
    <t>immunotherapy, brain cancer</t>
  </si>
  <si>
    <t>Targeted Polymeric Nanotechnology for Multi-Modality Treatment of HER2 Positive Breast Cancer</t>
  </si>
  <si>
    <t>Polymeric, Nanotechnology, HER2</t>
  </si>
  <si>
    <t>Targeting a novel miR-185/PAK6 axis to overcome drug-resistance in human leukemia</t>
  </si>
  <si>
    <t>miR-185, PAK6, leukemia</t>
  </si>
  <si>
    <t>Targeting a novel phosphoinositide-lysosomal signalling axis for pancreatic cancer therapy</t>
  </si>
  <si>
    <t>Targeting adaptive autophagy to enhance treatment response in pancreatic cancer</t>
  </si>
  <si>
    <t>autophagy, pancreatic cancer, treatment response</t>
  </si>
  <si>
    <t>202309PJS</t>
  </si>
  <si>
    <t>Targeting ALDH1A3 and investigating mechanisms of ALDH1A3-mediated breast cancer progression</t>
  </si>
  <si>
    <t>ALDH1A3, breast cancer, progression</t>
  </si>
  <si>
    <t>Targeting B cell exhaustion in BCG non-responsive bladder cancer</t>
  </si>
  <si>
    <t>B cell exhaustion, bladder cancer, BCG</t>
  </si>
  <si>
    <t>Targeting BACE1 for the prevention and treatment of Brain metastases</t>
  </si>
  <si>
    <t>BACE1, brain metastases</t>
  </si>
  <si>
    <t>MacPherson, Rebecca E</t>
  </si>
  <si>
    <t>Targeting BDNF signaling for postmenopausal brain health</t>
  </si>
  <si>
    <t>BDNF, signaling, brain health</t>
  </si>
  <si>
    <t>Das, Sunit</t>
  </si>
  <si>
    <t>Targeting bevacizumb resistance via LIVE-mediated vascular mimicry in glioblastoma.</t>
  </si>
  <si>
    <t>bevacizumab, vascular mimicry, glioblastoma</t>
  </si>
  <si>
    <t>Larrivee, Bruno</t>
  </si>
  <si>
    <t>Targeting BMP signaling in the tumor endothelium to improve cancer immunotherapy</t>
  </si>
  <si>
    <t>BMP, signaling, endothelium</t>
  </si>
  <si>
    <t>Targeting cancer-associated fibroblasts and tumour hypoxia with angiotensin II receptor blockers</t>
  </si>
  <si>
    <t>cancer-associated fibroblasts, tumour hypoxia, angiotensin II receptor blockers</t>
  </si>
  <si>
    <t>Targeting Carbonic Anhydrase IX and Hypoxia for the diagnosis and treatment of aggresive breast cancers</t>
  </si>
  <si>
    <t>Carbonic Anhydrase, Hypoxia, Breast Cancers</t>
  </si>
  <si>
    <t>Targeting Cell Cycle Checkpoints in Glioma</t>
  </si>
  <si>
    <t>Cell cycle, Checkpoints, Glioma</t>
  </si>
  <si>
    <t>Targeting changes to chromatin architecture that promote breast cancer metastasis.</t>
  </si>
  <si>
    <t>chromatin, breast cancer, metastasis</t>
  </si>
  <si>
    <t>Jackson, Hartland W</t>
  </si>
  <si>
    <t>Targeting chemotherapy resistant multi-cellular environments in pancreatic cancer</t>
  </si>
  <si>
    <t>chemotherapy, pancreatic cancer, multi-cellular environments</t>
  </si>
  <si>
    <t>Targeting colorectal cancer-initiating cells and anti-EGFR therapeutic resistance by manipulating levels of the reactive aldehyde, 4-hydroxynonenal</t>
  </si>
  <si>
    <t>colorectal cancer, EGFR, aldehyde</t>
  </si>
  <si>
    <t>Targeting Drug-Insensitive CML Stem Cells with Combination Therapy of New ABL and PP2A Inhibitors</t>
  </si>
  <si>
    <t>CML, ABL, PP2A</t>
  </si>
  <si>
    <t>Roux, Philippe</t>
  </si>
  <si>
    <t>Targeting ENPP1-dependent immune evasion in ErbB2-positive breast cancer</t>
  </si>
  <si>
    <t>ENPP1, immune evasion, breast cancer</t>
  </si>
  <si>
    <t>Targeting exosomal mediators of vascular pathology in glioblastoma</t>
  </si>
  <si>
    <t>exosomal, vascular, glioblastoma</t>
  </si>
  <si>
    <t>Angers, Stephane</t>
  </si>
  <si>
    <t>Targeting Glioblastoma Heterogeneity through identification of subtype-specific genetic vulnerabilities</t>
  </si>
  <si>
    <t>Glioblastoma, genetic vulnerabilities, heterogeneity</t>
  </si>
  <si>
    <t>Targeting hypoxia in pancreatic cancer through the unfolded protein response</t>
  </si>
  <si>
    <t>hypoxia, pancreatic cancer, unfolded protein response</t>
  </si>
  <si>
    <t>Bernard, Daniel J</t>
  </si>
  <si>
    <t>Targeting inhibin B action to regulate follicle-stimulating hormone production and female fertility</t>
  </si>
  <si>
    <t>inhibin B, follicle-stimulating hormone, female fertility</t>
  </si>
  <si>
    <t>Targeting inhibitory immune checkpoints in macrophages for anti-cancer therapy</t>
  </si>
  <si>
    <t>immune checkpoints, macrophages, cancer</t>
  </si>
  <si>
    <t>Targeting interleukin-6 and the amino-terminus of the androgen receptor in osseous prostate cancer</t>
  </si>
  <si>
    <t>interleukin-6, androgen receptor, prostate cancer</t>
  </si>
  <si>
    <t>Roy, Dominic</t>
  </si>
  <si>
    <t>Targeting itaconate production to improve oncolytic virus therapy.</t>
  </si>
  <si>
    <t>itaconate, oncolytic virus, production</t>
  </si>
  <si>
    <t>Targeting Key Autophagy Proteins/Pathways for Treatment of Human Leukemia</t>
  </si>
  <si>
    <t>Autophagy, Proteins, Leukemia</t>
  </si>
  <si>
    <t>Targeting lipid metabolism in chemoresistant breast cancer</t>
  </si>
  <si>
    <t>lipid metabolism, chemoresistant, breast cancer</t>
  </si>
  <si>
    <t>Targeting lung microbiome for developing early detection and intervention strategies for lung cancer</t>
  </si>
  <si>
    <t>lung microbiome, early detection, lung cancer</t>
  </si>
  <si>
    <t>Brindley, David N</t>
  </si>
  <si>
    <t>Targeting lysophosphatidate (LPA) signaling to improve therapeutic outcomes  for breast cancer patients</t>
  </si>
  <si>
    <t>lysophosphatidate, signaling, breast cancer</t>
  </si>
  <si>
    <t>Targeting metabolic vulnerabilities in childhood cancers using immunotherapy</t>
  </si>
  <si>
    <t>metabolic vulnerabilities, childhood cancers, immunotherapy</t>
  </si>
  <si>
    <t>Anderson, Deborah H</t>
  </si>
  <si>
    <t>Targeting Metastatic Breast Cancer</t>
  </si>
  <si>
    <t>Metastatic, Breast Cancer</t>
  </si>
  <si>
    <t>Targeting metastatic breast cancer</t>
  </si>
  <si>
    <t>Targeting metastatic disease of triple negative breast cancer with an immunogenic cancer vaccine</t>
  </si>
  <si>
    <t>metastatic disease, triple negative breast cancer, immunogenic vaccine</t>
  </si>
  <si>
    <t>Irwin, Meredith</t>
  </si>
  <si>
    <t>Targeting metastatic neuroblastoma</t>
  </si>
  <si>
    <t>metastatic, neuroblastoma</t>
  </si>
  <si>
    <t>Targeting mitochondria metabolism to selectively kill leukemia cells</t>
  </si>
  <si>
    <t>mitochondria, metabolism, leukemia</t>
  </si>
  <si>
    <t>Targeting mitochondrial translation as a novel therapeutic strategy for AML</t>
  </si>
  <si>
    <t>mitochondrial translation, AML</t>
  </si>
  <si>
    <t>Targeting mRNA translation to effectively treat uveal melanoma.</t>
  </si>
  <si>
    <t>mRNA, translation, melanoma</t>
  </si>
  <si>
    <t>Targeting obesity-associated monocytosis in colorectal cancer liver metastasis</t>
  </si>
  <si>
    <t>obesity, monocytosis, colorectal cancer</t>
  </si>
  <si>
    <t>Targeting ovarian carcinoma using the cell surface glycoprotein podocalyxin.</t>
  </si>
  <si>
    <t>ovarian carcinoma, glycoprotein, podocalyxin</t>
  </si>
  <si>
    <t>Targeting Paediatric Brainstem Glioma Using Integrated Whole Genome Analysis</t>
  </si>
  <si>
    <t>Paediatric, Brainstem Glioma, Whole Genome</t>
  </si>
  <si>
    <t>McMullen, Todd</t>
  </si>
  <si>
    <t>Targeting PDGFRa using PET Imaging to Diagnose Metastatic Papillary Thyroid Cancer and Improve Treatment</t>
  </si>
  <si>
    <t>PDGFRa, PET imaging, thyroid cancer</t>
  </si>
  <si>
    <t>Huang, Xi</t>
  </si>
  <si>
    <t>Targeting potassium channel to disrupt the cellular hierarchy and suppress malignant growth of pediatric brain tumor</t>
  </si>
  <si>
    <t>potassium channel, cellular hierarchy, malignant growth</t>
  </si>
  <si>
    <t>Targeting PRMT1 in Clear Cell Renal Cell Carcinoma</t>
  </si>
  <si>
    <t>PRMT1, Renal Cell Carcinoma, Targeting</t>
  </si>
  <si>
    <t>Barsyte-Lovejoy, Dalia</t>
  </si>
  <si>
    <t>Targeting protein arginine methylation in the 9p21.3 loss tumor microenvironment</t>
  </si>
  <si>
    <t>protein, arginine methylation, tumor microenvironment</t>
  </si>
  <si>
    <t>Targeting protein arginine methylation in tumor-associated macrophages</t>
  </si>
  <si>
    <t>protein, arginine, methylation</t>
  </si>
  <si>
    <t>Targeting Relapsed Metastatic Neuroblastoma</t>
  </si>
  <si>
    <t>Relapsed, Metastatic, Neuroblastoma</t>
  </si>
  <si>
    <t>Targeting ribosomal RNA biogenesis to restore the senescence tumor suppression mechanism</t>
  </si>
  <si>
    <t>ribosomal RNA, biogenesis, tumor suppression</t>
  </si>
  <si>
    <t>Toren, Paul</t>
  </si>
  <si>
    <t>Targeting sex steroids to improve the response to bladder cancer immunotherapy</t>
  </si>
  <si>
    <t>sex steroids, bladder cancer, immunotherapy</t>
  </si>
  <si>
    <t>Targeting TGF-beta signaling to achieve durable therapy responses in preclinical ovarian cancer models</t>
  </si>
  <si>
    <t>TGF-beta, signaling, ovarian cancer</t>
  </si>
  <si>
    <t>Targeting the calpain protease in breast cancer</t>
  </si>
  <si>
    <t>calpain, protease, breast cancer</t>
  </si>
  <si>
    <t>Freywald, Andrew</t>
  </si>
  <si>
    <t>Targeting the EGFR/EphA2 crosstalk in triple negative breast cancer</t>
  </si>
  <si>
    <t>EGFR, EphA2, breast cancer</t>
  </si>
  <si>
    <t>Targeting the EphA2 receptor in triple-negative breast cancer</t>
  </si>
  <si>
    <t>EphA2, receptor, breast cancer</t>
  </si>
  <si>
    <t>Targeting the eukaryotic translation initiation factor eIF4E with ribavirin in breast cancer</t>
  </si>
  <si>
    <t>eIF4E, ribavirin, breast cancer</t>
  </si>
  <si>
    <t>Targeting the extracellular adenosine pathway in pancreatic and liver cancers</t>
  </si>
  <si>
    <t>adenosine, pancreatic, liver</t>
  </si>
  <si>
    <t>Egan, Sean E</t>
  </si>
  <si>
    <t>Targeting the immune landscape at presentation and relapse of Immune-Related Lobular Breast Cancer</t>
  </si>
  <si>
    <t>immune, lobular breast cancer, relapse</t>
  </si>
  <si>
    <t>Targeting the Integrin-Linked Kinase Pathway in Rhabdomyosarcoma</t>
  </si>
  <si>
    <t>Integrin, Kinase, Rhabdomyosarcoma</t>
  </si>
  <si>
    <t>Targeting the interleukin-1 receptor for treating ischemic eye diseases</t>
  </si>
  <si>
    <t>interleukin-1 receptor, ischemic eye</t>
  </si>
  <si>
    <t>Targeting the Metabolic Mevalonate Pathway as an Actionable Prostate Cancer Vulnerability</t>
  </si>
  <si>
    <t>Metabolic, Mevalonate, Prostate Cancer</t>
  </si>
  <si>
    <t>Rost, Hannes L</t>
  </si>
  <si>
    <t>Targeting the metabolomic mechanisms underlying poor prognosis in Glioblastoma multiforme cancer stem cells.</t>
  </si>
  <si>
    <t>metabolomic, Glioblastoma, cancer stem cells</t>
  </si>
  <si>
    <t>Targeting the Mevalonate Pathway and its Restorative Feedback Loop</t>
  </si>
  <si>
    <t>Mevalonate pathway, feedback loop</t>
  </si>
  <si>
    <t>Dimitroulakos, Jim</t>
  </si>
  <si>
    <t>Targeting the mevalonate pathway in novel combination based therapeutic approaches</t>
  </si>
  <si>
    <t>mevalonate pathway, combination therapy</t>
  </si>
  <si>
    <t>Targeting the mitochondrial proteasome, ClpP, in AML</t>
  </si>
  <si>
    <t>mitochondrial proteasome, ClpP, AML</t>
  </si>
  <si>
    <t>Targeting the Mnk/eIF4E axis in the tumor microenvironment of pregnancy associated breast cancers.</t>
  </si>
  <si>
    <t>Mnk, eIF4E, breast cancer</t>
  </si>
  <si>
    <t>Targeting the Oncogenic Translation Program</t>
  </si>
  <si>
    <t>Oncogenic, Translation, Program</t>
  </si>
  <si>
    <t>Teodoro, Jose G</t>
  </si>
  <si>
    <t>Targeting the RNA translatome to enhance anti-mitotic chemotherapy.</t>
  </si>
  <si>
    <t>RNA, translatome, chemotherapy</t>
  </si>
  <si>
    <t>Targeting the YB-1 pathway to overcome breast cancer recurrence</t>
  </si>
  <si>
    <t>YB-1, breast cancer, pathway</t>
  </si>
  <si>
    <t>Targeting Thrombospondin-1 in medulloblastoma</t>
  </si>
  <si>
    <t>Thrombospondin-1, medulloblastoma</t>
  </si>
  <si>
    <t>Targeting transcription-replication conflicts as vulnerabilities in BRCA1 mutant and homologous recombination-deficient breast and ovarian cancers</t>
  </si>
  <si>
    <t>transcription-replication conflicts, BRCA1, homologous recombination</t>
  </si>
  <si>
    <t>Hulea, Laura</t>
  </si>
  <si>
    <t>Targeting translational machinery to overcome kinase inhibitor resistance of cancer cells</t>
  </si>
  <si>
    <t>translational machinery, kinase inhibitor, cancer cells</t>
  </si>
  <si>
    <t>Targeting vulnerabilities in oncohistone-mediated gliomas</t>
  </si>
  <si>
    <t>oncohistone, gliomas, vulnerabilities</t>
  </si>
  <si>
    <t>Targeting vulnerabilities in SMARCA4-deficient lung cancers</t>
  </si>
  <si>
    <t>SMARCA4, lung cancer, vulnerabilities</t>
  </si>
  <si>
    <t>Durocher, Francine</t>
  </si>
  <si>
    <t>TBC1D9: therapeutic target of the aggressiveness of triple negative breast cancer</t>
  </si>
  <si>
    <t>TBC1D9, breast cancer, triple negative</t>
  </si>
  <si>
    <t>Corkum, Penny V</t>
  </si>
  <si>
    <t>Teacher Help: Novel technologies for meeting the immediate needs of youth with mental health disorders in Canada</t>
  </si>
  <si>
    <t>teacher, mental health, youth</t>
  </si>
  <si>
    <t>Krylov, Sergey</t>
  </si>
  <si>
    <t>Technology for Analysis of miRNA Signatures (TAmiRS): a Novel Tool for Personalized Cancer Medicine</t>
  </si>
  <si>
    <t>miRNA, Signatures, Cancer</t>
  </si>
  <si>
    <t>Stinson, Jennifer N</t>
  </si>
  <si>
    <t>Teens Taking Charge - Managing Cancer Online Trial: A Feasibility Study of Quality and Cost</t>
  </si>
  <si>
    <t>cancer, online, feasibility</t>
  </si>
  <si>
    <t>Seda, Ondrej</t>
  </si>
  <si>
    <t>Telomere attrition rate as predictor of cardiovascular complications of type 2 diabetes</t>
  </si>
  <si>
    <t>telomere, cardiovascular, diabetes</t>
  </si>
  <si>
    <t>Kotsopoulos, Joanne</t>
  </si>
  <si>
    <t>Operating Grant - Priority Announcement: Ovarian Cancer (bridge funding)</t>
  </si>
  <si>
    <t>201109OVA</t>
  </si>
  <si>
    <t>Telomere Length and Ovarian Cancer Prognosis</t>
  </si>
  <si>
    <t>Telomere, Ovarian Cancer, Prognosis</t>
  </si>
  <si>
    <t>Temperature measurement in cortical bone and bone marrow during magnetic resonance guided focused ultrasound thermo-therapy in a porcine model</t>
  </si>
  <si>
    <t>temperature, magnetic resonance, ultrasound</t>
  </si>
  <si>
    <t>The Biological and Clinical Significance of Platelet Derived Growth Factor Receptor in Papillary Thyroid Cancer</t>
  </si>
  <si>
    <t>Platelet, Growth Factor Receptor, Thyroid Cancer</t>
  </si>
  <si>
    <t>The Biomechanical Assessment and Optimization of Minimally Invasive Implants for the Elbow and Shoulder</t>
  </si>
  <si>
    <t>Biomechanical, Implants, Elbow</t>
  </si>
  <si>
    <t>Lukong, Kiven E</t>
  </si>
  <si>
    <t>The cellular implications of breast tumor kinase induction in mammary tumorigenesis.</t>
  </si>
  <si>
    <t>breast tumor kinase, mammary tumorigenesis, cellular implications</t>
  </si>
  <si>
    <t>The cellular stress response regulator ATF3 is a novel mediator of platin induced tumour cell cytotoxicity and resistance</t>
  </si>
  <si>
    <t>ATF3, platin, cytotoxicity</t>
  </si>
  <si>
    <t>Petel, Oren</t>
  </si>
  <si>
    <t>The development of a next-generation polymeric headform surrogate for concussion and helmet evaluation</t>
  </si>
  <si>
    <t>polymeric, headform, concussion</t>
  </si>
  <si>
    <t>Nair, Parameswaran K</t>
  </si>
  <si>
    <t>The development of an eosinophil-specific bioactive paper detection system</t>
  </si>
  <si>
    <t>eosinophil, bioactive paper, detection</t>
  </si>
  <si>
    <t>Evans, David H</t>
  </si>
  <si>
    <t>The development of safer oncolytic poxviruses dependent on cellular dNTP synthesis</t>
  </si>
  <si>
    <t>oncolytic poxviruses, dNTP synthesis</t>
  </si>
  <si>
    <t>McGibbon, Chris</t>
  </si>
  <si>
    <t>University of New Brunswick (Fredericton)</t>
  </si>
  <si>
    <t>The Doctor is in the house: Validation of a toolkit for remote monitoring of progressive neuromuscular and neurological conditions</t>
  </si>
  <si>
    <t>remote monitoring, neuromuscular, neurological</t>
  </si>
  <si>
    <t>Henkelman, R. Mark</t>
  </si>
  <si>
    <t>The Effect of Flow on Atherogenesis in Mice</t>
  </si>
  <si>
    <t>Flow, Atherogenesis, Mice</t>
  </si>
  <si>
    <t>The effect of prophylactic salpingo-oophorectomy on markers of health in women who carry a BRCA mutation</t>
  </si>
  <si>
    <t>salpingo-oophorectomy, BRCA, markers</t>
  </si>
  <si>
    <t>The effects of smoking marijuana on lung cancer development: implications for screening and early detection.</t>
  </si>
  <si>
    <t>marijuana, lung cancer, screening</t>
  </si>
  <si>
    <t>The efficacy of Link N as a mediator of repair in Intervertebral Disc Degeneration</t>
  </si>
  <si>
    <t>Link N, intervertebral disc, repair</t>
  </si>
  <si>
    <t>The epigenetic impact of deregulated poly(ADP)ribosylation in breast cancer.</t>
  </si>
  <si>
    <t>epigenetic, poly(ADP)ribosylation, breast cancer</t>
  </si>
  <si>
    <t>Boutros, Paul C</t>
  </si>
  <si>
    <t>The evolution of prostate cancer</t>
  </si>
  <si>
    <t>prostate cancer</t>
  </si>
  <si>
    <t>The Function of Protein Kinase NEK10 in tumour suppression</t>
  </si>
  <si>
    <t>Protein Kinase, NEK10, Tumour suppression</t>
  </si>
  <si>
    <t>The functional role of titin in muscle contraction</t>
  </si>
  <si>
    <t>titin, muscle contraction</t>
  </si>
  <si>
    <t>The Hace1 tumour suppressor--a novel regulator of the oxidative stress response</t>
  </si>
  <si>
    <t>Hace1, tumour suppressor, oxidative stress</t>
  </si>
  <si>
    <t>202303OGB</t>
  </si>
  <si>
    <t>The IL23 Receptor (IL23R) regulates mitotic spindle formation and is a novel therapeutic target for AML</t>
  </si>
  <si>
    <t>IL23R, mitotic spindle, AML</t>
  </si>
  <si>
    <t>The impact of Monte Carlo dose calculations on prostate and breast low-dose rate brachytherapy dose-outcome relationships and radiobiological modeling.</t>
  </si>
  <si>
    <t>Monte Carlo, brachytherapy, radiobiological</t>
  </si>
  <si>
    <t>The importance of connector hubs in focal epilepsy: a multimodal investigation</t>
  </si>
  <si>
    <t>connector hubs, focal epilepsy, multimodal</t>
  </si>
  <si>
    <t>The Liquid Cornea as an alternative to corneal transplantation: Pathway to Clinical trials</t>
  </si>
  <si>
    <t>Liquid, Cornea, Transplantation</t>
  </si>
  <si>
    <t>Amed, Shazhan</t>
  </si>
  <si>
    <t>The Live 5-2-1-0 eHealth App - Supporting health professionals and educators to raise a healthier generation of kids</t>
  </si>
  <si>
    <t>eHealth, app, health</t>
  </si>
  <si>
    <t>The mechanical causes of osteoarthritis</t>
  </si>
  <si>
    <t>mechanical, osteoarthritis, causes</t>
  </si>
  <si>
    <t>The mechanism of neurovascular remodelling after focal ischemia</t>
  </si>
  <si>
    <t>neurovascular, remodelling, ischemia</t>
  </si>
  <si>
    <t>The Molecular Mechanism of the Secretion of the Bacterial Toxin Adenylate Cyclase</t>
  </si>
  <si>
    <t>bacterial toxin, adenylate cyclase, secretion</t>
  </si>
  <si>
    <t>The MYC/MIZ-1 complex in germinal center B cells and B cell lymphomagenesis</t>
  </si>
  <si>
    <t>MYC, MIZ-1, B cells</t>
  </si>
  <si>
    <t>The need for neuromonitoring during the golden hour to prevent preterm brain injury</t>
  </si>
  <si>
    <t>neuromonitoring, preterm brain injury, golden hour</t>
  </si>
  <si>
    <t>The next generation of vaccines: characterization of virus-like particle (VLP) vaccines made in plants.</t>
  </si>
  <si>
    <t>virus-like particle, vaccines, plants</t>
  </si>
  <si>
    <t>Routy, Jean-Pierre</t>
  </si>
  <si>
    <t>The orchid study: A pilot assessment of viral reservoir and immune compartmentalization in testicular tissue of HIV-infected subjects</t>
  </si>
  <si>
    <t>orchid, viral reservoir, immune compartmentalization</t>
  </si>
  <si>
    <t>The Ovarian Cancer Glycoproteome: Biomarker Discovery and Therapeutic Targets</t>
  </si>
  <si>
    <t>Ovarian cancer, Glycoproteome, Biomarkers</t>
  </si>
  <si>
    <t>The PainSquad+ Real-time Pain Management System for Adolescents with Cancer: A Feasibility, Quality and Cost Study</t>
  </si>
  <si>
    <t>Pain management, adolescents, cancer</t>
  </si>
  <si>
    <t>Christie, Brian R</t>
  </si>
  <si>
    <t>The pathophysiology and blood biomarkers of brain injury in intimate partner violence: Insights from a new rat model</t>
  </si>
  <si>
    <t>brain injury, blood biomarkers, rat model</t>
  </si>
  <si>
    <t>Perl, Jeffrey</t>
  </si>
  <si>
    <t>The Peritoneal Dialysis Outcomes and Practice Patterns Study  (P-DOPPS)</t>
  </si>
  <si>
    <t>Peritoneal Dialysis, Outcomes, Practice Patterns</t>
  </si>
  <si>
    <t>The Pharmacogenetics of Bevacizumab: A Companion Correlative Study of the Ovarian Cancer Clinical Trial, ICON7</t>
  </si>
  <si>
    <t>Pharmacogenetics, Bevacizumab, Ovarian Cancer</t>
  </si>
  <si>
    <t>Tremblay, Michel L</t>
  </si>
  <si>
    <t>The PRL-CNNM-Magnesium cascade, a new paradigm in oncogenesis.</t>
  </si>
  <si>
    <t>PRL-CNNM, Magnesium, oncogenesis</t>
  </si>
  <si>
    <t>The promyelocytic leukemia protein and nuclear domain function in DNA damage signalling and tumour suppression</t>
  </si>
  <si>
    <t>promyelocytic leukemia, DNA damage, tumour suppression</t>
  </si>
  <si>
    <t>Patterson, Kara K</t>
  </si>
  <si>
    <t>The relationship of temporal gait asymmetry and rhythm perception and production</t>
  </si>
  <si>
    <t>gait, rhythm, perception</t>
  </si>
  <si>
    <t>The role of ALDH1A3 in breast cancer progression and cancer stem cell biology</t>
  </si>
  <si>
    <t>ALDH1A3, breast cancer, cancer stem cells</t>
  </si>
  <si>
    <t>Too, Catherine K</t>
  </si>
  <si>
    <t>201203RNS</t>
  </si>
  <si>
    <t>The Role of Carboxypeptidase-D in Prostate Cancer Growth and Progression</t>
  </si>
  <si>
    <t>Carboxypeptidase-D, Prostate Cancer, Growth</t>
  </si>
  <si>
    <t>Chan, Jennifer A</t>
  </si>
  <si>
    <t>The role of CIC in oligodendroglioma</t>
  </si>
  <si>
    <t>CIC, oligodendroglioma</t>
  </si>
  <si>
    <t>Clemente Casares, Javier</t>
  </si>
  <si>
    <t>The Role of CSF2RB1 Ligands in Cancer-Associated Cachexia</t>
  </si>
  <si>
    <t>CSF2RB1, Ligands, Cancer-Associated Cachexia</t>
  </si>
  <si>
    <t>Ramotar, Dindial</t>
  </si>
  <si>
    <t>The role of human glyceraldehyde-3-phosphate dehydrogenase in maintaining the redox state of the DNA repair enzyme APE1</t>
  </si>
  <si>
    <t>glyceraldehyde-3-phosphate dehydrogenase, DNA repair, APE1</t>
  </si>
  <si>
    <t>The role of human glyceraldehyde-3-phosphate dehydrogenase in reactivating oxidized forms of the DNA repair enzyme APE1</t>
  </si>
  <si>
    <t>Min, Wei-Ping</t>
  </si>
  <si>
    <t>The role of IDO1 vs IDO2 on tumour immune evasion  and immune therapy</t>
  </si>
  <si>
    <t>IDO1, IDO2, immune evasion</t>
  </si>
  <si>
    <t>The role of IMP3 in pancreatic cancer progression and chemoresistance</t>
  </si>
  <si>
    <t>IMP3, pancreatic cancer, chemoresistance</t>
  </si>
  <si>
    <t>The role of interleukin-10 responsiveness in lung inflammation in SARS CoV2 infection</t>
  </si>
  <si>
    <t>interleukin-10, lung inflammation, SARS CoV2</t>
  </si>
  <si>
    <t>Tron, Victor A</t>
  </si>
  <si>
    <t>The role of microRNAs in Malignant Melanoma</t>
  </si>
  <si>
    <t>microRNAs, Malignant Melanoma</t>
  </si>
  <si>
    <t>Yousef, George M</t>
  </si>
  <si>
    <t>The Role of microRNAs in Renal Cell Carcinoma Pathogenesis and their Clinical Utility as Tumor Markers</t>
  </si>
  <si>
    <t>microRNAs, renal cell carcinoma, tumor markers</t>
  </si>
  <si>
    <t>The role of MXRA8 in breast cancer growth and metastasis</t>
  </si>
  <si>
    <t>MXRA8, breast cancer, metastasis</t>
  </si>
  <si>
    <t>Geyer, Clarence R</t>
  </si>
  <si>
    <t>The Role of Natural Antisense Transcripts in Silencing Transforming Growth Factor Beta Regulated Genes in Acute Myeloid Leukemia</t>
  </si>
  <si>
    <t>Antisense transcripts, Gene regulation, Leukemia</t>
  </si>
  <si>
    <t>The role of NMNAT2, a new p53 target gene, in feedback regulation of p53 function via the SIRT deacetylases.</t>
  </si>
  <si>
    <t>NMNAT2,p53,SIRT</t>
  </si>
  <si>
    <t>The role of PCL2/PRC2 in hematopoietic stem cells and leukemia</t>
  </si>
  <si>
    <t>PCL2, PRC2, hematopoietic stem cells</t>
  </si>
  <si>
    <t>The role of post-translational modifications of MRE11 in mediating the DNA damage response.</t>
  </si>
  <si>
    <t>post-translational modifications, MRE11, DNA damage response</t>
  </si>
  <si>
    <t>The role of PRDM16 in neuroendocrine prostate cancer development and aggressiveness</t>
  </si>
  <si>
    <t>PRDM16, neuroendocrine, prostate cancer</t>
  </si>
  <si>
    <t>Saucier, Caroline</t>
  </si>
  <si>
    <t>The role of receptor tyrosine kinases in the initiation and progression of colorectal cancer</t>
  </si>
  <si>
    <t>receptor tyrosine kinases, colorectal cancer</t>
  </si>
  <si>
    <t>Olson, Michael F</t>
  </si>
  <si>
    <t>The role of ROCK1 cleavage during apoptosis in liver homeostasis and cancer</t>
  </si>
  <si>
    <t>ROCK1, apoptosis, liver</t>
  </si>
  <si>
    <t>Tai, Isabella T</t>
  </si>
  <si>
    <t>The role of SPARC in chemotherapy sensitization</t>
  </si>
  <si>
    <t>SPARC, chemotherapy, sensitization</t>
  </si>
  <si>
    <t>The Role of Systemic Inflammation in Esophageal Cancer Metastasis: Exploring Neutrophil Dependent and Independent Mechanisms</t>
  </si>
  <si>
    <t>Systemic Inflammation, Esophageal Cancer, Metastasis</t>
  </si>
  <si>
    <t>The role of the lineage oncogene ASCL1 in treatment-induced neuroendocrine prostate cancer</t>
  </si>
  <si>
    <t>ASCL1, neuroendocrine, prostate cancer</t>
  </si>
  <si>
    <t>St-Pierre, Julie</t>
  </si>
  <si>
    <t>The role of the PGC-1 transcriptional coactivators in the regulation of breast cancer metabolism</t>
  </si>
  <si>
    <t>PGC-1, transcriptional coactivators, breast cancer</t>
  </si>
  <si>
    <t>The role of the RNA helicase DDX3X in Burkitt Lymphoma and its potential as a new therapeutic target</t>
  </si>
  <si>
    <t>RNA helicase, DDX3X, Burkitt Lymphoma</t>
  </si>
  <si>
    <t>Li, Gang</t>
  </si>
  <si>
    <t>The role of tumour suppressor ING1b in genomic stability upon replication stress</t>
  </si>
  <si>
    <t>tumour suppressor, genomic stability, replication stress</t>
  </si>
  <si>
    <t>The roles of cholinergic T cells in immunosurveillance and immunotherapy of liver cancer.</t>
  </si>
  <si>
    <t>cholinergic, T cells, liver cancer</t>
  </si>
  <si>
    <t>The roles of p53 and p73 in DNA repair and oncogenesis.</t>
  </si>
  <si>
    <t>p53, p73, DNA repair</t>
  </si>
  <si>
    <t>Lok, Benjamin</t>
  </si>
  <si>
    <t>The SCF(FBXO11) - XAB2 axis mediates DNA repair and therapeutic resistance in small cell lung cancer</t>
  </si>
  <si>
    <t>SCF, DNA repair, lung cancer</t>
  </si>
  <si>
    <t>Parent, Jean-Luc</t>
  </si>
  <si>
    <t>201810PJT</t>
  </si>
  <si>
    <t>The small GTPase Rab4 as a target for breast cancer metastasis</t>
  </si>
  <si>
    <t>Rab4, GTPase, breast cancer</t>
  </si>
  <si>
    <t>McGillion, Michael H</t>
  </si>
  <si>
    <t>THE SMArT VIEW, CoVeRed: TecHnology Enabled monitoring  and Self-MAnagemenT- VIsion for patient EmpoWerment following  Cardiac and VasculaR surgery</t>
  </si>
  <si>
    <t>monitoring, vision, patient empowerment</t>
  </si>
  <si>
    <t>Tomkins-Lane, Christy</t>
  </si>
  <si>
    <t>Mount Royal University (Calgary, Alberta)</t>
  </si>
  <si>
    <t>The Spinal Stenosis Pedometer and Nutrition e-Health Lifestyle Intervention (SSPANLI) Randomized Trial</t>
  </si>
  <si>
    <t>Spinal Stenosis, Pedometer, Nutrition</t>
  </si>
  <si>
    <t>Hay, Annette</t>
  </si>
  <si>
    <t>The TACtful Trial: A first-in-human multi-centre trial of BCMA specific T-cell antigen coupler infusion, generated from cryopreserved G-CSF-mobilized peripheral blood, in patients with relapsed and refractory multiple myeloma.</t>
  </si>
  <si>
    <t>BCMA, T-cell, multiple myeloma</t>
  </si>
  <si>
    <t>The Tumor Suppressor Function of CUX1</t>
  </si>
  <si>
    <t>CUX1, tumor suppressor</t>
  </si>
  <si>
    <t>Carrier, Marc</t>
  </si>
  <si>
    <t>The Use of Extended Peri-operative Low Molecular Weight Heparin to Improve Cancer Specific Survival Following Surgical Resection of Colon Cancer: A Randomized Controlled Trial</t>
  </si>
  <si>
    <t>Heparin, Cancer, Surgery</t>
  </si>
  <si>
    <t>The Virtual Music Teacher: Children of all abilities banding together in early childhood music education</t>
  </si>
  <si>
    <t>Virtual, Music, Education</t>
  </si>
  <si>
    <t>Kohandel, Mohammad</t>
  </si>
  <si>
    <t>Theoretical, experimental, and preclinical studies of heterogeneity-driven adaptive resistance to chemotherapy: Implications for multimodal targeted therapeutics</t>
  </si>
  <si>
    <t>adaptive resistance, heterogeneity, targeted therapeutics</t>
  </si>
  <si>
    <t>Orvig, Christopher E</t>
  </si>
  <si>
    <t>Theranostic Vectors to Treat Cancer with Radiometals</t>
  </si>
  <si>
    <t>Theranostic, Vectors, Radiometals</t>
  </si>
  <si>
    <t>Thomas, David Y</t>
  </si>
  <si>
    <t>Therapeutic development of cystic fibrosis correctors</t>
  </si>
  <si>
    <t>cystic fibrosis, correctors</t>
  </si>
  <si>
    <t>Luke, Patrick</t>
  </si>
  <si>
    <t>Therapeutic potential of bloodless oxygenated perfusion of donor kidneys for prolonged storage and protection for transplantation</t>
  </si>
  <si>
    <t>bloodless, oxygenated perfusion, kidneys</t>
  </si>
  <si>
    <t>Therapeutic potential of the long non-coding RNA ELDR for the Acute Myeloid Leukemia subtype M5 with t(9;11) translocations</t>
  </si>
  <si>
    <t>long non-coding RNA, Acute Myeloid Leukemia, ELDR</t>
  </si>
  <si>
    <t>Therapeutic Use of Micro-Sponge Embedded Nutritional Liquid Scaffold for Treatment of Non-Healing Wounds</t>
  </si>
  <si>
    <t>Micro-Sponge, Nutritional Liquid, Wounds</t>
  </si>
  <si>
    <t>Petrik, Jim J</t>
  </si>
  <si>
    <t>Thrombospondin-1 as a potent anti-tumor and anti-angiogenic factor in ovarian cancer</t>
  </si>
  <si>
    <t>Thrombospondin-1, anti-angiogenic, ovarian cancer</t>
  </si>
  <si>
    <t>Tissu adipeux humain reconstruit par genie tissulaire: substituts endothelialises et compatibles avec la clinique</t>
  </si>
  <si>
    <t>adipose tissue, tissue engineering, endothelialization</t>
  </si>
  <si>
    <t>Tissue engineering an intervertebral disc replacement</t>
  </si>
  <si>
    <t>tissue engineering, intervertebral disc</t>
  </si>
  <si>
    <t>Sachlos, Eleftherios</t>
  </si>
  <si>
    <t>Tissue Engineering of 3D bone marrow niche for hematopoietic stem cells vs acute myeloid leukemia stem cell molecular target and therapeutics discovery</t>
  </si>
  <si>
    <t>tissue engineering, bone marrow, hematopoietic stem cells</t>
  </si>
  <si>
    <t>Tissue Engineering of a functional Urethra for Autologous Reconstruction.</t>
  </si>
  <si>
    <t>Tissue Engineering, Urethra, Autologous</t>
  </si>
  <si>
    <t>Tissue engineering of auricular cartilage implants for external ear reconstruction</t>
  </si>
  <si>
    <t>tissue engineering, auricular cartilage, ear reconstruction</t>
  </si>
  <si>
    <t>Tissue Engineering of Intervertebral Discs</t>
  </si>
  <si>
    <t>Tissue engineering, Intervertebral discs</t>
  </si>
  <si>
    <t>Tissue factor in tumour progression and angiogenesis</t>
  </si>
  <si>
    <t>Tissue factor, tumour progression, angiogenesis</t>
  </si>
  <si>
    <t>Kinsella, Joseph</t>
  </si>
  <si>
    <t>Tissue-engineered humanized model of the gastric tumor microenvironment to mechanistically evaluate the dynamics of combined tumor-infiltrating lymphocyte and RNA nanoparticle therapy</t>
  </si>
  <si>
    <t>tissue-engineering, gastric tumor, RNA nanoparticle</t>
  </si>
  <si>
    <t>Tissue-engineered solutions for uro-genital reconstruction, and replacing banned synthetic meshes.</t>
  </si>
  <si>
    <t>tissue-engineered, uro-genital, synthetic meshes</t>
  </si>
  <si>
    <t>Project Grant - PA: Sex and Gender in Health Research (Bridge funding)</t>
  </si>
  <si>
    <t>202010PJX</t>
  </si>
  <si>
    <t>Skowronski, Danuta Maria</t>
  </si>
  <si>
    <t>TITRE II: TIV Infant/Toddler Response Evaluation (TITRE) - follow-up &amp; focus on influenza B</t>
  </si>
  <si>
    <t>Infant, Response, Influenza B</t>
  </si>
  <si>
    <t>Bourgeois-Daigneault, Marie-Claude</t>
  </si>
  <si>
    <t>To uncover, understand and exploit the estrogen-oncolytic virus crosstalk to improve therapy</t>
  </si>
  <si>
    <t>estrogen, oncolytic virus, crosstalk</t>
  </si>
  <si>
    <t>Granville, David J</t>
  </si>
  <si>
    <t>Topical Granzyme B Inhibitor Research and Development</t>
  </si>
  <si>
    <t>Granzyme B, Inhibitor</t>
  </si>
  <si>
    <t>Arrowsmith, Cheryl H</t>
  </si>
  <si>
    <t>Toward epigenetic therapy for colon cancer</t>
  </si>
  <si>
    <t>epigenetic, colon cancer</t>
  </si>
  <si>
    <t>Toward personalized immunotherapy: identifying tumour-specific factors that dictate the response of spontaneous mammary cancers to T cells</t>
  </si>
  <si>
    <t>immunotherapy, tumor-specific factors, T cells</t>
  </si>
  <si>
    <t>Toward the cure of neuroblastoma: innovative immunotherapeutic approaches</t>
  </si>
  <si>
    <t>neuroblastoma, immunotherapy, approaches</t>
  </si>
  <si>
    <t>Towards a 3-D classification of adolescent idiopathic scoliosis</t>
  </si>
  <si>
    <t>3-D, classification, scoliosis</t>
  </si>
  <si>
    <t>Towards a Better Understanding of Breast Cancer Intratumoural Heterogeneity</t>
  </si>
  <si>
    <t>breast cancer, intratumoural heterogeneity</t>
  </si>
  <si>
    <t>Towards a Cervical Spine Injury Tolerance Criterion that incorporates Lateral Bending Loading</t>
  </si>
  <si>
    <t>Cervical Spine, Injury Tolerance, Lateral Bending</t>
  </si>
  <si>
    <t>Watts, Tania H</t>
  </si>
  <si>
    <t>Towards a comprehensive understanding of adaptive immunity to SARS-CoV-2</t>
  </si>
  <si>
    <t>adaptive immunity, SARS-CoV-2</t>
  </si>
  <si>
    <t>Towards a low-cost, optimized proton therapy accelerator</t>
  </si>
  <si>
    <t>proton therapy, accelerator</t>
  </si>
  <si>
    <t>Beauregard, Jean-Mathieu</t>
  </si>
  <si>
    <t>Towards Personalized Dosimetry-Based Radioligand Therapy of Prostate Cancer as a New Standard of Practice</t>
  </si>
  <si>
    <t>Dosimetry, Radioligand, Prostate Cancer</t>
  </si>
  <si>
    <t>Yun, Jihyun</t>
  </si>
  <si>
    <t>Towards the non-invasive, most accurate radiotherapy of mobile tumours in a hybrid linac-MR system</t>
  </si>
  <si>
    <t>radiotherapy, mobile tumours, linac-MR</t>
  </si>
  <si>
    <t>Tracing the Cellular and Molecular Origins of Mouse and Human Medulloblastoma</t>
  </si>
  <si>
    <t>cellular, molecular, medulloblastoma</t>
  </si>
  <si>
    <t>Ruthazer, Edward S</t>
  </si>
  <si>
    <t>Transcellular Complementation of Split GFPs and Split Inteins for Mapping Neuronal Circuitry</t>
  </si>
  <si>
    <t>GFPs, Inteins, Neuronal Circuitry</t>
  </si>
  <si>
    <t>Transcription and Translesion Synthesis</t>
  </si>
  <si>
    <t>Transcription, Translesion Synthesis</t>
  </si>
  <si>
    <t>Dutz, Jan P</t>
  </si>
  <si>
    <t>Transcutaneous microsphere vaccine technology</t>
  </si>
  <si>
    <t>Transcutaneous, microsphere, vaccine</t>
  </si>
  <si>
    <t>Transformation of the Tumor Microenvironment with Genetically-modifed Dendritic Cells for T cell-mediated Immunotherapy</t>
  </si>
  <si>
    <t>Tumor, Dendritic Cells, Immunotherapy</t>
  </si>
  <si>
    <t>Transformative Ankle Bracelet</t>
  </si>
  <si>
    <t>Ankle, Bracelet</t>
  </si>
  <si>
    <t>Transformative Bioglass Coatings for Surgical Applications.</t>
  </si>
  <si>
    <t>Bioglass, Coatings, Surgical</t>
  </si>
  <si>
    <t>Transfusion Without Blood Typing: Enzymatic Glycoengineering Towards 'True' Universal Blood</t>
  </si>
  <si>
    <t>transfusion, blood typing, glycoengineering</t>
  </si>
  <si>
    <t>Translating Epigenomics into Clinical Care for Synovial Sarcoma</t>
  </si>
  <si>
    <t>Epigenomics, Synovial Sarcoma, Clinical Care</t>
  </si>
  <si>
    <t>Translating synthetic lethality with common driver events into targeted therapies for high fatality cancers</t>
  </si>
  <si>
    <t>synthetic lethality, driver events, targeted therapies</t>
  </si>
  <si>
    <t>de Kemp, Robert</t>
  </si>
  <si>
    <t>Translational Imaging of Coronary Endothelial Function with Positron Tomography</t>
  </si>
  <si>
    <t>Imaging, Coronary, Positron</t>
  </si>
  <si>
    <t>Translational studies of acquired resistance to antiangiogenic therapies undertaken in new preclinical models of locally advanced or metastatic cancer</t>
  </si>
  <si>
    <t>antiangiogenic, resistance, cancer</t>
  </si>
  <si>
    <t>Matsubara, Joanne A</t>
  </si>
  <si>
    <t>Treating advanced retinal degeneration - rebuilding multiple co-dependent retinal layers with stem cells</t>
  </si>
  <si>
    <t>retinal degeneration, stem cells, retinal layers</t>
  </si>
  <si>
    <t>Treatment induced changes to bone quality: Impact on the skeletal stability of the metastatic spine</t>
  </si>
  <si>
    <t>bone, skeletal, metastasis</t>
  </si>
  <si>
    <t>Treatment of Age Related Macular Degeneration with CD36 Receptor Modulators</t>
  </si>
  <si>
    <t>Macular Degeneration, CD36, Receptor</t>
  </si>
  <si>
    <t>Treatment of Preterm Birth with ProstaglandinF2alpha Receptor Modulators</t>
  </si>
  <si>
    <t>Preterm Birth, ProstaglandinF2alpha, Receptor Modulators</t>
  </si>
  <si>
    <t>Triple negative breast cancer intratumour heterogeneity and disease progression</t>
  </si>
  <si>
    <t>breast cancer, intratumour heterogeneity, disease progression</t>
  </si>
  <si>
    <t>Tumor immunotherapy: enhancing the efficacy of cytotoxic T lymphocytes by IL-21 and IL-15</t>
  </si>
  <si>
    <t>tumor, immunotherapy, cytotoxic T lymphocytes</t>
  </si>
  <si>
    <t>Price, Eric W</t>
  </si>
  <si>
    <t>Tumor targeted, radiolabeled, mimetic nanovesicle theranostics for imaging and treating head and neck cancer</t>
  </si>
  <si>
    <t>tumor, radiolabeled, nanovesicle</t>
  </si>
  <si>
    <t>Tumor-infiltrating T cells in ovarian cancer: functional impact on patient survival</t>
  </si>
  <si>
    <t>Tumor-infiltrating T cells, ovarian cancer, patient survival</t>
  </si>
  <si>
    <t>Tumour cell reprogramming in pancreatic ductal adenocarcinoma as a means for therapeutic resistance</t>
  </si>
  <si>
    <t>tumour cell reprogramming, pancreatic ductal adenocarcinoma, therapeutic resistance</t>
  </si>
  <si>
    <t>Lange, Philipp</t>
  </si>
  <si>
    <t>Tumour microenvironment mediated cell surface shedding creates unique targets and markers</t>
  </si>
  <si>
    <t>tumour, microenvironment, cell surface</t>
  </si>
  <si>
    <t>Tumour suppressor mediated mechanisms of angiogenesis inhibition</t>
  </si>
  <si>
    <t>tumour suppressor, angiogenesis</t>
  </si>
  <si>
    <t>Tumour-Initiating Cells in Oral Cancer Patients: Predictors of Outcome and Identification of Candidate Therapeutic Targets</t>
  </si>
  <si>
    <t>Tumour-Initiating Cells, Oral Cancer, Therapeutic Targets</t>
  </si>
  <si>
    <t>Tumour-suppressive regulation of the Wnt/e-catenin signaling pathway by the CTLH complex</t>
  </si>
  <si>
    <t>Wnt, e-catenin, CTLH</t>
  </si>
  <si>
    <t>Tuning-up thymopoiesis by targeting interleukin-21 to the bone marrow</t>
  </si>
  <si>
    <t>thymopoiesis, interleukin-21, bone marrow</t>
  </si>
  <si>
    <t>Ultra high field MRI measurements of tissue magnetic susceptibility in Multiple Sclerosis</t>
  </si>
  <si>
    <t>MRI, magnetic susceptibility, Multiple Sclerosis</t>
  </si>
  <si>
    <t>Ultrasound activated bubbles to potentiate cancer therapy</t>
  </si>
  <si>
    <t>Ultrasound, Bubbles, Cancer</t>
  </si>
  <si>
    <t>Ultrasound Guidance for Epidural Analgesia and Anesthesia</t>
  </si>
  <si>
    <t>Ultrasound, Epidural, Analgesia</t>
  </si>
  <si>
    <t>Ultrasound Imaging Investigation of Resistance and Adaptation to Targeted Anti-cancer Therapeutics</t>
  </si>
  <si>
    <t>Ultrasound, Imaging, Anti-cancer</t>
  </si>
  <si>
    <t>Ultrasound Platform for A Priori Therapy Response Prediction</t>
  </si>
  <si>
    <t>Ultrasound, Therapy Response, Prediction</t>
  </si>
  <si>
    <t>Helfield, Brandon</t>
  </si>
  <si>
    <t>Ultrasound-assisted microRNA delivery towards the treatment of pathological cardiac hypertrophy</t>
  </si>
  <si>
    <t>ultrasound, microRNA, cardiac hypertrophy</t>
  </si>
  <si>
    <t>Ultrasound-Mediated Drug Delivery to the Spinal Cord</t>
  </si>
  <si>
    <t>Ultrasound, Drug Delivery, Spinal Cord</t>
  </si>
  <si>
    <t>Ultrasound-Stimulated Microbubble Enhancement of Tumour Radiation Response</t>
  </si>
  <si>
    <t>Collins, Colin C</t>
  </si>
  <si>
    <t>Uncovering early mediators of lineage plasticity and validation of a metabolic vulnerability in neuroendocrine prostate cancer</t>
  </si>
  <si>
    <t>lineage plasticity, metabolic vulnerability, neuroendocrine prostate cancer</t>
  </si>
  <si>
    <t>Chenoweth, Meghan J</t>
  </si>
  <si>
    <t>Uncovering the biological liability to migraine and anxiety in women</t>
  </si>
  <si>
    <t>biological, migraine, anxiety</t>
  </si>
  <si>
    <t>Uncovering the mechanism and impact of novel genetic and epigenetic promoter alterations on tissue-specific mismatch repair deficient cancers</t>
  </si>
  <si>
    <t>genetic, epigenetic, mismatch repair</t>
  </si>
  <si>
    <t>Uncovering the molecular biomarkers of radiation responsiveness in meningiomas</t>
  </si>
  <si>
    <t>molecular biomarkers, radiation, meningiomas</t>
  </si>
  <si>
    <t>Hoang, Trang K</t>
  </si>
  <si>
    <t>Uncovering tumor specific antigens and vulnerabilities in ETP-acute lymphoblastic leukemia</t>
  </si>
  <si>
    <t>tumor antigens, vulnerabilities, leukemia</t>
  </si>
  <si>
    <t>Underpinning neuro-vascular decoupling in resting state networks of vascular diseases</t>
  </si>
  <si>
    <t>neuro-vascular, decoupling, resting state networks</t>
  </si>
  <si>
    <t>Understanding and exploiting the CIP2A-BRCA synthetic lethality</t>
  </si>
  <si>
    <t>CIP2A, BRCA, synthetic lethality</t>
  </si>
  <si>
    <t>Understanding DNA repair pathway choice control.</t>
  </si>
  <si>
    <t>DNA, repair, pathway</t>
  </si>
  <si>
    <t>Carreau, Madeleine</t>
  </si>
  <si>
    <t>Understanding Head and Neck Squamous Cell Carcinoma onset in young adults</t>
  </si>
  <si>
    <t>Head, Neck, Carcinoma</t>
  </si>
  <si>
    <t>Understanding how oxidative stress influences tumor evolution via metabolic reprogramming</t>
  </si>
  <si>
    <t>oxidative stress, tumor, metabolic reprogramming</t>
  </si>
  <si>
    <t>Understanding how the miR-200 family prevents tumor initiation and impairs tumor growth</t>
  </si>
  <si>
    <t>miR-200, tumor, growth</t>
  </si>
  <si>
    <t>Understanding inevitable relapse of multiple myeloma following highly-effective anti-BCMA treatment</t>
  </si>
  <si>
    <t>multiple myeloma, anti-BCMA, relapse</t>
  </si>
  <si>
    <t>Piche, Alain</t>
  </si>
  <si>
    <t>Understanding the contribution of ovarian cancer ascites to drug and death receptor resistance</t>
  </si>
  <si>
    <t>ovarian cancer, ascites, resistance</t>
  </si>
  <si>
    <t>Understanding the effects of ERK hyperactivation in cancer: implications for therapy</t>
  </si>
  <si>
    <t>ERK, hyperactivation, cancer</t>
  </si>
  <si>
    <t>Gobeil, Stephane</t>
  </si>
  <si>
    <t>Understanding the function and regulation of the new metastasis suppressor gene Growth Arrest Specific 1 (GAS1)</t>
  </si>
  <si>
    <t>metastasis, suppressor gene, GAS1</t>
  </si>
  <si>
    <t>Sauvageau, Guy</t>
  </si>
  <si>
    <t>Understanding the GR/PLZF axis in acute myeloid leukemia</t>
  </si>
  <si>
    <t>GR, PLZF, leukemia</t>
  </si>
  <si>
    <t>Understanding the Interaction of Acute Myeloid Leukemia with the Bone Marrow Microenvironment: Elucidating New Therapeutic Targets Through In Vivo Imaging</t>
  </si>
  <si>
    <t>Acute Myeloid Leukemia, Bone Marrow, In Vivo Imaging</t>
  </si>
  <si>
    <t>Understanding the mechanisms of lung cancer development in never smokers</t>
  </si>
  <si>
    <t>lung cancer, mechanisms, smokers</t>
  </si>
  <si>
    <t>Understanding the mechanisms of treatment response in glioblastoma</t>
  </si>
  <si>
    <t>glioblastoma, response, mechanisms</t>
  </si>
  <si>
    <t>Understanding the role of beta1 integrins in chemoresistance of acute lymphoblastic leukemia and therapeutic implications</t>
  </si>
  <si>
    <t>beta1 integrins, chemoresistance, leukemia</t>
  </si>
  <si>
    <t>Understanding the role of chronic chlamydial infection in ovarian cancer</t>
  </si>
  <si>
    <t>chlamydial infection, ovarian cancer</t>
  </si>
  <si>
    <t>Mercier, Franeois</t>
  </si>
  <si>
    <t>Understanding the role of eIF4A in AML progression and relapse</t>
  </si>
  <si>
    <t>eIF4A, AML, relapse</t>
  </si>
  <si>
    <t>Understanding the role of the MNK-eIF4E axis in the response and resistance to BRAF inhibitors.</t>
  </si>
  <si>
    <t>MNK, eIF4E, BRAF</t>
  </si>
  <si>
    <t>Understanding the unusual effectiveness of Virus-Like Particle (VLP) vaccines made in plants</t>
  </si>
  <si>
    <t>Virus-Like Particle, vaccines, plants</t>
  </si>
  <si>
    <t>Tayade, Chandrakant</t>
  </si>
  <si>
    <t>Unique extracellular vesicle signatures in the pathophysiology of endometriosis</t>
  </si>
  <si>
    <t>extracellular vesicle, endometriosis, signatures</t>
  </si>
  <si>
    <t>Universal Antibiofilm Coating Solutions for Ureteral Stents</t>
  </si>
  <si>
    <t>Antibiofilm, Coating, Ureteral Stents</t>
  </si>
  <si>
    <t>Phani, Srikantha A</t>
  </si>
  <si>
    <t>Universal Smart Guided-Catheter Systems Based on Novel Shape Memory Polymer Brush Actuators for Minimally Invasive Vascular Surgery</t>
  </si>
  <si>
    <t>Smart, Catheter, Shape Memory Polymer</t>
  </si>
  <si>
    <t>Workenhe, Samuel Tekeste</t>
  </si>
  <si>
    <t>Unraveling how programmed cell death shapes anticancer immunity</t>
  </si>
  <si>
    <t>programmed cell death, anticancer immunity</t>
  </si>
  <si>
    <t>Rudko, David A</t>
  </si>
  <si>
    <t>Unraveling Silent Progression in MS Using Advanced Quantitative MRI, PET Molecular Imaging and Computational Neuroanatomy</t>
  </si>
  <si>
    <t>MRI, PET, Neuroanatomy</t>
  </si>
  <si>
    <t>Fradet-Turcotte, Amelie</t>
  </si>
  <si>
    <t>Unraveling the molecular mechanisms that promote replication stress and resistance to chemoradiation in oropharyngeal cancer caused by human papillomavirus</t>
  </si>
  <si>
    <t>replication stress, chemoradiation, oropharyngeal cancer</t>
  </si>
  <si>
    <t>Mes-Masson, Anne-Marie</t>
  </si>
  <si>
    <t>Centre hospitalier de l'Universite de Montreal (CHUM)</t>
  </si>
  <si>
    <t>Unveiling the Role of Cellular Aging in Postmenopausal Syndrome: Rationale for Senolytic-Based Strategies to Enhance Women's Health</t>
  </si>
  <si>
    <t>cellular aging, senolytic, women's health</t>
  </si>
  <si>
    <t>Upfront Adaptive Immunotherapy Approach for Hypermutant Glioblastoma in Children, Adolescents and Young Adults</t>
  </si>
  <si>
    <t>Adaptive Immunotherapy, Glioblastoma, Hypermutant</t>
  </si>
  <si>
    <t>202403PJX</t>
  </si>
  <si>
    <t>Urethral reconstruction using tissue engineering, final steps towards clinical translation</t>
  </si>
  <si>
    <t>urethral, tissue engineering, clinical</t>
  </si>
  <si>
    <t>Yuen, Darren A</t>
  </si>
  <si>
    <t>Using "enhanced ultrasound" to help select the best kidneys for transplantation</t>
  </si>
  <si>
    <t>ultrasound, kidneys, transplantation</t>
  </si>
  <si>
    <t>Using AI to predict the presence of occult invasive carcinoma following diagnosis of DCIS on biopsy</t>
  </si>
  <si>
    <t>AI, carcinoma, biopsy</t>
  </si>
  <si>
    <t>Razak, Fahad</t>
  </si>
  <si>
    <t>Using artificial intelligence to identify and predict delirium among hospitalized medical patients</t>
  </si>
  <si>
    <t>artificial intelligence, delirium, hospitalized patients</t>
  </si>
  <si>
    <t>Using deep learning to estimate breast cancer recurrence scores from histopathology images</t>
  </si>
  <si>
    <t>deep learning, breast cancer, histopathology</t>
  </si>
  <si>
    <t>Using genetically engineered mouse models to define variables producing pancreatic ductal adenocarcinoma heterogeneity</t>
  </si>
  <si>
    <t>genetically engineered, mouse models, pancreatic ductal adenocarcinoma</t>
  </si>
  <si>
    <t>Mazwi, Mjaye L</t>
  </si>
  <si>
    <t>Using heart rhythm detection as a prototype to translate machine learning equitably and reproducibly to the point of care</t>
  </si>
  <si>
    <t>heart rhythm, machine learning, point of care</t>
  </si>
  <si>
    <t>Using magnetic resonance imaging to non-invasively image and quantify kidney fibrosis</t>
  </si>
  <si>
    <t>magnetic resonance imaging, kidney fibrosis, imaging</t>
  </si>
  <si>
    <t>Using MRI imaging to develop a personalized risk-based breast cancer screening strategy</t>
  </si>
  <si>
    <t>MRI, breast cancer, screening</t>
  </si>
  <si>
    <t>Using the zebrafish as a model for chemoprevention for TP53 mutation carriers</t>
  </si>
  <si>
    <t>zebrafish, chemoprevention, TP53</t>
  </si>
  <si>
    <t>Hodgson, Antony J</t>
  </si>
  <si>
    <t>Using Three-Dimensional Ultrasound to Improve Diagnosis, Guide Surgery and Reduce Radiation in Orthopaedic Trauma and Pediatric Orthopaedics</t>
  </si>
  <si>
    <t>Ultrasound, Orthopaedic, Pediatric</t>
  </si>
  <si>
    <t>Wellington, Cheryl L</t>
  </si>
  <si>
    <t>Using translational biomarkers to define whether plane of motion and complexity of head kinematics modifies biomarker and neuropathological responses to concussion in mice and humans.</t>
  </si>
  <si>
    <t>biomarkers, head kinematics, concussion</t>
  </si>
  <si>
    <t>Ashkar, Ali A</t>
  </si>
  <si>
    <t>Utilizing chimeric antigen receptors to direct autologous NK cell cytotoxicity to breast cancer</t>
  </si>
  <si>
    <t>chimeric antigen receptors, NK cell, breast cancer</t>
  </si>
  <si>
    <t>Laussen, Peter C</t>
  </si>
  <si>
    <t>Utilizing high resolution physiological data and artificial intelligence to develop a pediatric cardiac arrest prediction tool for integration into bedside clinical practice</t>
  </si>
  <si>
    <t>physiological data, artificial intelligence, cardiac arrest</t>
  </si>
  <si>
    <t>Falzarano, Darryl</t>
  </si>
  <si>
    <t>Vaccine efficacy in nonhuman primates against SARS-CoV-2: protection, cross-protection and immune enhancement</t>
  </si>
  <si>
    <t>Vaccine, SARS-CoV-2, primates</t>
  </si>
  <si>
    <t>Kollmann, Tobias R</t>
  </si>
  <si>
    <t>Vaccines for Asthma and Allergies - an Immune-Prophylactic and -Therapeutic Approach</t>
  </si>
  <si>
    <t>Vaccines, Asthma, Allergies</t>
  </si>
  <si>
    <t>Validation of a novel biomarker classifier that predicts radiation response following breast-conserving surgery for ductal carcinoma in situ (DCIS)</t>
  </si>
  <si>
    <t>biomarker, classifier, radiation</t>
  </si>
  <si>
    <t>Validation of two novel pancreatic cancer biomarkers: CUZD1 and LAMC2</t>
  </si>
  <si>
    <t>pancreatic cancer, biomarkers, CUZD1</t>
  </si>
  <si>
    <t>O'Brien, Edward R</t>
  </si>
  <si>
    <t>Vascular Health and Disease: New Concepts &amp; Therapeutic Opportunities</t>
  </si>
  <si>
    <t>Vascular, Health, Disease</t>
  </si>
  <si>
    <t>Vascular normalization improves immunotherapy in advanced stage ovarian cancer.</t>
  </si>
  <si>
    <t>Vascular normalization, immunotherapy, ovarian cancer</t>
  </si>
  <si>
    <t>Vascularized regenerative biomaterials for medical devices and cell therapy</t>
  </si>
  <si>
    <t>Vascularized, biomaterials, cell therapy</t>
  </si>
  <si>
    <t>Viral mimicry tolerance as a mechanism of early tumor immune evasion</t>
  </si>
  <si>
    <t>viral, mimicry, immune</t>
  </si>
  <si>
    <t>Alain, Tommy</t>
  </si>
  <si>
    <t>Viralyzing transgenes to improve oncolytic immunotherapy</t>
  </si>
  <si>
    <t>Viralyzing, transgenes, immunotherapy</t>
  </si>
  <si>
    <t>Virtual Peer-to-Peer (VP2P) Support Mentoring for Adolescents with Juvenile Idiopathic Arthritis: A Feasibility Pilot Randomized Controlled Trial</t>
  </si>
  <si>
    <t>Virtual, Peer-to-Peer, Juvenile Idiopathic Arthritis</t>
  </si>
  <si>
    <t>Vision Rescue: Transforming Therapeutics with Hydrogel Delivery</t>
  </si>
  <si>
    <t>Vision, Hydrogel, Delivery</t>
  </si>
  <si>
    <t>Jomha, Nadr M</t>
  </si>
  <si>
    <t>Vitrification and transplantation of articular cartilage</t>
  </si>
  <si>
    <t>Vitrification, transplantation, articular cartilage</t>
  </si>
  <si>
    <t>Wearable sensors to promote arm and hand function after stroke</t>
  </si>
  <si>
    <t>wearable sensors, arm function, hand function</t>
  </si>
  <si>
    <t>Where is Autism Located in the Brain?</t>
  </si>
  <si>
    <t>Autism, Brain, Localization</t>
  </si>
  <si>
    <t>Gladdy, Rebecca A</t>
  </si>
  <si>
    <t>Whole Genome Sequencing Defines Leiomyosarcoma Evolution and Identifies Therapeutic Opportunities in the DNA Damage Pathway</t>
  </si>
  <si>
    <t>Genome, Sequencing, Leiomyosarcoma</t>
  </si>
  <si>
    <t>Wide-field polarimetric imaging for targeted and rapid high-sensitivity analysis of breast cancer margins and heterogeneity with mass spectrometry</t>
  </si>
  <si>
    <t>polarimetric, imaging, mass spectrometry</t>
  </si>
  <si>
    <t>Poon, Joyce</t>
  </si>
  <si>
    <t>Wireless neurophotonic probes for the interrogation of neurons in memory circuits</t>
  </si>
  <si>
    <t>wireless, neurophotonic, neurons</t>
  </si>
  <si>
    <t>Wnt activation as a therapeutic strategy for treatment-refractory childhood medulloblastoma</t>
  </si>
  <si>
    <t>Wnt, medulloblastoma, activation</t>
  </si>
  <si>
    <t>Zebrafish as an in vivo model of vertebrate mast cell development and systemic mastocytosis</t>
  </si>
  <si>
    <t>zebrafish, mast cell, systemic mastocytosis</t>
  </si>
  <si>
    <t>Row Labels</t>
  </si>
  <si>
    <t>Count of Name</t>
  </si>
  <si>
    <t>Proportion %</t>
  </si>
  <si>
    <t>Sum of CIHR_Equipment</t>
  </si>
  <si>
    <t>Sum of CIHR_Contribution</t>
  </si>
  <si>
    <t>Grand Total</t>
  </si>
  <si>
    <t>Sum of Patents</t>
  </si>
  <si>
    <t>2009</t>
  </si>
  <si>
    <t>2010</t>
  </si>
  <si>
    <t>2011</t>
  </si>
  <si>
    <t>2012</t>
  </si>
  <si>
    <t>2013</t>
  </si>
  <si>
    <t>2014</t>
  </si>
  <si>
    <t>2015</t>
  </si>
  <si>
    <t>2016</t>
  </si>
  <si>
    <t>2017</t>
  </si>
  <si>
    <t>2018</t>
  </si>
  <si>
    <t>2019</t>
  </si>
  <si>
    <t>2020</t>
  </si>
  <si>
    <t>2021</t>
  </si>
  <si>
    <t>2022</t>
  </si>
  <si>
    <t>2023</t>
  </si>
  <si>
    <t>2024</t>
  </si>
  <si>
    <t>10+</t>
  </si>
  <si>
    <t>companies</t>
  </si>
  <si>
    <t>companies_count</t>
  </si>
  <si>
    <t>company_position</t>
  </si>
  <si>
    <t>Turnstone Limited Partnership (Turnstone Biologics, Turnstone Biologics Corp.)</t>
  </si>
  <si>
    <t>C-suite</t>
  </si>
  <si>
    <t>D5 Pharma Inc.</t>
  </si>
  <si>
    <t>Aviex Technologies Llc</t>
  </si>
  <si>
    <t>Nomic Bio Inc. (nplex Biosciences)</t>
  </si>
  <si>
    <t>Innovogene Biosciences Inc</t>
  </si>
  <si>
    <t>Lionsgate Technologies, Inc.</t>
  </si>
  <si>
    <t>Kapoose Creek Bio Corporation (Kapoose Creek Wellnesss Ltd.)</t>
  </si>
  <si>
    <t>SBI ALApharma Canada Inc.</t>
  </si>
  <si>
    <t>Ortho Regenerative Technologies Inc. (ChitogenX inc.)</t>
  </si>
  <si>
    <t>Essa Pharma inc.</t>
  </si>
  <si>
    <t>3D Signatures Inc. (Telo Genomics Corp.)</t>
  </si>
  <si>
    <t>Triumvira Immunologics Usa, Inc.</t>
  </si>
  <si>
    <t>Neurochip Corporation</t>
  </si>
  <si>
    <t>Rjh Biosciences Inc.</t>
  </si>
  <si>
    <t>Quthero Inc.</t>
  </si>
  <si>
    <t>Alpha-9 Oncology Inc. (Alpha-9 theranostics)</t>
  </si>
  <si>
    <t>Epok Therapeutics Inc.</t>
  </si>
  <si>
    <t>Pemi31 Therapeutics Inc.</t>
  </si>
  <si>
    <t>Illumisonics Inc.</t>
  </si>
  <si>
    <t>Phoenix Molecular Diagnostics Ltd. (Phoenix Molecular Designs)</t>
  </si>
  <si>
    <t>Cava Healthcare Inc. (Alternative Extracts inc.)</t>
  </si>
  <si>
    <t>Magellan Biomedical Inc.</t>
  </si>
  <si>
    <t>Adela, Inc. (DNAMx)</t>
  </si>
  <si>
    <t>Metasignal Therapeutics Inc. (SignalChem Lifesciences Corporation)</t>
  </si>
  <si>
    <t>Nanovation Therapeutics Inc.</t>
  </si>
  <si>
    <t>Aegis Life Inc.</t>
  </si>
  <si>
    <t>Quthero Inc.; Tara Biosystems Inc.</t>
  </si>
  <si>
    <t>Researcher_ID</t>
  </si>
  <si>
    <t>grant_ID</t>
  </si>
  <si>
    <t>company</t>
  </si>
  <si>
    <t>series_a</t>
  </si>
  <si>
    <t>series_a_investment</t>
  </si>
  <si>
    <t>series_b</t>
  </si>
  <si>
    <t>series_b_investment</t>
  </si>
  <si>
    <t>series_c</t>
  </si>
  <si>
    <t>series_c_investment</t>
  </si>
  <si>
    <t>series_d</t>
  </si>
  <si>
    <t>series_d_investment</t>
  </si>
  <si>
    <t>series_e</t>
  </si>
  <si>
    <t>series_e_investment</t>
  </si>
  <si>
    <t>series_other</t>
  </si>
  <si>
    <t>series_other_investment</t>
  </si>
  <si>
    <t>Exits</t>
  </si>
  <si>
    <t>Exits_Amount</t>
  </si>
  <si>
    <t>Investors</t>
  </si>
  <si>
    <t>Investor_location</t>
  </si>
  <si>
    <t>IPO</t>
  </si>
  <si>
    <t>Canada</t>
  </si>
  <si>
    <t>F-Prime</t>
  </si>
  <si>
    <t>US</t>
  </si>
  <si>
    <t>BioMmune Technologies Inc (Pascal Biosciences inc.)</t>
  </si>
  <si>
    <t>Global</t>
  </si>
  <si>
    <t>UNKOWN</t>
  </si>
  <si>
    <t>Private</t>
  </si>
  <si>
    <t>Clarus Lifesciences, Deerfield Management</t>
  </si>
  <si>
    <t>Venture</t>
  </si>
  <si>
    <t>ACQ</t>
  </si>
  <si>
    <t>Sino Biological</t>
  </si>
  <si>
    <t>MolecuLight Inc.</t>
  </si>
  <si>
    <t>Hayfin, Azahar, BDC Capital, SWK Holdings, Oxford Finance</t>
  </si>
  <si>
    <t>SR One, Casdin Captial, Amplitude Ventures, Avant Bio, Lux Capital, Real Ventures</t>
  </si>
  <si>
    <t>Pallasite Ventures, World Changing Ventures</t>
  </si>
  <si>
    <t>Ontario Center for Innovation</t>
  </si>
  <si>
    <t>Repare Therapeutics Inc.</t>
  </si>
  <si>
    <t>Cowen Healthcare, MPM Capital, Versant Ventures</t>
  </si>
  <si>
    <t>Bill gates foundation</t>
  </si>
  <si>
    <t>Tara Biosystems Inc.</t>
  </si>
  <si>
    <t>180 Degree Capital, OMX Ventures</t>
  </si>
  <si>
    <t>B Capital, Leaps by Bayer, Northpond Ventures</t>
  </si>
  <si>
    <t>Versant Ventures, OrbiMed, Takeda, PFM Health Sciences, Point72</t>
  </si>
  <si>
    <t>California</t>
  </si>
  <si>
    <t>Vaxxel SAS</t>
  </si>
  <si>
    <t>Bpifrance, Femmes Business Angels, Angels Sante</t>
  </si>
  <si>
    <t>Post-IPO Equity</t>
  </si>
  <si>
    <t>Ascenta Capital, Lightspeed Venture Partners, Nextech Invest, Longitude Capital</t>
  </si>
  <si>
    <t>Grant Demographics Data</t>
  </si>
  <si>
    <t>Patent Data</t>
  </si>
  <si>
    <t>Sum of CIHR Funding (millions CAD)</t>
  </si>
  <si>
    <t>Did Not File Patents Count</t>
  </si>
  <si>
    <t>Patent Counts</t>
  </si>
  <si>
    <t>Recipient Counts</t>
  </si>
  <si>
    <t>Proportion of Recipients</t>
  </si>
  <si>
    <t>All Recipients</t>
  </si>
  <si>
    <t>Quebec Only</t>
  </si>
  <si>
    <t>Circulatory and Respiratory Health Only</t>
  </si>
  <si>
    <t>Sum of companies_count</t>
  </si>
  <si>
    <t>Company Count</t>
  </si>
  <si>
    <t>Recipient Count</t>
  </si>
  <si>
    <t>Proportion of Recipient</t>
  </si>
  <si>
    <t>Did not form companies</t>
  </si>
  <si>
    <t>Recipients that Filed Patent Count</t>
  </si>
  <si>
    <t>Recipients that Formed Companies</t>
  </si>
  <si>
    <t>Province</t>
  </si>
  <si>
    <t>Term_Years</t>
  </si>
  <si>
    <r>
      <rPr>
        <sz val="1"/>
        <color theme="0"/>
        <rFont val="Aptos Narrow"/>
        <family val="2"/>
        <scheme val="minor"/>
      </rPr>
      <t>z</t>
    </r>
    <r>
      <rPr>
        <sz val="12"/>
        <color theme="1"/>
        <rFont val="Aptos Narrow"/>
        <family val="2"/>
        <scheme val="minor"/>
      </rPr>
      <t>N/A</t>
    </r>
  </si>
  <si>
    <t>Total_investment</t>
  </si>
  <si>
    <t>IPO (Undisclosed)</t>
  </si>
  <si>
    <t>Company Round (Undisclosed)</t>
  </si>
  <si>
    <t>TRUE (Undisclosed)</t>
  </si>
  <si>
    <t>TRUE (undisclosed)</t>
  </si>
  <si>
    <t>Undisclosed</t>
  </si>
  <si>
    <t>Disclosed?</t>
  </si>
  <si>
    <t>Series Round Investment Data</t>
  </si>
  <si>
    <t>Number of companies with series A investment or above:</t>
  </si>
  <si>
    <t>Proportion:</t>
  </si>
  <si>
    <t>Number of companies with exits</t>
  </si>
  <si>
    <t>Efficiency Ratio</t>
  </si>
  <si>
    <t>Efficiency Ratio Log</t>
  </si>
  <si>
    <t>CIHR Contribution</t>
  </si>
  <si>
    <t>Average amount of investment in TECH companies</t>
  </si>
  <si>
    <t>Total number recipients</t>
  </si>
  <si>
    <t>Bratman, Scott V; De Carvalho, Daniel</t>
  </si>
  <si>
    <t>Buschmann, Michael D; Hoemann, Caroline D</t>
  </si>
  <si>
    <t>Bell, John C; Wan, Yonghong; Stojdl, David 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</si>
</sst>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6" formatCode="&quot;$&quot;#,##0_);[Red]\(&quot;$&quot;#,##0\)"/>
    <numFmt numFmtId="164" formatCode="_-&quot;$&quot;* #,##0.00_-;\-&quot;$&quot;* #,##0.00_-;_-&quot;$&quot;* &quot;-&quot;??_-;_-@_-"/>
    <numFmt numFmtId="165" formatCode="0.0%"/>
    <numFmt numFmtId="166" formatCode="_-[$$-1009]* #,##0_-;\-[$$-1009]* #,##0_-;_-[$$-1009]* &quot;-&quot;??_-;_-@_-"/>
    <numFmt numFmtId="167" formatCode="0.0000%"/>
    <numFmt numFmtId="168" formatCode="&quot;$&quot;#,##0"/>
    <numFmt numFmtId="169" formatCode="_-&quot;$&quot;* #,##0.00000_-;\-&quot;$&quot;* #,##0.00000_-;_-&quot;$&quot;* &quot;-&quot;??_-;_-@_-"/>
    <numFmt numFmtId="170" formatCode="_-&quot;$&quot;* #,##0_-;\-&quot;$&quot;* #,##0_-;_-&quot;$&quot;* &quot;-&quot;??_-;_-@_-"/>
    <numFmt numFmtId="171" formatCode="0.0000"/>
  </numFmts>
  <fonts count="24"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7"/>
      <color rgb="FF222222"/>
      <name val="Arial"/>
      <family val="2"/>
    </font>
    <font>
      <b/>
      <sz val="12"/>
      <color theme="1"/>
      <name val="Aptos Narrow"/>
      <scheme val="minor"/>
    </font>
    <font>
      <b/>
      <sz val="16"/>
      <color theme="1"/>
      <name val="Aptos Narrow"/>
      <scheme val="minor"/>
    </font>
    <font>
      <sz val="12"/>
      <color theme="1"/>
      <name val="Aptos Narrow"/>
      <scheme val="minor"/>
    </font>
    <font>
      <sz val="1"/>
      <color theme="0"/>
      <name val="Aptos Narrow"/>
      <family val="2"/>
      <scheme val="minor"/>
    </font>
    <font>
      <sz val="12"/>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xf numFmtId="164" fontId="1" fillId="0" borderId="0" applyFont="0" applyFill="0" applyBorder="0" applyAlignment="0" applyProtection="0"/>
  </cellStyleXfs>
  <cellXfs count="25">
    <xf numFmtId="0" fontId="0" fillId="0" borderId="0" xfId="0"/>
    <xf numFmtId="6" fontId="0" fillId="0" borderId="0" xfId="0" applyNumberFormat="1"/>
    <xf numFmtId="14" fontId="0" fillId="0" borderId="0" xfId="0" applyNumberFormat="1"/>
    <xf numFmtId="0" fontId="0" fillId="0" borderId="0" xfId="0" applyAlignment="1">
      <alignment horizontal="left"/>
    </xf>
    <xf numFmtId="0" fontId="0" fillId="0" borderId="0" xfId="0" pivotButton="1"/>
    <xf numFmtId="165" fontId="0" fillId="0" borderId="0" xfId="42" applyNumberFormat="1" applyFont="1"/>
    <xf numFmtId="0" fontId="18" fillId="0" borderId="0" xfId="0" applyFont="1" applyAlignment="1">
      <alignment horizontal="left" vertical="center" wrapText="1" indent="1"/>
    </xf>
    <xf numFmtId="166" fontId="0" fillId="0" borderId="0" xfId="0" applyNumberFormat="1"/>
    <xf numFmtId="167" fontId="0" fillId="0" borderId="0" xfId="42" applyNumberFormat="1" applyFont="1"/>
    <xf numFmtId="0" fontId="20" fillId="0" borderId="0" xfId="0" applyFont="1"/>
    <xf numFmtId="0" fontId="19" fillId="0" borderId="0" xfId="0" applyFont="1" applyAlignment="1">
      <alignment horizontal="left"/>
    </xf>
    <xf numFmtId="0" fontId="20" fillId="0" borderId="0" xfId="0" applyFont="1" applyAlignment="1">
      <alignment horizontal="left"/>
    </xf>
    <xf numFmtId="169" fontId="0" fillId="0" borderId="0" xfId="43" applyNumberFormat="1" applyFont="1"/>
    <xf numFmtId="10" fontId="0" fillId="0" borderId="0" xfId="42" applyNumberFormat="1" applyFont="1"/>
    <xf numFmtId="0" fontId="21" fillId="0" borderId="0" xfId="0" applyFont="1"/>
    <xf numFmtId="170" fontId="0" fillId="0" borderId="0" xfId="43" applyNumberFormat="1" applyFont="1"/>
    <xf numFmtId="16" fontId="0" fillId="0" borderId="0" xfId="0" applyNumberFormat="1"/>
    <xf numFmtId="170" fontId="0" fillId="0" borderId="0" xfId="0" applyNumberFormat="1"/>
    <xf numFmtId="0" fontId="23" fillId="0" borderId="0" xfId="0" applyFont="1"/>
    <xf numFmtId="170" fontId="23" fillId="0" borderId="0" xfId="43" applyNumberFormat="1" applyFont="1" applyFill="1"/>
    <xf numFmtId="171" fontId="23" fillId="0" borderId="0" xfId="43" applyNumberFormat="1" applyFont="1" applyFill="1"/>
    <xf numFmtId="170" fontId="23" fillId="0" borderId="0" xfId="0" applyNumberFormat="1" applyFont="1"/>
    <xf numFmtId="168" fontId="23" fillId="0" borderId="0" xfId="0" applyNumberFormat="1" applyFont="1"/>
    <xf numFmtId="2" fontId="23" fillId="0" borderId="0" xfId="42" applyNumberFormat="1" applyFont="1" applyFill="1"/>
    <xf numFmtId="2" fontId="0" fillId="0" borderId="0" xfId="42" applyNumberFormat="1" applyFont="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3"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pivotCacheDefinition" Target="pivotCache/pivotCacheDefinition1.xml"/><Relationship Id="rId9" Type="http://schemas.openxmlformats.org/officeDocument/2006/relationships/customXml" Target="../customXml/item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son Choi" refreshedDate="45872.860968749999" createdVersion="8" refreshedVersion="8" minRefreshableVersion="3" recordCount="1754" xr:uid="{2F22E195-0872-FA44-8670-4A986F98FC6E}">
  <cacheSource type="worksheet">
    <worksheetSource ref="A2:R1756" sheet="TECH"/>
  </cacheSource>
  <cacheFields count="21">
    <cacheField name="Name" numFmtId="0">
      <sharedItems count="1034">
        <s v="Mai, Sabine"/>
        <s v="Bratman, Scott V"/>
        <s v="De Carvalho, Daniel"/>
        <s v="Lewis, John D"/>
        <s v="Lin, Kuo-Shyan"/>
        <s v="Ward, Brian J"/>
        <s v="Jefferies, Wilfred A"/>
        <s v="Gariepy, Jean"/>
        <s v="Sidhu, Sachdev S"/>
        <s v="Sadar, Marianne D"/>
        <s v="Haji Reza, Parsin"/>
        <s v="Li, Yingfu"/>
        <s v="Brown, Eric D"/>
        <s v="Ansermino, John M"/>
        <s v="Wright, Graham A"/>
        <s v="Dedhar, Shoukat R"/>
        <s v="Dacosta, Ralph S"/>
        <s v="Cullis, Pieter R"/>
        <s v="Bardakjian, Berj L"/>
        <s v="Juncker, David"/>
        <s v="Buschmann, Michael D"/>
        <s v="Hoemann, Caroline D"/>
        <s v="O'Brien, Edward R"/>
        <s v="Dunn, Sandra E"/>
        <s v="Radisic, Milica"/>
        <s v="Durocher, Daniel"/>
        <s v="Uludag, Hasan"/>
        <s v="Bramson, Jonathan L"/>
        <s v="Stojdl, David F"/>
        <s v="Wan, Yonghong"/>
        <s v="Bell, John C"/>
        <s v="Boivin, Guy"/>
        <s v="Exner, Derek V"/>
        <s v="Holdsworth, David W"/>
        <s v="Sarret, Philippe"/>
        <s v="Abbasi Nejad Enger, Shirin"/>
        <s v="Abolmaesumi, Purang"/>
        <s v="Abraham, Sheela A"/>
        <s v="Acker, Jason P"/>
        <s v="Adachi, Jonathan D"/>
        <s v="Adams, Kimberley D"/>
        <s v="Adamson, Robert B"/>
        <s v="Adeli, Khosrow"/>
        <s v="Ahmed, Shahid"/>
        <s v="Ahmed, Sofia B"/>
        <s v="Ailles, Laurie E"/>
        <s v="Alain, Tommy"/>
        <s v="Alaoui-Jamali, Moulay A"/>
        <s v="Algar, Walter R"/>
        <s v="Alhazzani, Waleed"/>
        <s v="Allan, Alison L"/>
        <s v="Allen, Christine J"/>
        <s v="Allingham, John S"/>
        <s v="Alman, Benjamin A"/>
        <s v="Amed, Shazhan"/>
        <s v="Amon, Cristina"/>
        <s v="Amsden, Brian G"/>
        <s v="Ancuta, Petronela"/>
        <s v="Anderson, Deborah H"/>
        <s v="Andrulis, Irene L"/>
        <s v="Andrysek, Jan"/>
        <s v="Angers, Stephane"/>
        <s v="Anglesio, Michael S"/>
        <s v="Anglin, Carolyn"/>
        <s v="Antel, Jack P"/>
        <s v="Antoniou, John"/>
        <s v="Aoudjit, Fawzi"/>
        <s v="Aparicio, Samuel J"/>
        <s v="Arcand, JoAnne"/>
        <s v="Archambault, Denis"/>
        <s v="Armstrong, Glen D"/>
        <s v="Arnold, Donald M"/>
        <s v="Arnold, Douglas L"/>
        <s v="Arrowsmith, Cheryl H"/>
        <s v="Ashkar, Ali A"/>
        <s v="Auer, Rebecca Ann C"/>
        <s v="Awadalla, Philip"/>
        <s v="Azad, Taha"/>
        <s v="Babu, Mohan"/>
        <s v="Bahlis, Nizar J"/>
        <s v="Bailey, Swneke D"/>
        <s v="Bainbridge, Shannon A"/>
        <s v="Baker, Kristi"/>
        <s v="Bally, Marcel B"/>
        <s v="Barabe, Frederic"/>
        <s v="Baracos, Vickie E"/>
        <s v="Barakat, Khaled H"/>
        <s v="Barha, Cindy"/>
        <s v="Baron, Corey A"/>
        <s v="Barralet, Jake E"/>
        <s v="Barsyte-Lovejoy, Dalia"/>
        <s v="Bartha, Robert"/>
        <s v="Barthelat, Francois"/>
        <s v="Barzda, Virginijus"/>
        <s v="Bashashati, Ali"/>
        <s v="Basik, Mark"/>
        <s v="Bathe, Oliver F"/>
        <s v="Batist, Gerald"/>
        <s v="Bazett-Jones, David P"/>
        <s v="Beauchemin, Nicole"/>
        <s v="Beaulieu, Christian"/>
        <s v="Beaulieu, Jean-Franeois"/>
        <s v="Beaulieu, Luc"/>
        <s v="Beauregard, Jean-Mathieu"/>
        <s v="Beg, Mirza Faisal"/>
        <s v="Bell, Brendan B"/>
        <s v="Ben-David, Yaacov"/>
        <s v="Bennewith, Kevin L"/>
        <s v="Benoit, Yannick D"/>
        <s v="Berman, Jason N"/>
        <s v="Bernard, Daniel J"/>
        <s v="Bernard, Nicole F"/>
        <s v="Bernasconi, Andrea"/>
        <s v="Berthod, Franeois"/>
        <s v="Bertrand, Richard"/>
        <s v="Beug, Shawn T"/>
        <s v="Bhattacharjee, Rabindra"/>
        <s v="Bherer, Louis"/>
        <s v="Biddiss, Elaine A"/>
        <s v="Bier, Nathalie"/>
        <s v="Bizheva, Kostadinka K"/>
        <s v="Bizzotto, Dan"/>
        <s v="Blades, Michael W"/>
        <s v="Blakney, Anna"/>
        <s v="Blank, Volker"/>
        <s v="Bobyn, John D"/>
        <s v="Boffa, Michael B"/>
        <s v="Boisvert, Francois-Michel"/>
        <s v="Bolduc, Franeois"/>
        <s v="Bolduc, Stephane"/>
        <s v="Bordeleau, Franeois"/>
        <s v="Borschel, Gregory H"/>
        <s v="Bosma, Karen J"/>
        <s v="Bouchard, Maxime L"/>
        <s v="Boucher, Marie-Josee"/>
        <s v="Bouffet, Eric"/>
        <s v="Boulanger, Pierre B"/>
        <s v="Bourbeau, Jean"/>
        <s v="Bourgeois-Daigneault, Marie-Claude"/>
        <s v="Boutopoulos, Christos"/>
        <s v="Boutros, Paul C"/>
        <s v="Bouvier, Michel"/>
        <s v="Boyd, Lara"/>
        <s v="Boyd, Steven K"/>
        <s v="Brambilla, Davide"/>
        <s v="Bremner, Rod"/>
        <s v="Brennand, Erin A"/>
        <s v="Brezden-Masley, Christine"/>
        <s v="Brindley, David N"/>
        <s v="Brinkman, Ryan"/>
        <s v="Brock, Kristy K"/>
        <s v="Brodt, Pnina"/>
        <s v="Bromme, Dieter"/>
        <s v="Brown, Claire M"/>
        <s v="Brown, Jeremy A"/>
        <s v="Brunette, Donald M"/>
        <s v="Brunette, Isabelle"/>
        <s v="Buckstein, Rena J"/>
        <s v="Bujold, Emmanuel"/>
        <s v="Burnier, Julia"/>
        <s v="Burns, Karen E"/>
        <s v="Burns, Peter N"/>
        <s v="Burrell, Robert"/>
        <s v="Busque, Lambert"/>
        <s v="Buttyan, Ralph"/>
        <s v="Cafazzo, Joseph A"/>
        <s v="Cahill, Catherine M"/>
        <s v="Caldwell, Curtis B"/>
        <s v="Calon, Frederic"/>
        <s v="Campbell, Melanie Crombie W"/>
        <s v="Campbell, Robert E"/>
        <s v="Capretta, Alfredo A"/>
        <s v="Carreau, Madeleine"/>
        <s v="Carrier, Marc"/>
        <s v="Carson, Jeffrey J"/>
        <s v="Cashman, Neil R"/>
        <s v="Casper, Robert F"/>
        <s v="Catelas, Isabelle"/>
        <s v="Cattral, Mark S"/>
        <s v="Cellot, Sonia"/>
        <s v="Cescon, David W"/>
        <s v="Cete, Daniel"/>
        <s v="Chakravarty, Megha M"/>
        <s v="Champagne, Pierre-Olivier"/>
        <s v="Chan, Jennifer A"/>
        <s v="Chan, Steven M"/>
        <s v="Chan, Warren C"/>
        <s v="Charron, Frederic"/>
        <s v="Chemtob, Sylvain"/>
        <s v="Chen, Guojun"/>
        <s v="Chen, Jing J"/>
        <s v="Chen, Junjian Z"/>
        <s v="Chen, Robert E"/>
        <s v="Cheng, Hai-Ling M"/>
        <s v="Chenoweth, Meghan J"/>
        <s v="Cheriet, Farida"/>
        <s v="Cherkasov, Artem"/>
        <s v="Chevrette, Mario"/>
        <s v="Cheyne, Douglas O"/>
        <s v="Chiao, Mu"/>
        <s v="Chiew, Mark"/>
        <s v="Chithrani, Devika B"/>
        <s v="Chou, Leo"/>
        <s v="Chow, Chung-Wai"/>
        <s v="Christie, Brian R"/>
        <s v="Chung, Caroline"/>
        <s v="Chung, Hyun-Joong"/>
        <s v="Ciampi, Antonio"/>
        <s v="Clemente Casares, Javier"/>
        <s v="Cloutier, Guy"/>
        <s v="Cobb, Jennifer A"/>
        <s v="Coffin, Carla S"/>
        <s v="Cohen, Alan A"/>
        <s v="Collins, Colin C"/>
        <s v="Collins, Donald L"/>
        <s v="Connolly, John F"/>
        <s v="Coombs, Kevin M"/>
        <s v="Corkum, Penny V"/>
        <s v="Costantino, Santiago"/>
        <s v="Cotechini, Tiziana"/>
        <s v="Cottrell, Tricia"/>
        <s v="Craig, Andrew W"/>
        <s v="Cripton, Peter A"/>
        <s v="Crome, Sarah A"/>
        <s v="Cummins, Carolyn L"/>
        <s v="Cunningham, Charles H"/>
        <s v="Cunningham, Ian A"/>
        <s v="Cypel, Marcelo"/>
        <s v="Czarnota, Gregory J"/>
        <s v="Dagnino, Lina"/>
        <s v="Daniel, Juliet M"/>
        <s v="Das, Sunit"/>
        <s v="Daskalakis, Zafiris J"/>
        <s v="Davenport Huyer, Locke S"/>
        <s v="Davie, James R"/>
        <s v="Dawson, Laura A"/>
        <s v="de Kemp, Robert"/>
        <s v="De Koninck, Yves"/>
        <s v="De Ribaupierre, Sandrine"/>
        <s v="Deblois, Genevieve"/>
        <s v="Del Rincon, Sonia V"/>
        <s v="Dellaire, Graham P"/>
        <s v="Demore, Christine E"/>
        <s v="Denault, Jean-Bernard"/>
        <s v="Dennis, James W"/>
        <s v="Derda, Ratmir"/>
        <s v="Devereaux, Philip J"/>
        <s v="Dhanvantari, Savita"/>
        <s v="Di Martino, Elena S"/>
        <s v="Di Noia, Javier M"/>
        <s v="Di Renna, Tania"/>
        <s v="Diallo, Jean-Simon"/>
        <s v="Diamandis, Eleftherios P"/>
        <s v="Diamandis, Phedias"/>
        <s v="Dick, Frederick A"/>
        <s v="Dick, John E"/>
        <s v="Diller, Eric D"/>
        <s v="Dimitroulakos, Jim"/>
        <s v="Dirks, Peter B"/>
        <s v="Dmitrienko, Gary I"/>
        <s v="Done, Susan J"/>
        <s v="Dong, Xuesen"/>
        <s v="Dos Santos, Claudia C"/>
        <s v="Drake, James M"/>
        <s v="Drangova, Maria"/>
        <s v="Drews, Steven J"/>
        <s v="Drobetsky, Elliot A"/>
        <s v="Du, Caigan"/>
        <s v="Ducharme, Francine M"/>
        <s v="Duchesne, Simon"/>
        <s v="Dudley, Roy W"/>
        <s v="Dumont, Guy A"/>
        <s v="Dumoulin, Chantal"/>
        <s v="Dunn, Jeff F"/>
        <s v="Durocher, Francine"/>
        <s v="Duronio, Vincent"/>
        <s v="Dutta, Tilak"/>
        <s v="Dutz, Jan P"/>
        <s v="Duval, Michel"/>
        <s v="Dzavik, Vladimir"/>
        <s v="Edwards, W. Brent"/>
        <s v="Egan, Sean E"/>
        <s v="Eikelboom, John W"/>
        <s v="El Morr, Christo"/>
        <s v="El Naqa, Issam M"/>
        <s v="Elahi, Shokrollah"/>
        <s v="Elliott, Bruce E"/>
        <s v="Elliott, Janet A"/>
        <s v="Ellis, Christopher G"/>
        <s v="Eng, Janice J"/>
        <s v="Eppert, Kolja"/>
        <s v="Evans, Alan C"/>
        <s v="Evans, David H"/>
        <s v="Evgin, Laura E"/>
        <s v="Falk, Bareket"/>
        <s v="Falzarano, Darryl"/>
        <s v="Fedida, David"/>
        <s v="Feld, Jordan J"/>
        <s v="Fenster, Aaron"/>
        <s v="Ferbeyre, Gerardo"/>
        <s v="Ferri, Lorenzo"/>
        <s v="Fichtinger, Gabor"/>
        <s v="Fine, Alan"/>
        <s v="Finzi, Andres"/>
        <s v="Fisette, Alexandre"/>
        <s v="Fittipaldi, Nahuel V"/>
        <s v="Fitzpatrick, Lindsay"/>
        <s v="Flamand, Louis"/>
        <s v="Flanagan, John G"/>
        <s v="Flynn, Lauren E"/>
        <s v="Forkert, Nils Daniel"/>
        <s v="Fortin, Marc-Andre"/>
        <s v="Fortin, Sebastien"/>
        <s v="Foster, F. Stuart"/>
        <s v="Foster, Paula J"/>
        <s v="Fox-Robichaud, Alison E"/>
        <s v="Fradet-Turcotte, Amelie"/>
        <s v="Fradet, Yves"/>
        <s v="Fradette, Julie"/>
        <s v="Frampton, John P"/>
        <s v="Franklin, Daniel"/>
        <s v="Frayne, Richard"/>
        <s v="Freed, Darren H"/>
        <s v="Freywald, Andrew"/>
        <s v="Funnell, W. Robert J."/>
        <s v="Fusch, Christoph"/>
        <s v="Gaillet, Bruno"/>
        <s v="Gaiti, Federico"/>
        <s v="Galipeau, Jacques"/>
        <s v="Gallinger, Steven"/>
        <s v="Gallo, Marco"/>
        <s v="Gamper, Armin"/>
        <s v="Gangloff, Anne"/>
        <s v="Garcia, Damien"/>
        <s v="Garnis, Cathie"/>
        <s v="Garzia, Livia"/>
        <s v="Gascoyne, Randy D"/>
        <s v="Gates, Byron D"/>
        <s v="Gatignol, Anne"/>
        <s v="Gauthier, Lynn R"/>
        <s v="Gendron, Fernand-Pierre"/>
        <s v="Genov, Roman"/>
        <s v="Germain, Lucie"/>
        <s v="Gevry, Nicolas"/>
        <s v="Geyer, Clarence R"/>
        <s v="Ghahary, Aziz"/>
        <s v="Ghert, Michelle A"/>
        <s v="Gilbert, Lucy"/>
        <s v="Gilbert, Penney M"/>
        <s v="Giles, Joshua W"/>
        <s v="Gilks, Cyril B"/>
        <s v="Gladdy, Rebecca A"/>
        <s v="Gleave, Martin E"/>
        <s v="Gobeil, Stephane"/>
        <s v="Godbout, Roseline"/>
        <s v="Godin, Michel"/>
        <s v="Goertz, David E"/>
        <s v="Goodarzi, Aaron"/>
        <s v="Gorczynski, Reginald M"/>
        <s v="Gorski, Sharon M"/>
        <s v="Gotman, Jean"/>
        <s v="Graham, Charles H"/>
        <s v="Graham, Simon J"/>
        <s v="Grandvaux, Nathalie"/>
        <s v="Grant, Michael D"/>
        <s v="Granville, David J"/>
        <s v="Greer, Peter A"/>
        <s v="Gregorieff, Alex"/>
        <s v="Griffith, May C"/>
        <s v="Gros-Louis, Francois"/>
        <s v="Grova, Christophe"/>
        <s v="Grover, Steven A"/>
        <s v="Grynpas, Marc D"/>
        <s v="Guerin, Brigitte"/>
        <s v="Guerin, Sylvain L"/>
        <s v="Gueziri, Houssem-Eddine"/>
        <s v="Guha, Abhijit"/>
        <s v="Guidolin, Leila M"/>
        <s v="Gujar, Shashi A"/>
        <s v="Gulak, Glenn"/>
        <s v="Guttman, David S"/>
        <s v="Haas, Kurt"/>
        <s v="Haddad, Elie"/>
        <s v="Haglund, Lisbet A"/>
        <s v="Haibe-Kains, Benjamin"/>
        <s v="Haigh, Jody J"/>
        <s v="Hakem, Razqallah"/>
        <s v="Hamilton, Douglas W"/>
        <s v="Hamoui, Anas"/>
        <s v="Hampson, David R"/>
        <s v="Han, Kathy"/>
        <s v="Hancock, Robert Ernest W"/>
        <s v="Hansen, Carl L"/>
        <s v="Harding, Shane M"/>
        <s v="Hardisty, Michael R"/>
        <s v="Hardy, Pierre"/>
        <s v="Harrigan, Richard P"/>
        <s v="Harvey, Edward J"/>
        <s v="Hassell, John A"/>
        <s v="Hatcher, Simon"/>
        <s v="Hawkins, Cynthia E"/>
        <s v="Hay, Annette"/>
        <s v="Hay, Kevin A"/>
        <s v="He, Housheng H"/>
        <s v="Healey, Jeff S"/>
        <s v="Hedley, David W"/>
        <s v="Helfield, Brandon"/>
        <s v="Hendzel, Michael J"/>
        <s v="Henkelman, R. Mark"/>
        <s v="Herzog, Walter"/>
        <s v="Hill, Richard P"/>
        <s v="Hirano, Naoto"/>
        <s v="Hitzler, Johann H"/>
        <s v="Hoang, Trang K"/>
        <s v="Hoare, Todd R"/>
        <s v="Hodgson, Antony J"/>
        <s v="Hoesli, Corinne"/>
        <s v="Hoge, Richard D"/>
        <s v="Holt, Rob"/>
        <s v="Hope, Kristin"/>
        <s v="Huang, Annie"/>
        <s v="Huang, Sidong"/>
        <s v="Huang, Xi"/>
        <s v="Hulea, Laura"/>
        <s v="Huntsman, David G"/>
        <s v="Hynynen, Kullervo H"/>
        <s v="Ilangumaran, Subburaj"/>
        <s v="Irwin, Meredith"/>
        <s v="Jabado, Nada"/>
        <s v="Jackson, Hartland W"/>
        <s v="Jaffray, David A"/>
        <s v="Jahani-Asl, Arezu"/>
        <s v="Jain, Arsh K"/>
        <s v="Jamieson, Amy"/>
        <s v="Jay-Gerin, Jean-Paul"/>
        <s v="Jiang, Xiaoyan"/>
        <s v="Jirasek, Andrew I"/>
        <s v="Jirik, Frank R"/>
        <s v="Johnson, James A"/>
        <s v="Johnson, James D"/>
        <s v="Johnson, Nathalie"/>
        <s v="Johnsrude, Ingrid S"/>
        <s v="Jolicoeur, Marc E"/>
        <s v="Jolicoeur, Paul"/>
        <s v="Jolly, Sanjit S"/>
        <s v="Jomha, Nadr M"/>
        <s v="Jones, Courtney L"/>
        <s v="Jones, Glenville"/>
        <s v="Jones, Russell G"/>
        <s v="Jones, Steven"/>
        <s v="Ju, MyeongJin"/>
        <s v="Kaartinen, Mari T"/>
        <s v="Kadoury, Samuel"/>
        <s v="Kain, Kevin C"/>
        <s v="Kairy, Dahlia"/>
        <s v="Kallos, Michael S"/>
        <s v="Kamen, Amine"/>
        <s v="Kandel, Rita A"/>
        <s v="Kao, Kenneth R"/>
        <s v="Karsan, Aly"/>
        <s v="Kassouf, Wassim"/>
        <s v="Katyal, Sachin"/>
        <s v="Kaushic, Charu"/>
        <s v="Kearney, Robert E"/>
        <s v="Keillor, Jeffrey W"/>
        <s v="Kelley, Shana O"/>
        <s v="Kelvin, David J"/>
        <s v="Kennedy, Timothy E"/>
        <s v="Kerbel, Robert S"/>
        <s v="Khan, Omar F"/>
        <s v="Khokha, Rama"/>
        <s v="Kim, Keekyoung"/>
        <s v="Kim, Paul Y"/>
        <s v="Kim, Tae-Hee"/>
        <s v="King, Graham John W"/>
        <s v="Kinsella, Joseph"/>
        <s v="Kirby, Miranda A"/>
        <s v="Kislinger, Thomas"/>
        <s v="Kizhakkedathu, Jayachandran N"/>
        <s v="Klein Geltink, Ramon"/>
        <s v="Klein, Doug"/>
        <s v="Kobinger, Gary P"/>
        <s v="Koch, Anne"/>
        <s v="Kohandel, Mohammad"/>
        <s v="Kolios, Michael C"/>
        <s v="Kollmann, Tobias R"/>
        <s v="Kopp, Janel"/>
        <s v="Koritzinsky, Marianne"/>
        <s v="Korneluk, Robert G"/>
        <s v="Koropatnick, James"/>
        <s v="Koti, Madhuri"/>
        <s v="Kotsopoulos, Joanne"/>
        <s v="Kozlowski, Piotr"/>
        <s v="Krajinovic, Maja"/>
        <s v="Krause, Juergen"/>
        <s v="Kreindler, David"/>
        <s v="Kremer, Richard B"/>
        <s v="Krylov, Sergey"/>
        <s v="Krzeczkowski, John E"/>
        <s v="Kubes, Paul"/>
        <s v="Labbe, David"/>
        <s v="Labelle, Hubert B"/>
        <s v="Ladak, Hanif M"/>
        <s v="Ladbon Bernasconi, Neda"/>
        <s v="Lagally, Eric T"/>
        <s v="Lam, Wan L"/>
        <s v="Lane, Pierre"/>
        <s v="Lange, Philipp"/>
        <s v="Langley, Joanne M"/>
        <s v="Langlois, Marc-Andre"/>
        <s v="Langlois, Robert"/>
        <s v="Lankarany, Milad"/>
        <s v="Lapointe, Rejean"/>
        <s v="Larche, Mark"/>
        <s v="Larrivee, Bruno"/>
        <s v="Lau, Angus Z"/>
        <s v="Laussen, Peter C"/>
        <s v="Lavasanifar, Afsaneh"/>
        <s v="Lavender, Kerry J"/>
        <s v="Lavigne, Pierre"/>
        <s v="Law, Edith"/>
        <s v="Le, Xiaochun C"/>
        <s v="Leask, Andrew C"/>
        <s v="Leask, Richard L"/>
        <s v="Leblond, Frederic"/>
        <s v="Lee, J. M"/>
        <s v="Lee, Jacques S"/>
        <s v="Lee, Jong Bok"/>
        <s v="Lee, Patrick W"/>
        <s v="Lee, Ping I"/>
        <s v="Lee, Seung-Hwan"/>
        <s v="Lee, Tim K"/>
        <s v="Lee, Ting-Yim"/>
        <s v="Lee, Warren L"/>
        <s v="Lees-Miller, Susan P"/>
        <s v="Legare, France"/>
        <s v="Lemieux, Joanne M"/>
        <s v="Leng, Roger P"/>
        <s v="Leonardi, Mathew"/>
        <s v="Leong, Hon Sing"/>
        <s v="Lepage, Martin"/>
        <s v="Lerch, Jason P"/>
        <s v="Lerouge, Sophie"/>
        <s v="Lesage, Frederic"/>
        <s v="Leung, Brendan M"/>
        <s v="Leung, Shuk On A"/>
        <s v="LeVan, Pierre"/>
        <s v="Lewis, Ian A"/>
        <s v="Li-Jessen, Yee Key Nicole"/>
        <s v="Li, Bowen"/>
        <s v="Li, Gang"/>
        <s v="Li, Hongbin"/>
        <s v="Li, Jianyu"/>
        <s v="Li, Linda C"/>
        <s v="Li, Ren-Ke"/>
        <s v="Li, Shun-Cheng S"/>
        <s v="Licht, Christoph"/>
        <s v="Lichty, Brian D"/>
        <s v="Lilge, Lothar"/>
        <s v="Lillicrap, David P"/>
        <s v="Lin, Fa-Hsuan"/>
        <s v="Lin, Francis"/>
        <s v="Lin, Sheng-Xiang"/>
        <s v="Lipsman, Nir"/>
        <s v="Litvinov, Ivan V"/>
        <s v="Liu, Fei-Fei"/>
        <s v="Liu, Geoffrey"/>
        <s v="Liu, Jun"/>
        <s v="Liu, Peter P"/>
        <s v="Liu, Stanley K"/>
        <s v="Liu, Xinyu"/>
        <s v="Lockwood, William W"/>
        <s v="Logan, Alexander G"/>
        <s v="Lok, Benjamin"/>
        <s v="Lorimer, Ian Anthony J"/>
        <s v="Lu, Qing-Bin"/>
        <s v="Lubell, William D"/>
        <s v="Luke, Patrick"/>
        <s v="Lukong, Kiven E"/>
        <s v="Lum, Julian J"/>
        <s v="Luo, Ma"/>
        <s v="Ma, Hongshen"/>
        <s v="Macaulay, Calum E"/>
        <s v="Macgowan, Christopher K"/>
        <s v="MacIntosh, Bradley J"/>
        <s v="MacPherson, Rebecca E"/>
        <s v="Mader, Sylvie N"/>
        <s v="Mahoney, Douglas J"/>
        <s v="Mahshid, Sara"/>
        <s v="Mak, Tak W"/>
        <s v="Malkin, David D"/>
        <s v="Mallette, Frederick A"/>
        <s v="Maltais, Franeois"/>
        <s v="Mandelis, Andreas"/>
        <s v="Marcato, Paola"/>
        <s v="Marjoribanks, Robin S"/>
        <s v="Martel, Anne L"/>
        <s v="Martel, Sylvain"/>
        <s v="Martin, Alberto"/>
        <s v="Masani, Kei"/>
        <s v="Masson, Jean-Yves"/>
        <s v="Matsubara, Joanne A"/>
        <s v="Matsuura, Naomi"/>
        <s v="Maynes, Jason T"/>
        <s v="Mazer, Bruce D"/>
        <s v="Mazroui, Rachid"/>
        <s v="Mazwi, Mjaye L"/>
        <s v="Mazzulli, Tony"/>
        <s v="McCaffrey, Luke M"/>
        <s v="McCoy, Kathy"/>
        <s v="McCulloch, Christopher A"/>
        <s v="McElwee, Kevin J"/>
        <s v="Mcfadyen, Bradford J"/>
        <s v="McGaha, Tracy"/>
        <s v="McGibbon, Chris"/>
        <s v="McGillion, Michael H"/>
        <s v="Mcgilvray, Ian D"/>
        <s v="McGlade, Catherine J"/>
        <s v="McGuigan, Alison P"/>
        <s v="McKenzie, Charles A"/>
        <s v="Mckeown, Martin J"/>
        <s v="McLachlin, Stewart D"/>
        <s v="McLaughlin, Kelsey M"/>
        <s v="McLean, Linda"/>
        <s v="McManus, Kirk J"/>
        <s v="Mcmillen, David R"/>
        <s v="McMullen, Todd"/>
        <s v="McNagny, Kelly M"/>
        <s v="Melnyk, Roman"/>
        <s v="Menon, Carlo"/>
        <s v="Menon, Ravi S"/>
        <s v="Mequanint, Kibret"/>
        <s v="Mercier, Franeois"/>
        <s v="Mes-Masson, Anne-Marie"/>
        <s v="Messaddeq, Younes"/>
        <s v="Meunier, Michel"/>
        <s v="Michalak, Erin"/>
        <s v="Mihailidis, Alex"/>
        <s v="Mikulis, David J"/>
        <s v="Miller, Donald W"/>
        <s v="Miller, Robert John D"/>
        <s v="Miller, Wilson H"/>
        <s v="Milot, Eric"/>
        <s v="Min, Wei-Ping"/>
        <s v="Minchinton, Andrew I"/>
        <s v="Minden, Mark D"/>
        <s v="Moffat, Jason"/>
        <s v="Moghal, Nadeem"/>
        <s v="Mohamed, Ali Bedaiwy"/>
        <s v="Monument, Michael J"/>
        <s v="Moorehead, Roger A"/>
        <s v="Moradi, Mehdi"/>
        <s v="Moran, Michael F"/>
        <s v="Morgenstern, Daniel A"/>
        <s v="Moriarty, Tara J"/>
        <s v="Morin, Melanie"/>
        <s v="Morin, Ryan D"/>
        <s v="Moroy, Tarik"/>
        <s v="Morshead, Cindi M"/>
        <s v="Mousavi, Parvin"/>
        <s v="Muanza, Thierry M"/>
        <s v="Mubareka, Samira"/>
        <s v="Mui, Alice L"/>
        <s v="Muller, William J"/>
        <s v="Mulligan, Lois M"/>
        <s v="Murphy, Leigh C"/>
        <s v="Mushahwar, Vivian"/>
        <s v="Musselman, Kristin E"/>
        <s v="Mwale, Fackson"/>
        <s v="Nabi, Ivan R"/>
        <s v="Nadeau, Jay Louise"/>
        <s v="Nair, Parameswaran K"/>
        <s v="Narod, Steven A"/>
        <s v="Naus, Christian C"/>
        <s v="Near, Jamie"/>
        <s v="Neel, Benjamin G"/>
        <s v="Nelson, Brad H"/>
        <s v="Nepveu, Alain"/>
        <s v="Ng, Sylvia"/>
        <s v="Nguan, Christopher"/>
        <s v="Nguyen, Dang K"/>
        <s v="Nguyen, Minh Dang"/>
        <s v="Nichols, Anthony C"/>
        <s v="Nicolaou, Savvakis"/>
        <s v="Nielsen, Torsten O"/>
        <s v="Nieman, Brian J"/>
        <s v="Nijnik, Anastasia"/>
        <s v="Nobes, David S"/>
        <s v="Noiseux, Nicolas"/>
        <s v="Notta, Faiyaz"/>
        <s v="O'Brien, Catherine A"/>
        <s v="O'Reilly, Meaghan"/>
        <s v="Ohh, Michael"/>
        <s v="Okada, Hitoshi"/>
        <s v="Olson, Michael F"/>
        <s v="Orouji, Elias"/>
        <s v="Orvig, Christopher E"/>
        <s v="Ostrowski, Mario A"/>
        <s v="Overall, Christopher M"/>
        <s v="Oxland, Thomas R"/>
        <s v="Pai, Emil F"/>
        <s v="Pai, Shraddha"/>
        <s v="Pantophlet, Ralph A"/>
        <s v="Paquette, Jean-Sebastien"/>
        <s v="Pardee, Keith I"/>
        <s v="Pare, Guillaume"/>
        <s v="Parent, Jean-Luc"/>
        <s v="Parent, Stefan"/>
        <s v="Parks, Robin J"/>
        <s v="Parraga, Grace"/>
        <s v="Parulekar, Wendy R"/>
        <s v="Pasini, Damiano"/>
        <s v="Patel, Rajnikant V"/>
        <s v="Paterson, Ian"/>
        <s v="Patterson, Kara K"/>
        <s v="Pause, Arnim P"/>
        <s v="Pawliszyn, Janusz B"/>
        <s v="Pearson, Joel"/>
        <s v="Pelletier, Jerry M"/>
        <s v="Pelletier, Joelle N"/>
        <s v="Penn, Linda Z"/>
        <s v="Penninger, Josef"/>
        <s v="Perl, Jeffrey"/>
        <s v="Perreault, Sebastien"/>
        <s v="Perrin, David M"/>
        <s v="Petel, Oren"/>
        <s v="Peters, Terence M"/>
        <s v="Petrik, Jim J"/>
        <s v="Phani, Srikantha A"/>
        <s v="Philip, Anie"/>
        <s v="Philpott, Dana J"/>
        <s v="Piche, Alain"/>
        <s v="Pignol, Jean-Philippe"/>
        <s v="Pike, G. Bruce"/>
        <s v="Pillai Riddell, Rebecca Rita E"/>
        <s v="Pilote, Louise"/>
        <s v="Pin, Christopher L"/>
        <s v="Pineau, Joelle"/>
        <s v="Pinthus, Jehonathan H"/>
        <s v="Piret, James M"/>
        <s v="Podolsky, Dale J"/>
        <s v="Podsypanina, Katrina"/>
        <s v="Poh, Catherine"/>
        <s v="Poirier, Guy G"/>
        <s v="Poon, Joyce"/>
        <s v="Porter, Lisa A"/>
        <s v="Post, Martin"/>
        <s v="Postovit, Lynne-Marie"/>
        <s v="Price, Eric W"/>
        <s v="Price, Morgan Thomas M"/>
        <s v="Prisman, Eitan"/>
        <s v="Prodger, Jessica L"/>
        <s v="Provost, Jean"/>
        <s v="Pugh, Trevor J"/>
        <s v="Pukall, Caroline F"/>
        <s v="Purdie, Thomas G"/>
        <s v="Pyle, Glen W"/>
        <s v="Quach-Thanh, Caroline"/>
        <s v="Quail, Daniela"/>
        <s v="Quenneville, Cheryl"/>
        <s v="Rafei, Moutih"/>
        <s v="Raha, Sandeep"/>
        <s v="Rahim, Mir Munir Ahmed"/>
        <s v="Rahmim, Arman"/>
        <s v="Rak, Janusz"/>
        <s v="Rakovitch, Eileen"/>
        <s v="Ramaswamy, Vijay"/>
        <s v="Ramotar, Dindial"/>
        <s v="Rancourt, Derrick E"/>
        <s v="Rathee, Satyapal"/>
        <s v="Rauscher, Alexander"/>
        <s v="Raynal, Noel J"/>
        <s v="Razak, Fahad"/>
        <s v="Redfearn, Damian P"/>
        <s v="Reedijk, Michael"/>
        <s v="Reid, Gregor"/>
        <s v="Reid, Robert D"/>
        <s v="Reilly, Raymond M"/>
        <s v="Reinhold, Caroline"/>
        <s v="Reisner, Walter W"/>
        <s v="Ren, Carolyn L"/>
        <s v="Rennie, Paul S"/>
        <s v="Reznik, Alla"/>
        <s v="Richard, Stephane"/>
        <s v="Richards, Carl D"/>
        <s v="Richardson, Christopher D"/>
        <s v="Rink, Alexandra"/>
        <s v="Rivest, Serge"/>
        <s v="Rocheleau, Jonathan V"/>
        <s v="Rodier, Francis"/>
        <s v="Roger, Michel"/>
        <s v="Rohling, Robert N"/>
        <s v="Ronald, John A"/>
        <s v="Rose, April A"/>
        <s v="Rosen, Kirill V"/>
        <s v="Roskelley, Calvin D"/>
        <s v="Rost, Hannes L"/>
        <s v="Rottapel, Robert K"/>
        <s v="Routy, Bertrand"/>
        <s v="Routy, Jean-Pierre"/>
        <s v="Roux, Philippe"/>
        <s v="Roux, Sophie"/>
        <s v="Roy, Denis-Claude"/>
        <s v="Roy, Dominic"/>
        <s v="Rudko, David A"/>
        <s v="Rudnicki, Michael A"/>
        <s v="Ruel, Marc"/>
        <s v="Russell, James A"/>
        <s v="Ruthazer, Edward S"/>
        <s v="Rutka, James T"/>
        <s v="Sacher, Adrian G"/>
        <s v="Sachlos, Eleftherios"/>
        <s v="Sadatsafavi, Mohsen"/>
        <s v="Sadikot, Abbas F"/>
        <s v="Sage, Andrew T"/>
        <s v="Saibil, Samuel D"/>
        <s v="Salcudean, Septimiu E"/>
        <s v="Salmena, Leonardo L"/>
        <s v="Sanati Nezhad, Amir"/>
        <s v="Sanche, Leon"/>
        <s v="Sanderson, J. Thomas"/>
        <s v="Santerre, Paul"/>
        <s v="Santyr, Giles E"/>
        <s v="Saragovi, Horacio U"/>
        <s v="Sarunic, Marinko V"/>
        <s v="Saucier, Caroline"/>
        <s v="Sauvageau, Guy"/>
        <s v="Savas, Sevtap"/>
        <s v="Schild-Poulter, Caroline"/>
        <s v="Schimmer, Aaron D"/>
        <s v="Schirrmacher, Ralf"/>
        <s v="Schramek, Daniel"/>
        <s v="Schreiner, L. John"/>
        <s v="Schultz, Kirk R"/>
        <s v="Scollie, Susan D"/>
        <s v="Scott, Mark D"/>
        <s v="Sebag, Michael"/>
        <s v="Seda, Ondrej"/>
        <s v="Sefton, Michael V"/>
        <s v="Segura, Mariela A"/>
        <s v="Selvaganapathy, Ponnambalam R"/>
        <s v="Semple, John L"/>
        <s v="Seuntjens, Jan P"/>
        <s v="Sevigny, Jean"/>
        <s v="Shadgan, Babak"/>
        <s v="Shafey, Mona"/>
        <s v="Shah, Girish M"/>
        <s v="Shah, Sohrab P"/>
        <s v="Shahriari, Dena"/>
        <s v="Shakiba, Nika"/>
        <s v="Sharif, Tanveer"/>
        <s v="Shaw, Tony"/>
        <s v="Sheardown, Heather D"/>
        <s v="Shen, Garry X"/>
        <s v="Shin, Jumi"/>
        <s v="Shoichet, Molly S"/>
        <s v="Shrive, Nigel G"/>
        <s v="Shultz, Sandy"/>
        <s v="Sicheri, Frank"/>
        <s v="Siegel, Peter M"/>
        <s v="Silva Wurzba, Sabrina Daniela"/>
        <s v="Simmons, Craig A"/>
        <s v="Singh, Sheila K"/>
        <s v="Sinnett, Daniel"/>
        <s v="Sinton, David A"/>
        <s v="Siu, K. W. Michael"/>
        <s v="Skowronski, Danuta Maria"/>
        <s v="Sled, John G"/>
        <s v="Sleiman, Hanadi"/>
        <s v="Sloboda, Deborah M"/>
        <s v="Snider, Denis P"/>
        <s v="So, Aaron"/>
        <s v="So, Alan I"/>
        <s v="Sone, Eli D"/>
        <s v="Sonenberg, Nahum"/>
        <s v="Sorensen, Poul H"/>
        <s v="Soulez, Gilles"/>
        <s v="Spagnuolo, Paul"/>
        <s v="Spaner, David E"/>
        <s v="Spicer, Jonathan D"/>
        <s v="St-Pierre, Julie"/>
        <s v="St. Lawrence, Keith S"/>
        <s v="Stagg, John"/>
        <s v="Stagljar, Igor"/>
        <s v="Stambolic, Vuk"/>
        <s v="Stanescu, Teodor"/>
        <s v="Stanford, William L"/>
        <s v="Stanisz, Greg J"/>
        <s v="Stefanovic, Bojana"/>
        <s v="Steidl, Christian"/>
        <s v="Stein, Lincoln"/>
        <s v="Stewart, Duncan J"/>
        <s v="Stinson, Jennifer N"/>
        <s v="Stirling, Peter C"/>
        <s v="Stoeber, Boris"/>
        <s v="Strynadka, Natalie C"/>
        <s v="Sun, Yu"/>
        <s v="Sung, Lillian"/>
        <s v="Sussman, Dafna"/>
        <s v="Sutherland, Garnette R"/>
        <s v="Suuronen, Erik"/>
        <s v="Szturm, Tony J"/>
        <s v="Tabori, Uri"/>
        <s v="Tabrizian, Maryam"/>
        <s v="Tai, Isabella T"/>
        <s v="Tai, Lee-Hwa"/>
        <s v="Takahata, Kenichi"/>
        <s v="Tandon, Puneeta"/>
        <s v="Tang, Damu"/>
        <s v="Tang, Shuo"/>
        <s v="Tannock, Ian F"/>
        <s v="Tavakoli, Mahdi"/>
        <s v="Tayade, Chandrakant"/>
        <s v="Taylor, Michael D"/>
        <s v="Teo, Koon K"/>
        <s v="Teodoro, Jose G"/>
        <s v="Thiel, Alexander"/>
        <s v="Thomas, David Y"/>
        <s v="Thompson, Michael R"/>
        <s v="Thompson, Richard B"/>
        <s v="Thornton, Gail M"/>
        <s v="Thu, Kelsie L"/>
        <s v="Tiedemann, Rodger"/>
        <s v="Tikhonova, Anastasia"/>
        <s v="Tomkins-Lane, Christy"/>
        <s v="Tonin, Patricia N"/>
        <s v="Too, Catherine K"/>
        <s v="Toren, Paul"/>
        <s v="Towler, Mark R"/>
        <s v="Trejos, Ana Luisa"/>
        <s v="Tremblay, Michel J"/>
        <s v="Tremblay, Michel L"/>
        <s v="Tron, Victor A"/>
        <s v="Trudel, Dominique"/>
        <s v="Trudel, Guy"/>
        <s v="Tsai, Scott"/>
        <s v="Tsakiridis, Theodoros"/>
        <s v="Tsang, Teresa S"/>
        <s v="Tsao, Ming-Sound"/>
        <s v="Turcotte, Sandra"/>
        <s v="Turner, Justine M"/>
        <s v="Turner, Robin F"/>
        <s v="Tyrrell, D. Lorne J"/>
        <s v="Underhill, Michael"/>
        <s v="Ungrin, Mark D"/>
        <s v="Unrau, Peter J"/>
        <s v="Unsworth, Larry D"/>
        <s v="Ursini-Siegel, Giuseppina"/>
        <s v="Vahidi, Siavash"/>
        <s v="Valliant, John F"/>
        <s v="van Donkelaar, Paul"/>
        <s v="Van Houten, Elijah E"/>
        <s v="Vanderhyden, Barbara C"/>
        <s v="Veillette, Andre"/>
        <s v="Velenosi, Thomas J"/>
        <s v="Venturutti, Leandro"/>
        <s v="Vitkin, I. Alex"/>
        <s v="Vizeacoumar, Franco J"/>
        <s v="Waisman, David M"/>
        <s v="Wald, Ron"/>
        <s v="Waldman, Stephen D"/>
        <s v="Walker, Gilbert C"/>
        <s v="Walsh, Logan A"/>
        <s v="Wang, Jun"/>
        <s v="Wang, Li"/>
        <s v="Wang, Rizhi"/>
        <s v="Wang, Yemin"/>
        <s v="Wang, Yuzhuo"/>
        <s v="Ward, Aaron"/>
        <s v="Waspe, Adam C"/>
        <s v="Watson, Ian R"/>
        <s v="Watts, Tania H"/>
        <s v="Weersink, Robert A"/>
        <s v="Weinfeld, Michael"/>
        <s v="Wellington, Cheryl L"/>
        <s v="Weng, Andrew P"/>
        <s v="Werbowetski-Ogilvie, Tamra E"/>
        <s v="Whelan, Timothy J"/>
        <s v="White, John H"/>
        <s v="Whyne, Cari M"/>
        <s v="Wilansky, Pamela"/>
        <s v="Willett, Thomas"/>
        <s v="Wilman, Alan H"/>
        <s v="Wilson, Brian C"/>
        <s v="Wilson, David R"/>
        <s v="Wilson, Joyce A"/>
        <s v="Wisnovsky, Simon"/>
        <s v="Witcher, Michael"/>
        <s v="Withers, Stephen G"/>
        <s v="Wong, Judy M"/>
        <s v="Wootton, Sarah"/>
        <s v="Workenhe, Samuel Tekeste"/>
        <s v="Wouters, Bradly"/>
        <s v="Wu, Robert"/>
        <s v="Wu, Xiao Yu S"/>
        <s v="Wuest, Frank"/>
        <s v="Wurtele, Hugo"/>
        <s v="Wyatt, Alexander W"/>
        <s v="Wylie, Ryan G"/>
        <s v="Xiang, Jim"/>
        <s v="Xiao, Wei"/>
        <s v="Xing, Zhou"/>
        <s v="Yang, Victor X"/>
        <s v="Yang, Xiaolong"/>
        <s v="Yasufuku, Kazuhiro"/>
        <s v="Yeates, Karen"/>
        <s v="Yee, Albert J"/>
        <s v="Yim, Evelyn K"/>
        <s v="Yip, Christopher M"/>
        <s v="Yong, Voon W"/>
        <s v="Yousef, George M"/>
        <s v="Yudin, Andrei"/>
        <s v="Yuen, Darren A"/>
        <s v="Yun, Jihyun"/>
        <s v="Zacksenhaus, Eldad"/>
        <s v="Zadeh, Gelareh"/>
        <s v="Zandstra, Peter W"/>
        <s v="Zaph, Colby"/>
        <s v="Zariffa, Jose"/>
        <s v="Zarrine-Afsar, Arash"/>
        <s v="Zarychanski, Ryan"/>
        <s v="Zehbe, Ingeborg"/>
        <s v="Zemp, Roger J"/>
        <s v="Zeng, Haishan"/>
        <s v="Zhang, Boyang"/>
        <s v="Zhang, Jinyi"/>
        <s v="Zhang, Li"/>
        <s v="Zhang, Wei"/>
        <s v="Zhang, Yunyan"/>
        <s v="Zhang, Ze"/>
        <s v="Zheng, Gang"/>
        <s v="Zhou, Youwen"/>
        <s v="Zhu, Xu-Dong"/>
        <s v="Zoubeidi, Amina"/>
      </sharedItems>
    </cacheField>
    <cacheField name="Institution_Paid" numFmtId="0">
      <sharedItems/>
    </cacheField>
    <cacheField name="Provinces" numFmtId="0">
      <sharedItems count="10">
        <s v="Manitoba"/>
        <s v="Ontario"/>
        <s v="Alberta"/>
        <s v="British Columbia"/>
        <s v="Quebec"/>
        <s v="Nova Scotia"/>
        <s v="Saskatchewan"/>
        <s v="Newfoundland and Labrador"/>
        <s v="Prince Edward Island"/>
        <s v="New Brunswick"/>
      </sharedItems>
    </cacheField>
    <cacheField name="Program_Name" numFmtId="0">
      <sharedItems count="63">
        <s v="Operating Grant"/>
        <s v="Project Grant"/>
        <s v="Operating Grant: COVID-19 Rapid Research Funding Opportunity - Vaccines"/>
        <s v="Operating Grant: Industry-partnered Collaborative Research"/>
        <s v="Operating Grant - PA: Cancer Research (bridge funding)"/>
        <s v="Catalyst Grant: Invention and High-Risk, High-Benefit Research"/>
        <s v="Collaborative Health Research Projects (NSERC partnered)"/>
        <s v="Operating Grant: Industry-partnered Collaborative Research - Other Partner"/>
        <s v="Operating Grant: Industry-partnered Collaborative Research - Rx&amp;D partner"/>
        <s v="Op. Grant: NWHRI: Innovation Fund - Translational Research"/>
        <s v="Project Grant - PA: Breast Cancer Research"/>
        <s v="Operating Grant - PA: Institute of Cancer Research (bridge funding)"/>
        <s v="Operating Grant - Priority Announcement: Breast Cancer"/>
        <s v="Operating Grant: COVID-19 Rapid Research Funding Opportunity - Therapeutics"/>
        <s v="Catalyst Grant: Personalized Health Catalyst Grants"/>
        <s v="Operating Grant - PA: Musculoskeletal Health, Arthritis, Skin and Oral Health"/>
        <s v="Catalyst Grant: Innovation in HIV Vaccine and HIV Cure Research"/>
        <s v="Project Grant - Priority Announcement: Pediatric Cancer Research"/>
        <s v="Operating Grant: COVID-19 Rapid Research Funding Opportunity - Diagnostics"/>
        <s v="Catalyst Grant: NWHRI: Innovation Fund - Biomedical Discovery Grants"/>
        <s v="Operating Grant: Methodological Innovations for Neuroimaging Datasets"/>
        <s v="Operating Grant - PA: Regional Partnership Program - Nova Scotia"/>
        <s v="Operating Grant - PA: INMHA (bridge funding)"/>
        <s v="Operating Grant : Adv Theoretical Meth Innov Hlth Res-Longitudinal Studies Aging"/>
        <s v="Project Grant - PA: Sex and Gender in Health Research (Bridge funding)"/>
        <s v="Project Grant - Priority Announcement: Early Detection/Cancer Prevention"/>
        <s v="Operating Grant: Priority Announcement (IHSPR)"/>
        <s v="Op. Grant: NWHRI: Innovation Fund - Healthcare implementation research"/>
        <s v="Operating Grant: AMR: Point of Care Diagnostics in Human Health Phase 2"/>
        <s v="Operating Grant - PA: Inst of Nutrition, Metabolism and Diabetes -Bridge Funding"/>
        <s v="Catalyst Grant: eHealth Innovations"/>
        <s v="CIHR/RxD - Biology of Pain -Young Investigators Grant"/>
        <s v="Project Grant - PA: MSK, Skin and Oral Health: Clinical Research - MSK Health"/>
        <s v="Project Grant - PA: Neurosciences, Mental Health and Addiction"/>
        <s v="Operating Grant: Fall 2008 Priority Announcement (IMHA)"/>
        <s v="Operation:eHealth Innov Partnership Program(eHIPP)-Youth &amp;Adolescent Mental Hlth"/>
        <s v="CIHR/Regional Partnership Program/Operating Grants"/>
        <s v="Project Grant - PA: Epigenetics/epigenomics in human health or disease"/>
        <s v="Project Grant - PA: MSK/Skin/Oral Health: Clinical Research - Skin Health"/>
        <s v="Operating Grant - PA: IMHA - New Invest.- Musculoskeletal Health Bridge Funding"/>
        <s v="Project Grant - Priority Announcement: Cancer Research"/>
        <s v="Catalyst Grant: HIV/AIDS Vaccine Discovery Research (Can HIV Vaccine Initiative)"/>
        <s v="Pro. Gr. - PA: Inst. of Musculoskeletal Health and Arthritis: IMHA Mandate Areas"/>
        <s v="Project Grant - Priority Announcement: Pediatric Cancer"/>
        <s v="Vaccines of the 21st Century"/>
        <s v="Project - PA: Cancer Prevention and Early Detection of Hard to Treat Cancers"/>
        <s v="Operating Grant - PA: Regional Partnership Program - Newfoundland and Labrador"/>
        <s v="Project Grant - PA: Infection and Immunity (Early Career Research Support)"/>
        <s v="Catalyst Grant: eHealth Innovations - Aging"/>
        <s v="Operating Grant: Optimizing the VSV Vector towards an HIV Vaccine"/>
        <s v="Operating Grant - Priority Announcement: Ovarian Cancer (bridge funding)"/>
        <s v="Project Grant - PA: Cancer Research - Breast Cancer"/>
        <s v="Project Grant - PA: Antimicrobial Resistance (Bridge Grant)"/>
        <s v="Oper Grant:eHealth Innov Partnership Program(eHIPP)-Seniors w Complex Care Needs"/>
        <s v="Operating Grant - PA: IMHA New investigators - Bridge Funding"/>
        <s v="Project Grant - PA: Myalgic Encephalomyelitis and IMHA Mandate Areas"/>
        <s v="Project Grant - Priority Announcement: Dental and craniofacial research"/>
        <s v="Project Grant - Priority Announcement: Patient-Oriented Research"/>
        <s v="Project Grant - PA: Pandemic Preparedness and Health Emergencies Research"/>
        <s v="Project Grant - PA: MSK/Skin/Oral Health: Clinical Research - Oral Health"/>
        <s v="Operating Grant - PA: Genetics (Bridge Funding: Research Priorities)"/>
        <s v="Project Grant - PA: Nutrition, Metabolism and Diabetes"/>
        <s v="Project Grant - Priority Announcement - Cancer Survivorship"/>
      </sharedItems>
    </cacheField>
    <cacheField name="Competition_CD" numFmtId="0">
      <sharedItems/>
    </cacheField>
    <cacheField name="PRC_Name" numFmtId="0">
      <sharedItems count="27">
        <s v="Cancer Biology &amp; Therapeutics"/>
        <s v="Cancer Progression &amp; Therapeutics 2"/>
        <s v="COVID-19 Rapid Research - Vaccines"/>
        <s v="Cancer Biology &amp; Therapeutics 2"/>
        <s v="Industry Partnered Collaborative Research"/>
        <s v="Cancer Progression &amp; Therapeutics"/>
        <s v="Medical Physics &amp; Imaging"/>
        <s v="Inventions, Technologies, or High Risk Grants"/>
        <s v="Collaborative Health Research Projects - NSERC Partnered"/>
        <s v="Biomedical Engineering"/>
        <s v="Biomedical Engineering 2"/>
        <s v="National Women's Health Research Initiative: Innovation Fund"/>
        <s v="COVID-19 Rapid Research - Therapeutics"/>
        <s v="Medical Physics &amp; Imaging 2"/>
        <s v="Personalized Health - novel e-health applications"/>
        <s v="HIV Vaccine and Cure Research"/>
        <s v="COVID-19 Rapid Research - Diagnostics"/>
        <s v="NWHRI: Innovation Fund - Biomedical Discovery Grants"/>
        <s v="Methodological Innovations for Neuroimaging Datasets"/>
        <s v="Operating Grant: Innovations in Health Research"/>
        <s v="AMR: Point of Care Diagnostics in Human Health - Phase 2"/>
        <s v="e-Health Innovation Partnership Program (eHIPP)"/>
        <s v="eHealth Innovation Partnership Program (eHIPP): Youth and Adolescents Mental Health"/>
        <s v="HIV Vaccine Discovery"/>
        <s v="Catalyst Grant: Vaccines of the 21st Century"/>
        <s v="Optimizing the VSV towards an HIV Vaccine"/>
        <s v="eHealth Innovation Partnership Program (eHIPP): Support of Seniors"/>
      </sharedItems>
    </cacheField>
    <cacheField name="Project_Title" numFmtId="0">
      <sharedItems longText="1"/>
    </cacheField>
    <cacheField name="CIHR_Contribution" numFmtId="166">
      <sharedItems containsSemiMixedTypes="0" containsString="0" containsNumber="1" containsInteger="1" minValue="24591" maxValue="4224996"/>
    </cacheField>
    <cacheField name="CIHR_Equipment" numFmtId="166">
      <sharedItems containsSemiMixedTypes="0" containsString="0" containsNumber="1" containsInteger="1" minValue="0" maxValue="89250"/>
    </cacheField>
    <cacheField name="Term_Years_Months" numFmtId="0">
      <sharedItems/>
    </cacheField>
    <cacheField name="Primary_Institute" numFmtId="0">
      <sharedItems count="13">
        <s v="Cancer Research"/>
        <s v="Infection and Immunity"/>
        <s v="Genetics"/>
        <s v="Circulatory and Respiratory Health"/>
        <s v="Neurosciences, Mental Health and Addiction"/>
        <s v="Musculoskeletal Health and Arthritis"/>
        <s v="Aging"/>
        <s v="Human Development, Child and Youth Health"/>
        <s v="Gender and Health"/>
        <s v="Nutrition, Metabolism and Diabetes"/>
        <s v="Population and Public Health"/>
        <s v="Health Services and Policy Research"/>
        <s v="Indigenous Peoples' Health"/>
      </sharedItems>
    </cacheField>
    <cacheField name="Funding_Start" numFmtId="14">
      <sharedItems containsSemiMixedTypes="0" containsNonDate="0" containsDate="1" containsString="0" minDate="2009-01-01T00:00:00" maxDate="2024-10-02T00:00:00" count="62">
        <d v="2009-04-01T00:00:00"/>
        <d v="2019-10-01T00:00:00"/>
        <d v="2020-06-01T00:00:00"/>
        <d v="2022-10-01T00:00:00"/>
        <d v="2016-04-01T00:00:00"/>
        <d v="2009-10-01T00:00:00"/>
        <d v="2015-04-01T00:00:00"/>
        <d v="2018-10-01T00:00:00"/>
        <d v="2023-04-01T00:00:00"/>
        <d v="2014-04-01T00:00:00"/>
        <d v="2010-04-01T00:00:00"/>
        <d v="2018-04-01T00:00:00"/>
        <d v="2012-10-01T00:00:00"/>
        <d v="2023-10-01T00:00:00"/>
        <d v="2013-04-01T00:00:00"/>
        <d v="2012-04-01T00:00:00"/>
        <d v="2011-04-01T00:00:00"/>
        <d v="2011-10-01T00:00:00"/>
        <d v="2014-07-01T00:00:00"/>
        <d v="2015-07-01T00:00:00"/>
        <d v="2014-10-01T00:00:00"/>
        <d v="2010-10-01T00:00:00"/>
        <d v="2020-04-01T00:00:00"/>
        <d v="2021-04-01T00:00:00"/>
        <d v="2017-04-01T00:00:00"/>
        <d v="2022-04-01T00:00:00"/>
        <d v="2019-04-01T00:00:00"/>
        <d v="2024-06-01T00:00:00"/>
        <d v="2023-03-01T00:00:00"/>
        <d v="2010-03-01T00:00:00"/>
        <d v="2017-09-01T00:00:00"/>
        <d v="2012-03-01T00:00:00"/>
        <d v="2013-03-01T00:00:00"/>
        <d v="2024-04-01T00:00:00"/>
        <d v="2013-10-01T00:00:00"/>
        <d v="2021-10-01T00:00:00"/>
        <d v="2024-02-01T00:00:00"/>
        <d v="2024-03-01T00:00:00"/>
        <d v="2024-10-01T00:00:00"/>
        <d v="2020-10-01T00:00:00"/>
        <d v="2016-07-01T00:00:00"/>
        <d v="2012-02-01T00:00:00"/>
        <d v="2009-01-01T00:00:00"/>
        <d v="2019-01-01T00:00:00"/>
        <d v="2011-03-01T00:00:00"/>
        <d v="2009-02-01T00:00:00"/>
        <d v="2015-10-01T00:00:00"/>
        <d v="2020-03-01T00:00:00"/>
        <d v="2009-03-01T00:00:00"/>
        <d v="2023-07-01T00:00:00"/>
        <d v="2024-07-01T00:00:00"/>
        <d v="2022-07-01T00:00:00"/>
        <d v="2022-03-01T00:00:00"/>
        <d v="2024-05-01T00:00:00"/>
        <d v="2014-03-01T00:00:00"/>
        <d v="2010-09-01T00:00:00"/>
        <d v="2021-03-01T00:00:00"/>
        <d v="2011-07-01T00:00:00"/>
        <d v="2014-09-01T00:00:00"/>
        <d v="2023-05-01T00:00:00"/>
        <d v="2013-09-01T00:00:00"/>
        <d v="2019-03-01T00:00:00"/>
      </sharedItems>
      <fieldGroup par="20"/>
    </cacheField>
    <cacheField name="title_keywords" numFmtId="0">
      <sharedItems/>
    </cacheField>
    <cacheField name="Patents" numFmtId="0">
      <sharedItems containsSemiMixedTypes="0" containsString="0" containsNumber="1" containsInteger="1" minValue="0" maxValue="20"/>
    </cacheField>
    <cacheField name="companies" numFmtId="0">
      <sharedItems/>
    </cacheField>
    <cacheField name="companies_count" numFmtId="0">
      <sharedItems containsSemiMixedTypes="0" containsString="0" containsNumber="1" containsInteger="1" minValue="0" maxValue="2"/>
    </cacheField>
    <cacheField name="company_position" numFmtId="0">
      <sharedItems/>
    </cacheField>
    <cacheField name="Name2" numFmtId="0">
      <sharedItems/>
    </cacheField>
    <cacheField name="Months (Funding_Start)" numFmtId="0" databaseField="0">
      <fieldGroup base="11">
        <rangePr groupBy="months" startDate="2009-01-01T00:00:00" endDate="2024-10-02T00:00:00"/>
        <groupItems count="14">
          <s v="&lt;2009-01-01"/>
          <s v="Jan"/>
          <s v="Feb"/>
          <s v="Mar"/>
          <s v="Apr"/>
          <s v="May"/>
          <s v="Jun"/>
          <s v="Jul"/>
          <s v="Aug"/>
          <s v="Sep"/>
          <s v="Oct"/>
          <s v="Nov"/>
          <s v="Dec"/>
          <s v="&gt;2024-10-02"/>
        </groupItems>
      </fieldGroup>
    </cacheField>
    <cacheField name="Quarters (Funding_Start)" numFmtId="0" databaseField="0">
      <fieldGroup base="11">
        <rangePr groupBy="quarters" startDate="2009-01-01T00:00:00" endDate="2024-10-02T00:00:00"/>
        <groupItems count="6">
          <s v="&lt;2009-01-01"/>
          <s v="Qtr1"/>
          <s v="Qtr2"/>
          <s v="Qtr3"/>
          <s v="Qtr4"/>
          <s v="&gt;2024-10-02"/>
        </groupItems>
      </fieldGroup>
    </cacheField>
    <cacheField name="Years (Funding_Start)" numFmtId="0" databaseField="0">
      <fieldGroup base="11">
        <rangePr groupBy="years" startDate="2009-01-01T00:00:00" endDate="2024-10-02T00:00:00"/>
        <groupItems count="18">
          <s v="&lt;2009-01-01"/>
          <s v="2009"/>
          <s v="2010"/>
          <s v="2011"/>
          <s v="2012"/>
          <s v="2013"/>
          <s v="2014"/>
          <s v="2015"/>
          <s v="2016"/>
          <s v="2017"/>
          <s v="2018"/>
          <s v="2019"/>
          <s v="2020"/>
          <s v="2021"/>
          <s v="2022"/>
          <s v="2023"/>
          <s v="2024"/>
          <s v="&gt;2024-10-02"/>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54">
  <r>
    <x v="0"/>
    <s v="University of Manitoba"/>
    <x v="0"/>
    <x v="0"/>
    <s v="200809MOP"/>
    <x v="0"/>
    <s v="Mechanisms and consequences of three-dimensional (3D) nuclear remodeling of telomeres in cancer"/>
    <n v="388829"/>
    <n v="0"/>
    <s v="3 yrs 0 mth "/>
    <x v="0"/>
    <x v="0"/>
    <s v="nuclear remodeling, telomeres, cancer"/>
    <n v="6"/>
    <s v="3D Signatures Inc. (Telo Genomics Corp.)"/>
    <n v="1"/>
    <s v="C-suite"/>
    <s v="Mai, Sabine"/>
  </r>
  <r>
    <x v="1"/>
    <s v="University Health Network (Toronto)"/>
    <x v="1"/>
    <x v="1"/>
    <s v="201903PJT"/>
    <x v="1"/>
    <s v="Lung cancer early detection and classification using methylome analysis of plasma cell free DNA"/>
    <n v="995264"/>
    <n v="0"/>
    <s v="4 yrs 0 mth "/>
    <x v="0"/>
    <x v="1"/>
    <s v="lung cancer, methylome, plasma cell free DNA"/>
    <n v="6"/>
    <s v="Adela, Inc. (DNAMx)"/>
    <n v="1"/>
    <s v="C-suite"/>
    <s v="Bratman, Scott V"/>
  </r>
  <r>
    <x v="2"/>
    <s v="University Health Network (Toronto)"/>
    <x v="1"/>
    <x v="1"/>
    <s v="201903PJT"/>
    <x v="0"/>
    <s v="Viral mimicry tolerance as a mechanism of early tumor immune evasion"/>
    <n v="868276"/>
    <n v="0"/>
    <s v="5 yrs 0 mth "/>
    <x v="0"/>
    <x v="1"/>
    <s v="viral, mimicry, immune"/>
    <n v="7"/>
    <s v="Adela, Inc. (DNAMx)"/>
    <n v="1"/>
    <s v="C-suite"/>
    <s v="De Carvalho, Daniel"/>
  </r>
  <r>
    <x v="3"/>
    <s v="University of Alberta"/>
    <x v="2"/>
    <x v="2"/>
    <s v="202005VR1"/>
    <x v="2"/>
    <s v="Rapid Prototyping and Deployment of a Therapeutic Pan-Coronavirus Fusogenix DNA Vaccine Engineered to Eliminate ADE"/>
    <n v="4175000"/>
    <n v="0"/>
    <s v="1 yr 0 mth "/>
    <x v="1"/>
    <x v="2"/>
    <s v="Prototyping, DNA vaccine, Fusogenix"/>
    <n v="2"/>
    <s v="Aegis Life Inc."/>
    <n v="1"/>
    <s v="C-suite"/>
    <s v="Lewis, John D"/>
  </r>
  <r>
    <x v="4"/>
    <s v="University of British Columbia"/>
    <x v="3"/>
    <x v="1"/>
    <s v="202203PJT"/>
    <x v="3"/>
    <s v="Next-generation GRPR-targeting radiopharmaceuticals with improved in vivo stability and minimized pancreas uptake"/>
    <n v="523260"/>
    <n v="0"/>
    <s v="3 yrs 0 mth "/>
    <x v="0"/>
    <x v="3"/>
    <s v="GRPR, radiopharmaceuticals, stability"/>
    <n v="4"/>
    <s v="Alpha-9 Oncology Inc. (Alpha-9 theranostics)"/>
    <n v="1"/>
    <s v="C-suite"/>
    <s v="Lin, Kuo-Shyan"/>
  </r>
  <r>
    <x v="5"/>
    <s v="Research Institute of the McGill University Health Centre"/>
    <x v="4"/>
    <x v="3"/>
    <s v="201509IPR"/>
    <x v="4"/>
    <s v="Repurposing an Attenuated Salmonella typhimurium as a Novel Vector for Mucosal Vaccine Delivery"/>
    <n v="200000"/>
    <n v="0"/>
    <s v="2 yrs 0 mth "/>
    <x v="1"/>
    <x v="4"/>
    <s v="Salmonella, vector, vaccine"/>
    <n v="3"/>
    <s v="Aviex Technologies Llc"/>
    <n v="1"/>
    <s v="C-suite"/>
    <s v="Ward, Brian J"/>
  </r>
  <r>
    <x v="6"/>
    <s v="University of British Columbia"/>
    <x v="3"/>
    <x v="0"/>
    <s v="200903MOP"/>
    <x v="0"/>
    <s v="Regulation of antigen processing machinery in carcinomas"/>
    <n v="480608"/>
    <n v="0"/>
    <s v="4 yrs 0 mth "/>
    <x v="0"/>
    <x v="5"/>
    <s v="antigen processing, machinery, carcinomas"/>
    <n v="10"/>
    <s v="BioMmune Technologies Inc (Pascal Biosciences inc.)"/>
    <n v="1"/>
    <s v="C-suite"/>
    <s v="Jefferies, Wilfred A"/>
  </r>
  <r>
    <x v="6"/>
    <s v="University of British Columbia"/>
    <x v="3"/>
    <x v="3"/>
    <s v="201409IPR"/>
    <x v="4"/>
    <s v="Developing Technologies to Modulate Immunogenicity in Disease"/>
    <n v="750000"/>
    <n v="0"/>
    <s v="3 yrs 0 mth "/>
    <x v="1"/>
    <x v="6"/>
    <s v="Immunogenicity, Modulation, Disease"/>
    <n v="12"/>
    <s v="Cava Healthcare Inc. (Alternative Extracts inc.)"/>
    <n v="1"/>
    <s v="C-suite"/>
    <s v="Jefferies, Wilfred A"/>
  </r>
  <r>
    <x v="7"/>
    <s v="University Health Network (Toronto)"/>
    <x v="1"/>
    <x v="4"/>
    <s v="200903IC1"/>
    <x v="0"/>
    <s v="Targeted imaging and therapy of breast cancers using Tn antigen-specific DNA aptamers"/>
    <n v="100000"/>
    <n v="0"/>
    <s v="1 yr 0 mth "/>
    <x v="0"/>
    <x v="5"/>
    <s v="imaging, DNA aptamers, breast cancers"/>
    <n v="1"/>
    <s v="D5 Pharma Inc."/>
    <n v="1"/>
    <s v="C-suite"/>
    <s v="Gariepy, Jean"/>
  </r>
  <r>
    <x v="8"/>
    <s v="University of Toronto"/>
    <x v="1"/>
    <x v="1"/>
    <s v="201803PJT"/>
    <x v="5"/>
    <s v="Engineering therapeutics for the treatment of anemia in oncology patients"/>
    <n v="623476"/>
    <n v="0"/>
    <s v="5 yrs 0 mth "/>
    <x v="0"/>
    <x v="7"/>
    <s v="therapeutics, anemia, oncology"/>
    <n v="5"/>
    <s v="Epok Therapeutics Inc."/>
    <n v="1"/>
    <s v="C-suite"/>
    <s v="Sidhu, Sachdev S"/>
  </r>
  <r>
    <x v="9"/>
    <s v="University of British Columbia"/>
    <x v="3"/>
    <x v="0"/>
    <s v="200903MOP"/>
    <x v="0"/>
    <s v="Targeting interleukin-6 and the amino-terminus of the androgen receptor in osseous prostate cancer"/>
    <n v="362448"/>
    <n v="0"/>
    <s v="3 yrs 0 mth "/>
    <x v="0"/>
    <x v="5"/>
    <s v="interleukin-6, androgen receptor, prostate cancer"/>
    <n v="7"/>
    <s v="Essa Pharma inc."/>
    <n v="1"/>
    <s v="C-suite"/>
    <s v="Sadar, Marianne D"/>
  </r>
  <r>
    <x v="10"/>
    <s v="University of Waterloo (Ontario)"/>
    <x v="1"/>
    <x v="1"/>
    <s v="202209PJT"/>
    <x v="6"/>
    <s v="Next Generation Surgical Microscopes for Rapid Virtual Histopathology"/>
    <n v="654076"/>
    <n v="0"/>
    <s v="4 yrs 0 mth "/>
    <x v="0"/>
    <x v="8"/>
    <s v="Surgical Microscopes, Virtual Histopathology"/>
    <n v="3"/>
    <s v="Illumisonics Inc."/>
    <n v="1"/>
    <s v="C-suite"/>
    <s v="Haji Reza, Parsin"/>
  </r>
  <r>
    <x v="11"/>
    <s v="McMaster University"/>
    <x v="1"/>
    <x v="5"/>
    <s v="200903NHG"/>
    <x v="7"/>
    <s v="Catalytic DNA for protein sensing"/>
    <n v="292815"/>
    <n v="0"/>
    <s v="3 yrs 0 mth "/>
    <x v="2"/>
    <x v="5"/>
    <s v="Catalytic DNA, protein sensing"/>
    <n v="14"/>
    <s v="Innovogene Biosciences Inc"/>
    <n v="1"/>
    <s v="C-suite"/>
    <s v="Li, Yingfu"/>
  </r>
  <r>
    <x v="12"/>
    <s v="McMaster University"/>
    <x v="1"/>
    <x v="6"/>
    <s v="201310CPG"/>
    <x v="8"/>
    <s v="Pathway-specific cell-based high throughput screening for natural product antibiotics"/>
    <n v="322238"/>
    <n v="0"/>
    <s v="3 yrs 0 mth "/>
    <x v="1"/>
    <x v="9"/>
    <s v="cell-based, high throughput, antibiotics"/>
    <n v="9"/>
    <s v="Kapoose Creek Bio Corporation (Kapoose Creek Wellnesss Ltd.)"/>
    <n v="1"/>
    <s v="C-suite"/>
    <s v="Brown, Eric D"/>
  </r>
  <r>
    <x v="13"/>
    <s v="University of British Columbia"/>
    <x v="3"/>
    <x v="0"/>
    <s v="200909MOP"/>
    <x v="9"/>
    <s v="eVENT: An expert system for detecting ventilatory events during anesthesia"/>
    <n v="299186"/>
    <n v="0"/>
    <s v="3 yrs 0 mth "/>
    <x v="3"/>
    <x v="10"/>
    <s v="ventilatory events, expert system, anesthesia"/>
    <n v="1"/>
    <s v="Lionsgate Technologies, Inc."/>
    <n v="1"/>
    <s v="C-suite"/>
    <s v="Ansermino, John M"/>
  </r>
  <r>
    <x v="14"/>
    <s v="Sunnybrook Research Institute (Toronto, Ontario)"/>
    <x v="1"/>
    <x v="1"/>
    <s v="201709PJT"/>
    <x v="6"/>
    <s v="MR-Guided Management of Occlusive Peripheral Arterial Disease"/>
    <n v="791775"/>
    <n v="0"/>
    <s v="5 yrs 0 mth "/>
    <x v="3"/>
    <x v="11"/>
    <s v="MR, Peripheral Arterial Disease, Occlusive"/>
    <n v="2"/>
    <s v="Magellan Biomedical Inc."/>
    <n v="1"/>
    <s v="C-suite"/>
    <s v="Wright, Graham A"/>
  </r>
  <r>
    <x v="15"/>
    <s v="University of British Columbia"/>
    <x v="3"/>
    <x v="0"/>
    <s v="200909MOP"/>
    <x v="0"/>
    <s v="Targeting Carbonic Anhydrase IX and Hypoxia for the diagnosis and treatment of aggresive breast cancers"/>
    <n v="926186"/>
    <n v="0"/>
    <s v="5 yrs 0 mth "/>
    <x v="0"/>
    <x v="10"/>
    <s v="Carbonic Anhydrase, Hypoxia, Breast Cancers"/>
    <n v="2"/>
    <s v="Metasignal Therapeutics Inc. (SignalChem Lifesciences Corporation)"/>
    <n v="1"/>
    <s v="C-suite"/>
    <s v="Dedhar, Shoukat R"/>
  </r>
  <r>
    <x v="16"/>
    <s v="University Health Network (Toronto)"/>
    <x v="1"/>
    <x v="0"/>
    <s v="201203MOP"/>
    <x v="0"/>
    <s v="Developing Preclinical Optical Imaging Tools for Studying Vasculature, Microenvironment, and Radiation Response of Solid Tumours In Vivo."/>
    <n v="447823"/>
    <n v="0"/>
    <s v="4 yrs 0 mth "/>
    <x v="0"/>
    <x v="12"/>
    <s v="Optical imaging, Vasculature, Tumours"/>
    <n v="8"/>
    <s v="MolecuLight Inc."/>
    <n v="1"/>
    <s v="C-suite"/>
    <s v="Dacosta, Ralph S"/>
  </r>
  <r>
    <x v="17"/>
    <s v="University of British Columbia"/>
    <x v="3"/>
    <x v="1"/>
    <s v="202303PJT"/>
    <x v="10"/>
    <s v="Rational Design of Lipid Nanoparticle Systems for mRNA Delivery"/>
    <n v="1082476"/>
    <n v="0"/>
    <s v="5 yrs 0 mth "/>
    <x v="1"/>
    <x v="13"/>
    <s v="Lipid Nanoparticle, mRNA, Delivery"/>
    <n v="4"/>
    <s v="Nanovation Therapeutics Inc."/>
    <n v="1"/>
    <s v="C-suite"/>
    <s v="Cullis, Pieter R"/>
  </r>
  <r>
    <x v="18"/>
    <s v="University of Toronto"/>
    <x v="1"/>
    <x v="0"/>
    <s v="201209MOP"/>
    <x v="9"/>
    <s v="Classification and control of the electrical activities in the brain's neural networks under epileptic seizure conditions"/>
    <n v="418000"/>
    <n v="0"/>
    <s v="5 yrs 0 mth "/>
    <x v="4"/>
    <x v="14"/>
    <s v="brain, neural networks, epilepsy"/>
    <n v="4"/>
    <s v="Neurochip Corporation"/>
    <n v="1"/>
    <s v="C-suite"/>
    <s v="Bardakjian, Berj L"/>
  </r>
  <r>
    <x v="19"/>
    <s v="McGill University"/>
    <x v="4"/>
    <x v="0"/>
    <s v="201209MOP"/>
    <x v="1"/>
    <s v="Blood-based protein test for early detection of breast cancer using antibody colocalization microarrays"/>
    <n v="210140"/>
    <n v="0"/>
    <s v="2 yrs 0 mth "/>
    <x v="2"/>
    <x v="14"/>
    <s v="blood, protein, breast cancer"/>
    <n v="4"/>
    <s v="Nomic Bio Inc. (nplex Biosciences)"/>
    <n v="1"/>
    <s v="C-suite"/>
    <s v="Juncker, David"/>
  </r>
  <r>
    <x v="20"/>
    <s v="Polytechnique Montréal"/>
    <x v="4"/>
    <x v="0"/>
    <s v="201109MOP"/>
    <x v="9"/>
    <s v="Polymer-based Gene Delivery for Rheumatoid Arthritis"/>
    <n v="361539"/>
    <n v="0"/>
    <s v="3 yrs 0 mth "/>
    <x v="5"/>
    <x v="15"/>
    <s v="Polymer, Gene Delivery, Rheumatoid Arthritis"/>
    <n v="2"/>
    <s v="Ortho Regenerative Technologies Inc. (ChitogenX inc.)"/>
    <n v="1"/>
    <s v="C-suite"/>
    <s v="Buschmann, Michael D"/>
  </r>
  <r>
    <x v="21"/>
    <s v="Polytechnique Montréal"/>
    <x v="4"/>
    <x v="0"/>
    <s v="201309MOP"/>
    <x v="9"/>
    <s v="Defining therapeutic inflammation for cartilage repair"/>
    <n v="658035"/>
    <n v="0"/>
    <s v="5 yrs 0 mth "/>
    <x v="5"/>
    <x v="9"/>
    <s v="therapeutic inflammation, cartilage repair"/>
    <n v="2"/>
    <s v="Ortho Regenerative Technologies Inc. (ChitogenX inc.)"/>
    <n v="1"/>
    <s v="C-suite"/>
    <s v="Hoemann, Caroline D"/>
  </r>
  <r>
    <x v="22"/>
    <s v="Ottawa Heart Institute Research Corporation (Ontario)"/>
    <x v="1"/>
    <x v="7"/>
    <s v="201009ISO"/>
    <x v="4"/>
    <s v="Vascular Health and Disease: New Concepts &amp; Therapeutic Opportunities"/>
    <n v="623749"/>
    <n v="0"/>
    <s v="5 yrs 0 mth "/>
    <x v="3"/>
    <x v="16"/>
    <s v="Vascular, Health, Disease"/>
    <n v="4"/>
    <s v="Pemi31 Therapeutics Inc."/>
    <n v="1"/>
    <s v="C-suite"/>
    <s v="O'Brien, Edward R"/>
  </r>
  <r>
    <x v="23"/>
    <s v="University of British Columbia"/>
    <x v="3"/>
    <x v="0"/>
    <s v="201103MOP"/>
    <x v="5"/>
    <s v="Targeting the YB-1 pathway to overcome breast cancer recurrence"/>
    <n v="686778"/>
    <n v="0"/>
    <s v="5 yrs 0 mth "/>
    <x v="0"/>
    <x v="17"/>
    <s v="YB-1, breast cancer, pathway"/>
    <n v="3"/>
    <s v="Phoenix Molecular Diagnostics Ltd. (Phoenix Molecular Designs)"/>
    <n v="1"/>
    <s v="C-suite"/>
    <s v="Dunn, Sandra E"/>
  </r>
  <r>
    <x v="24"/>
    <s v="University of Toronto"/>
    <x v="1"/>
    <x v="0"/>
    <s v="201403MOP"/>
    <x v="9"/>
    <s v="Injectable functional tissues: a perfect marriage of tissue engineering and minimally invasive delivery"/>
    <n v="542243"/>
    <n v="0"/>
    <s v="4 yrs 0 mth "/>
    <x v="3"/>
    <x v="18"/>
    <s v="injectable, tissue engineering, minimally invasive"/>
    <n v="6"/>
    <s v="Quthero Inc.; Tara Biosystems Inc."/>
    <n v="2"/>
    <s v="C-suite"/>
    <s v="Radisic, Milica"/>
  </r>
  <r>
    <x v="25"/>
    <s v="Sinai Health System (Toronto)"/>
    <x v="1"/>
    <x v="0"/>
    <s v="201309MOP"/>
    <x v="0"/>
    <s v="Understanding DNA repair pathway choice control."/>
    <n v="978785"/>
    <n v="0"/>
    <s v="5 yrs 0 mth "/>
    <x v="0"/>
    <x v="9"/>
    <s v="DNA, repair, pathway"/>
    <n v="4"/>
    <s v="Repare Therapeutics Inc."/>
    <n v="1"/>
    <s v="C-suite"/>
    <s v="Durocher, Daniel"/>
  </r>
  <r>
    <x v="26"/>
    <s v="University of Alberta"/>
    <x v="2"/>
    <x v="0"/>
    <s v="201503MOP"/>
    <x v="9"/>
    <s v="siRNA Therapy for Leukemia: Synthetic Biomaterials to Deliver siRNA and Curb Uncontrolled Growth of Leukemic Cells"/>
    <n v="597400"/>
    <n v="0"/>
    <s v="5 yrs 0 mth "/>
    <x v="0"/>
    <x v="19"/>
    <s v="siRNA, Biomaterials, Leukemia"/>
    <n v="1"/>
    <s v="Rjh Biosciences Inc."/>
    <n v="1"/>
    <s v="C-suite"/>
    <s v="Uludag, Hasan"/>
  </r>
  <r>
    <x v="16"/>
    <s v="University Health Network (Toronto)"/>
    <x v="1"/>
    <x v="0"/>
    <s v="201403MOP"/>
    <x v="6"/>
    <s v="Portable Intraoperative Fluorescence Imaging for Real-time Margin Assessment and Guidance During Breast Cancer Surgery"/>
    <n v="333390"/>
    <n v="0"/>
    <s v="3 yrs 0 mth "/>
    <x v="0"/>
    <x v="18"/>
    <s v="Intraoperative, Fluorescence Imaging, Breast Cancer"/>
    <n v="15"/>
    <s v="SBI ALApharma Canada Inc."/>
    <n v="1"/>
    <s v="C-suite"/>
    <s v="Dacosta, Ralph S"/>
  </r>
  <r>
    <x v="27"/>
    <s v="McMaster University"/>
    <x v="1"/>
    <x v="0"/>
    <s v="201009MOP"/>
    <x v="0"/>
    <s v="CAR-engineered CD4+ T cells for tumor immunotherapy"/>
    <n v="406695"/>
    <n v="0"/>
    <s v="3 yrs 0 mth "/>
    <x v="0"/>
    <x v="16"/>
    <s v="CAR, CD4+, T cells"/>
    <n v="9"/>
    <s v="Triumvira Immunologics Usa, Inc."/>
    <n v="1"/>
    <s v="C-suite"/>
    <s v="Bramson, Jonathan L"/>
  </r>
  <r>
    <x v="28"/>
    <s v="Children's Hospital of Eastern Ontario Research Institute Inc"/>
    <x v="1"/>
    <x v="0"/>
    <s v="201405MOP"/>
    <x v="0"/>
    <s v="Oncolytic Virus Immunotherapy for Brain Cancer"/>
    <n v="100000"/>
    <n v="0"/>
    <s v="1 yr 0 mth "/>
    <x v="0"/>
    <x v="20"/>
    <s v="Oncolytic virus, Immunotherapy, Brain cancer"/>
    <n v="7"/>
    <s v="Turnstone Limited Partnership (Turnstone Biologics, Turnstone Biologics Corp.)"/>
    <n v="1"/>
    <s v="C-suite"/>
    <s v="Stojdl, David F"/>
  </r>
  <r>
    <x v="29"/>
    <s v="McMaster University"/>
    <x v="1"/>
    <x v="0"/>
    <s v="201203MOP"/>
    <x v="0"/>
    <s v="Potentiation of cancer immunotherapy by HDAC inhibition"/>
    <n v="724820"/>
    <n v="0"/>
    <s v="5 yrs 0 mth "/>
    <x v="0"/>
    <x v="12"/>
    <s v="cancer, immunotherapy, HDAC"/>
    <n v="1"/>
    <s v="Turnstone Limited Partnership (Turnstone Biologics, Turnstone Biologics Corp.)"/>
    <n v="1"/>
    <s v="C-suite"/>
    <s v="Wan, Yonghong"/>
  </r>
  <r>
    <x v="30"/>
    <s v="Ottawa Hospital Research Institute"/>
    <x v="1"/>
    <x v="3"/>
    <s v="201109IPR"/>
    <x v="4"/>
    <s v="Development of a Therapeutic Oncolytic Poxvirus with Enhanced Systemic Delivery and Potency"/>
    <n v="968389"/>
    <n v="0"/>
    <s v="4 yrs 0 mth "/>
    <x v="0"/>
    <x v="15"/>
    <s v="Oncolytic Poxvirus, Systemic Delivery, Potency"/>
    <n v="15"/>
    <s v="Turnstone Limited Partnership (Turnstone Biologics, Turnstone Biologics Corp.)"/>
    <n v="1"/>
    <s v="C-suite"/>
    <s v="Bell, John C"/>
  </r>
  <r>
    <x v="31"/>
    <s v="Université Laval"/>
    <x v="4"/>
    <x v="8"/>
    <s v="201009IRO"/>
    <x v="4"/>
    <s v="Mechanisms of antiviral drug resistance in seasonal and pandemic influenza strains and evaluation of new therapeutic modalities"/>
    <n v="228975"/>
    <n v="0"/>
    <s v="3 yrs 0 mth "/>
    <x v="1"/>
    <x v="16"/>
    <s v="antiviral, drug resistance, influenza"/>
    <n v="10"/>
    <s v="Vaxxel SAS"/>
    <n v="1"/>
    <s v="C-suite"/>
    <s v="Boivin, Guy"/>
  </r>
  <r>
    <x v="24"/>
    <s v="University of Toronto"/>
    <x v="1"/>
    <x v="0"/>
    <s v="201209MOP"/>
    <x v="9"/>
    <s v="Engineering Microenvironments for Cardiac Regeneration"/>
    <n v="523039"/>
    <n v="0"/>
    <s v="4 yrs 0 mth "/>
    <x v="3"/>
    <x v="14"/>
    <s v="Microenvironments, Cardiac, Regeneration"/>
    <n v="3"/>
    <s v="zN/A"/>
    <n v="0"/>
    <s v="zN/A"/>
    <s v="Radisic, Milica"/>
  </r>
  <r>
    <x v="32"/>
    <s v="University of Calgary"/>
    <x v="2"/>
    <x v="3"/>
    <s v="201403IPR"/>
    <x v="4"/>
    <s v="Risk Estimation Following Infarction Noninvasive Evaluation ICD efficacy (REFINE ICD) Trial."/>
    <n v="1248736"/>
    <n v="0"/>
    <s v="5 yrs 0 mth "/>
    <x v="3"/>
    <x v="20"/>
    <s v="Risk, Infarction, Evaluation"/>
    <n v="2"/>
    <s v="zN/A"/>
    <n v="0"/>
    <s v="zN/A"/>
    <s v="Exner, Derek V"/>
  </r>
  <r>
    <x v="33"/>
    <s v="Western University (Ontario)"/>
    <x v="1"/>
    <x v="0"/>
    <s v="201009MOP"/>
    <x v="6"/>
    <s v="Single-plane dynamic radiography for quantification of bone and joint motion"/>
    <n v="752848"/>
    <n v="0"/>
    <s v="5 yrs 0 mth "/>
    <x v="5"/>
    <x v="16"/>
    <s v="radiography, bone, joint"/>
    <n v="1"/>
    <s v="zN/A"/>
    <n v="0"/>
    <s v="zN/A"/>
    <s v="Holdsworth, David W"/>
  </r>
  <r>
    <x v="34"/>
    <s v="Universite de Sherbrooke"/>
    <x v="4"/>
    <x v="0"/>
    <s v="201003MOP"/>
    <x v="5"/>
    <s v="Developpement de nouvelles strategies therapeutiques pour enrayer la dissemination metastatique et les douleurs chroniques consecutives au cancer du sein"/>
    <n v="445569"/>
    <n v="0"/>
    <s v="3 yrs 0 mth "/>
    <x v="0"/>
    <x v="21"/>
    <s v="metastatic, cancer, pain"/>
    <n v="1"/>
    <s v="zN/A"/>
    <n v="0"/>
    <s v="zN/A"/>
    <s v="Sarret, Philippe"/>
  </r>
  <r>
    <x v="35"/>
    <s v="Research Institute of the McGill University Health Centre"/>
    <x v="4"/>
    <x v="6"/>
    <s v="201711CPG"/>
    <x v="8"/>
    <s v="Novel Delivery System for High Dose Rate Intensity Modulated Brachytherapy with Yb-169 as a Radiation Source"/>
    <n v="245475"/>
    <n v="65000"/>
    <s v="3 yrs 0 mth "/>
    <x v="0"/>
    <x v="11"/>
    <s v="Delivery, Brachytherapy, Yb-169"/>
    <n v="0"/>
    <s v="zN/A"/>
    <n v="0"/>
    <s v="zN/A"/>
    <s v="Abbasi Nejad Enger, Shirin"/>
  </r>
  <r>
    <x v="35"/>
    <s v="McGill University"/>
    <x v="4"/>
    <x v="6"/>
    <s v="201910CPG"/>
    <x v="8"/>
    <s v="Development of a non-invasive positron detector to measure the arterial input function for pharmacokinetic modelling in dynamic positron emission tomography imaging"/>
    <n v="1214556"/>
    <n v="89250"/>
    <s v="3 yrs 0 mth "/>
    <x v="0"/>
    <x v="22"/>
    <s v="positron, detector, imaging"/>
    <n v="0"/>
    <s v="zN/A"/>
    <n v="0"/>
    <s v="zN/A"/>
    <s v="Abbasi Nejad Enger, Shirin"/>
  </r>
  <r>
    <x v="36"/>
    <s v="University of British Columbia"/>
    <x v="3"/>
    <x v="0"/>
    <s v="201103MOP"/>
    <x v="6"/>
    <s v="Needle Guidance System for Neuraxial Analgesia and Anesthesia"/>
    <n v="449365"/>
    <n v="0"/>
    <s v="4 yrs 0 mth "/>
    <x v="5"/>
    <x v="17"/>
    <s v="Needle guidance, Neuraxial, Analgesia"/>
    <n v="1"/>
    <s v="zN/A"/>
    <n v="0"/>
    <s v="zN/A"/>
    <s v="Abolmaesumi, Purang"/>
  </r>
  <r>
    <x v="36"/>
    <s v="University of British Columbia"/>
    <x v="3"/>
    <x v="1"/>
    <s v="201803PJT"/>
    <x v="6"/>
    <s v="Multi-centre Temporal Ultrasound Image Analysis for Prostate Cancer Diagnosis"/>
    <n v="1158976"/>
    <n v="0"/>
    <s v="5 yrs 0 mth "/>
    <x v="0"/>
    <x v="7"/>
    <s v="Ultrasound, Image Analysis, Prostate Cancer"/>
    <n v="1"/>
    <s v="zN/A"/>
    <n v="0"/>
    <s v="zN/A"/>
    <s v="Abolmaesumi, Purang"/>
  </r>
  <r>
    <x v="36"/>
    <s v="University of British Columbia"/>
    <x v="3"/>
    <x v="6"/>
    <s v="201910CPG"/>
    <x v="8"/>
    <s v="Next Generation Micro-ultrasound Technology for Detection and Monitoring of Prostate Cancer"/>
    <n v="279550"/>
    <n v="0"/>
    <s v="3 yrs 0 mth "/>
    <x v="0"/>
    <x v="22"/>
    <s v="Micro-ultrasound, Prostate Cancer, Detection"/>
    <n v="1"/>
    <s v="zN/A"/>
    <n v="0"/>
    <s v="zN/A"/>
    <s v="Abolmaesumi, Purang"/>
  </r>
  <r>
    <x v="36"/>
    <s v="University of British Columbia"/>
    <x v="3"/>
    <x v="1"/>
    <s v="202203PJT"/>
    <x v="6"/>
    <s v="Automatic Assessment of Aortic Stenosis with Point of Care Ultrasound"/>
    <n v="1005976"/>
    <n v="0"/>
    <s v="5 yrs 0 mth "/>
    <x v="6"/>
    <x v="3"/>
    <s v="Aortic Stenosis, Ultrasound, Point of Care"/>
    <n v="0"/>
    <s v="zN/A"/>
    <n v="0"/>
    <s v="zN/A"/>
    <s v="Abolmaesumi, Purang"/>
  </r>
  <r>
    <x v="37"/>
    <s v="Queen's University (Kingston, Ontario)"/>
    <x v="1"/>
    <x v="1"/>
    <s v="202010PJT"/>
    <x v="3"/>
    <s v="Elucidating the role extracellular vesicles play in leukaemogenesis"/>
    <n v="1071000"/>
    <n v="0"/>
    <s v="5 yrs 0 mth "/>
    <x v="0"/>
    <x v="23"/>
    <s v="extracellular vesicles, leukaemogenesis"/>
    <n v="0"/>
    <s v="zN/A"/>
    <n v="0"/>
    <s v="zN/A"/>
    <s v="Abraham, Sheela A"/>
  </r>
  <r>
    <x v="38"/>
    <s v="University of Alberta"/>
    <x v="2"/>
    <x v="1"/>
    <s v="201804PJT"/>
    <x v="9"/>
    <s v="Enabling liver cryopreservation by controlling ice recrystallization with small molecule inhibitors"/>
    <n v="100000"/>
    <n v="0"/>
    <s v="1 yr 0 mth "/>
    <x v="1"/>
    <x v="7"/>
    <s v="liver, cryopreservation, ice recrystallization"/>
    <n v="0"/>
    <s v="zN/A"/>
    <n v="0"/>
    <s v="zN/A"/>
    <s v="Acker, Jason P"/>
  </r>
  <r>
    <x v="38"/>
    <s v="University of Alberta"/>
    <x v="2"/>
    <x v="1"/>
    <s v="202010PJT"/>
    <x v="9"/>
    <s v="Enabling liver cryopreservation by controlling ice recrystallization with small molecule inhibitors"/>
    <n v="600524"/>
    <n v="0"/>
    <s v="4 yrs 0 mth "/>
    <x v="1"/>
    <x v="7"/>
    <s v="liver, cryopreservation, ice recrystallization"/>
    <n v="0"/>
    <s v="zN/A"/>
    <n v="0"/>
    <s v="zN/A"/>
    <s v="Acker, Jason P"/>
  </r>
  <r>
    <x v="39"/>
    <s v="McMaster University"/>
    <x v="1"/>
    <x v="0"/>
    <s v="201103MOP"/>
    <x v="6"/>
    <s v="On the development of bone quality parameters for assessing osteoporosis using peripheral quantitative computed tomography"/>
    <n v="657828"/>
    <n v="0"/>
    <s v="5 yrs 0 mth "/>
    <x v="5"/>
    <x v="17"/>
    <s v="bone, osteoporosis, computed tomography"/>
    <n v="0"/>
    <s v="zN/A"/>
    <n v="0"/>
    <s v="zN/A"/>
    <s v="Adachi, Jonathan D"/>
  </r>
  <r>
    <x v="40"/>
    <s v="University of Alberta"/>
    <x v="2"/>
    <x v="6"/>
    <s v="201310CPG"/>
    <x v="8"/>
    <s v="Robotic interface with Haptic Guidance and Artificial Intelligence for People with Disabilities"/>
    <n v="166500"/>
    <n v="0"/>
    <s v="3 yrs 0 mth "/>
    <x v="7"/>
    <x v="9"/>
    <s v="Robotic, Haptic, Artificial Intelligence"/>
    <n v="0"/>
    <s v="zN/A"/>
    <n v="0"/>
    <s v="zN/A"/>
    <s v="Adams, Kimberley D"/>
  </r>
  <r>
    <x v="41"/>
    <s v="Dalhousie University (Nova Scotia)"/>
    <x v="5"/>
    <x v="6"/>
    <s v="201610CPG"/>
    <x v="8"/>
    <s v="Optical coherence tomography of the middle ear"/>
    <n v="337717"/>
    <n v="0"/>
    <s v="3 yrs 0 mth "/>
    <x v="6"/>
    <x v="24"/>
    <s v="Optical coherence tomography, middle ear"/>
    <n v="2"/>
    <s v="zN/A"/>
    <n v="0"/>
    <s v="zN/A"/>
    <s v="Adamson, Robert B"/>
  </r>
  <r>
    <x v="41"/>
    <s v="Dalhousie University (Nova Scotia)"/>
    <x v="5"/>
    <x v="1"/>
    <s v="202109PJT"/>
    <x v="6"/>
    <s v="Clinical optical coherence tomography of the middle ear"/>
    <n v="313652"/>
    <n v="0"/>
    <s v="4 yrs 0 mth "/>
    <x v="7"/>
    <x v="25"/>
    <s v="optical coherence tomography, middle ear"/>
    <n v="2"/>
    <s v="zN/A"/>
    <n v="0"/>
    <s v="zN/A"/>
    <s v="Adamson, Robert B"/>
  </r>
  <r>
    <x v="42"/>
    <s v="Hospital for Sick Children (Toronto)"/>
    <x v="1"/>
    <x v="8"/>
    <s v="201003IRO"/>
    <x v="4"/>
    <s v="Establishment of A New Database of Pediatric Laboratory Reference Intervals for Biomarkers of Pediatric Disease"/>
    <n v="66196"/>
    <n v="0"/>
    <s v="1 yr 0 mth "/>
    <x v="7"/>
    <x v="21"/>
    <s v="database, biomarkers, pediatric disease"/>
    <n v="0"/>
    <s v="zN/A"/>
    <n v="0"/>
    <s v="zN/A"/>
    <s v="Adeli, Khosrow"/>
  </r>
  <r>
    <x v="42"/>
    <s v="Hospital for Sick Children (Toronto)"/>
    <x v="1"/>
    <x v="8"/>
    <s v="201103IRO"/>
    <x v="4"/>
    <s v="CALIPER: A Canadian Initiative to Close the Critical Gaps in Pediatric Reference Intervals"/>
    <n v="66667"/>
    <n v="0"/>
    <s v="1 yr 0 mth "/>
    <x v="7"/>
    <x v="17"/>
    <s v="pediatric, reference intervals, gaps"/>
    <n v="0"/>
    <s v="zN/A"/>
    <n v="0"/>
    <s v="zN/A"/>
    <s v="Adeli, Khosrow"/>
  </r>
  <r>
    <x v="43"/>
    <s v="University of Saskatchewan"/>
    <x v="6"/>
    <x v="1"/>
    <s v="201809PJT"/>
    <x v="3"/>
    <s v="Conversion From Unresectable To Resectable Liver Metastases In Patients With Liver-Only Metastatic Colorectal Cancer Treated With FOLFOXIRI Plus Bevacizumab. The Conversion Trial."/>
    <n v="100000"/>
    <n v="0"/>
    <s v="3 yrs 0 mth "/>
    <x v="0"/>
    <x v="26"/>
    <s v="liver metastases, colorectal cancer, FOLFOXIRI"/>
    <n v="0"/>
    <s v="zN/A"/>
    <n v="0"/>
    <s v="zN/A"/>
    <s v="Ahmed, Shahid"/>
  </r>
  <r>
    <x v="44"/>
    <s v="University of Alberta"/>
    <x v="2"/>
    <x v="9"/>
    <s v="202403NW3"/>
    <x v="11"/>
    <s v="Hormonal route of administration and cardiorenal health"/>
    <n v="420000"/>
    <n v="0"/>
    <s v="2 yrs 10 mths "/>
    <x v="8"/>
    <x v="27"/>
    <s v="hormonal, administration, cardiorenal"/>
    <n v="0"/>
    <s v="zN/A"/>
    <n v="0"/>
    <s v="zN/A"/>
    <s v="Ahmed, Sofia B"/>
  </r>
  <r>
    <x v="45"/>
    <s v="University Health Network (Toronto)"/>
    <x v="1"/>
    <x v="0"/>
    <s v="201209MOP"/>
    <x v="1"/>
    <s v="Tumour-Initiating Cells in Oral Cancer Patients: Predictors of Outcome and Identification of Candidate Therapeutic Targets"/>
    <n v="523091"/>
    <n v="0"/>
    <s v="4 yrs 0 mth "/>
    <x v="0"/>
    <x v="14"/>
    <s v="Tumour-Initiating Cells, Oral Cancer, Therapeutic Targets"/>
    <n v="0"/>
    <s v="zN/A"/>
    <n v="0"/>
    <s v="zN/A"/>
    <s v="Ailles, Laurie E"/>
  </r>
  <r>
    <x v="45"/>
    <s v="University Health Network (Toronto)"/>
    <x v="1"/>
    <x v="1"/>
    <s v="201909PJT"/>
    <x v="5"/>
    <s v="Prognostic Biomarkers and Novel Therapies for Oral Squamous Cell Carcinoma Patients"/>
    <n v="1051875"/>
    <n v="0"/>
    <s v="5 yrs 0 mth "/>
    <x v="0"/>
    <x v="22"/>
    <s v="Biomarkers, Oral Squamous Cell Carcinoma, Prognostic"/>
    <n v="0"/>
    <s v="zN/A"/>
    <n v="0"/>
    <s v="zN/A"/>
    <s v="Ailles, Laurie E"/>
  </r>
  <r>
    <x v="45"/>
    <s v="University Health Network (Toronto)"/>
    <x v="1"/>
    <x v="1"/>
    <s v="202210PJT"/>
    <x v="5"/>
    <s v="Targeting PRMT1 in Clear Cell Renal Cell Carcinoma"/>
    <n v="100000"/>
    <n v="0"/>
    <s v="1 yr 0 mth "/>
    <x v="0"/>
    <x v="8"/>
    <s v="PRMT1, Renal Cell Carcinoma, Targeting"/>
    <n v="0"/>
    <s v="zN/A"/>
    <n v="0"/>
    <s v="zN/A"/>
    <s v="Ailles, Laurie E"/>
  </r>
  <r>
    <x v="45"/>
    <s v="University Health Network (Toronto)"/>
    <x v="1"/>
    <x v="1"/>
    <s v="202309PJT"/>
    <x v="1"/>
    <s v="Targeting PRMT1 in Clear Cell Renal Cell Carcinoma"/>
    <n v="776475"/>
    <n v="0"/>
    <s v="5 yrs 0 mth "/>
    <x v="0"/>
    <x v="8"/>
    <s v="PRMT1, Renal Cell Carcinoma, Targeting"/>
    <n v="0"/>
    <s v="zN/A"/>
    <n v="0"/>
    <s v="zN/A"/>
    <s v="Ailles, Laurie E"/>
  </r>
  <r>
    <x v="46"/>
    <s v="Children's Hospital of Eastern Ontario Research Institute Inc"/>
    <x v="1"/>
    <x v="10"/>
    <s v="202209PLL"/>
    <x v="0"/>
    <s v="Viralyzing transgenes to improve oncolytic immunotherapy"/>
    <n v="100000"/>
    <n v="0"/>
    <s v="1 yr 0 mth "/>
    <x v="0"/>
    <x v="28"/>
    <s v="Viralyzing, transgenes, immunotherapy"/>
    <n v="0"/>
    <s v="zN/A"/>
    <n v="0"/>
    <s v="zN/A"/>
    <s v="Alain, Tommy"/>
  </r>
  <r>
    <x v="47"/>
    <s v="CIUSSS de Centre-Ouest-de-l'Ile-de-Montréal-Jewish General"/>
    <x v="4"/>
    <x v="11"/>
    <s v="200909IC3"/>
    <x v="5"/>
    <s v="Molecular and Translational Studies of Filamin Signaling Network in Invasive Cancer"/>
    <n v="100000"/>
    <n v="0"/>
    <s v="1 yr 0 mth "/>
    <x v="0"/>
    <x v="29"/>
    <s v="Filamin, Signaling, Cancer"/>
    <n v="0"/>
    <s v="zN/A"/>
    <n v="0"/>
    <s v="zN/A"/>
    <s v="Alaoui-Jamali, Moulay A"/>
  </r>
  <r>
    <x v="47"/>
    <s v="CIUSSS de Centre-Ouest-de-l'Ile-de-Montréal-Jewish General"/>
    <x v="4"/>
    <x v="12"/>
    <s v="201003COP"/>
    <x v="1"/>
    <s v="Investigation of the Filamin Signaling Network's Function in Cancer Progression"/>
    <n v="740235"/>
    <n v="0"/>
    <s v="5 yrs 0 mth "/>
    <x v="0"/>
    <x v="21"/>
    <s v="Filamin, Signaling, Cancer"/>
    <n v="0"/>
    <s v="zN/A"/>
    <n v="0"/>
    <s v="zN/A"/>
    <s v="Alaoui-Jamali, Moulay A"/>
  </r>
  <r>
    <x v="48"/>
    <s v="University of British Columbia"/>
    <x v="3"/>
    <x v="1"/>
    <s v="202010PJT"/>
    <x v="9"/>
    <s v="Materials and Technologies for Highly Sensitive Biomarker Analysis of Extracellular Vesicles Toward Cancer Diagnostics"/>
    <n v="367200"/>
    <n v="0"/>
    <s v="3 yrs 0 mth "/>
    <x v="0"/>
    <x v="23"/>
    <s v="Biomarker, Extracellular Vesicles, Cancer"/>
    <n v="0"/>
    <s v="zN/A"/>
    <n v="0"/>
    <s v="zN/A"/>
    <s v="Algar, Walter R"/>
  </r>
  <r>
    <x v="49"/>
    <s v="McMaster University"/>
    <x v="1"/>
    <x v="13"/>
    <s v="202005VR3"/>
    <x v="12"/>
    <s v="Awake Prone Position in Hypoxemic Patients with Coronavirus Disease 19"/>
    <n v="1089205"/>
    <n v="0"/>
    <s v="0 yr 6 mths "/>
    <x v="3"/>
    <x v="2"/>
    <s v="Prone Position, Hypoxemic, Coronavirus"/>
    <n v="0"/>
    <s v="zN/A"/>
    <n v="0"/>
    <s v="zN/A"/>
    <s v="Alhazzani, Waleed"/>
  </r>
  <r>
    <x v="50"/>
    <s v="Western University (Ontario)"/>
    <x v="1"/>
    <x v="1"/>
    <s v="202010PJT"/>
    <x v="1"/>
    <s v="Influence of breast cancer-derived extracellular vesicles (BCEVs) on lung metastasis of triple negative breast cancer"/>
    <n v="872100"/>
    <n v="0"/>
    <s v="5 yrs 0 mth "/>
    <x v="0"/>
    <x v="23"/>
    <s v="extracellular vesicles, breast cancer, metastasis"/>
    <n v="0"/>
    <s v="zN/A"/>
    <n v="0"/>
    <s v="zN/A"/>
    <s v="Allan, Alison L"/>
  </r>
  <r>
    <x v="51"/>
    <s v="University of Toronto"/>
    <x v="1"/>
    <x v="0"/>
    <s v="201403MOP"/>
    <x v="5"/>
    <s v="Targeted Polymeric Nanotechnology for Multi-Modality Treatment of HER2 Positive Breast Cancer"/>
    <n v="492845"/>
    <n v="0"/>
    <s v="4 yrs 0 mth "/>
    <x v="0"/>
    <x v="18"/>
    <s v="Polymeric, Nanotechnology, HER2"/>
    <n v="0"/>
    <s v="zN/A"/>
    <n v="0"/>
    <s v="zN/A"/>
    <s v="Allen, Christine J"/>
  </r>
  <r>
    <x v="51"/>
    <s v="University of Toronto"/>
    <x v="1"/>
    <x v="1"/>
    <s v="201709PJT"/>
    <x v="13"/>
    <s v="Heat Activated Liposomal Delivery of Chemo and Molecular Therapy in Combination with Radiotherapy for Treatment of Breast Cancer Recurrence at the Chest Wall"/>
    <n v="459000"/>
    <n v="0"/>
    <s v="4 yrs 0 mth "/>
    <x v="0"/>
    <x v="11"/>
    <s v="Liposomal, Chemotherapy, Radiotherapy"/>
    <n v="0"/>
    <s v="zN/A"/>
    <n v="0"/>
    <s v="zN/A"/>
    <s v="Allen, Christine J"/>
  </r>
  <r>
    <x v="52"/>
    <s v="Queen's University (Kingston, Ontario)"/>
    <x v="1"/>
    <x v="6"/>
    <s v="201310CPG"/>
    <x v="8"/>
    <s v="Preclinical Development of Natural Product-Based Agents as Anti-Cancer Drugs"/>
    <n v="206646"/>
    <n v="0"/>
    <s v="3 yrs 0 mth "/>
    <x v="0"/>
    <x v="9"/>
    <s v="Natural products, Anti-cancer, Agents"/>
    <n v="0"/>
    <s v="zN/A"/>
    <n v="0"/>
    <s v="zN/A"/>
    <s v="Allingham, John S"/>
  </r>
  <r>
    <x v="52"/>
    <s v="Queen's University (Kingston, Ontario)"/>
    <x v="1"/>
    <x v="6"/>
    <s v="201610CPG"/>
    <x v="8"/>
    <s v="Development of antibody-drug conjugates that use actin-targeting warheads"/>
    <n v="248750"/>
    <n v="0"/>
    <s v="3 yrs 0 mth "/>
    <x v="0"/>
    <x v="24"/>
    <s v="antibody, drug conjugates, actin"/>
    <n v="1"/>
    <s v="zN/A"/>
    <n v="0"/>
    <s v="zN/A"/>
    <s v="Allingham, John S"/>
  </r>
  <r>
    <x v="53"/>
    <s v="Hospital for Sick Children (Toronto)"/>
    <x v="1"/>
    <x v="0"/>
    <s v="201203MOP"/>
    <x v="5"/>
    <s v="Characterizing the Sarcoma Tumor Initiating Cell: Implications for the Development of Novel Treatments for Undifferentiated Pleomorphic Sarcoma"/>
    <n v="732722"/>
    <n v="0"/>
    <s v="5 yrs 0 mth "/>
    <x v="5"/>
    <x v="12"/>
    <s v="Sarcoma, Tumor, Cell"/>
    <n v="0"/>
    <s v="zN/A"/>
    <n v="0"/>
    <s v="zN/A"/>
    <s v="Alman, Benjamin A"/>
  </r>
  <r>
    <x v="54"/>
    <s v="University of British Columbia"/>
    <x v="3"/>
    <x v="14"/>
    <s v="201706PCG"/>
    <x v="14"/>
    <s v="The Live 5-2-1-0 eHealth App - Supporting health professionals and educators to raise a healthier generation of kids"/>
    <n v="199870"/>
    <n v="0"/>
    <s v="2 yrs 0 mth "/>
    <x v="9"/>
    <x v="30"/>
    <s v="eHealth, app, health"/>
    <n v="0"/>
    <s v="zN/A"/>
    <n v="0"/>
    <s v="zN/A"/>
    <s v="Amed, Shazhan"/>
  </r>
  <r>
    <x v="55"/>
    <s v="University of Toronto"/>
    <x v="1"/>
    <x v="6"/>
    <s v="201711CPG"/>
    <x v="8"/>
    <s v="Advanced Bioreactors for Evaluation and Systematic Optimization of Decellularization and Recellularization of the Lung and Trachea"/>
    <n v="291825"/>
    <n v="52100"/>
    <s v="3 yrs 0 mth "/>
    <x v="3"/>
    <x v="11"/>
    <s v="Bioreactors, Decellularization, Recellularization"/>
    <n v="0"/>
    <s v="zN/A"/>
    <n v="0"/>
    <s v="zN/A"/>
    <s v="Amon, Cristina"/>
  </r>
  <r>
    <x v="56"/>
    <s v="Queen's University (Kingston, Ontario)"/>
    <x v="1"/>
    <x v="15"/>
    <s v="201109IMH"/>
    <x v="9"/>
    <s v="Biomimetic Scaffold for Ligament Tissue Engineering"/>
    <n v="100000"/>
    <n v="0"/>
    <s v="1 yr 0 mth "/>
    <x v="5"/>
    <x v="31"/>
    <s v="Biomimetic, Scaffold, Ligament"/>
    <n v="0"/>
    <s v="zN/A"/>
    <n v="0"/>
    <s v="zN/A"/>
    <s v="Amsden, Brian G"/>
  </r>
  <r>
    <x v="56"/>
    <s v="Queen's University (Kingston, Ontario)"/>
    <x v="1"/>
    <x v="6"/>
    <s v="201310CPG"/>
    <x v="8"/>
    <s v="Articular Cartilage Reconstruction"/>
    <n v="168002"/>
    <n v="0"/>
    <s v="3 yrs 0 mth "/>
    <x v="5"/>
    <x v="9"/>
    <s v="Articular, Cartilage, Reconstruction"/>
    <n v="0"/>
    <s v="zN/A"/>
    <n v="0"/>
    <s v="zN/A"/>
    <s v="Amsden, Brian G"/>
  </r>
  <r>
    <x v="56"/>
    <s v="Queen's University (Kingston, Ontario)"/>
    <x v="1"/>
    <x v="0"/>
    <s v="201403MOP"/>
    <x v="9"/>
    <s v="Biomimetic Scaffold for Ligament Tissue Engineering"/>
    <n v="409478"/>
    <n v="0"/>
    <s v="4 yrs 0 mth "/>
    <x v="5"/>
    <x v="18"/>
    <s v="Biomimetic, Scaffold, Ligament"/>
    <n v="0"/>
    <s v="zN/A"/>
    <n v="0"/>
    <s v="zN/A"/>
    <s v="Amsden, Brian G"/>
  </r>
  <r>
    <x v="57"/>
    <s v="Centre hospitalier de l'Université de Montréal (CHUM)"/>
    <x v="4"/>
    <x v="16"/>
    <s v="201211CHR"/>
    <x v="15"/>
    <s v="Establishment of Long-Lived HIV-1 Reservoirs in Naive Th17 Precursors: Implications for the Cure"/>
    <n v="100000"/>
    <n v="0"/>
    <s v="1 yr 0 mth "/>
    <x v="1"/>
    <x v="32"/>
    <s v="HIV-1, Reservoirs, Th17"/>
    <n v="0"/>
    <s v="zN/A"/>
    <n v="0"/>
    <s v="zN/A"/>
    <s v="Ancuta, Petronela"/>
  </r>
  <r>
    <x v="58"/>
    <s v="University of Saskatchewan"/>
    <x v="6"/>
    <x v="10"/>
    <s v="202109PLL"/>
    <x v="5"/>
    <s v="Targeting metastatic breast cancer"/>
    <n v="100000"/>
    <n v="0"/>
    <s v="1 yr 0 mth "/>
    <x v="0"/>
    <x v="20"/>
    <s v="Metastatic, Breast Cancer"/>
    <n v="1"/>
    <s v="zN/A"/>
    <n v="0"/>
    <s v="zN/A"/>
    <s v="Anderson, Deborah H"/>
  </r>
  <r>
    <x v="58"/>
    <s v="University of Saskatchewan"/>
    <x v="6"/>
    <x v="0"/>
    <s v="201405MOP"/>
    <x v="5"/>
    <s v="Targeting Metastatic Breast Cancer"/>
    <n v="100000"/>
    <n v="0"/>
    <s v="1 yr 0 mth "/>
    <x v="0"/>
    <x v="20"/>
    <s v="Metastatic, Breast Cancer"/>
    <n v="0"/>
    <s v="zN/A"/>
    <n v="0"/>
    <s v="zN/A"/>
    <s v="Anderson, Deborah H"/>
  </r>
  <r>
    <x v="58"/>
    <s v="University of Saskatchewan"/>
    <x v="6"/>
    <x v="1"/>
    <s v="202309PJT"/>
    <x v="5"/>
    <s v="Targeting metastatic breast cancer"/>
    <n v="504900"/>
    <n v="0"/>
    <s v="2 yrs 0 mth "/>
    <x v="0"/>
    <x v="20"/>
    <s v="Metastatic, Breast Cancer"/>
    <n v="0"/>
    <s v="zN/A"/>
    <n v="0"/>
    <s v="zN/A"/>
    <s v="Anderson, Deborah H"/>
  </r>
  <r>
    <x v="59"/>
    <s v="Sinai Health System (Toronto)"/>
    <x v="1"/>
    <x v="0"/>
    <s v="200809MOP"/>
    <x v="5"/>
    <s v="Discovery and characterization of clinically important changes in axillary node-negative breast cancer."/>
    <n v="866726"/>
    <n v="0"/>
    <s v="5 yrs 0 mth "/>
    <x v="0"/>
    <x v="0"/>
    <s v="axillary node, breast cancer, characterization"/>
    <n v="0"/>
    <s v="zN/A"/>
    <n v="0"/>
    <s v="zN/A"/>
    <s v="Andrulis, Irene L"/>
  </r>
  <r>
    <x v="60"/>
    <s v="University of Toronto"/>
    <x v="1"/>
    <x v="6"/>
    <s v="201810CPG"/>
    <x v="8"/>
    <s v="Biomechanical biofeedback targeting the high-level rehabilitation of mobility in youth with lower limb amputations"/>
    <n v="374050"/>
    <n v="0"/>
    <s v="3 yrs 0 mth "/>
    <x v="7"/>
    <x v="26"/>
    <s v="biomechanical, biofeedback, rehabilitation"/>
    <n v="0"/>
    <s v="zN/A"/>
    <n v="0"/>
    <s v="zN/A"/>
    <s v="Andrysek, Jan"/>
  </r>
  <r>
    <x v="60"/>
    <s v="Holland Bloorview Kids Rehabilitation Hospital (Toronto)"/>
    <x v="1"/>
    <x v="1"/>
    <s v="202309PJT"/>
    <x v="9"/>
    <s v="Feasibility RCT evaluating digitally and traditionally produced ankle foot orthoses for individuals with impaired lower limb function"/>
    <n v="470475"/>
    <n v="0"/>
    <s v="3 yrs 0 mth "/>
    <x v="5"/>
    <x v="33"/>
    <s v="ankle foot orthoses, lower limb, digital fabrication"/>
    <n v="0"/>
    <s v="zN/A"/>
    <n v="0"/>
    <s v="zN/A"/>
    <s v="Andrysek, Jan"/>
  </r>
  <r>
    <x v="61"/>
    <s v="University of Toronto"/>
    <x v="1"/>
    <x v="1"/>
    <s v="201909PJT"/>
    <x v="3"/>
    <s v="Targeting Glioblastoma Heterogeneity through identification of subtype-specific genetic vulnerabilities"/>
    <n v="818550"/>
    <n v="0"/>
    <s v="5 yrs 0 mth "/>
    <x v="0"/>
    <x v="22"/>
    <s v="Glioblastoma, genetic vulnerabilities, heterogeneity"/>
    <n v="0"/>
    <s v="zN/A"/>
    <n v="0"/>
    <s v="zN/A"/>
    <s v="Angers, Stephane"/>
  </r>
  <r>
    <x v="62"/>
    <s v="University of British Columbia"/>
    <x v="3"/>
    <x v="1"/>
    <s v="202209PJT"/>
    <x v="5"/>
    <s v="Deconvoluting Prognostic and Targetable Features of Endometrioid Ovarian Carcinomas of No Specific Molecular Profile"/>
    <n v="646424"/>
    <n v="0"/>
    <s v="3 yrs 0 mth "/>
    <x v="0"/>
    <x v="8"/>
    <s v="Deconvoluting, Prognostic, Ovarian Carcinomas"/>
    <n v="0"/>
    <s v="zN/A"/>
    <n v="0"/>
    <s v="zN/A"/>
    <s v="Anglesio, Michael S"/>
  </r>
  <r>
    <x v="63"/>
    <s v="University of Calgary"/>
    <x v="2"/>
    <x v="6"/>
    <s v="201310CPG"/>
    <x v="8"/>
    <s v="Development and Clinical Efficacies of an Innovative Quantitative Intraoperative C-arm System"/>
    <n v="234775"/>
    <n v="0"/>
    <s v="3 yrs 0 mth "/>
    <x v="5"/>
    <x v="9"/>
    <s v="C-arm, Intraoperative, Quantitative"/>
    <n v="0"/>
    <s v="zN/A"/>
    <n v="0"/>
    <s v="zN/A"/>
    <s v="Anglin, Carolyn"/>
  </r>
  <r>
    <x v="64"/>
    <s v="McGill University"/>
    <x v="4"/>
    <x v="8"/>
    <s v="201009IRO"/>
    <x v="4"/>
    <s v="Effects of S1P receptor directed pharmaceutical agents on central nervous system myelination"/>
    <n v="178125"/>
    <n v="0"/>
    <s v="3 yrs 0 mth "/>
    <x v="4"/>
    <x v="16"/>
    <s v="S1P receptor, myelination, pharmaceutical agents"/>
    <n v="0"/>
    <s v="zN/A"/>
    <n v="0"/>
    <s v="zN/A"/>
    <s v="Antel, Jack P"/>
  </r>
  <r>
    <x v="65"/>
    <s v="CIUSSS de Centre-Ouest-de-l'Ile-de-Montréal-Jewish General"/>
    <x v="4"/>
    <x v="0"/>
    <s v="201009MOP"/>
    <x v="9"/>
    <s v="Tissue Engineering of Intervertebral Discs"/>
    <n v="328001"/>
    <n v="0"/>
    <s v="3 yrs 0 mth "/>
    <x v="5"/>
    <x v="16"/>
    <s v="Tissue engineering, Intervertebral discs"/>
    <n v="1"/>
    <s v="zN/A"/>
    <n v="0"/>
    <s v="zN/A"/>
    <s v="Antoniou, John"/>
  </r>
  <r>
    <x v="65"/>
    <s v="CIUSSS de Centre-Ouest-de-l'Ile-de-Montréal-Jewish General"/>
    <x v="4"/>
    <x v="1"/>
    <s v="202109PJT"/>
    <x v="9"/>
    <s v="Role of Link N in Osteoarthritis"/>
    <n v="699975"/>
    <n v="0"/>
    <s v="5 yrs 0 mth "/>
    <x v="5"/>
    <x v="25"/>
    <s v="Link N, Osteoarthritis"/>
    <n v="0"/>
    <s v="zN/A"/>
    <n v="0"/>
    <s v="zN/A"/>
    <s v="Antoniou, John"/>
  </r>
  <r>
    <x v="66"/>
    <s v="Université Laval"/>
    <x v="4"/>
    <x v="0"/>
    <s v="201403MOP"/>
    <x v="0"/>
    <s v="Elucidating the role of alpha2beta1 integrin in the chemoresistance of acute lymphoblastic leukemia."/>
    <n v="567520"/>
    <n v="0"/>
    <s v="5 yrs 0 mth "/>
    <x v="0"/>
    <x v="18"/>
    <s v="alpha2beta1 integrin, chemoresistance, leukemia"/>
    <n v="0"/>
    <s v="zN/A"/>
    <n v="0"/>
    <s v="zN/A"/>
    <s v="Aoudjit, Fawzi"/>
  </r>
  <r>
    <x v="66"/>
    <s v="Université Laval"/>
    <x v="4"/>
    <x v="17"/>
    <s v="202209PDI"/>
    <x v="0"/>
    <s v="Understanding the role of beta1 integrins in chemoresistance of acute lymphoblastic leukemia and therapeutic implications"/>
    <n v="100000"/>
    <n v="0"/>
    <s v="1 yr 0 mth "/>
    <x v="0"/>
    <x v="28"/>
    <s v="beta1 integrins, chemoresistance, leukemia"/>
    <n v="0"/>
    <s v="zN/A"/>
    <n v="0"/>
    <s v="zN/A"/>
    <s v="Aoudjit, Fawzi"/>
  </r>
  <r>
    <x v="67"/>
    <s v="University of British Columbia"/>
    <x v="3"/>
    <x v="0"/>
    <s v="201109MOP"/>
    <x v="5"/>
    <s v="PP2a protein serine/threonine phosphatase mutations in cancer: functional consequences and clinical relevance"/>
    <n v="588895"/>
    <n v="0"/>
    <s v="4 yrs 0 mth "/>
    <x v="0"/>
    <x v="15"/>
    <s v="PP2a, phosphatase, cancer"/>
    <n v="0"/>
    <s v="zN/A"/>
    <n v="0"/>
    <s v="zN/A"/>
    <s v="Aparicio, Samuel J"/>
  </r>
  <r>
    <x v="67"/>
    <s v="University of British Columbia"/>
    <x v="3"/>
    <x v="1"/>
    <s v="202303PJT"/>
    <x v="5"/>
    <s v="Mechanisms and targeting of repair deficient cancers with G-quadruplex small molecule ligands"/>
    <n v="1048050"/>
    <n v="0"/>
    <s v="5 yrs 0 mth "/>
    <x v="0"/>
    <x v="13"/>
    <s v="G-quadruplex, small molecule, cancers"/>
    <n v="0"/>
    <s v="zN/A"/>
    <n v="0"/>
    <s v="zN/A"/>
    <s v="Aparicio, Samuel J"/>
  </r>
  <r>
    <x v="68"/>
    <s v="Ontario Tech University"/>
    <x v="1"/>
    <x v="14"/>
    <s v="201706PCG"/>
    <x v="14"/>
    <s v="Improving heart failure outcomes through apps that support self-management and adherence"/>
    <n v="146368"/>
    <n v="0"/>
    <s v="2 yrs 0 mth "/>
    <x v="9"/>
    <x v="30"/>
    <s v="heart failure, self-management, adherence"/>
    <n v="0"/>
    <s v="zN/A"/>
    <n v="0"/>
    <s v="zN/A"/>
    <s v="Arcand, JoAnne"/>
  </r>
  <r>
    <x v="69"/>
    <s v="Universite du Quebec e Montreal"/>
    <x v="4"/>
    <x v="6"/>
    <s v="201310CPG"/>
    <x v="8"/>
    <s v="La portion C-terminale de la proteine P97 de Mycoplasma hyopneumoniae: une nouvelle molecule adjuvante e des fins vaccinales"/>
    <n v="364959"/>
    <n v="0"/>
    <s v="3 yrs 0 mth "/>
    <x v="1"/>
    <x v="9"/>
    <s v="P97, Mycoplasma hyopneumoniae, adjuvant"/>
    <n v="0"/>
    <s v="zN/A"/>
    <n v="0"/>
    <s v="zN/A"/>
    <s v="Archambault, Denis"/>
  </r>
  <r>
    <x v="69"/>
    <s v="Université du Québec à Montréal"/>
    <x v="4"/>
    <x v="2"/>
    <s v="202005VR1"/>
    <x v="2"/>
    <s v="SARS-CoV-2 immunization strategies to enhance protective immunity with reduced risk of antibody-dependent enhancement (ADE)"/>
    <n v="622782"/>
    <n v="0"/>
    <s v="1 yr 0 mth "/>
    <x v="1"/>
    <x v="2"/>
    <s v="SARS-CoV-2, immunization, antibody-dependent enhancement"/>
    <n v="2"/>
    <s v="zN/A"/>
    <n v="0"/>
    <s v="zN/A"/>
    <s v="Archambault, Denis"/>
  </r>
  <r>
    <x v="70"/>
    <s v="University of Calgary"/>
    <x v="2"/>
    <x v="7"/>
    <s v="201003ISO"/>
    <x v="4"/>
    <s v="Potential of pathogen-specific egg yolk antibodies (IgY) for treating Clostridium difficile infections."/>
    <n v="162672"/>
    <n v="0"/>
    <s v="3 yrs 0 mth "/>
    <x v="1"/>
    <x v="21"/>
    <s v="IgY, Clostridium difficile, antibodies"/>
    <n v="0"/>
    <s v="zN/A"/>
    <n v="0"/>
    <s v="zN/A"/>
    <s v="Armstrong, Glen D"/>
  </r>
  <r>
    <x v="71"/>
    <s v="McMaster University"/>
    <x v="1"/>
    <x v="8"/>
    <s v="200909IRO"/>
    <x v="4"/>
    <s v="Revisiting the Pathophysiology of Immune Thrombocytopenic Purpura in the Era of Thrombopoietin Mimetics"/>
    <n v="152932"/>
    <n v="0"/>
    <s v="3 yrs 0 mth "/>
    <x v="3"/>
    <x v="10"/>
    <s v="Immune Thrombocytopenic Purpura, Thrombopoietin Mimetics"/>
    <n v="0"/>
    <s v="zN/A"/>
    <n v="0"/>
    <s v="zN/A"/>
    <s v="Arnold, Donald M"/>
  </r>
  <r>
    <x v="71"/>
    <s v="McMaster University"/>
    <x v="1"/>
    <x v="13"/>
    <s v="202005VR3"/>
    <x v="12"/>
    <s v="A Randomized Open-Label Trial of CONvalescent Plasma for Hospitalized Adults With Acute COVID-19 Respiratory Illness (CONCOR-1)"/>
    <n v="2972273"/>
    <n v="0"/>
    <s v="1 yr 0 mth "/>
    <x v="3"/>
    <x v="2"/>
    <s v="Convalescent Plasma, COVID-19, Respiratory Illness"/>
    <n v="0"/>
    <s v="zN/A"/>
    <n v="0"/>
    <s v="zN/A"/>
    <s v="Arnold, Donald M"/>
  </r>
  <r>
    <x v="72"/>
    <s v="McGill University"/>
    <x v="4"/>
    <x v="0"/>
    <s v="201303MOP"/>
    <x v="6"/>
    <s v="Magnetic Resonance Imaging of Multiple Sclerosis"/>
    <n v="698337"/>
    <n v="0"/>
    <s v="5 yrs 0 mth "/>
    <x v="4"/>
    <x v="34"/>
    <s v="Magnetic Resonance, Imaging, Multiple Sclerosis"/>
    <n v="0"/>
    <s v="zN/A"/>
    <n v="0"/>
    <s v="zN/A"/>
    <s v="Arnold, Douglas L"/>
  </r>
  <r>
    <x v="73"/>
    <s v="University of Toronto"/>
    <x v="1"/>
    <x v="3"/>
    <s v="201209IPR"/>
    <x v="4"/>
    <s v="Toward epigenetic therapy for colon cancer"/>
    <n v="1016046"/>
    <n v="0"/>
    <s v="5 yrs 0 mth "/>
    <x v="0"/>
    <x v="14"/>
    <s v="epigenetic, colon cancer"/>
    <n v="0"/>
    <s v="zN/A"/>
    <n v="0"/>
    <s v="zN/A"/>
    <s v="Arrowsmith, Cheryl H"/>
  </r>
  <r>
    <x v="74"/>
    <s v="McMaster University"/>
    <x v="1"/>
    <x v="1"/>
    <s v="201803PJT"/>
    <x v="0"/>
    <s v="Utilizing chimeric antigen receptors to direct autologous NK cell cytotoxicity to breast cancer"/>
    <n v="937740"/>
    <n v="0"/>
    <s v="5 yrs 0 mth "/>
    <x v="0"/>
    <x v="7"/>
    <s v="chimeric antigen receptors, NK cell, breast cancer"/>
    <n v="0"/>
    <s v="zN/A"/>
    <n v="0"/>
    <s v="zN/A"/>
    <s v="Ashkar, Ali A"/>
  </r>
  <r>
    <x v="75"/>
    <s v="Ottawa Hospital Research Institute"/>
    <x v="1"/>
    <x v="1"/>
    <s v="201903PJT"/>
    <x v="0"/>
    <s v="Perioperative Targeting of Myeloid Derived Suppressor Cells to Alleviate Postoperative Immunosuppression and Metastases"/>
    <n v="860626"/>
    <n v="0"/>
    <s v="5 yrs 0 mth "/>
    <x v="0"/>
    <x v="1"/>
    <s v="Myeloid Derived Suppressor Cells, Immunosuppression, Metastases"/>
    <n v="1"/>
    <s v="zN/A"/>
    <n v="0"/>
    <s v="zN/A"/>
    <s v="Auer, Rebecca Ann C"/>
  </r>
  <r>
    <x v="76"/>
    <s v="Ontario Institute for Cancer Research (Toronto, Ontario)"/>
    <x v="1"/>
    <x v="1"/>
    <s v="202203PJT"/>
    <x v="3"/>
    <s v="Preparing for the Recovery from the Effects of the PAndemic on cancer control using Real-world Evidence in Canada (PREPARE-Canada)"/>
    <n v="1147500"/>
    <n v="0"/>
    <s v="5 yrs 0 mth "/>
    <x v="0"/>
    <x v="3"/>
    <s v="cancer, real-world evidence, pandemic"/>
    <n v="0"/>
    <s v="zN/A"/>
    <n v="0"/>
    <s v="zN/A"/>
    <s v="Awadalla, Philip"/>
  </r>
  <r>
    <x v="77"/>
    <s v="Université de Sherbrooke"/>
    <x v="4"/>
    <x v="1"/>
    <s v="202303PJT"/>
    <x v="0"/>
    <s v="Bioengineering viruses to create safer and more effective oncolytic viruses"/>
    <n v="986850"/>
    <n v="0"/>
    <s v="5 yrs 0 mth "/>
    <x v="0"/>
    <x v="13"/>
    <s v="bioengineering, viruses, oncolytic"/>
    <n v="0"/>
    <s v="zN/A"/>
    <n v="0"/>
    <s v="zN/A"/>
    <s v="Azad, Taha"/>
  </r>
  <r>
    <x v="78"/>
    <s v="University of Regina (Saskatchewan)"/>
    <x v="6"/>
    <x v="18"/>
    <s v="202005VR2"/>
    <x v="16"/>
    <s v="Development of SARS-CoV-2 Peptide Therapeutics and Point-of-Care Salivary Diagnostics for Rapid Viral Detection"/>
    <n v="937950"/>
    <n v="0"/>
    <s v="1 yr 0 mth "/>
    <x v="2"/>
    <x v="2"/>
    <s v="SARS-CoV-2, Peptide, Diagnostics"/>
    <n v="0"/>
    <s v="zN/A"/>
    <n v="0"/>
    <s v="zN/A"/>
    <s v="Babu, Mohan"/>
  </r>
  <r>
    <x v="79"/>
    <s v="University of Calgary"/>
    <x v="2"/>
    <x v="0"/>
    <s v="201209MOP"/>
    <x v="5"/>
    <s v="Bortezomib mediated BRCAness in Myeloma cells: novel therapeutic approach combining PARP1-2 and 26S proteasome inhibitors."/>
    <n v="522880"/>
    <n v="0"/>
    <s v="4 yrs 0 mth "/>
    <x v="0"/>
    <x v="14"/>
    <s v="Bortezomib, BRCAness, PARP1-2"/>
    <n v="0"/>
    <s v="zN/A"/>
    <n v="0"/>
    <s v="zN/A"/>
    <s v="Bahlis, Nizar J"/>
  </r>
  <r>
    <x v="80"/>
    <s v="Research Institute of the McGill University Health Centre"/>
    <x v="4"/>
    <x v="1"/>
    <s v="201909PJT"/>
    <x v="5"/>
    <s v="Investigating the Molecular Determinants of Peritoneal Metastasis from Gastro-Esophageal Adenocarcinomas"/>
    <n v="753525"/>
    <n v="0"/>
    <s v="5 yrs 0 mth "/>
    <x v="0"/>
    <x v="22"/>
    <s v="Peritoneal metastasis, Molecular determinants, Gastro-Esophageal adenocarcinomas"/>
    <n v="0"/>
    <s v="zN/A"/>
    <n v="0"/>
    <s v="zN/A"/>
    <s v="Bailey, Swneke D"/>
  </r>
  <r>
    <x v="81"/>
    <s v="University of Ottawa"/>
    <x v="1"/>
    <x v="6"/>
    <s v="201910CPG"/>
    <x v="8"/>
    <s v="Automated placenta screening to improve maternal lifetime cardiovascular health"/>
    <n v="238045"/>
    <n v="6000"/>
    <s v="3 yrs 0 mth "/>
    <x v="3"/>
    <x v="22"/>
    <s v="placenta, screening, cardiovascular"/>
    <n v="0"/>
    <s v="zN/A"/>
    <n v="0"/>
    <s v="zN/A"/>
    <s v="Bainbridge, Shannon A"/>
  </r>
  <r>
    <x v="82"/>
    <s v="University of Alberta"/>
    <x v="2"/>
    <x v="1"/>
    <s v="201809PJT"/>
    <x v="0"/>
    <s v="Chemokine-mediated control of anti-tumor immunity in DNA-repair deficient colorectal cancer"/>
    <n v="765000"/>
    <n v="0"/>
    <s v="5 yrs 0 mth "/>
    <x v="0"/>
    <x v="26"/>
    <s v="Chemokine, DNA-repair, colorectal cancer"/>
    <n v="1"/>
    <s v="zN/A"/>
    <n v="0"/>
    <s v="zN/A"/>
    <s v="Baker, Kristi"/>
  </r>
  <r>
    <x v="82"/>
    <s v="University of Alberta"/>
    <x v="2"/>
    <x v="1"/>
    <s v="202209PJT"/>
    <x v="0"/>
    <s v="Harnessing dendritic cells to regulate antitumor immunity in colorectal cancer"/>
    <n v="956250"/>
    <n v="0"/>
    <s v="5 yrs 0 mth "/>
    <x v="0"/>
    <x v="8"/>
    <s v="dendritic cells, antitumor immunity, colorectal cancer"/>
    <n v="0"/>
    <s v="zN/A"/>
    <n v="0"/>
    <s v="zN/A"/>
    <s v="Baker, Kristi"/>
  </r>
  <r>
    <x v="83"/>
    <s v="University of British Columbia"/>
    <x v="3"/>
    <x v="0"/>
    <s v="201003MOP"/>
    <x v="1"/>
    <s v="Identifying Cytoprotective Responses Triggered Following Initial Exposure to Targeted Therapy: Defining Improved Treatment Strategies for Patients with HER-2 Positive Breast Cancer."/>
    <n v="774156"/>
    <n v="0"/>
    <s v="5 yrs 0 mth "/>
    <x v="0"/>
    <x v="21"/>
    <s v="Cytoprotective responses, HER-2, breast cancer"/>
    <n v="0"/>
    <s v="zN/A"/>
    <n v="0"/>
    <s v="zN/A"/>
    <s v="Bally, Marcel B"/>
  </r>
  <r>
    <x v="84"/>
    <s v="Université Laval"/>
    <x v="4"/>
    <x v="1"/>
    <s v="201903PJT"/>
    <x v="3"/>
    <s v="Biology of S100A8 and S100A9 proteins in Human Acute Myeloid Leukemia"/>
    <n v="761176"/>
    <n v="0"/>
    <s v="5 yrs 0 mth "/>
    <x v="0"/>
    <x v="1"/>
    <s v="S100A8, S100A9, Leukemia"/>
    <n v="0"/>
    <s v="zN/A"/>
    <n v="0"/>
    <s v="zN/A"/>
    <s v="Barabe, Frederic"/>
  </r>
  <r>
    <x v="84"/>
    <s v="Université Laval"/>
    <x v="4"/>
    <x v="1"/>
    <s v="202209PJT"/>
    <x v="1"/>
    <s v="Role of the RAS Pathway Activation on the Biology and Drug Response of Acute Myeloid Leukemias"/>
    <n v="891225"/>
    <n v="0"/>
    <s v="5 yrs 0 mth "/>
    <x v="0"/>
    <x v="8"/>
    <s v="RAS, Leukemias, Pathway"/>
    <n v="0"/>
    <s v="zN/A"/>
    <n v="0"/>
    <s v="zN/A"/>
    <s v="Barabe, Frederic"/>
  </r>
  <r>
    <x v="85"/>
    <s v="University of Alberta"/>
    <x v="2"/>
    <x v="0"/>
    <s v="201109MOP"/>
    <x v="0"/>
    <s v="Sarcopenia: a predictor of cancer treatment response, treatment toxicity &amp; drug metabolism"/>
    <n v="135206"/>
    <n v="0"/>
    <s v="2 yrs 0 mth "/>
    <x v="0"/>
    <x v="15"/>
    <s v="Sarcopenia, cancer, metabolism"/>
    <n v="0"/>
    <s v="zN/A"/>
    <n v="0"/>
    <s v="zN/A"/>
    <s v="Baracos, Vickie E"/>
  </r>
  <r>
    <x v="86"/>
    <s v="University of Alberta"/>
    <x v="2"/>
    <x v="1"/>
    <s v="202104PJT"/>
    <x v="0"/>
    <s v="Investigating the cell-based activity of a new class of cytotoxic T-lymphocyte antigen-4 (CTLA-4) small molecule inhibitors"/>
    <n v="508726"/>
    <n v="0"/>
    <s v="5 yrs 0 mth "/>
    <x v="0"/>
    <x v="35"/>
    <s v="cytotoxic T-lymphocyte, CTLA-4, small molecule"/>
    <n v="0"/>
    <s v="zN/A"/>
    <n v="0"/>
    <s v="zN/A"/>
    <s v="Barakat, Khaled H"/>
  </r>
  <r>
    <x v="18"/>
    <s v="University of Toronto"/>
    <x v="1"/>
    <x v="0"/>
    <s v="200903MOP"/>
    <x v="9"/>
    <s v="Prediction and control of seizure onset"/>
    <n v="293444"/>
    <n v="0"/>
    <s v="3 yrs 0 mth "/>
    <x v="4"/>
    <x v="5"/>
    <s v="seizure, prediction, control"/>
    <n v="1"/>
    <s v="zN/A"/>
    <n v="0"/>
    <s v="zN/A"/>
    <s v="Bardakjian, Berj L"/>
  </r>
  <r>
    <x v="87"/>
    <s v="University of Calgary"/>
    <x v="2"/>
    <x v="19"/>
    <s v="202307NWI"/>
    <x v="17"/>
    <s v="Exploring biomarkers of physical activity promotion of cognition in menopause: Role of race/ethnicity"/>
    <n v="150000"/>
    <n v="0"/>
    <s v="1 yr 0 mth "/>
    <x v="6"/>
    <x v="36"/>
    <s v="biomarkers, physical activity, cognition"/>
    <n v="0"/>
    <s v="zN/A"/>
    <n v="0"/>
    <s v="zN/A"/>
    <s v="Barha, Cindy"/>
  </r>
  <r>
    <x v="88"/>
    <s v="Western University (Ontario)"/>
    <x v="1"/>
    <x v="1"/>
    <s v="202109PJT"/>
    <x v="6"/>
    <s v="Microstructural MRI in Temporal Lobe Epilepsy"/>
    <n v="581400"/>
    <n v="0"/>
    <s v="5 yrs 0 mth "/>
    <x v="4"/>
    <x v="25"/>
    <s v="Microstructural MRI, Temporal Lobe Epilepsy"/>
    <n v="0"/>
    <s v="zN/A"/>
    <n v="0"/>
    <s v="zN/A"/>
    <s v="Baron, Corey A"/>
  </r>
  <r>
    <x v="89"/>
    <s v="Research Institute of the McGill University Health Centre"/>
    <x v="4"/>
    <x v="1"/>
    <s v="201809PJT"/>
    <x v="9"/>
    <s v="Autosynthetics: Cranial Regeneration"/>
    <n v="631124"/>
    <n v="0"/>
    <s v="4 yrs 0 mth "/>
    <x v="5"/>
    <x v="26"/>
    <s v="Autosynthetics, Cranial, Regeneration"/>
    <n v="0"/>
    <s v="zN/A"/>
    <n v="0"/>
    <s v="zN/A"/>
    <s v="Barralet, Jake E"/>
  </r>
  <r>
    <x v="90"/>
    <s v="University of Toronto"/>
    <x v="1"/>
    <x v="1"/>
    <s v="202210PJT"/>
    <x v="0"/>
    <s v="Targeting protein arginine methylation in tumor-associated macrophages"/>
    <n v="100000"/>
    <n v="0"/>
    <s v="1 yr 0 mth "/>
    <x v="0"/>
    <x v="8"/>
    <s v="protein, arginine, methylation"/>
    <n v="0"/>
    <s v="zN/A"/>
    <n v="0"/>
    <s v="zN/A"/>
    <s v="Barsyte-Lovejoy, Dalia"/>
  </r>
  <r>
    <x v="90"/>
    <s v="University of Toronto"/>
    <x v="1"/>
    <x v="1"/>
    <s v="202309PJT"/>
    <x v="1"/>
    <s v="Targeting protein arginine methylation in the 9p21.3 loss tumor microenvironment"/>
    <n v="902700"/>
    <n v="0"/>
    <s v="5 yrs 0 mth "/>
    <x v="0"/>
    <x v="37"/>
    <s v="protein, arginine methylation, tumor microenvironment"/>
    <n v="0"/>
    <s v="zN/A"/>
    <n v="0"/>
    <s v="zN/A"/>
    <s v="Barsyte-Lovejoy, Dalia"/>
  </r>
  <r>
    <x v="91"/>
    <s v="Western University (Ontario)"/>
    <x v="1"/>
    <x v="0"/>
    <s v="200910MOP"/>
    <x v="6"/>
    <s v="Magnetic Resonance PARACEST Imaging of In-vivo Protease Activity"/>
    <n v="96414"/>
    <n v="0"/>
    <s v="1 yr 0 mth "/>
    <x v="6"/>
    <x v="21"/>
    <s v="Magnetic Resonance, PARACEST, Protease"/>
    <n v="0"/>
    <s v="zN/A"/>
    <n v="0"/>
    <s v="zN/A"/>
    <s v="Bartha, Robert"/>
  </r>
  <r>
    <x v="91"/>
    <s v="Western University (Ontario)"/>
    <x v="1"/>
    <x v="0"/>
    <s v="201003MOP"/>
    <x v="6"/>
    <s v="Magnetic Resonance PARACEST Imaging of In-vivo Protease Activity"/>
    <n v="449243"/>
    <n v="0"/>
    <s v="4 yrs 0 mth "/>
    <x v="6"/>
    <x v="21"/>
    <s v="Magnetic Resonance, PARACEST, Protease"/>
    <n v="0"/>
    <s v="zN/A"/>
    <n v="0"/>
    <s v="zN/A"/>
    <s v="Bartha, Robert"/>
  </r>
  <r>
    <x v="92"/>
    <s v="McGill University"/>
    <x v="4"/>
    <x v="6"/>
    <s v="201610CPG"/>
    <x v="8"/>
    <s v="Novel multilayered synthetic structural bone graft materials which combine biocompatibility, biodegradability and high toughness."/>
    <n v="163222"/>
    <n v="0"/>
    <s v="3 yrs 0 mth "/>
    <x v="5"/>
    <x v="24"/>
    <s v="bone graft, biocompatibility, biodegradability"/>
    <n v="0"/>
    <s v="zN/A"/>
    <n v="0"/>
    <s v="zN/A"/>
    <s v="Barthelat, Francois"/>
  </r>
  <r>
    <x v="93"/>
    <s v="University of Toronto"/>
    <x v="1"/>
    <x v="6"/>
    <s v="201310CPG"/>
    <x v="8"/>
    <s v="Nonlinear Optical Imaging for Digital Pathology"/>
    <n v="508406"/>
    <n v="0"/>
    <s v="3 yrs 0 mth "/>
    <x v="0"/>
    <x v="9"/>
    <s v="Nonlinear Optical, Imaging, Pathology"/>
    <n v="1"/>
    <s v="zN/A"/>
    <n v="0"/>
    <s v="zN/A"/>
    <s v="Barzda, Virginijus"/>
  </r>
  <r>
    <x v="94"/>
    <s v="University of British Columbia"/>
    <x v="3"/>
    <x v="1"/>
    <s v="202010PJT"/>
    <x v="6"/>
    <s v="Prostate cancer risk stratification for active surveillance using computer-aided analysis of histopathology and transcriptomics"/>
    <n v="906525"/>
    <n v="0"/>
    <s v="5 yrs 0 mth "/>
    <x v="0"/>
    <x v="23"/>
    <s v="prostate cancer, histopathology, transcriptomics"/>
    <n v="0"/>
    <s v="zN/A"/>
    <n v="0"/>
    <s v="zN/A"/>
    <s v="Bashashati, Ali"/>
  </r>
  <r>
    <x v="94"/>
    <s v="University of British Columbia"/>
    <x v="3"/>
    <x v="1"/>
    <s v="202403PJT"/>
    <x v="6"/>
    <s v="aRtificial intelligence-driven computational pathology platform for blAdder Cancer subTyping (REACT)"/>
    <n v="845326"/>
    <n v="0"/>
    <s v="5 yrs 0 mth "/>
    <x v="0"/>
    <x v="38"/>
    <s v="artificial intelligence, computational pathology, bladder cancer"/>
    <n v="0"/>
    <s v="zN/A"/>
    <n v="0"/>
    <s v="zN/A"/>
    <s v="Bashashati, Ali"/>
  </r>
  <r>
    <x v="95"/>
    <s v="CIUSSS de Centre-Ouest-de-l'Ile-de-Montréal-Jewish General"/>
    <x v="4"/>
    <x v="1"/>
    <s v="202109PJT"/>
    <x v="1"/>
    <s v="Targeting lipid metabolism in chemoresistant breast cancer"/>
    <n v="1009800"/>
    <n v="0"/>
    <s v="5 yrs 0 mth "/>
    <x v="0"/>
    <x v="25"/>
    <s v="lipid metabolism, chemoresistant, breast cancer"/>
    <n v="0"/>
    <s v="zN/A"/>
    <n v="0"/>
    <s v="zN/A"/>
    <s v="Basik, Mark"/>
  </r>
  <r>
    <x v="95"/>
    <s v="CIUSSS de Centre-Ouest-de-l'Ile-de-Montréal-Jewish General"/>
    <x v="4"/>
    <x v="10"/>
    <s v="202309PLL"/>
    <x v="3"/>
    <s v="Altering the gut microbiome in Triple- negative breast cancer: a pilot study"/>
    <n v="100000"/>
    <n v="0"/>
    <s v="1 yr 0 mth "/>
    <x v="0"/>
    <x v="37"/>
    <s v="gut microbiome, breast cancer, triple-negative"/>
    <n v="0"/>
    <s v="zN/A"/>
    <n v="0"/>
    <s v="zN/A"/>
    <s v="Basik, Mark"/>
  </r>
  <r>
    <x v="95"/>
    <s v="CIUSSS de Centre-Ouest-de-l'Ile-de-Montréal-Jewish General"/>
    <x v="4"/>
    <x v="1"/>
    <s v="202403PJT"/>
    <x v="1"/>
    <s v="Altering the gut microbiome in Triple- negative breast cancer: a pilot study"/>
    <n v="1510875"/>
    <n v="0"/>
    <s v="4 yrs 0 mth "/>
    <x v="0"/>
    <x v="37"/>
    <s v="gut microbiome, breast cancer, triple-negative"/>
    <n v="0"/>
    <s v="zN/A"/>
    <n v="0"/>
    <s v="zN/A"/>
    <s v="Basik, Mark"/>
  </r>
  <r>
    <x v="96"/>
    <s v="University of Calgary"/>
    <x v="2"/>
    <x v="6"/>
    <s v="201711CPG"/>
    <x v="8"/>
    <s v="Development of a Blood Test for Colorectal Cancer based on Metabolomic Signature"/>
    <n v="389215"/>
    <n v="0"/>
    <s v="3 yrs 0 mth "/>
    <x v="0"/>
    <x v="11"/>
    <s v="Blood test, colorectal cancer, metabolomics"/>
    <n v="1"/>
    <s v="zN/A"/>
    <n v="0"/>
    <s v="zN/A"/>
    <s v="Bathe, Oliver F"/>
  </r>
  <r>
    <x v="97"/>
    <s v="CIUSSS de Centre-Ouest-de-l'Ile-de-Montréal-Jewish General"/>
    <x v="4"/>
    <x v="0"/>
    <s v="201209MOP"/>
    <x v="5"/>
    <s v="Novel strategy to selectively target tumor cell growth and chemosensitivity"/>
    <n v="767780"/>
    <n v="0"/>
    <s v="5 yrs 0 mth "/>
    <x v="0"/>
    <x v="14"/>
    <s v="tumor, cell growth, chemosensitivity"/>
    <n v="0"/>
    <s v="zN/A"/>
    <n v="0"/>
    <s v="zN/A"/>
    <s v="Batist, Gerald"/>
  </r>
  <r>
    <x v="98"/>
    <s v="Hospital for Sick Children (Toronto)"/>
    <x v="1"/>
    <x v="5"/>
    <s v="200903NHG"/>
    <x v="7"/>
    <s v="Nanomanipulation and high resolution in situ gene mapping"/>
    <n v="300000"/>
    <n v="0"/>
    <s v="3 yrs 0 mth "/>
    <x v="2"/>
    <x v="5"/>
    <s v="Nanomanipulation, gene mapping, in situ"/>
    <n v="0"/>
    <s v="zN/A"/>
    <n v="0"/>
    <s v="zN/A"/>
    <s v="Bazett-Jones, David P"/>
  </r>
  <r>
    <x v="99"/>
    <s v="McGill University"/>
    <x v="4"/>
    <x v="0"/>
    <s v="201109MOP"/>
    <x v="1"/>
    <s v="CEACAM1 in colon cancer progression and metastasis"/>
    <n v="834100"/>
    <n v="0"/>
    <s v="5 yrs 0 mth "/>
    <x v="0"/>
    <x v="15"/>
    <s v="CEACAM1, colon cancer, metastasis"/>
    <n v="0"/>
    <s v="zN/A"/>
    <n v="0"/>
    <s v="zN/A"/>
    <s v="Beauchemin, Nicole"/>
  </r>
  <r>
    <x v="100"/>
    <s v="University of Alberta"/>
    <x v="2"/>
    <x v="0"/>
    <s v="200809MOP"/>
    <x v="6"/>
    <s v="Quantitative Magnetic Resonance Imaging of Neurodevelopment"/>
    <n v="733595"/>
    <n v="0"/>
    <s v="5 yrs 0 mth "/>
    <x v="4"/>
    <x v="0"/>
    <s v="Magnetic Resonance, Imaging, Neurodevelopment"/>
    <n v="0"/>
    <s v="zN/A"/>
    <n v="0"/>
    <s v="zN/A"/>
    <s v="Beaulieu, Christian"/>
  </r>
  <r>
    <x v="100"/>
    <s v="University of Alberta"/>
    <x v="2"/>
    <x v="20"/>
    <s v="201304OMI"/>
    <x v="18"/>
    <s v="Integrated Software for the Assessment of Diffusion Tensor Imaging of Brain Wiring in Alzheimer's Disease and Dementia"/>
    <n v="215821"/>
    <n v="3000"/>
    <s v="3 yrs 0 mth "/>
    <x v="6"/>
    <x v="34"/>
    <s v="Diffusion Tensor Imaging, Brain Wiring, Alzheimer's Disease"/>
    <n v="0"/>
    <s v="zN/A"/>
    <n v="0"/>
    <s v="zN/A"/>
    <s v="Beaulieu, Christian"/>
  </r>
  <r>
    <x v="100"/>
    <s v="University of Alberta"/>
    <x v="2"/>
    <x v="0"/>
    <s v="201403MOP"/>
    <x v="6"/>
    <s v="Development of Novel Diffusion Magnetic Resonance Methods for the Brain: Initial Applications to Stroke"/>
    <n v="777172"/>
    <n v="0"/>
    <s v="5 yrs 0 mth "/>
    <x v="3"/>
    <x v="18"/>
    <s v="Diffusion, Magnetic Resonance, Stroke"/>
    <n v="0"/>
    <s v="zN/A"/>
    <n v="0"/>
    <s v="zN/A"/>
    <s v="Beaulieu, Christian"/>
  </r>
  <r>
    <x v="101"/>
    <s v="Université de Sherbrooke"/>
    <x v="4"/>
    <x v="1"/>
    <s v="202003PJT"/>
    <x v="1"/>
    <s v="Set-up of a mass spectrometry-based stool test for colorectal cancer screening"/>
    <n v="719101"/>
    <n v="0"/>
    <s v="4 yrs 0 mth "/>
    <x v="0"/>
    <x v="39"/>
    <s v="mass spectrometry, stool test, colorectal cancer"/>
    <n v="0"/>
    <s v="zN/A"/>
    <n v="0"/>
    <s v="zN/A"/>
    <s v="Beaulieu, Jean-Franeois"/>
  </r>
  <r>
    <x v="102"/>
    <s v="Université Laval"/>
    <x v="4"/>
    <x v="0"/>
    <s v="201003MOP"/>
    <x v="6"/>
    <s v="An Integrated Real-Time 3D Ultrasound Guidance System for Multi-catheters Breast Brachytherapy"/>
    <n v="275233"/>
    <n v="0"/>
    <s v="3 yrs 0 mth "/>
    <x v="0"/>
    <x v="21"/>
    <s v="Ultrasound, Brachytherapy, Guidance"/>
    <n v="0"/>
    <s v="zN/A"/>
    <n v="0"/>
    <s v="zN/A"/>
    <s v="Beaulieu, Luc"/>
  </r>
  <r>
    <x v="102"/>
    <s v="Université Laval"/>
    <x v="4"/>
    <x v="1"/>
    <s v="202003PJT"/>
    <x v="6"/>
    <s v="The impact of Monte Carlo dose calculations on prostate and breast low-dose rate brachytherapy dose-outcome relationships and radiobiological modeling."/>
    <n v="715276"/>
    <n v="0"/>
    <s v="5 yrs 0 mth "/>
    <x v="0"/>
    <x v="39"/>
    <s v="Monte Carlo, brachytherapy, radiobiological"/>
    <n v="0"/>
    <s v="zN/A"/>
    <n v="0"/>
    <s v="zN/A"/>
    <s v="Beaulieu, Luc"/>
  </r>
  <r>
    <x v="103"/>
    <s v="Université Laval"/>
    <x v="4"/>
    <x v="1"/>
    <s v="202109PJT"/>
    <x v="6"/>
    <s v="Towards Personalized Dosimetry-Based Radioligand Therapy of Prostate Cancer as a New Standard of Practice"/>
    <n v="960075"/>
    <n v="0"/>
    <s v="5 yrs 0 mth "/>
    <x v="0"/>
    <x v="25"/>
    <s v="Dosimetry, Radioligand, Prostate Cancer"/>
    <n v="0"/>
    <s v="zN/A"/>
    <n v="0"/>
    <s v="zN/A"/>
    <s v="Beauregard, Jean-Mathieu"/>
  </r>
  <r>
    <x v="104"/>
    <s v="Simon Fraser University (Burnaby, B.C.)"/>
    <x v="3"/>
    <x v="6"/>
    <s v="201711CPG"/>
    <x v="8"/>
    <s v="OCTSurfer - Advanced Imaging and Integrated Image Analysis Platform for 3D Optical Coherence Tomography Images of the Eye"/>
    <n v="341410"/>
    <n v="87200"/>
    <s v="3 yrs 0 mth "/>
    <x v="10"/>
    <x v="11"/>
    <s v="Optical Coherence Tomography, Imaging, Eye"/>
    <n v="0"/>
    <s v="zN/A"/>
    <n v="0"/>
    <s v="zN/A"/>
    <s v="Beg, Mirza Faisal"/>
  </r>
  <r>
    <x v="105"/>
    <s v="Université de Sherbrooke"/>
    <x v="4"/>
    <x v="16"/>
    <s v="201211CHR"/>
    <x v="15"/>
    <s v="Core promoter-binding complexes as novel targets to cure HIV/AIDS"/>
    <n v="100000"/>
    <n v="0"/>
    <s v="1 yr 0 mth "/>
    <x v="1"/>
    <x v="32"/>
    <s v="core promoter, binding complexes, HIV/AIDS"/>
    <n v="0"/>
    <s v="zN/A"/>
    <n v="0"/>
    <s v="zN/A"/>
    <s v="Bell, Brendan B"/>
  </r>
  <r>
    <x v="30"/>
    <s v="Ottawa Hospital Research Institute"/>
    <x v="1"/>
    <x v="2"/>
    <s v="202005VR1"/>
    <x v="2"/>
    <s v="Development of Vaccines to Prevent SARS-CoV-2 Infection of High Risk Individuals"/>
    <n v="1936150"/>
    <n v="0"/>
    <s v="1 yr 0 mth "/>
    <x v="1"/>
    <x v="2"/>
    <s v="Vaccines,SARS-CoV-2,Infection"/>
    <n v="1"/>
    <s v="zN/A"/>
    <n v="0"/>
    <s v="zN/A"/>
    <s v="Bell, John C"/>
  </r>
  <r>
    <x v="30"/>
    <s v="Ottawa Hospital Research Institute"/>
    <x v="1"/>
    <x v="1"/>
    <s v="202304PJT"/>
    <x v="0"/>
    <s v="Overcoming barriers to effective cancer immunotherapy with an engineered virus based therapeutic"/>
    <n v="100000"/>
    <n v="0"/>
    <s v="1 yr 0 mth "/>
    <x v="0"/>
    <x v="13"/>
    <s v="cancer, immunotherapy, virus"/>
    <n v="2"/>
    <s v="zN/A"/>
    <n v="0"/>
    <s v="zN/A"/>
    <s v="Bell, John C"/>
  </r>
  <r>
    <x v="106"/>
    <s v="Sunnybrook Research Institute (Toronto, Ontario)"/>
    <x v="1"/>
    <x v="0"/>
    <s v="201009MOP"/>
    <x v="1"/>
    <s v="Interaction of cancer initiating cells with the tumor microenvironment during leukemogenesis"/>
    <n v="696385"/>
    <n v="0"/>
    <s v="5 yrs 0 mth "/>
    <x v="0"/>
    <x v="16"/>
    <s v="cancer cells, tumor microenvironment, leukemogenesis"/>
    <n v="0"/>
    <s v="zN/A"/>
    <n v="0"/>
    <s v="zN/A"/>
    <s v="Ben-David, Yaacov"/>
  </r>
  <r>
    <x v="107"/>
    <s v="University of British Columbia"/>
    <x v="3"/>
    <x v="12"/>
    <s v="201109COP"/>
    <x v="0"/>
    <s v="Promotion of breast cancer metastasis by tumour hypoxia and myeloid cells."/>
    <n v="100000"/>
    <n v="0"/>
    <s v="1 yr 0 mth "/>
    <x v="0"/>
    <x v="31"/>
    <s v="breast cancer, metastasis, hypoxia"/>
    <n v="0"/>
    <s v="zN/A"/>
    <n v="0"/>
    <s v="zN/A"/>
    <s v="Bennewith, Kevin L"/>
  </r>
  <r>
    <x v="107"/>
    <s v="University of British Columbia"/>
    <x v="3"/>
    <x v="0"/>
    <s v="201209MOP"/>
    <x v="0"/>
    <s v="Promotion of breast cancer metastasis by tumour hypoxia and myeloid cells."/>
    <n v="699413"/>
    <n v="0"/>
    <s v="5 yrs 0 mth "/>
    <x v="0"/>
    <x v="14"/>
    <s v="breast cancer, metastasis, hypoxia"/>
    <n v="0"/>
    <s v="zN/A"/>
    <n v="0"/>
    <s v="zN/A"/>
    <s v="Bennewith, Kevin L"/>
  </r>
  <r>
    <x v="107"/>
    <s v="University of British Columbia"/>
    <x v="3"/>
    <x v="1"/>
    <s v="201803PJT"/>
    <x v="0"/>
    <s v="Hypoxia in tumour-draining lymph nodes as an indication of immune activation and immunotherapy response"/>
    <n v="956250"/>
    <n v="0"/>
    <s v="5 yrs 0 mth "/>
    <x v="0"/>
    <x v="7"/>
    <s v="hypoxia, lymph nodes, immunotherapy"/>
    <n v="0"/>
    <s v="zN/A"/>
    <n v="0"/>
    <s v="zN/A"/>
    <s v="Bennewith, Kevin L"/>
  </r>
  <r>
    <x v="107"/>
    <s v="University of British Columbia"/>
    <x v="3"/>
    <x v="1"/>
    <s v="202104PJT"/>
    <x v="3"/>
    <s v="Targeting cancer-associated fibroblasts and tumour hypoxia with angiotensin II receptor blockers"/>
    <n v="979200"/>
    <n v="0"/>
    <s v="5 yrs 0 mth "/>
    <x v="0"/>
    <x v="35"/>
    <s v="cancer-associated fibroblasts, tumour hypoxia, angiotensin II receptor blockers"/>
    <n v="0"/>
    <s v="zN/A"/>
    <n v="0"/>
    <s v="zN/A"/>
    <s v="Bennewith, Kevin L"/>
  </r>
  <r>
    <x v="108"/>
    <s v="University of Ottawa"/>
    <x v="1"/>
    <x v="1"/>
    <s v="202309PJT"/>
    <x v="3"/>
    <s v="Defining the role of dopamine transporter in the hierarchical organization of colorectal tumors"/>
    <n v="1086300"/>
    <n v="0"/>
    <s v="5 yrs 0 mth "/>
    <x v="0"/>
    <x v="33"/>
    <s v="dopamine transporter, colorectal tumors"/>
    <n v="0"/>
    <s v="zN/A"/>
    <n v="0"/>
    <s v="zN/A"/>
    <s v="Benoit, Yannick D"/>
  </r>
  <r>
    <x v="109"/>
    <s v="IWK Health Centre (Halifax)"/>
    <x v="5"/>
    <x v="0"/>
    <s v="200909MOP"/>
    <x v="0"/>
    <s v="Zebrafish as an in vivo model of vertebrate mast cell development and systemic mastocytosis"/>
    <n v="295157"/>
    <n v="0"/>
    <s v="3 yrs 0 mth "/>
    <x v="0"/>
    <x v="10"/>
    <s v="zebrafish, mast cell, systemic mastocytosis"/>
    <n v="0"/>
    <s v="zN/A"/>
    <n v="0"/>
    <s v="zN/A"/>
    <s v="Berman, Jason N"/>
  </r>
  <r>
    <x v="109"/>
    <s v="IWK Health Centre (Halifax)"/>
    <x v="5"/>
    <x v="21"/>
    <s v="201103RNS"/>
    <x v="5"/>
    <s v="Molecular interrogation and a small molecule screen of NUP98-HOXA9 induced AML in the zebrafish"/>
    <n v="168452"/>
    <n v="0"/>
    <s v="3 yrs 0 mth "/>
    <x v="0"/>
    <x v="17"/>
    <s v="NUP98-HOXA9, small molecule, AML"/>
    <n v="0"/>
    <s v="zN/A"/>
    <n v="0"/>
    <s v="zN/A"/>
    <s v="Berman, Jason N"/>
  </r>
  <r>
    <x v="109"/>
    <s v="IWK Health Centre (Halifax)"/>
    <x v="5"/>
    <x v="0"/>
    <s v="201209MOP"/>
    <x v="5"/>
    <s v="New insights into mast cell development and contribution to malignant progression - further exploitation of the zebrafish model"/>
    <n v="565415"/>
    <n v="0"/>
    <s v="4 yrs 0 mth "/>
    <x v="0"/>
    <x v="14"/>
    <s v="mast cell, zebrafish, malignant progression"/>
    <n v="0"/>
    <s v="zN/A"/>
    <n v="0"/>
    <s v="zN/A"/>
    <s v="Berman, Jason N"/>
  </r>
  <r>
    <x v="109"/>
    <s v="IWK Health Centre (Halifax)"/>
    <x v="5"/>
    <x v="1"/>
    <s v="201903PJT"/>
    <x v="5"/>
    <s v="Using the zebrafish as a model for chemoprevention for TP53 mutation carriers"/>
    <n v="845326"/>
    <n v="0"/>
    <s v="5 yrs 0 mth "/>
    <x v="0"/>
    <x v="1"/>
    <s v="zebrafish, chemoprevention, TP53"/>
    <n v="0"/>
    <s v="zN/A"/>
    <n v="0"/>
    <s v="zN/A"/>
    <s v="Berman, Jason N"/>
  </r>
  <r>
    <x v="109"/>
    <s v="Children's Hospital of Eastern Ontario Research Institute Inc"/>
    <x v="1"/>
    <x v="1"/>
    <s v="202209PJT"/>
    <x v="5"/>
    <s v="Identifying novel strategies for leukemia prevention using zebrafish models of dnajc21-mutant Shwachman Diamond syndrome"/>
    <n v="910350"/>
    <n v="0"/>
    <s v="5 yrs 0 mth "/>
    <x v="0"/>
    <x v="8"/>
    <s v="leukemia, zebrafish, dnajc21"/>
    <n v="0"/>
    <s v="zN/A"/>
    <n v="0"/>
    <s v="zN/A"/>
    <s v="Berman, Jason N"/>
  </r>
  <r>
    <x v="110"/>
    <s v="McGill University"/>
    <x v="4"/>
    <x v="19"/>
    <s v="202307NWI"/>
    <x v="17"/>
    <s v="Targeting inhibin B action to regulate follicle-stimulating hormone production and female fertility"/>
    <n v="117400"/>
    <n v="0"/>
    <s v="1 yr 0 mth "/>
    <x v="7"/>
    <x v="36"/>
    <s v="inhibin B, follicle-stimulating hormone, female fertility"/>
    <n v="0"/>
    <s v="zN/A"/>
    <n v="0"/>
    <s v="zN/A"/>
    <s v="Bernard, Daniel J"/>
  </r>
  <r>
    <x v="111"/>
    <s v="Research Institute of the McGill University Health Centre"/>
    <x v="4"/>
    <x v="16"/>
    <s v="201211CHR"/>
    <x v="15"/>
    <s v="Determinants of the functional cure profile observed in HIV infected Elite Controllers."/>
    <n v="100000"/>
    <n v="0"/>
    <s v="1 yr 0 mth "/>
    <x v="1"/>
    <x v="32"/>
    <s v="HIV, Elite Controllers, functional cure"/>
    <n v="0"/>
    <s v="zN/A"/>
    <n v="0"/>
    <s v="zN/A"/>
    <s v="Bernard, Nicole F"/>
  </r>
  <r>
    <x v="112"/>
    <s v="McGill University"/>
    <x v="4"/>
    <x v="0"/>
    <s v="201003MOP"/>
    <x v="6"/>
    <s v="Magnetic resonance imaging of epilepsy"/>
    <n v="704014"/>
    <n v="0"/>
    <s v="5 yrs 0 mth "/>
    <x v="4"/>
    <x v="21"/>
    <s v="Magnetic resonance imaging, epilepsy"/>
    <n v="0"/>
    <s v="zN/A"/>
    <n v="0"/>
    <s v="zN/A"/>
    <s v="Bernasconi, Andrea"/>
  </r>
  <r>
    <x v="113"/>
    <s v="Universite Laval"/>
    <x v="4"/>
    <x v="0"/>
    <s v="201003MOP"/>
    <x v="9"/>
    <s v="Peau reconstruite par genie tissulaire: etude de l'influence de l'innervation cutanee sur la guerison des plaies"/>
    <n v="447139"/>
    <n v="0"/>
    <s v="3 yrs 0 mth "/>
    <x v="5"/>
    <x v="21"/>
    <s v="tissue engineering, skin innervation, wound healing"/>
    <n v="0"/>
    <s v="zN/A"/>
    <n v="0"/>
    <s v="zN/A"/>
    <s v="Berthod, Franeois"/>
  </r>
  <r>
    <x v="113"/>
    <s v="Universite Laval"/>
    <x v="4"/>
    <x v="22"/>
    <s v="201503INO"/>
    <x v="9"/>
    <s v="Strategies de reparation des transsections des nerfs peripheriques par genie tissulaire"/>
    <n v="100000"/>
    <n v="0"/>
    <s v="1 yr 0 mth "/>
    <x v="4"/>
    <x v="40"/>
    <s v="nerfs, tissulaire, reparation"/>
    <n v="0"/>
    <s v="zN/A"/>
    <n v="0"/>
    <s v="zN/A"/>
    <s v="Berthod, Franeois"/>
  </r>
  <r>
    <x v="113"/>
    <s v="Universite Laval"/>
    <x v="4"/>
    <x v="1"/>
    <s v="202010PJT"/>
    <x v="9"/>
    <s v="Reparation des lesions des nerfs peripheriques par genie tissulaire"/>
    <n v="1143675"/>
    <n v="0"/>
    <s v="5 yrs 0 mth "/>
    <x v="4"/>
    <x v="23"/>
    <s v="nerfs, tissulaire, lesions"/>
    <n v="0"/>
    <s v="zN/A"/>
    <n v="0"/>
    <s v="zN/A"/>
    <s v="Berthod, Franeois"/>
  </r>
  <r>
    <x v="114"/>
    <s v="Centre hospitalier de l'Université de Montréal (CHUM)"/>
    <x v="4"/>
    <x v="0"/>
    <s v="200903MOP"/>
    <x v="0"/>
    <s v="Bcl-xL regulation and function during G2 and mitotic spindle assembly checkpoints"/>
    <n v="612420"/>
    <n v="0"/>
    <s v="5 yrs 0 mth "/>
    <x v="0"/>
    <x v="5"/>
    <s v="Bcl-xL, mitotic spindle, checkpoints"/>
    <n v="0"/>
    <s v="zN/A"/>
    <n v="0"/>
    <s v="zN/A"/>
    <s v="Bertrand, Richard"/>
  </r>
  <r>
    <x v="115"/>
    <s v="Children's Hospital of Eastern Ontario Research Institute Inc"/>
    <x v="1"/>
    <x v="1"/>
    <s v="201909PJT"/>
    <x v="1"/>
    <s v="Targeted immunotherapy for the treatment of brain cancer"/>
    <n v="772650"/>
    <n v="0"/>
    <s v="5 yrs 0 mth "/>
    <x v="0"/>
    <x v="22"/>
    <s v="immunotherapy, brain cancer"/>
    <n v="1"/>
    <s v="zN/A"/>
    <n v="0"/>
    <s v="zN/A"/>
    <s v="Beug, Shawn T"/>
  </r>
  <r>
    <x v="116"/>
    <s v="London Health Sciences Centre Res. Inc. (Ont.)"/>
    <x v="1"/>
    <x v="1"/>
    <s v="202209PJT"/>
    <x v="10"/>
    <s v="Drug repositioning in a simulated ischemia-reperfusion injury model for the preservation of donor kidneys at room temperature"/>
    <n v="344250"/>
    <n v="0"/>
    <s v="3 yrs 0 mth "/>
    <x v="3"/>
    <x v="8"/>
    <s v="drug repositioning, ischemia-reperfusion injury, kidney preservation"/>
    <n v="0"/>
    <s v="zN/A"/>
    <n v="0"/>
    <s v="zN/A"/>
    <s v="Bhattacharjee, Rabindra"/>
  </r>
  <r>
    <x v="117"/>
    <s v="CIUSSS du Centre-Sud-de-l'ele-de-Montreal (Montreal, Quebec)"/>
    <x v="4"/>
    <x v="23"/>
    <s v="201110TO1"/>
    <x v="19"/>
    <s v="Combining functional near infra-red spectroscopy and dual-task walking to track preclinical motor and cognitive declines and their evolution in aging individuals."/>
    <n v="140000"/>
    <n v="60000"/>
    <s v="2 yrs 0 mth "/>
    <x v="6"/>
    <x v="41"/>
    <s v="near-infrared spectroscopy, dual-task walking, aging"/>
    <n v="0"/>
    <s v="zN/A"/>
    <n v="0"/>
    <s v="zN/A"/>
    <s v="Bherer, Louis"/>
  </r>
  <r>
    <x v="118"/>
    <s v="University of Toronto"/>
    <x v="1"/>
    <x v="6"/>
    <s v="201410CPG"/>
    <x v="8"/>
    <s v="Design and evaluation of an interactive computer play platform to motivate participation in home-based therapies for young people with cerebral palsy: Let's Play!"/>
    <n v="248885"/>
    <n v="0"/>
    <s v="3 yrs 0 mth "/>
    <x v="7"/>
    <x v="6"/>
    <s v="interactive, computer, therapies"/>
    <n v="0"/>
    <s v="zN/A"/>
    <n v="0"/>
    <s v="zN/A"/>
    <s v="Biddiss, Elaine A"/>
  </r>
  <r>
    <x v="118"/>
    <s v="University of Toronto"/>
    <x v="1"/>
    <x v="6"/>
    <s v="201810CPG"/>
    <x v="8"/>
    <s v="The Virtual Music Teacher: Children of all abilities banding together in early childhood music education"/>
    <n v="511851"/>
    <n v="0"/>
    <s v="3 yrs 0 mth "/>
    <x v="7"/>
    <x v="26"/>
    <s v="Virtual, Music, Education"/>
    <n v="0"/>
    <s v="zN/A"/>
    <n v="0"/>
    <s v="zN/A"/>
    <s v="Biddiss, Elaine A"/>
  </r>
  <r>
    <x v="119"/>
    <s v="Universite de Montreal"/>
    <x v="4"/>
    <x v="6"/>
    <s v="201610CPG"/>
    <x v="8"/>
    <s v="Maintien e domicile des personnes egees vulnerables : co-conception et deploiement de solutions technologiques dans le cadre d'un laboratoire vivant"/>
    <n v="489287"/>
    <n v="0"/>
    <s v="3 yrs 0 mth "/>
    <x v="6"/>
    <x v="24"/>
    <s v="domicile, personnes egees, solutions technologiques"/>
    <n v="0"/>
    <s v="zN/A"/>
    <n v="0"/>
    <s v="zN/A"/>
    <s v="Bier, Nathalie"/>
  </r>
  <r>
    <x v="120"/>
    <s v="University of Waterloo (Ontario)"/>
    <x v="1"/>
    <x v="6"/>
    <s v="201210CPG"/>
    <x v="8"/>
    <s v="Intra-operative Optical Coherence Tomography for corneal transplant surgery in Keratoconus"/>
    <n v="314970"/>
    <n v="0"/>
    <s v="3 yrs 0 mth "/>
    <x v="4"/>
    <x v="14"/>
    <s v="Optical Coherence Tomography, corneal transplant, Keratoconus"/>
    <n v="0"/>
    <s v="zN/A"/>
    <n v="0"/>
    <s v="zN/A"/>
    <s v="Bizheva, Kostadinka K"/>
  </r>
  <r>
    <x v="120"/>
    <s v="University of Waterloo (Ontario)"/>
    <x v="1"/>
    <x v="1"/>
    <s v="202104PJT"/>
    <x v="6"/>
    <s v="Optical system for in-vivo imaging and label-free identification of stem cells in the human corneo-scleral limbus for treatment of corneal blindness"/>
    <n v="592876"/>
    <n v="0"/>
    <s v="5 yrs 0 mth "/>
    <x v="4"/>
    <x v="35"/>
    <s v="optical, imaging, stem cells"/>
    <n v="0"/>
    <s v="zN/A"/>
    <n v="0"/>
    <s v="zN/A"/>
    <s v="Bizheva, Kostadinka K"/>
  </r>
  <r>
    <x v="120"/>
    <s v="University of Waterloo (Ontario)"/>
    <x v="1"/>
    <x v="1"/>
    <s v="202309PJT"/>
    <x v="6"/>
    <s v="Non-contact, high-resolution optical approach to assessing retinal neurovascular coupling in the healthy and glaucomatous retina"/>
    <n v="715275"/>
    <n v="0"/>
    <s v="5 yrs 0 mth "/>
    <x v="6"/>
    <x v="33"/>
    <s v="retinal, neurovascular, optical"/>
    <n v="0"/>
    <s v="zN/A"/>
    <n v="0"/>
    <s v="zN/A"/>
    <s v="Bizheva, Kostadinka K"/>
  </r>
  <r>
    <x v="121"/>
    <s v="University of British Columbia"/>
    <x v="3"/>
    <x v="6"/>
    <s v="201210CPG"/>
    <x v="8"/>
    <s v="Developing an electrochemical beacon detection method for pathogen nucleic acid speciation"/>
    <n v="211250"/>
    <n v="0"/>
    <s v="3 yrs 0 mth "/>
    <x v="1"/>
    <x v="14"/>
    <s v="electrochemical, beacon, nucleic acid"/>
    <n v="0"/>
    <s v="zN/A"/>
    <n v="0"/>
    <s v="zN/A"/>
    <s v="Bizzotto, Dan"/>
  </r>
  <r>
    <x v="122"/>
    <s v="University of British Columbia"/>
    <x v="3"/>
    <x v="5"/>
    <s v="201003NHG"/>
    <x v="7"/>
    <s v="A New Tool for the Comprehensive Analysis of Peptides and Proteins in Biological and Biomedical Research"/>
    <n v="300000"/>
    <n v="0"/>
    <s v="3 yrs 0 mth "/>
    <x v="2"/>
    <x v="21"/>
    <s v="peptides, proteins, analysis"/>
    <n v="0"/>
    <s v="zN/A"/>
    <n v="0"/>
    <s v="zN/A"/>
    <s v="Blades, Michael W"/>
  </r>
  <r>
    <x v="123"/>
    <s v="University of British Columbia"/>
    <x v="3"/>
    <x v="1"/>
    <s v="202303PJT"/>
    <x v="10"/>
    <s v="Engineering next-generation self-amplifying RNA therapeutics encoding bispecific T cell engager (BiTE) antibodies for treatment of ovarian cancer"/>
    <n v="795600"/>
    <n v="0"/>
    <s v="5 yrs 0 mth "/>
    <x v="1"/>
    <x v="13"/>
    <s v="RNA, bispecific T cell engager, ovarian cancer"/>
    <n v="0"/>
    <s v="zN/A"/>
    <n v="0"/>
    <s v="zN/A"/>
    <s v="Blakney, Anna"/>
  </r>
  <r>
    <x v="124"/>
    <s v="CIUSSS de Centre-Ouest-de-l'Ile-de-Montréal-Jewish General"/>
    <x v="4"/>
    <x v="0"/>
    <s v="201203MOP"/>
    <x v="0"/>
    <s v="Regulation and function of NFE2L3: linking transcription factor activity to carcinogenesis."/>
    <n v="683860"/>
    <n v="0"/>
    <s v="5 yrs 0 mth "/>
    <x v="0"/>
    <x v="12"/>
    <s v="NFE2L3, transcription factor, carcinogenesis"/>
    <n v="0"/>
    <s v="zN/A"/>
    <n v="0"/>
    <s v="zN/A"/>
    <s v="Blank, Volker"/>
  </r>
  <r>
    <x v="124"/>
    <s v="CIUSSS de Centre-Ouest-de-l'Ile-de-Montréal-Jewish General"/>
    <x v="4"/>
    <x v="1"/>
    <s v="202203PJT"/>
    <x v="3"/>
    <s v="Regulation and function of NFE2L3: linking transcription factor activity to colorectal cancer"/>
    <n v="906526"/>
    <n v="0"/>
    <s v="5 yrs 0 mth "/>
    <x v="0"/>
    <x v="3"/>
    <s v="NFE2L3, transcription factor, colorectal cancer"/>
    <n v="0"/>
    <s v="zN/A"/>
    <n v="0"/>
    <s v="zN/A"/>
    <s v="Blank, Volker"/>
  </r>
  <r>
    <x v="125"/>
    <s v="Research Institute of the McGill University Health Centre"/>
    <x v="4"/>
    <x v="0"/>
    <s v="200809MOP"/>
    <x v="9"/>
    <s v="Characterization and efficacy of bisphosphonate eluting orthopaedic implants"/>
    <n v="321624"/>
    <n v="0"/>
    <s v="3 yrs 0 mth "/>
    <x v="5"/>
    <x v="0"/>
    <s v="bisphosphonate, orthopaedic implants, eluting"/>
    <n v="1"/>
    <s v="zN/A"/>
    <n v="0"/>
    <s v="zN/A"/>
    <s v="Bobyn, John D"/>
  </r>
  <r>
    <x v="126"/>
    <s v="Western University (Ontario)"/>
    <x v="1"/>
    <x v="1"/>
    <s v="202010PJT"/>
    <x v="5"/>
    <s v="Development of a Novel Therapy to Prevent Breast Cancer Metastasis: Modulation of TAFI, a Master Regulator of Extracellular Proteolysis"/>
    <n v="722925"/>
    <n v="0"/>
    <s v="5 yrs 0 mth "/>
    <x v="0"/>
    <x v="23"/>
    <s v="Breast cancer, metastasis, TAFI"/>
    <n v="0"/>
    <s v="zN/A"/>
    <n v="0"/>
    <s v="zN/A"/>
    <s v="Boffa, Michael B"/>
  </r>
  <r>
    <x v="127"/>
    <s v="Université de Sherbrooke"/>
    <x v="4"/>
    <x v="4"/>
    <s v="201109IC1"/>
    <x v="0"/>
    <s v="Subcellular Redistribution of Proteins Following DNA Damage: A Role for the MCM-ASF1 Complex in DNA Repair."/>
    <n v="100000"/>
    <n v="0"/>
    <s v="1 yr 0 mth "/>
    <x v="0"/>
    <x v="31"/>
    <s v="Proteins,DNA Repair,MCM-ASF1"/>
    <n v="0"/>
    <s v="zN/A"/>
    <n v="0"/>
    <s v="zN/A"/>
    <s v="Boisvert, Francois-Michel"/>
  </r>
  <r>
    <x v="127"/>
    <s v="Université de Sherbrooke"/>
    <x v="4"/>
    <x v="0"/>
    <s v="201203MOP"/>
    <x v="0"/>
    <s v="Subcellular Redistribution of Proteins Following DNA Damage: A Role for the MCM Complex in DNA Repair."/>
    <n v="394992"/>
    <n v="0"/>
    <s v="3 yrs 0 mth "/>
    <x v="0"/>
    <x v="12"/>
    <s v="Proteins, DNA repair, MCM complex"/>
    <n v="0"/>
    <s v="zN/A"/>
    <n v="0"/>
    <s v="zN/A"/>
    <s v="Boisvert, Francois-Michel"/>
  </r>
  <r>
    <x v="128"/>
    <s v="University of Alberta"/>
    <x v="2"/>
    <x v="6"/>
    <s v="201810CPG"/>
    <x v="8"/>
    <s v="Development of an Artificial Intelligence Chatbot supporting coaching and optimal service for individuals with Neurodevelopmental disabilities and their families"/>
    <n v="967734"/>
    <n v="0"/>
    <s v="3 yrs 0 mth "/>
    <x v="7"/>
    <x v="26"/>
    <s v="Artificial Intelligence, Chatbot, Neurodevelopmental"/>
    <n v="0"/>
    <s v="zN/A"/>
    <n v="0"/>
    <s v="zN/A"/>
    <s v="Bolduc, Franeois"/>
  </r>
  <r>
    <x v="129"/>
    <s v="Universite Laval"/>
    <x v="4"/>
    <x v="0"/>
    <s v="200809MOP"/>
    <x v="9"/>
    <s v="La methode d'auto-assemblage pour l'elaboration de tissus urologiques autologues reconstruits par genie tissulaire."/>
    <n v="388428"/>
    <n v="0"/>
    <s v="3 yrs 0 mth "/>
    <x v="5"/>
    <x v="0"/>
    <s v="auto-assemblage, tissus, g√©nie tissulaire"/>
    <n v="0"/>
    <s v="zN/A"/>
    <n v="0"/>
    <s v="zN/A"/>
    <s v="Bolduc, Stephane"/>
  </r>
  <r>
    <x v="129"/>
    <s v="Universite Laval"/>
    <x v="4"/>
    <x v="0"/>
    <s v="201109MOP"/>
    <x v="9"/>
    <s v="Reconstruction de tissus urologiques par genie tissulaire."/>
    <n v="727135"/>
    <n v="0"/>
    <s v="5 yrs 0 mth "/>
    <x v="5"/>
    <x v="15"/>
    <s v="tissus, g√©nie tissulaire"/>
    <n v="0"/>
    <s v="zN/A"/>
    <n v="0"/>
    <s v="zN/A"/>
    <s v="Bolduc, Stephane"/>
  </r>
  <r>
    <x v="129"/>
    <s v="Université Laval"/>
    <x v="4"/>
    <x v="1"/>
    <s v="201709PJT"/>
    <x v="9"/>
    <s v="Tissue Engineering of a functional Urethra for Autologous Reconstruction."/>
    <n v="562276"/>
    <n v="0"/>
    <s v="4 yrs 0 mth "/>
    <x v="5"/>
    <x v="11"/>
    <s v="Tissue Engineering, Urethra, Autologous"/>
    <n v="0"/>
    <s v="zN/A"/>
    <n v="0"/>
    <s v="zN/A"/>
    <s v="Bolduc, Stephane"/>
  </r>
  <r>
    <x v="129"/>
    <s v="Université Laval"/>
    <x v="4"/>
    <x v="24"/>
    <s v="202010PJX"/>
    <x v="9"/>
    <s v="Tissue-engineered solutions for uro-genital reconstruction, and replacing banned synthetic meshes."/>
    <n v="100000"/>
    <n v="0"/>
    <s v="1 yr 0 mth "/>
    <x v="8"/>
    <x v="35"/>
    <s v="tissue-engineered, uro-genital, synthetic meshes"/>
    <n v="0"/>
    <s v="zN/A"/>
    <n v="0"/>
    <s v="zN/A"/>
    <s v="Bolduc, Stephane"/>
  </r>
  <r>
    <x v="129"/>
    <s v="Université Laval"/>
    <x v="4"/>
    <x v="1"/>
    <s v="202104PJT"/>
    <x v="9"/>
    <s v="Tissue-engineered solutions for uro-genital reconstruction, and replacing banned synthetic meshes."/>
    <n v="868276"/>
    <n v="0"/>
    <s v="5 yrs 0 mth "/>
    <x v="8"/>
    <x v="35"/>
    <s v="tissue-engineered, uro-genital, synthetic meshes"/>
    <n v="0"/>
    <s v="zN/A"/>
    <n v="0"/>
    <s v="zN/A"/>
    <s v="Bolduc, Stephane"/>
  </r>
  <r>
    <x v="129"/>
    <s v="Université Laval"/>
    <x v="4"/>
    <x v="24"/>
    <s v="202403PJX"/>
    <x v="10"/>
    <s v="Urethral reconstruction using tissue engineering, final steps towards clinical translation"/>
    <n v="100000"/>
    <n v="0"/>
    <s v="1 yr 0 mth "/>
    <x v="8"/>
    <x v="38"/>
    <s v="urethral, tissue engineering, clinical"/>
    <n v="0"/>
    <s v="zN/A"/>
    <n v="0"/>
    <s v="zN/A"/>
    <s v="Bolduc, Stephane"/>
  </r>
  <r>
    <x v="130"/>
    <s v="Université Laval"/>
    <x v="4"/>
    <x v="25"/>
    <s v="202209DCP"/>
    <x v="5"/>
    <s v="Hepatic stellate cells as a driver of the pre-metastatic niche in uveal melanoma"/>
    <n v="100000"/>
    <n v="0"/>
    <s v="1 yr 0 mth "/>
    <x v="0"/>
    <x v="28"/>
    <s v="hepatic stellate cells, pre-metastatic niche, uveal melanoma"/>
    <n v="0"/>
    <s v="zN/A"/>
    <n v="0"/>
    <s v="zN/A"/>
    <s v="Bordeleau, Franeois"/>
  </r>
  <r>
    <x v="131"/>
    <s v="University of Toronto"/>
    <x v="1"/>
    <x v="6"/>
    <s v="201210CPG"/>
    <x v="8"/>
    <s v="Enhancement of nerve regeneration with controlled release of neurotrophic factors"/>
    <n v="220356"/>
    <n v="0"/>
    <s v="3 yrs 0 mth "/>
    <x v="4"/>
    <x v="14"/>
    <s v="nerve regeneration, neurotrophic factors, controlled release"/>
    <n v="5"/>
    <s v="zN/A"/>
    <n v="0"/>
    <s v="zN/A"/>
    <s v="Borschel, Gregory H"/>
  </r>
  <r>
    <x v="132"/>
    <s v="London Health Sciences Centre Res. Inc. (Ont.)"/>
    <x v="1"/>
    <x v="3"/>
    <s v="201403IPR"/>
    <x v="4"/>
    <s v="Proportional Assist Ventilation for Minimizing the Duration of Mechanical Ventilation"/>
    <n v="140952"/>
    <n v="0"/>
    <s v="3 yrs 0 mth "/>
    <x v="3"/>
    <x v="20"/>
    <s v="Proportional Assist, Ventilation, Mechanical"/>
    <n v="0"/>
    <s v="zN/A"/>
    <n v="0"/>
    <s v="zN/A"/>
    <s v="Bosma, Karen J"/>
  </r>
  <r>
    <x v="133"/>
    <s v="McGill University"/>
    <x v="4"/>
    <x v="0"/>
    <s v="201303MOP"/>
    <x v="0"/>
    <s v="Role of Gata3 in prostate stem cells and cancer"/>
    <n v="767453"/>
    <n v="0"/>
    <s v="5 yrs 0 mth "/>
    <x v="0"/>
    <x v="34"/>
    <s v="Gata3, prostate, stem cells"/>
    <n v="0"/>
    <s v="zN/A"/>
    <n v="0"/>
    <s v="zN/A"/>
    <s v="Bouchard, Maxime L"/>
  </r>
  <r>
    <x v="134"/>
    <s v="Université de Sherbrooke"/>
    <x v="4"/>
    <x v="4"/>
    <s v="200909IC1"/>
    <x v="5"/>
    <s v="Cooperation between the Notch and the kRas signaling pathways in pancreatic cancer progression."/>
    <n v="100000"/>
    <n v="0"/>
    <s v="1 yr 0 mth "/>
    <x v="0"/>
    <x v="10"/>
    <s v="Notch, kRas, pancreatic cancer"/>
    <n v="0"/>
    <s v="zN/A"/>
    <n v="0"/>
    <s v="zN/A"/>
    <s v="Boucher, Marie-Josee"/>
  </r>
  <r>
    <x v="135"/>
    <s v="Hospital for Sick Children (Toronto)"/>
    <x v="1"/>
    <x v="1"/>
    <s v="201909PJT"/>
    <x v="5"/>
    <s v="Combined MEK inhibition and metronomic chemotherapy for recurrent/refractory paediatric low grade gliomas"/>
    <n v="1526175"/>
    <n v="0"/>
    <s v="5 yrs 0 mth "/>
    <x v="0"/>
    <x v="22"/>
    <s v="MEK inhibition, chemotherapy, gliomas"/>
    <n v="0"/>
    <s v="zN/A"/>
    <n v="0"/>
    <s v="zN/A"/>
    <s v="Bouffet, Eric"/>
  </r>
  <r>
    <x v="135"/>
    <s v="Hospital for Sick Children (Toronto)"/>
    <x v="1"/>
    <x v="1"/>
    <s v="202209PJT"/>
    <x v="5"/>
    <s v="Upfront Adaptive Immunotherapy Approach for Hypermutant Glioblastoma in Children, Adolescents and Young Adults"/>
    <n v="1377000"/>
    <n v="0"/>
    <s v="5 yrs 0 mth "/>
    <x v="0"/>
    <x v="8"/>
    <s v="Adaptive Immunotherapy, Glioblastoma, Hypermutant"/>
    <n v="0"/>
    <s v="zN/A"/>
    <n v="0"/>
    <s v="zN/A"/>
    <s v="Bouffet, Eric"/>
  </r>
  <r>
    <x v="136"/>
    <s v="University of Alberta"/>
    <x v="2"/>
    <x v="6"/>
    <s v="201510CPG"/>
    <x v="8"/>
    <s v="Multiview Ultrasound Fusion for Cardiac and Non-cardiac Imaging"/>
    <n v="244296"/>
    <n v="0"/>
    <s v="3 yrs 0 mth "/>
    <x v="3"/>
    <x v="4"/>
    <s v="Ultrasound, Fusion, Imaging"/>
    <n v="1"/>
    <s v="zN/A"/>
    <n v="0"/>
    <s v="zN/A"/>
    <s v="Boulanger, Pierre B"/>
  </r>
  <r>
    <x v="137"/>
    <s v="Research Institute of the McGill University Health Centre"/>
    <x v="4"/>
    <x v="8"/>
    <s v="200809IRO"/>
    <x v="4"/>
    <s v="Canadian Cohort Obstructive Lung Disease (CanCOLD)"/>
    <n v="427933"/>
    <n v="7000"/>
    <s v="2 yrs 0 mth "/>
    <x v="3"/>
    <x v="0"/>
    <s v="Obstructive Lung Disease, Cohort, CanCOLD"/>
    <n v="0"/>
    <s v="zN/A"/>
    <n v="0"/>
    <s v="zN/A"/>
    <s v="Bourbeau, Jean"/>
  </r>
  <r>
    <x v="137"/>
    <s v="Research Institute of the McGill University Health Centre"/>
    <x v="4"/>
    <x v="8"/>
    <s v="201009IRO"/>
    <x v="4"/>
    <s v="Canadian Cohort Obstructive Lung Disease (CanCOLD)"/>
    <n v="1051344"/>
    <n v="57500"/>
    <s v="2 yrs 6 mths "/>
    <x v="3"/>
    <x v="16"/>
    <s v="Obstructive Lung Disease, Cohort, CanCOLD"/>
    <n v="0"/>
    <s v="zN/A"/>
    <n v="0"/>
    <s v="zN/A"/>
    <s v="Bourbeau, Jean"/>
  </r>
  <r>
    <x v="138"/>
    <s v="Centre hospitalier de l'Université de Montréal (CHUM)"/>
    <x v="4"/>
    <x v="1"/>
    <s v="202010PJT"/>
    <x v="0"/>
    <s v="To uncover, understand and exploit the estrogen-oncolytic virus crosstalk to improve therapy"/>
    <n v="768825"/>
    <n v="0"/>
    <s v="5 yrs 0 mth "/>
    <x v="0"/>
    <x v="23"/>
    <s v="estrogen, oncolytic virus, crosstalk"/>
    <n v="0"/>
    <s v="zN/A"/>
    <n v="0"/>
    <s v="zN/A"/>
    <s v="Bourgeois-Daigneault, Marie-Claude"/>
  </r>
  <r>
    <x v="139"/>
    <s v="CIUSSS Est-de-l'Ile-de- Montréal-Maisonneuve Rosemont"/>
    <x v="4"/>
    <x v="1"/>
    <s v="202109PJT"/>
    <x v="6"/>
    <s v="An OCT-controlled system for precise and reproducible subretinal drug injection in mice"/>
    <n v="179775"/>
    <n v="0"/>
    <s v="2 yrs 6 mths "/>
    <x v="2"/>
    <x v="25"/>
    <s v="OCT, subretinal injection, mice"/>
    <n v="0"/>
    <s v="zN/A"/>
    <n v="0"/>
    <s v="zN/A"/>
    <s v="Boutopoulos, Christos"/>
  </r>
  <r>
    <x v="140"/>
    <s v="Ontario Institute for Cancer Research (Toronto, Ontario)"/>
    <x v="1"/>
    <x v="1"/>
    <s v="201709PJT"/>
    <x v="5"/>
    <s v="The evolution of prostate cancer"/>
    <n v="1147500"/>
    <n v="0"/>
    <s v="5 yrs 0 mth "/>
    <x v="0"/>
    <x v="11"/>
    <s v="prostate cancer"/>
    <n v="6"/>
    <s v="zN/A"/>
    <n v="0"/>
    <s v="zN/A"/>
    <s v="Boutros, Paul C"/>
  </r>
  <r>
    <x v="141"/>
    <s v="Université de Montréal"/>
    <x v="4"/>
    <x v="3"/>
    <s v="201403IPR"/>
    <x v="4"/>
    <s v="Exploring GPCR functional selectivity for anti-inflammatory drugs"/>
    <n v="116000"/>
    <n v="0"/>
    <s v="2 yrs 0 mth "/>
    <x v="2"/>
    <x v="20"/>
    <s v="GPCR, selectivity, anti-inflammatory"/>
    <n v="1"/>
    <s v="zN/A"/>
    <n v="0"/>
    <s v="zN/A"/>
    <s v="Bouvier, Michel"/>
  </r>
  <r>
    <x v="142"/>
    <s v="University of British Columbia"/>
    <x v="3"/>
    <x v="6"/>
    <s v="201210CPG"/>
    <x v="8"/>
    <s v="ARMS UP/Assisted Robotic Movement after Stroke using Brain Power: Controlling robotics with EEG"/>
    <n v="194625"/>
    <n v="0"/>
    <s v="3 yrs 0 mth "/>
    <x v="4"/>
    <x v="14"/>
    <s v="Robotics, EEG, Stroke"/>
    <n v="0"/>
    <s v="zN/A"/>
    <n v="0"/>
    <s v="zN/A"/>
    <s v="Boyd, Lara"/>
  </r>
  <r>
    <x v="143"/>
    <s v="University of Calgary"/>
    <x v="2"/>
    <x v="0"/>
    <s v="201003MOP"/>
    <x v="9"/>
    <s v="A biomedical engineering approach to investigating bone quality across the lifespan"/>
    <n v="629550"/>
    <n v="0"/>
    <s v="5 yrs 0 mth "/>
    <x v="5"/>
    <x v="21"/>
    <s v="biomedical engineering, bone quality, lifespan"/>
    <n v="0"/>
    <s v="zN/A"/>
    <n v="0"/>
    <s v="zN/A"/>
    <s v="Boyd, Steven K"/>
  </r>
  <r>
    <x v="143"/>
    <s v="University of Calgary"/>
    <x v="2"/>
    <x v="1"/>
    <s v="201809PJT"/>
    <x v="6"/>
    <s v="Advanced multi-modal imaging to monitor progressive joint adaptation in the knee following an acute ligament injury"/>
    <n v="925650"/>
    <n v="0"/>
    <s v="5 yrs 0 mth "/>
    <x v="5"/>
    <x v="26"/>
    <s v="multi-modal imaging, joint adaptation, ligament injury"/>
    <n v="0"/>
    <s v="zN/A"/>
    <n v="0"/>
    <s v="zN/A"/>
    <s v="Boyd, Steven K"/>
  </r>
  <r>
    <x v="143"/>
    <s v="University of Calgary"/>
    <x v="2"/>
    <x v="1"/>
    <s v="202104PJT"/>
    <x v="6"/>
    <s v="Predicting fragility fractures by non-invasive high-resolution imaging and advanced morphometrics"/>
    <n v="963900"/>
    <n v="0"/>
    <s v="5 yrs 0 mth "/>
    <x v="5"/>
    <x v="35"/>
    <s v="fragility fractures, high-resolution imaging, morphometrics"/>
    <n v="0"/>
    <s v="zN/A"/>
    <n v="0"/>
    <s v="zN/A"/>
    <s v="Boyd, Steven K"/>
  </r>
  <r>
    <x v="144"/>
    <s v="Université de Montréal"/>
    <x v="4"/>
    <x v="1"/>
    <s v="202303PJT"/>
    <x v="10"/>
    <s v="Long-lasting recovery of lysosomal acid lipase deficiency using non-viral delivery of non-integrating episomal DNA constructs."/>
    <n v="661725"/>
    <n v="0"/>
    <s v="4 yrs 0 mth "/>
    <x v="9"/>
    <x v="13"/>
    <s v="lysosomal acid lipase, non-viral delivery, episomal DNA"/>
    <n v="0"/>
    <s v="zN/A"/>
    <n v="0"/>
    <s v="zN/A"/>
    <s v="Brambilla, Davide"/>
  </r>
  <r>
    <x v="1"/>
    <s v="University Health Network (Toronto)"/>
    <x v="1"/>
    <x v="1"/>
    <s v="201809PJT"/>
    <x v="1"/>
    <s v="Genomics-based radiosensitization for HPV-negative squamous cell carcinoma of the aerodigestive tract"/>
    <n v="757352"/>
    <n v="0"/>
    <s v="4 yrs 0 mth "/>
    <x v="0"/>
    <x v="26"/>
    <s v="Genomics, radiosensitization, carcinoma"/>
    <n v="0"/>
    <s v="zN/A"/>
    <n v="0"/>
    <s v="zN/A"/>
    <s v="Bratman, Scott V"/>
  </r>
  <r>
    <x v="145"/>
    <s v="Sinai Health System (Toronto)"/>
    <x v="1"/>
    <x v="1"/>
    <s v="202203PJT"/>
    <x v="3"/>
    <s v="Role of YAP and TAZ in Acute Myeloid Leukemia"/>
    <n v="902700"/>
    <n v="0"/>
    <s v="5 yrs 0 mth "/>
    <x v="2"/>
    <x v="3"/>
    <s v="YAP, TAZ, Leukemia"/>
    <n v="0"/>
    <s v="zN/A"/>
    <n v="0"/>
    <s v="zN/A"/>
    <s v="Bremner, Rod"/>
  </r>
  <r>
    <x v="146"/>
    <s v="University of Calgary"/>
    <x v="2"/>
    <x v="19"/>
    <s v="202307NWI"/>
    <x v="17"/>
    <s v="Characterizing the impact of hysterectomy on female physiology: A proof-of-concept cohort study in pelvic organ prolapse patients"/>
    <n v="150000"/>
    <n v="0"/>
    <s v="1 yr 0 mth "/>
    <x v="8"/>
    <x v="36"/>
    <s v="hysterectomy, physiology, pelvic organ prolapse"/>
    <n v="0"/>
    <s v="zN/A"/>
    <n v="0"/>
    <s v="zN/A"/>
    <s v="Brennand, Erin A"/>
  </r>
  <r>
    <x v="147"/>
    <s v="Unity Health Toronto"/>
    <x v="1"/>
    <x v="8"/>
    <s v="200903IRO"/>
    <x v="4"/>
    <s v="Assessment of Cardiotoxicity by Cardiac MRI in Early Stage Breast Cancer Patients Receiving Adjuvant Trastuzumab: A Prospective Observational Pilot Study"/>
    <n v="37500"/>
    <n v="0"/>
    <s v="3 yrs 0 mth "/>
    <x v="0"/>
    <x v="5"/>
    <s v="Cardiac MRI, Cardiotoxicity, Breast Cancer"/>
    <n v="0"/>
    <s v="zN/A"/>
    <n v="0"/>
    <s v="zN/A"/>
    <s v="Brezden-Masley, Christine"/>
  </r>
  <r>
    <x v="148"/>
    <s v="University of Alberta"/>
    <x v="2"/>
    <x v="1"/>
    <s v="201909PJT"/>
    <x v="5"/>
    <s v="Targeting lysophosphatidate (LPA) signaling to improve therapeutic outcomes  for breast cancer patients"/>
    <n v="937125"/>
    <n v="0"/>
    <s v="5 yrs 0 mth "/>
    <x v="0"/>
    <x v="22"/>
    <s v="lysophosphatidate, signaling, breast cancer"/>
    <n v="0"/>
    <s v="zN/A"/>
    <n v="0"/>
    <s v="zN/A"/>
    <s v="Brindley, David N"/>
  </r>
  <r>
    <x v="149"/>
    <s v="University of British Columbia"/>
    <x v="3"/>
    <x v="26"/>
    <s v="200809IHP"/>
    <x v="5"/>
    <s v="Statistical analysis of clinical lymphoma data for automated quality assurance of diagnosis and biomarker identification"/>
    <n v="68228"/>
    <n v="0"/>
    <s v="1 yr 0 mth "/>
    <x v="0"/>
    <x v="42"/>
    <s v="statistical analysis, lymphoma, biomarker"/>
    <n v="0"/>
    <s v="zN/A"/>
    <n v="0"/>
    <s v="zN/A"/>
    <s v="Brinkman, Ryan"/>
  </r>
  <r>
    <x v="150"/>
    <s v="University Health Network (Toronto)"/>
    <x v="1"/>
    <x v="4"/>
    <s v="201109IC1"/>
    <x v="6"/>
    <s v="A Finite Element Model Approach to Modeling Changes of the Head and Neck"/>
    <n v="100000"/>
    <n v="0"/>
    <s v="1 yr 0 mth "/>
    <x v="0"/>
    <x v="31"/>
    <s v="Finite Element, Head, Neck"/>
    <n v="0"/>
    <s v="zN/A"/>
    <n v="0"/>
    <s v="zN/A"/>
    <s v="Brock, Kristy K"/>
  </r>
  <r>
    <x v="151"/>
    <s v="McGill University"/>
    <x v="4"/>
    <x v="0"/>
    <s v="200909MOP"/>
    <x v="5"/>
    <s v="Role of the microenvironment in liver metastasis"/>
    <n v="622074"/>
    <n v="0"/>
    <s v="5 yrs 0 mth "/>
    <x v="0"/>
    <x v="10"/>
    <s v="microenvironment, liver, metastasis"/>
    <n v="1"/>
    <s v="zN/A"/>
    <n v="0"/>
    <s v="zN/A"/>
    <s v="Brodt, Pnina"/>
  </r>
  <r>
    <x v="151"/>
    <s v="Research Institute of the McGill University Health Centre"/>
    <x v="4"/>
    <x v="1"/>
    <s v="201909PJT"/>
    <x v="5"/>
    <s v="Regulatory circuits controlling the immune microenvironment of liver metastases"/>
    <n v="807075"/>
    <n v="0"/>
    <s v="5 yrs 0 mth "/>
    <x v="0"/>
    <x v="22"/>
    <s v="regulatory circuits, immune microenvironment, liver metastases"/>
    <n v="0"/>
    <s v="zN/A"/>
    <n v="0"/>
    <s v="zN/A"/>
    <s v="Brodt, Pnina"/>
  </r>
  <r>
    <x v="152"/>
    <s v="University of British Columbia"/>
    <x v="3"/>
    <x v="6"/>
    <s v="201711CPG"/>
    <x v="8"/>
    <s v="Side effect-free cathepsin K targeting drugs for skeletal diseases"/>
    <n v="359850"/>
    <n v="0"/>
    <s v="3 yrs 0 mth "/>
    <x v="5"/>
    <x v="11"/>
    <s v="cathepsin K, skeletal diseases, targeting"/>
    <n v="0"/>
    <s v="zN/A"/>
    <n v="0"/>
    <s v="zN/A"/>
    <s v="Bromme, Dieter"/>
  </r>
  <r>
    <x v="153"/>
    <s v="McGill University"/>
    <x v="4"/>
    <x v="6"/>
    <s v="201510CPG"/>
    <x v="8"/>
    <s v="Biophysical Tools for the Characterization of Breast Cancer Cell Migration and Invasion"/>
    <n v="272500"/>
    <n v="0"/>
    <s v="3 yrs 0 mth "/>
    <x v="0"/>
    <x v="4"/>
    <s v="biophysical, breast cancer, cell migration"/>
    <n v="0"/>
    <s v="zN/A"/>
    <n v="0"/>
    <s v="zN/A"/>
    <s v="Brown, Claire M"/>
  </r>
  <r>
    <x v="154"/>
    <s v="Dalhousie University (Nova Scotia)"/>
    <x v="5"/>
    <x v="1"/>
    <s v="202203PJT"/>
    <x v="10"/>
    <s v="Precision Image-Guided Ultrasound Ablation of Brain Tumors: A Longitudinal Pre-Clinical Study using a Newly Developed Platform"/>
    <n v="596700"/>
    <n v="0"/>
    <s v="5 yrs 0 mth "/>
    <x v="0"/>
    <x v="3"/>
    <s v="Image-Guided, Ultrasound, Ablation"/>
    <n v="2"/>
    <s v="zN/A"/>
    <n v="0"/>
    <s v="zN/A"/>
    <s v="Brown, Jeremy A"/>
  </r>
  <r>
    <x v="155"/>
    <s v="University of British Columbia"/>
    <x v="3"/>
    <x v="0"/>
    <s v="200909MOP"/>
    <x v="9"/>
    <s v="Regulation of cell behaviour on implants by surface topography"/>
    <n v="685810"/>
    <n v="0"/>
    <s v="5 yrs 0 mth "/>
    <x v="5"/>
    <x v="10"/>
    <s v="cell, surface, topography"/>
    <n v="0"/>
    <s v="zN/A"/>
    <n v="0"/>
    <s v="zN/A"/>
    <s v="Brunette, Donald M"/>
  </r>
  <r>
    <x v="156"/>
    <s v="Université de Montréal"/>
    <x v="4"/>
    <x v="6"/>
    <s v="201610CPG"/>
    <x v="8"/>
    <s v="Biosynthetic alternatives to human donor corneal transplantation"/>
    <n v="321657"/>
    <n v="0"/>
    <s v="3 yrs 0 mth "/>
    <x v="4"/>
    <x v="24"/>
    <s v="biosynthetic, corneal, transplantation"/>
    <n v="1"/>
    <s v="zN/A"/>
    <n v="0"/>
    <s v="zN/A"/>
    <s v="Brunette, Isabelle"/>
  </r>
  <r>
    <x v="157"/>
    <s v="Sunnybrook Research Institute (Toronto, Ontario)"/>
    <x v="1"/>
    <x v="4"/>
    <s v="201103IC1"/>
    <x v="0"/>
    <s v="Myelodysplastic Syndromes (MDS) in Canada:  A national prospective study of the epidemiology, quality of life and impact of co-morbidity/frailty on disease outcome"/>
    <n v="100000"/>
    <n v="0"/>
    <s v="1 yr 0 mth "/>
    <x v="0"/>
    <x v="17"/>
    <s v="Myelodysplastic Syndromes, epidemiology, co-morbidity"/>
    <n v="0"/>
    <s v="zN/A"/>
    <n v="0"/>
    <s v="zN/A"/>
    <s v="Buckstein, Rena J"/>
  </r>
  <r>
    <x v="158"/>
    <s v="Universite Laval"/>
    <x v="4"/>
    <x v="27"/>
    <s v="202403NW2"/>
    <x v="11"/>
    <s v="L'inversion de la pyramide des soins antenataux pour ameliorer l'acces aux soins et la sante des meres et des enfants vivant en region eloignee (PROJET PYRAMIDE)"/>
    <n v="599003"/>
    <n v="0"/>
    <s v="2 yrs 10 mths "/>
    <x v="7"/>
    <x v="27"/>
    <s v="pyramide, soins, sante"/>
    <n v="0"/>
    <s v="zN/A"/>
    <n v="0"/>
    <s v="zN/A"/>
    <s v="Bujold, Emmanuel"/>
  </r>
  <r>
    <x v="159"/>
    <s v="Research Institute of the McGill University Health Centre"/>
    <x v="4"/>
    <x v="1"/>
    <s v="202303PJT"/>
    <x v="5"/>
    <s v="Modelling cancer cell-derived extracellular vesicles using synthetic nanoparticles"/>
    <n v="960076"/>
    <n v="0"/>
    <s v="5 yrs 0 mth "/>
    <x v="0"/>
    <x v="13"/>
    <s v="cancer, extracellular vesicles, nanoparticles"/>
    <n v="0"/>
    <s v="zN/A"/>
    <n v="0"/>
    <s v="zN/A"/>
    <s v="Burnier, Julia"/>
  </r>
  <r>
    <x v="160"/>
    <s v="Unity Health Toronto"/>
    <x v="1"/>
    <x v="7"/>
    <s v="201103ISO"/>
    <x v="4"/>
    <s v="Practice Pattern Variation in Discontinuing Mechanical Ventilation in Critically Ill Adults: An International Study."/>
    <n v="85000"/>
    <n v="0"/>
    <s v="3 yrs 0 mth "/>
    <x v="10"/>
    <x v="17"/>
    <s v="Mechanical Ventilation, Practice Pattern, Critically Ill"/>
    <n v="0"/>
    <s v="zN/A"/>
    <n v="0"/>
    <s v="zN/A"/>
    <s v="Burns, Karen E"/>
  </r>
  <r>
    <x v="161"/>
    <s v="Sunnybrook Research Institute (Toronto, Ontario)"/>
    <x v="1"/>
    <x v="0"/>
    <s v="201109MOP"/>
    <x v="6"/>
    <s v="Acoustically activated submicron droplets of liquid perfluorocarbon as a new contrast agent for ultrasound imaging"/>
    <n v="360706"/>
    <n v="0"/>
    <s v="4 yrs 0 mth "/>
    <x v="0"/>
    <x v="15"/>
    <s v="acoustically activated, submicron droplets, ultrasound imaging"/>
    <n v="0"/>
    <s v="zN/A"/>
    <n v="0"/>
    <s v="zN/A"/>
    <s v="Burns, Peter N"/>
  </r>
  <r>
    <x v="161"/>
    <s v="Sunnybrook Research Institute (Toronto, Ontario)"/>
    <x v="1"/>
    <x v="0"/>
    <s v="201209MOP"/>
    <x v="6"/>
    <s v="Ultrasound Imaging Investigation of Resistance and Adaptation to Targeted Anti-cancer Therapeutics"/>
    <n v="579409"/>
    <n v="0"/>
    <s v="5 yrs 0 mth "/>
    <x v="0"/>
    <x v="14"/>
    <s v="Ultrasound, Imaging, Anti-cancer"/>
    <n v="1"/>
    <s v="zN/A"/>
    <n v="0"/>
    <s v="zN/A"/>
    <s v="Burns, Peter N"/>
  </r>
  <r>
    <x v="162"/>
    <s v="University of Alberta"/>
    <x v="2"/>
    <x v="28"/>
    <s v="201810APC"/>
    <x v="20"/>
    <s v="Point-of-Care Diagnostic Discrimination Between Bacterial and Viral Infections Using a Nanostructured Platform Device for Detection of Host Biomarkers."/>
    <n v="620000"/>
    <n v="0"/>
    <s v="3 yrs 0 mth "/>
    <x v="1"/>
    <x v="43"/>
    <s v="Point-of-Care, Nanostructured, Biomarkers"/>
    <n v="0"/>
    <s v="zN/A"/>
    <n v="0"/>
    <s v="zN/A"/>
    <s v="Burrell, Robert"/>
  </r>
  <r>
    <x v="20"/>
    <s v="Polytechnique Montréal"/>
    <x v="4"/>
    <x v="29"/>
    <s v="200903NMD"/>
    <x v="9"/>
    <s v="Chitosan/Plasmid-DNA Polyelectrolyte Complexes for Delivery of Glucagon-Like Peptide-1 (GLP-1) in Diabetes Type 2 Models"/>
    <n v="100000"/>
    <n v="0"/>
    <s v="1 yr 0 mth "/>
    <x v="9"/>
    <x v="5"/>
    <s v="Chitosan, Plasmid-DNA, GLP-1"/>
    <n v="1"/>
    <s v="zN/A"/>
    <n v="0"/>
    <s v="zN/A"/>
    <s v="Buschmann, Michael D"/>
  </r>
  <r>
    <x v="20"/>
    <s v="Polytechnique Montréal"/>
    <x v="4"/>
    <x v="15"/>
    <s v="201009IMH"/>
    <x v="9"/>
    <s v="Mechanisms and optimisation of marrow stimulated cartilage repair"/>
    <n v="100000"/>
    <n v="0"/>
    <s v="1 yr 0 mth "/>
    <x v="5"/>
    <x v="44"/>
    <s v="marrow, cartilage, repair"/>
    <n v="0"/>
    <s v="zN/A"/>
    <n v="0"/>
    <s v="zN/A"/>
    <s v="Buschmann, Michael D"/>
  </r>
  <r>
    <x v="20"/>
    <s v="Polytechnique Montréal"/>
    <x v="4"/>
    <x v="7"/>
    <s v="201103ISO"/>
    <x v="4"/>
    <s v="Gene Delivery of Glucagon-like Peptide-1 (GLP-1) for the Treatment of Type 2 Diabetes"/>
    <n v="521739"/>
    <n v="0"/>
    <s v="3 yrs 0 mth "/>
    <x v="9"/>
    <x v="17"/>
    <s v="Gene delivery, GLP-1, diabetes"/>
    <n v="0"/>
    <s v="zN/A"/>
    <n v="0"/>
    <s v="zN/A"/>
    <s v="Buschmann, Michael D"/>
  </r>
  <r>
    <x v="20"/>
    <s v="Polytechnique Montréal"/>
    <x v="4"/>
    <x v="0"/>
    <s v="201103MOP"/>
    <x v="9"/>
    <s v="Mechanisms and optimisation of marrow stimulated cartilage repair"/>
    <n v="558505"/>
    <n v="0"/>
    <s v="5 yrs 0 mth "/>
    <x v="5"/>
    <x v="17"/>
    <s v="marrow, cartilage, repair"/>
    <n v="0"/>
    <s v="zN/A"/>
    <n v="0"/>
    <s v="zN/A"/>
    <s v="Buschmann, Michael D"/>
  </r>
  <r>
    <x v="20"/>
    <s v="Polytechnique Montréal"/>
    <x v="4"/>
    <x v="6"/>
    <s v="201210CPG"/>
    <x v="8"/>
    <s v="Chitosan-siRNA nanoparticles for gene silencing in Atherosclerosis and Cancer"/>
    <n v="339912"/>
    <n v="0"/>
    <s v="3 yrs 0 mth "/>
    <x v="0"/>
    <x v="14"/>
    <s v="Chitosan, siRNA, nanoparticles"/>
    <n v="4"/>
    <s v="zN/A"/>
    <n v="0"/>
    <s v="zN/A"/>
    <s v="Buschmann, Michael D"/>
  </r>
  <r>
    <x v="163"/>
    <s v="CIUSSS Est-de-l'Ile-de- Montréal-Maisonneuve Rosemont"/>
    <x v="4"/>
    <x v="0"/>
    <s v="201403MOP"/>
    <x v="1"/>
    <s v="Relationship between clonal architecture of aging hematopoiesis and the risk of developing age-associated myeloid cancers."/>
    <n v="845460"/>
    <n v="0"/>
    <s v="5 yrs 0 mth "/>
    <x v="0"/>
    <x v="18"/>
    <s v="clonal architecture, hematopoiesis, myeloid cancers"/>
    <n v="0"/>
    <s v="zN/A"/>
    <n v="0"/>
    <s v="zN/A"/>
    <s v="Busque, Lambert"/>
  </r>
  <r>
    <x v="164"/>
    <s v="University of British Columbia"/>
    <x v="3"/>
    <x v="0"/>
    <s v="201109MOP"/>
    <x v="5"/>
    <s v="Paracrine Hedgehog as a Mediator of Castration Resistant Prostate Cancer"/>
    <n v="567625"/>
    <n v="0"/>
    <s v="5 yrs 0 mth "/>
    <x v="0"/>
    <x v="15"/>
    <s v="Hedgehog, Paracrine, Prostate Cancer"/>
    <n v="0"/>
    <s v="zN/A"/>
    <n v="0"/>
    <s v="zN/A"/>
    <s v="Buttyan, Ralph"/>
  </r>
  <r>
    <x v="164"/>
    <s v="University of British Columbia"/>
    <x v="3"/>
    <x v="1"/>
    <s v="201709PJT"/>
    <x v="1"/>
    <s v="Interference with Gli to Control Castration Resistant Prostate Cancer"/>
    <n v="344250"/>
    <n v="0"/>
    <s v="3 yrs 0 mth "/>
    <x v="0"/>
    <x v="11"/>
    <s v="Gli, prostate cancer, interference"/>
    <n v="0"/>
    <s v="zN/A"/>
    <n v="0"/>
    <s v="zN/A"/>
    <s v="Buttyan, Ralph"/>
  </r>
  <r>
    <x v="165"/>
    <s v="University Health Network (Toronto)"/>
    <x v="1"/>
    <x v="30"/>
    <s v="201210CEH"/>
    <x v="21"/>
    <s v="Design and Evaluation of an mHealth Behavioural Intervention for the Self-Management of Type 2 Diabetes Mellitus"/>
    <n v="99350"/>
    <n v="0"/>
    <s v="1 yr 0 mth "/>
    <x v="9"/>
    <x v="32"/>
    <s v="mHealth, Behavioural Intervention, Diabetes"/>
    <n v="0"/>
    <s v="zN/A"/>
    <n v="0"/>
    <s v="zN/A"/>
    <s v="Cafazzo, Joseph A"/>
  </r>
  <r>
    <x v="166"/>
    <s v="Queen's University (Kingston, Ontario)"/>
    <x v="1"/>
    <x v="31"/>
    <s v="200810XCP"/>
    <x v="4"/>
    <s v="Opioids modify glial activity in models of chronic pain and opioid  tolerant states"/>
    <n v="54351"/>
    <n v="0"/>
    <s v="2 yrs 0 mth "/>
    <x v="6"/>
    <x v="0"/>
    <s v="opioids, glial, pain"/>
    <n v="0"/>
    <s v="zN/A"/>
    <n v="0"/>
    <s v="zN/A"/>
    <s v="Cahill, Catherine M"/>
  </r>
  <r>
    <x v="167"/>
    <s v="Sunnybrook Research Institute (Toronto, Ontario)"/>
    <x v="1"/>
    <x v="0"/>
    <s v="201503MOP"/>
    <x v="6"/>
    <s v="Personalizing Radionuclide Therapy of Neuroendocrine Tumours"/>
    <n v="433320"/>
    <n v="0"/>
    <s v="4 yrs 0 mth "/>
    <x v="0"/>
    <x v="19"/>
    <s v="Radionuclide, Neuroendocrine, Tumours"/>
    <n v="0"/>
    <s v="zN/A"/>
    <n v="0"/>
    <s v="zN/A"/>
    <s v="Caldwell, Curtis B"/>
  </r>
  <r>
    <x v="168"/>
    <s v="Université Laval"/>
    <x v="4"/>
    <x v="7"/>
    <s v="200909ISO"/>
    <x v="4"/>
    <s v="Isolation of therapeutic fractions from intravenous immunoglobulins using the triple transgenic mouse model of Alzheimer's disease"/>
    <n v="70000"/>
    <n v="0"/>
    <s v="4 yrs 0 mth "/>
    <x v="4"/>
    <x v="10"/>
    <s v="immunoglobulins, Alzheimer's, transgenic mouse"/>
    <n v="0"/>
    <s v="zN/A"/>
    <n v="0"/>
    <s v="zN/A"/>
    <s v="Calon, Frederic"/>
  </r>
  <r>
    <x v="168"/>
    <s v="Université Laval"/>
    <x v="4"/>
    <x v="6"/>
    <s v="201210CPG"/>
    <x v="8"/>
    <s v="Development and bioimaging of blood-brain barrier vectorized nanoparticles"/>
    <n v="383134"/>
    <n v="0"/>
    <s v="3 yrs 0 mth "/>
    <x v="4"/>
    <x v="14"/>
    <s v="blood-brain barrier, nanoparticles, bioimaging"/>
    <n v="0"/>
    <s v="zN/A"/>
    <n v="0"/>
    <s v="zN/A"/>
    <s v="Calon, Frederic"/>
  </r>
  <r>
    <x v="169"/>
    <s v="University of Waterloo (Ontario)"/>
    <x v="1"/>
    <x v="6"/>
    <s v="201510CPG"/>
    <x v="8"/>
    <s v="Novel non-invasive imaging of amyloid in the retina of the eye as a predictor of amyloid in the brain in Alzheimer's disease"/>
    <n v="406292"/>
    <n v="0"/>
    <s v="3 yrs 0 mth "/>
    <x v="4"/>
    <x v="4"/>
    <s v="imaging, amyloid, retina"/>
    <n v="1"/>
    <s v="zN/A"/>
    <n v="0"/>
    <s v="zN/A"/>
    <s v="Campbell, Melanie Crombie W"/>
  </r>
  <r>
    <x v="170"/>
    <s v="University of Alberta"/>
    <x v="2"/>
    <x v="5"/>
    <s v="200902NHG"/>
    <x v="7"/>
    <s v="Intracellular biosensors based on engineered fluorescent proteins: new tools and techniques for imaging the spatiotemporal dynamics of correlated biochemical events in single cells"/>
    <n v="90600"/>
    <n v="0"/>
    <s v="1 yr 0 mth "/>
    <x v="2"/>
    <x v="45"/>
    <s v="biosensors, fluorescent proteins, imaging"/>
    <n v="0"/>
    <s v="zN/A"/>
    <n v="0"/>
    <s v="zN/A"/>
    <s v="Campbell, Robert E"/>
  </r>
  <r>
    <x v="170"/>
    <s v="University of Alberta"/>
    <x v="2"/>
    <x v="5"/>
    <s v="200903NHG"/>
    <x v="7"/>
    <s v="New tools for real-time imaging of multiple signaling events in single cells: design, construction, and biological applications of genetically encoded biosensors"/>
    <n v="259225"/>
    <n v="0"/>
    <s v="3 yrs 0 mth "/>
    <x v="2"/>
    <x v="5"/>
    <s v="imaging, biosensors, signaling"/>
    <n v="5"/>
    <s v="zN/A"/>
    <n v="0"/>
    <s v="zN/A"/>
    <s v="Campbell, Robert E"/>
  </r>
  <r>
    <x v="171"/>
    <s v="McMaster University"/>
    <x v="1"/>
    <x v="6"/>
    <s v="201210CPG"/>
    <x v="8"/>
    <s v="Overcoming Antibiotic Resistance Through the Inhibition of Aminoglycoside Phosphotransferases (APH)."/>
    <n v="338199"/>
    <n v="0"/>
    <s v="3 yrs 0 mth "/>
    <x v="1"/>
    <x v="14"/>
    <s v="Antibiotic resistance, Aminoglycoside, Phosphotransferases"/>
    <n v="0"/>
    <s v="zN/A"/>
    <n v="0"/>
    <s v="zN/A"/>
    <s v="Capretta, Alfredo A"/>
  </r>
  <r>
    <x v="172"/>
    <s v="Université Laval"/>
    <x v="4"/>
    <x v="1"/>
    <s v="201803PJT"/>
    <x v="5"/>
    <s v="Understanding Head and Neck Squamous Cell Carcinoma onset in young adults"/>
    <n v="680850"/>
    <n v="0"/>
    <s v="5 yrs 0 mth "/>
    <x v="0"/>
    <x v="7"/>
    <s v="Head, Neck, Carcinoma"/>
    <n v="0"/>
    <s v="zN/A"/>
    <n v="0"/>
    <s v="zN/A"/>
    <s v="Carreau, Madeleine"/>
  </r>
  <r>
    <x v="173"/>
    <s v="Ottawa Hospital Research Institute"/>
    <x v="1"/>
    <x v="0"/>
    <s v="201003MOP"/>
    <x v="5"/>
    <s v="The Use of Extended Peri-operative Low Molecular Weight Heparin to Improve Cancer Specific Survival Following Surgical Resection of Colon Cancer: A Randomized Controlled Trial"/>
    <n v="816176"/>
    <n v="0"/>
    <s v="4 yrs 0 mth "/>
    <x v="0"/>
    <x v="21"/>
    <s v="Heparin, Cancer, Surgery"/>
    <n v="0"/>
    <s v="zN/A"/>
    <n v="0"/>
    <s v="zN/A"/>
    <s v="Carrier, Marc"/>
  </r>
  <r>
    <x v="174"/>
    <s v="London Health Sciences Centre Res. Inc. (Ont.)"/>
    <x v="1"/>
    <x v="0"/>
    <s v="201003MOP"/>
    <x v="6"/>
    <s v="Development of a photoacoustic imaging system for lesion characterization during breast cancer diagnostics"/>
    <n v="557990"/>
    <n v="0"/>
    <s v="5 yrs 0 mth "/>
    <x v="0"/>
    <x v="21"/>
    <s v="photoacoustic, imaging, breast cancer"/>
    <n v="0"/>
    <s v="zN/A"/>
    <n v="0"/>
    <s v="zN/A"/>
    <s v="Carson, Jeffrey J"/>
  </r>
  <r>
    <x v="174"/>
    <s v="Western University (Ontario)"/>
    <x v="1"/>
    <x v="6"/>
    <s v="201510CPG"/>
    <x v="8"/>
    <s v="Non-contact 3D photoacoustic/ultrasonic imaging for detecting the early response to neoadjuvant chemotherapy in breast cancer patients"/>
    <n v="325780"/>
    <n v="0"/>
    <s v="3 yrs 0 mth "/>
    <x v="0"/>
    <x v="4"/>
    <s v="photoacoustic, ultrasonic, imaging"/>
    <n v="0"/>
    <s v="zN/A"/>
    <n v="0"/>
    <s v="zN/A"/>
    <s v="Carson, Jeffrey J"/>
  </r>
  <r>
    <x v="175"/>
    <s v="University of British Columbia"/>
    <x v="3"/>
    <x v="3"/>
    <s v="201503IPR"/>
    <x v="4"/>
    <s v="A Defined Abeta Oligomer Epitope: Theranostic Applications"/>
    <n v="419232"/>
    <n v="0"/>
    <s v="3 yrs 0 mth "/>
    <x v="6"/>
    <x v="46"/>
    <s v="Abeta, Oligomer, Epitope"/>
    <n v="15"/>
    <s v="zN/A"/>
    <n v="0"/>
    <s v="zN/A"/>
    <s v="Cashman, Neil R"/>
  </r>
  <r>
    <x v="176"/>
    <s v="Sinai Health System (Toronto)"/>
    <x v="1"/>
    <x v="3"/>
    <s v="201409IPR"/>
    <x v="4"/>
    <s v="Characterization of the bioenergetic and metabolic function of mitochondria isolated from oocyte precursor stem cells."/>
    <n v="911700"/>
    <n v="0"/>
    <s v="5 yrs 0 mth "/>
    <x v="7"/>
    <x v="6"/>
    <s v="mitochondria, bioenergetic, stem cells"/>
    <n v="0"/>
    <s v="zN/A"/>
    <n v="0"/>
    <s v="zN/A"/>
    <s v="Casper, Robert F"/>
  </r>
  <r>
    <x v="177"/>
    <s v="University of Ottawa"/>
    <x v="1"/>
    <x v="0"/>
    <s v="201309MOP"/>
    <x v="9"/>
    <s v="Identification and modulation of molecular mechanisms involved in the biological response to wear and corrosion of hip implants"/>
    <n v="524631"/>
    <n v="0"/>
    <s v="4 yrs 0 mth "/>
    <x v="5"/>
    <x v="9"/>
    <s v="molecular mechanisms, biological response, hip implants"/>
    <n v="1"/>
    <s v="zN/A"/>
    <n v="0"/>
    <s v="zN/A"/>
    <s v="Catelas, Isabelle"/>
  </r>
  <r>
    <x v="177"/>
    <s v="University of Ottawa"/>
    <x v="1"/>
    <x v="32"/>
    <s v="201803PJ5"/>
    <x v="9"/>
    <s v="Identification of molecular mechanisms involved in the biological response to implant wear and corrosion"/>
    <n v="100000"/>
    <n v="0"/>
    <s v="1 yr 0 mth "/>
    <x v="5"/>
    <x v="22"/>
    <s v="molecular mechanisms, implant wear, corrosion"/>
    <n v="0"/>
    <s v="zN/A"/>
    <n v="0"/>
    <s v="zN/A"/>
    <s v="Catelas, Isabelle"/>
  </r>
  <r>
    <x v="177"/>
    <s v="University of Ottawa"/>
    <x v="1"/>
    <x v="1"/>
    <s v="201909PJT"/>
    <x v="9"/>
    <s v="Identification of molecular mechanisms involved in the biological response to implant wear and corrosion"/>
    <n v="826200"/>
    <n v="0"/>
    <s v="5 yrs 0 mth "/>
    <x v="5"/>
    <x v="22"/>
    <s v="molecular mechanisms, implant wear, corrosion"/>
    <n v="0"/>
    <s v="zN/A"/>
    <n v="0"/>
    <s v="zN/A"/>
    <s v="Catelas, Isabelle"/>
  </r>
  <r>
    <x v="178"/>
    <s v="University Health Network (Toronto)"/>
    <x v="1"/>
    <x v="0"/>
    <s v="201303MOP"/>
    <x v="0"/>
    <s v="Investigation of Dendritic Cell De-differentiation in Cancer"/>
    <n v="673346"/>
    <n v="0"/>
    <s v="5 yrs 0 mth "/>
    <x v="0"/>
    <x v="34"/>
    <s v="Dendritic cell, De-differentiation, Cancer"/>
    <n v="0"/>
    <s v="zN/A"/>
    <n v="0"/>
    <s v="zN/A"/>
    <s v="Cattral, Mark S"/>
  </r>
  <r>
    <x v="178"/>
    <s v="University Health Network (Toronto)"/>
    <x v="1"/>
    <x v="1"/>
    <s v="201903PJT"/>
    <x v="0"/>
    <s v="Transformation of the Tumor Microenvironment with Genetically-modifed Dendritic Cells for T cell-mediated Immunotherapy"/>
    <n v="921826"/>
    <n v="0"/>
    <s v="5 yrs 0 mth "/>
    <x v="0"/>
    <x v="1"/>
    <s v="Tumor, Dendritic Cells, Immunotherapy"/>
    <n v="0"/>
    <s v="zN/A"/>
    <n v="0"/>
    <s v="zN/A"/>
    <s v="Cattral, Mark S"/>
  </r>
  <r>
    <x v="179"/>
    <s v="Centre hospitalier universitaire Sainte-Justine (Montréal, Québec)"/>
    <x v="4"/>
    <x v="1"/>
    <s v="202104PJT"/>
    <x v="3"/>
    <s v="Exploiting induction of mitochondrial apoptosis as a therapeutic vulnerability in high fatality pediatric leukemia"/>
    <n v="944776"/>
    <n v="0"/>
    <s v="5 yrs 0 mth "/>
    <x v="0"/>
    <x v="35"/>
    <s v="mitochondrial apoptosis, pediatric leukemia, therapeutic vulnerability"/>
    <n v="0"/>
    <s v="zN/A"/>
    <n v="0"/>
    <s v="zN/A"/>
    <s v="Cellot, Sonia"/>
  </r>
  <r>
    <x v="180"/>
    <s v="University Health Network (Toronto)"/>
    <x v="1"/>
    <x v="1"/>
    <s v="202010PJT"/>
    <x v="3"/>
    <s v="Discovery and validation of vulnerabilities and therapeutic strategies for cyclin-dependent kinase 4/6 inhibitor-resistant hormone receptor positive breast cancer"/>
    <n v="895050"/>
    <n v="0"/>
    <s v="5 yrs 0 mth "/>
    <x v="0"/>
    <x v="23"/>
    <s v="cyclin-dependent kinase, inhibitor, breast cancer"/>
    <n v="0"/>
    <s v="zN/A"/>
    <n v="0"/>
    <s v="zN/A"/>
    <s v="Cescon, David W"/>
  </r>
  <r>
    <x v="181"/>
    <s v="Université Laval"/>
    <x v="4"/>
    <x v="6"/>
    <s v="201310CPG"/>
    <x v="8"/>
    <s v="Sensing and modulating neuronal activity from the spinal epidural space with optical fibers"/>
    <n v="357982"/>
    <n v="0"/>
    <s v="3 yrs 0 mth "/>
    <x v="4"/>
    <x v="9"/>
    <s v="neuronal activity, optical fibers, epidural space"/>
    <n v="0"/>
    <s v="zN/A"/>
    <n v="0"/>
    <s v="zN/A"/>
    <s v="Cete, Daniel"/>
  </r>
  <r>
    <x v="181"/>
    <s v="Université Laval"/>
    <x v="4"/>
    <x v="6"/>
    <s v="201810CPG"/>
    <x v="8"/>
    <s v="Real-time multimodal tools for high resolution image-guided surgery and better treatment of Parkinson's disease"/>
    <n v="318630"/>
    <n v="0"/>
    <s v="3 yrs 0 mth "/>
    <x v="4"/>
    <x v="26"/>
    <s v="multimodal, image-guided, Parkinson's disease"/>
    <n v="0"/>
    <s v="zN/A"/>
    <n v="0"/>
    <s v="zN/A"/>
    <s v="Cete, Daniel"/>
  </r>
  <r>
    <x v="182"/>
    <s v="CIUSSS de l'Ouest-de-l'Ile-de-Montréal-Douglas Hospital"/>
    <x v="4"/>
    <x v="1"/>
    <s v="201903PJT"/>
    <x v="6"/>
    <s v="Studying prenatal exposure to maternal immune activation as risk factor for neurodevelopmental disorders: from the fetus to adulthood"/>
    <n v="803250"/>
    <n v="0"/>
    <s v="5 yrs 0 mth "/>
    <x v="4"/>
    <x v="1"/>
    <s v="prenatal exposure, maternal immune activation, neurodevelopmental disorders"/>
    <n v="0"/>
    <s v="zN/A"/>
    <n v="0"/>
    <s v="zN/A"/>
    <s v="Chakravarty, Megha M"/>
  </r>
  <r>
    <x v="183"/>
    <s v="Universite Laval"/>
    <x v="4"/>
    <x v="1"/>
    <s v="202303PJT"/>
    <x v="10"/>
    <s v="Organogenese de muqueuse nasale autologue pour la reconstruction endoscopique endonasale en chirurgie de la base du crene"/>
    <n v="669376"/>
    <n v="0"/>
    <s v="5 yrs 0 mth "/>
    <x v="0"/>
    <x v="13"/>
    <s v="organogenese, muqueuse nasale, reconstruction"/>
    <n v="0"/>
    <s v="zN/A"/>
    <n v="0"/>
    <s v="zN/A"/>
    <s v="Champagne, Pierre-Olivier"/>
  </r>
  <r>
    <x v="184"/>
    <s v="University of Calgary"/>
    <x v="2"/>
    <x v="0"/>
    <s v="201309MOP"/>
    <x v="1"/>
    <s v="The role of CIC in oligodendroglioma"/>
    <n v="656900"/>
    <n v="0"/>
    <s v="5 yrs 0 mth "/>
    <x v="0"/>
    <x v="9"/>
    <s v="CIC, oligodendroglioma"/>
    <n v="0"/>
    <s v="zN/A"/>
    <n v="0"/>
    <s v="zN/A"/>
    <s v="Chan, Jennifer A"/>
  </r>
  <r>
    <x v="185"/>
    <s v="University Health Network (Toronto)"/>
    <x v="1"/>
    <x v="1"/>
    <s v="201803PJT"/>
    <x v="3"/>
    <s v="PINK1 Inhibition as a Novel Therapeutic Strategy to Target Acute Myeloid Leukemia Stem Cells"/>
    <n v="348074"/>
    <n v="0"/>
    <s v="3 yrs 0 mth "/>
    <x v="0"/>
    <x v="7"/>
    <s v="PINK1, Inhibition, Leukemia"/>
    <n v="0"/>
    <s v="zN/A"/>
    <n v="0"/>
    <s v="zN/A"/>
    <s v="Chan, Steven M"/>
  </r>
  <r>
    <x v="185"/>
    <s v="University Health Network (Toronto)"/>
    <x v="1"/>
    <x v="1"/>
    <s v="202010PJT"/>
    <x v="5"/>
    <s v="Repurposing Metformin to Target TET2 Mutation Driven Clonal Hematopoiesis and Malignant Transformation"/>
    <n v="573752"/>
    <n v="0"/>
    <s v="4 yrs 0 mth "/>
    <x v="0"/>
    <x v="23"/>
    <s v="Metformin, TET2, Hematopoiesis"/>
    <n v="0"/>
    <s v="zN/A"/>
    <n v="0"/>
    <s v="zN/A"/>
    <s v="Chan, Steven M"/>
  </r>
  <r>
    <x v="185"/>
    <s v="University Health Network (Toronto)"/>
    <x v="1"/>
    <x v="25"/>
    <s v="202209DCP"/>
    <x v="5"/>
    <s v="Role of Thrombopoietin Receptor (TPO-R) Signaling in TET2 Mutation-Driven Clonal Hematopoiesis"/>
    <n v="100000"/>
    <n v="0"/>
    <s v="1 yr 0 mth "/>
    <x v="0"/>
    <x v="28"/>
    <s v="Thrombopoietin, Receptor, TET2"/>
    <n v="0"/>
    <s v="zN/A"/>
    <n v="0"/>
    <s v="zN/A"/>
    <s v="Chan, Steven M"/>
  </r>
  <r>
    <x v="185"/>
    <s v="University Health Network (Toronto)"/>
    <x v="1"/>
    <x v="25"/>
    <s v="202303DCP"/>
    <x v="5"/>
    <s v="Inhibiting Thrombopoietin Receptor (TPO-R) Signaling as a Novel Approach to Target TET2 Mutation-Driven Clonal Hematopoiesis"/>
    <n v="100000"/>
    <n v="0"/>
    <s v="1 yr 0 mth "/>
    <x v="0"/>
    <x v="33"/>
    <s v="Thrombopoietin, TPO-R, TET2"/>
    <n v="0"/>
    <s v="zN/A"/>
    <n v="0"/>
    <s v="zN/A"/>
    <s v="Chan, Steven M"/>
  </r>
  <r>
    <x v="185"/>
    <s v="University Health Network (Toronto)"/>
    <x v="1"/>
    <x v="1"/>
    <s v="202309PJT"/>
    <x v="3"/>
    <s v="Inhibiting Thrombopoietin Receptor (TPO-R) Signaling as a Novel Approach to Target TET2 Mutation-Driven Clonal Hematopoiesis"/>
    <n v="409276"/>
    <n v="0"/>
    <s v="3 yrs 0 mth "/>
    <x v="0"/>
    <x v="33"/>
    <s v="Thrombopoietin, TPO-R, TET2"/>
    <n v="0"/>
    <s v="zN/A"/>
    <n v="0"/>
    <s v="zN/A"/>
    <s v="Chan, Steven M"/>
  </r>
  <r>
    <x v="186"/>
    <s v="University of Toronto"/>
    <x v="1"/>
    <x v="0"/>
    <s v="200809MOP"/>
    <x v="9"/>
    <s v="Assessing the Size Dependent Cancer Targeting of Herceptin-coated Nanoparticles"/>
    <n v="419013"/>
    <n v="0"/>
    <s v="4 yrs 0 mth "/>
    <x v="0"/>
    <x v="0"/>
    <s v="Herceptin, nanoparticles, cancer"/>
    <n v="0"/>
    <s v="zN/A"/>
    <n v="0"/>
    <s v="zN/A"/>
    <s v="Chan, Warren C"/>
  </r>
  <r>
    <x v="186"/>
    <s v="University of Toronto"/>
    <x v="1"/>
    <x v="12"/>
    <s v="201209COP"/>
    <x v="9"/>
    <s v="Engineering DNA-nanosystems for tumor targeting"/>
    <n v="100000"/>
    <n v="0"/>
    <s v="1 yr 0 mth "/>
    <x v="0"/>
    <x v="32"/>
    <s v="DNA, nanosystems, tumor"/>
    <n v="0"/>
    <s v="zN/A"/>
    <n v="0"/>
    <s v="zN/A"/>
    <s v="Chan, Warren C"/>
  </r>
  <r>
    <x v="186"/>
    <s v="University of Toronto"/>
    <x v="1"/>
    <x v="0"/>
    <s v="201303MOP"/>
    <x v="9"/>
    <s v="Engineering DNA-nanosystems for tumor targeting"/>
    <n v="632126"/>
    <n v="0"/>
    <s v="5 yrs 0 mth "/>
    <x v="0"/>
    <x v="34"/>
    <s v="DNA, nanosystems, tumor"/>
    <n v="0"/>
    <s v="zN/A"/>
    <n v="0"/>
    <s v="zN/A"/>
    <s v="Chan, Warren C"/>
  </r>
  <r>
    <x v="186"/>
    <s v="University of Toronto"/>
    <x v="1"/>
    <x v="6"/>
    <s v="201510CPG"/>
    <x v="8"/>
    <s v="A combined nanotechnology and surgical strategy to treating liver cancer"/>
    <n v="464934"/>
    <n v="0"/>
    <s v="3 yrs 0 mth "/>
    <x v="0"/>
    <x v="4"/>
    <s v="nanotechnology, surgery, liver cancer"/>
    <n v="1"/>
    <s v="zN/A"/>
    <n v="0"/>
    <s v="zN/A"/>
    <s v="Chan, Warren C"/>
  </r>
  <r>
    <x v="186"/>
    <s v="University of Toronto"/>
    <x v="1"/>
    <x v="6"/>
    <s v="201711CPG"/>
    <x v="8"/>
    <s v="Engineering DNAzyme-gold nanoparticle diagnostic device"/>
    <n v="353172"/>
    <n v="15000"/>
    <s v="3 yrs 0 mth "/>
    <x v="1"/>
    <x v="11"/>
    <s v="DNAzyme, gold nanoparticle, diagnostic"/>
    <n v="0"/>
    <s v="zN/A"/>
    <n v="0"/>
    <s v="zN/A"/>
    <s v="Chan, Warren C"/>
  </r>
  <r>
    <x v="186"/>
    <s v="University of Toronto"/>
    <x v="1"/>
    <x v="6"/>
    <s v="201910CPG"/>
    <x v="8"/>
    <s v="Applying machine learning to 3D tumor histopathology for predicting patient outcomes"/>
    <n v="484151"/>
    <n v="0"/>
    <s v="3 yrs 0 mth "/>
    <x v="0"/>
    <x v="22"/>
    <s v="machine learning, histopathology, tumor"/>
    <n v="2"/>
    <s v="zN/A"/>
    <n v="0"/>
    <s v="zN/A"/>
    <s v="Chan, Warren C"/>
  </r>
  <r>
    <x v="187"/>
    <s v="Institut de recherches cliniques de Montréal"/>
    <x v="4"/>
    <x v="0"/>
    <s v="201203MOP"/>
    <x v="5"/>
    <s v="Hedgehog signaling and medulloblastoma tumorigenesis"/>
    <n v="713954"/>
    <n v="0"/>
    <s v="5 yrs 0 mth "/>
    <x v="0"/>
    <x v="12"/>
    <s v="Hedgehog signaling, medulloblastoma, tumorigenesis"/>
    <n v="0"/>
    <s v="zN/A"/>
    <n v="0"/>
    <s v="zN/A"/>
    <s v="Charron, Frederic"/>
  </r>
  <r>
    <x v="187"/>
    <s v="Institut de recherches cliniques de Montréal"/>
    <x v="4"/>
    <x v="1"/>
    <s v="202109PJT"/>
    <x v="1"/>
    <s v="Investigation of a novel tumor suppressor mechanism in medulloblastoma"/>
    <n v="990675"/>
    <n v="0"/>
    <s v="5 yrs 0 mth "/>
    <x v="2"/>
    <x v="25"/>
    <s v="tumor suppressor, medulloblastoma"/>
    <n v="0"/>
    <s v="zN/A"/>
    <n v="0"/>
    <s v="zN/A"/>
    <s v="Charron, Frederic"/>
  </r>
  <r>
    <x v="188"/>
    <s v="Centre hospitalier universitaire Sainte-Justine (Montreal, Quebec)"/>
    <x v="4"/>
    <x v="9"/>
    <s v="202403NW3"/>
    <x v="11"/>
    <s v="A Breakthrough Solution to Effectively Prevent Preterm Birth"/>
    <n v="599500"/>
    <n v="0"/>
    <s v="2 yrs 10 mths "/>
    <x v="7"/>
    <x v="27"/>
    <s v="Preterm Birth, Prevention"/>
    <n v="0"/>
    <s v="zN/A"/>
    <n v="0"/>
    <s v="zN/A"/>
    <s v="Chemtob, Sylvain"/>
  </r>
  <r>
    <x v="189"/>
    <s v="McGill University"/>
    <x v="4"/>
    <x v="10"/>
    <s v="202109PLL"/>
    <x v="9"/>
    <s v="Engineering injectable cold atmospheric plasma-preserved hydrogel to treat breast cancer"/>
    <n v="100000"/>
    <n v="0"/>
    <s v="1 yr 0 mth "/>
    <x v="0"/>
    <x v="3"/>
    <s v="injectable, plasma, hydrogel"/>
    <n v="0"/>
    <s v="zN/A"/>
    <n v="0"/>
    <s v="zN/A"/>
    <s v="Chen, Guojun"/>
  </r>
  <r>
    <x v="189"/>
    <s v="McGill University"/>
    <x v="4"/>
    <x v="1"/>
    <s v="202203PJT"/>
    <x v="10"/>
    <s v="Engineering injectable cold atmospheric plasma-preserved hydrogel to treat breast cancer"/>
    <n v="787950"/>
    <n v="0"/>
    <s v="5 yrs 0 mth "/>
    <x v="0"/>
    <x v="3"/>
    <s v="injectable, plasma, hydrogel"/>
    <n v="0"/>
    <s v="zN/A"/>
    <n v="0"/>
    <s v="zN/A"/>
    <s v="Chen, Guojun"/>
  </r>
  <r>
    <x v="190"/>
    <s v="Baycrest Centre for Geriatric Care (Toronto)"/>
    <x v="1"/>
    <x v="0"/>
    <s v="201209MOP"/>
    <x v="6"/>
    <s v="Physiology Basis of Resting-State Functional MRI"/>
    <n v="398027"/>
    <n v="0"/>
    <s v="4 yrs 0 mth "/>
    <x v="6"/>
    <x v="14"/>
    <s v="Resting-State, Functional MRI, Physiology"/>
    <n v="0"/>
    <s v="zN/A"/>
    <n v="0"/>
    <s v="zN/A"/>
    <s v="Chen, Jing J"/>
  </r>
  <r>
    <x v="190"/>
    <s v="Baycrest Centre for Geriatric Care (Toronto)"/>
    <x v="1"/>
    <x v="33"/>
    <s v="201909PJ8"/>
    <x v="6"/>
    <s v="Mapping cellular and extracellular white-matter changes in aging using MRI: Towards clinical translation"/>
    <n v="77500"/>
    <n v="0"/>
    <s v="1 yr 0 mth "/>
    <x v="6"/>
    <x v="47"/>
    <s v="white-matter, MRI, aging"/>
    <n v="0"/>
    <s v="zN/A"/>
    <n v="0"/>
    <s v="zN/A"/>
    <s v="Chen, Jing J"/>
  </r>
  <r>
    <x v="191"/>
    <s v="Research Institute of the McGill University Health Centre"/>
    <x v="4"/>
    <x v="5"/>
    <s v="200903NHG"/>
    <x v="7"/>
    <s v="A high throughput platform for discovery and noninvasive detection of tumor-specific fusion genes in human cancer"/>
    <n v="297750"/>
    <n v="0"/>
    <s v="3 yrs 0 mth "/>
    <x v="2"/>
    <x v="5"/>
    <s v="high throughput, fusion genes, cancer"/>
    <n v="0"/>
    <s v="zN/A"/>
    <n v="0"/>
    <s v="zN/A"/>
    <s v="Chen, Junjian Z"/>
  </r>
  <r>
    <x v="192"/>
    <s v="University Health Network (Toronto)"/>
    <x v="1"/>
    <x v="3"/>
    <s v="201403IPR"/>
    <x v="4"/>
    <s v="Long-term stability of local field potentials recorded from the subthalamic nucleus and effects of deep brain stimulation"/>
    <n v="270228"/>
    <n v="0"/>
    <s v="3 yrs 0 mth "/>
    <x v="4"/>
    <x v="20"/>
    <s v="local field potentials, subthalamic nucleus, deep brain stimulation"/>
    <n v="0"/>
    <s v="zN/A"/>
    <n v="0"/>
    <s v="zN/A"/>
    <s v="Chen, Robert E"/>
  </r>
  <r>
    <x v="193"/>
    <s v="University of Toronto"/>
    <x v="1"/>
    <x v="1"/>
    <s v="202403PJT"/>
    <x v="9"/>
    <s v="A Novel Targeted MRI Probe for Safe and Early Detection of Fibrosis"/>
    <n v="875926"/>
    <n v="0"/>
    <s v="5 yrs 0 mth "/>
    <x v="3"/>
    <x v="38"/>
    <s v="MRI, Probe, Fibrosis"/>
    <n v="0"/>
    <s v="zN/A"/>
    <n v="0"/>
    <s v="zN/A"/>
    <s v="Cheng, Hai-Ling M"/>
  </r>
  <r>
    <x v="194"/>
    <s v="Centre for Addiction and Mental Health (Toronto)"/>
    <x v="1"/>
    <x v="19"/>
    <s v="202307NWI"/>
    <x v="17"/>
    <s v="Uncovering the biological liability to migraine and anxiety in women"/>
    <n v="149500"/>
    <n v="0"/>
    <s v="1 yr 0 mth "/>
    <x v="2"/>
    <x v="36"/>
    <s v="biological, migraine, anxiety"/>
    <n v="0"/>
    <s v="zN/A"/>
    <n v="0"/>
    <s v="zN/A"/>
    <s v="Chenoweth, Meghan J"/>
  </r>
  <r>
    <x v="195"/>
    <s v="Polytechnique Montréal"/>
    <x v="4"/>
    <x v="1"/>
    <s v="201709PJT"/>
    <x v="9"/>
    <s v="Multimodal Image-based Simulation Tool to Support Decision-Making in Scoliosis Surgery"/>
    <n v="420750"/>
    <n v="0"/>
    <s v="3 yrs 0 mth "/>
    <x v="5"/>
    <x v="11"/>
    <s v="Multimodal, Image-based, Scoliosis"/>
    <n v="0"/>
    <s v="zN/A"/>
    <n v="0"/>
    <s v="zN/A"/>
    <s v="Cheriet, Farida"/>
  </r>
  <r>
    <x v="195"/>
    <s v="Polytechnique Montréal"/>
    <x v="4"/>
    <x v="1"/>
    <s v="202209PJT"/>
    <x v="9"/>
    <s v="Non-Invasive Assessment of Scoliotic Trunk Mobility for an Effective Management of Patients"/>
    <n v="470476"/>
    <n v="0"/>
    <s v="4 yrs 0 mth "/>
    <x v="5"/>
    <x v="8"/>
    <s v="Non-Invasive, Scoliotic, Mobility"/>
    <n v="0"/>
    <s v="zN/A"/>
    <n v="0"/>
    <s v="zN/A"/>
    <s v="Cheriet, Farida"/>
  </r>
  <r>
    <x v="196"/>
    <s v="University of British Columbia"/>
    <x v="3"/>
    <x v="1"/>
    <s v="201709PJT"/>
    <x v="3"/>
    <s v="Design and evaluation of small molecules that target the dimerization interface of full-length and splice-variant forms of the androgen receptor as a potential treatment for advanced prostate cancer"/>
    <n v="459000"/>
    <n v="0"/>
    <s v="3 yrs 0 mth "/>
    <x v="0"/>
    <x v="11"/>
    <s v="small molecules, androgen receptor, prostate cancer"/>
    <n v="2"/>
    <s v="zN/A"/>
    <n v="0"/>
    <s v="zN/A"/>
    <s v="Cherkasov, Artem"/>
  </r>
  <r>
    <x v="196"/>
    <s v="University of British Columbia"/>
    <x v="3"/>
    <x v="13"/>
    <s v="202005VR3"/>
    <x v="12"/>
    <s v="Computer-aided discovery of synergistic drug combinations with Remdevisir for COVID-19 through mechanism-based drug repurposing and combinatorial organoid screening."/>
    <n v="2109120"/>
    <n v="0"/>
    <s v="1 yr 0 mth "/>
    <x v="1"/>
    <x v="2"/>
    <s v="drug combinations, COVID-19, organoid screening"/>
    <n v="0"/>
    <s v="zN/A"/>
    <n v="0"/>
    <s v="zN/A"/>
    <s v="Cherkasov, Artem"/>
  </r>
  <r>
    <x v="197"/>
    <s v="Research Institute of the McGill University Health Centre"/>
    <x v="4"/>
    <x v="0"/>
    <s v="200809MOP"/>
    <x v="5"/>
    <s v="CD9 and its partners: their role in induction of mitotic catastrophe and in irradiation and microtubule-targeted drug sensitivity."/>
    <n v="313083"/>
    <n v="0"/>
    <s v="3 yrs 0 mth "/>
    <x v="0"/>
    <x v="0"/>
    <s v="CD9, mitotic catastrophe, microtubules"/>
    <n v="0"/>
    <s v="zN/A"/>
    <n v="0"/>
    <s v="zN/A"/>
    <s v="Chevrette, Mario"/>
  </r>
  <r>
    <x v="198"/>
    <s v="Hospital for Sick Children (Toronto)"/>
    <x v="1"/>
    <x v="1"/>
    <s v="201709PJT"/>
    <x v="13"/>
    <s v="Non-invasive imaging of sensorimotor plasticity following cranial nerve repair"/>
    <n v="673200"/>
    <n v="0"/>
    <s v="5 yrs 0 mth "/>
    <x v="4"/>
    <x v="11"/>
    <s v="imaging, sensorimotor, cranial nerve"/>
    <n v="0"/>
    <s v="zN/A"/>
    <n v="0"/>
    <s v="zN/A"/>
    <s v="Cheyne, Douglas O"/>
  </r>
  <r>
    <x v="199"/>
    <s v="University of British Columbia"/>
    <x v="3"/>
    <x v="6"/>
    <s v="201610CPG"/>
    <x v="8"/>
    <s v="Development of a confocal endoscope for gastrointestinal cancer diagnosis"/>
    <n v="311545"/>
    <n v="0"/>
    <s v="3 yrs 0 mth "/>
    <x v="0"/>
    <x v="24"/>
    <s v="confocal, endoscope, gastrointestinal"/>
    <n v="0"/>
    <s v="zN/A"/>
    <n v="0"/>
    <s v="zN/A"/>
    <s v="Chiao, Mu"/>
  </r>
  <r>
    <x v="200"/>
    <s v="Sunnybrook Research Institute (Toronto, Ontario)"/>
    <x v="1"/>
    <x v="25"/>
    <s v="202309DCP"/>
    <x v="6"/>
    <s v="Rapid Diagnostic Imaging of Brain Metastases using Computational MRI"/>
    <n v="100000"/>
    <n v="0"/>
    <s v="1 yr 0 mth "/>
    <x v="0"/>
    <x v="37"/>
    <s v="Diagnostic, Imaging, MRI"/>
    <n v="0"/>
    <s v="zN/A"/>
    <n v="0"/>
    <s v="zN/A"/>
    <s v="Chiew, Mark"/>
  </r>
  <r>
    <x v="201"/>
    <s v="University of Victoria (British Columbia)"/>
    <x v="3"/>
    <x v="1"/>
    <s v="202309PJT"/>
    <x v="9"/>
    <s v="Exploiting the full potential of cancer radiotherapy using a novel combined treatment approach to treat locally advanced tumors"/>
    <n v="612000"/>
    <n v="0"/>
    <s v="5 yrs 0 mth "/>
    <x v="0"/>
    <x v="33"/>
    <s v="cancer, radiotherapy, tumors"/>
    <n v="0"/>
    <s v="zN/A"/>
    <n v="0"/>
    <s v="zN/A"/>
    <s v="Chithrani, Devika B"/>
  </r>
  <r>
    <x v="202"/>
    <s v="University of Toronto"/>
    <x v="1"/>
    <x v="1"/>
    <s v="202309PJT"/>
    <x v="10"/>
    <s v="Lymph node targeting of DNA nanostructured vaccines"/>
    <n v="650250"/>
    <n v="0"/>
    <s v="5 yrs 0 mth "/>
    <x v="0"/>
    <x v="33"/>
    <s v="Lymph node, DNA nanostructures, vaccines"/>
    <n v="0"/>
    <s v="zN/A"/>
    <n v="0"/>
    <s v="zN/A"/>
    <s v="Chou, Leo"/>
  </r>
  <r>
    <x v="203"/>
    <s v="University of Toronto"/>
    <x v="1"/>
    <x v="6"/>
    <s v="201810CPG"/>
    <x v="8"/>
    <s v="Development of Machine Learning to Assess Lung Function Using Airway Oscillometry"/>
    <n v="347441"/>
    <n v="66200"/>
    <s v="3 yrs 0 mth "/>
    <x v="3"/>
    <x v="26"/>
    <s v="Machine Learning, Lung Function, Airway Oscillometry"/>
    <n v="1"/>
    <s v="zN/A"/>
    <n v="0"/>
    <s v="zN/A"/>
    <s v="Chow, Chung-Wai"/>
  </r>
  <r>
    <x v="204"/>
    <s v="University of Victoria (British Columbia)"/>
    <x v="3"/>
    <x v="19"/>
    <s v="202307NWI"/>
    <x v="17"/>
    <s v="The pathophysiology and blood biomarkers of brain injury in intimate partner violence: Insights from a new rat model"/>
    <n v="150000"/>
    <n v="0"/>
    <s v="1 yr 0 mth "/>
    <x v="8"/>
    <x v="36"/>
    <s v="brain injury, blood biomarkers, rat model"/>
    <n v="0"/>
    <s v="zN/A"/>
    <n v="0"/>
    <s v="zN/A"/>
    <s v="Christie, Brian R"/>
  </r>
  <r>
    <x v="205"/>
    <s v="University Health Network (Toronto)"/>
    <x v="1"/>
    <x v="3"/>
    <s v="201509IPR"/>
    <x v="4"/>
    <s v="Clinical Investigation of Frameless, Adaptive, Image-guided Gamma Knife Radiosurgery"/>
    <n v="264656"/>
    <n v="2000"/>
    <s v="3 yrs 0 mth "/>
    <x v="0"/>
    <x v="4"/>
    <s v="Gamma Knife, Image-guided, Radiosurgery"/>
    <n v="0"/>
    <s v="zN/A"/>
    <n v="0"/>
    <s v="zN/A"/>
    <s v="Chung, Caroline"/>
  </r>
  <r>
    <x v="206"/>
    <s v="University of Alberta"/>
    <x v="2"/>
    <x v="6"/>
    <s v="201410CPG"/>
    <x v="8"/>
    <s v="Skin Adhesive Smart Patch to Monitor Hydration Status in Real-Time"/>
    <n v="298552"/>
    <n v="0"/>
    <s v="3 yrs 0 mth "/>
    <x v="0"/>
    <x v="6"/>
    <s v="Skin, Adhesive, Hydration"/>
    <n v="1"/>
    <s v="zN/A"/>
    <n v="0"/>
    <s v="zN/A"/>
    <s v="Chung, Hyun-Joong"/>
  </r>
  <r>
    <x v="207"/>
    <s v="McGill University"/>
    <x v="4"/>
    <x v="23"/>
    <s v="201110TO1"/>
    <x v="19"/>
    <s v="Identifying states and courses of a mental disorder from longitudinal data: Delirium as an example"/>
    <n v="190662"/>
    <n v="3000"/>
    <s v="2 yrs 0 mth "/>
    <x v="10"/>
    <x v="41"/>
    <s v="mental disorder, longitudinal data, delirium"/>
    <n v="0"/>
    <s v="zN/A"/>
    <n v="0"/>
    <s v="zN/A"/>
    <s v="Ciampi, Antonio"/>
  </r>
  <r>
    <x v="208"/>
    <s v="University of Alberta"/>
    <x v="2"/>
    <x v="1"/>
    <s v="202203PJT"/>
    <x v="0"/>
    <s v="The Role of CSF2RB1 Ligands in Cancer-Associated Cachexia"/>
    <n v="918000"/>
    <n v="0"/>
    <s v="5 yrs 0 mth "/>
    <x v="0"/>
    <x v="3"/>
    <s v="CSF2RB1, Ligands, Cancer-Associated Cachexia"/>
    <n v="0"/>
    <s v="zN/A"/>
    <n v="0"/>
    <s v="zN/A"/>
    <s v="Clemente Casares, Javier"/>
  </r>
  <r>
    <x v="209"/>
    <s v="Centre hospitalier de l'Université de Montréal (CHUM)"/>
    <x v="4"/>
    <x v="0"/>
    <s v="201203MOP"/>
    <x v="6"/>
    <s v="Plane-wave quantitative ultrasound imaging of blood mechanical properties"/>
    <n v="760348"/>
    <n v="0"/>
    <s v="5 yrs 0 mth "/>
    <x v="3"/>
    <x v="12"/>
    <s v="plane-wave, ultrasound, blood"/>
    <n v="1"/>
    <s v="zN/A"/>
    <n v="0"/>
    <s v="zN/A"/>
    <s v="Cloutier, Guy"/>
  </r>
  <r>
    <x v="209"/>
    <s v="Université de Montréal"/>
    <x v="4"/>
    <x v="6"/>
    <s v="201310CPG"/>
    <x v="8"/>
    <s v="Non-invasive shear strain ultrasound elastography of carotid atherosclerotic plaques for stroke prevention"/>
    <n v="302077"/>
    <n v="0"/>
    <s v="3 yrs 0 mth "/>
    <x v="3"/>
    <x v="9"/>
    <s v="ultrasound, elastography, atherosclerosis"/>
    <n v="1"/>
    <s v="zN/A"/>
    <n v="0"/>
    <s v="zN/A"/>
    <s v="Cloutier, Guy"/>
  </r>
  <r>
    <x v="209"/>
    <s v="Université de Montréal"/>
    <x v="4"/>
    <x v="6"/>
    <s v="201610CPG"/>
    <x v="8"/>
    <s v="Design of a bracelet embedding high-frequency ultrasound transducers to acquire venous blood echogenicity spectral data for patient monitoring"/>
    <n v="301262"/>
    <n v="0"/>
    <s v="3 yrs 0 mth "/>
    <x v="3"/>
    <x v="24"/>
    <s v="ultrasound, transducers, blood"/>
    <n v="0"/>
    <s v="zN/A"/>
    <n v="0"/>
    <s v="zN/A"/>
    <s v="Cloutier, Guy"/>
  </r>
  <r>
    <x v="209"/>
    <s v="Centre hospitalier de l'Université de Montréal (CHUM)"/>
    <x v="4"/>
    <x v="1"/>
    <s v="201803PJT"/>
    <x v="6"/>
    <s v="Premature carotid atherosclerosis evolution and plaque vulnerability assessed by quantitative ultrasound biomarkers in HIV-infected individuals"/>
    <n v="569926"/>
    <n v="0"/>
    <s v="5 yrs 0 mth "/>
    <x v="3"/>
    <x v="7"/>
    <s v="carotid atherosclerosis, ultrasound biomarkers, plaque vulnerability"/>
    <n v="0"/>
    <s v="zN/A"/>
    <n v="0"/>
    <s v="zN/A"/>
    <s v="Cloutier, Guy"/>
  </r>
  <r>
    <x v="209"/>
    <s v="Centre hospitalier de l'Université de Montréal (CHUM)"/>
    <x v="4"/>
    <x v="1"/>
    <s v="202303PJT"/>
    <x v="6"/>
    <s v="Inflammatory phenotype, senescence, and viscoelasticity imaging of macrophages in HIV"/>
    <n v="726750"/>
    <n v="0"/>
    <s v="5 yrs 0 mth "/>
    <x v="6"/>
    <x v="13"/>
    <s v="inflammatory, senescence, macrophages"/>
    <n v="0"/>
    <s v="zN/A"/>
    <n v="0"/>
    <s v="zN/A"/>
    <s v="Cloutier, Guy"/>
  </r>
  <r>
    <x v="210"/>
    <s v="University of Calgary"/>
    <x v="2"/>
    <x v="0"/>
    <s v="201403MOP"/>
    <x v="0"/>
    <s v="Nej1 and Lif1 form structural filaments that bridge the ends of DNA at a DSB"/>
    <n v="628466"/>
    <n v="0"/>
    <s v="5 yrs 0 mth "/>
    <x v="2"/>
    <x v="18"/>
    <s v="Nej1, Lif1, DNA"/>
    <n v="0"/>
    <s v="zN/A"/>
    <n v="0"/>
    <s v="zN/A"/>
    <s v="Cobb, Jennifer A"/>
  </r>
  <r>
    <x v="211"/>
    <s v="University of Calgary"/>
    <x v="2"/>
    <x v="3"/>
    <s v="201509IPR"/>
    <x v="4"/>
    <s v="Pathogenesis of Hepatitis B Virus Infection in Non-Alcoholic Fatty Liver Disease"/>
    <n v="228746"/>
    <n v="0"/>
    <s v="3 yrs 0 mth "/>
    <x v="1"/>
    <x v="4"/>
    <s v="Hepatitis B, Virus Infection, Fatty Liver"/>
    <n v="0"/>
    <s v="zN/A"/>
    <n v="0"/>
    <s v="zN/A"/>
    <s v="Coffin, Carla S"/>
  </r>
  <r>
    <x v="212"/>
    <s v="Universite de Sherbrooke"/>
    <x v="4"/>
    <x v="23"/>
    <s v="201110TO1"/>
    <x v="19"/>
    <s v="Novel approaches to aging physiology: Using statistics and data mining to understand dysregulation of biomarker networks in human populations"/>
    <n v="193482"/>
    <n v="0"/>
    <s v="3 yrs 0 mth "/>
    <x v="6"/>
    <x v="41"/>
    <s v="aging, data mining, biomarkers"/>
    <n v="0"/>
    <s v="zN/A"/>
    <n v="0"/>
    <s v="zN/A"/>
    <s v="Cohen, Alan A"/>
  </r>
  <r>
    <x v="213"/>
    <s v="University of British Columbia"/>
    <x v="3"/>
    <x v="1"/>
    <s v="202010PJT"/>
    <x v="3"/>
    <s v="Uncovering early mediators of lineage plasticity and validation of a metabolic vulnerability in neuroendocrine prostate cancer"/>
    <n v="1147500"/>
    <n v="0"/>
    <s v="5 yrs 0 mth "/>
    <x v="0"/>
    <x v="23"/>
    <s v="lineage plasticity, metabolic vulnerability, neuroendocrine prostate cancer"/>
    <n v="0"/>
    <s v="zN/A"/>
    <n v="0"/>
    <s v="zN/A"/>
    <s v="Collins, Colin C"/>
  </r>
  <r>
    <x v="214"/>
    <s v="McGill University"/>
    <x v="4"/>
    <x v="34"/>
    <s v="200809MUS"/>
    <x v="9"/>
    <s v="Image guided neurosurgery"/>
    <n v="100000"/>
    <n v="0"/>
    <s v="1 yr 0 mth "/>
    <x v="4"/>
    <x v="42"/>
    <s v="Image, neurosurgery"/>
    <n v="0"/>
    <s v="zN/A"/>
    <n v="0"/>
    <s v="zN/A"/>
    <s v="Collins, Donald L"/>
  </r>
  <r>
    <x v="214"/>
    <s v="McGill University"/>
    <x v="4"/>
    <x v="0"/>
    <s v="200903MOP"/>
    <x v="9"/>
    <s v="Image guided neurosurgery: Improving guidance during spinal surgery."/>
    <n v="503702"/>
    <n v="0"/>
    <s v="3 yrs 0 mth "/>
    <x v="5"/>
    <x v="5"/>
    <s v="Image, neurosurgery, guidance"/>
    <n v="0"/>
    <s v="zN/A"/>
    <n v="0"/>
    <s v="zN/A"/>
    <s v="Collins, Donald L"/>
  </r>
  <r>
    <x v="214"/>
    <s v="McGill University"/>
    <x v="4"/>
    <x v="0"/>
    <s v="201009MOP"/>
    <x v="6"/>
    <s v="Development and validation of MRI biomarkers for diagnosis and prognosis of prodromal Alzheimer's disease"/>
    <n v="383741"/>
    <n v="0"/>
    <s v="3 yrs 0 mth "/>
    <x v="4"/>
    <x v="16"/>
    <s v="MRI, biomarkers, Alzheimer's"/>
    <n v="1"/>
    <s v="zN/A"/>
    <n v="0"/>
    <s v="zN/A"/>
    <s v="Collins, Donald L"/>
  </r>
  <r>
    <x v="214"/>
    <s v="McGill University"/>
    <x v="4"/>
    <x v="6"/>
    <s v="201711CPG"/>
    <x v="8"/>
    <s v="Achieving precision in Image-guided Neurosurgery via an open source collaborative software environment"/>
    <n v="650227"/>
    <n v="0"/>
    <s v="3 yrs 0 mth "/>
    <x v="4"/>
    <x v="11"/>
    <s v="Image-guided, Neurosurgery, Software"/>
    <n v="0"/>
    <s v="zN/A"/>
    <n v="0"/>
    <s v="zN/A"/>
    <s v="Collins, Donald L"/>
  </r>
  <r>
    <x v="214"/>
    <s v="McGill University"/>
    <x v="4"/>
    <x v="1"/>
    <s v="202303PJT"/>
    <x v="6"/>
    <s v="Radiation-free neuronavigation system for spinal tumor surgery: an intraoperative augmented reality guided surgery platform"/>
    <n v="1200286"/>
    <n v="0"/>
    <s v="5 yrs 0 mth "/>
    <x v="0"/>
    <x v="13"/>
    <s v="neuronavigation, augmented reality, spinal tumor"/>
    <n v="0"/>
    <s v="zN/A"/>
    <n v="0"/>
    <s v="zN/A"/>
    <s v="Collins, Donald L"/>
  </r>
  <r>
    <x v="215"/>
    <s v="McMaster University"/>
    <x v="1"/>
    <x v="6"/>
    <s v="201711CPG"/>
    <x v="8"/>
    <s v="Development of a Point of Care System for Automated Coma Prognosis"/>
    <n v="273862"/>
    <n v="0"/>
    <s v="3 yrs 0 mth "/>
    <x v="4"/>
    <x v="11"/>
    <s v="Point of Care, Automated, Coma"/>
    <n v="2"/>
    <s v="zN/A"/>
    <n v="0"/>
    <s v="zN/A"/>
    <s v="Connolly, John F"/>
  </r>
  <r>
    <x v="216"/>
    <s v="University of Manitoba"/>
    <x v="0"/>
    <x v="13"/>
    <s v="202005VR3"/>
    <x v="12"/>
    <s v="Integrated multi-omic delineation of SARS-CoV-2-dysregulated cellular processes"/>
    <n v="790162"/>
    <n v="0"/>
    <s v="1 yr 0 mth "/>
    <x v="1"/>
    <x v="2"/>
    <s v="multi-omic, SARS-CoV-2, cellular processes"/>
    <n v="0"/>
    <s v="zN/A"/>
    <n v="0"/>
    <s v="zN/A"/>
    <s v="Coombs, Kevin M"/>
  </r>
  <r>
    <x v="217"/>
    <s v="Dalhousie University (Nova Scotia)"/>
    <x v="5"/>
    <x v="35"/>
    <s v="201506EH1"/>
    <x v="22"/>
    <s v="Teacher Help: Novel technologies for meeting the immediate needs of youth with mental health disorders in Canada"/>
    <n v="297200"/>
    <n v="0"/>
    <s v="3 yrs 0 mth "/>
    <x v="7"/>
    <x v="46"/>
    <s v="teacher, mental health, youth"/>
    <n v="0"/>
    <s v="zN/A"/>
    <n v="0"/>
    <s v="zN/A"/>
    <s v="Corkum, Penny V"/>
  </r>
  <r>
    <x v="218"/>
    <s v="CIUSSS Est-de-l'Ile-de- Montréal-Maisonneuve Rosemont"/>
    <x v="4"/>
    <x v="0"/>
    <s v="201309MOP"/>
    <x v="6"/>
    <s v="Development of novel OCT-based clinical measurements of ocular elasticity and retinal deformation as risk factors in glaucoma."/>
    <n v="511724"/>
    <n v="0"/>
    <s v="5 yrs 0 mth "/>
    <x v="6"/>
    <x v="9"/>
    <s v="OCT, ocular elasticity, retinal deformation"/>
    <n v="1"/>
    <s v="zN/A"/>
    <n v="0"/>
    <s v="zN/A"/>
    <s v="Costantino, Santiago"/>
  </r>
  <r>
    <x v="218"/>
    <s v="CIUSSS Est-de-l'Ile-de- Montréal-Maisonneuve Rosemont"/>
    <x v="4"/>
    <x v="1"/>
    <s v="202104PJT"/>
    <x v="6"/>
    <s v="Local and global biomechanical properties of the eye as new glaucoma risk factors"/>
    <n v="692326"/>
    <n v="0"/>
    <s v="5 yrs 0 mth "/>
    <x v="4"/>
    <x v="35"/>
    <s v="biomechanical properties, eye, glaucoma"/>
    <n v="0"/>
    <s v="zN/A"/>
    <n v="0"/>
    <s v="zN/A"/>
    <s v="Costantino, Santiago"/>
  </r>
  <r>
    <x v="219"/>
    <s v="Queen's University (Kingston, Ontario)"/>
    <x v="1"/>
    <x v="19"/>
    <s v="202307NWI"/>
    <x v="17"/>
    <s v="A paradigm shift in understanding Hunner lesion-interstitial cystitis/bladder pain syndrome: examining autoimmunity as a driver of disease and targeting B cells as a novel therapeutic opportunity"/>
    <n v="150000"/>
    <n v="0"/>
    <s v="1 yr 0 mth "/>
    <x v="1"/>
    <x v="36"/>
    <s v="Hunner lesion, interstitial cystitis, B cells"/>
    <n v="0"/>
    <s v="zN/A"/>
    <n v="0"/>
    <s v="zN/A"/>
    <s v="Cotechini, Tiziana"/>
  </r>
  <r>
    <x v="220"/>
    <s v="Queen's University (Kingston, Ontario)"/>
    <x v="1"/>
    <x v="1"/>
    <s v="202010PJT"/>
    <x v="0"/>
    <s v="Immunophenotyping Malignant Pleural Mesothelioma: Identifying Predictive and Prognostic Biomarkers for Combinatorial Immunotherapy"/>
    <n v="872865"/>
    <n v="0"/>
    <s v="5 yrs 0 mth "/>
    <x v="0"/>
    <x v="23"/>
    <s v="Immunophenotyping, Mesothelioma, Biomarkers"/>
    <n v="0"/>
    <s v="zN/A"/>
    <n v="0"/>
    <s v="zN/A"/>
    <s v="Cottrell, Tricia"/>
  </r>
  <r>
    <x v="221"/>
    <s v="Queen's University (Kingston, Ontario)"/>
    <x v="1"/>
    <x v="0"/>
    <s v="201109MOP"/>
    <x v="5"/>
    <s v="Roles of F-BAR proteins in lung cancer progression and metastases"/>
    <n v="706058"/>
    <n v="0"/>
    <s v="5 yrs 0 mth "/>
    <x v="0"/>
    <x v="15"/>
    <s v="F-BAR, lung cancer, metastases"/>
    <n v="0"/>
    <s v="zN/A"/>
    <n v="0"/>
    <s v="zN/A"/>
    <s v="Craig, Andrew W"/>
  </r>
  <r>
    <x v="221"/>
    <s v="Queen's University (Kingston, Ontario)"/>
    <x v="1"/>
    <x v="1"/>
    <s v="202003PJT"/>
    <x v="3"/>
    <s v="Targeting TGF-beta signaling to achieve durable therapy responses in preclinical ovarian cancer models"/>
    <n v="765000"/>
    <n v="0"/>
    <s v="5 yrs 0 mth "/>
    <x v="0"/>
    <x v="39"/>
    <s v="TGF-beta, signaling, ovarian cancer"/>
    <n v="0"/>
    <s v="zN/A"/>
    <n v="0"/>
    <s v="zN/A"/>
    <s v="Craig, Andrew W"/>
  </r>
  <r>
    <x v="221"/>
    <s v="Queen's University (Kingston, Ontario)"/>
    <x v="1"/>
    <x v="1"/>
    <s v="202104PJT"/>
    <x v="1"/>
    <s v="Translating synthetic lethality with common driver events into targeted therapies for high fatality cancers"/>
    <n v="911116"/>
    <n v="0"/>
    <s v="5 yrs 0 mth "/>
    <x v="0"/>
    <x v="35"/>
    <s v="synthetic lethality, driver events, targeted therapies"/>
    <n v="1"/>
    <s v="zN/A"/>
    <n v="0"/>
    <s v="zN/A"/>
    <s v="Craig, Andrew W"/>
  </r>
  <r>
    <x v="222"/>
    <s v="University of British Columbia"/>
    <x v="3"/>
    <x v="0"/>
    <s v="201203MOP"/>
    <x v="9"/>
    <s v="Towards a Cervical Spine Injury Tolerance Criterion that incorporates Lateral Bending Loading"/>
    <n v="420848"/>
    <n v="0"/>
    <s v="4 yrs 0 mth "/>
    <x v="5"/>
    <x v="12"/>
    <s v="Cervical Spine, Injury Tolerance, Lateral Bending"/>
    <n v="0"/>
    <s v="zN/A"/>
    <n v="0"/>
    <s v="zN/A"/>
    <s v="Cripton, Peter A"/>
  </r>
  <r>
    <x v="222"/>
    <s v="University of British Columbia"/>
    <x v="3"/>
    <x v="0"/>
    <s v="201503MOP"/>
    <x v="9"/>
    <s v="Kinematics and Muscle Activation of the Cervical Spine During Impending Head First Impacts in Motor Vehicle Rollovers"/>
    <n v="355773"/>
    <n v="0"/>
    <s v="5 yrs 0 mth "/>
    <x v="5"/>
    <x v="19"/>
    <s v="Kinematics, Muscle Activation, Cervical Spine"/>
    <n v="0"/>
    <s v="zN/A"/>
    <n v="0"/>
    <s v="zN/A"/>
    <s v="Cripton, Peter A"/>
  </r>
  <r>
    <x v="222"/>
    <s v="University of British Columbia"/>
    <x v="3"/>
    <x v="1"/>
    <s v="202209PJT"/>
    <x v="9"/>
    <s v="Neck Muscle and Head-Neck Dynamics in Rollover Crashes"/>
    <n v="539324"/>
    <n v="0"/>
    <s v="4 yrs 0 mth "/>
    <x v="5"/>
    <x v="8"/>
    <s v="neck, muscle, rollover"/>
    <n v="0"/>
    <s v="zN/A"/>
    <n v="0"/>
    <s v="zN/A"/>
    <s v="Cripton, Peter A"/>
  </r>
  <r>
    <x v="223"/>
    <s v="University Health Network (Toronto)"/>
    <x v="1"/>
    <x v="1"/>
    <s v="201909PJT"/>
    <x v="0"/>
    <s v="Harnessing innate lymphoid cells to improve hematopoietic stem cell transplant outcomes"/>
    <n v="944775"/>
    <n v="0"/>
    <s v="5 yrs 0 mth "/>
    <x v="1"/>
    <x v="22"/>
    <s v="innate lymphoid cells, hematopoietic stem cell, transplant"/>
    <n v="2"/>
    <s v="zN/A"/>
    <n v="0"/>
    <s v="zN/A"/>
    <s v="Crome, Sarah A"/>
  </r>
  <r>
    <x v="17"/>
    <s v="University of British Columbia"/>
    <x v="3"/>
    <x v="0"/>
    <s v="200810MOP"/>
    <x v="0"/>
    <s v="Investigations of nanoparticulate formulations of lipophilic prodrugs"/>
    <n v="100000"/>
    <n v="0"/>
    <s v="1 yr 0 mth "/>
    <x v="0"/>
    <x v="48"/>
    <s v="nanoparticulate, lipophilic, prodrugs"/>
    <n v="6"/>
    <s v="zN/A"/>
    <n v="0"/>
    <s v="zN/A"/>
    <s v="Cullis, Pieter R"/>
  </r>
  <r>
    <x v="17"/>
    <s v="University of British Columbia"/>
    <x v="3"/>
    <x v="3"/>
    <s v="201203IPR"/>
    <x v="4"/>
    <s v="Design of Lipid Nanoparticle Systems for the Systemic Delivery of siRNA"/>
    <n v="700000"/>
    <n v="0"/>
    <s v="5 yrs 0 mth "/>
    <x v="0"/>
    <x v="12"/>
    <s v="Lipid Nanoparticle, siRNA, Delivery"/>
    <n v="16"/>
    <s v="zN/A"/>
    <n v="0"/>
    <s v="zN/A"/>
    <s v="Cullis, Pieter R"/>
  </r>
  <r>
    <x v="17"/>
    <s v="University of British Columbia"/>
    <x v="3"/>
    <x v="13"/>
    <s v="202005VR3"/>
    <x v="12"/>
    <s v="Liver as a bioreactor for robust production of SARS-CoV-2 neutralizing antibodies"/>
    <n v="237445"/>
    <n v="0"/>
    <s v="1 yr 0 mth "/>
    <x v="1"/>
    <x v="2"/>
    <s v="liver, bioreactor, antibodies"/>
    <n v="0"/>
    <s v="zN/A"/>
    <n v="0"/>
    <s v="zN/A"/>
    <s v="Cullis, Pieter R"/>
  </r>
  <r>
    <x v="17"/>
    <s v="University of British Columbia"/>
    <x v="3"/>
    <x v="1"/>
    <s v="202209PJT"/>
    <x v="10"/>
    <s v="Newly Optimized LNP Systems for Genetic drugs and Gene therapy in Neurological diseases"/>
    <n v="1057421"/>
    <n v="0"/>
    <s v="5 yrs 0 mth "/>
    <x v="2"/>
    <x v="8"/>
    <s v="LNP, gene therapy, neurological diseases"/>
    <n v="0"/>
    <s v="zN/A"/>
    <n v="0"/>
    <s v="zN/A"/>
    <s v="Cullis, Pieter R"/>
  </r>
  <r>
    <x v="17"/>
    <s v="University of British Columbia"/>
    <x v="3"/>
    <x v="1"/>
    <s v="202203PJT"/>
    <x v="3"/>
    <s v="Development of LNP/mRNA systems for direct transfection and generation of functional Chimeric Antigen Receptor (CAR) T-cells in-vivo for treatment of blood and other cancer cell types"/>
    <n v="856800"/>
    <n v="0"/>
    <s v="5 yrs 0 mth "/>
    <x v="0"/>
    <x v="49"/>
    <s v="LNP, mRNA, CAR T-cells"/>
    <n v="0"/>
    <s v="zN/A"/>
    <n v="0"/>
    <s v="zN/A"/>
    <s v="Cullis, Pieter R"/>
  </r>
  <r>
    <x v="224"/>
    <s v="University of Toronto"/>
    <x v="1"/>
    <x v="3"/>
    <s v="201309IPR"/>
    <x v="4"/>
    <s v="Defining the structural basis for LXR beta antagonism"/>
    <n v="126664"/>
    <n v="0"/>
    <s v="2 yrs 0 mth "/>
    <x v="9"/>
    <x v="9"/>
    <s v="LXR, beta, antagonism"/>
    <n v="0"/>
    <s v="zN/A"/>
    <n v="0"/>
    <s v="zN/A"/>
    <s v="Cummins, Carolyn L"/>
  </r>
  <r>
    <x v="225"/>
    <s v="Sunnybrook Research Institute (Toronto, Ontario)"/>
    <x v="1"/>
    <x v="0"/>
    <s v="201309MOP"/>
    <x v="6"/>
    <s v="Characterization and Validation of Hyperpolarized Carbon-13 Signals Associated with Heart Failure"/>
    <n v="344523"/>
    <n v="0"/>
    <s v="3 yrs 0 mth "/>
    <x v="3"/>
    <x v="9"/>
    <s v="Hyperpolarized, Carbon-13, Heart Failure"/>
    <n v="2"/>
    <s v="zN/A"/>
    <n v="0"/>
    <s v="zN/A"/>
    <s v="Cunningham, Charles H"/>
  </r>
  <r>
    <x v="225"/>
    <s v="Sunnybrook Research Institute (Toronto, Ontario)"/>
    <x v="1"/>
    <x v="1"/>
    <s v="202303PJT"/>
    <x v="6"/>
    <s v="Imaging Lactate Production and Consumption in the Human Brain"/>
    <n v="875925"/>
    <n v="0"/>
    <s v="4 yrs 0 mth "/>
    <x v="0"/>
    <x v="13"/>
    <s v="Imaging, Lactate, Brain"/>
    <n v="0"/>
    <s v="zN/A"/>
    <n v="0"/>
    <s v="zN/A"/>
    <s v="Cunningham, Charles H"/>
  </r>
  <r>
    <x v="226"/>
    <s v="Western University (Ontario)"/>
    <x v="1"/>
    <x v="0"/>
    <s v="201103MOP"/>
    <x v="6"/>
    <s v="Energy-Subtraction Cardiac Angiography: A New Approach in X-Ray Imaging"/>
    <n v="329049"/>
    <n v="0"/>
    <s v="3 yrs 0 mth "/>
    <x v="3"/>
    <x v="17"/>
    <s v="Energy-Subtraction, Cardiac Angiography, X-Ray Imaging"/>
    <n v="0"/>
    <s v="zN/A"/>
    <n v="0"/>
    <s v="zN/A"/>
    <s v="Cunningham, Ian A"/>
  </r>
  <r>
    <x v="226"/>
    <s v="Western University (Ontario)"/>
    <x v="1"/>
    <x v="0"/>
    <s v="201309MOP"/>
    <x v="6"/>
    <s v="High-Performance X-Ray Detectors that Maximize Image Quality and Reduce Patient Exposures"/>
    <n v="419099"/>
    <n v="0"/>
    <s v="3 yrs 0 mth "/>
    <x v="0"/>
    <x v="9"/>
    <s v="X-Ray, Detectors, Image Quality"/>
    <n v="2"/>
    <s v="zN/A"/>
    <n v="0"/>
    <s v="zN/A"/>
    <s v="Cunningham, Ian A"/>
  </r>
  <r>
    <x v="227"/>
    <s v="University Health Network (Toronto)"/>
    <x v="1"/>
    <x v="1"/>
    <s v="202010PJT"/>
    <x v="9"/>
    <s v="Establishing strategies to preserve donor lungs for multiple days: Cyclic Normothermic Ex vivo Lung Perfusion and Mitochondrial Transplantation ."/>
    <n v="803252"/>
    <n v="0"/>
    <s v="4 yrs 0 mth "/>
    <x v="3"/>
    <x v="23"/>
    <s v="lung perfusion, normothermic, mitochondrial"/>
    <n v="1"/>
    <s v="zN/A"/>
    <n v="0"/>
    <s v="zN/A"/>
    <s v="Cypel, Marcelo"/>
  </r>
  <r>
    <x v="228"/>
    <s v="Sunnybrook Research Institute (Toronto, Ontario)"/>
    <x v="1"/>
    <x v="0"/>
    <s v="201303MOP"/>
    <x v="6"/>
    <s v="Novel Ultrasound-Activated Microbubble Enhancement of Radiation Response: Optimization of Response"/>
    <n v="706608"/>
    <n v="0"/>
    <s v="5 yrs 0 mth "/>
    <x v="0"/>
    <x v="34"/>
    <s v="Ultrasound, Microbubble, Radiation"/>
    <n v="0"/>
    <s v="zN/A"/>
    <n v="0"/>
    <s v="zN/A"/>
    <s v="Czarnota, Gregory J"/>
  </r>
  <r>
    <x v="228"/>
    <s v="Sunnybrook Research Institute (Toronto, Ontario)"/>
    <x v="1"/>
    <x v="1"/>
    <s v="201710PJT"/>
    <x v="6"/>
    <s v="Quantitative Ultrasound for A Priori Breast Cancer Chemotherapy Response Prediction"/>
    <n v="100000"/>
    <n v="0"/>
    <s v="1 yr 0 mth "/>
    <x v="0"/>
    <x v="11"/>
    <s v="Ultrasound, Breast Cancer, Chemotherapy"/>
    <n v="0"/>
    <s v="zN/A"/>
    <n v="0"/>
    <s v="zN/A"/>
    <s v="Czarnota, Gregory J"/>
  </r>
  <r>
    <x v="228"/>
    <s v="Sunnybrook Research Institute (Toronto, Ontario)"/>
    <x v="1"/>
    <x v="1"/>
    <s v="201803PJT"/>
    <x v="6"/>
    <s v="Ultrasound-Stimulated Microbubble Enhancement of Tumour Radiation Response"/>
    <n v="795600"/>
    <n v="0"/>
    <s v="3 yrs 0 mth "/>
    <x v="0"/>
    <x v="7"/>
    <s v="Ultrasound, Microbubble, Radiation"/>
    <n v="0"/>
    <s v="zN/A"/>
    <n v="0"/>
    <s v="zN/A"/>
    <s v="Czarnota, Gregory J"/>
  </r>
  <r>
    <x v="228"/>
    <s v="Sunnybrook Research Institute (Toronto, Ontario)"/>
    <x v="1"/>
    <x v="1"/>
    <s v="201809PJT"/>
    <x v="6"/>
    <s v="Quantitative Ultrasound for A Priori Breast Cancer Chemoerthapy Response Prediction"/>
    <n v="598995"/>
    <n v="0"/>
    <s v="3 yrs 0 mth "/>
    <x v="0"/>
    <x v="26"/>
    <s v="Ultrasound, Breast Cancer, Chemotherapy"/>
    <n v="3"/>
    <s v="zN/A"/>
    <n v="0"/>
    <s v="zN/A"/>
    <s v="Czarnota, Gregory J"/>
  </r>
  <r>
    <x v="16"/>
    <s v="University Health Network (Toronto)"/>
    <x v="1"/>
    <x v="0"/>
    <s v="200809MOP"/>
    <x v="0"/>
    <s v="Probing the Temporal Dynamics of Tumor Cell Kill and Vascular Damage in Radiation Therapy using Optical Molecular Imaging Techniques"/>
    <n v="347478"/>
    <n v="0"/>
    <s v="3 yrs 0 mth "/>
    <x v="0"/>
    <x v="0"/>
    <s v="Tumor, Radiation, Imaging"/>
    <n v="0"/>
    <s v="zN/A"/>
    <n v="0"/>
    <s v="zN/A"/>
    <s v="Dacosta, Ralph S"/>
  </r>
  <r>
    <x v="16"/>
    <s v="University Health Network (Toronto)"/>
    <x v="1"/>
    <x v="1"/>
    <s v="202003PJT"/>
    <x v="1"/>
    <s v="Understanding the Interaction of Acute Myeloid Leukemia with the Bone Marrow Microenvironment: Elucidating New Therapeutic Targets Through In Vivo Imaging"/>
    <n v="612000"/>
    <n v="0"/>
    <s v="4 yrs 0 mth "/>
    <x v="0"/>
    <x v="39"/>
    <s v="Acute Myeloid Leukemia, Bone Marrow, In Vivo Imaging"/>
    <n v="1"/>
    <s v="zN/A"/>
    <n v="0"/>
    <s v="zN/A"/>
    <s v="Dacosta, Ralph S"/>
  </r>
  <r>
    <x v="229"/>
    <s v="Western University (Ontario)"/>
    <x v="1"/>
    <x v="0"/>
    <s v="201009MOP"/>
    <x v="0"/>
    <s v="Integrin-linked kinase in epidermal stem cells"/>
    <n v="703280"/>
    <n v="0"/>
    <s v="5 yrs 0 mth "/>
    <x v="5"/>
    <x v="16"/>
    <s v="Integrin, kinase, epidermal stem cells"/>
    <n v="0"/>
    <s v="zN/A"/>
    <n v="0"/>
    <s v="zN/A"/>
    <s v="Dagnino, Lina"/>
  </r>
  <r>
    <x v="230"/>
    <s v="McMaster University"/>
    <x v="1"/>
    <x v="1"/>
    <s v="202003PJT"/>
    <x v="5"/>
    <s v="Kaiso, Triple Negative Breast Cancer and Women of African Ancestry."/>
    <n v="807076"/>
    <n v="0"/>
    <s v="5 yrs 0 mth "/>
    <x v="0"/>
    <x v="39"/>
    <s v="Kaiso, Breast Cancer, African Ancestry"/>
    <n v="0"/>
    <s v="zN/A"/>
    <n v="0"/>
    <s v="zN/A"/>
    <s v="Daniel, Juliet M"/>
  </r>
  <r>
    <x v="231"/>
    <s v="Unity Health Toronto"/>
    <x v="1"/>
    <x v="0"/>
    <s v="201503MOP"/>
    <x v="1"/>
    <s v="Targeting bevacizumb resistance via LIVE-mediated vascular mimicry in glioblastoma."/>
    <n v="545268"/>
    <n v="0"/>
    <s v="4 yrs 0 mth "/>
    <x v="0"/>
    <x v="19"/>
    <s v="bevacizumab, vascular mimicry, glioblastoma"/>
    <n v="0"/>
    <s v="zN/A"/>
    <n v="0"/>
    <s v="zN/A"/>
    <s v="Das, Sunit"/>
  </r>
  <r>
    <x v="232"/>
    <s v="Centre for Addiction and Mental Health (Toronto)"/>
    <x v="1"/>
    <x v="7"/>
    <s v="201103ISO"/>
    <x v="4"/>
    <s v="A Study of H-Coil Repetitive Transcranial Magnetic Stimulation for Late-Life Depression"/>
    <n v="107757"/>
    <n v="0"/>
    <s v="4 yrs 0 mth "/>
    <x v="6"/>
    <x v="17"/>
    <s v="H-Coil, Transcranial Magnetic Stimulation, Depression"/>
    <n v="0"/>
    <s v="zN/A"/>
    <n v="0"/>
    <s v="zN/A"/>
    <s v="Daskalakis, Zafiris J"/>
  </r>
  <r>
    <x v="233"/>
    <s v="Dalhousie University (Nova Scotia)"/>
    <x v="5"/>
    <x v="1"/>
    <s v="202309PJT"/>
    <x v="9"/>
    <s v="Metabolite-based Immunoregulatory Polymer Surgical Meshes for Pelvic Floor Reconstructive Surgery"/>
    <n v="918000"/>
    <n v="0"/>
    <s v="5 yrs 0 mth "/>
    <x v="1"/>
    <x v="33"/>
    <s v="Metabolite, Immunoregulatory, Polymer"/>
    <n v="1"/>
    <s v="zN/A"/>
    <n v="0"/>
    <s v="zN/A"/>
    <s v="Davenport Huyer, Locke S"/>
  </r>
  <r>
    <x v="234"/>
    <s v="University of Manitoba"/>
    <x v="0"/>
    <x v="36"/>
    <s v="200903ROP"/>
    <x v="0"/>
    <s v="Nucleosomal response and immediate early gene expression"/>
    <n v="100000"/>
    <n v="0"/>
    <s v="2 yrs 0 mth "/>
    <x v="0"/>
    <x v="5"/>
    <s v="Nucleosomal, gene expression, immediate early"/>
    <n v="0"/>
    <s v="zN/A"/>
    <n v="0"/>
    <s v="zN/A"/>
    <s v="Davie, James R"/>
  </r>
  <r>
    <x v="235"/>
    <s v="University Health Network (Toronto)"/>
    <x v="1"/>
    <x v="8"/>
    <s v="200903IRO"/>
    <x v="4"/>
    <s v="Radiation Therapy and Sorafenib for Primary and Metastatic Liver Cancer"/>
    <n v="357495"/>
    <n v="0"/>
    <s v="3 yrs 0 mth "/>
    <x v="0"/>
    <x v="5"/>
    <s v="Radiation therapy, Sorafenib, Liver cancer"/>
    <n v="0"/>
    <s v="zN/A"/>
    <n v="0"/>
    <s v="zN/A"/>
    <s v="Dawson, Laura A"/>
  </r>
  <r>
    <x v="2"/>
    <s v="University Health Network (Toronto)"/>
    <x v="1"/>
    <x v="1"/>
    <s v="202403PJT"/>
    <x v="0"/>
    <s v="Disruption of the SPT-ADA-GCN5-ACETYLTRANSFERASE (SAGA) complex in adoptive cell therapies to enhance killing capacity and long-term immune cells effector function"/>
    <n v="860626"/>
    <n v="0"/>
    <s v="5 yrs 0 mth "/>
    <x v="0"/>
    <x v="38"/>
    <s v="SAGA, cell therapies, immune cells"/>
    <n v="0"/>
    <s v="zN/A"/>
    <n v="0"/>
    <s v="zN/A"/>
    <s v="De Carvalho, Daniel"/>
  </r>
  <r>
    <x v="236"/>
    <s v="Ottawa Heart Institute Research Corporation (Ontario)"/>
    <x v="1"/>
    <x v="0"/>
    <s v="201309MOP"/>
    <x v="6"/>
    <s v="Translational Imaging of Coronary Endothelial Function with Positron Tomography"/>
    <n v="391460"/>
    <n v="0"/>
    <s v="4 yrs 0 mth "/>
    <x v="3"/>
    <x v="9"/>
    <s v="Imaging, Coronary, Positron"/>
    <n v="0"/>
    <s v="zN/A"/>
    <n v="0"/>
    <s v="zN/A"/>
    <s v="de Kemp, Robert"/>
  </r>
  <r>
    <x v="237"/>
    <s v="Université Laval"/>
    <x v="4"/>
    <x v="6"/>
    <s v="201410CPG"/>
    <x v="8"/>
    <s v="Large-scale, high-resolution light-sheet microscope for whole brain connectomics"/>
    <n v="326994"/>
    <n v="0"/>
    <s v="3 yrs 0 mth "/>
    <x v="4"/>
    <x v="6"/>
    <s v="light-sheet,microscope,connectomics"/>
    <n v="0"/>
    <s v="zN/A"/>
    <n v="0"/>
    <s v="zN/A"/>
    <s v="De Koninck, Yves"/>
  </r>
  <r>
    <x v="238"/>
    <s v="Western University (Ontario)"/>
    <x v="1"/>
    <x v="0"/>
    <s v="201403MOP"/>
    <x v="6"/>
    <s v="Development and validation of new technologies to monitor hydrocephalus"/>
    <n v="367156"/>
    <n v="0"/>
    <s v="4 yrs 0 mth "/>
    <x v="7"/>
    <x v="18"/>
    <s v="hydrocephalus, monitoring, validation"/>
    <n v="0"/>
    <s v="zN/A"/>
    <n v="0"/>
    <s v="zN/A"/>
    <s v="De Ribaupierre, Sandrine"/>
  </r>
  <r>
    <x v="239"/>
    <s v="Université de Montréal"/>
    <x v="4"/>
    <x v="37"/>
    <s v="202003PJG"/>
    <x v="3"/>
    <s v="Investigating the metabolic determinants of triple-negative breast cancer progression through chromatin dependencies"/>
    <n v="100000"/>
    <n v="0"/>
    <s v="1 yr 0 mth "/>
    <x v="0"/>
    <x v="25"/>
    <s v="metabolic, breast cancer, chromatin"/>
    <n v="0"/>
    <s v="zN/A"/>
    <n v="0"/>
    <s v="zN/A"/>
    <s v="Deblois, Genevieve"/>
  </r>
  <r>
    <x v="239"/>
    <s v="Université de Montréal"/>
    <x v="4"/>
    <x v="37"/>
    <s v="202104PJG"/>
    <x v="5"/>
    <s v="Investigating the metabolic determinants of triple-negative breast cancer progression through chromatin dependencies"/>
    <n v="100000"/>
    <n v="0"/>
    <s v="1 yr 0 mth "/>
    <x v="0"/>
    <x v="25"/>
    <s v="metabolic, breast cancer, chromatin"/>
    <n v="0"/>
    <s v="zN/A"/>
    <n v="0"/>
    <s v="zN/A"/>
    <s v="Deblois, Genevieve"/>
  </r>
  <r>
    <x v="239"/>
    <s v="Université de Montréal"/>
    <x v="4"/>
    <x v="1"/>
    <s v="202109PJT"/>
    <x v="5"/>
    <s v="Investigating the metabolic determinants of triple-negative breast cancer progression through chromatin dependencies"/>
    <n v="619650"/>
    <n v="0"/>
    <s v="5 yrs 0 mth "/>
    <x v="0"/>
    <x v="25"/>
    <s v="metabolic, breast cancer, chromatin"/>
    <n v="0"/>
    <s v="zN/A"/>
    <n v="0"/>
    <s v="zN/A"/>
    <s v="Deblois, Genevieve"/>
  </r>
  <r>
    <x v="15"/>
    <s v="University of British Columbia"/>
    <x v="3"/>
    <x v="12"/>
    <s v="201303COP"/>
    <x v="0"/>
    <s v="Role of ILK/Rictor complex in the TGF-b and Hippo signaling pathway mediated EMT, cancer stem cell function and tumor progression"/>
    <n v="100000"/>
    <n v="0"/>
    <s v="1 yr 0 mth "/>
    <x v="0"/>
    <x v="34"/>
    <s v="ILK, Rictor, TGF-b"/>
    <n v="0"/>
    <s v="zN/A"/>
    <n v="0"/>
    <s v="zN/A"/>
    <s v="Dedhar, Shoukat R"/>
  </r>
  <r>
    <x v="15"/>
    <s v="University of British Columbia"/>
    <x v="3"/>
    <x v="0"/>
    <s v="201309MOP"/>
    <x v="5"/>
    <s v="Development of therapeutic antibodies targeting carbonic anhydrase IX (CAIX)"/>
    <n v="609976"/>
    <n v="0"/>
    <s v="4 yrs 0 mth "/>
    <x v="0"/>
    <x v="9"/>
    <s v="therapeutic antibodies, carbonic anhydrase IX, CAIX"/>
    <n v="1"/>
    <s v="zN/A"/>
    <n v="0"/>
    <s v="zN/A"/>
    <s v="Dedhar, Shoukat R"/>
  </r>
  <r>
    <x v="15"/>
    <s v="University of British Columbia"/>
    <x v="3"/>
    <x v="1"/>
    <s v="202209PJT"/>
    <x v="1"/>
    <s v="Investigation of Neutrophil Extracellular Trap DNA ( NET-DNA) induced signaling in the progression of Pancreatic Ductal Adenocarcinoma"/>
    <n v="956250"/>
    <n v="0"/>
    <s v="5 yrs 0 mth "/>
    <x v="0"/>
    <x v="8"/>
    <s v="Neutrophil, NET-DNA, Adenocarcinoma"/>
    <n v="0"/>
    <s v="zN/A"/>
    <n v="0"/>
    <s v="zN/A"/>
    <s v="Dedhar, Shoukat R"/>
  </r>
  <r>
    <x v="240"/>
    <s v="CIUSSS de Centre-Ouest-de-l'Ile-de-Montréal-Jewish General"/>
    <x v="4"/>
    <x v="1"/>
    <s v="201809PJT"/>
    <x v="5"/>
    <s v="Inhibiting the MNK1/2-eIF4E axis, to favor anti-tumor immunity in melanoma."/>
    <n v="761175"/>
    <n v="0"/>
    <s v="5 yrs 0 mth "/>
    <x v="0"/>
    <x v="26"/>
    <s v="MNK1, eIF4E, melanoma"/>
    <n v="0"/>
    <s v="zN/A"/>
    <n v="0"/>
    <s v="zN/A"/>
    <s v="Del Rincon, Sonia V"/>
  </r>
  <r>
    <x v="240"/>
    <s v="CIUSSS de Centre-Ouest-de-l'Ile-de-Montréal-Jewish General"/>
    <x v="4"/>
    <x v="1"/>
    <s v="202104PJT"/>
    <x v="5"/>
    <s v="Targeting mRNA translation to effectively treat uveal melanoma."/>
    <n v="715276"/>
    <n v="0"/>
    <s v="5 yrs 0 mth "/>
    <x v="0"/>
    <x v="35"/>
    <s v="mRNA, translation, melanoma"/>
    <n v="0"/>
    <s v="zN/A"/>
    <n v="0"/>
    <s v="zN/A"/>
    <s v="Del Rincon, Sonia V"/>
  </r>
  <r>
    <x v="241"/>
    <s v="Dalhousie University (Nova Scotia)"/>
    <x v="5"/>
    <x v="0"/>
    <s v="201103MOP"/>
    <x v="0"/>
    <s v="The promyelocytic leukemia protein and nuclear domain function in DNA damage signalling and tumour suppression"/>
    <n v="756990"/>
    <n v="0"/>
    <s v="5 yrs 0 mth "/>
    <x v="0"/>
    <x v="17"/>
    <s v="promyelocytic leukemia, DNA damage, tumour suppression"/>
    <n v="0"/>
    <s v="zN/A"/>
    <n v="0"/>
    <s v="zN/A"/>
    <s v="Dellaire, Graham P"/>
  </r>
  <r>
    <x v="241"/>
    <s v="Dalhousie University (Nova Scotia)"/>
    <x v="5"/>
    <x v="1"/>
    <s v="201709PJT"/>
    <x v="0"/>
    <s v="Characterization of HR-Killer1 and identification of small molecules for cancer therapy and enhanced gene editing using CRISPR/Cas9-based DNA repair strategies"/>
    <n v="1063350"/>
    <n v="0"/>
    <s v="5 yrs 0 mth "/>
    <x v="0"/>
    <x v="11"/>
    <s v="HR-Killer1, small molecules, CRISPR"/>
    <n v="0"/>
    <s v="zN/A"/>
    <n v="0"/>
    <s v="zN/A"/>
    <s v="Dellaire, Graham P"/>
  </r>
  <r>
    <x v="242"/>
    <s v="Sunnybrook Research Institute (Toronto, Ontario)"/>
    <x v="1"/>
    <x v="1"/>
    <s v="202010PJT"/>
    <x v="6"/>
    <s v="Functional micro-ultrasound imaging of the neurovascular response to focal ischemia"/>
    <n v="757350"/>
    <n v="0"/>
    <s v="5 yrs 0 mth "/>
    <x v="4"/>
    <x v="23"/>
    <s v="micro-ultrasound, neurovascular, ischemia"/>
    <n v="0"/>
    <s v="zN/A"/>
    <n v="0"/>
    <s v="zN/A"/>
    <s v="Demore, Christine E"/>
  </r>
  <r>
    <x v="243"/>
    <s v="Université de Sherbrooke"/>
    <x v="4"/>
    <x v="1"/>
    <s v="201809PJT"/>
    <x v="3"/>
    <s v="Non-canonical role of initiator caspases in colorectal cancer"/>
    <n v="669375"/>
    <n v="0"/>
    <s v="5 yrs 0 mth "/>
    <x v="0"/>
    <x v="26"/>
    <s v="caspases, colorectal cancer, initiator"/>
    <n v="0"/>
    <s v="zN/A"/>
    <n v="0"/>
    <s v="zN/A"/>
    <s v="Denault, Jean-Bernard"/>
  </r>
  <r>
    <x v="244"/>
    <s v="Sinai Health System (Toronto)"/>
    <x v="1"/>
    <x v="0"/>
    <s v="201403MOP"/>
    <x v="1"/>
    <s v="Metabolic reprogramming in cancer cells and the hexosamine biosynthesis pathway"/>
    <n v="664934"/>
    <n v="0"/>
    <s v="5 yrs 0 mth "/>
    <x v="0"/>
    <x v="18"/>
    <s v="metabolic reprogramming, cancer cells, hexosamine biosynthesis"/>
    <n v="0"/>
    <s v="zN/A"/>
    <n v="0"/>
    <s v="zN/A"/>
    <s v="Dennis, James W"/>
  </r>
  <r>
    <x v="245"/>
    <s v="University of Alberta"/>
    <x v="2"/>
    <x v="1"/>
    <s v="202109PJT"/>
    <x v="0"/>
    <s v="Probing the Role of Glycans in Immunooncology using Genetically Encoded &quot;Liquid Glycan Arrays&quot;"/>
    <n v="944775"/>
    <n v="0"/>
    <s v="5 yrs 0 mth "/>
    <x v="0"/>
    <x v="25"/>
    <s v="Glycans, Immunooncology, Arrays"/>
    <n v="0"/>
    <s v="zN/A"/>
    <n v="0"/>
    <s v="zN/A"/>
    <s v="Derda, Ratmir"/>
  </r>
  <r>
    <x v="246"/>
    <s v="McMaster University"/>
    <x v="1"/>
    <x v="0"/>
    <s v="200903MOP"/>
    <x v="6"/>
    <s v="CT Angiography Prediction of Vascular events In noncardiac Surgery patients cOhort evaluatioN (CTA-VISION)"/>
    <n v="467247"/>
    <n v="0"/>
    <s v="3 yrs 0 mth "/>
    <x v="3"/>
    <x v="5"/>
    <s v="CT, Angiography, Vascular"/>
    <n v="0"/>
    <s v="zN/A"/>
    <n v="0"/>
    <s v="zN/A"/>
    <s v="Devereaux, Philip J"/>
  </r>
  <r>
    <x v="247"/>
    <s v="Western University (Ontario)"/>
    <x v="1"/>
    <x v="6"/>
    <s v="201410CPG"/>
    <x v="8"/>
    <s v="Hybrid Molecular Imaging in the Diagnosis of Heart Disease"/>
    <n v="223308"/>
    <n v="0"/>
    <s v="3 yrs 0 mth "/>
    <x v="3"/>
    <x v="6"/>
    <s v="Molecular Imaging, Heart Disease"/>
    <n v="0"/>
    <s v="zN/A"/>
    <n v="0"/>
    <s v="zN/A"/>
    <s v="Dhanvantari, Savita"/>
  </r>
  <r>
    <x v="248"/>
    <s v="University of Calgary"/>
    <x v="2"/>
    <x v="1"/>
    <s v="202104PJT"/>
    <x v="9"/>
    <s v="Precision assessment of the abdominal aortic aneurysm: role of heterogeneity at the macro and micro scales"/>
    <n v="661725"/>
    <n v="0"/>
    <s v="4 yrs 0 mth "/>
    <x v="3"/>
    <x v="35"/>
    <s v="abdominal aortic aneurysm, heterogeneity, assessment"/>
    <n v="3"/>
    <s v="zN/A"/>
    <n v="0"/>
    <s v="zN/A"/>
    <s v="Di Martino, Elena S"/>
  </r>
  <r>
    <x v="249"/>
    <s v="Institut de recherches cliniques de Montréal"/>
    <x v="4"/>
    <x v="0"/>
    <s v="201303MOP"/>
    <x v="0"/>
    <s v="Coordinating DNA deamination, double strand break and repair to prevent genomic instability during antibody gene diversification."/>
    <n v="528516"/>
    <n v="0"/>
    <s v="4 yrs 0 mth "/>
    <x v="0"/>
    <x v="34"/>
    <s v="DNA, deamination, repair"/>
    <n v="1"/>
    <s v="zN/A"/>
    <n v="0"/>
    <s v="zN/A"/>
    <s v="Di Noia, Javier M"/>
  </r>
  <r>
    <x v="250"/>
    <s v="Women's College Hospital (Toronto)"/>
    <x v="1"/>
    <x v="9"/>
    <s v="202403NW3"/>
    <x v="11"/>
    <s v="Let's not wait 11 years: Development and rapid adoption of a screening measure for endometriosis in young Canadian adults"/>
    <n v="594250"/>
    <n v="0"/>
    <s v="2 yrs 10 mths "/>
    <x v="8"/>
    <x v="27"/>
    <s v="endometriosis, screening, young adults"/>
    <n v="0"/>
    <s v="zN/A"/>
    <n v="0"/>
    <s v="zN/A"/>
    <s v="Di Renna, Tania"/>
  </r>
  <r>
    <x v="251"/>
    <s v="Ottawa Hospital Research Institute"/>
    <x v="1"/>
    <x v="1"/>
    <s v="201709PJT"/>
    <x v="0"/>
    <s v="Development of Viral Sensitizing Antibody Drug Conjugate and Oncolytic virus Combination Regimens for the Treatment of Breast Cancer"/>
    <n v="776475"/>
    <n v="0"/>
    <s v="5 yrs 0 mth "/>
    <x v="0"/>
    <x v="11"/>
    <s v="Viral, Antibody, Oncolytic"/>
    <n v="2"/>
    <s v="zN/A"/>
    <n v="0"/>
    <s v="zN/A"/>
    <s v="Diallo, Jean-Simon"/>
  </r>
  <r>
    <x v="252"/>
    <s v="Sinai Health System (Toronto)"/>
    <x v="1"/>
    <x v="0"/>
    <s v="200810MOP"/>
    <x v="5"/>
    <s v="Genetic, Epigenetic and Proteomic Analysis of the Kallikrein Family in Search for Novel Diagnostic Prognostic and Risk Susceptibility Algorithms for Prostate Cancer"/>
    <n v="100000"/>
    <n v="0"/>
    <s v="1 yr 0 mth "/>
    <x v="0"/>
    <x v="48"/>
    <s v="Genetic, Epigenetic, Proteomic"/>
    <n v="0"/>
    <s v="zN/A"/>
    <n v="0"/>
    <s v="zN/A"/>
    <s v="Diamandis, Eleftherios P"/>
  </r>
  <r>
    <x v="252"/>
    <s v="Sinai Health System (Toronto)"/>
    <x v="1"/>
    <x v="0"/>
    <s v="200903MOP"/>
    <x v="5"/>
    <s v="Genetic, Epigenetic and Proteomic Analysis of the Kallikrein Family in Search for Novel Diagnostic Prognostic and Risk Susceptibility Algorithms for Prostate Cancer"/>
    <n v="599728"/>
    <n v="0"/>
    <s v="3 yrs 0 mth "/>
    <x v="0"/>
    <x v="5"/>
    <s v="Genetic, Epigenetic, Proteomic"/>
    <n v="0"/>
    <s v="zN/A"/>
    <n v="0"/>
    <s v="zN/A"/>
    <s v="Diamandis, Eleftherios P"/>
  </r>
  <r>
    <x v="252"/>
    <s v="Sinai Health System (Toronto)"/>
    <x v="1"/>
    <x v="0"/>
    <s v="201209MOP"/>
    <x v="5"/>
    <s v="Integrated Approach to Discover Prostate Cancer Biomarkers in Seminal Plasma"/>
    <n v="417240"/>
    <n v="0"/>
    <s v="3 yrs 0 mth "/>
    <x v="0"/>
    <x v="14"/>
    <s v="Prostate, Biomarkers, Seminal Plasma"/>
    <n v="1"/>
    <s v="zN/A"/>
    <n v="0"/>
    <s v="zN/A"/>
    <s v="Diamandis, Eleftherios P"/>
  </r>
  <r>
    <x v="252"/>
    <s v="Sinai Health System (Toronto)"/>
    <x v="1"/>
    <x v="3"/>
    <s v="201303IPR"/>
    <x v="4"/>
    <s v="Validation of two novel pancreatic cancer biomarkers: CUZD1 and LAMC2"/>
    <n v="519630"/>
    <n v="0"/>
    <s v="4 yrs 0 mth "/>
    <x v="0"/>
    <x v="34"/>
    <s v="pancreatic cancer, biomarkers, CUZD1"/>
    <n v="0"/>
    <s v="zN/A"/>
    <n v="0"/>
    <s v="zN/A"/>
    <s v="Diamandis, Eleftherios P"/>
  </r>
  <r>
    <x v="253"/>
    <s v="University Health Network (Toronto)"/>
    <x v="1"/>
    <x v="1"/>
    <s v="202003PJT"/>
    <x v="5"/>
    <s v="Mapping and targeting the niche-specific proteomes of glioblastoma"/>
    <n v="830024"/>
    <n v="0"/>
    <s v="4 yrs 0 mth "/>
    <x v="0"/>
    <x v="39"/>
    <s v="glioblastoma, proteomes, mapping"/>
    <n v="0"/>
    <s v="zN/A"/>
    <n v="0"/>
    <s v="zN/A"/>
    <s v="Diamandis, Phedias"/>
  </r>
  <r>
    <x v="253"/>
    <s v="University Health Network (Toronto)"/>
    <x v="1"/>
    <x v="1"/>
    <s v="202104PJT"/>
    <x v="6"/>
    <s v="Automated computational pathology workflows for resolving patterns of heterogeneity in cancer"/>
    <n v="680851"/>
    <n v="0"/>
    <s v="4 yrs 0 mth "/>
    <x v="0"/>
    <x v="35"/>
    <s v="computational pathology, heterogeneity, cancer"/>
    <n v="0"/>
    <s v="zN/A"/>
    <n v="0"/>
    <s v="zN/A"/>
    <s v="Diamandis, Phedias"/>
  </r>
  <r>
    <x v="253"/>
    <s v="University Health Network (Toronto)"/>
    <x v="1"/>
    <x v="1"/>
    <s v="202309PJT"/>
    <x v="1"/>
    <s v="Deciphering communication networks across glioblastoma cell states"/>
    <n v="761176"/>
    <n v="0"/>
    <s v="4 yrs 0 mth "/>
    <x v="0"/>
    <x v="33"/>
    <s v="communication, networks, glioblastoma"/>
    <n v="0"/>
    <s v="zN/A"/>
    <n v="0"/>
    <s v="zN/A"/>
    <s v="Diamandis, Phedias"/>
  </r>
  <r>
    <x v="254"/>
    <s v="Western University (Ontario)"/>
    <x v="1"/>
    <x v="0"/>
    <s v="201103MOP"/>
    <x v="0"/>
    <s v="Differential control of E2F transcription factors by pRB in  normal and cancer cells"/>
    <n v="434192"/>
    <n v="0"/>
    <s v="3 yrs 0 mth "/>
    <x v="0"/>
    <x v="17"/>
    <s v="E2F, pRB, transcription factors"/>
    <n v="0"/>
    <s v="zN/A"/>
    <n v="0"/>
    <s v="zN/A"/>
    <s v="Dick, Frederick A"/>
  </r>
  <r>
    <x v="255"/>
    <s v="University Health Network (Toronto)"/>
    <x v="1"/>
    <x v="1"/>
    <s v="202309PJT"/>
    <x v="1"/>
    <s v="Phenotypic and Functional Characterization of Relapse-Fated Cells Present at Diagnosis in AML leading to improved therapeutic targeting and monitoring"/>
    <n v="1051875"/>
    <n v="0"/>
    <s v="5 yrs 0 mth "/>
    <x v="0"/>
    <x v="50"/>
    <s v="Phenotypic, Functional, AML"/>
    <n v="1"/>
    <s v="zN/A"/>
    <n v="0"/>
    <s v="zN/A"/>
    <s v="Dick, John E"/>
  </r>
  <r>
    <x v="255"/>
    <s v="University Health Network (Toronto)"/>
    <x v="1"/>
    <x v="1"/>
    <s v="202403PJT"/>
    <x v="5"/>
    <s v="Discovery of epigenetic determinants regulating stemness to target the eradication of human pre-leukemic and leukemic stem cells"/>
    <n v="1419942"/>
    <n v="0"/>
    <s v="5 yrs 0 mth "/>
    <x v="0"/>
    <x v="38"/>
    <s v="epigenetic, stem cells, leukemia"/>
    <n v="0"/>
    <s v="zN/A"/>
    <n v="0"/>
    <s v="zN/A"/>
    <s v="Dick, John E"/>
  </r>
  <r>
    <x v="256"/>
    <s v="University of Toronto"/>
    <x v="1"/>
    <x v="6"/>
    <s v="201711CPG"/>
    <x v="8"/>
    <s v="Novel Multimodal Sensing and Actuation Mechanisms for Intra-Ventricular Neurosurgery Robotic Tools"/>
    <n v="251940"/>
    <n v="10500"/>
    <s v="3 yrs 0 mth "/>
    <x v="7"/>
    <x v="11"/>
    <s v="Multimodal sensing, actuation, neurosurgery"/>
    <n v="0"/>
    <s v="zN/A"/>
    <n v="0"/>
    <s v="zN/A"/>
    <s v="Diller, Eric D"/>
  </r>
  <r>
    <x v="257"/>
    <s v="Ottawa Hospital Research Institute"/>
    <x v="1"/>
    <x v="4"/>
    <s v="201203IC1"/>
    <x v="1"/>
    <s v="The cellular stress response regulator ATF3 is a novel mediator of platin induced tumour cell cytotoxicity and resistance"/>
    <n v="100000"/>
    <n v="0"/>
    <s v="1 yr 0 mth "/>
    <x v="0"/>
    <x v="12"/>
    <s v="ATF3, platin, cytotoxicity"/>
    <n v="0"/>
    <s v="zN/A"/>
    <n v="0"/>
    <s v="zN/A"/>
    <s v="Dimitroulakos, Jim"/>
  </r>
  <r>
    <x v="257"/>
    <s v="Ottawa Hospital Research Institute"/>
    <x v="1"/>
    <x v="0"/>
    <s v="201309MOP"/>
    <x v="0"/>
    <s v="Targeting the mevalonate pathway in novel combination based therapeutic approaches"/>
    <n v="349842"/>
    <n v="0"/>
    <s v="3 yrs 0 mth "/>
    <x v="0"/>
    <x v="9"/>
    <s v="mevalonate pathway, combination therapy"/>
    <n v="0"/>
    <s v="zN/A"/>
    <n v="0"/>
    <s v="zN/A"/>
    <s v="Dimitroulakos, Jim"/>
  </r>
  <r>
    <x v="258"/>
    <s v="Hospital for Sick Children (Toronto)"/>
    <x v="1"/>
    <x v="1"/>
    <s v="201909PJT"/>
    <x v="3"/>
    <s v="Modeling brain cancer in a regionally defined human neural stem cell system"/>
    <n v="956250"/>
    <n v="0"/>
    <s v="5 yrs 0 mth "/>
    <x v="0"/>
    <x v="22"/>
    <s v="brain cancer, neural stem cells, modeling"/>
    <n v="1"/>
    <s v="zN/A"/>
    <n v="0"/>
    <s v="zN/A"/>
    <s v="Dirks, Peter B"/>
  </r>
  <r>
    <x v="258"/>
    <s v="Hospital for Sick Children (Toronto)"/>
    <x v="1"/>
    <x v="1"/>
    <s v="202104PJT"/>
    <x v="3"/>
    <s v="Tracing the Cellular and Molecular Origins of Mouse and Human Medulloblastoma"/>
    <n v="956250"/>
    <n v="0"/>
    <s v="5 yrs 0 mth "/>
    <x v="0"/>
    <x v="35"/>
    <s v="cellular, molecular, medulloblastoma"/>
    <n v="0"/>
    <s v="zN/A"/>
    <n v="0"/>
    <s v="zN/A"/>
    <s v="Dirks, Peter B"/>
  </r>
  <r>
    <x v="258"/>
    <s v="Hospital for Sick Children (Toronto)"/>
    <x v="1"/>
    <x v="1"/>
    <s v="202109PJT"/>
    <x v="0"/>
    <s v="Determining the cellular mechanisms of initiation and evolution of hypermutant glioma"/>
    <n v="1147500"/>
    <n v="0"/>
    <s v="5 yrs 0 mth "/>
    <x v="0"/>
    <x v="25"/>
    <s v="cellular, glioma, hypermutant"/>
    <n v="0"/>
    <s v="zN/A"/>
    <n v="0"/>
    <s v="zN/A"/>
    <s v="Dirks, Peter B"/>
  </r>
  <r>
    <x v="258"/>
    <s v="Hospital for Sick Children (Toronto)"/>
    <x v="1"/>
    <x v="17"/>
    <s v="202303PDI"/>
    <x v="0"/>
    <s v="Injury Reprogramming at the Root of Glioblastoma Initiation and Progression"/>
    <n v="100000"/>
    <n v="0"/>
    <s v="1 yr 0 mth "/>
    <x v="0"/>
    <x v="13"/>
    <s v="injury, reprogramming, glioblastoma"/>
    <n v="0"/>
    <s v="zN/A"/>
    <n v="0"/>
    <s v="zN/A"/>
    <s v="Dirks, Peter B"/>
  </r>
  <r>
    <x v="259"/>
    <s v="University of Waterloo (Ontario)"/>
    <x v="1"/>
    <x v="3"/>
    <s v="201203IPR"/>
    <x v="4"/>
    <s v="New strategies for overcoming bacterial resistance to antibiotics"/>
    <n v="200000"/>
    <n v="0"/>
    <s v="2 yrs 0 mth "/>
    <x v="1"/>
    <x v="12"/>
    <s v="bacterial resistance, antibiotics"/>
    <n v="0"/>
    <s v="zN/A"/>
    <n v="0"/>
    <s v="zN/A"/>
    <s v="Dmitrienko, Gary I"/>
  </r>
  <r>
    <x v="260"/>
    <s v="University Health Network (Toronto)"/>
    <x v="1"/>
    <x v="0"/>
    <s v="201109MOP"/>
    <x v="1"/>
    <s v="Towards a Better Understanding of Breast Cancer Intratumoural Heterogeneity"/>
    <n v="403829"/>
    <n v="0"/>
    <s v="3 yrs 0 mth "/>
    <x v="0"/>
    <x v="15"/>
    <s v="breast cancer, intratumoural heterogeneity"/>
    <n v="0"/>
    <s v="zN/A"/>
    <n v="0"/>
    <s v="zN/A"/>
    <s v="Done, Susan J"/>
  </r>
  <r>
    <x v="260"/>
    <s v="University Health Network (Toronto)"/>
    <x v="1"/>
    <x v="1"/>
    <s v="201809PJT"/>
    <x v="1"/>
    <s v="Circulating tumour cells and breast cancer heterogeneity"/>
    <n v="1021275"/>
    <n v="0"/>
    <s v="5 yrs 0 mth "/>
    <x v="0"/>
    <x v="26"/>
    <s v="circulating tumour cells, breast cancer, heterogeneity"/>
    <n v="0"/>
    <s v="zN/A"/>
    <n v="0"/>
    <s v="zN/A"/>
    <s v="Done, Susan J"/>
  </r>
  <r>
    <x v="260"/>
    <s v="University Health Network (Toronto)"/>
    <x v="1"/>
    <x v="1"/>
    <s v="202203PJT"/>
    <x v="5"/>
    <s v="Triple negative breast cancer intratumour heterogeneity and disease progression"/>
    <n v="1086300"/>
    <n v="0"/>
    <s v="5 yrs 0 mth "/>
    <x v="0"/>
    <x v="3"/>
    <s v="breast cancer, intratumour heterogeneity, disease progression"/>
    <n v="0"/>
    <s v="zN/A"/>
    <n v="0"/>
    <s v="zN/A"/>
    <s v="Done, Susan J"/>
  </r>
  <r>
    <x v="261"/>
    <s v="University of British Columbia"/>
    <x v="3"/>
    <x v="1"/>
    <s v="202104PJT"/>
    <x v="0"/>
    <s v="Design a Double-Bolt Lock to Control Cancer Cell Growth"/>
    <n v="910350"/>
    <n v="0"/>
    <s v="5 yrs 0 mth "/>
    <x v="0"/>
    <x v="35"/>
    <s v="Double-Bolt Lock, Cancer Cell, Control"/>
    <n v="0"/>
    <s v="zN/A"/>
    <n v="0"/>
    <s v="zN/A"/>
    <s v="Dong, Xuesen"/>
  </r>
  <r>
    <x v="261"/>
    <s v="University of British Columbia"/>
    <x v="3"/>
    <x v="1"/>
    <s v="202403PJT"/>
    <x v="5"/>
    <s v="Lin28b as a therapeutic target for prostate cancer progression"/>
    <n v="967726"/>
    <n v="0"/>
    <s v="5 yrs 0 mth "/>
    <x v="0"/>
    <x v="38"/>
    <s v="Lin28b, prostate cancer, progression"/>
    <n v="0"/>
    <s v="zN/A"/>
    <n v="0"/>
    <s v="zN/A"/>
    <s v="Dong, Xuesen"/>
  </r>
  <r>
    <x v="262"/>
    <s v="Unity Health Toronto"/>
    <x v="1"/>
    <x v="6"/>
    <s v="201910CPG"/>
    <x v="8"/>
    <s v="Epigenetic PowerBlade - DNA Precision Marks for Critical Illness"/>
    <n v="392250"/>
    <n v="24000"/>
    <s v="3 yrs 0 mth "/>
    <x v="3"/>
    <x v="22"/>
    <s v="Epigenetic, DNA, Marks"/>
    <n v="0"/>
    <s v="zN/A"/>
    <n v="0"/>
    <s v="zN/A"/>
    <s v="Dos Santos, Claudia C"/>
  </r>
  <r>
    <x v="263"/>
    <s v="University of Toronto"/>
    <x v="1"/>
    <x v="6"/>
    <s v="201210CPG"/>
    <x v="8"/>
    <s v="Temperature measurement in cortical bone and bone marrow during magnetic resonance guided focused ultrasound thermo-therapy in a porcine model"/>
    <n v="302342"/>
    <n v="0"/>
    <s v="3 yrs 0 mth "/>
    <x v="0"/>
    <x v="14"/>
    <s v="temperature, magnetic resonance, ultrasound"/>
    <n v="1"/>
    <s v="zN/A"/>
    <n v="0"/>
    <s v="zN/A"/>
    <s v="Drake, James M"/>
  </r>
  <r>
    <x v="263"/>
    <s v="Hospital for Sick Children (Toronto)"/>
    <x v="1"/>
    <x v="1"/>
    <s v="201903PJT"/>
    <x v="6"/>
    <s v="Magnetic Resonance-guided Focused Ultrasound for Incisionless Musculotendinous Contracture Release"/>
    <n v="424576"/>
    <n v="0"/>
    <s v="3 yrs 0 mth "/>
    <x v="5"/>
    <x v="1"/>
    <s v="Magnetic Resonance, Focused Ultrasound, Musculotendinous"/>
    <n v="0"/>
    <s v="zN/A"/>
    <n v="0"/>
    <s v="zN/A"/>
    <s v="Drake, James M"/>
  </r>
  <r>
    <x v="263"/>
    <s v="Hospital for Sick Children (Toronto)"/>
    <x v="1"/>
    <x v="1"/>
    <s v="202104PJT"/>
    <x v="9"/>
    <s v="Application of Magnetically Actuated Robotic System for Minimally Invasive Epilepsy Surgery"/>
    <n v="405450"/>
    <n v="0"/>
    <s v="3 yrs 0 mth "/>
    <x v="7"/>
    <x v="35"/>
    <s v="Magnetically Actuated, Robotic System, Epilepsy"/>
    <n v="1"/>
    <s v="zN/A"/>
    <n v="0"/>
    <s v="zN/A"/>
    <s v="Drake, James M"/>
  </r>
  <r>
    <x v="263"/>
    <s v="Hospital for Sick Children (Toronto)"/>
    <x v="1"/>
    <x v="1"/>
    <s v="202209PJT"/>
    <x v="9"/>
    <s v="Minimally Invasive Robotic Surgical Tools for In-utero Repair of Open Spina Bifida"/>
    <n v="397800"/>
    <n v="0"/>
    <s v="4 yrs 0 mth "/>
    <x v="7"/>
    <x v="8"/>
    <s v="Robotic, Surgical, Spina Bifida"/>
    <n v="0"/>
    <s v="zN/A"/>
    <n v="0"/>
    <s v="zN/A"/>
    <s v="Drake, James M"/>
  </r>
  <r>
    <x v="263"/>
    <s v="Hospital for Sick Children (Toronto)"/>
    <x v="1"/>
    <x v="1"/>
    <s v="202209PJT"/>
    <x v="6"/>
    <s v="An MRI-compatible focused ultrasound platform for non-invasive treatment of intraventricular hemorrhage of prematurity"/>
    <n v="612000"/>
    <n v="0"/>
    <s v="4 yrs 0 mth "/>
    <x v="7"/>
    <x v="8"/>
    <s v="MRI, ultrasound, hemorrhage"/>
    <n v="0"/>
    <s v="zN/A"/>
    <n v="0"/>
    <s v="zN/A"/>
    <s v="Drake, James M"/>
  </r>
  <r>
    <x v="264"/>
    <s v="Western University (Ontario)"/>
    <x v="1"/>
    <x v="0"/>
    <s v="201103MOP"/>
    <x v="6"/>
    <s v="Advanced techniques for image assisted cardiac interventions"/>
    <n v="822596"/>
    <n v="0"/>
    <s v="5 yrs 0 mth "/>
    <x v="3"/>
    <x v="17"/>
    <s v="image, cardiac, interventions"/>
    <n v="3"/>
    <s v="zN/A"/>
    <n v="0"/>
    <s v="zN/A"/>
    <s v="Drangova, Maria"/>
  </r>
  <r>
    <x v="264"/>
    <s v="Western University (Ontario)"/>
    <x v="1"/>
    <x v="1"/>
    <s v="201803PJT"/>
    <x v="6"/>
    <s v="Characterizing cerebral thrombus composition with Phase-based MRI"/>
    <n v="881664"/>
    <n v="0"/>
    <s v="5 yrs 0 mth "/>
    <x v="3"/>
    <x v="7"/>
    <s v="cerebral thrombus, MRI, phase-based"/>
    <n v="0"/>
    <s v="zN/A"/>
    <n v="0"/>
    <s v="zN/A"/>
    <s v="Drangova, Maria"/>
  </r>
  <r>
    <x v="265"/>
    <s v="University of Alberta"/>
    <x v="2"/>
    <x v="18"/>
    <s v="202005VR2"/>
    <x v="16"/>
    <s v="Population-based seroprevalence of prior infection with COVID-19 in Canada: implications for testing, economic revitalization and population health."/>
    <n v="955694"/>
    <n v="0"/>
    <s v="1 yr 0 mth "/>
    <x v="1"/>
    <x v="2"/>
    <s v="seroprevalence, COVID-19, infection"/>
    <n v="0"/>
    <s v="zN/A"/>
    <n v="0"/>
    <s v="zN/A"/>
    <s v="Drews, Steven J"/>
  </r>
  <r>
    <x v="266"/>
    <s v="CIUSSS Est-de-l'Ile-de- Montréal-Maisonneuve Rosemont"/>
    <x v="4"/>
    <x v="0"/>
    <s v="201309MOP"/>
    <x v="0"/>
    <s v="Regulation of UV Damage Repair by the ATR-mediated DNA Damage Checkpoint in Malignant Melanoma"/>
    <n v="364536"/>
    <n v="0"/>
    <s v="3 yrs 0 mth "/>
    <x v="0"/>
    <x v="9"/>
    <s v="UV damage, DNA repair, melanoma"/>
    <n v="0"/>
    <s v="zN/A"/>
    <n v="0"/>
    <s v="zN/A"/>
    <s v="Drobetsky, Elliot A"/>
  </r>
  <r>
    <x v="266"/>
    <s v="CIUSSS Est-de-l'Ile-de- Montréal-Maisonneuve Rosemont"/>
    <x v="4"/>
    <x v="1"/>
    <s v="202109PJT"/>
    <x v="0"/>
    <s v="Replicative stress as a primary determinant of chemotherapeutic outcome in ovarian cancer"/>
    <n v="929475"/>
    <n v="0"/>
    <s v="5 yrs 0 mth "/>
    <x v="0"/>
    <x v="25"/>
    <s v="replicative stress, chemotherapeutic, ovarian cancer"/>
    <n v="0"/>
    <s v="zN/A"/>
    <n v="0"/>
    <s v="zN/A"/>
    <s v="Drobetsky, Elliot A"/>
  </r>
  <r>
    <x v="267"/>
    <s v="University of British Columbia"/>
    <x v="3"/>
    <x v="6"/>
    <s v="201410CPG"/>
    <x v="8"/>
    <s v="Hyperbranched polyglycerol-based colloid preservation solutions: Toward clinical applications"/>
    <n v="310627"/>
    <n v="0"/>
    <s v="3 yrs 0 mth "/>
    <x v="9"/>
    <x v="6"/>
    <s v="hyperbranched, polyglycerol, colloid"/>
    <n v="1"/>
    <s v="zN/A"/>
    <n v="0"/>
    <s v="zN/A"/>
    <s v="Du, Caigan"/>
  </r>
  <r>
    <x v="268"/>
    <s v="Centre hospitalier universitaire Sainte-Justine (Montréal, Québec)"/>
    <x v="4"/>
    <x v="13"/>
    <s v="202005VR3"/>
    <x v="12"/>
    <s v="PRevention of COVID-19 with high dose Oral Vitamin D supplemental Therapy in Essential healthCare Teams (PROTECT)"/>
    <n v="4224996"/>
    <n v="0"/>
    <s v="1 yr 0 mth "/>
    <x v="9"/>
    <x v="2"/>
    <s v="COVID-19, Vitamin D, supplementation"/>
    <n v="0"/>
    <s v="zN/A"/>
    <n v="0"/>
    <s v="zN/A"/>
    <s v="Ducharme, Francine M"/>
  </r>
  <r>
    <x v="269"/>
    <s v="Universite Laval"/>
    <x v="4"/>
    <x v="20"/>
    <s v="201304OMI"/>
    <x v="18"/>
    <s v="AD ontological architecture for neuroimaging datawarehouse: merging and establishing anatomical normative data from 17 datasets"/>
    <n v="212868"/>
    <n v="10000"/>
    <s v="3 yrs 0 mth "/>
    <x v="6"/>
    <x v="34"/>
    <s v="ontology, neuroimaging, datawarehouse"/>
    <n v="0"/>
    <s v="zN/A"/>
    <n v="0"/>
    <s v="zN/A"/>
    <s v="Duchesne, Simon"/>
  </r>
  <r>
    <x v="270"/>
    <s v="Research Institute of the McGill University Health Centre"/>
    <x v="4"/>
    <x v="1"/>
    <s v="202209PJT"/>
    <x v="6"/>
    <s v="Development of intraoperative label-free Raman Spectroscopy techniques to delineate Focal Cortical Dysplasia borders in Epilepsy surgery and detect cells carrying somatic variants"/>
    <n v="1147500"/>
    <n v="0"/>
    <s v="5 yrs 0 mth "/>
    <x v="7"/>
    <x v="8"/>
    <s v="Raman Spectroscopy, Focal Cortical Dysplasia, Epilepsy"/>
    <n v="0"/>
    <s v="zN/A"/>
    <n v="0"/>
    <s v="zN/A"/>
    <s v="Dudley, Roy W"/>
  </r>
  <r>
    <x v="271"/>
    <s v="University of British Columbia"/>
    <x v="3"/>
    <x v="6"/>
    <s v="201210CPG"/>
    <x v="8"/>
    <s v="Closed-Loop Control of Anesthesia"/>
    <n v="309194"/>
    <n v="0"/>
    <s v="3 yrs 0 mth "/>
    <x v="3"/>
    <x v="14"/>
    <s v="Closed-Loop, Control, Anesthesia"/>
    <n v="2"/>
    <s v="zN/A"/>
    <n v="0"/>
    <s v="zN/A"/>
    <s v="Dumont, Guy A"/>
  </r>
  <r>
    <x v="272"/>
    <s v="CIUSSS du Centre-Sud-de-l'ele-de-Montreal (Montreal, Quebec)"/>
    <x v="4"/>
    <x v="19"/>
    <s v="202307NWI"/>
    <x v="17"/>
    <s v="Acceptability, user experience and effect of a new mobile app, 'OUPS!', a FemTech solution designed for the treatment of urinary incontinence in menopausal women: a mixed method study"/>
    <n v="149489"/>
    <n v="0"/>
    <s v="1 yr 0 mth "/>
    <x v="8"/>
    <x v="36"/>
    <s v="mobile app, urinary incontinence, FemTech"/>
    <n v="0"/>
    <s v="zN/A"/>
    <n v="0"/>
    <s v="zN/A"/>
    <s v="Dumoulin, Chantal"/>
  </r>
  <r>
    <x v="273"/>
    <s v="University of Calgary"/>
    <x v="2"/>
    <x v="6"/>
    <s v="201410CPG"/>
    <x v="8"/>
    <s v="Application of functional near-infrared imaging as a biomarker of injury and recovery in mild traumatic brain injury and concussion"/>
    <n v="249682"/>
    <n v="0"/>
    <s v="3 yrs 0 mth "/>
    <x v="4"/>
    <x v="6"/>
    <s v="near-infrared imaging, biomarker, brain injury"/>
    <n v="0"/>
    <s v="zN/A"/>
    <n v="0"/>
    <s v="zN/A"/>
    <s v="Dunn, Jeff F"/>
  </r>
  <r>
    <x v="273"/>
    <s v="University of Calgary"/>
    <x v="2"/>
    <x v="1"/>
    <s v="201709PJT"/>
    <x v="13"/>
    <s v="Functional near-infrared spectroscopic measures of coherence as a new bio-marker of injury in mTBI patients"/>
    <n v="669375"/>
    <n v="0"/>
    <s v="5 yrs 0 mth "/>
    <x v="4"/>
    <x v="11"/>
    <s v="near-infrared, spectroscopic, mTBI"/>
    <n v="0"/>
    <s v="zN/A"/>
    <n v="0"/>
    <s v="zN/A"/>
    <s v="Dunn, Jeff F"/>
  </r>
  <r>
    <x v="273"/>
    <s v="University of Calgary"/>
    <x v="2"/>
    <x v="1"/>
    <s v="202003PJT"/>
    <x v="6"/>
    <s v="Does inflammation in brain cause hypoxia, which then exacerbates inflammation: a multimodal study using the EAE inflammation model of multiple sclerosis."/>
    <n v="856800"/>
    <n v="0"/>
    <s v="5 yrs 0 mth "/>
    <x v="4"/>
    <x v="39"/>
    <s v="inflammation, hypoxia, multiple sclerosis"/>
    <n v="0"/>
    <s v="zN/A"/>
    <n v="0"/>
    <s v="zN/A"/>
    <s v="Dunn, Jeff F"/>
  </r>
  <r>
    <x v="273"/>
    <s v="University of Calgary"/>
    <x v="2"/>
    <x v="1"/>
    <s v="202403PJT"/>
    <x v="6"/>
    <s v="Non-invasive near-infrared spectroscopic measures of brain oxygenation and function--a potential biomarker of disease severity and progression in Multiple Sclerosis"/>
    <n v="979200"/>
    <n v="0"/>
    <s v="5 yrs 0 mth "/>
    <x v="4"/>
    <x v="38"/>
    <s v="near-infrared, spectroscopy, brain oxygenation"/>
    <n v="0"/>
    <s v="zN/A"/>
    <n v="0"/>
    <s v="zN/A"/>
    <s v="Dunn, Jeff F"/>
  </r>
  <r>
    <x v="23"/>
    <s v="University of British Columbia"/>
    <x v="3"/>
    <x v="0"/>
    <s v="200809MOP"/>
    <x v="5"/>
    <s v="Pioneering novel approaches to manage cancer recurrence  through the use of YB-1 inhibitors and off-patent drugs."/>
    <n v="433402"/>
    <n v="0"/>
    <s v="3 yrs 0 mth "/>
    <x v="0"/>
    <x v="0"/>
    <s v="YB-1 inhibitors, cancer recurrence, off-patent drugs"/>
    <n v="1"/>
    <s v="zN/A"/>
    <n v="0"/>
    <s v="zN/A"/>
    <s v="Dunn, Sandra E"/>
  </r>
  <r>
    <x v="25"/>
    <s v="Sinai Health System (Toronto)"/>
    <x v="1"/>
    <x v="0"/>
    <s v="201003MOP"/>
    <x v="0"/>
    <s v="Functional genomics of the response to DNA double-strand breaks"/>
    <n v="858940"/>
    <n v="0"/>
    <s v="5 yrs 0 mth "/>
    <x v="2"/>
    <x v="21"/>
    <s v="genomics, DNA breaks, double-strand"/>
    <n v="0"/>
    <s v="zN/A"/>
    <n v="0"/>
    <s v="zN/A"/>
    <s v="Durocher, Daniel"/>
  </r>
  <r>
    <x v="25"/>
    <s v="Sinai Health System (Toronto)"/>
    <x v="1"/>
    <x v="1"/>
    <s v="202104PJT"/>
    <x v="0"/>
    <s v="Understanding and exploiting the CIP2A-BRCA synthetic lethality"/>
    <n v="882046"/>
    <n v="0"/>
    <s v="5 yrs 0 mth "/>
    <x v="0"/>
    <x v="51"/>
    <s v="CIP2A, BRCA, synthetic lethality"/>
    <n v="1"/>
    <s v="zN/A"/>
    <n v="0"/>
    <s v="zN/A"/>
    <s v="Durocher, Daniel"/>
  </r>
  <r>
    <x v="274"/>
    <s v="Université Laval"/>
    <x v="4"/>
    <x v="10"/>
    <s v="202209PLL"/>
    <x v="5"/>
    <s v="TBC1D9: therapeutic target of the aggressiveness of triple negative breast cancer"/>
    <n v="100000"/>
    <n v="0"/>
    <s v="1 yr 0 mth "/>
    <x v="0"/>
    <x v="28"/>
    <s v="TBC1D9, breast cancer, triple negative"/>
    <n v="0"/>
    <s v="zN/A"/>
    <n v="0"/>
    <s v="zN/A"/>
    <s v="Durocher, Francine"/>
  </r>
  <r>
    <x v="275"/>
    <s v="University of British Columbia"/>
    <x v="3"/>
    <x v="11"/>
    <s v="200909IC3"/>
    <x v="0"/>
    <s v="MCL-1: Functions in the nucleus regulating cell cycle and DNA damage response"/>
    <n v="100000"/>
    <n v="0"/>
    <s v="1 yr 0 mth "/>
    <x v="0"/>
    <x v="29"/>
    <s v="MCL-1, cell cycle, DNA damage"/>
    <n v="0"/>
    <s v="zN/A"/>
    <n v="0"/>
    <s v="zN/A"/>
    <s v="Duronio, Vincent"/>
  </r>
  <r>
    <x v="275"/>
    <s v="University of British Columbia"/>
    <x v="3"/>
    <x v="0"/>
    <s v="201003MOP"/>
    <x v="0"/>
    <s v="MCL-1: Functions in the nucleus regulating cell cycle and DNA damage response"/>
    <n v="665920"/>
    <n v="0"/>
    <s v="5 yrs 0 mth "/>
    <x v="0"/>
    <x v="21"/>
    <s v="MCL-1, cell cycle, DNA damage"/>
    <n v="0"/>
    <s v="zN/A"/>
    <n v="0"/>
    <s v="zN/A"/>
    <s v="Duronio, Vincent"/>
  </r>
  <r>
    <x v="276"/>
    <s v="University Health Network (Toronto)"/>
    <x v="1"/>
    <x v="1"/>
    <s v="202309PJT"/>
    <x v="9"/>
    <s v="Improving Repositioning Adherence in Home Care: Supporting Pressure Injury Care and Prevention"/>
    <n v="623476"/>
    <n v="0"/>
    <s v="4 yrs 0 mth "/>
    <x v="6"/>
    <x v="33"/>
    <s v="Repositioning, Pressure Injury, Home Care"/>
    <n v="0"/>
    <s v="zN/A"/>
    <n v="0"/>
    <s v="zN/A"/>
    <s v="Dutta, Tilak"/>
  </r>
  <r>
    <x v="277"/>
    <s v="University of British Columbia"/>
    <x v="3"/>
    <x v="6"/>
    <s v="201210CPG"/>
    <x v="8"/>
    <s v="Transcutaneous microsphere vaccine technology"/>
    <n v="300000"/>
    <n v="0"/>
    <s v="3 yrs 0 mth "/>
    <x v="5"/>
    <x v="14"/>
    <s v="Transcutaneous, microsphere, vaccine"/>
    <n v="0"/>
    <s v="zN/A"/>
    <n v="0"/>
    <s v="zN/A"/>
    <s v="Dutz, Jan P"/>
  </r>
  <r>
    <x v="278"/>
    <s v="Centre hospitalier universitaire Sainte-Justine (Montréal, Québec)"/>
    <x v="4"/>
    <x v="0"/>
    <s v="201303MOP"/>
    <x v="0"/>
    <s v="Preclinical models of natural killer cell-based immunotherapy to cure refractory childhood acute lymphoblastic leukemia"/>
    <n v="331970"/>
    <n v="0"/>
    <s v="3 yrs 0 mth "/>
    <x v="0"/>
    <x v="34"/>
    <s v="natural killer, immunotherapy, leukemia"/>
    <n v="0"/>
    <s v="zN/A"/>
    <n v="0"/>
    <s v="zN/A"/>
    <s v="Duval, Michel"/>
  </r>
  <r>
    <x v="278"/>
    <s v="Centre hospitalier universitaire Sainte-Justine (Montréal, Québec)"/>
    <x v="4"/>
    <x v="0"/>
    <s v="201503MOP"/>
    <x v="0"/>
    <s v="Toward the cure of neuroblastoma: innovative immunotherapeutic approaches"/>
    <n v="996969"/>
    <n v="0"/>
    <s v="5 yrs 0 mth "/>
    <x v="0"/>
    <x v="19"/>
    <s v="neuroblastoma, immunotherapy, approaches"/>
    <n v="0"/>
    <s v="zN/A"/>
    <n v="0"/>
    <s v="zN/A"/>
    <s v="Duval, Michel"/>
  </r>
  <r>
    <x v="278"/>
    <s v="Centre hospitalier universitaire Sainte-Justine (Montréal, Québec)"/>
    <x v="4"/>
    <x v="1"/>
    <s v="201903PJT"/>
    <x v="5"/>
    <s v="Adoptive transfers of in vitro differentiated plasmacytoid dendritic cells to prevent acute lymphoblastic leukemia relapse: mechanisms and biomarkers of sensitivity"/>
    <n v="673200"/>
    <n v="0"/>
    <s v="4 yrs 0 mth "/>
    <x v="0"/>
    <x v="1"/>
    <s v="dendritic cells, leukemia, biomarkers"/>
    <n v="0"/>
    <s v="zN/A"/>
    <n v="0"/>
    <s v="zN/A"/>
    <s v="Duval, Michel"/>
  </r>
  <r>
    <x v="278"/>
    <s v="Centre hospitalier universitaire Sainte-Justine (Montréal, Québec)"/>
    <x v="4"/>
    <x v="17"/>
    <s v="202209PDI"/>
    <x v="0"/>
    <s v="Phase I first-in-human trial of ThINKK adoptive immunotherapy in children with high-risk cancers"/>
    <n v="100000"/>
    <n v="0"/>
    <s v="1 yr 0 mth "/>
    <x v="0"/>
    <x v="28"/>
    <s v="immunotherapy, adoptive, cancers"/>
    <n v="0"/>
    <s v="zN/A"/>
    <n v="0"/>
    <s v="zN/A"/>
    <s v="Duval, Michel"/>
  </r>
  <r>
    <x v="278"/>
    <s v="Centre hospitalier universitaire Sainte-Justine (Montréal, Québec)"/>
    <x v="4"/>
    <x v="17"/>
    <s v="202303PDI"/>
    <x v="0"/>
    <s v="Phase I first-in-human trial for ThINKK adoptive immunotherapy in children with high-risk cancers"/>
    <n v="100000"/>
    <n v="0"/>
    <s v="1 yr 0 mth "/>
    <x v="0"/>
    <x v="13"/>
    <s v="immunotherapy, adoptive, cancers"/>
    <n v="0"/>
    <s v="zN/A"/>
    <n v="0"/>
    <s v="zN/A"/>
    <s v="Duval, Michel"/>
  </r>
  <r>
    <x v="279"/>
    <s v="University Health Network (Toronto)"/>
    <x v="1"/>
    <x v="13"/>
    <s v="202005VR3"/>
    <x v="12"/>
    <s v="Semaglutide to reduce Myocardial injury in PATIents with COVID-19 (SEMPATICO): An exploratory randomized controlled clinical trial"/>
    <n v="664145"/>
    <n v="0"/>
    <s v="1 yr 0 mth "/>
    <x v="3"/>
    <x v="2"/>
    <s v="Semaglutide, Myocardial injury, COVID-19"/>
    <n v="0"/>
    <s v="zN/A"/>
    <n v="0"/>
    <s v="zN/A"/>
    <s v="Dzavik, Vladimir"/>
  </r>
  <r>
    <x v="280"/>
    <s v="University of Calgary"/>
    <x v="2"/>
    <x v="1"/>
    <s v="202303PJT"/>
    <x v="9"/>
    <s v="Quantifying the relationship between intracortical remodeling, microdamage, and bone quality in a novel in vivo loading model"/>
    <n v="650250"/>
    <n v="0"/>
    <s v="5 yrs 0 mth "/>
    <x v="5"/>
    <x v="13"/>
    <s v="intracortical remodeling, microdamage, bone quality"/>
    <n v="0"/>
    <s v="zN/A"/>
    <n v="0"/>
    <s v="zN/A"/>
    <s v="Edwards, W. Brent"/>
  </r>
  <r>
    <x v="281"/>
    <s v="Hospital for Sick Children (Toronto)"/>
    <x v="1"/>
    <x v="1"/>
    <s v="201909PJT"/>
    <x v="1"/>
    <s v="Targeting the immune landscape at presentation and relapse of Immune-Related Lobular Breast Cancer"/>
    <n v="956250"/>
    <n v="0"/>
    <s v="5 yrs 0 mth "/>
    <x v="0"/>
    <x v="22"/>
    <s v="immune, lobular breast cancer, relapse"/>
    <n v="0"/>
    <s v="zN/A"/>
    <n v="0"/>
    <s v="zN/A"/>
    <s v="Egan, Sean E"/>
  </r>
  <r>
    <x v="282"/>
    <s v="McMaster University"/>
    <x v="1"/>
    <x v="13"/>
    <s v="202005VR3"/>
    <x v="12"/>
    <s v="Anti-Coronavirus Therapy (ACT) to prevent COVID-19 disease progression: a clinical trial platform"/>
    <n v="2937119"/>
    <n v="0"/>
    <s v="1 yr 0 mth "/>
    <x v="1"/>
    <x v="2"/>
    <s v="Anti-Coronavirus, COVID-19, clinical trial"/>
    <n v="0"/>
    <s v="zN/A"/>
    <n v="0"/>
    <s v="zN/A"/>
    <s v="Eikelboom, John W"/>
  </r>
  <r>
    <x v="283"/>
    <s v="York University (Toronto, Ontario)"/>
    <x v="1"/>
    <x v="35"/>
    <s v="201506EH1"/>
    <x v="22"/>
    <s v="Students Mental Health: Virtual Support on Campus"/>
    <n v="410732"/>
    <n v="0"/>
    <s v="3 yrs 0 mth "/>
    <x v="4"/>
    <x v="46"/>
    <s v="Mental Health, Virtual Support, Campus"/>
    <n v="0"/>
    <s v="zN/A"/>
    <n v="0"/>
    <s v="zN/A"/>
    <s v="El Morr, Christo"/>
  </r>
  <r>
    <x v="284"/>
    <s v="Research Institute of the McGill University Health Centre"/>
    <x v="4"/>
    <x v="0"/>
    <s v="201103MOP"/>
    <x v="6"/>
    <s v="Modelling of Radiotherapy Induced Damage in Locally Advanced Lung Cancer by a Novel System Radiobiology Approach"/>
    <n v="678951"/>
    <n v="0"/>
    <s v="5 yrs 0 mth "/>
    <x v="0"/>
    <x v="17"/>
    <s v="Radiotherapy, Lung Cancer, Radiobiology"/>
    <n v="0"/>
    <s v="zN/A"/>
    <n v="0"/>
    <s v="zN/A"/>
    <s v="El Naqa, Issam M"/>
  </r>
  <r>
    <x v="284"/>
    <s v="Research Institute of the McGill University Health Centre"/>
    <x v="4"/>
    <x v="0"/>
    <s v="201403MOP"/>
    <x v="6"/>
    <s v="Hybrid Image Analysis for Radiotherapy"/>
    <n v="394720"/>
    <n v="0"/>
    <s v="4 yrs 0 mth "/>
    <x v="0"/>
    <x v="18"/>
    <s v="Image analysis, radiotherapy"/>
    <n v="4"/>
    <s v="zN/A"/>
    <n v="0"/>
    <s v="zN/A"/>
    <s v="El Naqa, Issam M"/>
  </r>
  <r>
    <x v="285"/>
    <s v="University of Alberta"/>
    <x v="2"/>
    <x v="10"/>
    <s v="202109PLL"/>
    <x v="3"/>
    <s v="Erythroid progenitors and precursors impair tumor immunogenicity and promote tumour progression in breast cancer"/>
    <n v="100000"/>
    <n v="0"/>
    <s v="1 yr 0 mth "/>
    <x v="0"/>
    <x v="52"/>
    <s v="erythroid progenitors, tumor immunogenicity, breast cancer"/>
    <n v="0"/>
    <s v="zN/A"/>
    <n v="0"/>
    <s v="zN/A"/>
    <s v="Elahi, Shokrollah"/>
  </r>
  <r>
    <x v="285"/>
    <s v="University of Alberta"/>
    <x v="2"/>
    <x v="10"/>
    <s v="202303PLL"/>
    <x v="5"/>
    <s v="Erythroid progenitors and precursors impair tumor immunogenicity and promote tumour progression in breast cancer"/>
    <n v="100000"/>
    <n v="0"/>
    <s v="1 yr 0 mth "/>
    <x v="0"/>
    <x v="52"/>
    <s v="erythroid progenitors, tumor immunogenicity, breast cancer"/>
    <n v="0"/>
    <s v="zN/A"/>
    <n v="0"/>
    <s v="zN/A"/>
    <s v="Elahi, Shokrollah"/>
  </r>
  <r>
    <x v="285"/>
    <s v="University of Alberta"/>
    <x v="2"/>
    <x v="1"/>
    <s v="202309PJT"/>
    <x v="5"/>
    <s v="Erythroid progenitors and precursors impair tumor immunogenicity and promote tumour progression in breast cancer"/>
    <n v="749700"/>
    <n v="0"/>
    <s v="5 yrs 0 mth "/>
    <x v="0"/>
    <x v="52"/>
    <s v="erythroid progenitors, tumor immunogenicity, breast cancer"/>
    <n v="0"/>
    <s v="zN/A"/>
    <n v="0"/>
    <s v="zN/A"/>
    <s v="Elahi, Shokrollah"/>
  </r>
  <r>
    <x v="286"/>
    <s v="Queen's University (Kingston, Ontario)"/>
    <x v="1"/>
    <x v="0"/>
    <s v="200909MOP"/>
    <x v="5"/>
    <s v="A novel Src/ezrin signalling network as a potential marker for breast cancer metastasis"/>
    <n v="487301"/>
    <n v="0"/>
    <s v="4 yrs 0 mth "/>
    <x v="0"/>
    <x v="10"/>
    <s v="Src, ezrin, metastasis"/>
    <n v="0"/>
    <s v="zN/A"/>
    <n v="0"/>
    <s v="zN/A"/>
    <s v="Elliott, Bruce E"/>
  </r>
  <r>
    <x v="287"/>
    <s v="University of Alberta"/>
    <x v="2"/>
    <x v="22"/>
    <s v="201209INO"/>
    <x v="9"/>
    <s v="Cryobiology and Preservation of Cells and Tissues"/>
    <n v="100000"/>
    <n v="0"/>
    <s v="1 yr 0 mth "/>
    <x v="4"/>
    <x v="32"/>
    <s v="Cryobiology, Preservation, Cells"/>
    <n v="0"/>
    <s v="zN/A"/>
    <n v="0"/>
    <s v="zN/A"/>
    <s v="Elliott, Janet A"/>
  </r>
  <r>
    <x v="287"/>
    <s v="University of Alberta"/>
    <x v="2"/>
    <x v="0"/>
    <s v="201110MOP"/>
    <x v="9"/>
    <s v="Cryobiology and Preservation of Cells and Tissues"/>
    <n v="100000"/>
    <n v="0"/>
    <s v="1 yr 0 mth "/>
    <x v="4"/>
    <x v="9"/>
    <s v="Cryobiology, Preservation, Cells"/>
    <n v="0"/>
    <s v="zN/A"/>
    <n v="0"/>
    <s v="zN/A"/>
    <s v="Elliott, Janet A"/>
  </r>
  <r>
    <x v="287"/>
    <s v="University of Alberta"/>
    <x v="2"/>
    <x v="22"/>
    <s v="201303INO"/>
    <x v="9"/>
    <s v="Cryobiology and Preservation of Cells and Tissues"/>
    <n v="100000"/>
    <n v="0"/>
    <s v="1 yr 0 mth "/>
    <x v="4"/>
    <x v="9"/>
    <s v="Cryobiology, Preservation, Cells"/>
    <n v="0"/>
    <s v="zN/A"/>
    <n v="0"/>
    <s v="zN/A"/>
    <s v="Elliott, Janet A"/>
  </r>
  <r>
    <x v="287"/>
    <s v="University of Alberta"/>
    <x v="2"/>
    <x v="0"/>
    <s v="201309MOP"/>
    <x v="9"/>
    <s v="Cryobiology and Preservation of Cells and Tissues"/>
    <n v="604466"/>
    <n v="0"/>
    <s v="5 yrs 0 mth "/>
    <x v="4"/>
    <x v="9"/>
    <s v="Cryobiology, Preservation, Cells"/>
    <n v="0"/>
    <s v="zN/A"/>
    <n v="0"/>
    <s v="zN/A"/>
    <s v="Elliott, Janet A"/>
  </r>
  <r>
    <x v="287"/>
    <s v="University of Alberta"/>
    <x v="2"/>
    <x v="1"/>
    <s v="201803PJT"/>
    <x v="9"/>
    <s v="Cryobiology of Cardiomyocytes and Engineered Living Cardiac Tissue"/>
    <n v="711450"/>
    <n v="0"/>
    <s v="5 yrs 0 mth "/>
    <x v="3"/>
    <x v="7"/>
    <s v="Cryobiology, Cardiomyocytes, Cardiac tissue"/>
    <n v="1"/>
    <s v="zN/A"/>
    <n v="0"/>
    <s v="zN/A"/>
    <s v="Elliott, Janet A"/>
  </r>
  <r>
    <x v="287"/>
    <s v="University of Alberta"/>
    <x v="2"/>
    <x v="1"/>
    <s v="201903PJT"/>
    <x v="9"/>
    <s v="Cryobiology and Cryopreservation of Corneal Endothelial Monolayers"/>
    <n v="703800"/>
    <n v="0"/>
    <s v="5 yrs 0 mth "/>
    <x v="4"/>
    <x v="1"/>
    <s v="Cryobiology, Cryopreservation, Corneal Endothelial"/>
    <n v="0"/>
    <s v="zN/A"/>
    <n v="0"/>
    <s v="zN/A"/>
    <s v="Elliott, Janet A"/>
  </r>
  <r>
    <x v="288"/>
    <s v="Western University (Ontario)"/>
    <x v="1"/>
    <x v="0"/>
    <s v="200909MOP"/>
    <x v="6"/>
    <s v="A Systems Approach to Sepsis: Pathological versus Adaptive Microvascular Responses"/>
    <n v="642828"/>
    <n v="0"/>
    <s v="5 yrs 0 mth "/>
    <x v="3"/>
    <x v="10"/>
    <s v="Sepsis, Microvascular, Responses"/>
    <n v="0"/>
    <s v="zN/A"/>
    <n v="0"/>
    <s v="zN/A"/>
    <s v="Ellis, Christopher G"/>
  </r>
  <r>
    <x v="288"/>
    <s v="Western University (Ontario)"/>
    <x v="1"/>
    <x v="6"/>
    <s v="201410CPG"/>
    <x v="8"/>
    <s v="Noninvasive Functional Biomarker for Early Detection and Continuous Monitoring of Microvascular Dysfunction"/>
    <n v="319446"/>
    <n v="0"/>
    <s v="3 yrs 0 mth "/>
    <x v="3"/>
    <x v="6"/>
    <s v="Biomarker, Microvascular, Monitoring"/>
    <n v="0"/>
    <s v="zN/A"/>
    <n v="0"/>
    <s v="zN/A"/>
    <s v="Ellis, Christopher G"/>
  </r>
  <r>
    <x v="289"/>
    <s v="University of British Columbia"/>
    <x v="3"/>
    <x v="6"/>
    <s v="201310CPG"/>
    <x v="8"/>
    <s v="Wearable sensors to promote arm and hand function after stroke"/>
    <n v="208671"/>
    <n v="0"/>
    <s v="3 yrs 0 mth "/>
    <x v="5"/>
    <x v="9"/>
    <s v="wearable sensors, arm function, hand function"/>
    <n v="0"/>
    <s v="zN/A"/>
    <n v="0"/>
    <s v="zN/A"/>
    <s v="Eng, Janice J"/>
  </r>
  <r>
    <x v="289"/>
    <s v="University of British Columbia"/>
    <x v="3"/>
    <x v="6"/>
    <s v="201910CPG"/>
    <x v="8"/>
    <s v="Instrumented i-GRASP for the assessment and treatment of upper extremity function after neurological injury"/>
    <n v="268658"/>
    <n v="0"/>
    <s v="3 yrs 0 mth "/>
    <x v="4"/>
    <x v="22"/>
    <s v="i-GRASP, assessment, neurological injury"/>
    <n v="0"/>
    <s v="zN/A"/>
    <n v="0"/>
    <s v="zN/A"/>
    <s v="Eng, Janice J"/>
  </r>
  <r>
    <x v="290"/>
    <s v="Research Institute of the McGill University Health Centre"/>
    <x v="4"/>
    <x v="1"/>
    <s v="201709PJT"/>
    <x v="5"/>
    <s v="Novel targeted therapeutics against leukemia stem cells"/>
    <n v="665550"/>
    <n v="0"/>
    <s v="5 yrs 0 mth "/>
    <x v="0"/>
    <x v="11"/>
    <s v="targeted therapeutics, leukemia, stem cells"/>
    <n v="0"/>
    <s v="zN/A"/>
    <n v="0"/>
    <s v="zN/A"/>
    <s v="Eppert, Kolja"/>
  </r>
  <r>
    <x v="290"/>
    <s v="Research Institute of the McGill University Health Centre"/>
    <x v="4"/>
    <x v="1"/>
    <s v="202203PJT"/>
    <x v="0"/>
    <s v="Identification of the mechanisms underlying the early stages of leukemogenesis in human hematopoietic stem cells."/>
    <n v="898876"/>
    <n v="0"/>
    <s v="5 yrs 0 mth "/>
    <x v="0"/>
    <x v="3"/>
    <s v="leukemogenesis, hematopoietic stem cells, mechanisms"/>
    <n v="0"/>
    <s v="zN/A"/>
    <n v="0"/>
    <s v="zN/A"/>
    <s v="Eppert, Kolja"/>
  </r>
  <r>
    <x v="291"/>
    <s v="McGill University"/>
    <x v="4"/>
    <x v="20"/>
    <s v="201304OMI"/>
    <x v="18"/>
    <s v="CBRAIN: A national platform for neurodegenerative disease imaging data"/>
    <n v="225000"/>
    <n v="0"/>
    <s v="3 yrs 0 mth "/>
    <x v="4"/>
    <x v="34"/>
    <s v="neurodegenerative, imaging, data"/>
    <n v="0"/>
    <s v="zN/A"/>
    <n v="0"/>
    <s v="zN/A"/>
    <s v="Evans, Alan C"/>
  </r>
  <r>
    <x v="292"/>
    <s v="University of Alberta"/>
    <x v="2"/>
    <x v="0"/>
    <s v="201303MOP"/>
    <x v="1"/>
    <s v="The development of safer oncolytic poxviruses dependent on cellular dNTP synthesis"/>
    <n v="748558"/>
    <n v="0"/>
    <s v="5 yrs 0 mth "/>
    <x v="0"/>
    <x v="34"/>
    <s v="oncolytic poxviruses, dNTP synthesis"/>
    <n v="1"/>
    <s v="zN/A"/>
    <n v="0"/>
    <s v="zN/A"/>
    <s v="Evans, David H"/>
  </r>
  <r>
    <x v="293"/>
    <s v="University of British Columbia"/>
    <x v="3"/>
    <x v="1"/>
    <s v="202203PJT"/>
    <x v="0"/>
    <s v="Leveraging TCR reactivity to improve CAR T therapy"/>
    <n v="745876"/>
    <n v="0"/>
    <s v="5 yrs 0 mth "/>
    <x v="0"/>
    <x v="3"/>
    <s v="TCR, CAR T, reactivity"/>
    <n v="1"/>
    <s v="zN/A"/>
    <n v="0"/>
    <s v="zN/A"/>
    <s v="Evgin, Laura E"/>
  </r>
  <r>
    <x v="294"/>
    <s v="Brock University (Ontario)"/>
    <x v="1"/>
    <x v="6"/>
    <s v="201310CPG"/>
    <x v="8"/>
    <s v="Pressure Sore Risk Management in Children with Cerebral Palsy: Local and Whole Body Thermoregulation Strategies, Material Interface and Care Protocols"/>
    <n v="292623"/>
    <n v="0"/>
    <s v="3 yrs 0 mth "/>
    <x v="5"/>
    <x v="9"/>
    <s v="Pressure sore, thermoregulation, cerebral palsy"/>
    <n v="0"/>
    <s v="zN/A"/>
    <n v="0"/>
    <s v="zN/A"/>
    <s v="Falk, Bareket"/>
  </r>
  <r>
    <x v="295"/>
    <s v="University of Saskatchewan"/>
    <x v="6"/>
    <x v="2"/>
    <s v="202005VR1"/>
    <x v="2"/>
    <s v="Vaccine efficacy in nonhuman primates against SARS-CoV-2: protection, cross-protection and immune enhancement"/>
    <n v="1459325"/>
    <n v="0"/>
    <s v="1 yr 0 mth "/>
    <x v="1"/>
    <x v="2"/>
    <s v="Vaccine, SARS-CoV-2, primates"/>
    <n v="0"/>
    <s v="zN/A"/>
    <n v="0"/>
    <s v="zN/A"/>
    <s v="Falzarano, Darryl"/>
  </r>
  <r>
    <x v="296"/>
    <s v="University of British Columbia"/>
    <x v="3"/>
    <x v="3"/>
    <s v="201203IPR"/>
    <x v="4"/>
    <s v="Discovery &amp; Development of Novel Small Molecule Inhibitors of Viroporin Proteins for the Treatment of Acute &amp; Chronic Viral Infections."/>
    <n v="576493"/>
    <n v="0"/>
    <s v="3 yrs 0 mth "/>
    <x v="1"/>
    <x v="12"/>
    <s v="Small Molecule, Viroporin Proteins, Viral Infections"/>
    <n v="0"/>
    <s v="zN/A"/>
    <n v="0"/>
    <s v="zN/A"/>
    <s v="Fedida, David"/>
  </r>
  <r>
    <x v="296"/>
    <s v="University of British Columbia"/>
    <x v="3"/>
    <x v="6"/>
    <s v="201711CPG"/>
    <x v="8"/>
    <s v="Novel 3D bioprinted human cardiac tissue models for drug safety and efficacy testing."/>
    <n v="381750"/>
    <n v="0"/>
    <s v="3 yrs 0 mth "/>
    <x v="3"/>
    <x v="11"/>
    <s v="3D bioprinting, cardiac tissue, drug testing"/>
    <n v="0"/>
    <s v="zN/A"/>
    <n v="0"/>
    <s v="zN/A"/>
    <s v="Fedida, David"/>
  </r>
  <r>
    <x v="297"/>
    <s v="University Health Network (Toronto)"/>
    <x v="1"/>
    <x v="3"/>
    <s v="201303IPR"/>
    <x v="4"/>
    <s v="Randomized controlled trial of the efficacy of pre-emptive tenofovir to prevent hepatitis B reactivation in patients who are anti-HBc antibody positive receiving curative intent rituximab-based chemotherapy for non-Hodgkin's lympohma"/>
    <n v="143445"/>
    <n v="0"/>
    <s v="3 yrs 0 mth "/>
    <x v="9"/>
    <x v="34"/>
    <s v="tenofovir, hepatitis B, rituximab"/>
    <n v="0"/>
    <s v="zN/A"/>
    <n v="0"/>
    <s v="zN/A"/>
    <s v="Feld, Jordan J"/>
  </r>
  <r>
    <x v="298"/>
    <s v="Western University (Ontario)"/>
    <x v="1"/>
    <x v="0"/>
    <s v="200809MOP"/>
    <x v="6"/>
    <s v="3D ultrasound-guided trans-perineal focal prostate therapy platform"/>
    <n v="631813"/>
    <n v="0"/>
    <s v="5 yrs 0 mth "/>
    <x v="0"/>
    <x v="0"/>
    <s v="ultrasound, prostate, therapy"/>
    <n v="7"/>
    <s v="zN/A"/>
    <n v="0"/>
    <s v="zN/A"/>
    <s v="Fenster, Aaron"/>
  </r>
  <r>
    <x v="298"/>
    <s v="Western University (Ontario)"/>
    <x v="1"/>
    <x v="0"/>
    <s v="201405MOP"/>
    <x v="6"/>
    <s v="MR-Guided Focal Laser Thermal Ablation of Prostate Cancer therapy"/>
    <n v="100000"/>
    <n v="0"/>
    <s v="1 yr 0 mth "/>
    <x v="0"/>
    <x v="20"/>
    <s v="MR, Laser, Prostate"/>
    <n v="0"/>
    <s v="zN/A"/>
    <n v="0"/>
    <s v="zN/A"/>
    <s v="Fenster, Aaron"/>
  </r>
  <r>
    <x v="298"/>
    <s v="Western University (Ontario)"/>
    <x v="1"/>
    <x v="0"/>
    <s v="201503MOP"/>
    <x v="6"/>
    <s v="MR-Guided Focal Laser Thermal Ablation for Prostate Cancer therapy"/>
    <n v="419820"/>
    <n v="0"/>
    <s v="3 yrs 0 mth "/>
    <x v="0"/>
    <x v="19"/>
    <s v="MR-guided, laser ablation, prostate cancer"/>
    <n v="0"/>
    <s v="zN/A"/>
    <n v="0"/>
    <s v="zN/A"/>
    <s v="Fenster, Aaron"/>
  </r>
  <r>
    <x v="299"/>
    <s v="Université de Montréal"/>
    <x v="4"/>
    <x v="0"/>
    <s v="201009MOP"/>
    <x v="0"/>
    <s v="Mechanisms of the tumor suppression activity of the ERK pathway"/>
    <n v="791460"/>
    <n v="0"/>
    <s v="5 yrs 0 mth "/>
    <x v="0"/>
    <x v="16"/>
    <s v="tumor suppression, ERK pathway"/>
    <n v="0"/>
    <s v="zN/A"/>
    <n v="0"/>
    <s v="zN/A"/>
    <s v="Ferbeyre, Gerardo"/>
  </r>
  <r>
    <x v="299"/>
    <s v="Centre hospitalier de l'Université de Montréal (CHUM)"/>
    <x v="4"/>
    <x v="1"/>
    <s v="202203PJT"/>
    <x v="3"/>
    <s v="Targeting ribosomal RNA biogenesis to restore the senescence tumor suppression mechanism"/>
    <n v="879750"/>
    <n v="0"/>
    <s v="5 yrs 0 mth "/>
    <x v="0"/>
    <x v="3"/>
    <s v="ribosomal RNA, biogenesis, tumor suppression"/>
    <n v="0"/>
    <s v="zN/A"/>
    <n v="0"/>
    <s v="zN/A"/>
    <s v="Ferbeyre, Gerardo"/>
  </r>
  <r>
    <x v="300"/>
    <s v="McGill University"/>
    <x v="4"/>
    <x v="0"/>
    <s v="200810MOP"/>
    <x v="5"/>
    <s v="The Role of Systemic Inflammation in Esophageal Cancer Metastasis: Exploring Neutrophil Dependent and Independent Mechanisms"/>
    <n v="94265"/>
    <n v="0"/>
    <s v="1 yr 0 mth "/>
    <x v="0"/>
    <x v="48"/>
    <s v="Systemic Inflammation, Esophageal Cancer, Metastasis"/>
    <n v="0"/>
    <s v="zN/A"/>
    <n v="0"/>
    <s v="zN/A"/>
    <s v="Ferri, Lorenzo"/>
  </r>
  <r>
    <x v="300"/>
    <s v="McGill University"/>
    <x v="4"/>
    <x v="0"/>
    <s v="201103MOP"/>
    <x v="1"/>
    <s v="Acute bacterial infection promotes cancer metastasis through toll like receptor signal transduction"/>
    <n v="497573"/>
    <n v="0"/>
    <s v="4 yrs 0 mth "/>
    <x v="0"/>
    <x v="17"/>
    <s v="bacterial infection, toll like receptor, metastasis"/>
    <n v="0"/>
    <s v="zN/A"/>
    <n v="0"/>
    <s v="zN/A"/>
    <s v="Ferri, Lorenzo"/>
  </r>
  <r>
    <x v="300"/>
    <s v="Research Institute of the McGill University Health Centre"/>
    <x v="4"/>
    <x v="0"/>
    <s v="201309MOP"/>
    <x v="1"/>
    <s v="Investigating the Role of Neutrophil Extracellular Traps In Cancer Metastasis"/>
    <n v="707578"/>
    <n v="0"/>
    <s v="5 yrs 0 mth "/>
    <x v="0"/>
    <x v="9"/>
    <s v="Neutrophil, Extracellular Traps, Cancer"/>
    <n v="0"/>
    <s v="zN/A"/>
    <n v="0"/>
    <s v="zN/A"/>
    <s v="Ferri, Lorenzo"/>
  </r>
  <r>
    <x v="301"/>
    <s v="Queen's University (Kingston, Ontario)"/>
    <x v="1"/>
    <x v="6"/>
    <s v="201210CPG"/>
    <x v="8"/>
    <s v="Perk Tutor: Ultrasound-guided Needle Placement Training Platform"/>
    <n v="336940"/>
    <n v="0"/>
    <s v="3 yrs 0 mth "/>
    <x v="5"/>
    <x v="14"/>
    <s v="ultrasound, needle, training"/>
    <n v="6"/>
    <s v="zN/A"/>
    <n v="0"/>
    <s v="zN/A"/>
    <s v="Fichtinger, Gabor"/>
  </r>
  <r>
    <x v="301"/>
    <s v="Queen's University (Kingston, Ontario)"/>
    <x v="1"/>
    <x v="6"/>
    <s v="201410CPG"/>
    <x v="8"/>
    <s v="Mobile Image Overlay System (MIOS) for Musculoskeletal Needle Placement Guidance"/>
    <n v="138013"/>
    <n v="0"/>
    <s v="3 yrs 0 mth "/>
    <x v="5"/>
    <x v="6"/>
    <s v="Mobile, Image Overlay, Needle Placement"/>
    <n v="2"/>
    <s v="zN/A"/>
    <n v="0"/>
    <s v="zN/A"/>
    <s v="Fichtinger, Gabor"/>
  </r>
  <r>
    <x v="301"/>
    <s v="Queen's University (Kingston, Ontario)"/>
    <x v="1"/>
    <x v="6"/>
    <s v="201610CPG"/>
    <x v="8"/>
    <s v="Real-time Breast Cancer Surgery Navigation"/>
    <n v="194419"/>
    <n v="0"/>
    <s v="3 yrs 0 mth "/>
    <x v="0"/>
    <x v="24"/>
    <s v="Breast Cancer, Surgery, Navigation"/>
    <n v="1"/>
    <s v="zN/A"/>
    <n v="0"/>
    <s v="zN/A"/>
    <s v="Fichtinger, Gabor"/>
  </r>
  <r>
    <x v="301"/>
    <s v="Queen's University (Kingston, Ontario)"/>
    <x v="1"/>
    <x v="6"/>
    <s v="201910CPG"/>
    <x v="8"/>
    <s v="Robotically assisted real-time metabolomic navigation of breast conserving surgery"/>
    <n v="337724"/>
    <n v="13988"/>
    <s v="3 yrs 0 mth "/>
    <x v="0"/>
    <x v="22"/>
    <s v="robotically, metabolomic, navigation"/>
    <n v="0"/>
    <s v="zN/A"/>
    <n v="0"/>
    <s v="zN/A"/>
    <s v="Fichtinger, Gabor"/>
  </r>
  <r>
    <x v="302"/>
    <s v="Dalhousie University (Nova Scotia)"/>
    <x v="5"/>
    <x v="6"/>
    <s v="201410CPG"/>
    <x v="8"/>
    <s v="Lensless microscopy for rapid portable hematology diagnostics at the point of care"/>
    <n v="431955"/>
    <n v="0"/>
    <s v="3 yrs 0 mth "/>
    <x v="0"/>
    <x v="6"/>
    <s v="lensless,microscopy,hematology"/>
    <n v="1"/>
    <s v="zN/A"/>
    <n v="0"/>
    <s v="zN/A"/>
    <s v="Fine, Alan"/>
  </r>
  <r>
    <x v="303"/>
    <s v="Centre hospitalier de l'Université de Montréal (CHUM)"/>
    <x v="4"/>
    <x v="16"/>
    <s v="201211CHR"/>
    <x v="15"/>
    <s v="Identification of Naturally-Occurring anti-HIV-1 Neutralizing Molecules from a Cohort of Highly-HIV-1-Exposed Seronegative Individuals"/>
    <n v="100000"/>
    <n v="0"/>
    <s v="1 yr 0 mth "/>
    <x v="1"/>
    <x v="32"/>
    <s v="anti-HIV, neutralizing molecules, seronegative"/>
    <n v="1"/>
    <s v="zN/A"/>
    <n v="0"/>
    <s v="zN/A"/>
    <s v="Finzi, Andres"/>
  </r>
  <r>
    <x v="304"/>
    <s v="Universite du Quebec e Trois-Rivieres"/>
    <x v="4"/>
    <x v="19"/>
    <s v="202307NWI"/>
    <x v="17"/>
    <s v="Characterization of a novel molecular strategy to alleviate post-menopausal metabolic &amp; mood disorders"/>
    <n v="150000"/>
    <n v="0"/>
    <s v="1 yr 0 mth "/>
    <x v="9"/>
    <x v="36"/>
    <s v="molecular strategy, post-menopausal, metabolic"/>
    <n v="0"/>
    <s v="zN/A"/>
    <n v="0"/>
    <s v="zN/A"/>
    <s v="Fisette, Alexandre"/>
  </r>
  <r>
    <x v="305"/>
    <s v="University of Toronto"/>
    <x v="1"/>
    <x v="6"/>
    <s v="201810CPG"/>
    <x v="8"/>
    <s v="Refining processes to maximize the provision of donor human milk rich in nutrients and bioactive components: An integrated multidisciplinary approach at a human milk bank serving critically-ill neonates."/>
    <n v="246233"/>
    <n v="10900"/>
    <s v="3 yrs 0 mth "/>
    <x v="7"/>
    <x v="26"/>
    <s v="donor human milk, bioactive components, neonates"/>
    <n v="0"/>
    <s v="zN/A"/>
    <n v="0"/>
    <s v="zN/A"/>
    <s v="Fittipaldi, Nahuel V"/>
  </r>
  <r>
    <x v="306"/>
    <s v="Queen's University (Kingston, Ontario)"/>
    <x v="1"/>
    <x v="1"/>
    <s v="201809PJT"/>
    <x v="9"/>
    <s v="MyD88-dependent modulation of host response to insulin infusion cannulas"/>
    <n v="443700"/>
    <n v="0"/>
    <s v="4 yrs 0 mth "/>
    <x v="1"/>
    <x v="26"/>
    <s v="MyD88, insulin infusion, host response"/>
    <n v="0"/>
    <s v="zN/A"/>
    <n v="0"/>
    <s v="zN/A"/>
    <s v="Fitzpatrick, Lindsay"/>
  </r>
  <r>
    <x v="307"/>
    <s v="Université Laval"/>
    <x v="4"/>
    <x v="13"/>
    <s v="202005VR3"/>
    <x v="12"/>
    <s v="COVID-19 trilogy: ARDS, inflammation and coagulopathy."/>
    <n v="226625"/>
    <n v="0"/>
    <s v="1 yr 0 mth "/>
    <x v="1"/>
    <x v="2"/>
    <s v="COVID-19, ARDS, coagulopathy"/>
    <n v="0"/>
    <s v="zN/A"/>
    <n v="0"/>
    <s v="zN/A"/>
    <s v="Flamand, Louis"/>
  </r>
  <r>
    <x v="308"/>
    <s v="University Health Network (Toronto)"/>
    <x v="1"/>
    <x v="0"/>
    <s v="201203MOP"/>
    <x v="9"/>
    <s v="Ocular Biomechanics and Glaucoma:  Finite Element Modeling of the Optic Nerve's Response to Biomechanical Insult and it's Role in Astrocyte Activation"/>
    <n v="692821"/>
    <n v="0"/>
    <s v="5 yrs 0 mth "/>
    <x v="4"/>
    <x v="12"/>
    <s v="ocular, biomechanics, glaucoma"/>
    <n v="1"/>
    <s v="zN/A"/>
    <n v="0"/>
    <s v="zN/A"/>
    <s v="Flanagan, John G"/>
  </r>
  <r>
    <x v="309"/>
    <s v="Queen's University (Kingston, Ontario)"/>
    <x v="1"/>
    <x v="15"/>
    <s v="201009IMH"/>
    <x v="9"/>
    <s v="Engineering Adipogenesis for Soft Tissue Regeneration"/>
    <n v="99346"/>
    <n v="0"/>
    <s v="1 yr 0 mth "/>
    <x v="5"/>
    <x v="44"/>
    <s v="Adipogenesis, Soft Tissue, Regeneration"/>
    <n v="0"/>
    <s v="zN/A"/>
    <n v="0"/>
    <s v="zN/A"/>
    <s v="Flynn, Lauren E"/>
  </r>
  <r>
    <x v="309"/>
    <s v="Queen's University (Kingston, Ontario)"/>
    <x v="1"/>
    <x v="0"/>
    <s v="201109MOP"/>
    <x v="9"/>
    <s v="Engineering Adipogenesis for Soft Tissue Regeneration"/>
    <n v="423928"/>
    <n v="0"/>
    <s v="4 yrs 0 mth "/>
    <x v="5"/>
    <x v="15"/>
    <s v="Adipogenesis, Soft Tissue, Regeneration"/>
    <n v="0"/>
    <s v="zN/A"/>
    <n v="0"/>
    <s v="zN/A"/>
    <s v="Flynn, Lauren E"/>
  </r>
  <r>
    <x v="309"/>
    <s v="Western University (Ontario)"/>
    <x v="1"/>
    <x v="0"/>
    <s v="201503MOP"/>
    <x v="9"/>
    <s v="Engineering Adipogenesis for Soft Tissue Regeneration"/>
    <n v="682393"/>
    <n v="0"/>
    <s v="5 yrs 0 mth "/>
    <x v="5"/>
    <x v="19"/>
    <s v="Adipogenesis, Soft Tissue, Regeneration"/>
    <n v="0"/>
    <s v="zN/A"/>
    <n v="0"/>
    <s v="zN/A"/>
    <s v="Flynn, Lauren E"/>
  </r>
  <r>
    <x v="310"/>
    <s v="University of Calgary"/>
    <x v="2"/>
    <x v="1"/>
    <s v="202104PJT"/>
    <x v="9"/>
    <s v="Distributed Machine Learning for Diagnosis and Treatment Decision Support of Pediatric Brain Tumors"/>
    <n v="634950"/>
    <n v="0"/>
    <s v="5 yrs 0 mth "/>
    <x v="0"/>
    <x v="35"/>
    <s v="Distributed, Machine Learning, Diagnosis"/>
    <n v="0"/>
    <s v="zN/A"/>
    <n v="0"/>
    <s v="zN/A"/>
    <s v="Forkert, Nils Daniel"/>
  </r>
  <r>
    <x v="311"/>
    <s v="Université Laval"/>
    <x v="4"/>
    <x v="1"/>
    <s v="202003PJT"/>
    <x v="9"/>
    <s v="Anatomically relevant brachytherapy implants by a 3D printing and radiosensitizing approach"/>
    <n v="765000"/>
    <n v="0"/>
    <s v="5 yrs 0 mth "/>
    <x v="0"/>
    <x v="39"/>
    <s v="brachytherapy, 3D printing, radiosensitizing"/>
    <n v="0"/>
    <s v="zN/A"/>
    <n v="0"/>
    <s v="zN/A"/>
    <s v="Fortin, Marc-Andre"/>
  </r>
  <r>
    <x v="312"/>
    <s v="Universite Laval"/>
    <x v="4"/>
    <x v="1"/>
    <s v="202104PJT"/>
    <x v="5"/>
    <s v="L'AIMZ-938, un nouveau promedicament anticancereux pour le traitement des cancers du sein humain refractaires aux traitements actuels et exprimant le cytochrome P450 1A1"/>
    <n v="891226"/>
    <n v="0"/>
    <s v="5 yrs 0 mth "/>
    <x v="0"/>
    <x v="35"/>
    <s v="anticancer, breast cancer, cytochrome P450"/>
    <n v="0"/>
    <s v="zN/A"/>
    <n v="0"/>
    <s v="zN/A"/>
    <s v="Fortin, Sebastien"/>
  </r>
  <r>
    <x v="313"/>
    <s v="Sunnybrook Research Institute (Toronto, Ontario)"/>
    <x v="1"/>
    <x v="0"/>
    <s v="201209MOP"/>
    <x v="6"/>
    <s v="Multifrequency Ultrasound: Technology and Applications"/>
    <n v="414316"/>
    <n v="0"/>
    <s v="3 yrs 0 mth "/>
    <x v="0"/>
    <x v="14"/>
    <s v="Ultrasound, Multifrequency"/>
    <n v="0"/>
    <s v="zN/A"/>
    <n v="0"/>
    <s v="zN/A"/>
    <s v="Foster, F. Stuart"/>
  </r>
  <r>
    <x v="313"/>
    <s v="Sunnybrook Research Institute (Toronto, Ontario)"/>
    <x v="1"/>
    <x v="0"/>
    <s v="201403MOP"/>
    <x v="6"/>
    <s v="Development of biogenic gas nanostructures as a new class of molecular reporters for ultrasound"/>
    <n v="731378"/>
    <n v="0"/>
    <s v="5 yrs 0 mth "/>
    <x v="0"/>
    <x v="18"/>
    <s v="biogenic gas, nanostructures, ultrasound"/>
    <n v="0"/>
    <s v="zN/A"/>
    <n v="0"/>
    <s v="zN/A"/>
    <s v="Foster, F. Stuart"/>
  </r>
  <r>
    <x v="314"/>
    <s v="Western University (Ontario)"/>
    <x v="1"/>
    <x v="0"/>
    <s v="201303MOP"/>
    <x v="5"/>
    <s v="In Vivo Investigation of Mechanisms of Brain Metastasis and Metastatic Recurrence"/>
    <n v="381453"/>
    <n v="0"/>
    <s v="3 yrs 0 mth "/>
    <x v="0"/>
    <x v="34"/>
    <s v="brain, metastasis, recurrence"/>
    <n v="0"/>
    <s v="zN/A"/>
    <n v="0"/>
    <s v="zN/A"/>
    <s v="Foster, Paula J"/>
  </r>
  <r>
    <x v="314"/>
    <s v="Western University (Ontario)"/>
    <x v="1"/>
    <x v="1"/>
    <s v="202104PJT"/>
    <x v="6"/>
    <s v="Development of Magnetic Particle Imaging for In Vivo Cell Tracking"/>
    <n v="535500"/>
    <n v="0"/>
    <s v="5 yrs 0 mth "/>
    <x v="0"/>
    <x v="35"/>
    <s v="Magnetic Particle Imaging, In Vivo, Cell Tracking"/>
    <n v="0"/>
    <s v="zN/A"/>
    <n v="0"/>
    <s v="zN/A"/>
    <s v="Foster, Paula J"/>
  </r>
  <r>
    <x v="315"/>
    <s v="McMaster University"/>
    <x v="1"/>
    <x v="6"/>
    <s v="201510CPG"/>
    <x v="8"/>
    <s v="Point of Care Device for Rapid Quantification of Cell-Free DNA  with Application in Severe Sepsis"/>
    <n v="240400"/>
    <n v="0"/>
    <s v="3 yrs 0 mth "/>
    <x v="3"/>
    <x v="4"/>
    <s v="Point of Care, Cell-Free DNA, Sepsis"/>
    <n v="1"/>
    <s v="zN/A"/>
    <n v="0"/>
    <s v="zN/A"/>
    <s v="Fox-Robichaud, Alison E"/>
  </r>
  <r>
    <x v="316"/>
    <s v="Université Laval"/>
    <x v="4"/>
    <x v="1"/>
    <s v="202109PJT"/>
    <x v="3"/>
    <s v="Unraveling the molecular mechanisms that promote replication stress and resistance to chemoradiation in oropharyngeal cancer caused by human papillomavirus"/>
    <n v="891225"/>
    <n v="0"/>
    <s v="5 yrs 0 mth "/>
    <x v="0"/>
    <x v="25"/>
    <s v="replication stress, chemoradiation, oropharyngeal cancer"/>
    <n v="0"/>
    <s v="zN/A"/>
    <n v="0"/>
    <s v="zN/A"/>
    <s v="Fradet-Turcotte, Amelie"/>
  </r>
  <r>
    <x v="317"/>
    <s v="Université Laval"/>
    <x v="4"/>
    <x v="0"/>
    <s v="200809MOP"/>
    <x v="0"/>
    <s v="Optimization of immunotherapy of bladder cancer: response to various non-specific immunomodulators"/>
    <n v="322690"/>
    <n v="0"/>
    <s v="3 yrs 0 mth "/>
    <x v="0"/>
    <x v="0"/>
    <s v="immunotherapy, bladder cancer, immunomodulators"/>
    <n v="1"/>
    <s v="zN/A"/>
    <n v="0"/>
    <s v="zN/A"/>
    <s v="Fradet, Yves"/>
  </r>
  <r>
    <x v="318"/>
    <s v="Universite Laval"/>
    <x v="4"/>
    <x v="0"/>
    <s v="201009MOP"/>
    <x v="9"/>
    <s v="Tissu adipeux humain reconstruit par genie tissulaire: substituts endothelialises et compatibles avec la clinique"/>
    <n v="692633"/>
    <n v="0"/>
    <s v="5 yrs 0 mth "/>
    <x v="5"/>
    <x v="16"/>
    <s v="adipose tissue, tissue engineering, endothelialization"/>
    <n v="0"/>
    <s v="zN/A"/>
    <n v="0"/>
    <s v="zN/A"/>
    <s v="Fradette, Julie"/>
  </r>
  <r>
    <x v="318"/>
    <s v="Université Laval"/>
    <x v="4"/>
    <x v="1"/>
    <s v="202109PJT"/>
    <x v="9"/>
    <s v="Engineering bioactive dressings from mesenchymal cells to enhance healing of irradiated skin wounds"/>
    <n v="837675"/>
    <n v="0"/>
    <s v="5 yrs 0 mth "/>
    <x v="5"/>
    <x v="25"/>
    <s v="bioactive, dressings, skin"/>
    <n v="0"/>
    <s v="zN/A"/>
    <n v="0"/>
    <s v="zN/A"/>
    <s v="Fradette, Julie"/>
  </r>
  <r>
    <x v="319"/>
    <s v="Dalhousie University (Nova Scotia)"/>
    <x v="5"/>
    <x v="6"/>
    <s v="201910CPG"/>
    <x v="8"/>
    <s v="Development of a near-care diagnostic test for Lyme disease"/>
    <n v="460441"/>
    <n v="31265"/>
    <s v="3 yrs 0 mth "/>
    <x v="1"/>
    <x v="22"/>
    <s v="diagnostic test, Lyme disease"/>
    <n v="0"/>
    <s v="zN/A"/>
    <n v="0"/>
    <s v="zN/A"/>
    <s v="Frampton, John P"/>
  </r>
  <r>
    <x v="319"/>
    <s v="Dalhousie University (Nova Scotia)"/>
    <x v="5"/>
    <x v="1"/>
    <s v="202203PJT"/>
    <x v="10"/>
    <s v="Collagen Fiber Scaffolds for Emergency Treatment of Corneal Injury"/>
    <n v="952426"/>
    <n v="0"/>
    <s v="5 yrs 0 mth "/>
    <x v="4"/>
    <x v="3"/>
    <s v="Collagen, Fiber, Corneal"/>
    <n v="0"/>
    <s v="zN/A"/>
    <n v="0"/>
    <s v="zN/A"/>
    <s v="Frampton, John P"/>
  </r>
  <r>
    <x v="320"/>
    <s v="University of Toronto"/>
    <x v="1"/>
    <x v="1"/>
    <s v="202403PJT"/>
    <x v="9"/>
    <s v="Advancing Pulse Oximetry Accuracy and Equity through Wearable Spectroscopy Devices"/>
    <n v="879750"/>
    <n v="0"/>
    <s v="5 yrs 0 mth "/>
    <x v="3"/>
    <x v="38"/>
    <s v="Pulse Oximetry, Spectroscopy, Wearable"/>
    <n v="0"/>
    <s v="zN/A"/>
    <n v="0"/>
    <s v="zN/A"/>
    <s v="Franklin, Daniel"/>
  </r>
  <r>
    <x v="321"/>
    <s v="University of Calgary"/>
    <x v="2"/>
    <x v="0"/>
    <s v="201003MOP"/>
    <x v="6"/>
    <s v="Imaging of Small Vessel Disease in Dementia"/>
    <n v="815081"/>
    <n v="0"/>
    <s v="5 yrs 0 mth "/>
    <x v="3"/>
    <x v="21"/>
    <s v="Imaging, Small Vessel Disease, Dementia"/>
    <n v="0"/>
    <s v="zN/A"/>
    <n v="0"/>
    <s v="zN/A"/>
    <s v="Frayne, Richard"/>
  </r>
  <r>
    <x v="322"/>
    <s v="University of Alberta"/>
    <x v="2"/>
    <x v="6"/>
    <s v="201610CPG"/>
    <x v="8"/>
    <s v="Development of an ex vivo heart perfusion system for pre-transplant preservation and evaluation of donor hearts"/>
    <n v="315794"/>
    <n v="0"/>
    <s v="3 yrs 0 mth "/>
    <x v="3"/>
    <x v="24"/>
    <s v="heart perfusion, ex vivo, donor preservation"/>
    <n v="5"/>
    <s v="zN/A"/>
    <n v="0"/>
    <s v="zN/A"/>
    <s v="Freed, Darren H"/>
  </r>
  <r>
    <x v="323"/>
    <s v="University of Saskatchewan"/>
    <x v="6"/>
    <x v="1"/>
    <s v="201709PJT"/>
    <x v="5"/>
    <s v="Targeting the EphA2 receptor in triple-negative breast cancer"/>
    <n v="558452"/>
    <n v="0"/>
    <s v="4 yrs 0 mth "/>
    <x v="0"/>
    <x v="11"/>
    <s v="EphA2, receptor, breast cancer"/>
    <n v="0"/>
    <s v="zN/A"/>
    <n v="0"/>
    <s v="zN/A"/>
    <s v="Freywald, Andrew"/>
  </r>
  <r>
    <x v="323"/>
    <s v="University of Saskatchewan"/>
    <x v="6"/>
    <x v="10"/>
    <s v="202309PLL"/>
    <x v="1"/>
    <s v="Targeting the EGFR/EphA2 crosstalk in triple negative breast cancer"/>
    <n v="100000"/>
    <n v="0"/>
    <s v="1 yr 0 mth "/>
    <x v="0"/>
    <x v="37"/>
    <s v="EGFR, EphA2, breast cancer"/>
    <n v="0"/>
    <s v="zN/A"/>
    <n v="0"/>
    <s v="zN/A"/>
    <s v="Freywald, Andrew"/>
  </r>
  <r>
    <x v="324"/>
    <s v="McGill University"/>
    <x v="4"/>
    <x v="1"/>
    <s v="202303PJT"/>
    <x v="9"/>
    <s v="Modelling and machine learning for newborn hearing screening"/>
    <n v="876690"/>
    <n v="0"/>
    <s v="5 yrs 0 mth "/>
    <x v="7"/>
    <x v="13"/>
    <s v="modelling, machine learning, hearing screening"/>
    <n v="0"/>
    <s v="zN/A"/>
    <n v="0"/>
    <s v="zN/A"/>
    <s v="Funnell, W. Robert J."/>
  </r>
  <r>
    <x v="325"/>
    <s v="McMaster University"/>
    <x v="1"/>
    <x v="6"/>
    <s v="201210CPG"/>
    <x v="8"/>
    <s v="Development of a pumpless lung assist device which acts like an artificial placenta for neonates with respiratory failure."/>
    <n v="273358"/>
    <n v="0"/>
    <s v="3 yrs 0 mth "/>
    <x v="3"/>
    <x v="14"/>
    <s v="lung assist, artificial placenta, neonates"/>
    <n v="0"/>
    <s v="zN/A"/>
    <n v="0"/>
    <s v="zN/A"/>
    <s v="Fusch, Christoph"/>
  </r>
  <r>
    <x v="326"/>
    <s v="Universite Laval"/>
    <x v="4"/>
    <x v="6"/>
    <s v="201310CPG"/>
    <x v="8"/>
    <s v="elaboration d'un procede de production de cellules therapeutiques autologues destine au traitement de la Dystrophie musculaire de Duchenne"/>
    <n v="225592"/>
    <n v="0"/>
    <s v="3 yrs 0 mth "/>
    <x v="5"/>
    <x v="9"/>
    <s v="cellules, autologues, dystrophie"/>
    <n v="0"/>
    <s v="zN/A"/>
    <n v="0"/>
    <s v="zN/A"/>
    <s v="Gaillet, Bruno"/>
  </r>
  <r>
    <x v="327"/>
    <s v="University Health Network (Toronto)"/>
    <x v="1"/>
    <x v="1"/>
    <s v="202209PJT"/>
    <x v="0"/>
    <s v="Dissecting the determinants and dynamics of cellular states promoting glioma evolution"/>
    <n v="1040400"/>
    <n v="0"/>
    <s v="5 yrs 0 mth "/>
    <x v="0"/>
    <x v="53"/>
    <s v="glioma, cellular states, evolution"/>
    <n v="0"/>
    <s v="zN/A"/>
    <n v="0"/>
    <s v="zN/A"/>
    <s v="Gaiti, Federico"/>
  </r>
  <r>
    <x v="328"/>
    <s v="CIUSSS de Centre-Ouest-de-l'Ile-de-Montréal-Jewish General"/>
    <x v="4"/>
    <x v="0"/>
    <s v="200903MOP"/>
    <x v="5"/>
    <s v="A study of novel anti-cancer immunomodulatory fusion proteins and transgenic cell therapy"/>
    <n v="1147574"/>
    <n v="0"/>
    <s v="5 yrs 0 mth "/>
    <x v="0"/>
    <x v="5"/>
    <s v="anti-cancer, immunomodulatory, fusion proteins"/>
    <n v="8"/>
    <s v="zN/A"/>
    <n v="0"/>
    <s v="zN/A"/>
    <s v="Galipeau, Jacques"/>
  </r>
  <r>
    <x v="329"/>
    <s v="Ontario Institute for Cancer Research (Toronto, Ontario)"/>
    <x v="1"/>
    <x v="1"/>
    <s v="202109PJT"/>
    <x v="5"/>
    <s v="Patient derived organoids as a platform for inferring treatment response in pancreatic cancer patients"/>
    <n v="975375"/>
    <n v="0"/>
    <s v="5 yrs 0 mth "/>
    <x v="0"/>
    <x v="25"/>
    <s v="organoids, pancreatic cancer, treatment response"/>
    <n v="0"/>
    <s v="zN/A"/>
    <n v="0"/>
    <s v="zN/A"/>
    <s v="Gallinger, Steven"/>
  </r>
  <r>
    <x v="330"/>
    <s v="University of Calgary"/>
    <x v="2"/>
    <x v="17"/>
    <s v="202203PDI"/>
    <x v="1"/>
    <s v="Recurrent 3D genome features in PFA ependymoma"/>
    <n v="390000"/>
    <n v="0"/>
    <s v="1 yr 5 mths "/>
    <x v="0"/>
    <x v="3"/>
    <s v="3D genome, PFA ependymoma, recurrent"/>
    <n v="0"/>
    <s v="zN/A"/>
    <n v="0"/>
    <s v="zN/A"/>
    <s v="Gallo, Marco"/>
  </r>
  <r>
    <x v="331"/>
    <s v="University of Alberta"/>
    <x v="2"/>
    <x v="1"/>
    <s v="201803PJT"/>
    <x v="0"/>
    <s v="Cancer Therapy exploiting Conditional Synthetic Lethality based on Genotoxic Stress levels"/>
    <n v="918000"/>
    <n v="0"/>
    <s v="5 yrs 0 mth "/>
    <x v="0"/>
    <x v="7"/>
    <s v="Cancer, Synthetic Lethality, Genotoxic Stress"/>
    <n v="0"/>
    <s v="zN/A"/>
    <n v="0"/>
    <s v="zN/A"/>
    <s v="Gamper, Armin"/>
  </r>
  <r>
    <x v="332"/>
    <s v="Université Laval"/>
    <x v="4"/>
    <x v="1"/>
    <s v="201903PJT"/>
    <x v="1"/>
    <s v="Multi-pathway cholesterol depletion on top of FOLFIRINOX in newly diagnosed metastatic pancreatic adenocarcinoma: a feasibility and proof-of-concept study"/>
    <n v="153000"/>
    <n v="0"/>
    <s v="2 yrs 0 mth "/>
    <x v="0"/>
    <x v="1"/>
    <s v="cholesterol depletion, FOLFIRINOX, pancreatic adenocarcinoma"/>
    <n v="0"/>
    <s v="zN/A"/>
    <n v="0"/>
    <s v="zN/A"/>
    <s v="Gangloff, Anne"/>
  </r>
  <r>
    <x v="333"/>
    <s v="Centre hospitalier de l'Université de Montréal (CHUM)"/>
    <x v="4"/>
    <x v="0"/>
    <s v="201003MOP"/>
    <x v="6"/>
    <s v="Echocardiographic assessment of global and regional left ventricular function using an original modality of coupled wall-fluid dynamics mapping."/>
    <n v="358987"/>
    <n v="0"/>
    <s v="5 yrs 0 mth "/>
    <x v="3"/>
    <x v="21"/>
    <s v="echocardiographic, ventricular, wall-fluid"/>
    <n v="0"/>
    <s v="zN/A"/>
    <n v="0"/>
    <s v="zN/A"/>
    <s v="Garcia, Damien"/>
  </r>
  <r>
    <x v="334"/>
    <s v="University of British Columbia"/>
    <x v="3"/>
    <x v="0"/>
    <s v="201003MOP"/>
    <x v="5"/>
    <s v="Deciphering and reconstituting genetic events in oral cancer progression"/>
    <n v="484436"/>
    <n v="0"/>
    <s v="4 yrs 0 mth "/>
    <x v="0"/>
    <x v="21"/>
    <s v="genetic, oral cancer, reconstitution"/>
    <n v="0"/>
    <s v="zN/A"/>
    <n v="0"/>
    <s v="zN/A"/>
    <s v="Garnis, Cathie"/>
  </r>
  <r>
    <x v="334"/>
    <s v="University of British Columbia"/>
    <x v="3"/>
    <x v="0"/>
    <s v="201309MOP"/>
    <x v="5"/>
    <s v="Evaluation of circulating small RNA markers as simple blood test biomarkers for detecting and predicting outcomes in oral cancer"/>
    <n v="491649"/>
    <n v="0"/>
    <s v="3 yrs 0 mth "/>
    <x v="0"/>
    <x v="9"/>
    <s v="small RNA, biomarkers, oral cancer"/>
    <n v="0"/>
    <s v="zN/A"/>
    <n v="0"/>
    <s v="zN/A"/>
    <s v="Garnis, Cathie"/>
  </r>
  <r>
    <x v="335"/>
    <s v="Research Institute of the McGill University Health Centre"/>
    <x v="4"/>
    <x v="1"/>
    <s v="201809PJT"/>
    <x v="5"/>
    <s v="Genetic drivers of medulloblastoma metastasis"/>
    <n v="665550"/>
    <n v="0"/>
    <s v="5 yrs 0 mth "/>
    <x v="0"/>
    <x v="26"/>
    <s v="genetic, medulloblastoma, metastasis"/>
    <n v="0"/>
    <s v="zN/A"/>
    <n v="0"/>
    <s v="zN/A"/>
    <s v="Garzia, Livia"/>
  </r>
  <r>
    <x v="335"/>
    <s v="Research Institute of the McGill University Health Centre"/>
    <x v="4"/>
    <x v="17"/>
    <s v="202209PDI"/>
    <x v="5"/>
    <s v="Epigenetic mechanisms of osteosarcoma pathogenesis and progression."/>
    <n v="100000"/>
    <n v="0"/>
    <s v="1 yr 0 mth "/>
    <x v="0"/>
    <x v="28"/>
    <s v="epigenetic, osteosarcoma, mechanisms"/>
    <n v="0"/>
    <s v="zN/A"/>
    <n v="0"/>
    <s v="zN/A"/>
    <s v="Garzia, Livia"/>
  </r>
  <r>
    <x v="336"/>
    <s v="University of British Columbia"/>
    <x v="3"/>
    <x v="0"/>
    <s v="201009MOP"/>
    <x v="1"/>
    <s v="Genetic mechanisms underlying immune escape in malignant lymphomas"/>
    <n v="368667"/>
    <n v="0"/>
    <s v="3 yrs 0 mth "/>
    <x v="0"/>
    <x v="16"/>
    <s v="genetic, immune escape, lymphomas"/>
    <n v="1"/>
    <s v="zN/A"/>
    <n v="0"/>
    <s v="zN/A"/>
    <s v="Gascoyne, Randy D"/>
  </r>
  <r>
    <x v="337"/>
    <s v="Simon Fraser University (Burnaby, B.C.)"/>
    <x v="3"/>
    <x v="6"/>
    <s v="201310CPG"/>
    <x v="8"/>
    <s v="Simultaneous chemotherapy and radiation treatment in solid tumours: A new platform to promote synergy and therapeutic efficacy with radiation triggered drug release"/>
    <n v="283503"/>
    <n v="0"/>
    <s v="3 yrs 0 mth "/>
    <x v="0"/>
    <x v="9"/>
    <s v="chemotherapy, radiation, drug release"/>
    <n v="0"/>
    <s v="zN/A"/>
    <n v="0"/>
    <s v="zN/A"/>
    <s v="Gates, Byron D"/>
  </r>
  <r>
    <x v="338"/>
    <s v="CIUSSS de Centre-Ouest-de-l'Ile-de-Montréal-Jewish General"/>
    <x v="4"/>
    <x v="13"/>
    <s v="202005VR3"/>
    <x v="12"/>
    <s v="Development of small interfering RNAs (siRNAs) for the treatment of Severe Acute Respiratory Syndrome-Coronavirus-2 (SARS-CoV-2)"/>
    <n v="360377"/>
    <n v="0"/>
    <s v="1 yr 0 mth "/>
    <x v="1"/>
    <x v="2"/>
    <s v="siRNAs, RNA, SARS-CoV-2"/>
    <n v="0"/>
    <s v="zN/A"/>
    <n v="0"/>
    <s v="zN/A"/>
    <s v="Gatignol, Anne"/>
  </r>
  <r>
    <x v="339"/>
    <s v="Université Laval"/>
    <x v="4"/>
    <x v="14"/>
    <s v="201706PCG"/>
    <x v="14"/>
    <s v="PainQuILT: A patient-centred e-health solution to empower older adults and improve pain assessment and management"/>
    <n v="162027"/>
    <n v="0"/>
    <s v="2 yrs 0 mth "/>
    <x v="6"/>
    <x v="30"/>
    <s v="e-health, pain assessment, older adults"/>
    <n v="0"/>
    <s v="zN/A"/>
    <n v="0"/>
    <s v="zN/A"/>
    <s v="Gauthier, Lynn R"/>
  </r>
  <r>
    <x v="340"/>
    <s v="Université de Sherbrooke"/>
    <x v="4"/>
    <x v="0"/>
    <s v="201209MOP"/>
    <x v="1"/>
    <s v="Regulation and role of P2Y6 nucleotide receptor in colorectal cancer"/>
    <n v="647299"/>
    <n v="0"/>
    <s v="5 yrs 0 mth "/>
    <x v="9"/>
    <x v="14"/>
    <s v="P2Y6, nucleotide receptor, colorectal cancer"/>
    <n v="0"/>
    <s v="zN/A"/>
    <n v="0"/>
    <s v="zN/A"/>
    <s v="Gendron, Fernand-Pierre"/>
  </r>
  <r>
    <x v="341"/>
    <s v="University of Toronto"/>
    <x v="1"/>
    <x v="6"/>
    <s v="201510CPG"/>
    <x v="8"/>
    <s v="Patient-Specific Adaptive Closed-Loop Neurostimulation for Optimum Treatment of Intractable Epilepsy"/>
    <n v="232200"/>
    <n v="0"/>
    <s v="3 yrs 0 mth "/>
    <x v="4"/>
    <x v="4"/>
    <s v="Neurostimulation, Closed-Loop, Epilepsy"/>
    <n v="3"/>
    <s v="zN/A"/>
    <n v="0"/>
    <s v="zN/A"/>
    <s v="Genov, Roman"/>
  </r>
  <r>
    <x v="341"/>
    <s v="University of Toronto"/>
    <x v="1"/>
    <x v="6"/>
    <s v="201910CPG"/>
    <x v="8"/>
    <s v="Personalized Contingent Neurostimulation for Epilepsy by Machine Learning in Organic Brain Interfaces"/>
    <n v="360000"/>
    <n v="15000"/>
    <s v="3 yrs 0 mth "/>
    <x v="4"/>
    <x v="22"/>
    <s v="Neurostimulation, Epilepsy, Brain Interfaces"/>
    <n v="1"/>
    <s v="zN/A"/>
    <n v="0"/>
    <s v="zN/A"/>
    <s v="Genov, Roman"/>
  </r>
  <r>
    <x v="342"/>
    <s v="Universite Laval"/>
    <x v="4"/>
    <x v="0"/>
    <s v="200909MOP"/>
    <x v="9"/>
    <s v="Cornee reconstruite in vitro par genie tissulaire pour des applications experimentales et cliniques"/>
    <n v="860972"/>
    <n v="0"/>
    <s v="5 yrs 0 mth "/>
    <x v="4"/>
    <x v="10"/>
    <s v="cornee, genie tissulaire, in vitro"/>
    <n v="0"/>
    <s v="zN/A"/>
    <n v="0"/>
    <s v="zN/A"/>
    <s v="Germain, Lucie"/>
  </r>
  <r>
    <x v="343"/>
    <s v="Université de Sherbrooke"/>
    <x v="4"/>
    <x v="1"/>
    <s v="201803PJT"/>
    <x v="3"/>
    <s v="Deciphering the role of the nuclear receptor LRH-1 in the establishment of a specific transcriptional program in triple negative breast cancer."/>
    <n v="868276"/>
    <n v="0"/>
    <s v="5 yrs 0 mth "/>
    <x v="0"/>
    <x v="7"/>
    <s v="nuclear receptor, LRH-1, breast cancer"/>
    <n v="0"/>
    <s v="zN/A"/>
    <n v="0"/>
    <s v="zN/A"/>
    <s v="Gevry, Nicolas"/>
  </r>
  <r>
    <x v="344"/>
    <s v="University of Saskatchewan"/>
    <x v="6"/>
    <x v="0"/>
    <s v="201003MOP"/>
    <x v="0"/>
    <s v="The Role of Natural Antisense Transcripts in Silencing Transforming Growth Factor Beta Regulated Genes in Acute Myeloid Leukemia"/>
    <n v="444907"/>
    <n v="0"/>
    <s v="4 yrs 0 mth "/>
    <x v="0"/>
    <x v="21"/>
    <s v="Antisense transcripts, Gene regulation, Leukemia"/>
    <n v="0"/>
    <s v="zN/A"/>
    <n v="0"/>
    <s v="zN/A"/>
    <s v="Geyer, Clarence R"/>
  </r>
  <r>
    <x v="345"/>
    <s v="University of British Columbia"/>
    <x v="3"/>
    <x v="6"/>
    <s v="201810CPG"/>
    <x v="8"/>
    <s v="Therapeutic Use of Micro-Sponge Embedded Nutritional Liquid Scaffold for Treatment of Non-Healing Wounds"/>
    <n v="381244"/>
    <n v="15000"/>
    <s v="3 yrs 0 mth "/>
    <x v="5"/>
    <x v="26"/>
    <s v="Micro-Sponge, Nutritional Liquid, Wounds"/>
    <n v="0"/>
    <s v="zN/A"/>
    <n v="0"/>
    <s v="zN/A"/>
    <s v="Ghahary, Aziz"/>
  </r>
  <r>
    <x v="345"/>
    <s v="University of British Columbia"/>
    <x v="3"/>
    <x v="38"/>
    <s v="201903PJ6"/>
    <x v="9"/>
    <s v="Development and application of a Multifunctional Nutrient-rich Composite Scaffold for Treatment of Complex Wounds"/>
    <n v="100000"/>
    <n v="0"/>
    <s v="1 yr 0 mth "/>
    <x v="5"/>
    <x v="1"/>
    <s v="Nutrient-rich, Composite Scaffold, Wounds"/>
    <n v="0"/>
    <s v="zN/A"/>
    <n v="0"/>
    <s v="zN/A"/>
    <s v="Ghahary, Aziz"/>
  </r>
  <r>
    <x v="346"/>
    <s v="McMaster University"/>
    <x v="1"/>
    <x v="0"/>
    <s v="201403MOP"/>
    <x v="0"/>
    <s v="Prophylactic Antibiotic Regimens in Tumor Surgery (PARITY): A Multi-Center Randomized Controlled Trial"/>
    <n v="913568"/>
    <n v="0"/>
    <s v="5 yrs 0 mth "/>
    <x v="0"/>
    <x v="18"/>
    <s v="Antibiotic, Tumor, Surgery"/>
    <n v="0"/>
    <s v="zN/A"/>
    <n v="0"/>
    <s v="zN/A"/>
    <s v="Ghert, Michelle A"/>
  </r>
  <r>
    <x v="347"/>
    <s v="Research Institute of the McGill University Health Centre"/>
    <x v="4"/>
    <x v="0"/>
    <s v="201203MOP"/>
    <x v="1"/>
    <s v="Diagnosing Ovarian Cancer Early (DOvE)by targeting symptomatic women"/>
    <n v="1404691"/>
    <n v="0"/>
    <s v="3 yrs 0 mth "/>
    <x v="0"/>
    <x v="12"/>
    <s v="Ovarian cancer, diagnosis, symptomatic women"/>
    <n v="2"/>
    <s v="zN/A"/>
    <n v="0"/>
    <s v="zN/A"/>
    <s v="Gilbert, Lucy"/>
  </r>
  <r>
    <x v="348"/>
    <s v="University of Toronto"/>
    <x v="1"/>
    <x v="39"/>
    <s v="201403ONM"/>
    <x v="9"/>
    <s v="Matrix biomechanics and satellite cell aging"/>
    <n v="100000"/>
    <n v="0"/>
    <s v="1 yr 0 mth "/>
    <x v="5"/>
    <x v="20"/>
    <s v="matrix, biomechanics, satellite cell"/>
    <n v="0"/>
    <s v="zN/A"/>
    <n v="0"/>
    <s v="zN/A"/>
    <s v="Gilbert, Penney M"/>
  </r>
  <r>
    <x v="348"/>
    <s v="University of Toronto"/>
    <x v="1"/>
    <x v="1"/>
    <s v="202309PJT"/>
    <x v="9"/>
    <s v="Evaluating the nerve-muscle connection as a Duchenne muscular dystrophy therapeutic target"/>
    <n v="925650"/>
    <n v="0"/>
    <s v="5 yrs 0 mth "/>
    <x v="5"/>
    <x v="33"/>
    <s v="nerve-muscle, Duchenne muscular dystrophy, therapeutic"/>
    <n v="0"/>
    <s v="zN/A"/>
    <n v="0"/>
    <s v="zN/A"/>
    <s v="Gilbert, Penney M"/>
  </r>
  <r>
    <x v="349"/>
    <s v="University of Victoria (British Columbia)"/>
    <x v="3"/>
    <x v="1"/>
    <s v="202003PJT"/>
    <x v="9"/>
    <s v="Developing a Patient-Specific Surgical Decision-Assistance Tool to Improve Reverse Shoulder Replacement Outcomes"/>
    <n v="378676"/>
    <n v="0"/>
    <s v="5 yrs 0 mth "/>
    <x v="5"/>
    <x v="39"/>
    <s v="Patient-specific, Surgical, Reverse shoulder"/>
    <n v="0"/>
    <s v="zN/A"/>
    <n v="0"/>
    <s v="zN/A"/>
    <s v="Giles, Joshua W"/>
  </r>
  <r>
    <x v="350"/>
    <s v="University of British Columbia"/>
    <x v="3"/>
    <x v="1"/>
    <s v="201903PJT"/>
    <x v="6"/>
    <s v="Omics, Histopathology and AI: An Integrative Approach for Biomarker Discovery in Ovarian Cancer"/>
    <n v="822376"/>
    <n v="0"/>
    <s v="3 yrs 0 mth "/>
    <x v="0"/>
    <x v="1"/>
    <s v="Omics, Histopathology, AI"/>
    <n v="0"/>
    <s v="zN/A"/>
    <n v="0"/>
    <s v="zN/A"/>
    <s v="Gilks, Cyril B"/>
  </r>
  <r>
    <x v="351"/>
    <s v="Sinai Health System (Toronto)"/>
    <x v="1"/>
    <x v="1"/>
    <s v="201903PJT"/>
    <x v="5"/>
    <s v="Whole Genome Sequencing Defines Leiomyosarcoma Evolution and Identifies Therapeutic Opportunities in the DNA Damage Pathway"/>
    <n v="948600"/>
    <n v="0"/>
    <s v="5 yrs 0 mth "/>
    <x v="0"/>
    <x v="1"/>
    <s v="Genome, Sequencing, Leiomyosarcoma"/>
    <n v="0"/>
    <s v="zN/A"/>
    <n v="0"/>
    <s v="zN/A"/>
    <s v="Gladdy, Rebecca A"/>
  </r>
  <r>
    <x v="352"/>
    <s v="University of British Columbia"/>
    <x v="3"/>
    <x v="1"/>
    <s v="202003PJT"/>
    <x v="3"/>
    <s v="Identification of HOXB13 inhibitors to treat castrate-resistant prostate cancer"/>
    <n v="413100"/>
    <n v="0"/>
    <s v="3 yrs 0 mth "/>
    <x v="0"/>
    <x v="39"/>
    <s v="HOXB13, inhibitors, prostate cancer"/>
    <n v="0"/>
    <s v="zN/A"/>
    <n v="0"/>
    <s v="zN/A"/>
    <s v="Gleave, Martin E"/>
  </r>
  <r>
    <x v="353"/>
    <s v="Université Laval"/>
    <x v="4"/>
    <x v="0"/>
    <s v="201009MOP"/>
    <x v="1"/>
    <s v="Understanding the function and regulation of the new metastasis suppressor gene Growth Arrest Specific 1 (GAS1)"/>
    <n v="452248"/>
    <n v="0"/>
    <s v="4 yrs 0 mth "/>
    <x v="0"/>
    <x v="16"/>
    <s v="metastasis, suppressor gene, GAS1"/>
    <n v="0"/>
    <s v="zN/A"/>
    <n v="0"/>
    <s v="zN/A"/>
    <s v="Gobeil, Stephane"/>
  </r>
  <r>
    <x v="354"/>
    <s v="University of Alberta"/>
    <x v="2"/>
    <x v="0"/>
    <s v="201303MOP"/>
    <x v="5"/>
    <s v="Role of Brain Fatty Acid-binding Protein in Malignant Glioma Progression"/>
    <n v="723341"/>
    <n v="0"/>
    <s v="5 yrs 0 mth "/>
    <x v="0"/>
    <x v="34"/>
    <s v="Brain, Fatty Acid-binding Protein, Glioma"/>
    <n v="0"/>
    <s v="zN/A"/>
    <n v="0"/>
    <s v="zN/A"/>
    <s v="Godbout, Roseline"/>
  </r>
  <r>
    <x v="355"/>
    <s v="University of Ottawa"/>
    <x v="1"/>
    <x v="6"/>
    <s v="201410CPG"/>
    <x v="8"/>
    <s v="Cocooning Therapeutic Cells"/>
    <n v="261805"/>
    <n v="0"/>
    <s v="3 yrs 0 mth "/>
    <x v="3"/>
    <x v="6"/>
    <s v="Cocooning, Therapeutic Cells"/>
    <n v="0"/>
    <s v="zN/A"/>
    <n v="0"/>
    <s v="zN/A"/>
    <s v="Godin, Michel"/>
  </r>
  <r>
    <x v="355"/>
    <s v="University of Ottawa"/>
    <x v="1"/>
    <x v="6"/>
    <s v="201910CPG"/>
    <x v="8"/>
    <s v="Enhancing cell therapies using microfluidic encapsulation strategies"/>
    <n v="480060"/>
    <n v="13960"/>
    <s v="3 yrs 0 mth "/>
    <x v="3"/>
    <x v="22"/>
    <s v="cell, microfluidic, encapsulation"/>
    <n v="0"/>
    <s v="zN/A"/>
    <n v="0"/>
    <s v="zN/A"/>
    <s v="Godin, Michel"/>
  </r>
  <r>
    <x v="356"/>
    <s v="Sunnybrook Research Institute (Toronto, Ontario)"/>
    <x v="1"/>
    <x v="1"/>
    <s v="201709PJT"/>
    <x v="6"/>
    <s v="Enhancing immunotherapy with ultrasound stimulated bubbles"/>
    <n v="776475"/>
    <n v="0"/>
    <s v="5 yrs 0 mth "/>
    <x v="0"/>
    <x v="11"/>
    <s v="immunotherapy, ultrasound, bubbles"/>
    <n v="0"/>
    <s v="zN/A"/>
    <n v="0"/>
    <s v="zN/A"/>
    <s v="Goertz, David E"/>
  </r>
  <r>
    <x v="356"/>
    <s v="Sunnybrook Research Institute (Toronto, Ontario)"/>
    <x v="1"/>
    <x v="1"/>
    <s v="201903PJT"/>
    <x v="6"/>
    <s v="Novel Catheter Based Therapeutic Ultrasound Approach for the Treatment of Coronary Artery Occlusions"/>
    <n v="374851"/>
    <n v="0"/>
    <s v="4 yrs 0 mth "/>
    <x v="3"/>
    <x v="1"/>
    <s v="Catheter, Ultrasound, Coronary Artery"/>
    <n v="1"/>
    <s v="zN/A"/>
    <n v="0"/>
    <s v="zN/A"/>
    <s v="Goertz, David E"/>
  </r>
  <r>
    <x v="357"/>
    <s v="University of Calgary"/>
    <x v="2"/>
    <x v="0"/>
    <s v="201109MOP"/>
    <x v="0"/>
    <s v="Chromatin remodeling dynamics during human DNA double strand break repair"/>
    <n v="758975"/>
    <n v="0"/>
    <s v="5 yrs 0 mth "/>
    <x v="0"/>
    <x v="15"/>
    <s v="chromatin remodeling, DNA repair, double strand break"/>
    <n v="0"/>
    <s v="zN/A"/>
    <n v="0"/>
    <s v="zN/A"/>
    <s v="Goodarzi, Aaron"/>
  </r>
  <r>
    <x v="357"/>
    <s v="University of Calgary"/>
    <x v="2"/>
    <x v="1"/>
    <s v="202003PJT"/>
    <x v="0"/>
    <s v="High-Throughput Analysis of Low Dose, Repetitive Alpha Particle Irradiation as a source of Radon-Induced Lung Cancer"/>
    <n v="940950"/>
    <n v="0"/>
    <s v="5 yrs 0 mth "/>
    <x v="0"/>
    <x v="39"/>
    <s v="Alpha particle, irradiation, lung cancer"/>
    <n v="0"/>
    <s v="zN/A"/>
    <n v="0"/>
    <s v="zN/A"/>
    <s v="Goodarzi, Aaron"/>
  </r>
  <r>
    <x v="358"/>
    <s v="University Health Network (Toronto)"/>
    <x v="1"/>
    <x v="0"/>
    <s v="201003MOP"/>
    <x v="1"/>
    <s v="Characterization of importance of sCD200 levels for prognosis in CLL patients"/>
    <n v="599397"/>
    <n v="0"/>
    <s v="5 yrs 0 mth "/>
    <x v="0"/>
    <x v="21"/>
    <s v="sCD200, prognosis, CLL"/>
    <n v="1"/>
    <s v="zN/A"/>
    <n v="0"/>
    <s v="zN/A"/>
    <s v="Gorczynski, Reginald M"/>
  </r>
  <r>
    <x v="359"/>
    <s v="Simon Fraser University (Burnaby, B.C.)"/>
    <x v="3"/>
    <x v="40"/>
    <s v="202309PJS"/>
    <x v="1"/>
    <s v="Targeting adaptive autophagy to enhance treatment response in pancreatic cancer"/>
    <n v="100000"/>
    <n v="0"/>
    <s v="1 yr 0 mth "/>
    <x v="0"/>
    <x v="37"/>
    <s v="autophagy, pancreatic cancer, treatment response"/>
    <n v="0"/>
    <s v="zN/A"/>
    <n v="0"/>
    <s v="zN/A"/>
    <s v="Gorski, Sharon M"/>
  </r>
  <r>
    <x v="359"/>
    <s v="Simon Fraser University (Burnaby, B.C.)"/>
    <x v="3"/>
    <x v="1"/>
    <s v="202403PJT"/>
    <x v="5"/>
    <s v="Targeting adaptive autophagy to enhance treatment response in pancreatic cancer"/>
    <n v="994500"/>
    <n v="0"/>
    <s v="5 yrs 0 mth "/>
    <x v="0"/>
    <x v="37"/>
    <s v="autophagy, pancreatic cancer, treatment response"/>
    <n v="0"/>
    <s v="zN/A"/>
    <n v="0"/>
    <s v="zN/A"/>
    <s v="Gorski, Sharon M"/>
  </r>
  <r>
    <x v="360"/>
    <s v="McGill University"/>
    <x v="4"/>
    <x v="0"/>
    <s v="201303MOP"/>
    <x v="6"/>
    <s v="Electrical and metobolic analysis of human epileptogenic lesions"/>
    <n v="808834"/>
    <n v="0"/>
    <s v="5 yrs 0 mth "/>
    <x v="4"/>
    <x v="34"/>
    <s v="Electrical, metabolic, epileptogenic"/>
    <n v="0"/>
    <s v="zN/A"/>
    <n v="0"/>
    <s v="zN/A"/>
    <s v="Gotman, Jean"/>
  </r>
  <r>
    <x v="361"/>
    <s v="Queen's University (Kingston, Ontario)"/>
    <x v="1"/>
    <x v="0"/>
    <s v="200809MOP"/>
    <x v="5"/>
    <s v="Nitric oxide-mediated inhibition of hypoxia-induced immune escape in cancer"/>
    <n v="529669"/>
    <n v="0"/>
    <s v="3 yrs 0 mth "/>
    <x v="0"/>
    <x v="0"/>
    <s v="Nitric oxide, hypoxia, immune escape"/>
    <n v="0"/>
    <s v="zN/A"/>
    <n v="0"/>
    <s v="zN/A"/>
    <s v="Graham, Charles H"/>
  </r>
  <r>
    <x v="361"/>
    <s v="Queen's University (Kingston, Ontario)"/>
    <x v="1"/>
    <x v="0"/>
    <s v="201109MOP"/>
    <x v="5"/>
    <s v="Mechanisms of hypoxia-induced immune escape in cancer and their regulation by nitric oxide"/>
    <n v="443733"/>
    <n v="0"/>
    <s v="3 yrs 0 mth "/>
    <x v="0"/>
    <x v="15"/>
    <s v="hypoxia, immune escape, nitric oxide"/>
    <n v="0"/>
    <s v="zN/A"/>
    <n v="0"/>
    <s v="zN/A"/>
    <s v="Graham, Charles H"/>
  </r>
  <r>
    <x v="361"/>
    <s v="Queen's University (Kingston, Ontario)"/>
    <x v="1"/>
    <x v="1"/>
    <s v="202003PJT"/>
    <x v="0"/>
    <s v="Role of trained immunity in the response to BCG immunotherapy of bladder cancer"/>
    <n v="1086300"/>
    <n v="0"/>
    <s v="5 yrs 0 mth "/>
    <x v="0"/>
    <x v="39"/>
    <s v="trained immunity, BCG, bladder cancer"/>
    <n v="0"/>
    <s v="zN/A"/>
    <n v="0"/>
    <s v="zN/A"/>
    <s v="Graham, Charles H"/>
  </r>
  <r>
    <x v="362"/>
    <s v="Sunnybrook Research Institute (Toronto, Ontario)"/>
    <x v="1"/>
    <x v="1"/>
    <s v="201809PJT"/>
    <x v="6"/>
    <s v="Parallel Radiofrequency Transmission MRI Applied to Deep Brain Stimulation"/>
    <n v="841500"/>
    <n v="0"/>
    <s v="5 yrs 0 mth "/>
    <x v="4"/>
    <x v="26"/>
    <s v="Radiofrequency, MRI, Brain Stimulation"/>
    <n v="0"/>
    <s v="zN/A"/>
    <n v="0"/>
    <s v="zN/A"/>
    <s v="Graham, Simon J"/>
  </r>
  <r>
    <x v="362"/>
    <s v="Sunnybrook Research Institute (Toronto, Ontario)"/>
    <x v="1"/>
    <x v="1"/>
    <s v="202209PJT"/>
    <x v="6"/>
    <s v="Modernizing Classic Tests of Cognition using Computerized Tablets, Eye-tracking and Functional Neuroimaging"/>
    <n v="1328230"/>
    <n v="0"/>
    <s v="5 yrs 0 mth "/>
    <x v="4"/>
    <x v="8"/>
    <s v="Cognition, Eye-tracking, Neuroimaging"/>
    <n v="0"/>
    <s v="zN/A"/>
    <n v="0"/>
    <s v="zN/A"/>
    <s v="Graham, Simon J"/>
  </r>
  <r>
    <x v="363"/>
    <s v="Centre hospitalier de l'Université de Montréal (CHUM)"/>
    <x v="4"/>
    <x v="0"/>
    <s v="200909MOP"/>
    <x v="0"/>
    <s v="Oncogenic signaling pathways in breast cancer: regulation and function of the IKKepsilon kinase."/>
    <n v="346936"/>
    <n v="0"/>
    <s v="3 yrs 0 mth "/>
    <x v="0"/>
    <x v="10"/>
    <s v="oncogenic, signaling pathways, IKKepsilon kinase"/>
    <n v="0"/>
    <s v="zN/A"/>
    <n v="0"/>
    <s v="zN/A"/>
    <s v="Grandvaux, Nathalie"/>
  </r>
  <r>
    <x v="364"/>
    <s v="Memorial University of Newfoundland"/>
    <x v="7"/>
    <x v="41"/>
    <s v="200811CHV"/>
    <x v="23"/>
    <s v="Heteroclitic Peptides to Increase Human Immunodeficiency Virus-specific CD8+ T cell Interleukin-2 Production"/>
    <n v="100000"/>
    <n v="0"/>
    <s v="1 yr 0 mth "/>
    <x v="1"/>
    <x v="48"/>
    <s v="Heteroclitic Peptides, Immunodeficiency Virus, CD8+ T cells"/>
    <n v="0"/>
    <s v="zN/A"/>
    <n v="0"/>
    <s v="zN/A"/>
    <s v="Grant, Michael D"/>
  </r>
  <r>
    <x v="365"/>
    <s v="University of British Columbia"/>
    <x v="3"/>
    <x v="3"/>
    <s v="201203IPR"/>
    <x v="4"/>
    <s v="Topical Granzyme B Inhibitor Research and Development"/>
    <n v="471851"/>
    <n v="0"/>
    <s v="3 yrs 0 mth "/>
    <x v="5"/>
    <x v="12"/>
    <s v="Granzyme B, Inhibitor"/>
    <n v="9"/>
    <s v="zN/A"/>
    <n v="0"/>
    <s v="zN/A"/>
    <s v="Granville, David J"/>
  </r>
  <r>
    <x v="366"/>
    <s v="Queen's University (Kingston, Ontario)"/>
    <x v="1"/>
    <x v="0"/>
    <s v="201003MOP"/>
    <x v="0"/>
    <s v="Genetic and cell biological analysis of calpain: a potential therapeutic target in breast cancer"/>
    <n v="734701"/>
    <n v="0"/>
    <s v="5 yrs 0 mth "/>
    <x v="0"/>
    <x v="21"/>
    <s v="calpain, genetic, breast cancer"/>
    <n v="0"/>
    <s v="zN/A"/>
    <n v="0"/>
    <s v="zN/A"/>
    <s v="Greer, Peter A"/>
  </r>
  <r>
    <x v="366"/>
    <s v="Queen's University (Kingston, Ontario)"/>
    <x v="1"/>
    <x v="1"/>
    <s v="201804PJT"/>
    <x v="1"/>
    <s v="Calpain as a novel therapeutic target in breast cancer"/>
    <n v="100000"/>
    <n v="0"/>
    <s v="1 yr 0 mth "/>
    <x v="0"/>
    <x v="7"/>
    <s v="Calpain, breast cancer, therapeutic target"/>
    <n v="0"/>
    <s v="zN/A"/>
    <n v="0"/>
    <s v="zN/A"/>
    <s v="Greer, Peter A"/>
  </r>
  <r>
    <x v="366"/>
    <s v="Queen's University (Kingston, Ontario)"/>
    <x v="1"/>
    <x v="1"/>
    <s v="201903PJT"/>
    <x v="1"/>
    <s v="Targeting the calpain protease in breast cancer"/>
    <n v="918000"/>
    <n v="0"/>
    <s v="5 yrs 0 mth "/>
    <x v="0"/>
    <x v="1"/>
    <s v="calpain, protease, breast cancer"/>
    <n v="0"/>
    <s v="zN/A"/>
    <n v="0"/>
    <s v="zN/A"/>
    <s v="Greer, Peter A"/>
  </r>
  <r>
    <x v="367"/>
    <s v="Research Institute of the McGill University Health Centre"/>
    <x v="4"/>
    <x v="1"/>
    <s v="201709PJT"/>
    <x v="3"/>
    <s v="Role of Hippo signaling in myofibroblasts during gut regeneration and tumorigenesis."/>
    <n v="650250"/>
    <n v="0"/>
    <s v="5 yrs 0 mth "/>
    <x v="0"/>
    <x v="11"/>
    <s v="Hippo signaling, myofibroblasts, gut regeneration"/>
    <n v="0"/>
    <s v="zN/A"/>
    <n v="0"/>
    <s v="zN/A"/>
    <s v="Gregorieff, Alex"/>
  </r>
  <r>
    <x v="368"/>
    <s v="Université de Montréal"/>
    <x v="4"/>
    <x v="1"/>
    <s v="201709PJT"/>
    <x v="9"/>
    <s v="Pro-regeneration biomimetic corneal implants with anti-microbial and anti-inflammatory activity"/>
    <n v="749700"/>
    <n v="0"/>
    <s v="5 yrs 0 mth "/>
    <x v="5"/>
    <x v="11"/>
    <s v="biomimetic, corneal, implants"/>
    <n v="0"/>
    <s v="zN/A"/>
    <n v="0"/>
    <s v="zN/A"/>
    <s v="Griffith, May C"/>
  </r>
  <r>
    <x v="368"/>
    <s v="Université de Montréal"/>
    <x v="4"/>
    <x v="6"/>
    <s v="201910CPG"/>
    <x v="8"/>
    <s v="The Liquid Cornea as an alternative to corneal transplantation: Pathway to Clinical trials"/>
    <n v="306789"/>
    <n v="14300"/>
    <s v="3 yrs 0 mth "/>
    <x v="6"/>
    <x v="22"/>
    <s v="Liquid, Cornea, Transplantation"/>
    <n v="3"/>
    <s v="zN/A"/>
    <n v="0"/>
    <s v="zN/A"/>
    <s v="Griffith, May C"/>
  </r>
  <r>
    <x v="369"/>
    <s v="Université Laval"/>
    <x v="4"/>
    <x v="42"/>
    <s v="202209MHM"/>
    <x v="9"/>
    <s v="Depicting disease heterogeneity in neurofibromatosis type 1 and the role of microenvironment in NF1-associated skin tumor formation through personalized tissue-engineered 3D models"/>
    <n v="100000"/>
    <n v="0"/>
    <s v="1 yr 0 mth "/>
    <x v="5"/>
    <x v="28"/>
    <s v="neurofibromatosis, microenvironment, tissue-engineered"/>
    <n v="0"/>
    <s v="zN/A"/>
    <n v="0"/>
    <s v="zN/A"/>
    <s v="Gros-Louis, Francois"/>
  </r>
  <r>
    <x v="369"/>
    <s v="Université Laval"/>
    <x v="4"/>
    <x v="1"/>
    <s v="202303PJT"/>
    <x v="9"/>
    <s v="Depicting disease heterogeneity in neurofibromatosis type 1 and the role of dermal fibroblasts in the establishment of microenvironment favouring NF1-associated skin tumor formation using personalized tissue-engineered 3D models"/>
    <n v="1113076"/>
    <n v="0"/>
    <s v="5 yrs 0 mth "/>
    <x v="5"/>
    <x v="13"/>
    <s v="neurofibromatosis, dermal fibroblasts, tissue-engineered"/>
    <n v="0"/>
    <s v="zN/A"/>
    <n v="0"/>
    <s v="zN/A"/>
    <s v="Gros-Louis, Francois"/>
  </r>
  <r>
    <x v="370"/>
    <s v="McGill University"/>
    <x v="4"/>
    <x v="0"/>
    <s v="201309MOP"/>
    <x v="6"/>
    <s v="Multimodal identification of the neurovascular coupling within the epileptogenic network"/>
    <n v="486582"/>
    <n v="0"/>
    <s v="4 yrs 0 mth "/>
    <x v="4"/>
    <x v="9"/>
    <s v="neurovascular, coupling, epileptogenic"/>
    <n v="0"/>
    <s v="zN/A"/>
    <n v="0"/>
    <s v="zN/A"/>
    <s v="Grova, Christophe"/>
  </r>
  <r>
    <x v="370"/>
    <s v="Concordia University (Montreal, Quebec)"/>
    <x v="4"/>
    <x v="1"/>
    <s v="201803PJT"/>
    <x v="6"/>
    <s v="The importance of connector hubs in focal epilepsy: a multimodal investigation"/>
    <n v="742050"/>
    <n v="0"/>
    <s v="5 yrs 0 mth "/>
    <x v="4"/>
    <x v="7"/>
    <s v="connector hubs, focal epilepsy, multimodal"/>
    <n v="0"/>
    <s v="zN/A"/>
    <n v="0"/>
    <s v="zN/A"/>
    <s v="Grova, Christophe"/>
  </r>
  <r>
    <x v="370"/>
    <s v="Concordia University (Montreal, Quebec)"/>
    <x v="4"/>
    <x v="1"/>
    <s v="202403PJT"/>
    <x v="6"/>
    <s v="How is neurovascular coupling impacted by the occurrence of epileptic activity during sleep: a whole night personalized EEG/fNIRS investigation"/>
    <n v="799426"/>
    <n v="0"/>
    <s v="5 yrs 0 mth "/>
    <x v="4"/>
    <x v="38"/>
    <s v="neurovascular, epileptic activity, EEG/fNIRS"/>
    <n v="0"/>
    <s v="zN/A"/>
    <n v="0"/>
    <s v="zN/A"/>
    <s v="Grova, Christophe"/>
  </r>
  <r>
    <x v="371"/>
    <s v="Research Institute of the McGill University Health Centre"/>
    <x v="4"/>
    <x v="30"/>
    <s v="201210CEH"/>
    <x v="21"/>
    <s v="Evaluating a Multidisciplinary E-Health Program to Promote Regular Physical Activity Among Individuals at Increased Risk of Cardiovascular Disease"/>
    <n v="99390"/>
    <n v="0"/>
    <s v="1 yr 0 mth "/>
    <x v="11"/>
    <x v="32"/>
    <s v="E-Health, Physical Activity, Cardiovascular Disease"/>
    <n v="0"/>
    <s v="zN/A"/>
    <n v="0"/>
    <s v="zN/A"/>
    <s v="Grover, Steven A"/>
  </r>
  <r>
    <x v="372"/>
    <s v="University of Toronto"/>
    <x v="1"/>
    <x v="6"/>
    <s v="201210CPG"/>
    <x v="8"/>
    <s v="Irradiation-Sterilized Skeletal Allografts with Superior Biomechanical Performance through Collaborative Multidisciplinary Translational Research"/>
    <n v="255330"/>
    <n v="0"/>
    <s v="3 yrs 0 mth "/>
    <x v="5"/>
    <x v="14"/>
    <s v="Irradiation, Sterilization, Skeletal Allografts"/>
    <n v="0"/>
    <s v="zN/A"/>
    <n v="0"/>
    <s v="zN/A"/>
    <s v="Grynpas, Marc D"/>
  </r>
  <r>
    <x v="373"/>
    <s v="Universite de Sherbrooke"/>
    <x v="4"/>
    <x v="0"/>
    <s v="201109MOP"/>
    <x v="0"/>
    <s v="Radiolabelled peptides to improve cancer diagnosis by positron emission tomography / Peptides radiomarques pour ameliorer le diagnostic du cancer par tomographie e emission de positron"/>
    <n v="710710"/>
    <n v="0"/>
    <s v="5 yrs 0 mth "/>
    <x v="0"/>
    <x v="15"/>
    <s v="radiolabelled peptides, cancer diagnosis, positron emission tomography"/>
    <n v="2"/>
    <s v="zN/A"/>
    <n v="0"/>
    <s v="zN/A"/>
    <s v="Guerin, Brigitte"/>
  </r>
  <r>
    <x v="374"/>
    <s v="Université Laval"/>
    <x v="4"/>
    <x v="1"/>
    <s v="202309PJT"/>
    <x v="9"/>
    <s v="A human tissue-engineered three-layer cornea (hTEC) supplemented with macrophages as a biomaterial for in vitro studies"/>
    <n v="864450"/>
    <n v="0"/>
    <s v="5 yrs 0 mth "/>
    <x v="4"/>
    <x v="33"/>
    <s v="tissue-engineered, cornea, macrophages"/>
    <n v="0"/>
    <s v="zN/A"/>
    <n v="0"/>
    <s v="zN/A"/>
    <s v="Guerin, Sylvain L"/>
  </r>
  <r>
    <x v="375"/>
    <s v="Université TÉLUQ (Québec)"/>
    <x v="4"/>
    <x v="1"/>
    <s v="202403PJT"/>
    <x v="9"/>
    <s v="Advancing Neurosurgery Training: A Realistic Simulation Platform with Sensorless Force Feedback Tutoring"/>
    <n v="493426"/>
    <n v="0"/>
    <s v="5 yrs 0 mth "/>
    <x v="4"/>
    <x v="38"/>
    <s v="Neurosurgery, Simulation, Force Feedback"/>
    <n v="0"/>
    <s v="zN/A"/>
    <n v="0"/>
    <s v="zN/A"/>
    <s v="Gueziri, Houssem-Eddine"/>
  </r>
  <r>
    <x v="376"/>
    <s v="Hospital for Sick Children (Toronto)"/>
    <x v="1"/>
    <x v="0"/>
    <s v="200909MOP"/>
    <x v="0"/>
    <s v="GATA4 and GATA6 Transcription Factors in Gliomagenesis"/>
    <n v="808632"/>
    <n v="0"/>
    <s v="5 yrs 0 mth "/>
    <x v="0"/>
    <x v="10"/>
    <s v="GATA4, GATA6, Gliomagenesis"/>
    <n v="0"/>
    <s v="zN/A"/>
    <n v="0"/>
    <s v="zN/A"/>
    <s v="Guha, Abhijit"/>
  </r>
  <r>
    <x v="377"/>
    <s v="Carleton University (Ottawa)"/>
    <x v="1"/>
    <x v="1"/>
    <s v="202309PJT"/>
    <x v="6"/>
    <s v="Mapping ECM Remodelling in Asthma Using Multimodal Imaging and Physiologically-Relevant Tissue Models"/>
    <n v="673200"/>
    <n v="0"/>
    <s v="5 yrs 0 mth "/>
    <x v="3"/>
    <x v="33"/>
    <s v="ECM, Imaging, Asthma"/>
    <n v="0"/>
    <s v="zN/A"/>
    <n v="0"/>
    <s v="zN/A"/>
    <s v="Guidolin, Leila M"/>
  </r>
  <r>
    <x v="378"/>
    <s v="Dalhousie University (Nova Scotia)"/>
    <x v="5"/>
    <x v="1"/>
    <s v="202003PJT"/>
    <x v="0"/>
    <s v="Biotherapeutic implications for oncolytic virus-induced MHC class I ligandomes"/>
    <n v="1063350"/>
    <n v="0"/>
    <s v="5 yrs 0 mth "/>
    <x v="0"/>
    <x v="39"/>
    <s v="oncolytic virus, MHC class I, ligandomes"/>
    <n v="0"/>
    <s v="zN/A"/>
    <n v="0"/>
    <s v="zN/A"/>
    <s v="Gujar, Shashi A"/>
  </r>
  <r>
    <x v="379"/>
    <s v="University of Toronto"/>
    <x v="1"/>
    <x v="6"/>
    <s v="201310CPG"/>
    <x v="8"/>
    <s v="A Wireless CMOS Device for Rapid Point-of-Care Diagnosis of Bacterial Infections and Antibiotic Susceptibility Profiling"/>
    <n v="677527"/>
    <n v="0"/>
    <s v="3 yrs 0 mth "/>
    <x v="1"/>
    <x v="9"/>
    <s v="Wireless, CMOS, Bacterial Infections"/>
    <n v="1"/>
    <s v="zN/A"/>
    <n v="0"/>
    <s v="zN/A"/>
    <s v="Gulak, Glenn"/>
  </r>
  <r>
    <x v="380"/>
    <s v="University of Toronto"/>
    <x v="1"/>
    <x v="6"/>
    <s v="201610CPG"/>
    <x v="8"/>
    <s v="Next-Generation Antimicrobial Diagnostics: Speed and Precision via Whole Genome Sequencing"/>
    <n v="632425"/>
    <n v="0"/>
    <s v="3 yrs 0 mth "/>
    <x v="1"/>
    <x v="24"/>
    <s v="Antimicrobial, Diagnostics, Genome Sequencing"/>
    <n v="0"/>
    <s v="zN/A"/>
    <n v="0"/>
    <s v="zN/A"/>
    <s v="Guttman, David S"/>
  </r>
  <r>
    <x v="381"/>
    <s v="University of British Columbia"/>
    <x v="3"/>
    <x v="13"/>
    <s v="202005VR3"/>
    <x v="12"/>
    <s v="Contribution of genetic variation of ACE2, the receptor for SARS-CoV-2, to COVID-19 disease expression and development of therapeutics"/>
    <n v="172414"/>
    <n v="0"/>
    <s v="1 yr 0 mth "/>
    <x v="2"/>
    <x v="2"/>
    <s v="ACE2, SARS-CoV-2, genetics"/>
    <n v="0"/>
    <s v="zN/A"/>
    <n v="0"/>
    <s v="zN/A"/>
    <s v="Haas, Kurt"/>
  </r>
  <r>
    <x v="382"/>
    <s v="Centre hospitalier universitaire Sainte-Justine (Montréal, Québec)"/>
    <x v="4"/>
    <x v="1"/>
    <s v="201709PJT"/>
    <x v="0"/>
    <s v="Alternatives to current Chimeric-Antigen Receptor (CAR)-T cell therapy in acute lymphoblastic leukemia"/>
    <n v="688500"/>
    <n v="0"/>
    <s v="5 yrs 0 mth "/>
    <x v="0"/>
    <x v="11"/>
    <s v="Chimeric-Antigen Receptor, CAR-T, leukemia"/>
    <n v="1"/>
    <s v="zN/A"/>
    <n v="0"/>
    <s v="zN/A"/>
    <s v="Haddad, Elie"/>
  </r>
  <r>
    <x v="382"/>
    <s v="Centre hospitalier universitaire Sainte-Justine (Montréal, Québec)"/>
    <x v="4"/>
    <x v="43"/>
    <s v="202109PAE"/>
    <x v="0"/>
    <s v="New Modalities of Chimeric Antigen Receptor (CAR) Therapies in Pediatric Rhabdomyosarcoma"/>
    <n v="460000"/>
    <n v="0"/>
    <s v="2 yrs 0 mth "/>
    <x v="0"/>
    <x v="25"/>
    <s v="Chimeric Antigen Receptor, CAR, Rhabdomyosarcoma"/>
    <n v="0"/>
    <s v="zN/A"/>
    <n v="0"/>
    <s v="zN/A"/>
    <s v="Haddad, Elie"/>
  </r>
  <r>
    <x v="383"/>
    <s v="Research Institute of the McGill University Health Centre"/>
    <x v="4"/>
    <x v="1"/>
    <s v="202203PJT"/>
    <x v="9"/>
    <s v="Curve progression, tissue remodelling and disease-modifying drugs in idiopathic scoliosis."/>
    <n v="784126"/>
    <n v="0"/>
    <s v="5 yrs 0 mth "/>
    <x v="5"/>
    <x v="3"/>
    <s v="curve, tissue remodelling, scoliosis"/>
    <n v="0"/>
    <s v="zN/A"/>
    <n v="0"/>
    <s v="zN/A"/>
    <s v="Haglund, Lisbet A"/>
  </r>
  <r>
    <x v="384"/>
    <s v="University of Toronto"/>
    <x v="1"/>
    <x v="6"/>
    <s v="201510CPG"/>
    <x v="8"/>
    <s v="Precision medicine in breast cancer: from the computer to the clinic"/>
    <n v="375350"/>
    <n v="0"/>
    <s v="3 yrs 0 mth "/>
    <x v="0"/>
    <x v="4"/>
    <s v="precision medicine, breast cancer, computer"/>
    <n v="1"/>
    <s v="zN/A"/>
    <n v="0"/>
    <s v="zN/A"/>
    <s v="Haibe-Kains, Benjamin"/>
  </r>
  <r>
    <x v="384"/>
    <s v="University Health Network (Toronto)"/>
    <x v="1"/>
    <x v="1"/>
    <s v="201909PJT"/>
    <x v="5"/>
    <s v="Development and comparison of radiomics models for prognosis and monitoring"/>
    <n v="608175"/>
    <n v="0"/>
    <s v="3 yrs 0 mth "/>
    <x v="0"/>
    <x v="22"/>
    <s v="radiomics, prognosis, monitoring"/>
    <n v="0"/>
    <s v="zN/A"/>
    <n v="0"/>
    <s v="zN/A"/>
    <s v="Haibe-Kains, Benjamin"/>
  </r>
  <r>
    <x v="385"/>
    <s v="University of Manitoba"/>
    <x v="0"/>
    <x v="1"/>
    <s v="201903PJT"/>
    <x v="3"/>
    <s v="EMT Transcription factor corruption of epigenetic regulators in Acute Myeloid Leukemia"/>
    <n v="990676"/>
    <n v="0"/>
    <s v="5 yrs 0 mth "/>
    <x v="0"/>
    <x v="1"/>
    <s v="EMT, epigenetic, leukemia"/>
    <n v="0"/>
    <s v="zN/A"/>
    <n v="0"/>
    <s v="zN/A"/>
    <s v="Haigh, Jody J"/>
  </r>
  <r>
    <x v="385"/>
    <s v="University of Manitoba"/>
    <x v="0"/>
    <x v="1"/>
    <s v="202403PJT"/>
    <x v="5"/>
    <s v="Deciphering the Role of ZEB2 transcription factor in B cell Ontogeny and Transformation."/>
    <n v="1071000"/>
    <n v="0"/>
    <s v="5 yrs 0 mth "/>
    <x v="0"/>
    <x v="38"/>
    <s v="ZEB2, transcription factor, B cell"/>
    <n v="0"/>
    <s v="zN/A"/>
    <n v="0"/>
    <s v="zN/A"/>
    <s v="Haigh, Jody J"/>
  </r>
  <r>
    <x v="10"/>
    <s v="University of Waterloo (Ontario)"/>
    <x v="1"/>
    <x v="1"/>
    <s v="202403PJT"/>
    <x v="9"/>
    <s v="Accurate Retinal Oximetry for the Pre-Symptomatic Diagnosis of Major Blinding Diseases"/>
    <n v="757350"/>
    <n v="0"/>
    <s v="5 yrs 0 mth "/>
    <x v="9"/>
    <x v="38"/>
    <s v="Retinal oximetry, diagnosis, blinding diseases"/>
    <n v="0"/>
    <s v="zN/A"/>
    <n v="0"/>
    <s v="zN/A"/>
    <s v="Haji Reza, Parsin"/>
  </r>
  <r>
    <x v="386"/>
    <s v="University Health Network (Toronto)"/>
    <x v="1"/>
    <x v="1"/>
    <s v="202203PJT"/>
    <x v="5"/>
    <s v="Novel contrasting functions of RNF168 and RNF169 in breast cancer and therapeutic implications."/>
    <n v="956250"/>
    <n v="0"/>
    <s v="5 yrs 0 mth "/>
    <x v="0"/>
    <x v="3"/>
    <s v="RNF168, RNF169, breast cancer"/>
    <n v="0"/>
    <s v="zN/A"/>
    <n v="0"/>
    <s v="zN/A"/>
    <s v="Hakem, Razqallah"/>
  </r>
  <r>
    <x v="386"/>
    <s v="University Health Network (Toronto)"/>
    <x v="1"/>
    <x v="1"/>
    <s v="202209PJT"/>
    <x v="5"/>
    <s v="Targeting transcription-replication conflicts as vulnerabilities in BRCA1 mutant and homologous recombination-deficient breast and ovarian cancers"/>
    <n v="956250"/>
    <n v="0"/>
    <s v="5 yrs 0 mth "/>
    <x v="0"/>
    <x v="8"/>
    <s v="transcription-replication conflicts, BRCA1, homologous recombination"/>
    <n v="0"/>
    <s v="zN/A"/>
    <n v="0"/>
    <s v="zN/A"/>
    <s v="Hakem, Razqallah"/>
  </r>
  <r>
    <x v="387"/>
    <s v="Western University (Ontario)"/>
    <x v="1"/>
    <x v="0"/>
    <s v="201103MOP"/>
    <x v="9"/>
    <s v="Matricellular Protein Biomimetic Scaffolds to Enhance Skin Regeneration"/>
    <n v="335902"/>
    <n v="0"/>
    <s v="3 yrs 0 mth "/>
    <x v="5"/>
    <x v="17"/>
    <s v="Matricellular, Biomimetic, Scaffolds"/>
    <n v="0"/>
    <s v="zN/A"/>
    <n v="0"/>
    <s v="zN/A"/>
    <s v="Hamilton, Douglas W"/>
  </r>
  <r>
    <x v="387"/>
    <s v="Western University (Ontario)"/>
    <x v="1"/>
    <x v="0"/>
    <s v="201403MOP"/>
    <x v="9"/>
    <s v="Development of Matricellular Protein-Containing Granulation Tissue Biomimetic Scaffolds to Enhance Skin Regeneration"/>
    <n v="723542"/>
    <n v="0"/>
    <s v="5 yrs 0 mth "/>
    <x v="5"/>
    <x v="20"/>
    <s v="Matricellular protein, Granulation tissue, Skin regeneration"/>
    <n v="1"/>
    <s v="zN/A"/>
    <n v="0"/>
    <s v="zN/A"/>
    <s v="Hamilton, Douglas W"/>
  </r>
  <r>
    <x v="387"/>
    <s v="Western University (Ontario)"/>
    <x v="1"/>
    <x v="6"/>
    <s v="201711CPG"/>
    <x v="8"/>
    <s v="Novel technologies for engineering closure of non-healing skin wounds"/>
    <n v="348985"/>
    <n v="0"/>
    <s v="3 yrs 0 mth "/>
    <x v="5"/>
    <x v="11"/>
    <s v="skin wounds, closure, engineering"/>
    <n v="0"/>
    <s v="zN/A"/>
    <n v="0"/>
    <s v="zN/A"/>
    <s v="Hamilton, Douglas W"/>
  </r>
  <r>
    <x v="387"/>
    <s v="Western University (Ontario)"/>
    <x v="1"/>
    <x v="1"/>
    <s v="201803PJT"/>
    <x v="9"/>
    <s v="Novel Biomaterials-Based Strategies to Stimulate Periodontal Tissue Regeneration"/>
    <n v="703800"/>
    <n v="0"/>
    <s v="5 yrs 0 mth "/>
    <x v="5"/>
    <x v="7"/>
    <s v="Biomaterials, Periodontal, Regeneration"/>
    <n v="0"/>
    <s v="zN/A"/>
    <n v="0"/>
    <s v="zN/A"/>
    <s v="Hamilton, Douglas W"/>
  </r>
  <r>
    <x v="388"/>
    <s v="McGill University"/>
    <x v="4"/>
    <x v="0"/>
    <s v="200903MOP"/>
    <x v="9"/>
    <s v="Neural Encoding in the Visual Cortex: Engineering Principles for Advanced Neural Prosthetics"/>
    <n v="370776"/>
    <n v="0"/>
    <s v="4 yrs 0 mth "/>
    <x v="4"/>
    <x v="5"/>
    <s v="Neural encoding, visual cortex, neural prosthetics"/>
    <n v="0"/>
    <s v="zN/A"/>
    <n v="0"/>
    <s v="zN/A"/>
    <s v="Hamoui, Anas"/>
  </r>
  <r>
    <x v="389"/>
    <s v="University of Toronto"/>
    <x v="1"/>
    <x v="8"/>
    <s v="201103IRO"/>
    <x v="4"/>
    <s v="Metabotropic Glutamate and GABA Receptors in Neuroinflammation"/>
    <n v="193701"/>
    <n v="4785"/>
    <s v="3 yrs 0 mth "/>
    <x v="4"/>
    <x v="17"/>
    <s v="Glutamate, GABA, Receptors"/>
    <n v="0"/>
    <s v="zN/A"/>
    <n v="0"/>
    <s v="zN/A"/>
    <s v="Hampson, David R"/>
  </r>
  <r>
    <x v="390"/>
    <s v="University Health Network (Toronto)"/>
    <x v="1"/>
    <x v="1"/>
    <s v="202010PJT"/>
    <x v="3"/>
    <s v="Tailored adjuvant therapy in POLE-mutated and p53-wildtype early stage endometrial cancer (TAPER)"/>
    <n v="1082474"/>
    <n v="0"/>
    <s v="6 yrs 0 mth "/>
    <x v="0"/>
    <x v="23"/>
    <s v="adjuvant therapy, POLE-mutated, endometrial cancer"/>
    <n v="0"/>
    <s v="zN/A"/>
    <n v="0"/>
    <s v="zN/A"/>
    <s v="Han, Kathy"/>
  </r>
  <r>
    <x v="391"/>
    <s v="University of British Columbia"/>
    <x v="3"/>
    <x v="18"/>
    <s v="202005VR2"/>
    <x v="16"/>
    <s v="Diagnosing the onset of severe Covid-19 disease"/>
    <n v="422084"/>
    <n v="0"/>
    <s v="1 yr 0 mth "/>
    <x v="1"/>
    <x v="2"/>
    <s v="Covid-19, diagnosis, disease"/>
    <n v="0"/>
    <s v="zN/A"/>
    <n v="0"/>
    <s v="zN/A"/>
    <s v="Hancock, Robert Ernest W"/>
  </r>
  <r>
    <x v="392"/>
    <s v="University of British Columbia"/>
    <x v="3"/>
    <x v="6"/>
    <s v="201410CPG"/>
    <x v="8"/>
    <s v="Microfluidic technology platform for selection of functional monoclonal antibodies with application to fibrosis"/>
    <n v="442500"/>
    <n v="0"/>
    <s v="3 yrs 0 mth "/>
    <x v="5"/>
    <x v="6"/>
    <s v="microfluidic, monoclonal antibodies, fibrosis"/>
    <n v="3"/>
    <s v="zN/A"/>
    <n v="0"/>
    <s v="zN/A"/>
    <s v="Hansen, Carl L"/>
  </r>
  <r>
    <x v="393"/>
    <s v="University Health Network (Toronto)"/>
    <x v="1"/>
    <x v="1"/>
    <s v="201903PJT"/>
    <x v="0"/>
    <s v="Radiotherapy-driven remodelling of the tumour microenvironment dictates response to immune checkpoint blockade"/>
    <n v="1105426"/>
    <n v="0"/>
    <s v="5 yrs 0 mth "/>
    <x v="0"/>
    <x v="1"/>
    <s v="Radiotherapy, tumor microenvironment, immune checkpoint"/>
    <n v="0"/>
    <s v="zN/A"/>
    <n v="0"/>
    <s v="zN/A"/>
    <s v="Harding, Shane M"/>
  </r>
  <r>
    <x v="394"/>
    <s v="Sunnybrook Research Institute (Toronto, Ontario)"/>
    <x v="1"/>
    <x v="1"/>
    <s v="202109PJT"/>
    <x v="9"/>
    <s v="Quantifying Osteosarcopenia Progression with Imaging Biomarkers in Prostate Cancer"/>
    <n v="636180"/>
    <n v="0"/>
    <s v="5 yrs 0 mth "/>
    <x v="5"/>
    <x v="25"/>
    <s v="Osteosarcopenia, Imaging, Biomarkers"/>
    <n v="0"/>
    <s v="zN/A"/>
    <n v="0"/>
    <s v="zN/A"/>
    <s v="Hardisty, Michael R"/>
  </r>
  <r>
    <x v="395"/>
    <s v="Centre hospitalier universitaire Sainte-Justine (Montréal, Québec)"/>
    <x v="4"/>
    <x v="1"/>
    <s v="201909PJT"/>
    <x v="3"/>
    <s v="Investigation of the antineoplastic effect of miRNA-181a and development a novel pharmaceutical approaches for treating advanced retinoblastoma"/>
    <n v="642600"/>
    <n v="0"/>
    <s v="5 yrs 0 mth "/>
    <x v="0"/>
    <x v="22"/>
    <s v="miRNA-181a, retinoblastoma, antineoplastic"/>
    <n v="0"/>
    <s v="zN/A"/>
    <n v="0"/>
    <s v="zN/A"/>
    <s v="Hardy, Pierre"/>
  </r>
  <r>
    <x v="396"/>
    <s v="University of British Columbia"/>
    <x v="3"/>
    <x v="8"/>
    <s v="200809IRO"/>
    <x v="4"/>
    <s v="Improved Screening Methods for CCR5-Antagonists Use by Ultra Deep Sequencing and Quantitative Population-Based Sequencing Techniques: Analyzes of the Phase III Human Clinical Trials of Maraviroc (08-09)."/>
    <n v="690659"/>
    <n v="0"/>
    <s v="3 yrs 0 mth "/>
    <x v="1"/>
    <x v="0"/>
    <s v="CCR5, sequencing, Maraviroc"/>
    <n v="0"/>
    <s v="zN/A"/>
    <n v="0"/>
    <s v="zN/A"/>
    <s v="Harrigan, Richard P"/>
  </r>
  <r>
    <x v="396"/>
    <s v="University of British Columbia"/>
    <x v="3"/>
    <x v="8"/>
    <s v="200903IRO"/>
    <x v="4"/>
    <s v="HIV Drug Resistance: Transitioning to New Sequencing Technologies"/>
    <n v="63000"/>
    <n v="0"/>
    <s v="1 yr 6 mths "/>
    <x v="1"/>
    <x v="5"/>
    <s v="HIV, sequencing, resistance"/>
    <n v="1"/>
    <s v="zN/A"/>
    <n v="0"/>
    <s v="zN/A"/>
    <s v="Harrigan, Richard P"/>
  </r>
  <r>
    <x v="397"/>
    <s v="McGill University"/>
    <x v="4"/>
    <x v="6"/>
    <s v="201310CPG"/>
    <x v="8"/>
    <s v="IMPLANTABLE MICRO-DEVICE to MONITOR MUSCLE COMPARTMENT PRESSURE in TRAUMA VICTIMS"/>
    <n v="180569"/>
    <n v="0"/>
    <s v="3 yrs 0 mth "/>
    <x v="5"/>
    <x v="9"/>
    <s v="implantable, micro-device, pressure"/>
    <n v="2"/>
    <s v="zN/A"/>
    <n v="0"/>
    <s v="zN/A"/>
    <s v="Harvey, Edward J"/>
  </r>
  <r>
    <x v="397"/>
    <s v="Research Institute of the McGill University Health Centre"/>
    <x v="4"/>
    <x v="1"/>
    <s v="201804PJT"/>
    <x v="9"/>
    <s v="Advanced sensors for acute and chronic brain injury"/>
    <n v="100000"/>
    <n v="0"/>
    <s v="1 yr 0 mth "/>
    <x v="4"/>
    <x v="7"/>
    <s v="sensors, brain injury"/>
    <n v="0"/>
    <s v="zN/A"/>
    <n v="0"/>
    <s v="zN/A"/>
    <s v="Harvey, Edward J"/>
  </r>
  <r>
    <x v="398"/>
    <s v="McMaster University"/>
    <x v="1"/>
    <x v="12"/>
    <s v="201403COP"/>
    <x v="5"/>
    <s v="Identification and characterization of drugs affecting serotonin signalling that may be repurposed to treat breast cancer"/>
    <n v="100000"/>
    <n v="0"/>
    <s v="1 yr 0 mth "/>
    <x v="0"/>
    <x v="20"/>
    <s v="serotonin, drugs, breast cancer"/>
    <n v="0"/>
    <s v="zN/A"/>
    <n v="0"/>
    <s v="zN/A"/>
    <s v="Hassell, John A"/>
  </r>
  <r>
    <x v="398"/>
    <s v="McMaster University"/>
    <x v="1"/>
    <x v="0"/>
    <s v="201503MOP"/>
    <x v="5"/>
    <s v="Mechanism of action of drugs affecting serotonin signalling in breast cancer stem cells"/>
    <n v="664508"/>
    <n v="0"/>
    <s v="4 yrs 0 mth "/>
    <x v="0"/>
    <x v="19"/>
    <s v="serotonin, breast cancer, stem cells"/>
    <n v="0"/>
    <s v="zN/A"/>
    <n v="0"/>
    <s v="zN/A"/>
    <s v="Hassell, John A"/>
  </r>
  <r>
    <x v="399"/>
    <s v="University of Ottawa"/>
    <x v="1"/>
    <x v="30"/>
    <s v="201310CEH"/>
    <x v="21"/>
    <s v="Can e-therapies reduce waiting lists in secondary mental health care? A randomised controlled trial"/>
    <n v="89988"/>
    <n v="0"/>
    <s v="1 yr 0 mth "/>
    <x v="11"/>
    <x v="54"/>
    <s v="e-therapies, mental health, waiting lists"/>
    <n v="0"/>
    <s v="zN/A"/>
    <n v="0"/>
    <s v="zN/A"/>
    <s v="Hatcher, Simon"/>
  </r>
  <r>
    <x v="400"/>
    <s v="Hospital for Sick Children (Toronto)"/>
    <x v="1"/>
    <x v="0"/>
    <s v="201103MOP"/>
    <x v="5"/>
    <s v="Targeting Paediatric Brainstem Glioma Using Integrated Whole Genome Analysis"/>
    <n v="581429"/>
    <n v="0"/>
    <s v="4 yrs 0 mth "/>
    <x v="0"/>
    <x v="17"/>
    <s v="Paediatric, Brainstem Glioma, Whole Genome"/>
    <n v="0"/>
    <s v="zN/A"/>
    <n v="0"/>
    <s v="zN/A"/>
    <s v="Hawkins, Cynthia E"/>
  </r>
  <r>
    <x v="400"/>
    <s v="Hospital for Sick Children (Toronto)"/>
    <x v="1"/>
    <x v="1"/>
    <s v="201709PJT"/>
    <x v="5"/>
    <s v="Defining the role of the histone 3 (H3.3G34R) mutation in the pathogenesis of pediatric high grade astrocytoma"/>
    <n v="956250"/>
    <n v="0"/>
    <s v="5 yrs 0 mth "/>
    <x v="0"/>
    <x v="11"/>
    <s v="histone, mutation, astrocytoma"/>
    <n v="0"/>
    <s v="zN/A"/>
    <n v="0"/>
    <s v="zN/A"/>
    <s v="Hawkins, Cynthia E"/>
  </r>
  <r>
    <x v="400"/>
    <s v="Hospital for Sick Children (Toronto)"/>
    <x v="1"/>
    <x v="1"/>
    <s v="201803PJT"/>
    <x v="1"/>
    <s v="Molecular based approach for discovery and improved outcome for children and young adults with low grade glioma"/>
    <n v="940950"/>
    <n v="0"/>
    <s v="5 yrs 0 mth "/>
    <x v="0"/>
    <x v="7"/>
    <s v="molecular, glioma, children"/>
    <n v="0"/>
    <s v="zN/A"/>
    <n v="0"/>
    <s v="zN/A"/>
    <s v="Hawkins, Cynthia E"/>
  </r>
  <r>
    <x v="400"/>
    <s v="Hospital for Sick Children (Toronto)"/>
    <x v="1"/>
    <x v="1"/>
    <s v="202104PJT"/>
    <x v="1"/>
    <s v="Investigating diffuse midline glioma evolution and treatment resistance"/>
    <n v="1051876"/>
    <n v="0"/>
    <s v="5 yrs 0 mth "/>
    <x v="0"/>
    <x v="35"/>
    <s v="glioma, evolution, resistance"/>
    <n v="0"/>
    <s v="zN/A"/>
    <n v="0"/>
    <s v="zN/A"/>
    <s v="Hawkins, Cynthia E"/>
  </r>
  <r>
    <x v="400"/>
    <s v="Hospital for Sick Children (Toronto)"/>
    <x v="1"/>
    <x v="1"/>
    <s v="202203PJT"/>
    <x v="1"/>
    <s v="Next generation precision oncology for pediatric-type AYA gliomas"/>
    <n v="1342576"/>
    <n v="0"/>
    <s v="5 yrs 0 mth "/>
    <x v="0"/>
    <x v="3"/>
    <s v="precision, oncology, gliomas"/>
    <n v="0"/>
    <s v="zN/A"/>
    <n v="0"/>
    <s v="zN/A"/>
    <s v="Hawkins, Cynthia E"/>
  </r>
  <r>
    <x v="401"/>
    <s v="Queen's University (Kingston, Ontario)"/>
    <x v="1"/>
    <x v="1"/>
    <s v="202303PJT"/>
    <x v="0"/>
    <s v="The TACtful Trial: A first-in-human multi-centre trial of BCMA specific T-cell antigen coupler infusion, generated from cryopreserved G-CSF-mobilized peripheral blood, in patients with relapsed and refractory multiple myeloma."/>
    <n v="3056176"/>
    <n v="0"/>
    <s v="5 yrs 0 mth "/>
    <x v="0"/>
    <x v="13"/>
    <s v="BCMA, T-cell, multiple myeloma"/>
    <n v="0"/>
    <s v="zN/A"/>
    <n v="0"/>
    <s v="zN/A"/>
    <s v="Hay, Annette"/>
  </r>
  <r>
    <x v="402"/>
    <s v="University of British Columbia"/>
    <x v="3"/>
    <x v="1"/>
    <s v="202109PJT"/>
    <x v="0"/>
    <s v="A Phase I first-in-human trial of CLIC-2201, a VHH-CD22 CAR-T cell product for the treatment of relapsed/refractory CD22 positive B-cell non-Hodgkin lymphoma"/>
    <n v="1667700"/>
    <n v="0"/>
    <s v="4 yrs 0 mth "/>
    <x v="0"/>
    <x v="25"/>
    <s v="CAR-T, CD22, B-cell"/>
    <n v="0"/>
    <s v="zN/A"/>
    <n v="0"/>
    <s v="zN/A"/>
    <s v="Hay, Kevin A"/>
  </r>
  <r>
    <x v="403"/>
    <s v="University Health Network (Toronto)"/>
    <x v="1"/>
    <x v="0"/>
    <s v="201503MOP"/>
    <x v="5"/>
    <s v="Epigenetic Regulation and Noncoding RNA in Prostate Cancer Progression"/>
    <n v="695400"/>
    <n v="0"/>
    <s v="5 yrs 0 mth "/>
    <x v="0"/>
    <x v="19"/>
    <s v="Epigenetic, Noncoding RNA, Prostate Cancer"/>
    <n v="1"/>
    <s v="zN/A"/>
    <n v="0"/>
    <s v="zN/A"/>
    <s v="He, Housheng H"/>
  </r>
  <r>
    <x v="403"/>
    <s v="University Health Network (Toronto)"/>
    <x v="1"/>
    <x v="1"/>
    <s v="201803PJT"/>
    <x v="1"/>
    <s v="Function of OC2 in Neuroendocrine Transdifferentiation and NEPC"/>
    <n v="868276"/>
    <n v="0"/>
    <s v="5 yrs 0 mth "/>
    <x v="0"/>
    <x v="7"/>
    <s v="OC2, Neuroendocrine, Transdifferentiation"/>
    <n v="0"/>
    <s v="zN/A"/>
    <n v="0"/>
    <s v="zN/A"/>
    <s v="He, Housheng H"/>
  </r>
  <r>
    <x v="403"/>
    <s v="University Health Network (Toronto)"/>
    <x v="1"/>
    <x v="1"/>
    <s v="202109PJT"/>
    <x v="5"/>
    <s v="Function of LSD1 in aggressive prostate cancer"/>
    <n v="998325"/>
    <n v="0"/>
    <s v="5 yrs 0 mth "/>
    <x v="0"/>
    <x v="25"/>
    <s v="LSD1, prostate cancer"/>
    <n v="0"/>
    <s v="zN/A"/>
    <n v="0"/>
    <s v="zN/A"/>
    <s v="He, Housheng H"/>
  </r>
  <r>
    <x v="404"/>
    <s v="McMaster University"/>
    <x v="1"/>
    <x v="3"/>
    <s v="201203IPR"/>
    <x v="4"/>
    <s v="Prevalence of Sub-Clinical Atrial Fibrillation in Patients with Cardiovascular Risk Factors Detected Using an Implantable Loop Recorder (ASSERT-2)"/>
    <n v="136535"/>
    <n v="0"/>
    <s v="3 yrs 0 mth "/>
    <x v="3"/>
    <x v="12"/>
    <s v="Atrial Fibrillation, Implantable Loop Recorder, Cardiovascular Risk"/>
    <n v="0"/>
    <s v="zN/A"/>
    <n v="0"/>
    <s v="zN/A"/>
    <s v="Healey, Jeff S"/>
  </r>
  <r>
    <x v="405"/>
    <s v="University Health Network (Toronto)"/>
    <x v="1"/>
    <x v="0"/>
    <s v="201209MOP"/>
    <x v="0"/>
    <s v="Hypoxia in micrometastases as a cause of treatment failure in the adjuvant setting"/>
    <n v="245857"/>
    <n v="0"/>
    <s v="3 yrs 0 mth "/>
    <x v="0"/>
    <x v="14"/>
    <s v="hypoxia, micrometastases, treatment failure"/>
    <n v="0"/>
    <s v="zN/A"/>
    <n v="0"/>
    <s v="zN/A"/>
    <s v="Hedley, David W"/>
  </r>
  <r>
    <x v="406"/>
    <s v="Concordia University (Montreal, Quebec)"/>
    <x v="4"/>
    <x v="1"/>
    <s v="202303PJT"/>
    <x v="6"/>
    <s v="Ultrasound-assisted microRNA delivery towards the treatment of pathological cardiac hypertrophy"/>
    <n v="355726"/>
    <n v="0"/>
    <s v="3 yrs 0 mth "/>
    <x v="3"/>
    <x v="13"/>
    <s v="ultrasound, microRNA, cardiac hypertrophy"/>
    <n v="0"/>
    <s v="zN/A"/>
    <n v="0"/>
    <s v="zN/A"/>
    <s v="Helfield, Brandon"/>
  </r>
  <r>
    <x v="407"/>
    <s v="University of Alberta"/>
    <x v="2"/>
    <x v="1"/>
    <s v="201809PJT"/>
    <x v="0"/>
    <s v="Structure-function relationships at DNA double-strand break repair centers"/>
    <n v="837675"/>
    <n v="0"/>
    <s v="5 yrs 0 mth "/>
    <x v="0"/>
    <x v="26"/>
    <s v="DNA, double-strand break, repair"/>
    <n v="0"/>
    <s v="zN/A"/>
    <n v="0"/>
    <s v="zN/A"/>
    <s v="Hendzel, Michael J"/>
  </r>
  <r>
    <x v="408"/>
    <s v="Hospital for Sick Children (Toronto)"/>
    <x v="1"/>
    <x v="0"/>
    <s v="200909MOP"/>
    <x v="6"/>
    <s v="The Effect of Flow on Atherogenesis in Mice"/>
    <n v="347223"/>
    <n v="0"/>
    <s v="3 yrs 0 mth "/>
    <x v="3"/>
    <x v="10"/>
    <s v="Flow, Atherogenesis, Mice"/>
    <n v="0"/>
    <s v="zN/A"/>
    <n v="0"/>
    <s v="zN/A"/>
    <s v="Henkelman, R. Mark"/>
  </r>
  <r>
    <x v="409"/>
    <s v="University of Calgary"/>
    <x v="2"/>
    <x v="0"/>
    <s v="201009MOP"/>
    <x v="9"/>
    <s v="Chondrocyte mechanics and biology in the intact joint: towards an understanding of osteoarthritis development in vivo"/>
    <n v="528435"/>
    <n v="0"/>
    <s v="5 yrs 0 mth "/>
    <x v="5"/>
    <x v="16"/>
    <s v="chondrocyte, biomechanics, osteoarthritis"/>
    <n v="0"/>
    <s v="zN/A"/>
    <n v="0"/>
    <s v="zN/A"/>
    <s v="Herzog, Walter"/>
  </r>
  <r>
    <x v="409"/>
    <s v="University of Calgary"/>
    <x v="2"/>
    <x v="0"/>
    <s v="201003MOP"/>
    <x v="9"/>
    <s v="The functional role of titin in muscle contraction"/>
    <n v="251472"/>
    <n v="0"/>
    <s v="3 yrs 0 mth "/>
    <x v="5"/>
    <x v="34"/>
    <s v="titin, muscle contraction"/>
    <n v="0"/>
    <s v="zN/A"/>
    <n v="0"/>
    <s v="zN/A"/>
    <s v="Herzog, Walter"/>
  </r>
  <r>
    <x v="409"/>
    <s v="University of Calgary"/>
    <x v="2"/>
    <x v="0"/>
    <s v="201303MOP"/>
    <x v="9"/>
    <s v="The functional role of titin in muscle contraction"/>
    <n v="540050"/>
    <n v="0"/>
    <s v="5 yrs 0 mth "/>
    <x v="5"/>
    <x v="34"/>
    <s v="titin, muscle contraction"/>
    <n v="0"/>
    <s v="zN/A"/>
    <n v="0"/>
    <s v="zN/A"/>
    <s v="Herzog, Walter"/>
  </r>
  <r>
    <x v="410"/>
    <s v="University Health Network (Toronto)"/>
    <x v="1"/>
    <x v="0"/>
    <s v="200909MOP"/>
    <x v="5"/>
    <s v="Hypoxia:  Effects on Tumour Response and Progression in Cervix Cancer"/>
    <n v="599314"/>
    <n v="0"/>
    <s v="4 yrs 0 mth "/>
    <x v="0"/>
    <x v="10"/>
    <s v="Hypoxia, Tumour, Cervix Cancer"/>
    <n v="0"/>
    <s v="zN/A"/>
    <n v="0"/>
    <s v="zN/A"/>
    <s v="Hill, Richard P"/>
  </r>
  <r>
    <x v="411"/>
    <s v="University Health Network (Toronto)"/>
    <x v="1"/>
    <x v="1"/>
    <s v="201809PJT"/>
    <x v="0"/>
    <s v="Development of a novel mesothelin CAR-T immunotherapy and pharmacologic combinations for triple negative breast cancer"/>
    <n v="1273725"/>
    <n v="0"/>
    <s v="5 yrs 0 mth "/>
    <x v="0"/>
    <x v="26"/>
    <s v="mesothelin, CAR-T, breast cancer"/>
    <n v="0"/>
    <s v="zN/A"/>
    <n v="0"/>
    <s v="zN/A"/>
    <s v="Hirano, Naoto"/>
  </r>
  <r>
    <x v="411"/>
    <s v="University Health Network (Toronto)"/>
    <x v="1"/>
    <x v="1"/>
    <s v="202010PJT"/>
    <x v="0"/>
    <s v="Development of TCR-engineered T cells against novel NY-ESO-1 epitopes for the treatment of triple negative breast cancer"/>
    <n v="1438200"/>
    <n v="0"/>
    <s v="5 yrs 0 mth "/>
    <x v="1"/>
    <x v="23"/>
    <s v="TCR, T cells, NY-ESO-1"/>
    <n v="4"/>
    <s v="zN/A"/>
    <n v="0"/>
    <s v="zN/A"/>
    <s v="Hirano, Naoto"/>
  </r>
  <r>
    <x v="411"/>
    <s v="University Health Network (Toronto)"/>
    <x v="1"/>
    <x v="1"/>
    <s v="202303PJT"/>
    <x v="0"/>
    <s v="Development of bi-specific T cell engagers (BiTEs) for the treatment of acute myeloid leukemia (AML)"/>
    <n v="1017450"/>
    <n v="0"/>
    <s v="5 yrs 0 mth "/>
    <x v="0"/>
    <x v="13"/>
    <s v="bi-specific T cell engagers, AML, leukemia"/>
    <n v="0"/>
    <s v="zN/A"/>
    <n v="0"/>
    <s v="zN/A"/>
    <s v="Hirano, Naoto"/>
  </r>
  <r>
    <x v="412"/>
    <s v="Hospital for Sick Children (Toronto)"/>
    <x v="1"/>
    <x v="0"/>
    <s v="201503MOP"/>
    <x v="0"/>
    <s v="Mechanisms and Risk Stratification for Treatment of Acute Myeloid Leukemia in Children with Down  syndrome"/>
    <n v="773060"/>
    <n v="0"/>
    <s v="5 yrs 0 mth "/>
    <x v="0"/>
    <x v="19"/>
    <s v="Acute Myeloid Leukemia, Risk Stratification, Down syndrome"/>
    <n v="0"/>
    <s v="zN/A"/>
    <n v="0"/>
    <s v="zN/A"/>
    <s v="Hitzler, Johann H"/>
  </r>
  <r>
    <x v="413"/>
    <s v="Université de Montréal"/>
    <x v="4"/>
    <x v="1"/>
    <s v="202303PJT"/>
    <x v="0"/>
    <s v="Uncovering tumor specific antigens and vulnerabilities in ETP-acute lymphoblastic leukemia"/>
    <n v="856800"/>
    <n v="0"/>
    <s v="5 yrs 0 mth "/>
    <x v="0"/>
    <x v="13"/>
    <s v="tumor antigens, vulnerabilities, leukemia"/>
    <n v="0"/>
    <s v="zN/A"/>
    <n v="0"/>
    <s v="zN/A"/>
    <s v="Hoang, Trang K"/>
  </r>
  <r>
    <x v="414"/>
    <s v="McMaster University"/>
    <x v="1"/>
    <x v="6"/>
    <s v="201610CPG"/>
    <x v="8"/>
    <s v="Engineering Starch-Based Nanoparticles and Nanoparticle Clusters for Improving Local Drug Delivery to Tumour Cores and the Brain"/>
    <n v="240625"/>
    <n v="0"/>
    <s v="3 yrs 0 mth "/>
    <x v="4"/>
    <x v="24"/>
    <s v="Starch, Nanoparticles, Drug delivery"/>
    <n v="3"/>
    <s v="zN/A"/>
    <n v="0"/>
    <s v="zN/A"/>
    <s v="Hoare, Todd R"/>
  </r>
  <r>
    <x v="414"/>
    <s v="McMaster University"/>
    <x v="1"/>
    <x v="6"/>
    <s v="201810CPG"/>
    <x v="8"/>
    <s v="Designing Highly Porous Drug-Impregnated Polymer Scaffolds Using Pressurized Gas Expanded Liquids for the Treatment of Lung Fibrosis and Wound Infections"/>
    <n v="327657"/>
    <n v="7500"/>
    <s v="3 yrs 0 mth "/>
    <x v="6"/>
    <x v="26"/>
    <s v="Polymer scaffolds, Gas expanded liquids, Lung fibrosis"/>
    <n v="0"/>
    <s v="zN/A"/>
    <n v="0"/>
    <s v="zN/A"/>
    <s v="Hoare, Todd R"/>
  </r>
  <r>
    <x v="415"/>
    <s v="University of British Columbia"/>
    <x v="3"/>
    <x v="6"/>
    <s v="201410CPG"/>
    <x v="8"/>
    <s v="Using Three-Dimensional Ultrasound to Improve Diagnosis, Guide Surgery and Reduce Radiation in Orthopaedic Trauma and Pediatric Orthopaedics"/>
    <n v="213832"/>
    <n v="0"/>
    <s v="3 yrs 0 mth "/>
    <x v="5"/>
    <x v="6"/>
    <s v="Ultrasound, Orthopaedic, Pediatric"/>
    <n v="0"/>
    <s v="zN/A"/>
    <n v="0"/>
    <s v="zN/A"/>
    <s v="Hodgson, Antony J"/>
  </r>
  <r>
    <x v="416"/>
    <s v="McGill University"/>
    <x v="4"/>
    <x v="0"/>
    <s v="201503MOP"/>
    <x v="9"/>
    <s v="Endothelial progenitor cell adhesion to biomimetic vascular substitutes"/>
    <n v="576284"/>
    <n v="0"/>
    <s v="5 yrs 0 mth "/>
    <x v="3"/>
    <x v="19"/>
    <s v="endothelial, progenitor, biomimetic"/>
    <n v="0"/>
    <s v="zN/A"/>
    <n v="0"/>
    <s v="zN/A"/>
    <s v="Hoesli, Corinne"/>
  </r>
  <r>
    <x v="416"/>
    <s v="McGill University"/>
    <x v="4"/>
    <x v="1"/>
    <s v="202209PJT"/>
    <x v="10"/>
    <s v="Engineering a vascularized macroencapsulation device for diabetes cellular therapy"/>
    <n v="797156"/>
    <n v="0"/>
    <s v="5 yrs 0 mth "/>
    <x v="9"/>
    <x v="8"/>
    <s v="vascularized, macroencapsulation, diabetes"/>
    <n v="1"/>
    <s v="zN/A"/>
    <n v="0"/>
    <s v="zN/A"/>
    <s v="Hoesli, Corinne"/>
  </r>
  <r>
    <x v="417"/>
    <s v="CIUSSS du Centre-Sud-de-l'Île-de-Montréal (Montréal, Québec)"/>
    <x v="4"/>
    <x v="0"/>
    <s v="201203MOP"/>
    <x v="6"/>
    <s v="MRI characterization of neurovascular function in carotid artery disease"/>
    <n v="672197"/>
    <n v="0"/>
    <s v="5 yrs 0 mth "/>
    <x v="4"/>
    <x v="12"/>
    <s v="MRI, neurovascular, carotid artery"/>
    <n v="0"/>
    <s v="zN/A"/>
    <n v="0"/>
    <s v="zN/A"/>
    <s v="Hoge, Richard D"/>
  </r>
  <r>
    <x v="33"/>
    <s v="Western University (Ontario)"/>
    <x v="1"/>
    <x v="0"/>
    <s v="201209MOP"/>
    <x v="6"/>
    <s v="Real-time microscopy during high-frequency mechanostimulation of living cells"/>
    <n v="649806"/>
    <n v="0"/>
    <s v="5 yrs 0 mth "/>
    <x v="5"/>
    <x v="14"/>
    <s v="microscopy, mechanostimulation, cells"/>
    <n v="0"/>
    <s v="zN/A"/>
    <n v="0"/>
    <s v="zN/A"/>
    <s v="Holdsworth, David W"/>
  </r>
  <r>
    <x v="33"/>
    <s v="Western University (Ontario)"/>
    <x v="1"/>
    <x v="0"/>
    <s v="201309MOP"/>
    <x v="6"/>
    <s v="Dynamic micro-computed tomography for pre-clinical musculoskeletal research"/>
    <n v="719145"/>
    <n v="0"/>
    <s v="5 yrs 0 mth "/>
    <x v="5"/>
    <x v="9"/>
    <s v="micro-computed tomography, musculoskeletal, pre-clinical"/>
    <n v="0"/>
    <s v="zN/A"/>
    <n v="0"/>
    <s v="zN/A"/>
    <s v="Holdsworth, David W"/>
  </r>
  <r>
    <x v="33"/>
    <s v="Western University (Ontario)"/>
    <x v="1"/>
    <x v="1"/>
    <s v="202209PJT"/>
    <x v="6"/>
    <s v="Combined gamma probe and ultrasound imaging system for cancer surgery"/>
    <n v="807075"/>
    <n v="0"/>
    <s v="5 yrs 0 mth "/>
    <x v="0"/>
    <x v="49"/>
    <s v="gamma probe, ultrasound, imaging"/>
    <n v="0"/>
    <s v="zN/A"/>
    <n v="0"/>
    <s v="zN/A"/>
    <s v="Holdsworth, David W"/>
  </r>
  <r>
    <x v="418"/>
    <s v="University of British Columbia"/>
    <x v="3"/>
    <x v="44"/>
    <s v="200903CVC"/>
    <x v="24"/>
    <s v="Immunogenicity and HLA restriction of kinase mutations in colorectal adenoma and carcinoma patients"/>
    <n v="100000"/>
    <n v="0"/>
    <s v="1 yr 0 mth "/>
    <x v="1"/>
    <x v="5"/>
    <s v="Immunogenicity, HLA, kinase mutations"/>
    <n v="0"/>
    <s v="zN/A"/>
    <n v="0"/>
    <s v="zN/A"/>
    <s v="Holt, Rob"/>
  </r>
  <r>
    <x v="418"/>
    <s v="University of British Columbia"/>
    <x v="3"/>
    <x v="1"/>
    <s v="201709PJT"/>
    <x v="1"/>
    <s v="Engineering T cells to overcome an immunosuppressive solid tumour microenvironment"/>
    <n v="150000"/>
    <n v="0"/>
    <s v="3 yrs 0 mth "/>
    <x v="0"/>
    <x v="11"/>
    <s v="T cells, immunosuppressive, tumour"/>
    <n v="0"/>
    <s v="zN/A"/>
    <n v="0"/>
    <s v="zN/A"/>
    <s v="Holt, Rob"/>
  </r>
  <r>
    <x v="418"/>
    <s v="University of British Columbia"/>
    <x v="3"/>
    <x v="1"/>
    <s v="202010PJT"/>
    <x v="0"/>
    <s v="Lentiviral infusion as a universal approach for genetically modified immune effector cell therapies."/>
    <n v="642600"/>
    <n v="0"/>
    <s v="4 yrs 0 mth "/>
    <x v="0"/>
    <x v="23"/>
    <s v="Lentiviral, infusion, immune effector cells"/>
    <n v="0"/>
    <s v="zN/A"/>
    <n v="0"/>
    <s v="zN/A"/>
    <s v="Holt, Rob"/>
  </r>
  <r>
    <x v="419"/>
    <s v="University Health Network (Toronto)"/>
    <x v="1"/>
    <x v="1"/>
    <s v="202209PJT"/>
    <x v="5"/>
    <s v="Characterizing the stress granule network as a determinant of leukemic stem cells and novel therapeutic target in acute myeloid leukemia"/>
    <n v="956250"/>
    <n v="0"/>
    <s v="5 yrs 0 mth "/>
    <x v="0"/>
    <x v="8"/>
    <s v="stress granule, leukemic stem cells, acute myeloid leukemia"/>
    <n v="0"/>
    <s v="zN/A"/>
    <n v="0"/>
    <s v="zN/A"/>
    <s v="Hope, Kristin"/>
  </r>
  <r>
    <x v="420"/>
    <s v="Hospital for Sick Children (Toronto)"/>
    <x v="1"/>
    <x v="0"/>
    <s v="200909MOP"/>
    <x v="5"/>
    <s v="Discovery and characterization of C19MC a novel oncogenic miRNA locus in malignant brain tumors"/>
    <n v="515320"/>
    <n v="0"/>
    <s v="4 yrs 0 mth "/>
    <x v="0"/>
    <x v="10"/>
    <s v="C19MC, miRNA, brain tumors"/>
    <n v="0"/>
    <s v="zN/A"/>
    <n v="0"/>
    <s v="zN/A"/>
    <s v="Huang, Annie"/>
  </r>
  <r>
    <x v="420"/>
    <s v="Hospital for Sick Children (Toronto)"/>
    <x v="1"/>
    <x v="0"/>
    <s v="201109MOP"/>
    <x v="1"/>
    <s v="Targeting Thrombospondin-1 in medulloblastoma"/>
    <n v="762872"/>
    <n v="0"/>
    <s v="5 yrs 0 mth "/>
    <x v="0"/>
    <x v="15"/>
    <s v="Thrombospondin-1, medulloblastoma"/>
    <n v="0"/>
    <s v="zN/A"/>
    <n v="0"/>
    <s v="zN/A"/>
    <s v="Huang, Annie"/>
  </r>
  <r>
    <x v="420"/>
    <s v="Hospital for Sick Children (Toronto)"/>
    <x v="1"/>
    <x v="0"/>
    <s v="201403MOP"/>
    <x v="1"/>
    <s v="Delineating transforming pathways in childhood primitive neuro-ectodermal brain tumours"/>
    <n v="990596"/>
    <n v="0"/>
    <s v="5 yrs 0 mth "/>
    <x v="0"/>
    <x v="18"/>
    <s v="neuro-ectodermal, brain tumours, pathways"/>
    <n v="2"/>
    <s v="zN/A"/>
    <n v="0"/>
    <s v="zN/A"/>
    <s v="Huang, Annie"/>
  </r>
  <r>
    <x v="420"/>
    <s v="Hospital for Sick Children (Toronto)"/>
    <x v="1"/>
    <x v="1"/>
    <s v="201809PJT"/>
    <x v="1"/>
    <s v="Molecular Basis of Clinical Heterogeneity in Rhabdoid Brain Tumours"/>
    <n v="1023190"/>
    <n v="0"/>
    <s v="5 yrs 0 mth "/>
    <x v="0"/>
    <x v="26"/>
    <s v="Molecular, Rhabdoid, Brain Tumours"/>
    <n v="0"/>
    <s v="zN/A"/>
    <n v="0"/>
    <s v="zN/A"/>
    <s v="Huang, Annie"/>
  </r>
  <r>
    <x v="420"/>
    <s v="Hospital for Sick Children (Toronto)"/>
    <x v="1"/>
    <x v="1"/>
    <s v="202104PJT"/>
    <x v="5"/>
    <s v="Delineating mechanisms of cellular and phenotypic heterogeneity in ETMRs"/>
    <n v="967726"/>
    <n v="0"/>
    <s v="5 yrs 0 mth "/>
    <x v="0"/>
    <x v="35"/>
    <s v="cellular, heterogeneity, ETMRs"/>
    <n v="0"/>
    <s v="zN/A"/>
    <n v="0"/>
    <s v="zN/A"/>
    <s v="Huang, Annie"/>
  </r>
  <r>
    <x v="421"/>
    <s v="McGill University"/>
    <x v="4"/>
    <x v="0"/>
    <s v="201303MOP"/>
    <x v="1"/>
    <s v="Drug resistance driven by SWI/SNF chromatin remodelers in lung cancer"/>
    <n v="815192"/>
    <n v="0"/>
    <s v="5 yrs 0 mth "/>
    <x v="0"/>
    <x v="34"/>
    <s v="drug resistance, SWI/SNF, chromatin remodeling"/>
    <n v="0"/>
    <s v="zN/A"/>
    <n v="0"/>
    <s v="zN/A"/>
    <s v="Huang, Sidong"/>
  </r>
  <r>
    <x v="421"/>
    <s v="McGill University"/>
    <x v="4"/>
    <x v="1"/>
    <s v="201709PJT"/>
    <x v="5"/>
    <s v="Targeting vulnerabilities in SMARCA4-deficient lung cancers"/>
    <n v="845325"/>
    <n v="0"/>
    <s v="5 yrs 0 mth "/>
    <x v="0"/>
    <x v="11"/>
    <s v="SMARCA4, lung cancer, vulnerabilities"/>
    <n v="0"/>
    <s v="zN/A"/>
    <n v="0"/>
    <s v="zN/A"/>
    <s v="Huang, Sidong"/>
  </r>
  <r>
    <x v="421"/>
    <s v="McGill University"/>
    <x v="4"/>
    <x v="1"/>
    <s v="202003PJT"/>
    <x v="5"/>
    <s v="Exploiting genetic vulnerabilities to improve outcomes in small cell carcinoma of the ovary"/>
    <n v="952426"/>
    <n v="0"/>
    <s v="5 yrs 0 mth "/>
    <x v="0"/>
    <x v="39"/>
    <s v="genetic, vulnerabilities, small cell carcinoma"/>
    <n v="0"/>
    <s v="zN/A"/>
    <n v="0"/>
    <s v="zN/A"/>
    <s v="Huang, Sidong"/>
  </r>
  <r>
    <x v="421"/>
    <s v="McGill University"/>
    <x v="4"/>
    <x v="1"/>
    <s v="202403PJT"/>
    <x v="1"/>
    <s v="p300 histone acetyltransferase-dependency in SWI/SNF-deficient cancers: mechanisms and therapeutic implications"/>
    <n v="1116900"/>
    <n v="0"/>
    <s v="5 yrs 0 mth "/>
    <x v="0"/>
    <x v="38"/>
    <s v="p300, histone acetyltransferase, SWI/SNF"/>
    <n v="0"/>
    <s v="zN/A"/>
    <n v="0"/>
    <s v="zN/A"/>
    <s v="Huang, Sidong"/>
  </r>
  <r>
    <x v="422"/>
    <s v="Hospital for Sick Children (Toronto)"/>
    <x v="1"/>
    <x v="1"/>
    <s v="201809PJT"/>
    <x v="3"/>
    <s v="Targeting potassium channel to disrupt the cellular hierarchy and suppress malignant growth of pediatric brain tumor"/>
    <n v="891225"/>
    <n v="0"/>
    <s v="5 yrs 0 mth "/>
    <x v="0"/>
    <x v="26"/>
    <s v="potassium channel, cellular hierarchy, malignant growth"/>
    <n v="0"/>
    <s v="zN/A"/>
    <n v="0"/>
    <s v="zN/A"/>
    <s v="Huang, Xi"/>
  </r>
  <r>
    <x v="423"/>
    <s v="CIUSSS Est-de-l'Ile-de- Montréal-Maisonneuve Rosemont"/>
    <x v="4"/>
    <x v="1"/>
    <s v="201903PJT"/>
    <x v="1"/>
    <s v="Targeting translational machinery to overcome kinase inhibitor resistance of cancer cells"/>
    <n v="761176"/>
    <n v="0"/>
    <s v="5 yrs 0 mth "/>
    <x v="0"/>
    <x v="1"/>
    <s v="translational machinery, kinase inhibitor, cancer cells"/>
    <n v="0"/>
    <s v="zN/A"/>
    <n v="0"/>
    <s v="zN/A"/>
    <s v="Hulea, Laura"/>
  </r>
  <r>
    <x v="424"/>
    <s v="University of British Columbia"/>
    <x v="3"/>
    <x v="0"/>
    <s v="200903MOP"/>
    <x v="5"/>
    <s v="Clinical and functional significance of a pathognomonic FOXL2 mutation in granulosa cell tumours of the ovary"/>
    <n v="538998"/>
    <n v="0"/>
    <s v="4 yrs 0 mth "/>
    <x v="0"/>
    <x v="5"/>
    <s v="FOXL2, granulosa cells, tumours"/>
    <n v="3"/>
    <s v="zN/A"/>
    <n v="0"/>
    <s v="zN/A"/>
    <s v="Huntsman, David G"/>
  </r>
  <r>
    <x v="424"/>
    <s v="University of British Columbia"/>
    <x v="3"/>
    <x v="0"/>
    <s v="201003MOP"/>
    <x v="5"/>
    <s v="Mutations in the SWI/SNF chromatin remodelling complex genes: an alternative mechanism for ovarian carcinogenesis"/>
    <n v="541640"/>
    <n v="0"/>
    <s v="4 yrs 0 mth "/>
    <x v="0"/>
    <x v="21"/>
    <s v="SWI/SNF, chromatin remodelling, ovarian carcinogenesis"/>
    <n v="3"/>
    <s v="zN/A"/>
    <n v="0"/>
    <s v="zN/A"/>
    <s v="Huntsman, David G"/>
  </r>
  <r>
    <x v="425"/>
    <s v="Sunnybrook Research Institute (Toronto, Ontario)"/>
    <x v="1"/>
    <x v="0"/>
    <s v="201109MOP"/>
    <x v="6"/>
    <s v="Investigation of the bioeffects of blood-brain barrier disruption by focused ultrasound: A multifaceted imaging approach"/>
    <n v="803100"/>
    <n v="0"/>
    <s v="5 yrs 0 mth "/>
    <x v="4"/>
    <x v="15"/>
    <s v="blood-brain barrier, focused ultrasound, imaging"/>
    <n v="9"/>
    <s v="zN/A"/>
    <n v="0"/>
    <s v="zN/A"/>
    <s v="Hynynen, Kullervo H"/>
  </r>
  <r>
    <x v="425"/>
    <s v="Sunnybrook Research Institute (Toronto, Ontario)"/>
    <x v="1"/>
    <x v="0"/>
    <s v="201503MOP"/>
    <x v="6"/>
    <s v="Feasibility of focused ultrasound treatment of deep vein thrombosis"/>
    <n v="722716"/>
    <n v="0"/>
    <s v="5 yrs 0 mth "/>
    <x v="3"/>
    <x v="19"/>
    <s v="focused ultrasound, deep vein thrombosis"/>
    <n v="1"/>
    <s v="zN/A"/>
    <n v="0"/>
    <s v="zN/A"/>
    <s v="Hynynen, Kullervo H"/>
  </r>
  <r>
    <x v="426"/>
    <s v="Université de Sherbrooke"/>
    <x v="4"/>
    <x v="0"/>
    <s v="201003MOP"/>
    <x v="0"/>
    <s v="Tumor immunotherapy: enhancing the efficacy of cytotoxic T lymphocytes by IL-21 and IL-15"/>
    <n v="343654"/>
    <n v="0"/>
    <s v="3 yrs 0 mth "/>
    <x v="0"/>
    <x v="21"/>
    <s v="tumor, immunotherapy, cytotoxic T lymphocytes"/>
    <n v="0"/>
    <s v="zN/A"/>
    <n v="0"/>
    <s v="zN/A"/>
    <s v="Ilangumaran, Subburaj"/>
  </r>
  <r>
    <x v="426"/>
    <s v="Université de Sherbrooke"/>
    <x v="4"/>
    <x v="45"/>
    <s v="202104PQQ"/>
    <x v="3"/>
    <s v="Role of SOCS1 in maintaining prostate homeostasis and in suppressing malignant growth"/>
    <n v="100000"/>
    <n v="0"/>
    <s v="1 yr 0 mth "/>
    <x v="0"/>
    <x v="35"/>
    <s v="SOCS1, prostate, malignancy"/>
    <n v="0"/>
    <s v="zN/A"/>
    <n v="0"/>
    <s v="zN/A"/>
    <s v="Ilangumaran, Subburaj"/>
  </r>
  <r>
    <x v="427"/>
    <s v="Hospital for Sick Children (Toronto)"/>
    <x v="1"/>
    <x v="0"/>
    <s v="201309MOP"/>
    <x v="5"/>
    <s v="Targeting metastatic neuroblastoma"/>
    <n v="771485"/>
    <n v="0"/>
    <s v="5 yrs 0 mth "/>
    <x v="0"/>
    <x v="9"/>
    <s v="metastatic, neuroblastoma"/>
    <n v="0"/>
    <s v="zN/A"/>
    <n v="0"/>
    <s v="zN/A"/>
    <s v="Irwin, Meredith"/>
  </r>
  <r>
    <x v="427"/>
    <s v="Hospital for Sick Children (Toronto)"/>
    <x v="1"/>
    <x v="1"/>
    <s v="201809PJT"/>
    <x v="5"/>
    <s v="Targeting Relapsed Metastatic Neuroblastoma"/>
    <n v="929475"/>
    <n v="0"/>
    <s v="5 yrs 0 mth "/>
    <x v="0"/>
    <x v="26"/>
    <s v="Relapsed, Metastatic, Neuroblastoma"/>
    <n v="0"/>
    <s v="zN/A"/>
    <n v="0"/>
    <s v="zN/A"/>
    <s v="Irwin, Meredith"/>
  </r>
  <r>
    <x v="428"/>
    <s v="Research Institute of the McGill University Health Centre"/>
    <x v="4"/>
    <x v="0"/>
    <s v="201103MOP"/>
    <x v="1"/>
    <s v="Identification and characterization of genes involved in the genesis and progression of pediatric astrocytomas."/>
    <n v="707975"/>
    <n v="0"/>
    <s v="5 yrs 0 mth "/>
    <x v="0"/>
    <x v="17"/>
    <s v="genes, astrocytomas, pediatric"/>
    <n v="1"/>
    <s v="zN/A"/>
    <n v="0"/>
    <s v="zN/A"/>
    <s v="Jabado, Nada"/>
  </r>
  <r>
    <x v="428"/>
    <s v="Research Institute of the McGill University Health Centre"/>
    <x v="4"/>
    <x v="0"/>
    <s v="201209MOP"/>
    <x v="1"/>
    <s v="Role of chromatin remodeling in the genesis of pediatric and young adult astrocytomas"/>
    <n v="788500"/>
    <n v="0"/>
    <s v="5 yrs 0 mth "/>
    <x v="0"/>
    <x v="14"/>
    <s v="chromatin remodeling, astrocytomas, genesis"/>
    <n v="0"/>
    <s v="zN/A"/>
    <n v="0"/>
    <s v="zN/A"/>
    <s v="Jabado, Nada"/>
  </r>
  <r>
    <x v="428"/>
    <s v="Research Institute of the McGill University Health Centre"/>
    <x v="4"/>
    <x v="1"/>
    <s v="202403PJT"/>
    <x v="1"/>
    <s v="Targeting vulnerabilities in oncohistone-mediated gliomas"/>
    <n v="1269900"/>
    <n v="0"/>
    <s v="5 yrs 0 mth "/>
    <x v="0"/>
    <x v="38"/>
    <s v="oncohistone, gliomas, vulnerabilities"/>
    <n v="0"/>
    <s v="zN/A"/>
    <n v="0"/>
    <s v="zN/A"/>
    <s v="Jabado, Nada"/>
  </r>
  <r>
    <x v="429"/>
    <s v="Sinai Health System (Toronto)"/>
    <x v="1"/>
    <x v="1"/>
    <s v="202010PJT"/>
    <x v="5"/>
    <s v="Targeting chemotherapy resistant multi-cellular environments in pancreatic cancer"/>
    <n v="1097775"/>
    <n v="0"/>
    <s v="5 yrs 0 mth "/>
    <x v="0"/>
    <x v="23"/>
    <s v="chemotherapy, pancreatic cancer, multi-cellular environments"/>
    <n v="0"/>
    <s v="zN/A"/>
    <n v="0"/>
    <s v="zN/A"/>
    <s v="Jackson, Hartland W"/>
  </r>
  <r>
    <x v="430"/>
    <s v="University Health Network (Toronto)"/>
    <x v="1"/>
    <x v="0"/>
    <s v="200909MOP"/>
    <x v="6"/>
    <s v="Engineering Gold Nanoparticle Radiosensitizers for Cancer Therapy"/>
    <n v="559353"/>
    <n v="0"/>
    <s v="5 yrs 0 mth "/>
    <x v="0"/>
    <x v="10"/>
    <s v="Gold, Nanoparticles, Radiosensitizers"/>
    <n v="1"/>
    <s v="zN/A"/>
    <n v="0"/>
    <s v="zN/A"/>
    <s v="Jaffray, David A"/>
  </r>
  <r>
    <x v="430"/>
    <s v="University Health Network (Toronto)"/>
    <x v="1"/>
    <x v="0"/>
    <s v="201303MOP"/>
    <x v="6"/>
    <s v="Improved treatment of cervical cancer through heat-activated delivery of chemo-radiosensitizing agents in combination with radiotherapy"/>
    <n v="328486"/>
    <n v="0"/>
    <s v="3 yrs 0 mth "/>
    <x v="0"/>
    <x v="34"/>
    <s v="cervical cancer, heat-activated, chemo-radiosensitizing"/>
    <n v="0"/>
    <s v="zN/A"/>
    <n v="0"/>
    <s v="zN/A"/>
    <s v="Jaffray, David A"/>
  </r>
  <r>
    <x v="431"/>
    <s v="CIUSSS de Centre-Ouest-de-l'Ile-de-Montréal-Jewish General"/>
    <x v="4"/>
    <x v="1"/>
    <s v="201809PJT"/>
    <x v="3"/>
    <s v="OSMR Regulation of Glioblastoma Pathogenesis"/>
    <n v="753525"/>
    <n v="0"/>
    <s v="5 yrs 0 mth "/>
    <x v="0"/>
    <x v="26"/>
    <s v="OSMR, Glioblastoma, Pathogenesis"/>
    <n v="0"/>
    <s v="zN/A"/>
    <n v="0"/>
    <s v="zN/A"/>
    <s v="Jahani-Asl, Arezu"/>
  </r>
  <r>
    <x v="432"/>
    <s v="London Health Sciences Centre Res. Inc. (Ont.)"/>
    <x v="1"/>
    <x v="7"/>
    <s v="201103ISO"/>
    <x v="4"/>
    <s v="Randomized Controlled Trial of Bimodal Solution for Peritoneal Dialysis: 24-Hour Ultra-Filtration Efficiency Using Bimodal PD Solutions During the Long Dwell"/>
    <n v="24591"/>
    <n v="1303"/>
    <s v="1 yr 0 mth "/>
    <x v="9"/>
    <x v="17"/>
    <s v="Peritoneal Dialysis, Ultra-Filtration, Bimodal Solutions"/>
    <n v="0"/>
    <s v="zN/A"/>
    <n v="0"/>
    <s v="zN/A"/>
    <s v="Jain, Arsh K"/>
  </r>
  <r>
    <x v="433"/>
    <s v="University of British Columbia"/>
    <x v="3"/>
    <x v="1"/>
    <s v="202403PJT"/>
    <x v="5"/>
    <s v="STRIVE Study: STRatIfication of Vulvar squamous cell carcinoma by HPV and p53 status to guide Excision"/>
    <n v="1166628"/>
    <n v="0"/>
    <s v="7 yrs 0 mth "/>
    <x v="0"/>
    <x v="38"/>
    <s v="Vulvar squamous cell carcinoma, HPV, p53"/>
    <n v="0"/>
    <s v="zN/A"/>
    <n v="0"/>
    <s v="zN/A"/>
    <s v="Jamieson, Amy"/>
  </r>
  <r>
    <x v="434"/>
    <s v="Université de Sherbrooke"/>
    <x v="4"/>
    <x v="1"/>
    <s v="202403PJT"/>
    <x v="6"/>
    <s v="Investigating the 'FLASH' effect: Mechanistic studies of the chemical and biological impact of ultra-high dose-rate radiation."/>
    <n v="983024"/>
    <n v="0"/>
    <s v="4 yrs 0 mth "/>
    <x v="0"/>
    <x v="38"/>
    <s v="FLASH, radiation, dose-rate"/>
    <n v="0"/>
    <s v="zN/A"/>
    <n v="0"/>
    <s v="zN/A"/>
    <s v="Jay-Gerin, Jean-Paul"/>
  </r>
  <r>
    <x v="6"/>
    <s v="University of British Columbia"/>
    <x v="3"/>
    <x v="5"/>
    <s v="201003NHG"/>
    <x v="7"/>
    <s v="Establishment of a Novel High Throughput Conditional Gene Trapping System"/>
    <n v="300000"/>
    <n v="0"/>
    <s v="3 yrs 0 mth "/>
    <x v="2"/>
    <x v="21"/>
    <s v="Gene trapping, High throughput, Conditional"/>
    <n v="1"/>
    <s v="zN/A"/>
    <n v="0"/>
    <s v="zN/A"/>
    <s v="Jefferies, Wilfred A"/>
  </r>
  <r>
    <x v="435"/>
    <s v="University of British Columbia"/>
    <x v="3"/>
    <x v="0"/>
    <s v="201109MOP"/>
    <x v="5"/>
    <s v="Molecular Targeting of Critical Domains of AHI-1 Oncoprotein in Chronic Myeloid Leukemia Stem Cells Resistant to Current Tyrosine Kinase Inhibitor Therapy"/>
    <n v="636768"/>
    <n v="0"/>
    <s v="4 yrs 0 mth "/>
    <x v="0"/>
    <x v="15"/>
    <s v="AHI-1, Leukemia, Kinase"/>
    <n v="0"/>
    <s v="zN/A"/>
    <n v="0"/>
    <s v="zN/A"/>
    <s v="Jiang, Xiaoyan"/>
  </r>
  <r>
    <x v="435"/>
    <s v="University of British Columbia"/>
    <x v="3"/>
    <x v="0"/>
    <s v="201309MOP"/>
    <x v="5"/>
    <s v="Targeting Drug-Insensitive CML Stem Cells with Combination Therapy of New ABL and PP2A Inhibitors"/>
    <n v="658800"/>
    <n v="0"/>
    <s v="5 yrs 0 mth "/>
    <x v="0"/>
    <x v="9"/>
    <s v="CML, ABL, PP2A"/>
    <n v="0"/>
    <s v="zN/A"/>
    <n v="0"/>
    <s v="zN/A"/>
    <s v="Jiang, Xiaoyan"/>
  </r>
  <r>
    <x v="435"/>
    <s v="University of British Columbia"/>
    <x v="3"/>
    <x v="1"/>
    <s v="201709PJT"/>
    <x v="5"/>
    <s v="Targeting Key Autophagy Proteins/Pathways for Treatment of Human Leukemia"/>
    <n v="787950"/>
    <n v="0"/>
    <s v="5 yrs 0 mth "/>
    <x v="0"/>
    <x v="11"/>
    <s v="Autophagy, Proteins, Leukemia"/>
    <n v="0"/>
    <s v="zN/A"/>
    <n v="0"/>
    <s v="zN/A"/>
    <s v="Jiang, Xiaoyan"/>
  </r>
  <r>
    <x v="435"/>
    <s v="University of British Columbia"/>
    <x v="3"/>
    <x v="1"/>
    <s v="201909PJT"/>
    <x v="1"/>
    <s v="Targeting a novel miR-185/PAK6 axis to overcome drug-resistance in human leukemia"/>
    <n v="902700"/>
    <n v="0"/>
    <s v="5 yrs 0 mth "/>
    <x v="0"/>
    <x v="22"/>
    <s v="miR-185, PAK6, leukemia"/>
    <n v="0"/>
    <s v="zN/A"/>
    <n v="0"/>
    <s v="zN/A"/>
    <s v="Jiang, Xiaoyan"/>
  </r>
  <r>
    <x v="435"/>
    <s v="University of British Columbia"/>
    <x v="3"/>
    <x v="1"/>
    <s v="202210PJT"/>
    <x v="5"/>
    <s v="A novel oncolytic virotherapy to overcome drug-resistance in acute myeloid leukemia"/>
    <n v="100000"/>
    <n v="0"/>
    <s v="1 yr 0 mth "/>
    <x v="0"/>
    <x v="8"/>
    <s v="oncolytic virotherapy, drug-resistance, leukemia"/>
    <n v="0"/>
    <s v="zN/A"/>
    <n v="0"/>
    <s v="zN/A"/>
    <s v="Jiang, Xiaoyan"/>
  </r>
  <r>
    <x v="436"/>
    <s v="University of Victoria (British Columbia)"/>
    <x v="3"/>
    <x v="0"/>
    <s v="201109MOP"/>
    <x v="6"/>
    <s v="Developing Raman spectroscopic techniques for the prediction and monitoring of cellular and tumour response to radiation therapy"/>
    <n v="523965"/>
    <n v="0"/>
    <s v="5 yrs 0 mth "/>
    <x v="0"/>
    <x v="15"/>
    <s v="Raman spectroscopy, cellular response, radiation"/>
    <n v="0"/>
    <s v="zN/A"/>
    <n v="0"/>
    <s v="zN/A"/>
    <s v="Jirasek, Andrew I"/>
  </r>
  <r>
    <x v="437"/>
    <s v="University of Calgary"/>
    <x v="2"/>
    <x v="0"/>
    <s v="200909MOP"/>
    <x v="0"/>
    <s v="Characterization of a novel model of inflammation-induced gastric neoplasia."/>
    <n v="384114"/>
    <n v="0"/>
    <s v="3 yrs 0 mth "/>
    <x v="0"/>
    <x v="10"/>
    <s v="inflammation, gastric, neoplasia"/>
    <n v="0"/>
    <s v="zN/A"/>
    <n v="0"/>
    <s v="zN/A"/>
    <s v="Jirik, Frank R"/>
  </r>
  <r>
    <x v="437"/>
    <s v="University of Calgary"/>
    <x v="2"/>
    <x v="0"/>
    <s v="201503MOP"/>
    <x v="5"/>
    <s v="Stimulator of interferon genes (STING)-induced tumour-associated macrophage re-education as a novel strategy for the treatment of lung cancer."/>
    <n v="660400"/>
    <n v="0"/>
    <s v="4 yrs 0 mth "/>
    <x v="0"/>
    <x v="19"/>
    <s v="STING, macrophage, lung cancer"/>
    <n v="0"/>
    <s v="zN/A"/>
    <n v="0"/>
    <s v="zN/A"/>
    <s v="Jirik, Frank R"/>
  </r>
  <r>
    <x v="438"/>
    <s v="Western University (Ontario)"/>
    <x v="1"/>
    <x v="0"/>
    <s v="200809MOP"/>
    <x v="9"/>
    <s v="Computer Assisted Surgery of the Elbow"/>
    <n v="386369"/>
    <n v="0"/>
    <s v="4 yrs 0 mth "/>
    <x v="5"/>
    <x v="0"/>
    <s v="Computer, Surgery, Elbow"/>
    <n v="1"/>
    <s v="zN/A"/>
    <n v="0"/>
    <s v="zN/A"/>
    <s v="Johnson, James A"/>
  </r>
  <r>
    <x v="438"/>
    <s v="Western University (Ontario)"/>
    <x v="1"/>
    <x v="6"/>
    <s v="201310CPG"/>
    <x v="8"/>
    <s v="Development of a Virtual Training Simulator to Model Shoulder Replacement Surgery"/>
    <n v="253000"/>
    <n v="0"/>
    <s v="3 yrs 0 mth "/>
    <x v="5"/>
    <x v="9"/>
    <s v="Virtual, Simulator, Shoulder"/>
    <n v="0"/>
    <s v="zN/A"/>
    <n v="0"/>
    <s v="zN/A"/>
    <s v="Johnson, James A"/>
  </r>
  <r>
    <x v="439"/>
    <s v="University of British Columbia"/>
    <x v="3"/>
    <x v="1"/>
    <s v="201909PJT"/>
    <x v="3"/>
    <s v="Mechanisms by which hyperinsulinemia promotes pancreatic cancer"/>
    <n v="1090125"/>
    <n v="0"/>
    <s v="5 yrs 0 mth "/>
    <x v="0"/>
    <x v="22"/>
    <s v="hyperinsulinemia, pancreatic cancer"/>
    <n v="2"/>
    <s v="zN/A"/>
    <n v="0"/>
    <s v="zN/A"/>
    <s v="Johnson, James D"/>
  </r>
  <r>
    <x v="440"/>
    <s v="CIUSSS de Centre-Ouest-de-l'Ile-de-Montréal-Jewish General"/>
    <x v="4"/>
    <x v="0"/>
    <s v="201303MOP"/>
    <x v="1"/>
    <s v="Overcoming therapeutic resistance in lymphoma"/>
    <n v="449166"/>
    <n v="0"/>
    <s v="3 yrs 0 mth "/>
    <x v="0"/>
    <x v="34"/>
    <s v="therapeutic resistance, lymphoma"/>
    <n v="0"/>
    <s v="zN/A"/>
    <n v="0"/>
    <s v="zN/A"/>
    <s v="Johnson, Nathalie"/>
  </r>
  <r>
    <x v="440"/>
    <s v="CIUSSS de Centre-Ouest-de-l'Ile-de-Montréal-Jewish General"/>
    <x v="4"/>
    <x v="1"/>
    <s v="201709PJT"/>
    <x v="1"/>
    <s v="Optimizing immunotherapy in high-risk lymphoma"/>
    <n v="1208700"/>
    <n v="0"/>
    <s v="5 yrs 0 mth "/>
    <x v="0"/>
    <x v="11"/>
    <s v="immunotherapy, lymphoma, high-risk"/>
    <n v="0"/>
    <s v="zN/A"/>
    <n v="0"/>
    <s v="zN/A"/>
    <s v="Johnson, Nathalie"/>
  </r>
  <r>
    <x v="441"/>
    <s v="Queen's University (Kingston, Ontario)"/>
    <x v="1"/>
    <x v="6"/>
    <s v="201310CPG"/>
    <x v="8"/>
    <s v="Quantitative functional magnetic resonance imaging for the management of brain injuries"/>
    <n v="400007"/>
    <n v="0"/>
    <s v="3 yrs 0 mth "/>
    <x v="4"/>
    <x v="9"/>
    <s v="functional magnetic resonance imaging, brain injuries"/>
    <n v="0"/>
    <s v="zN/A"/>
    <n v="0"/>
    <s v="zN/A"/>
    <s v="Johnsrude, Ingrid S"/>
  </r>
  <r>
    <x v="442"/>
    <s v="Montreal Heart Institute"/>
    <x v="4"/>
    <x v="3"/>
    <s v="201303IPR"/>
    <x v="4"/>
    <s v="Immediate vs. Delayed Stenting after Primary Percutaneous Reperfusion in ST Elevation Myocardial Infarction"/>
    <n v="211072"/>
    <n v="0"/>
    <s v="3 yrs 0 mth "/>
    <x v="3"/>
    <x v="34"/>
    <s v="stenting, reperfusion, myocardial infarction"/>
    <n v="0"/>
    <s v="zN/A"/>
    <n v="0"/>
    <s v="zN/A"/>
    <s v="Jolicoeur, Marc E"/>
  </r>
  <r>
    <x v="443"/>
    <s v="Institut de recherches cliniques de Montréal"/>
    <x v="4"/>
    <x v="41"/>
    <s v="200811CHV"/>
    <x v="23"/>
    <s v="Dissecting the mechanisms of protection by attenuated Nef-deleted HIV vaccine"/>
    <n v="100000"/>
    <n v="0"/>
    <s v="1 yr 0 mth "/>
    <x v="1"/>
    <x v="48"/>
    <s v="HIV, vaccine, Nef"/>
    <n v="0"/>
    <s v="zN/A"/>
    <n v="0"/>
    <s v="zN/A"/>
    <s v="Jolicoeur, Paul"/>
  </r>
  <r>
    <x v="444"/>
    <s v="McMaster University"/>
    <x v="1"/>
    <x v="3"/>
    <s v="201109IPR"/>
    <x v="4"/>
    <s v="A randomized trial of ThrOmbectomy vs. PCI Alone for STEMI (TOTAL trial)"/>
    <n v="796316"/>
    <n v="0"/>
    <s v="3 yrs 6 mths "/>
    <x v="3"/>
    <x v="15"/>
    <s v="Thrombectomy, PCI, STEMI"/>
    <n v="0"/>
    <s v="zN/A"/>
    <n v="0"/>
    <s v="zN/A"/>
    <s v="Jolly, Sanjit S"/>
  </r>
  <r>
    <x v="445"/>
    <s v="University of Alberta"/>
    <x v="2"/>
    <x v="0"/>
    <s v="200809MOP"/>
    <x v="9"/>
    <s v="Vitrification and transplantation of articular cartilage"/>
    <n v="254422"/>
    <n v="0"/>
    <s v="3 yrs 0 mth "/>
    <x v="5"/>
    <x v="0"/>
    <s v="Vitrification, transplantation, articular cartilage"/>
    <n v="1"/>
    <s v="zN/A"/>
    <n v="0"/>
    <s v="zN/A"/>
    <s v="Jomha, Nadr M"/>
  </r>
  <r>
    <x v="446"/>
    <s v="University Health Network (Toronto)"/>
    <x v="1"/>
    <x v="1"/>
    <s v="202010PJT"/>
    <x v="3"/>
    <s v="Characterization and Targeting of SIRT3 in Acute Myeloid Leukemia Stem Cells"/>
    <n v="921825"/>
    <n v="0"/>
    <s v="5 yrs 0 mth "/>
    <x v="0"/>
    <x v="23"/>
    <s v="SIRT3, Acute Myeloid Leukemia, Stem Cells"/>
    <n v="0"/>
    <s v="zN/A"/>
    <n v="0"/>
    <s v="zN/A"/>
    <s v="Jones, Courtney L"/>
  </r>
  <r>
    <x v="447"/>
    <s v="Queen's University (Kingston, Ontario)"/>
    <x v="1"/>
    <x v="7"/>
    <s v="200903ISO"/>
    <x v="4"/>
    <s v="Mechanistic basis for the metabolic differences between vitamin D2 and vitamin D3"/>
    <n v="84359"/>
    <n v="5000"/>
    <s v="1 yr 0 mth "/>
    <x v="9"/>
    <x v="5"/>
    <s v="metabolic, vitamin D, D2, D3"/>
    <n v="0"/>
    <s v="zN/A"/>
    <n v="0"/>
    <s v="zN/A"/>
    <s v="Jones, Glenville"/>
  </r>
  <r>
    <x v="448"/>
    <s v="McGill University"/>
    <x v="4"/>
    <x v="0"/>
    <s v="200809MOP"/>
    <x v="0"/>
    <s v="Role of the AMP-activated protein kinase (AMPK) in stress resistance and cancer"/>
    <n v="533730"/>
    <n v="0"/>
    <s v="4 yrs 0 mth "/>
    <x v="0"/>
    <x v="0"/>
    <s v="AMP-activated protein kinase, stress resistance, cancer"/>
    <n v="0"/>
    <s v="zN/A"/>
    <n v="0"/>
    <s v="zN/A"/>
    <s v="Jones, Russell G"/>
  </r>
  <r>
    <x v="448"/>
    <s v="McGill University"/>
    <x v="4"/>
    <x v="0"/>
    <s v="201209MOP"/>
    <x v="0"/>
    <s v="Regulation of tumourigenesis and tumour cell metabolism by the energy sensor AMPK"/>
    <n v="797450"/>
    <n v="0"/>
    <s v="5 yrs 0 mth "/>
    <x v="0"/>
    <x v="14"/>
    <s v="tumourigenesis, cell metabolism, AMPK"/>
    <n v="1"/>
    <s v="zN/A"/>
    <n v="0"/>
    <s v="zN/A"/>
    <s v="Jones, Russell G"/>
  </r>
  <r>
    <x v="448"/>
    <s v="McGill University"/>
    <x v="4"/>
    <x v="1"/>
    <s v="201709PJT"/>
    <x v="0"/>
    <s v="Investigating LKB1-mediated inflammation as a mediator of tumour progression"/>
    <n v="837675"/>
    <n v="0"/>
    <s v="5 yrs 0 mth "/>
    <x v="0"/>
    <x v="11"/>
    <s v="LKB1, inflammation, tumour progression"/>
    <n v="0"/>
    <s v="zN/A"/>
    <n v="0"/>
    <s v="zN/A"/>
    <s v="Jones, Russell G"/>
  </r>
  <r>
    <x v="449"/>
    <s v="Simon Fraser University (Burnaby, B.C.)"/>
    <x v="3"/>
    <x v="0"/>
    <s v="201503MOP"/>
    <x v="5"/>
    <s v="Modulators of epigenomic processes - a novel approach to cancer therapy"/>
    <n v="560420"/>
    <n v="0"/>
    <s v="4 yrs 0 mth "/>
    <x v="0"/>
    <x v="19"/>
    <s v="epigenomic, modulators, cancer"/>
    <n v="0"/>
    <s v="zN/A"/>
    <n v="0"/>
    <s v="zN/A"/>
    <s v="Jones, Steven"/>
  </r>
  <r>
    <x v="450"/>
    <s v="University of British Columbia"/>
    <x v="3"/>
    <x v="1"/>
    <s v="202210PJT"/>
    <x v="6"/>
    <s v="Advanced Multi-parametric Retinal Imaging for AMD Classification Modeling"/>
    <n v="100000"/>
    <n v="0"/>
    <s v="1 yr 0 mth "/>
    <x v="6"/>
    <x v="8"/>
    <s v="Retinal imaging, AMD, classification"/>
    <n v="0"/>
    <s v="zN/A"/>
    <n v="0"/>
    <s v="zN/A"/>
    <s v="Ju, MyeongJin"/>
  </r>
  <r>
    <x v="19"/>
    <s v="McGill University"/>
    <x v="4"/>
    <x v="6"/>
    <s v="201210CPG"/>
    <x v="8"/>
    <s v="Multidimensional separation isolation and characterization of circulating tumour cells"/>
    <n v="343124"/>
    <n v="0"/>
    <s v="3 yrs 0 mth "/>
    <x v="0"/>
    <x v="14"/>
    <s v="multidimensional separation, circulating tumour cells, isolation"/>
    <n v="1"/>
    <s v="zN/A"/>
    <n v="0"/>
    <s v="zN/A"/>
    <s v="Juncker, David"/>
  </r>
  <r>
    <x v="19"/>
    <s v="McGill University"/>
    <x v="4"/>
    <x v="1"/>
    <s v="201803PJT"/>
    <x v="9"/>
    <s v="Microfiltration of Circulating and Disseminated Tumor Cells in Ovarian Cancer: From Monitoring Therapeutic Response Towards Predicting Disease Outcome"/>
    <n v="382500"/>
    <n v="0"/>
    <s v="3 yrs 0 mth "/>
    <x v="0"/>
    <x v="7"/>
    <s v="Microfiltration, Tumor Cells, Ovarian Cancer"/>
    <n v="0"/>
    <s v="zN/A"/>
    <n v="0"/>
    <s v="zN/A"/>
    <s v="Juncker, David"/>
  </r>
  <r>
    <x v="19"/>
    <s v="McGill University"/>
    <x v="4"/>
    <x v="1"/>
    <s v="202109PJT"/>
    <x v="9"/>
    <s v="Single-cell imaging affinity proteomics of microfiltered circulating tumor cells: Uncovering biomarkers in colorectal cancer liver metastasis"/>
    <n v="895050"/>
    <n v="0"/>
    <s v="5 yrs 0 mth "/>
    <x v="0"/>
    <x v="25"/>
    <s v="single-cell imaging, proteomics, circulating tumor cells"/>
    <n v="0"/>
    <s v="zN/A"/>
    <n v="0"/>
    <s v="zN/A"/>
    <s v="Juncker, David"/>
  </r>
  <r>
    <x v="451"/>
    <s v="McGill University"/>
    <x v="4"/>
    <x v="5"/>
    <s v="201003NHG"/>
    <x v="7"/>
    <s v="Regulation of adipogenesis by osteocalcin"/>
    <n v="191400"/>
    <n v="0"/>
    <s v="2 yrs 0 mth "/>
    <x v="9"/>
    <x v="21"/>
    <s v="adipogenesis, osteocalcin"/>
    <n v="0"/>
    <s v="zN/A"/>
    <n v="0"/>
    <s v="zN/A"/>
    <s v="Kaartinen, Mari T"/>
  </r>
  <r>
    <x v="452"/>
    <s v="Polytechnique Montréal"/>
    <x v="4"/>
    <x v="0"/>
    <s v="201503MOP"/>
    <x v="6"/>
    <s v="Image-guided device interventions for arterial therapies in liver cancer"/>
    <n v="334419"/>
    <n v="0"/>
    <s v="3 yrs 0 mth "/>
    <x v="0"/>
    <x v="19"/>
    <s v="image-guided, device, liver cancer"/>
    <n v="1"/>
    <s v="zN/A"/>
    <n v="0"/>
    <s v="zN/A"/>
    <s v="Kadoury, Samuel"/>
  </r>
  <r>
    <x v="452"/>
    <s v="Polytechnique Montréal"/>
    <x v="4"/>
    <x v="6"/>
    <s v="201711CPG"/>
    <x v="8"/>
    <s v="Image-Guided Molecular Optical Spectroscopy for Tumor-Targeted Prostate Cancer Interventions"/>
    <n v="201422"/>
    <n v="71937"/>
    <s v="3 yrs 0 mth "/>
    <x v="0"/>
    <x v="11"/>
    <s v="Image-Guided, Molecular, Spectroscopy"/>
    <n v="0"/>
    <s v="zN/A"/>
    <n v="0"/>
    <s v="zN/A"/>
    <s v="Kadoury, Samuel"/>
  </r>
  <r>
    <x v="452"/>
    <s v="Polytechnique Montréal"/>
    <x v="4"/>
    <x v="1"/>
    <s v="202010PJT"/>
    <x v="6"/>
    <s v="Multimodal Sensing Guidewire with Random Optical Gratings by Ultraviolet laser Exposure for Peripheral Vascular Interventions"/>
    <n v="543150"/>
    <n v="0"/>
    <s v="5 yrs 0 mth "/>
    <x v="3"/>
    <x v="23"/>
    <s v="Sensing, Guidewire, Optical Gratings"/>
    <n v="0"/>
    <s v="zN/A"/>
    <n v="0"/>
    <s v="zN/A"/>
    <s v="Kadoury, Samuel"/>
  </r>
  <r>
    <x v="453"/>
    <s v="University Health Network (Toronto)"/>
    <x v="1"/>
    <x v="13"/>
    <s v="202005VR3"/>
    <x v="12"/>
    <s v="A Randomized trial to determine the effect of vitamin D and zinc supplementation for improving treatment outcomes among COVID-19 patients in Mumbai, India"/>
    <n v="887006"/>
    <n v="0"/>
    <s v="1 yr 0 mth "/>
    <x v="1"/>
    <x v="2"/>
    <s v="vitamin D, zinc, COVID-19"/>
    <n v="0"/>
    <s v="zN/A"/>
    <n v="0"/>
    <s v="zN/A"/>
    <s v="Kain, Kevin C"/>
  </r>
  <r>
    <x v="454"/>
    <s v="Université de Montréal"/>
    <x v="4"/>
    <x v="14"/>
    <s v="201706PCG"/>
    <x v="14"/>
    <s v="Optimizing a home-based virtual reality exercise program for chronic stroke patients: A telerehabilitation approach"/>
    <n v="197481"/>
    <n v="0"/>
    <s v="2 yrs 0 mth "/>
    <x v="3"/>
    <x v="30"/>
    <s v="virtual reality, telerehabilitation, stroke"/>
    <n v="0"/>
    <s v="zN/A"/>
    <n v="0"/>
    <s v="zN/A"/>
    <s v="Kairy, Dahlia"/>
  </r>
  <r>
    <x v="455"/>
    <s v="University of Calgary"/>
    <x v="2"/>
    <x v="1"/>
    <s v="201909PJT"/>
    <x v="9"/>
    <s v="Enabling Cellular Therapy Biomanufacturing through Integrated Modeling of Fluid Dynamics and Cellular Metabolism in Bioreactors"/>
    <n v="841500"/>
    <n v="0"/>
    <s v="5 yrs 0 mth "/>
    <x v="5"/>
    <x v="22"/>
    <s v="Cellular therapy, Biomanufacturing, Bioreactors"/>
    <n v="0"/>
    <s v="zN/A"/>
    <n v="0"/>
    <s v="zN/A"/>
    <s v="Kallos, Michael S"/>
  </r>
  <r>
    <x v="456"/>
    <s v="McGill University"/>
    <x v="4"/>
    <x v="6"/>
    <s v="201610CPG"/>
    <x v="8"/>
    <s v="Acceleration and Intensification of Cell Culture-Produced Influenza Vaccines for Rapid Response to Pandemic Situation"/>
    <n v="371615"/>
    <n v="0"/>
    <s v="3 yrs 0 mth "/>
    <x v="1"/>
    <x v="24"/>
    <s v="cell culture, influenza vaccines, pandemic"/>
    <n v="2"/>
    <s v="zN/A"/>
    <n v="0"/>
    <s v="zN/A"/>
    <s v="Kamen, Amine"/>
  </r>
  <r>
    <x v="457"/>
    <s v="Sinai Health System (Toronto)"/>
    <x v="1"/>
    <x v="0"/>
    <s v="201103MOP"/>
    <x v="9"/>
    <s v="Establishing annulus fibrosus interfaces:  towards tissue engineering an intervertebral disc"/>
    <n v="459432"/>
    <n v="0"/>
    <s v="3 yrs 0 mth "/>
    <x v="5"/>
    <x v="17"/>
    <s v="annulus fibrosus, tissue engineering, intervertebral disc"/>
    <n v="2"/>
    <s v="zN/A"/>
    <n v="0"/>
    <s v="zN/A"/>
    <s v="Kandel, Rita A"/>
  </r>
  <r>
    <x v="457"/>
    <s v="Sinai Health System (Toronto)"/>
    <x v="1"/>
    <x v="0"/>
    <s v="201503MOP"/>
    <x v="9"/>
    <s v="Tissue engineering an intervertebral disc replacement"/>
    <n v="768657"/>
    <n v="0"/>
    <s v="5 yrs 0 mth "/>
    <x v="5"/>
    <x v="19"/>
    <s v="tissue engineering, intervertebral disc"/>
    <n v="0"/>
    <s v="zN/A"/>
    <n v="0"/>
    <s v="zN/A"/>
    <s v="Kandel, Rita A"/>
  </r>
  <r>
    <x v="457"/>
    <s v="University of Toronto"/>
    <x v="1"/>
    <x v="6"/>
    <s v="201711CPG"/>
    <x v="8"/>
    <s v="Biological Finger Joint Replacement"/>
    <n v="299503"/>
    <n v="0"/>
    <s v="3 yrs 0 mth "/>
    <x v="5"/>
    <x v="11"/>
    <s v="biological, finger joint, replacement"/>
    <n v="0"/>
    <s v="zN/A"/>
    <n v="0"/>
    <s v="zN/A"/>
    <s v="Kandel, Rita A"/>
  </r>
  <r>
    <x v="457"/>
    <s v="Sinai Health System (Toronto)"/>
    <x v="1"/>
    <x v="1"/>
    <s v="201803PJT"/>
    <x v="9"/>
    <s v="Bioengineering a finger joint replacement"/>
    <n v="688501"/>
    <n v="0"/>
    <s v="4 yrs 0 mth "/>
    <x v="5"/>
    <x v="7"/>
    <s v="Bioengineering, finger joint, replacement"/>
    <n v="0"/>
    <s v="zN/A"/>
    <n v="0"/>
    <s v="zN/A"/>
    <s v="Kandel, Rita A"/>
  </r>
  <r>
    <x v="457"/>
    <s v="Sinai Health System (Toronto)"/>
    <x v="1"/>
    <x v="1"/>
    <s v="202203PJT"/>
    <x v="9"/>
    <s v="An intervertebral disc replacement: a regenerative medicine approach"/>
    <n v="1170450"/>
    <n v="0"/>
    <s v="5 yrs 0 mth "/>
    <x v="5"/>
    <x v="3"/>
    <s v="intervertebral disc, regenerative medicine, replacement"/>
    <n v="0"/>
    <s v="zN/A"/>
    <n v="0"/>
    <s v="zN/A"/>
    <s v="Kandel, Rita A"/>
  </r>
  <r>
    <x v="458"/>
    <s v="Memorial University of Newfoundland"/>
    <x v="7"/>
    <x v="46"/>
    <s v="201303RNL"/>
    <x v="1"/>
    <s v="Analysis of human Pygopus 2 as an essential androgen-responsive cellular biomarker for prostate cancer progression"/>
    <n v="153012"/>
    <n v="0"/>
    <s v="3 yrs 0 mth "/>
    <x v="0"/>
    <x v="9"/>
    <s v="Pygopus 2, androgen-responsive, prostate cancer"/>
    <n v="0"/>
    <s v="zN/A"/>
    <n v="0"/>
    <s v="zN/A"/>
    <s v="Kao, Kenneth R"/>
  </r>
  <r>
    <x v="459"/>
    <s v="University of British Columbia"/>
    <x v="3"/>
    <x v="6"/>
    <s v="201510CPG"/>
    <x v="8"/>
    <s v="Development of an automated end-to-end next generation sequencing assay to detect all classes of genetic variant in a single diagnostic test"/>
    <n v="453152"/>
    <n v="0"/>
    <s v="3 yrs 0 mth "/>
    <x v="0"/>
    <x v="4"/>
    <s v="automated, sequencing, genetic variant"/>
    <n v="0"/>
    <s v="zN/A"/>
    <n v="0"/>
    <s v="zN/A"/>
    <s v="Karsan, Aly"/>
  </r>
  <r>
    <x v="459"/>
    <s v="University of British Columbia"/>
    <x v="3"/>
    <x v="1"/>
    <s v="202203PJT"/>
    <x v="1"/>
    <s v="Clonal interactions in myeloid malignancy"/>
    <n v="1025100"/>
    <n v="0"/>
    <s v="5 yrs 0 mth "/>
    <x v="0"/>
    <x v="3"/>
    <s v="clonal interactions, myeloid malignancy"/>
    <n v="0"/>
    <s v="zN/A"/>
    <n v="0"/>
    <s v="zN/A"/>
    <s v="Karsan, Aly"/>
  </r>
  <r>
    <x v="460"/>
    <s v="Research Institute of the McGill University Health Centre"/>
    <x v="4"/>
    <x v="0"/>
    <s v="201109MOP"/>
    <x v="5"/>
    <s v="Integration of mTOR-p53 pathway crosstalk and miR-34 family in prognostication and prediction of response to bladder cancer therapy"/>
    <n v="549872"/>
    <n v="0"/>
    <s v="4 yrs 0 mth "/>
    <x v="0"/>
    <x v="15"/>
    <s v="mTOR, p53, miR-34"/>
    <n v="0"/>
    <s v="zN/A"/>
    <n v="0"/>
    <s v="zN/A"/>
    <s v="Kassouf, Wassim"/>
  </r>
  <r>
    <x v="460"/>
    <s v="Research Institute of the McGill University Health Centre"/>
    <x v="4"/>
    <x v="1"/>
    <s v="201909PJT"/>
    <x v="0"/>
    <s v="Implication of neutrophil extracellular traps in the efficacy of bladder-sparing therapy in muscle invasive bladder cancer"/>
    <n v="902700"/>
    <n v="0"/>
    <s v="5 yrs 0 mth "/>
    <x v="0"/>
    <x v="22"/>
    <s v="neutrophil extracellular traps, bladder-sparing, bladder cancer"/>
    <n v="0"/>
    <s v="zN/A"/>
    <n v="0"/>
    <s v="zN/A"/>
    <s v="Kassouf, Wassim"/>
  </r>
  <r>
    <x v="461"/>
    <s v="University of Manitoba"/>
    <x v="0"/>
    <x v="0"/>
    <s v="201403MOP"/>
    <x v="0"/>
    <s v="ATM and TDP1 coordinate neurodevelopment and modulate Top1-mediated anti-cancer therapeutic outcome"/>
    <n v="817320"/>
    <n v="0"/>
    <s v="5 yrs 0 mth "/>
    <x v="0"/>
    <x v="18"/>
    <s v="ATM, TDP1, Top1"/>
    <n v="0"/>
    <s v="zN/A"/>
    <n v="0"/>
    <s v="zN/A"/>
    <s v="Katyal, Sachin"/>
  </r>
  <r>
    <x v="462"/>
    <s v="McMaster University"/>
    <x v="1"/>
    <x v="16"/>
    <s v="201211CHR"/>
    <x v="15"/>
    <s v="A humanized mouse model for understanding HIV-1 mucosal pathogenesis"/>
    <n v="100000"/>
    <n v="0"/>
    <s v="1 yr 0 mth "/>
    <x v="1"/>
    <x v="32"/>
    <s v="humanized mouse, HIV-1, mucosal"/>
    <n v="0"/>
    <s v="zN/A"/>
    <n v="0"/>
    <s v="zN/A"/>
    <s v="Kaushic, Charu"/>
  </r>
  <r>
    <x v="463"/>
    <s v="McGill University"/>
    <x v="4"/>
    <x v="6"/>
    <s v="201510CPG"/>
    <x v="8"/>
    <s v="Developing and clinically testing a learning algorithm that optimizes the performance of the artificial pancreas"/>
    <n v="218863"/>
    <n v="0"/>
    <s v="3 yrs 0 mth "/>
    <x v="9"/>
    <x v="4"/>
    <s v="learning algorithm, artificial pancreas, performance"/>
    <n v="1"/>
    <s v="zN/A"/>
    <n v="0"/>
    <s v="zN/A"/>
    <s v="Kearney, Robert E"/>
  </r>
  <r>
    <x v="464"/>
    <s v="Université de Montréal"/>
    <x v="4"/>
    <x v="5"/>
    <s v="200903NHG"/>
    <x v="7"/>
    <s v="New Methods for Site-Specific Labelling of Proteins"/>
    <n v="300000"/>
    <n v="0"/>
    <s v="3 yrs 0 mth "/>
    <x v="2"/>
    <x v="5"/>
    <s v="Site-specific, Labelling, Proteins"/>
    <n v="5"/>
    <s v="zN/A"/>
    <n v="0"/>
    <s v="zN/A"/>
    <s v="Keillor, Jeffrey W"/>
  </r>
  <r>
    <x v="465"/>
    <s v="University of Toronto"/>
    <x v="1"/>
    <x v="0"/>
    <s v="201109MOP"/>
    <x v="5"/>
    <s v="Mitochondrial delivery of DNA-alkylating anticancer agents"/>
    <n v="514560"/>
    <n v="0"/>
    <s v="4 yrs 0 mth "/>
    <x v="0"/>
    <x v="15"/>
    <s v="Mitochondrial, DNA-alkylating, anticancer"/>
    <n v="0"/>
    <s v="zN/A"/>
    <n v="0"/>
    <s v="zN/A"/>
    <s v="Kelley, Shana O"/>
  </r>
  <r>
    <x v="465"/>
    <s v="University of Toronto"/>
    <x v="1"/>
    <x v="6"/>
    <s v="201210CPG"/>
    <x v="8"/>
    <s v="Rapid gene expression and protein profiling for transplantation medicine"/>
    <n v="282900"/>
    <n v="0"/>
    <s v="3 yrs 0 mth "/>
    <x v="2"/>
    <x v="14"/>
    <s v="gene expression, protein profiling, transplantation"/>
    <n v="4"/>
    <s v="zN/A"/>
    <n v="0"/>
    <s v="zN/A"/>
    <s v="Kelley, Shana O"/>
  </r>
  <r>
    <x v="465"/>
    <s v="University of Toronto"/>
    <x v="1"/>
    <x v="6"/>
    <s v="201510CPG"/>
    <x v="8"/>
    <s v="Analysis of Circulating Tumor Cell Heterogeneity Using a Multi-Marker Microscale Capture Approach as a tool in the Management and Treatment of Cancer"/>
    <n v="344850"/>
    <n v="0"/>
    <s v="3 yrs 0 mth "/>
    <x v="0"/>
    <x v="4"/>
    <s v="Circulating Tumor Cells, Microscale Capture, Cancer"/>
    <n v="3"/>
    <s v="zN/A"/>
    <n v="0"/>
    <s v="zN/A"/>
    <s v="Kelley, Shana O"/>
  </r>
  <r>
    <x v="465"/>
    <s v="University of Toronto"/>
    <x v="1"/>
    <x v="6"/>
    <s v="201711CPG"/>
    <x v="8"/>
    <s v="Development of integrated bioanalyte sensors for process monitoring in closed system bioreactors"/>
    <n v="419100"/>
    <n v="0"/>
    <s v="3 yrs 0 mth "/>
    <x v="0"/>
    <x v="11"/>
    <s v="bioanalyte, sensors, bioreactors"/>
    <n v="0"/>
    <s v="zN/A"/>
    <n v="0"/>
    <s v="zN/A"/>
    <s v="Kelley, Shana O"/>
  </r>
  <r>
    <x v="466"/>
    <s v="University Health Network (Toronto)"/>
    <x v="1"/>
    <x v="44"/>
    <s v="200903CVC"/>
    <x v="24"/>
    <s v="Identification and Characterization of Adjuvant Controlled Correlates of Immune Protection"/>
    <n v="99250"/>
    <n v="0"/>
    <s v="1 yr 0 mth "/>
    <x v="1"/>
    <x v="5"/>
    <s v="Adjuvant, Immune, Correlates"/>
    <n v="0"/>
    <s v="zN/A"/>
    <n v="0"/>
    <s v="zN/A"/>
    <s v="Kelvin, David J"/>
  </r>
  <r>
    <x v="467"/>
    <s v="McGill University"/>
    <x v="4"/>
    <x v="6"/>
    <s v="201510CPG"/>
    <x v="8"/>
    <s v="Bio-integrated fully implantable peripheral nerve electrode for functional upper limb prostheses"/>
    <n v="247080"/>
    <n v="0"/>
    <s v="3 yrs 0 mth "/>
    <x v="4"/>
    <x v="4"/>
    <s v="bio-integrated, nerve electrode, prostheses"/>
    <n v="0"/>
    <s v="zN/A"/>
    <n v="0"/>
    <s v="zN/A"/>
    <s v="Kennedy, Timothy E"/>
  </r>
  <r>
    <x v="468"/>
    <s v="Sunnybrook Research Institute (Toronto, Ontario)"/>
    <x v="1"/>
    <x v="0"/>
    <s v="201109MOP"/>
    <x v="1"/>
    <s v="Translational studies of acquired resistance to antiangiogenic therapies undertaken in new preclinical models of locally advanced or metastatic cancer"/>
    <n v="781655"/>
    <n v="0"/>
    <s v="5 yrs 0 mth "/>
    <x v="0"/>
    <x v="15"/>
    <s v="antiangiogenic, resistance, cancer"/>
    <n v="0"/>
    <s v="zN/A"/>
    <n v="0"/>
    <s v="zN/A"/>
    <s v="Kerbel, Robert S"/>
  </r>
  <r>
    <x v="468"/>
    <s v="Sunnybrook Research Institute (Toronto, Ontario)"/>
    <x v="1"/>
    <x v="1"/>
    <s v="201909PJT"/>
    <x v="5"/>
    <s v="Low Dose Metronomic Chemotherapy as a Combination Strategy to Combat Innate or Acquired Resistance to Immune Checkpoint Therapy"/>
    <n v="581400"/>
    <n v="0"/>
    <s v="4 yrs 0 mth "/>
    <x v="0"/>
    <x v="22"/>
    <s v="Metronomic Chemotherapy, Resistance, Immune Checkpoint"/>
    <n v="0"/>
    <s v="zN/A"/>
    <n v="0"/>
    <s v="zN/A"/>
    <s v="Kerbel, Robert S"/>
  </r>
  <r>
    <x v="469"/>
    <s v="University of Toronto"/>
    <x v="1"/>
    <x v="47"/>
    <s v="202203PTT"/>
    <x v="10"/>
    <s v="Making donated lungs infected with cytomegalovirus safer: nanoparticle-mediated deletion of essential viral genes prior to transplant using ex vivo lung perfusion"/>
    <n v="300000"/>
    <n v="0"/>
    <s v="3 yrs 0 mth "/>
    <x v="1"/>
    <x v="3"/>
    <s v="cytomegalovirus, nanoparticle, lung perfusion"/>
    <n v="0"/>
    <s v="zN/A"/>
    <n v="0"/>
    <s v="zN/A"/>
    <s v="Khan, Omar F"/>
  </r>
  <r>
    <x v="470"/>
    <s v="University Health Network (Toronto)"/>
    <x v="1"/>
    <x v="0"/>
    <s v="201209MOP"/>
    <x v="5"/>
    <s v="Molecular dissection of TIMP3-dependent hepatocellular carcinoma"/>
    <n v="623520"/>
    <n v="0"/>
    <s v="5 yrs 0 mth "/>
    <x v="0"/>
    <x v="14"/>
    <s v="TIMP3, hepatocellular carcinoma, molecular"/>
    <n v="0"/>
    <s v="zN/A"/>
    <n v="0"/>
    <s v="zN/A"/>
    <s v="Khokha, Rama"/>
  </r>
  <r>
    <x v="470"/>
    <s v="University Health Network (Toronto)"/>
    <x v="1"/>
    <x v="0"/>
    <s v="201503MOP"/>
    <x v="1"/>
    <s v="Discovery of Novel Therapeutic Targets in Osteosarcoma"/>
    <n v="802985"/>
    <n v="0"/>
    <s v="5 yrs 0 mth "/>
    <x v="0"/>
    <x v="19"/>
    <s v="Osteosarcoma, Therapeutic targets"/>
    <n v="0"/>
    <s v="zN/A"/>
    <n v="0"/>
    <s v="zN/A"/>
    <s v="Khokha, Rama"/>
  </r>
  <r>
    <x v="471"/>
    <s v="University of Calgary"/>
    <x v="2"/>
    <x v="1"/>
    <s v="202203PJT"/>
    <x v="9"/>
    <s v="Computational modeling of anatomy guided 3D vasculature network for organ bioprinting and regeneration"/>
    <n v="114750"/>
    <n v="0"/>
    <s v="1 yr 0 mth "/>
    <x v="3"/>
    <x v="3"/>
    <s v="computational modeling, vasculature, bioprinting"/>
    <n v="0"/>
    <s v="zN/A"/>
    <n v="0"/>
    <s v="zN/A"/>
    <s v="Kim, Keekyoung"/>
  </r>
  <r>
    <x v="472"/>
    <s v="McMaster University"/>
    <x v="1"/>
    <x v="18"/>
    <s v="202005VR2"/>
    <x v="16"/>
    <s v="COVID-19: Comprehensive biomarker analysis for prediction of clinical course and patient treatment outcomes (COVID-BEACONS)"/>
    <n v="1173325"/>
    <n v="0"/>
    <s v="1 yr 0 mth "/>
    <x v="3"/>
    <x v="2"/>
    <s v="COVID-19, biomarker, prediction"/>
    <n v="0"/>
    <s v="zN/A"/>
    <n v="0"/>
    <s v="zN/A"/>
    <s v="Kim, Paul Y"/>
  </r>
  <r>
    <x v="473"/>
    <s v="Hospital for Sick Children (Toronto)"/>
    <x v="1"/>
    <x v="1"/>
    <s v="202003PJT"/>
    <x v="5"/>
    <s v="Epigenetic mechanisms of gastric cancer associated with ARID1A mutations and H. pylori"/>
    <n v="918000"/>
    <n v="0"/>
    <s v="5 yrs 0 mth "/>
    <x v="0"/>
    <x v="39"/>
    <s v="epigenetic, gastric cancer, ARID1A"/>
    <n v="0"/>
    <s v="zN/A"/>
    <n v="0"/>
    <s v="zN/A"/>
    <s v="Kim, Tae-Hee"/>
  </r>
  <r>
    <x v="474"/>
    <s v="Western University (Ontario)"/>
    <x v="1"/>
    <x v="0"/>
    <s v="201003MOP"/>
    <x v="9"/>
    <s v="Hemi-Arthroplasty of the Elbow: The Effect of Implant Surface Design and Materials on Joint Kinematics and Contact Mechanics"/>
    <n v="307002"/>
    <n v="0"/>
    <s v="4 yrs 0 mth "/>
    <x v="5"/>
    <x v="21"/>
    <s v="Hemi-Arthroplasty, Implant Surface, Contact Mechanics"/>
    <n v="0"/>
    <s v="zN/A"/>
    <n v="0"/>
    <s v="zN/A"/>
    <s v="King, Graham John W"/>
  </r>
  <r>
    <x v="474"/>
    <s v="Western University (Ontario)"/>
    <x v="1"/>
    <x v="0"/>
    <s v="201503MOP"/>
    <x v="9"/>
    <s v="The Biomechanical Assessment and Optimization of Minimally Invasive Implants for the Elbow and Shoulder"/>
    <n v="242575"/>
    <n v="0"/>
    <s v="4 yrs 0 mth "/>
    <x v="5"/>
    <x v="19"/>
    <s v="Biomechanical, Implants, Elbow"/>
    <n v="0"/>
    <s v="zN/A"/>
    <n v="0"/>
    <s v="zN/A"/>
    <s v="King, Graham John W"/>
  </r>
  <r>
    <x v="475"/>
    <s v="McGill University"/>
    <x v="4"/>
    <x v="1"/>
    <s v="202309PJT"/>
    <x v="10"/>
    <s v="Tissue-engineered humanized model of the gastric tumor microenvironment to mechanistically evaluate the dynamics of combined tumor-infiltrating lymphocyte and RNA nanoparticle therapy"/>
    <n v="1051875"/>
    <n v="0"/>
    <s v="5 yrs 0 mth "/>
    <x v="0"/>
    <x v="33"/>
    <s v="tissue-engineering, gastric tumor, RNA nanoparticle"/>
    <n v="0"/>
    <s v="zN/A"/>
    <n v="0"/>
    <s v="zN/A"/>
    <s v="Kinsella, Joseph"/>
  </r>
  <r>
    <x v="476"/>
    <s v="Toronto Metropolitan University"/>
    <x v="1"/>
    <x v="1"/>
    <s v="202209PJT"/>
    <x v="6"/>
    <s v="Development of Magnetic Resonance Imaging Airway Segmentation to Assess and Monitor Cystic Fibrosis Lung Disease"/>
    <n v="699975"/>
    <n v="0"/>
    <s v="5 yrs 0 mth "/>
    <x v="3"/>
    <x v="8"/>
    <s v="Magnetic Resonance Imaging, Airway Segmentation, Cystic Fibrosis"/>
    <n v="0"/>
    <s v="zN/A"/>
    <n v="0"/>
    <s v="zN/A"/>
    <s v="Kirby, Miranda A"/>
  </r>
  <r>
    <x v="477"/>
    <s v="University Health Network (Toronto)"/>
    <x v="1"/>
    <x v="0"/>
    <s v="200809MOP"/>
    <x v="5"/>
    <s v="Molecular dynamics of the cell-surface proteome in primary prostate cancer cells: Towards a community resource for therapeutic intervention and biomarker discovery"/>
    <n v="383699"/>
    <n v="0"/>
    <s v="3 yrs 0 mth "/>
    <x v="0"/>
    <x v="0"/>
    <s v="molecular dynamics, cell-surface proteome, prostate cancer"/>
    <n v="2"/>
    <s v="zN/A"/>
    <n v="0"/>
    <s v="zN/A"/>
    <s v="Kislinger, Thomas"/>
  </r>
  <r>
    <x v="477"/>
    <s v="University Health Network (Toronto)"/>
    <x v="1"/>
    <x v="0"/>
    <s v="201103MOP"/>
    <x v="1"/>
    <s v="A Systematic Proteomic Analysis Strategy for Biomarker Discovery in Head &amp; Neck Cancer"/>
    <n v="437079"/>
    <n v="0"/>
    <s v="3 yrs 0 mth "/>
    <x v="0"/>
    <x v="17"/>
    <s v="Proteomic, Biomarker, Cancer"/>
    <n v="1"/>
    <s v="zN/A"/>
    <n v="0"/>
    <s v="zN/A"/>
    <s v="Kislinger, Thomas"/>
  </r>
  <r>
    <x v="477"/>
    <s v="University Health Network (Toronto)"/>
    <x v="1"/>
    <x v="0"/>
    <s v="201203MOP"/>
    <x v="5"/>
    <s v="Biomarkers for the detection of aggressive prostate cancers: Application of targeted proteomics to clinically stratified expressed prostatic secretions and urines"/>
    <n v="346847"/>
    <n v="0"/>
    <s v="3 yrs 0 mth "/>
    <x v="0"/>
    <x v="12"/>
    <s v="biomarkers, proteomics, prostate"/>
    <n v="0"/>
    <s v="zN/A"/>
    <n v="0"/>
    <s v="zN/A"/>
    <s v="Kislinger, Thomas"/>
  </r>
  <r>
    <x v="477"/>
    <s v="University Health Network (Toronto)"/>
    <x v="1"/>
    <x v="0"/>
    <s v="201309MOP"/>
    <x v="5"/>
    <s v="A Novel Biomarker Discovery Strategy Combining Primary Tumour Xenograft Models and Glyco-Capture of Secreted Proteins"/>
    <n v="351553"/>
    <n v="0"/>
    <s v="3 yrs 0 mth "/>
    <x v="0"/>
    <x v="9"/>
    <s v="Biomarker, Xenograft, Glyco-Capture"/>
    <n v="0"/>
    <s v="zN/A"/>
    <n v="0"/>
    <s v="zN/A"/>
    <s v="Kislinger, Thomas"/>
  </r>
  <r>
    <x v="477"/>
    <s v="University Health Network (Toronto)"/>
    <x v="1"/>
    <x v="1"/>
    <s v="201709PJT"/>
    <x v="5"/>
    <s v="Proteogenomics Panorama of Localized Prostate Cancers"/>
    <n v="340425"/>
    <n v="0"/>
    <s v="3 yrs 0 mth "/>
    <x v="0"/>
    <x v="11"/>
    <s v="Proteogenomics, Prostate, Cancers"/>
    <n v="2"/>
    <s v="zN/A"/>
    <n v="0"/>
    <s v="zN/A"/>
    <s v="Kislinger, Thomas"/>
  </r>
  <r>
    <x v="477"/>
    <s v="University Health Network (Toronto)"/>
    <x v="1"/>
    <x v="1"/>
    <s v="202003PJT"/>
    <x v="1"/>
    <s v="The Ovarian Cancer Glycoproteome: Biomarker Discovery and Therapeutic Targets"/>
    <n v="504901"/>
    <n v="0"/>
    <s v="4 yrs 0 mth "/>
    <x v="0"/>
    <x v="39"/>
    <s v="Ovarian cancer, Glycoproteome, Biomarkers"/>
    <n v="0"/>
    <s v="zN/A"/>
    <n v="0"/>
    <s v="zN/A"/>
    <s v="Kislinger, Thomas"/>
  </r>
  <r>
    <x v="478"/>
    <s v="University of British Columbia"/>
    <x v="3"/>
    <x v="0"/>
    <s v="200903MOP"/>
    <x v="9"/>
    <s v="Modular Design of Macromolecular Iron Chelator Structures for Chelation Therapy: Towards Effective Prevention of Primary and Transfusional Iron Overload"/>
    <n v="385110"/>
    <n v="0"/>
    <s v="3 yrs 0 mth "/>
    <x v="3"/>
    <x v="5"/>
    <s v="Macromolecular, Iron, Chelator"/>
    <n v="0"/>
    <s v="zN/A"/>
    <n v="0"/>
    <s v="zN/A"/>
    <s v="Kizhakkedathu, Jayachandran N"/>
  </r>
  <r>
    <x v="478"/>
    <s v="University of British Columbia"/>
    <x v="3"/>
    <x v="0"/>
    <s v="201303MOP"/>
    <x v="9"/>
    <s v="Polymer-based Bioengineering Approaches for Systemic Iron Removal"/>
    <n v="610078"/>
    <n v="0"/>
    <s v="5 yrs 0 mth "/>
    <x v="3"/>
    <x v="34"/>
    <s v="Polymer, Bioengineering, Iron"/>
    <n v="0"/>
    <s v="zN/A"/>
    <n v="0"/>
    <s v="zN/A"/>
    <s v="Kizhakkedathu, Jayachandran N"/>
  </r>
  <r>
    <x v="478"/>
    <s v="University of British Columbia"/>
    <x v="3"/>
    <x v="0"/>
    <s v="201403MOP"/>
    <x v="9"/>
    <s v="Novel Cell Surface Engineering Approaches for Cell-based Therapies"/>
    <n v="731651"/>
    <n v="0"/>
    <s v="5 yrs 0 mth "/>
    <x v="3"/>
    <x v="18"/>
    <s v="Cell surface, Engineering, Therapies"/>
    <n v="3"/>
    <s v="zN/A"/>
    <n v="0"/>
    <s v="zN/A"/>
    <s v="Kizhakkedathu, Jayachandran N"/>
  </r>
  <r>
    <x v="478"/>
    <s v="University of British Columbia"/>
    <x v="3"/>
    <x v="6"/>
    <s v="201510CPG"/>
    <x v="8"/>
    <s v="Universal Antibiofilm Coating Solutions for Ureteral Stents"/>
    <n v="393404"/>
    <n v="0"/>
    <s v="3 yrs 0 mth "/>
    <x v="1"/>
    <x v="4"/>
    <s v="Antibiofilm, Coating, Ureteral Stents"/>
    <n v="0"/>
    <s v="zN/A"/>
    <n v="0"/>
    <s v="zN/A"/>
    <s v="Kizhakkedathu, Jayachandran N"/>
  </r>
  <r>
    <x v="478"/>
    <s v="University of British Columbia"/>
    <x v="3"/>
    <x v="6"/>
    <s v="201910CPG"/>
    <x v="8"/>
    <s v="Next Generation Platelet Storage Devices for Safe and Efficient Transfusion"/>
    <n v="361850"/>
    <n v="0"/>
    <s v="3 yrs 0 mth "/>
    <x v="3"/>
    <x v="22"/>
    <s v="Platelet, Storage, Transfusion"/>
    <n v="1"/>
    <s v="zN/A"/>
    <n v="0"/>
    <s v="zN/A"/>
    <s v="Kizhakkedathu, Jayachandran N"/>
  </r>
  <r>
    <x v="478"/>
    <s v="University of British Columbia"/>
    <x v="3"/>
    <x v="1"/>
    <s v="202003PJT"/>
    <x v="9"/>
    <s v="Novel endothelial engineering and localized immunosuppression approaches for the protection of organ transplants"/>
    <n v="918000"/>
    <n v="0"/>
    <s v="5 yrs 0 mth "/>
    <x v="1"/>
    <x v="39"/>
    <s v="endothelial, immunosuppression, transplants"/>
    <n v="1"/>
    <s v="zN/A"/>
    <n v="0"/>
    <s v="zN/A"/>
    <s v="Kizhakkedathu, Jayachandran N"/>
  </r>
  <r>
    <x v="478"/>
    <s v="University of British Columbia"/>
    <x v="3"/>
    <x v="1"/>
    <s v="202403PJT"/>
    <x v="10"/>
    <s v="Transfusion Without Blood Typing: Enzymatic Glycoengineering Towards 'True' Universal Blood"/>
    <n v="1013626"/>
    <n v="0"/>
    <s v="5 yrs 0 mth "/>
    <x v="3"/>
    <x v="38"/>
    <s v="transfusion, blood typing, glycoengineering"/>
    <n v="0"/>
    <s v="zN/A"/>
    <n v="0"/>
    <s v="zN/A"/>
    <s v="Kizhakkedathu, Jayachandran N"/>
  </r>
  <r>
    <x v="479"/>
    <s v="University of British Columbia"/>
    <x v="3"/>
    <x v="1"/>
    <s v="202303PJT"/>
    <x v="0"/>
    <s v="Glucose restriction-mediated changes to mitochondria as a driver of anti-tumour CD8+ T cell function."/>
    <n v="983026"/>
    <n v="0"/>
    <s v="5 yrs 0 mth "/>
    <x v="0"/>
    <x v="13"/>
    <s v="glucose restriction, mitochondria, CD8+ T cells"/>
    <n v="0"/>
    <s v="zN/A"/>
    <n v="0"/>
    <s v="zN/A"/>
    <s v="Klein Geltink, Ramon"/>
  </r>
  <r>
    <x v="480"/>
    <s v="University of Alberta"/>
    <x v="2"/>
    <x v="48"/>
    <s v="201310CEA"/>
    <x v="21"/>
    <s v="Promoting Health of Older Adults through CHANGE technology"/>
    <n v="92112"/>
    <n v="0"/>
    <s v="1 yr 0 mth "/>
    <x v="6"/>
    <x v="54"/>
    <s v="Older adults, CHANGE, health"/>
    <n v="0"/>
    <s v="zN/A"/>
    <n v="0"/>
    <s v="zN/A"/>
    <s v="Klein, Doug"/>
  </r>
  <r>
    <x v="481"/>
    <s v="Université Laval"/>
    <x v="4"/>
    <x v="49"/>
    <s v="201702OVV"/>
    <x v="25"/>
    <s v="Development of a safe, effective and clinically acceptable VSV-based HIV vaccine"/>
    <n v="3997503"/>
    <n v="0"/>
    <s v="3 yrs 0 mth "/>
    <x v="1"/>
    <x v="24"/>
    <s v="VSV, HIV, vaccine"/>
    <n v="5"/>
    <s v="zN/A"/>
    <n v="0"/>
    <s v="zN/A"/>
    <s v="Kobinger, Gary P"/>
  </r>
  <r>
    <x v="482"/>
    <s v="University Health Network (Toronto)"/>
    <x v="1"/>
    <x v="4"/>
    <s v="200809IC1"/>
    <x v="0"/>
    <s v="Characterization of APLF (C2orf13) in DNA double-strand break repair and in the maintenance of genome stability"/>
    <n v="100000"/>
    <n v="0"/>
    <s v="1 yr 0 mth "/>
    <x v="0"/>
    <x v="42"/>
    <s v="DNA repair, genome stability, APLF"/>
    <n v="0"/>
    <s v="zN/A"/>
    <n v="0"/>
    <s v="zN/A"/>
    <s v="Koch, Anne"/>
  </r>
  <r>
    <x v="482"/>
    <s v="University Health Network (Toronto)"/>
    <x v="1"/>
    <x v="0"/>
    <s v="200909MOP"/>
    <x v="0"/>
    <s v="Role of APLF in DNA damage signaling, DNA repair and in the maintenance of genome stability"/>
    <n v="325560"/>
    <n v="0"/>
    <s v="3 yrs 0 mth "/>
    <x v="0"/>
    <x v="10"/>
    <s v="APLF,DNA repair,genome stability"/>
    <n v="0"/>
    <s v="zN/A"/>
    <n v="0"/>
    <s v="zN/A"/>
    <s v="Koch, Anne"/>
  </r>
  <r>
    <x v="483"/>
    <s v="University of Waterloo (Ontario)"/>
    <x v="1"/>
    <x v="1"/>
    <s v="201803PJT"/>
    <x v="5"/>
    <s v="Theoretical, experimental, and preclinical studies of heterogeneity-driven adaptive resistance to chemotherapy: Implications for multimodal targeted therapeutics"/>
    <n v="734400"/>
    <n v="0"/>
    <s v="3 yrs 0 mth "/>
    <x v="0"/>
    <x v="7"/>
    <s v="adaptive resistance, heterogeneity, targeted therapeutics"/>
    <n v="0"/>
    <s v="zN/A"/>
    <n v="0"/>
    <s v="zN/A"/>
    <s v="Kohandel, Mohammad"/>
  </r>
  <r>
    <x v="484"/>
    <s v="Toronto Metropolitan University"/>
    <x v="1"/>
    <x v="0"/>
    <s v="200903MOP"/>
    <x v="6"/>
    <s v="Mid to High frequency ultrasound imaging and spectroscopy for cancer treatment monitoring"/>
    <n v="427592"/>
    <n v="0"/>
    <s v="3 yrs 0 mth "/>
    <x v="0"/>
    <x v="5"/>
    <s v="ultrasound, imaging, spectroscopy"/>
    <n v="9"/>
    <s v="zN/A"/>
    <n v="0"/>
    <s v="zN/A"/>
    <s v="Kolios, Michael C"/>
  </r>
  <r>
    <x v="484"/>
    <s v="Toronto Metropolitan University"/>
    <x v="1"/>
    <x v="6"/>
    <s v="201310CPG"/>
    <x v="8"/>
    <s v="Characterization of blood storage lesions using photoacoustic technologies"/>
    <n v="242595"/>
    <n v="0"/>
    <s v="3 yrs 0 mth "/>
    <x v="3"/>
    <x v="9"/>
    <s v="blood, photoacoustic, lesions"/>
    <n v="0"/>
    <s v="zN/A"/>
    <n v="0"/>
    <s v="zN/A"/>
    <s v="Kolios, Michael C"/>
  </r>
  <r>
    <x v="484"/>
    <s v="Toronto Metropolitan University"/>
    <x v="1"/>
    <x v="6"/>
    <s v="201510CPG"/>
    <x v="8"/>
    <s v="Development of treatment planning platform for ultrasound stimulated microbubble therapy"/>
    <n v="416060"/>
    <n v="0"/>
    <s v="3 yrs 0 mth "/>
    <x v="0"/>
    <x v="4"/>
    <s v="ultrasound, microbubble, therapy"/>
    <n v="0"/>
    <s v="zN/A"/>
    <n v="0"/>
    <s v="zN/A"/>
    <s v="Kolios, Michael C"/>
  </r>
  <r>
    <x v="484"/>
    <s v="Toronto Metropolitan University"/>
    <x v="1"/>
    <x v="6"/>
    <s v="201810CPG"/>
    <x v="8"/>
    <s v="Ultrasound Platform for A Priori Therapy Response Prediction"/>
    <n v="453500"/>
    <n v="0"/>
    <s v="3 yrs 0 mth "/>
    <x v="0"/>
    <x v="26"/>
    <s v="Ultrasound, Therapy Response, Prediction"/>
    <n v="0"/>
    <s v="zN/A"/>
    <n v="0"/>
    <s v="zN/A"/>
    <s v="Kolios, Michael C"/>
  </r>
  <r>
    <x v="484"/>
    <s v="Toronto Metropolitan University"/>
    <x v="1"/>
    <x v="1"/>
    <s v="201909PJT"/>
    <x v="6"/>
    <s v="Photoacoustics as a novel kidney fibrosis imaging tool"/>
    <n v="803252"/>
    <n v="0"/>
    <s v="4 yrs 0 mth "/>
    <x v="9"/>
    <x v="22"/>
    <s v="Photoacoustics, kidney fibrosis, imaging"/>
    <n v="3"/>
    <s v="zN/A"/>
    <n v="0"/>
    <s v="zN/A"/>
    <s v="Kolios, Michael C"/>
  </r>
  <r>
    <x v="485"/>
    <s v="University of British Columbia"/>
    <x v="3"/>
    <x v="44"/>
    <s v="200903CVC"/>
    <x v="24"/>
    <s v="Vaccines for Asthma and Allergies - an Immune-Prophylactic and -Therapeutic Approach"/>
    <n v="100000"/>
    <n v="0"/>
    <s v="1 yr 0 mth "/>
    <x v="1"/>
    <x v="5"/>
    <s v="Vaccines, Asthma, Allergies"/>
    <n v="0"/>
    <s v="zN/A"/>
    <n v="0"/>
    <s v="zN/A"/>
    <s v="Kollmann, Tobias R"/>
  </r>
  <r>
    <x v="486"/>
    <s v="University of British Columbia"/>
    <x v="3"/>
    <x v="0"/>
    <s v="201503MOP"/>
    <x v="5"/>
    <s v="Using genetically engineered mouse models to define variables producing pancreatic ductal adenocarcinoma heterogeneity"/>
    <n v="644632"/>
    <n v="0"/>
    <s v="5 yrs 0 mth "/>
    <x v="0"/>
    <x v="19"/>
    <s v="genetically engineered, mouse models, pancreatic ductal adenocarcinoma"/>
    <n v="0"/>
    <s v="zN/A"/>
    <n v="0"/>
    <s v="zN/A"/>
    <s v="Kopp, Janel"/>
  </r>
  <r>
    <x v="486"/>
    <s v="University of British Columbia"/>
    <x v="3"/>
    <x v="1"/>
    <s v="201809PJT"/>
    <x v="0"/>
    <s v="Role of inflammation during the genesis of intraductal papillary mucinous neoplasia associated pancreatic ductal adenocarcinoma"/>
    <n v="1090125"/>
    <n v="0"/>
    <s v="5 yrs 0 mth "/>
    <x v="0"/>
    <x v="26"/>
    <s v="inflammation, intraductal papillary mucinous neoplasia, pancreatic ductal adenocarcinoma"/>
    <n v="0"/>
    <s v="zN/A"/>
    <n v="0"/>
    <s v="zN/A"/>
    <s v="Kopp, Janel"/>
  </r>
  <r>
    <x v="487"/>
    <s v="University Health Network (Toronto)"/>
    <x v="1"/>
    <x v="1"/>
    <s v="202109PJT"/>
    <x v="0"/>
    <s v="Redox homeostasis in pancreatic cancer - molecular mechanisms and combined modalities"/>
    <n v="860625"/>
    <n v="0"/>
    <s v="5 yrs 0 mth "/>
    <x v="0"/>
    <x v="25"/>
    <s v="Redox, pancreatic cancer, homeostasis"/>
    <n v="0"/>
    <s v="zN/A"/>
    <n v="0"/>
    <s v="zN/A"/>
    <s v="Koritzinsky, Marianne"/>
  </r>
  <r>
    <x v="488"/>
    <s v="Children's Hospital of Eastern Ontario Research Institute Inc"/>
    <x v="1"/>
    <x v="0"/>
    <s v="201309MOP"/>
    <x v="1"/>
    <s v="Combined IAP antagonism and immunotherapy for cancer treatment"/>
    <n v="794885"/>
    <n v="0"/>
    <s v="5 yrs 0 mth "/>
    <x v="0"/>
    <x v="9"/>
    <s v="IAP, immunotherapy, cancer"/>
    <n v="0"/>
    <s v="zN/A"/>
    <n v="0"/>
    <s v="zN/A"/>
    <s v="Korneluk, Robert G"/>
  </r>
  <r>
    <x v="488"/>
    <s v="Children's Hospital of Eastern Ontario Research Institute Inc"/>
    <x v="1"/>
    <x v="1"/>
    <s v="201803PJT"/>
    <x v="1"/>
    <s v="Combined IAP antagonism and immunotherapy for cancer treatment"/>
    <n v="937126"/>
    <n v="0"/>
    <s v="5 yrs 0 mth "/>
    <x v="0"/>
    <x v="9"/>
    <s v="IAP, immunotherapy, cancer"/>
    <n v="0"/>
    <s v="zN/A"/>
    <n v="0"/>
    <s v="zN/A"/>
    <s v="Korneluk, Robert G"/>
  </r>
  <r>
    <x v="489"/>
    <s v="London Health Sciences Centre Res. Inc. (Ont.)"/>
    <x v="1"/>
    <x v="1"/>
    <s v="201709PJT"/>
    <x v="0"/>
    <s v="Inducing Mismatch Repair Deficiency in Cancer Cells for Therapeutic Benefit"/>
    <n v="983025"/>
    <n v="0"/>
    <s v="5 yrs 0 mth "/>
    <x v="0"/>
    <x v="11"/>
    <s v="Mismatch repair, cancer cells, deficiency"/>
    <n v="0"/>
    <s v="zN/A"/>
    <n v="0"/>
    <s v="zN/A"/>
    <s v="Koropatnick, James"/>
  </r>
  <r>
    <x v="490"/>
    <s v="Queen's University (Kingston, Ontario)"/>
    <x v="1"/>
    <x v="1"/>
    <s v="201803PJT"/>
    <x v="1"/>
    <s v="Exploiting tumour innate immunity for sensitization of ovarian tumours to PD-L1 immune checkpoint blockade immunotherapy"/>
    <n v="765000"/>
    <n v="0"/>
    <s v="5 yrs 0 mth "/>
    <x v="0"/>
    <x v="7"/>
    <s v="tumour, innate immunity, PD-L1"/>
    <n v="0"/>
    <s v="zN/A"/>
    <n v="0"/>
    <s v="zN/A"/>
    <s v="Koti, Madhuri"/>
  </r>
  <r>
    <x v="490"/>
    <s v="Queen's University (Kingston, Ontario)"/>
    <x v="1"/>
    <x v="1"/>
    <s v="202403PJT"/>
    <x v="1"/>
    <s v="Targeting B cell exhaustion in BCG non-responsive bladder cancer"/>
    <n v="975376"/>
    <n v="0"/>
    <s v="5 yrs 0 mth "/>
    <x v="0"/>
    <x v="38"/>
    <s v="B cell exhaustion, bladder cancer, BCG"/>
    <n v="0"/>
    <s v="zN/A"/>
    <n v="0"/>
    <s v="zN/A"/>
    <s v="Koti, Madhuri"/>
  </r>
  <r>
    <x v="491"/>
    <s v="Women's College Hospital (Toronto)"/>
    <x v="1"/>
    <x v="50"/>
    <s v="201109OVA"/>
    <x v="1"/>
    <s v="Telomere Length and Ovarian Cancer Prognosis"/>
    <n v="100000"/>
    <n v="0"/>
    <s v="1 yr 0 mth "/>
    <x v="0"/>
    <x v="15"/>
    <s v="Telomere, Ovarian Cancer, Prognosis"/>
    <n v="0"/>
    <s v="zN/A"/>
    <n v="0"/>
    <s v="zN/A"/>
    <s v="Kotsopoulos, Joanne"/>
  </r>
  <r>
    <x v="492"/>
    <s v="University of British Columbia"/>
    <x v="3"/>
    <x v="0"/>
    <s v="201103MOP"/>
    <x v="6"/>
    <s v="Multi-parametric MRI for prostate cancer diagnosis and prognosis"/>
    <n v="627332"/>
    <n v="0"/>
    <s v="5 yrs 0 mth "/>
    <x v="0"/>
    <x v="17"/>
    <s v="MRI, prostate cancer, diagnosis"/>
    <n v="0"/>
    <s v="zN/A"/>
    <n v="0"/>
    <s v="zN/A"/>
    <s v="Kozlowski, Piotr"/>
  </r>
  <r>
    <x v="493"/>
    <s v="Centre hospitalier universitaire Sainte-Justine (Montréal, Québec)"/>
    <x v="4"/>
    <x v="0"/>
    <s v="201003MOP"/>
    <x v="1"/>
    <s v="Genetic determinants of the resistance to corticosteroids, vincristine and asparaginase in childhood acute lymphoblastic leukemia"/>
    <n v="295728"/>
    <n v="0"/>
    <s v="3 yrs 0 mth "/>
    <x v="0"/>
    <x v="21"/>
    <s v="genetic, corticosteroids, leukemia"/>
    <n v="0"/>
    <s v="zN/A"/>
    <n v="0"/>
    <s v="zN/A"/>
    <s v="Krajinovic, Maja"/>
  </r>
  <r>
    <x v="494"/>
    <s v="University of Prince Edward Island (Charlottetown)"/>
    <x v="8"/>
    <x v="35"/>
    <s v="201506EH1"/>
    <x v="22"/>
    <s v="Computer Based Training for Cognitive Behavioral Therapy (CBT4CBT) for Improved  Addiction Treatment in Canadian Youth"/>
    <n v="618797"/>
    <n v="0"/>
    <s v="4 yrs 0 mth "/>
    <x v="4"/>
    <x v="46"/>
    <s v="Computer, Behavioral Therapy, Addiction"/>
    <n v="0"/>
    <s v="zN/A"/>
    <n v="0"/>
    <s v="zN/A"/>
    <s v="Krause, Juergen"/>
  </r>
  <r>
    <x v="495"/>
    <s v="Sunnybrook Research Institute (Toronto, Ontario)"/>
    <x v="1"/>
    <x v="30"/>
    <s v="201210CEH"/>
    <x v="21"/>
    <s v="Mental Health Telemetry for Self-Management in Major Depression"/>
    <n v="96207"/>
    <n v="0"/>
    <s v="1 yr 0 mth "/>
    <x v="4"/>
    <x v="32"/>
    <s v="Mental Health, Telemetry, Depression"/>
    <n v="0"/>
    <s v="zN/A"/>
    <n v="0"/>
    <s v="zN/A"/>
    <s v="Kreindler, David"/>
  </r>
  <r>
    <x v="496"/>
    <s v="McGill University"/>
    <x v="4"/>
    <x v="0"/>
    <s v="200909MOP"/>
    <x v="5"/>
    <s v="Co-targeting parathyroid-hormone related protein (PTHrP) signaling and osteoclast activation to counter breast cancer metastasis to bone"/>
    <n v="506268"/>
    <n v="0"/>
    <s v="4 yrs 0 mth "/>
    <x v="5"/>
    <x v="10"/>
    <s v="PTHrP, osteoclast, metastasis"/>
    <n v="0"/>
    <s v="zN/A"/>
    <n v="0"/>
    <s v="zN/A"/>
    <s v="Kremer, Richard B"/>
  </r>
  <r>
    <x v="496"/>
    <s v="Research Institute of the McGill University Health Centre"/>
    <x v="4"/>
    <x v="0"/>
    <s v="201503MOP"/>
    <x v="5"/>
    <s v="Co-targeting parathyroid-hormone related protein (PTHrP) signaling and osteoclast activation to counter breast cancer metastasis to bone"/>
    <n v="739955"/>
    <n v="0"/>
    <s v="5 yrs 0 mth "/>
    <x v="5"/>
    <x v="19"/>
    <s v="PTHrP, osteoclast, metastasis"/>
    <n v="0"/>
    <s v="zN/A"/>
    <n v="0"/>
    <s v="zN/A"/>
    <s v="Kremer, Richard B"/>
  </r>
  <r>
    <x v="497"/>
    <s v="York University (Toronto, Ontario)"/>
    <x v="1"/>
    <x v="6"/>
    <s v="201310CPG"/>
    <x v="8"/>
    <s v="Technology for Analysis of miRNA Signatures (TAmiRS): a Novel Tool for Personalized Cancer Medicine"/>
    <n v="451599"/>
    <n v="0"/>
    <s v="3 yrs 0 mth "/>
    <x v="0"/>
    <x v="9"/>
    <s v="miRNA, Signatures, Cancer"/>
    <n v="0"/>
    <s v="zN/A"/>
    <n v="0"/>
    <s v="zN/A"/>
    <s v="Krylov, Sergey"/>
  </r>
  <r>
    <x v="498"/>
    <s v="Brock University (Ontario)"/>
    <x v="1"/>
    <x v="19"/>
    <s v="202307NWI"/>
    <x v="17"/>
    <s v="Identifying epigenetic biomarkers of the response to cognitive behavioural therapy in mothers/birthing parents treated for postpartum depression"/>
    <n v="146230"/>
    <n v="0"/>
    <s v="1 yr 0 mth "/>
    <x v="8"/>
    <x v="36"/>
    <s v="epigenetic, biomarkers, postpartum depression"/>
    <n v="0"/>
    <s v="zN/A"/>
    <n v="0"/>
    <s v="zN/A"/>
    <s v="Krzeczkowski, John E"/>
  </r>
  <r>
    <x v="499"/>
    <s v="University of Calgary"/>
    <x v="2"/>
    <x v="13"/>
    <s v="202005VR3"/>
    <x v="12"/>
    <s v="Imaging COVID-19 Lungs to Uncover Therapies"/>
    <n v="1271404"/>
    <n v="0"/>
    <s v="1 yr 0 mth "/>
    <x v="1"/>
    <x v="2"/>
    <s v="Imaging, COVID-19, Lungs"/>
    <n v="0"/>
    <s v="zN/A"/>
    <n v="0"/>
    <s v="zN/A"/>
    <s v="Kubes, Paul"/>
  </r>
  <r>
    <x v="500"/>
    <s v="Research Institute of the McGill University Health Centre"/>
    <x v="4"/>
    <x v="1"/>
    <s v="201809PJT"/>
    <x v="3"/>
    <s v="Molecular basis to diet-dependent chromatin dependencies in prostate cancer"/>
    <n v="967725"/>
    <n v="0"/>
    <s v="5 yrs 0 mth "/>
    <x v="0"/>
    <x v="26"/>
    <s v="molecular, chromatin, prostate cancer"/>
    <n v="0"/>
    <s v="zN/A"/>
    <n v="0"/>
    <s v="zN/A"/>
    <s v="Labbe, David"/>
  </r>
  <r>
    <x v="500"/>
    <s v="Research Institute of the McGill University Health Centre"/>
    <x v="4"/>
    <x v="1"/>
    <s v="202109PJT"/>
    <x v="3"/>
    <s v="Protein glycation acts as a substrate-dependent tumorigenic molecular switch in prostate cancer"/>
    <n v="1132200"/>
    <n v="0"/>
    <s v="5 yrs 0 mth "/>
    <x v="0"/>
    <x v="25"/>
    <s v="Protein, glycation, prostate cancer"/>
    <n v="0"/>
    <s v="zN/A"/>
    <n v="0"/>
    <s v="zN/A"/>
    <s v="Labbe, David"/>
  </r>
  <r>
    <x v="501"/>
    <s v="Centre hospitalier universitaire Sainte-Justine (Montréal, Québec)"/>
    <x v="4"/>
    <x v="0"/>
    <s v="200909MOP"/>
    <x v="9"/>
    <s v="Non Invasive 3D Assessment of the Reducibility of Scoliotic Trunk Deformities for an Effective Surgical Planning"/>
    <n v="241512"/>
    <n v="0"/>
    <s v="3 yrs 0 mth "/>
    <x v="5"/>
    <x v="10"/>
    <s v="3D, assessment, scoliosis"/>
    <n v="1"/>
    <s v="zN/A"/>
    <n v="0"/>
    <s v="zN/A"/>
    <s v="Labelle, Hubert B"/>
  </r>
  <r>
    <x v="501"/>
    <s v="Centre hospitalier universitaire Sainte-Justine (Montréal, Québec)"/>
    <x v="4"/>
    <x v="0"/>
    <s v="201003MOP"/>
    <x v="9"/>
    <s v="Towards a 3-D classification of adolescent idiopathic scoliosis"/>
    <n v="184598"/>
    <n v="0"/>
    <s v="3 yrs 0 mth "/>
    <x v="5"/>
    <x v="21"/>
    <s v="3-D, classification, scoliosis"/>
    <n v="0"/>
    <s v="zN/A"/>
    <n v="0"/>
    <s v="zN/A"/>
    <s v="Labelle, Hubert B"/>
  </r>
  <r>
    <x v="501"/>
    <s v="Centre hospitalier universitaire Sainte-Justine (Montréal, Québec)"/>
    <x v="4"/>
    <x v="0"/>
    <s v="201209MOP"/>
    <x v="9"/>
    <s v="Non Invasive Prediction of Scoliosis Progression"/>
    <n v="380000"/>
    <n v="0"/>
    <s v="4 yrs 0 mth "/>
    <x v="5"/>
    <x v="14"/>
    <s v="Non Invasive, Prediction, Scoliosis"/>
    <n v="1"/>
    <s v="zN/A"/>
    <n v="0"/>
    <s v="zN/A"/>
    <s v="Labelle, Hubert B"/>
  </r>
  <r>
    <x v="502"/>
    <s v="Western University (Ontario)"/>
    <x v="1"/>
    <x v="6"/>
    <s v="201610CPG"/>
    <x v="8"/>
    <s v="Mastoidectomy Simulator for Surgical Training and Rehearsal"/>
    <n v="186200"/>
    <n v="0"/>
    <s v="3 yrs 0 mth "/>
    <x v="4"/>
    <x v="24"/>
    <s v="Mastoidectomy, Simulator, Surgical"/>
    <n v="0"/>
    <s v="zN/A"/>
    <n v="0"/>
    <s v="zN/A"/>
    <s v="Ladak, Hanif M"/>
  </r>
  <r>
    <x v="503"/>
    <s v="McGill University"/>
    <x v="4"/>
    <x v="0"/>
    <s v="200809MOP"/>
    <x v="6"/>
    <s v="High field imaging of focal epilepsy"/>
    <n v="393809"/>
    <n v="0"/>
    <s v="4 yrs 0 mth "/>
    <x v="4"/>
    <x v="0"/>
    <s v="high field, imaging, epilepsy"/>
    <n v="0"/>
    <s v="zN/A"/>
    <n v="0"/>
    <s v="zN/A"/>
    <s v="Ladbon Bernasconi, Neda"/>
  </r>
  <r>
    <x v="504"/>
    <s v="University of British Columbia"/>
    <x v="3"/>
    <x v="5"/>
    <s v="200902NHG"/>
    <x v="7"/>
    <s v="Integrated Microsystems for Selecting and Screening Novel Molecular Recognition Reagents"/>
    <n v="73000"/>
    <n v="25000"/>
    <s v="1 yr 0 mth "/>
    <x v="2"/>
    <x v="45"/>
    <s v="microarrays, molecular recognition, screening"/>
    <n v="1"/>
    <s v="zN/A"/>
    <n v="0"/>
    <s v="zN/A"/>
    <s v="Lagally, Eric T"/>
  </r>
  <r>
    <x v="505"/>
    <s v="University of British Columbia"/>
    <x v="3"/>
    <x v="0"/>
    <s v="200810MOP"/>
    <x v="5"/>
    <s v="Molecular mechanisms of lung cancer development in former smokers"/>
    <n v="100000"/>
    <n v="0"/>
    <s v="1 yr 0 mth "/>
    <x v="0"/>
    <x v="48"/>
    <s v="molecular, lung cancer, smokers"/>
    <n v="0"/>
    <s v="zN/A"/>
    <n v="0"/>
    <s v="zN/A"/>
    <s v="Lam, Wan L"/>
  </r>
  <r>
    <x v="505"/>
    <s v="University of British Columbia"/>
    <x v="3"/>
    <x v="0"/>
    <s v="200903MOP"/>
    <x v="5"/>
    <s v="Molecular mechanisms of lung cancer development in former smokers"/>
    <n v="431680"/>
    <n v="0"/>
    <s v="3 yrs 0 mth "/>
    <x v="0"/>
    <x v="5"/>
    <s v="molecular, lung cancer, smokers"/>
    <n v="0"/>
    <s v="zN/A"/>
    <n v="0"/>
    <s v="zN/A"/>
    <s v="Lam, Wan L"/>
  </r>
  <r>
    <x v="505"/>
    <s v="University of British Columbia"/>
    <x v="3"/>
    <x v="0"/>
    <s v="201203MOP"/>
    <x v="5"/>
    <s v="Understanding the mechanisms of lung cancer development in never smokers"/>
    <n v="597109"/>
    <n v="0"/>
    <s v="4 yrs 0 mth "/>
    <x v="0"/>
    <x v="12"/>
    <s v="lung cancer, mechanisms, smokers"/>
    <n v="1"/>
    <s v="zN/A"/>
    <n v="0"/>
    <s v="zN/A"/>
    <s v="Lam, Wan L"/>
  </r>
  <r>
    <x v="505"/>
    <s v="University of British Columbia"/>
    <x v="3"/>
    <x v="1"/>
    <s v="202203PJT"/>
    <x v="5"/>
    <s v="Targeting lung microbiome for developing early detection and intervention strategies for lung cancer"/>
    <n v="914176"/>
    <n v="0"/>
    <s v="5 yrs 0 mth "/>
    <x v="0"/>
    <x v="3"/>
    <s v="lung microbiome, early detection, lung cancer"/>
    <n v="0"/>
    <s v="zN/A"/>
    <n v="0"/>
    <s v="zN/A"/>
    <s v="Lam, Wan L"/>
  </r>
  <r>
    <x v="506"/>
    <s v="University of British Columbia"/>
    <x v="3"/>
    <x v="0"/>
    <s v="201009MOP"/>
    <x v="6"/>
    <s v="High-Resolution OCT Imaging of Bronchial Epithelium"/>
    <n v="266164"/>
    <n v="0"/>
    <s v="3 yrs 0 mth "/>
    <x v="0"/>
    <x v="16"/>
    <s v="OCT, Imaging, Bronchial Epithelium"/>
    <n v="2"/>
    <s v="zN/A"/>
    <n v="0"/>
    <s v="zN/A"/>
    <s v="Lane, Pierre"/>
  </r>
  <r>
    <x v="506"/>
    <s v="Simon Fraser University (Burnaby, B.C.)"/>
    <x v="3"/>
    <x v="6"/>
    <s v="201610CPG"/>
    <x v="8"/>
    <s v="Endoscopic optical coherence tomography and autofluorescence imaging for early cancer detection"/>
    <n v="314005"/>
    <n v="0"/>
    <s v="3 yrs 0 mth "/>
    <x v="0"/>
    <x v="24"/>
    <s v="optical coherence tomography, autofluorescence imaging, cancer detection"/>
    <n v="1"/>
    <s v="zN/A"/>
    <n v="0"/>
    <s v="zN/A"/>
    <s v="Lane, Pierre"/>
  </r>
  <r>
    <x v="507"/>
    <s v="University of British Columbia"/>
    <x v="3"/>
    <x v="1"/>
    <s v="201909PJT"/>
    <x v="1"/>
    <s v="Tumour microenvironment mediated cell surface shedding creates unique targets and markers"/>
    <n v="952425"/>
    <n v="0"/>
    <s v="5 yrs 0 mth "/>
    <x v="0"/>
    <x v="22"/>
    <s v="tumour, microenvironment, cell surface"/>
    <n v="0"/>
    <s v="zN/A"/>
    <n v="0"/>
    <s v="zN/A"/>
    <s v="Lange, Philipp"/>
  </r>
  <r>
    <x v="508"/>
    <s v="Dalhousie University (Nova Scotia)"/>
    <x v="5"/>
    <x v="3"/>
    <s v="201303IPR"/>
    <x v="4"/>
    <s v="Preventing Respiratory Syncytial Virus (RSV) infection with a novel antigen-adjuvant platform"/>
    <n v="193512"/>
    <n v="0"/>
    <s v="2 yrs 0 mth "/>
    <x v="1"/>
    <x v="34"/>
    <s v="Respiratory Syncytial Virus, antigen, adjuvant"/>
    <n v="0"/>
    <s v="zN/A"/>
    <n v="0"/>
    <s v="zN/A"/>
    <s v="Langley, Joanne M"/>
  </r>
  <r>
    <x v="509"/>
    <s v="Université Laval"/>
    <x v="4"/>
    <x v="41"/>
    <s v="200811CHV"/>
    <x v="23"/>
    <s v="Promoting innate immunity to HIV infection by vaccine delivery of third generation RNA analogs"/>
    <n v="100000"/>
    <n v="0"/>
    <s v="1 yr 0 mth "/>
    <x v="1"/>
    <x v="48"/>
    <s v="innate immunity, HIV, RNA analogs"/>
    <n v="1"/>
    <s v="zN/A"/>
    <n v="0"/>
    <s v="zN/A"/>
    <s v="Langlois, Marc-Andre"/>
  </r>
  <r>
    <x v="509"/>
    <s v="University of Ottawa"/>
    <x v="1"/>
    <x v="18"/>
    <s v="202005VR2"/>
    <x v="16"/>
    <s v="Analysis of Antibody Neutralization Efficiency and Cellular Immunity in SARS-CoV-2-Positive Individuals Identified in At-Risk Individuals"/>
    <n v="2112500"/>
    <n v="0"/>
    <s v="1 yr 0 mth "/>
    <x v="1"/>
    <x v="2"/>
    <s v="Antibody, Neutralization, SARS-CoV-2"/>
    <n v="0"/>
    <s v="zN/A"/>
    <n v="0"/>
    <s v="zN/A"/>
    <s v="Langlois, Marc-Andre"/>
  </r>
  <r>
    <x v="510"/>
    <s v="Carleton University (Ottawa)"/>
    <x v="1"/>
    <x v="6"/>
    <s v="201910CPG"/>
    <x v="8"/>
    <s v="Reducing vibrations to improve infant patient safety during transportation"/>
    <n v="174703"/>
    <n v="86730"/>
    <s v="3 yrs 0 mth "/>
    <x v="7"/>
    <x v="22"/>
    <s v="vibrations, infant, transportation"/>
    <n v="0"/>
    <s v="zN/A"/>
    <n v="0"/>
    <s v="zN/A"/>
    <s v="Langlois, Robert"/>
  </r>
  <r>
    <x v="511"/>
    <s v="University Health Network (Toronto)"/>
    <x v="1"/>
    <x v="1"/>
    <s v="202303PJT"/>
    <x v="9"/>
    <s v="Developing a Biologically-realistic Model-based Approach for Generating Deep Brain Stimulation Patterns"/>
    <n v="841500"/>
    <n v="0"/>
    <s v="5 yrs 0 mth "/>
    <x v="4"/>
    <x v="13"/>
    <s v="Deep Brain Stimulation, Model-based, Patterns"/>
    <n v="1"/>
    <s v="zN/A"/>
    <n v="0"/>
    <s v="zN/A"/>
    <s v="Lankarany, Milad"/>
  </r>
  <r>
    <x v="512"/>
    <s v="Centre hospitalier de l'Université de Montréal (CHUM)"/>
    <x v="4"/>
    <x v="44"/>
    <s v="200903CVC"/>
    <x v="24"/>
    <s v="Defining innovating cancer vaccine based on virus-like particles by targeting multiple antigens"/>
    <n v="100000"/>
    <n v="0"/>
    <s v="1 yr 0 mth "/>
    <x v="1"/>
    <x v="5"/>
    <s v="cancer vaccine, virus-like particles, antigens"/>
    <n v="2"/>
    <s v="zN/A"/>
    <n v="0"/>
    <s v="zN/A"/>
    <s v="Lapointe, Rejean"/>
  </r>
  <r>
    <x v="513"/>
    <s v="McMaster University"/>
    <x v="1"/>
    <x v="3"/>
    <s v="201503IPR"/>
    <x v="4"/>
    <s v="Development of peptide immunotherapy for Rheumatoid Arthritis: Identification and validation of T cell epitopes from citrullinated auto-antigens."/>
    <n v="295386"/>
    <n v="0"/>
    <s v="3 yrs 0 mth "/>
    <x v="5"/>
    <x v="46"/>
    <s v="peptide, immunotherapy, citrullinated"/>
    <n v="0"/>
    <s v="zN/A"/>
    <n v="0"/>
    <s v="zN/A"/>
    <s v="Larche, Mark"/>
  </r>
  <r>
    <x v="514"/>
    <s v="CIUSSS Est-de-l'Ile-de- Montréal-Maisonneuve Rosemont"/>
    <x v="4"/>
    <x v="10"/>
    <s v="202109PLL"/>
    <x v="5"/>
    <s v="Targeting BMP signaling in the tumor endothelium to improve cancer immunotherapy"/>
    <n v="100000"/>
    <n v="0"/>
    <s v="1 yr 0 mth "/>
    <x v="0"/>
    <x v="52"/>
    <s v="BMP, signaling, endothelium"/>
    <n v="0"/>
    <s v="zN/A"/>
    <n v="0"/>
    <s v="zN/A"/>
    <s v="Larrivee, Bruno"/>
  </r>
  <r>
    <x v="515"/>
    <s v="Sunnybrook Research Institute (Toronto, Ontario)"/>
    <x v="1"/>
    <x v="1"/>
    <s v="202010PJT"/>
    <x v="6"/>
    <s v="MR-Linac guided adaptive radiotherapy in glioblastoma multiforme"/>
    <n v="558450"/>
    <n v="0"/>
    <s v="5 yrs 0 mth "/>
    <x v="0"/>
    <x v="23"/>
    <s v="MR, radiotherapy, glioblastoma"/>
    <n v="0"/>
    <s v="zN/A"/>
    <n v="0"/>
    <s v="zN/A"/>
    <s v="Lau, Angus Z"/>
  </r>
  <r>
    <x v="516"/>
    <s v="University of Toronto"/>
    <x v="1"/>
    <x v="6"/>
    <s v="201810CPG"/>
    <x v="8"/>
    <s v="Utilizing high resolution physiological data and artificial intelligence to develop a pediatric cardiac arrest prediction tool for integration into bedside clinical practice"/>
    <n v="596830"/>
    <n v="28120"/>
    <s v="3 yrs 0 mth "/>
    <x v="10"/>
    <x v="26"/>
    <s v="physiological data, artificial intelligence, cardiac arrest"/>
    <n v="0"/>
    <s v="zN/A"/>
    <n v="0"/>
    <s v="zN/A"/>
    <s v="Laussen, Peter C"/>
  </r>
  <r>
    <x v="517"/>
    <s v="University of Alberta"/>
    <x v="2"/>
    <x v="0"/>
    <s v="201405MOP"/>
    <x v="1"/>
    <s v="Nanodelivery Systems for Modulation of Chemotherapy Response in Invasive and Metastatic Breast Cancer"/>
    <n v="100000"/>
    <n v="0"/>
    <s v="1 yr 0 mth "/>
    <x v="0"/>
    <x v="20"/>
    <s v="Nanodelivery, Chemotherapy, Breast Cancer"/>
    <n v="1"/>
    <s v="zN/A"/>
    <n v="0"/>
    <s v="zN/A"/>
    <s v="Lavasanifar, Afsaneh"/>
  </r>
  <r>
    <x v="518"/>
    <s v="University of Saskatchewan"/>
    <x v="6"/>
    <x v="13"/>
    <s v="202005VR3"/>
    <x v="12"/>
    <s v="BLT-Lung mice for the rapid evaluation of COVID-19 therapeutics"/>
    <n v="267258"/>
    <n v="0"/>
    <s v="1 yr 0 mth "/>
    <x v="1"/>
    <x v="2"/>
    <s v="BLT, COVID-19, mice"/>
    <n v="0"/>
    <s v="zN/A"/>
    <n v="0"/>
    <s v="zN/A"/>
    <s v="Lavender, Kerry J"/>
  </r>
  <r>
    <x v="519"/>
    <s v="Université de Sherbrooke"/>
    <x v="4"/>
    <x v="1"/>
    <s v="201803PJT"/>
    <x v="3"/>
    <s v="Development of cancer therapies targeting Myc with cell penetrating b-HLH-LZ domains"/>
    <n v="868276"/>
    <n v="0"/>
    <s v="5 yrs 0 mth "/>
    <x v="0"/>
    <x v="7"/>
    <s v="cancer, Myc, cell penetrating"/>
    <n v="0"/>
    <s v="zN/A"/>
    <n v="0"/>
    <s v="zN/A"/>
    <s v="Lavigne, Pierre"/>
  </r>
  <r>
    <x v="520"/>
    <s v="University of Waterloo (Ontario)"/>
    <x v="1"/>
    <x v="6"/>
    <s v="201410CPG"/>
    <x v="8"/>
    <s v="A framework for hybrid machine and human computation for the accurate and scalable analysis of human clinical EEG recordings"/>
    <n v="218374"/>
    <n v="0"/>
    <s v="3 yrs 0 mth "/>
    <x v="4"/>
    <x v="6"/>
    <s v="machine, EEG, analysis"/>
    <n v="0"/>
    <s v="zN/A"/>
    <n v="0"/>
    <s v="zN/A"/>
    <s v="Law, Edith"/>
  </r>
  <r>
    <x v="521"/>
    <s v="University of Alberta"/>
    <x v="2"/>
    <x v="0"/>
    <s v="201309MOP"/>
    <x v="0"/>
    <s v="Mechanisms of arsenic carcinogenesis"/>
    <n v="702720"/>
    <n v="0"/>
    <s v="4 yrs 0 mth "/>
    <x v="0"/>
    <x v="9"/>
    <s v="arsenic, carcinogenesis"/>
    <n v="0"/>
    <s v="zN/A"/>
    <n v="0"/>
    <s v="zN/A"/>
    <s v="Le, Xiaochun C"/>
  </r>
  <r>
    <x v="522"/>
    <s v="Western University (Ontario)"/>
    <x v="1"/>
    <x v="6"/>
    <s v="201510CPG"/>
    <x v="8"/>
    <s v="CCN3: a novel antifibrotic treatment?"/>
    <n v="274797"/>
    <n v="0"/>
    <s v="3 yrs 0 mth "/>
    <x v="5"/>
    <x v="4"/>
    <s v="CCN3, antifibrotic"/>
    <n v="0"/>
    <s v="zN/A"/>
    <n v="0"/>
    <s v="zN/A"/>
    <s v="Leask, Andrew C"/>
  </r>
  <r>
    <x v="523"/>
    <s v="McGill University"/>
    <x v="4"/>
    <x v="0"/>
    <s v="201109MOP"/>
    <x v="9"/>
    <s v="Endothelial Cell Biomechanics: The mechanotransduction of wall shear stress gradients"/>
    <n v="433200"/>
    <n v="0"/>
    <s v="4 yrs 0 mth "/>
    <x v="3"/>
    <x v="15"/>
    <s v="Endothelial cells, Biomechanics, Mechanotransduction"/>
    <n v="0"/>
    <s v="zN/A"/>
    <n v="0"/>
    <s v="zN/A"/>
    <s v="Leask, Richard L"/>
  </r>
  <r>
    <x v="524"/>
    <s v="Polytechnique Montréal"/>
    <x v="4"/>
    <x v="6"/>
    <s v="201310CPG"/>
    <x v="8"/>
    <s v="Optical guidance for safe and effective brain tumor biopsy"/>
    <n v="211407"/>
    <n v="0"/>
    <s v="3 yrs 0 mth "/>
    <x v="0"/>
    <x v="9"/>
    <s v="Optical guidance, brain tumor, biopsy"/>
    <n v="3"/>
    <s v="zN/A"/>
    <n v="0"/>
    <s v="zN/A"/>
    <s v="Leblond, Frederic"/>
  </r>
  <r>
    <x v="524"/>
    <s v="Polytechnique Montréal"/>
    <x v="4"/>
    <x v="6"/>
    <s v="201510CPG"/>
    <x v="8"/>
    <s v="Development and clinical translation of a Raman spectroscopy imaging technique to increase the extent of tumor resection in glioma surgery"/>
    <n v="264929"/>
    <n v="0"/>
    <s v="3 yrs 0 mth "/>
    <x v="0"/>
    <x v="4"/>
    <s v="Raman spectroscopy, imaging, glioma"/>
    <n v="2"/>
    <s v="zN/A"/>
    <n v="0"/>
    <s v="zN/A"/>
    <s v="Leblond, Frederic"/>
  </r>
  <r>
    <x v="525"/>
    <s v="Dalhousie University (Nova Scotia)"/>
    <x v="5"/>
    <x v="0"/>
    <s v="201309MOP"/>
    <x v="9"/>
    <s v="Mechanical Overload in Tendons Produces Characteristic Nanoscaled Damage to Collagen Fibrils which Activates Cellular Remodelling"/>
    <n v="383948"/>
    <n v="0"/>
    <s v="4 yrs 0 mth "/>
    <x v="5"/>
    <x v="9"/>
    <s v="Mechanical overload, collagen fibrils, cellular remodelling"/>
    <n v="1"/>
    <s v="zN/A"/>
    <n v="0"/>
    <s v="zN/A"/>
    <s v="Lee, J. M"/>
  </r>
  <r>
    <x v="526"/>
    <s v="Sunnybrook Research Institute (Toronto, Ontario)"/>
    <x v="1"/>
    <x v="48"/>
    <s v="201310CEA"/>
    <x v="21"/>
    <s v="Predicting Emergency Delirium with an Interactive Computer Tablet(PreDICT)"/>
    <n v="89178"/>
    <n v="1759"/>
    <s v="1 yr 0 mth "/>
    <x v="6"/>
    <x v="54"/>
    <s v="Emergency, Delirium, Tablet"/>
    <n v="0"/>
    <s v="zN/A"/>
    <n v="0"/>
    <s v="zN/A"/>
    <s v="Lee, Jacques S"/>
  </r>
  <r>
    <x v="527"/>
    <s v="University of Calgary"/>
    <x v="2"/>
    <x v="1"/>
    <s v="202309PJT"/>
    <x v="3"/>
    <s v="Investigating how double-negative T cells affect anti-leukemic and GvHD-inducing activities of conventional T cells"/>
    <n v="1013625"/>
    <n v="0"/>
    <s v="5 yrs 0 mth "/>
    <x v="0"/>
    <x v="33"/>
    <s v="double-negative T cells, leukemia, GvHD"/>
    <n v="0"/>
    <s v="zN/A"/>
    <n v="0"/>
    <s v="zN/A"/>
    <s v="Lee, Jong Bok"/>
  </r>
  <r>
    <x v="528"/>
    <s v="Dalhousie University (Nova Scotia)"/>
    <x v="5"/>
    <x v="0"/>
    <s v="200903MOP"/>
    <x v="0"/>
    <s v="Involvement of the DNA-dependent protein kinase (DNA-PK) in p53-mediated apoptosis."/>
    <n v="648339"/>
    <n v="0"/>
    <s v="5 yrs 0 mth "/>
    <x v="0"/>
    <x v="5"/>
    <s v="DNA-PK, p53, apoptosis"/>
    <n v="0"/>
    <s v="zN/A"/>
    <n v="0"/>
    <s v="zN/A"/>
    <s v="Lee, Patrick W"/>
  </r>
  <r>
    <x v="528"/>
    <s v="Dalhousie University (Nova Scotia)"/>
    <x v="5"/>
    <x v="0"/>
    <s v="201405MOP"/>
    <x v="0"/>
    <s v="The role of NMNAT2, a new p53 target gene, in feedback regulation of p53 function via the SIRT deacetylases."/>
    <n v="100000"/>
    <n v="0"/>
    <s v="1 yr 0 mth "/>
    <x v="0"/>
    <x v="20"/>
    <s v="NMNAT2,p53,SIRT"/>
    <n v="0"/>
    <s v="zN/A"/>
    <n v="0"/>
    <s v="zN/A"/>
    <s v="Lee, Patrick W"/>
  </r>
  <r>
    <x v="528"/>
    <s v="Dalhousie University (Nova Scotia)"/>
    <x v="5"/>
    <x v="0"/>
    <s v="201503MOP"/>
    <x v="0"/>
    <s v="The role of NMNAT2, a new p53 target gene, in feedback regulation of p53 function via the SIRT deacetylases."/>
    <n v="570028"/>
    <n v="0"/>
    <s v="4 yrs 0 mth "/>
    <x v="0"/>
    <x v="19"/>
    <s v="NMNAT2,p53,SIRT"/>
    <n v="0"/>
    <s v="zN/A"/>
    <n v="0"/>
    <s v="zN/A"/>
    <s v="Lee, Patrick W"/>
  </r>
  <r>
    <x v="529"/>
    <s v="University of Toronto"/>
    <x v="1"/>
    <x v="0"/>
    <s v="201103MOP"/>
    <x v="9"/>
    <s v="Novel Nitric Oxide Delivery System for Wound Healing"/>
    <n v="276484"/>
    <n v="0"/>
    <s v="3 yrs 0 mth "/>
    <x v="9"/>
    <x v="17"/>
    <s v="Nitric Oxide, Delivery System, Wound Healing"/>
    <n v="6"/>
    <s v="zN/A"/>
    <n v="0"/>
    <s v="zN/A"/>
    <s v="Lee, Ping I"/>
  </r>
  <r>
    <x v="530"/>
    <s v="University of Ottawa"/>
    <x v="1"/>
    <x v="1"/>
    <s v="202104PJT"/>
    <x v="0"/>
    <s v="Hypoxic-specific activation of natural killer cells: Being resilient in the tumor microenvironment"/>
    <n v="918000"/>
    <n v="0"/>
    <s v="5 yrs 0 mth "/>
    <x v="0"/>
    <x v="35"/>
    <s v="hypoxic, natural killer cells, tumor microenvironment"/>
    <n v="0"/>
    <s v="zN/A"/>
    <n v="0"/>
    <s v="zN/A"/>
    <s v="Lee, Seung-Hwan"/>
  </r>
  <r>
    <x v="530"/>
    <s v="University of Ottawa"/>
    <x v="1"/>
    <x v="1"/>
    <s v="202403PJT"/>
    <x v="0"/>
    <s v="Developing Natural Killer Cell-Mediated Combination Immunotherapies for the Treatment of Multiple Myeloma"/>
    <n v="1162800"/>
    <n v="0"/>
    <s v="5 yrs 0 mth "/>
    <x v="0"/>
    <x v="38"/>
    <s v="Natural Killer, Immunotherapies, Multiple Myeloma"/>
    <n v="0"/>
    <s v="zN/A"/>
    <n v="0"/>
    <s v="zN/A"/>
    <s v="Lee, Seung-Hwan"/>
  </r>
  <r>
    <x v="531"/>
    <s v="University of British Columbia"/>
    <x v="3"/>
    <x v="15"/>
    <s v="201003IMH"/>
    <x v="6"/>
    <s v="Depth-sensitive low-coherent speckle technique for skin lesion differentiation"/>
    <n v="85212"/>
    <n v="0"/>
    <s v="1 yr 0 mth "/>
    <x v="0"/>
    <x v="21"/>
    <s v="depth, speckle, skin lesion"/>
    <n v="0"/>
    <s v="zN/A"/>
    <n v="0"/>
    <s v="zN/A"/>
    <s v="Lee, Tim K"/>
  </r>
  <r>
    <x v="532"/>
    <s v="London Health Sciences Centre Res. Inc. (Ont.)"/>
    <x v="1"/>
    <x v="0"/>
    <s v="201103MOP"/>
    <x v="6"/>
    <s v="Quantitative CT Myocardial Perfusion Imaging"/>
    <n v="456711"/>
    <n v="0"/>
    <s v="4 yrs 0 mth "/>
    <x v="3"/>
    <x v="17"/>
    <s v="CT, Myocardial Perfusion, Imaging"/>
    <n v="3"/>
    <s v="zN/A"/>
    <n v="0"/>
    <s v="zN/A"/>
    <s v="Lee, Ting-Yim"/>
  </r>
  <r>
    <x v="532"/>
    <s v="London Health Sciences Centre Res. Inc. (Ont.)"/>
    <x v="1"/>
    <x v="1"/>
    <s v="201804PJT"/>
    <x v="6"/>
    <s v="Selective Brain Hypothermia via Intranasal Cooling to Limit Brain Injury  Post Cardiac Arrest"/>
    <n v="100000"/>
    <n v="0"/>
    <s v="1 yr 0 mth "/>
    <x v="3"/>
    <x v="22"/>
    <s v="brain injury, hypothermia, intranasal cooling"/>
    <n v="0"/>
    <s v="zN/A"/>
    <n v="0"/>
    <s v="zN/A"/>
    <s v="Lee, Ting-Yim"/>
  </r>
  <r>
    <x v="532"/>
    <s v="London Health Sciences Centre Res. Inc. (Ont.)"/>
    <x v="1"/>
    <x v="1"/>
    <s v="201909PJT"/>
    <x v="6"/>
    <s v="Selective Brain Hypothermia via Intranasal Cooling to Limit Brain Injury Post Cardiac Arrest"/>
    <n v="543152"/>
    <n v="0"/>
    <s v="4 yrs 0 mth "/>
    <x v="3"/>
    <x v="22"/>
    <s v="brain, hypothermia, cooling"/>
    <n v="0"/>
    <s v="zN/A"/>
    <n v="0"/>
    <s v="zN/A"/>
    <s v="Lee, Ting-Yim"/>
  </r>
  <r>
    <x v="533"/>
    <s v="University of Toronto"/>
    <x v="1"/>
    <x v="6"/>
    <s v="201711CPG"/>
    <x v="8"/>
    <s v="Development of a lung ultrasound therapy system for acute respiratory distress syndrome"/>
    <n v="362865"/>
    <n v="0"/>
    <s v="3 yrs 0 mth "/>
    <x v="3"/>
    <x v="11"/>
    <s v="lung, ultrasound, respiratory distress"/>
    <n v="2"/>
    <s v="zN/A"/>
    <n v="0"/>
    <s v="zN/A"/>
    <s v="Lee, Warren L"/>
  </r>
  <r>
    <x v="534"/>
    <s v="University of Calgary"/>
    <x v="2"/>
    <x v="0"/>
    <s v="201203MOP"/>
    <x v="0"/>
    <s v="Regulation of PNKP and XRCC4 in non-homologous end-joining by dynamic, reversible protein phosphorylation."/>
    <n v="978301"/>
    <n v="0"/>
    <s v="5 yrs 0 mth "/>
    <x v="0"/>
    <x v="12"/>
    <s v="PNKP, XRCC4, end-joining"/>
    <n v="0"/>
    <s v="zN/A"/>
    <n v="0"/>
    <s v="zN/A"/>
    <s v="Lees-Miller, Susan P"/>
  </r>
  <r>
    <x v="535"/>
    <s v="Université Laval"/>
    <x v="4"/>
    <x v="14"/>
    <s v="201706PCG"/>
    <x v="14"/>
    <s v="Analytical mobile application to support shared decision making for pregnant women"/>
    <n v="199888"/>
    <n v="0"/>
    <s v="2 yrs 0 mth "/>
    <x v="11"/>
    <x v="30"/>
    <s v="mobile application, shared decision making, pregnant women"/>
    <n v="0"/>
    <s v="zN/A"/>
    <n v="0"/>
    <s v="zN/A"/>
    <s v="Legare, France"/>
  </r>
  <r>
    <x v="536"/>
    <s v="University of Alberta"/>
    <x v="2"/>
    <x v="13"/>
    <s v="202005VR3"/>
    <x v="12"/>
    <s v="Optimizing polar, small inhibitors of a viral cysteine protease to identify a lead for an oral COVID-19 treatment"/>
    <n v="585228"/>
    <n v="0"/>
    <s v="1 yr 0 mth "/>
    <x v="1"/>
    <x v="2"/>
    <s v="polar, inhibitors, cysteine protease"/>
    <n v="3"/>
    <s v="zN/A"/>
    <n v="0"/>
    <s v="zN/A"/>
    <s v="Lemieux, Joanne M"/>
  </r>
  <r>
    <x v="537"/>
    <s v="University of Alberta"/>
    <x v="2"/>
    <x v="10"/>
    <s v="202309PLL"/>
    <x v="1"/>
    <s v="Role of USP7 and Potential Therapy in Human Cancers."/>
    <n v="100000"/>
    <n v="0"/>
    <s v="1 yr 0 mth "/>
    <x v="0"/>
    <x v="37"/>
    <s v="USP7, Cancer, Therapy"/>
    <n v="0"/>
    <s v="zN/A"/>
    <n v="0"/>
    <s v="zN/A"/>
    <s v="Leng, Roger P"/>
  </r>
  <r>
    <x v="538"/>
    <s v="McMaster University"/>
    <x v="1"/>
    <x v="9"/>
    <s v="202403NW3"/>
    <x v="11"/>
    <s v="Development of a Novel Non-Surgical Endometriosis Diagnostic by Combining an Ultrasound-Based Procedure with Single Molecule Arrays (SIMOA)"/>
    <n v="598183"/>
    <n v="0"/>
    <s v="2 yrs 10 mths "/>
    <x v="8"/>
    <x v="27"/>
    <s v="Endometriosis, Ultrasound, SIMOA"/>
    <n v="0"/>
    <s v="zN/A"/>
    <n v="0"/>
    <s v="zN/A"/>
    <s v="Leonardi, Mathew"/>
  </r>
  <r>
    <x v="539"/>
    <s v="Sunnybrook Research Institute (Toronto, Ontario)"/>
    <x v="1"/>
    <x v="1"/>
    <s v="202203PJT"/>
    <x v="1"/>
    <s v="'Two-Step Authentication' for Optimal Prostate Cancer Risk Determination: An &quot;Extracellular Vesicle&quot;-Based Liquid Biopsy Followed by Multi-Parametric MRI."/>
    <n v="1637100"/>
    <n v="0"/>
    <s v="5 yrs 0 mth "/>
    <x v="0"/>
    <x v="3"/>
    <s v="Extracellular Vesicle, Liquid Biopsy, MRI"/>
    <n v="1"/>
    <s v="zN/A"/>
    <n v="0"/>
    <s v="zN/A"/>
    <s v="Leong, Hon Sing"/>
  </r>
  <r>
    <x v="540"/>
    <s v="Université de Sherbrooke"/>
    <x v="4"/>
    <x v="0"/>
    <s v="200809MOP"/>
    <x v="6"/>
    <s v="Pharmacokinetic modeling: Validation of DCE-MRI and PET/MRI combination"/>
    <n v="306240"/>
    <n v="0"/>
    <s v="3 yrs 0 mth "/>
    <x v="0"/>
    <x v="0"/>
    <s v="pharmacokinetic, DCE-MRI, PET/MRI"/>
    <n v="0"/>
    <s v="zN/A"/>
    <n v="0"/>
    <s v="zN/A"/>
    <s v="Lepage, Martin"/>
  </r>
  <r>
    <x v="540"/>
    <s v="Université de Sherbrooke"/>
    <x v="4"/>
    <x v="0"/>
    <s v="201203MOP"/>
    <x v="6"/>
    <s v="Imaging important steps in the formation of brain metastases"/>
    <n v="582717"/>
    <n v="0"/>
    <s v="5 yrs 0 mth "/>
    <x v="0"/>
    <x v="12"/>
    <s v="imaging, brain metastases, formation"/>
    <n v="0"/>
    <s v="zN/A"/>
    <n v="0"/>
    <s v="zN/A"/>
    <s v="Lepage, Martin"/>
  </r>
  <r>
    <x v="540"/>
    <s v="CIUSSS de l'Ouest-de-l'Ile-de-Montréal-Douglas Hospital"/>
    <x v="4"/>
    <x v="3"/>
    <s v="201503IPR"/>
    <x v="4"/>
    <s v="Aripiprazole Long Acting Injectable (ALAI), its potential enhancing effect on memory and associated neural structures: A longitudinal brain imaging study in first-episode psychosis"/>
    <n v="568337"/>
    <n v="0"/>
    <s v="5 yrs 0 mth "/>
    <x v="4"/>
    <x v="46"/>
    <s v="Aripiprazole, Injectable, Brain imaging"/>
    <n v="0"/>
    <s v="zN/A"/>
    <n v="0"/>
    <s v="zN/A"/>
    <s v="Lepage, Martin"/>
  </r>
  <r>
    <x v="540"/>
    <s v="Université de Sherbrooke"/>
    <x v="4"/>
    <x v="1"/>
    <s v="202109PJT"/>
    <x v="6"/>
    <s v="Imaging the contribution of early cerebrovascular inflammation in Alzheimer's disease"/>
    <n v="1002150"/>
    <n v="0"/>
    <s v="5 yrs 0 mth "/>
    <x v="4"/>
    <x v="25"/>
    <s v="imaging, cerebrovascular, Alzheimer's"/>
    <n v="0"/>
    <s v="zN/A"/>
    <n v="0"/>
    <s v="zN/A"/>
    <s v="Lepage, Martin"/>
  </r>
  <r>
    <x v="541"/>
    <s v="Hospital for Sick Children (Toronto)"/>
    <x v="1"/>
    <x v="0"/>
    <s v="201003MOP"/>
    <x v="6"/>
    <s v="Where is Autism Located in the Brain?"/>
    <n v="761924"/>
    <n v="0"/>
    <s v="5 yrs 0 mth "/>
    <x v="2"/>
    <x v="21"/>
    <s v="Autism, Brain, Localization"/>
    <n v="0"/>
    <s v="zN/A"/>
    <n v="0"/>
    <s v="zN/A"/>
    <s v="Lerch, Jason P"/>
  </r>
  <r>
    <x v="541"/>
    <s v="Hospital for Sick Children (Toronto)"/>
    <x v="1"/>
    <x v="0"/>
    <s v="201203MOP"/>
    <x v="6"/>
    <s v="Deciphering the bases of sex differences in the brain and their role in psychiatric disorders"/>
    <n v="779591"/>
    <n v="0"/>
    <s v="5 yrs 0 mth "/>
    <x v="4"/>
    <x v="12"/>
    <s v="sex differences, brain, psychiatric disorders"/>
    <n v="0"/>
    <s v="zN/A"/>
    <n v="0"/>
    <s v="zN/A"/>
    <s v="Lerch, Jason P"/>
  </r>
  <r>
    <x v="541"/>
    <s v="Hospital for Sick Children (Toronto)"/>
    <x v="1"/>
    <x v="0"/>
    <s v="201403MOP"/>
    <x v="6"/>
    <s v="Magnetic resonance imaging of brain plasticity"/>
    <n v="694870"/>
    <n v="0"/>
    <s v="5 yrs 0 mth "/>
    <x v="4"/>
    <x v="18"/>
    <s v="Magnetic resonance, brain, plasticity"/>
    <n v="0"/>
    <s v="zN/A"/>
    <n v="0"/>
    <s v="zN/A"/>
    <s v="Lerch, Jason P"/>
  </r>
  <r>
    <x v="542"/>
    <s v="École de technologie supérieure (Montréal)"/>
    <x v="4"/>
    <x v="6"/>
    <s v="201210CPG"/>
    <x v="8"/>
    <s v="Innovative vascular implants based on electrospinning and bioactive coatings"/>
    <n v="305350"/>
    <n v="0"/>
    <s v="3 yrs 0 mth "/>
    <x v="3"/>
    <x v="14"/>
    <s v="vascular, electrospinning, bioactive"/>
    <n v="2"/>
    <s v="zN/A"/>
    <n v="0"/>
    <s v="zN/A"/>
    <s v="Lerouge, Sophie"/>
  </r>
  <r>
    <x v="542"/>
    <s v="École de technologie supérieure (Montréal)"/>
    <x v="4"/>
    <x v="6"/>
    <s v="201610CPG"/>
    <x v="8"/>
    <s v="Injectable bioactive hydrogel for the regeneration of intervertebral disc"/>
    <n v="298387"/>
    <n v="0"/>
    <s v="3 yrs 0 mth "/>
    <x v="5"/>
    <x v="24"/>
    <s v="bioactive, hydrogel, intervertebral disc"/>
    <n v="0"/>
    <s v="zN/A"/>
    <n v="0"/>
    <s v="zN/A"/>
    <s v="Lerouge, Sophie"/>
  </r>
  <r>
    <x v="543"/>
    <s v="Montreal Heart Institute"/>
    <x v="4"/>
    <x v="5"/>
    <s v="201003NHG"/>
    <x v="7"/>
    <s v="Fast multispectral diffuse optical imager applied to pharmacokinetics of cancer."/>
    <n v="276850"/>
    <n v="0"/>
    <s v="3 yrs 0 mth "/>
    <x v="0"/>
    <x v="21"/>
    <s v="multispectral, diffuse optical, pharmacokinetics"/>
    <n v="0"/>
    <s v="zN/A"/>
    <n v="0"/>
    <s v="zN/A"/>
    <s v="Lesage, Frederic"/>
  </r>
  <r>
    <x v="543"/>
    <s v="Polytechnique Montréal"/>
    <x v="4"/>
    <x v="0"/>
    <s v="201203MOP"/>
    <x v="6"/>
    <s v="Functionalized nanoparticles applied to photoacoustic molecular imaging of atherosclerotic plaque."/>
    <n v="424935"/>
    <n v="0"/>
    <s v="5 yrs 0 mth "/>
    <x v="3"/>
    <x v="12"/>
    <s v="nanoparticles, photoacoustic, imaging"/>
    <n v="0"/>
    <s v="zN/A"/>
    <n v="0"/>
    <s v="zN/A"/>
    <s v="Lesage, Frederic"/>
  </r>
  <r>
    <x v="543"/>
    <s v="Polytechnique Montréal"/>
    <x v="4"/>
    <x v="6"/>
    <s v="201210CPG"/>
    <x v="8"/>
    <s v="EEG-fNIRS monitoring for critically ill patients"/>
    <n v="189250"/>
    <n v="0"/>
    <s v="3 yrs 0 mth "/>
    <x v="3"/>
    <x v="14"/>
    <s v="EEG,fNIRS,monitoring"/>
    <n v="0"/>
    <s v="zN/A"/>
    <n v="0"/>
    <s v="zN/A"/>
    <s v="Lesage, Frederic"/>
  </r>
  <r>
    <x v="543"/>
    <s v="Polytechnique Montréal"/>
    <x v="4"/>
    <x v="0"/>
    <s v="201303MOP"/>
    <x v="6"/>
    <s v="Microscopic underpinnings of brain oxygen delivery with aging."/>
    <n v="554138"/>
    <n v="0"/>
    <s v="5 yrs 0 mth "/>
    <x v="6"/>
    <x v="34"/>
    <s v="brain, oxygen, delivery"/>
    <n v="0"/>
    <s v="zN/A"/>
    <n v="0"/>
    <s v="zN/A"/>
    <s v="Lesage, Frederic"/>
  </r>
  <r>
    <x v="543"/>
    <s v="Polytechnique Montréal"/>
    <x v="4"/>
    <x v="6"/>
    <s v="201711CPG"/>
    <x v="8"/>
    <s v="Improving the identification of retinal biomarkers of Alzheimer disease in vivo"/>
    <n v="237423"/>
    <n v="22613"/>
    <s v="3 yrs 0 mth "/>
    <x v="6"/>
    <x v="11"/>
    <s v="retinal biomarkers, Alzheimer, in vivo"/>
    <n v="0"/>
    <s v="zN/A"/>
    <n v="0"/>
    <s v="zN/A"/>
    <s v="Lesage, Frederic"/>
  </r>
  <r>
    <x v="543"/>
    <s v="Polytechnique Montréal"/>
    <x v="4"/>
    <x v="6"/>
    <s v="201711CPG"/>
    <x v="8"/>
    <s v="Integrated time-domain micro-optode to facilitate long-term clinical fNIRS"/>
    <n v="249000"/>
    <n v="0"/>
    <s v="3 yrs 0 mth "/>
    <x v="4"/>
    <x v="11"/>
    <s v="micro-optode, fNIRS, time-domain"/>
    <n v="0"/>
    <s v="zN/A"/>
    <n v="0"/>
    <s v="zN/A"/>
    <s v="Lesage, Frederic"/>
  </r>
  <r>
    <x v="543"/>
    <s v="Polytechnique Montréal"/>
    <x v="4"/>
    <x v="1"/>
    <s v="202003PJT"/>
    <x v="6"/>
    <s v="Underpinning neuro-vascular decoupling in resting state networks of vascular diseases"/>
    <n v="761176"/>
    <n v="0"/>
    <s v="5 yrs 0 mth "/>
    <x v="3"/>
    <x v="39"/>
    <s v="neuro-vascular, decoupling, resting state networks"/>
    <n v="0"/>
    <s v="zN/A"/>
    <n v="0"/>
    <s v="zN/A"/>
    <s v="Lesage, Frederic"/>
  </r>
  <r>
    <x v="544"/>
    <s v="Dalhousie University (Nova Scotia)"/>
    <x v="5"/>
    <x v="1"/>
    <s v="202203PJT"/>
    <x v="1"/>
    <s v="Reconstructing the microbe-host interface in an advanced bioprinted co-culture system to study microbial community contributions to chemotherapy-induced oral mucositis"/>
    <n v="573750"/>
    <n v="0"/>
    <s v="5 yrs 0 mth "/>
    <x v="0"/>
    <x v="3"/>
    <s v="microbe-host, bioprinted, oral mucositis"/>
    <n v="0"/>
    <s v="zN/A"/>
    <n v="0"/>
    <s v="zN/A"/>
    <s v="Leung, Brendan M"/>
  </r>
  <r>
    <x v="545"/>
    <s v="Research Institute of the McGill University Health Centre"/>
    <x v="4"/>
    <x v="19"/>
    <s v="202307NWI"/>
    <x v="17"/>
    <s v="Short-term patient-derived ovarian cancer organoids for frontline drug sensitivity testing"/>
    <n v="150000"/>
    <n v="0"/>
    <s v="1 yr 0 mth "/>
    <x v="0"/>
    <x v="36"/>
    <s v="ovarian cancer, organoids, drug sensitivity"/>
    <n v="0"/>
    <s v="zN/A"/>
    <n v="0"/>
    <s v="zN/A"/>
    <s v="Leung, Shuk On A"/>
  </r>
  <r>
    <x v="546"/>
    <s v="University of Calgary"/>
    <x v="2"/>
    <x v="1"/>
    <s v="202203PJT"/>
    <x v="6"/>
    <s v="Identification of seizure-generating brain areas in drug-resistant epilepsy using dynamic resting-state fMRI"/>
    <n v="631126"/>
    <n v="0"/>
    <s v="5 yrs 0 mth "/>
    <x v="4"/>
    <x v="3"/>
    <s v="seizure, brain areas, fMRI"/>
    <n v="0"/>
    <s v="zN/A"/>
    <n v="0"/>
    <s v="zN/A"/>
    <s v="LeVan, Pierre"/>
  </r>
  <r>
    <x v="547"/>
    <s v="University of Calgary"/>
    <x v="2"/>
    <x v="28"/>
    <s v="201810APC"/>
    <x v="20"/>
    <s v="Reducing the burden of antimicrobial resistance via rapid diagnosis of urinary tract infections"/>
    <n v="675000"/>
    <n v="0"/>
    <s v="3 yrs 0 mth "/>
    <x v="1"/>
    <x v="43"/>
    <s v="antimicrobial resistance, rapid diagnosis, urinary tract infections"/>
    <n v="3"/>
    <s v="zN/A"/>
    <n v="0"/>
    <s v="zN/A"/>
    <s v="Lewis, Ian A"/>
  </r>
  <r>
    <x v="548"/>
    <s v="McGill University"/>
    <x v="4"/>
    <x v="1"/>
    <s v="201709PJT"/>
    <x v="9"/>
    <s v="Patient-specific computational models of vocal recovery from phonosurgery"/>
    <n v="558450"/>
    <n v="0"/>
    <s v="5 yrs 0 mth "/>
    <x v="10"/>
    <x v="11"/>
    <s v="computational models, vocal recovery, phonosurgery"/>
    <n v="0"/>
    <s v="zN/A"/>
    <n v="0"/>
    <s v="zN/A"/>
    <s v="Li-Jessen, Yee Key Nicole"/>
  </r>
  <r>
    <x v="549"/>
    <s v="University of Toronto"/>
    <x v="1"/>
    <x v="1"/>
    <s v="202403PJT"/>
    <x v="10"/>
    <s v="Nonviral Delivery of tRNA Therapeutics for Treating Cystic Fibrosis"/>
    <n v="1136026"/>
    <n v="0"/>
    <s v="5 yrs 0 mth "/>
    <x v="2"/>
    <x v="38"/>
    <s v="nonviral, tRNA, cystic fibrosis"/>
    <n v="0"/>
    <s v="zN/A"/>
    <n v="0"/>
    <s v="zN/A"/>
    <s v="Li, Bowen"/>
  </r>
  <r>
    <x v="550"/>
    <s v="University of British Columbia"/>
    <x v="3"/>
    <x v="4"/>
    <s v="201003IC1"/>
    <x v="0"/>
    <s v="The role of tumour suppressor ING1b in genomic stability upon replication stress"/>
    <n v="100000"/>
    <n v="0"/>
    <s v="1 yr 0 mth "/>
    <x v="0"/>
    <x v="55"/>
    <s v="tumour suppressor, genomic stability, replication stress"/>
    <n v="0"/>
    <s v="zN/A"/>
    <n v="0"/>
    <s v="zN/A"/>
    <s v="Li, Gang"/>
  </r>
  <r>
    <x v="550"/>
    <s v="University of British Columbia"/>
    <x v="3"/>
    <x v="0"/>
    <s v="201009MOP"/>
    <x v="0"/>
    <s v="The role of tumour suppressor ING1b in genomic stability upon replication stress"/>
    <n v="746213"/>
    <n v="0"/>
    <s v="5 yrs 0 mth "/>
    <x v="0"/>
    <x v="16"/>
    <s v="tumour suppressor, genomic stability, replication stress"/>
    <n v="0"/>
    <s v="zN/A"/>
    <n v="0"/>
    <s v="zN/A"/>
    <s v="Li, Gang"/>
  </r>
  <r>
    <x v="551"/>
    <s v="University of British Columbia"/>
    <x v="3"/>
    <x v="0"/>
    <s v="200903MOP"/>
    <x v="9"/>
    <s v="Molecular basis of tenascin elasticity and mechanotransduction"/>
    <n v="544236"/>
    <n v="0"/>
    <s v="5 yrs 0 mth "/>
    <x v="5"/>
    <x v="5"/>
    <s v="tenascin, elasticity, mechanotransduction"/>
    <n v="0"/>
    <s v="zN/A"/>
    <n v="0"/>
    <s v="zN/A"/>
    <s v="Li, Hongbin"/>
  </r>
  <r>
    <x v="551"/>
    <s v="University of British Columbia"/>
    <x v="3"/>
    <x v="1"/>
    <s v="202109PJT"/>
    <x v="9"/>
    <s v="The Molecular Mechanism of the Secretion of the Bacterial Toxin Adenylate Cyclase"/>
    <n v="726750"/>
    <n v="0"/>
    <s v="5 yrs 0 mth "/>
    <x v="3"/>
    <x v="25"/>
    <s v="bacterial toxin, adenylate cyclase, secretion"/>
    <n v="0"/>
    <s v="zN/A"/>
    <n v="0"/>
    <s v="zN/A"/>
    <s v="Li, Hongbin"/>
  </r>
  <r>
    <x v="551"/>
    <s v="University of British Columbia"/>
    <x v="3"/>
    <x v="1"/>
    <s v="202403PJT"/>
    <x v="9"/>
    <s v="Molecular Mechanism for the Regulation of Titin Elasticity and Myocardial Stiffness by Oxidative Stress"/>
    <n v="722926"/>
    <n v="0"/>
    <s v="5 yrs 0 mth "/>
    <x v="3"/>
    <x v="38"/>
    <s v="Titin, Elasticity, Oxidative Stress"/>
    <n v="0"/>
    <s v="zN/A"/>
    <n v="0"/>
    <s v="zN/A"/>
    <s v="Li, Hongbin"/>
  </r>
  <r>
    <x v="552"/>
    <s v="McGill University"/>
    <x v="4"/>
    <x v="1"/>
    <s v="201903PJT"/>
    <x v="9"/>
    <s v="Mechanically and Biologically Functional Adhesives for Intervertebral Disc Repair and Regeneration"/>
    <n v="520200"/>
    <n v="0"/>
    <s v="4 yrs 0 mth "/>
    <x v="5"/>
    <x v="1"/>
    <s v="Adhesives, Intervertebral Disc, Regeneration"/>
    <n v="1"/>
    <s v="zN/A"/>
    <n v="0"/>
    <s v="zN/A"/>
    <s v="Li, Jianyu"/>
  </r>
  <r>
    <x v="552"/>
    <s v="McGill University"/>
    <x v="4"/>
    <x v="1"/>
    <s v="202109PJT"/>
    <x v="9"/>
    <s v="Bioengineering Tough Blood Clots for Hemorrhage Control"/>
    <n v="677025"/>
    <n v="0"/>
    <s v="5 yrs 0 mth "/>
    <x v="3"/>
    <x v="25"/>
    <s v="Bioengineering, Blood Clots, Hemorrhage"/>
    <n v="0"/>
    <s v="zN/A"/>
    <n v="0"/>
    <s v="zN/A"/>
    <s v="Li, Jianyu"/>
  </r>
  <r>
    <x v="553"/>
    <s v="University of British Columbia"/>
    <x v="3"/>
    <x v="30"/>
    <s v="201210CEH"/>
    <x v="21"/>
    <s v="ANSWER-2: A biologic decision aid for patients with rheumatoid arthritis"/>
    <n v="96661"/>
    <n v="0"/>
    <s v="1 yr 0 mth "/>
    <x v="5"/>
    <x v="32"/>
    <s v="biologic, decision aid, rheumatoid arthritis"/>
    <n v="0"/>
    <s v="zN/A"/>
    <n v="0"/>
    <s v="zN/A"/>
    <s v="Li, Linda C"/>
  </r>
  <r>
    <x v="553"/>
    <s v="University of British Columbia"/>
    <x v="3"/>
    <x v="14"/>
    <s v="201706PCG"/>
    <x v="14"/>
    <s v="An app-based intervention to empower self-management for people with rheumatoid arthritis"/>
    <n v="200000"/>
    <n v="0"/>
    <s v="2 yrs 0 mth "/>
    <x v="11"/>
    <x v="30"/>
    <s v="app, self-management, rheumatoid arthritis"/>
    <n v="0"/>
    <s v="zN/A"/>
    <n v="0"/>
    <s v="zN/A"/>
    <s v="Li, Linda C"/>
  </r>
  <r>
    <x v="554"/>
    <s v="University of Toronto"/>
    <x v="1"/>
    <x v="6"/>
    <s v="201711CPG"/>
    <x v="8"/>
    <s v="Rescue Electrical Conduction of Heart Scar Tissue to Diminish Cardiac Arrhythmia"/>
    <n v="271119"/>
    <n v="0"/>
    <s v="3 yrs 0 mth "/>
    <x v="3"/>
    <x v="11"/>
    <s v="Electrical conduction, heart scar tissue, arrhythmia"/>
    <n v="3"/>
    <s v="zN/A"/>
    <n v="0"/>
    <s v="zN/A"/>
    <s v="Li, Ren-Ke"/>
  </r>
  <r>
    <x v="555"/>
    <s v="Western University (Ontario)"/>
    <x v="1"/>
    <x v="1"/>
    <s v="201809PJT"/>
    <x v="0"/>
    <s v="Novel anticancer immunotherapy targeting the molecular mechanisms of T cell suppression by immune checkpoints"/>
    <n v="956250"/>
    <n v="0"/>
    <s v="5 yrs 0 mth "/>
    <x v="0"/>
    <x v="26"/>
    <s v="anticancer, immunotherapy, immune checkpoints"/>
    <n v="0"/>
    <s v="zN/A"/>
    <n v="0"/>
    <s v="zN/A"/>
    <s v="Li, Shun-Cheng S"/>
  </r>
  <r>
    <x v="11"/>
    <s v="McMaster University"/>
    <x v="1"/>
    <x v="0"/>
    <s v="200810MOP"/>
    <x v="0"/>
    <s v="Developing RNA-cleaving DNAzymes as Molecular Tools for Cancer Study and as Cancer Therapeutics"/>
    <n v="89919"/>
    <n v="0"/>
    <s v="1 yr 0 mth "/>
    <x v="0"/>
    <x v="48"/>
    <s v="RNA, DNAzymes, Cancer"/>
    <n v="0"/>
    <s v="zN/A"/>
    <n v="0"/>
    <s v="zN/A"/>
    <s v="Li, Yingfu"/>
  </r>
  <r>
    <x v="11"/>
    <s v="McMaster University"/>
    <x v="1"/>
    <x v="0"/>
    <s v="200903MOP"/>
    <x v="0"/>
    <s v="Developing RNA-cleaving DNAzymes as Molecular Tools for Cancer Study and as Cancer Therapeutics"/>
    <n v="616690"/>
    <n v="0"/>
    <s v="5 yrs 0 mth "/>
    <x v="0"/>
    <x v="5"/>
    <s v="RNA, DNAzymes, Cancer"/>
    <n v="0"/>
    <s v="zN/A"/>
    <n v="0"/>
    <s v="zN/A"/>
    <s v="Li, Yingfu"/>
  </r>
  <r>
    <x v="11"/>
    <s v="McMaster University"/>
    <x v="1"/>
    <x v="6"/>
    <s v="201610CPG"/>
    <x v="8"/>
    <s v="Paper-based diagnostic device for colorectal cancer detection"/>
    <n v="402900"/>
    <n v="0"/>
    <s v="3 yrs 0 mth "/>
    <x v="0"/>
    <x v="24"/>
    <s v="paper, diagnostic, colorectal cancer"/>
    <n v="0"/>
    <s v="zN/A"/>
    <n v="0"/>
    <s v="zN/A"/>
    <s v="Li, Yingfu"/>
  </r>
  <r>
    <x v="11"/>
    <s v="McMaster University"/>
    <x v="1"/>
    <x v="18"/>
    <s v="202005VR2"/>
    <x v="16"/>
    <s v="A rapid at-home test for SARS-CoV-2"/>
    <n v="1314083"/>
    <n v="0"/>
    <s v="1 yr 0 mth "/>
    <x v="1"/>
    <x v="2"/>
    <s v="SARS-CoV-2, rapid test, at-home"/>
    <n v="9"/>
    <s v="zN/A"/>
    <n v="0"/>
    <s v="zN/A"/>
    <s v="Li, Yingfu"/>
  </r>
  <r>
    <x v="556"/>
    <s v="Hospital for Sick Children (Toronto)"/>
    <x v="1"/>
    <x v="18"/>
    <s v="202005VR2"/>
    <x v="16"/>
    <s v="A central role for the vascular endothelium in COVID-19 pathogenesis"/>
    <n v="583472"/>
    <n v="0"/>
    <s v="1 yr 0 mth "/>
    <x v="3"/>
    <x v="2"/>
    <s v="vascular endothelium, COVID-19, pathogenesis"/>
    <n v="0"/>
    <s v="zN/A"/>
    <n v="0"/>
    <s v="zN/A"/>
    <s v="Licht, Christoph"/>
  </r>
  <r>
    <x v="557"/>
    <s v="McMaster University"/>
    <x v="1"/>
    <x v="0"/>
    <s v="200810MOP"/>
    <x v="0"/>
    <s v="Determining the fate of tumour cells killed by an oncolytic virus."/>
    <n v="100000"/>
    <n v="0"/>
    <s v="1 yr 0 mth "/>
    <x v="0"/>
    <x v="48"/>
    <s v="oncolytic virus, tumour cells, fate"/>
    <n v="0"/>
    <s v="zN/A"/>
    <n v="0"/>
    <s v="zN/A"/>
    <s v="Lichty, Brian D"/>
  </r>
  <r>
    <x v="558"/>
    <s v="University Health Network (Toronto)"/>
    <x v="1"/>
    <x v="0"/>
    <s v="200809MOP"/>
    <x v="6"/>
    <s v="Delivery improvements for photodynamic therapy"/>
    <n v="451912"/>
    <n v="0"/>
    <s v="4 yrs 0 mth "/>
    <x v="0"/>
    <x v="0"/>
    <s v="delivery, photodynamic, therapy"/>
    <n v="3"/>
    <s v="zN/A"/>
    <n v="0"/>
    <s v="zN/A"/>
    <s v="Lilge, Lothar"/>
  </r>
  <r>
    <x v="558"/>
    <s v="University Health Network (Toronto)"/>
    <x v="1"/>
    <x v="0"/>
    <s v="200903MOP"/>
    <x v="6"/>
    <s v="Breast cancer risk assessment using optical transillumination spectroscopy"/>
    <n v="661302"/>
    <n v="0"/>
    <s v="5 yrs 0 mth "/>
    <x v="0"/>
    <x v="5"/>
    <s v="breast cancer, optical transillumination, spectroscopy"/>
    <n v="0"/>
    <s v="zN/A"/>
    <n v="0"/>
    <s v="zN/A"/>
    <s v="Lilge, Lothar"/>
  </r>
  <r>
    <x v="558"/>
    <s v="University Health Network (Toronto)"/>
    <x v="1"/>
    <x v="0"/>
    <s v="200909MOP"/>
    <x v="9"/>
    <s v="Lab-on-a-chip platform for single rare cell genomic and proteomic analysis"/>
    <n v="373708"/>
    <n v="0"/>
    <s v="4 yrs 0 mth "/>
    <x v="0"/>
    <x v="10"/>
    <s v="lab-on-a-chip, genomics, proteomics"/>
    <n v="0"/>
    <s v="zN/A"/>
    <n v="0"/>
    <s v="zN/A"/>
    <s v="Lilge, Lothar"/>
  </r>
  <r>
    <x v="559"/>
    <s v="Queen's University (Kingston, Ontario)"/>
    <x v="1"/>
    <x v="8"/>
    <s v="201103IRO"/>
    <x v="4"/>
    <s v="Evaluation of innovative therapeutic strategies for hemophilia A in a unique hemophilic dog colony."/>
    <n v="360000"/>
    <n v="0"/>
    <s v="3 yrs 0 mth "/>
    <x v="3"/>
    <x v="17"/>
    <s v="hemophilia A, therapeutic strategies, dog colony"/>
    <n v="0"/>
    <s v="zN/A"/>
    <n v="0"/>
    <s v="zN/A"/>
    <s v="Lillicrap, David P"/>
  </r>
  <r>
    <x v="559"/>
    <s v="Queen's University (Kingston, Ontario)"/>
    <x v="1"/>
    <x v="3"/>
    <s v="201403IPR"/>
    <x v="4"/>
    <s v="Evaluation of innovative therapeutic strategies for hemophilia A in a unique hemophilic dog colony."/>
    <n v="390000"/>
    <n v="0"/>
    <s v="3 yrs 0 mth "/>
    <x v="3"/>
    <x v="20"/>
    <s v="hemophilia A, therapeutic strategies, dog colony"/>
    <n v="0"/>
    <s v="zN/A"/>
    <n v="0"/>
    <s v="zN/A"/>
    <s v="Lillicrap, David P"/>
  </r>
  <r>
    <x v="560"/>
    <s v="Sunnybrook Research Institute (Toronto, Ontario)"/>
    <x v="1"/>
    <x v="1"/>
    <s v="202104PJT"/>
    <x v="6"/>
    <s v="Localization of epileptic spike generators using combined EEG and MRI"/>
    <n v="863530"/>
    <n v="0"/>
    <s v="5 yrs 0 mth "/>
    <x v="4"/>
    <x v="35"/>
    <s v="epileptic, EEG, MRI"/>
    <n v="1"/>
    <s v="zN/A"/>
    <n v="0"/>
    <s v="zN/A"/>
    <s v="Lin, Fa-Hsuan"/>
  </r>
  <r>
    <x v="561"/>
    <s v="University of Manitoba"/>
    <x v="0"/>
    <x v="6"/>
    <s v="201310CPG"/>
    <x v="8"/>
    <s v="Developing Novel Integrated Point-of-Care Systems for Chronic Kidney Disease Biomarkers Measurements"/>
    <n v="265170"/>
    <n v="0"/>
    <s v="3 yrs 0 mth "/>
    <x v="6"/>
    <x v="9"/>
    <s v="Point-of-Care, Biomarkers, Kidney Disease"/>
    <n v="3"/>
    <s v="zN/A"/>
    <n v="0"/>
    <s v="zN/A"/>
    <s v="Lin, Francis"/>
  </r>
  <r>
    <x v="4"/>
    <s v="University of British Columbia"/>
    <x v="3"/>
    <x v="1"/>
    <s v="202109PJT"/>
    <x v="3"/>
    <s v="PSMA/CAIX-targeting radioligands to improve the management of clear cell renal cell carcinoma"/>
    <n v="730575"/>
    <n v="0"/>
    <s v="5 yrs 0 mth "/>
    <x v="0"/>
    <x v="25"/>
    <s v="PSMA, CAIX, radioligands"/>
    <n v="0"/>
    <s v="zN/A"/>
    <n v="0"/>
    <s v="zN/A"/>
    <s v="Lin, Kuo-Shyan"/>
  </r>
  <r>
    <x v="562"/>
    <s v="Université Laval"/>
    <x v="4"/>
    <x v="0"/>
    <s v="200903MOP"/>
    <x v="5"/>
    <s v="Sulfatase and aromatase pathways for estradiol synthesis in human breast cancer cells, tissues and animal models: identifying a combinatory therapy"/>
    <n v="773023"/>
    <n v="0"/>
    <s v="5 yrs 0 mth "/>
    <x v="0"/>
    <x v="5"/>
    <s v="Sulfatase, aromatase, estradiol"/>
    <n v="1"/>
    <s v="zN/A"/>
    <n v="0"/>
    <s v="zN/A"/>
    <s v="Lin, Sheng-Xiang"/>
  </r>
  <r>
    <x v="563"/>
    <s v="Sunnybrook Research Institute (Toronto, Ontario)"/>
    <x v="1"/>
    <x v="51"/>
    <s v="202010PWW"/>
    <x v="3"/>
    <s v="A trial to evaluate the safety and feasibility of blood-brain brain opening using MRI-guided focused ultrasound in the treatment of Her2-positive breast cancer brain metastases"/>
    <n v="100000"/>
    <n v="0"/>
    <s v="1 yr 0 mth "/>
    <x v="0"/>
    <x v="56"/>
    <s v="MRI, focused ultrasound, brain metastases"/>
    <n v="1"/>
    <s v="zN/A"/>
    <n v="0"/>
    <s v="zN/A"/>
    <s v="Lipsman, Nir"/>
  </r>
  <r>
    <x v="564"/>
    <s v="Research Institute of the McGill University Health Centre"/>
    <x v="4"/>
    <x v="1"/>
    <s v="201909PJT"/>
    <x v="3"/>
    <s v="Ectopic reactivation of normally silenced germ cell programs contributes to genomic instability, carcinogenesis and cancer progression in Cutaneous T-Cell Lymphomas (CTCL)."/>
    <n v="573750"/>
    <n v="0"/>
    <s v="5 yrs 0 mth "/>
    <x v="0"/>
    <x v="22"/>
    <s v="ectopic reactivation, germ cell, lymphomas"/>
    <n v="0"/>
    <s v="zN/A"/>
    <n v="0"/>
    <s v="zN/A"/>
    <s v="Litvinov, Ivan V"/>
  </r>
  <r>
    <x v="565"/>
    <s v="University Health Network (Toronto)"/>
    <x v="1"/>
    <x v="0"/>
    <s v="200909MOP"/>
    <x v="0"/>
    <s v="Small Molecule Inhibitors Against a Novel Radio- and Chemo-sensitizing Target for Human Cancers"/>
    <n v="422554"/>
    <n v="0"/>
    <s v="3 yrs 0 mth "/>
    <x v="0"/>
    <x v="10"/>
    <s v="Small molecule, Inhibitors, Cancers"/>
    <n v="3"/>
    <s v="zN/A"/>
    <n v="0"/>
    <s v="zN/A"/>
    <s v="Liu, Fei-Fei"/>
  </r>
  <r>
    <x v="565"/>
    <s v="University Health Network (Toronto)"/>
    <x v="1"/>
    <x v="4"/>
    <s v="201009IC1"/>
    <x v="1"/>
    <s v="MicroRNA and mRNA Expression Profiling to Predict Outcome and Characterize the Cervix Cancer Microenvironment"/>
    <n v="100000"/>
    <n v="0"/>
    <s v="1 yr 0 mth "/>
    <x v="0"/>
    <x v="44"/>
    <s v="MicroRNA, mRNA, Cervix Cancer"/>
    <n v="0"/>
    <s v="zN/A"/>
    <n v="0"/>
    <s v="zN/A"/>
    <s v="Liu, Fei-Fei"/>
  </r>
  <r>
    <x v="565"/>
    <s v="University Health Network (Toronto)"/>
    <x v="1"/>
    <x v="0"/>
    <s v="201209MOP"/>
    <x v="1"/>
    <s v="Discovery and Characterization of UROD Inhibitors for Cancer Therapy"/>
    <n v="457488"/>
    <n v="0"/>
    <s v="3 yrs 0 mth "/>
    <x v="0"/>
    <x v="14"/>
    <s v="UROD, Inhibitors, Cancer"/>
    <n v="0"/>
    <s v="zN/A"/>
    <n v="0"/>
    <s v="zN/A"/>
    <s v="Liu, Fei-Fei"/>
  </r>
  <r>
    <x v="566"/>
    <s v="University Health Network (Toronto)"/>
    <x v="1"/>
    <x v="0"/>
    <s v="201203MOP"/>
    <x v="1"/>
    <s v="The Pharmacogenetics of Bevacizumab: A Companion Correlative Study of the Ovarian Cancer Clinical Trial, ICON7"/>
    <n v="390342"/>
    <n v="0"/>
    <s v="3 yrs 0 mth "/>
    <x v="0"/>
    <x v="12"/>
    <s v="Pharmacogenetics, Bevacizumab, Ovarian Cancer"/>
    <n v="0"/>
    <s v="zN/A"/>
    <n v="0"/>
    <s v="zN/A"/>
    <s v="Liu, Geoffrey"/>
  </r>
  <r>
    <x v="566"/>
    <s v="University Health Network (Toronto)"/>
    <x v="1"/>
    <x v="1"/>
    <s v="202003PJT"/>
    <x v="5"/>
    <s v="Organoids to guide Post-resistance Therapy In driver MutAted Lung cancers (OPTIMAL)"/>
    <n v="1147500"/>
    <n v="0"/>
    <s v="5 yrs 0 mth "/>
    <x v="0"/>
    <x v="39"/>
    <s v="Organoids, Lung cancers, Mutated"/>
    <n v="0"/>
    <s v="zN/A"/>
    <n v="0"/>
    <s v="zN/A"/>
    <s v="Liu, Geoffrey"/>
  </r>
  <r>
    <x v="567"/>
    <s v="University of Toronto"/>
    <x v="1"/>
    <x v="2"/>
    <s v="202005VR1"/>
    <x v="2"/>
    <s v="Development of safe and effective vaccines against COVID-19"/>
    <n v="416483"/>
    <n v="0"/>
    <s v="1 yr 0 mth "/>
    <x v="1"/>
    <x v="2"/>
    <s v="vaccines, COVID-19"/>
    <n v="2"/>
    <s v="zN/A"/>
    <n v="0"/>
    <s v="zN/A"/>
    <s v="Liu, Jun"/>
  </r>
  <r>
    <x v="568"/>
    <s v="Ottawa Heart Institute Research Corporation (Ontario)"/>
    <x v="1"/>
    <x v="3"/>
    <s v="201509IPR"/>
    <x v="4"/>
    <s v="Developing Novel Therapeutic Targets for Heart Failure"/>
    <n v="525000"/>
    <n v="0"/>
    <s v="5 yrs 0 mth "/>
    <x v="3"/>
    <x v="4"/>
    <s v="Therapeutic targets, Heart failure"/>
    <n v="6"/>
    <s v="zN/A"/>
    <n v="0"/>
    <s v="zN/A"/>
    <s v="Liu, Peter P"/>
  </r>
  <r>
    <x v="569"/>
    <s v="Sunnybrook Research Institute (Toronto, Ontario)"/>
    <x v="1"/>
    <x v="1"/>
    <s v="201809PJT"/>
    <x v="1"/>
    <s v="Non-invasive multi-omics urinary biomarkers to guide prostate cancer management"/>
    <n v="459000"/>
    <n v="0"/>
    <s v="3 yrs 0 mth "/>
    <x v="0"/>
    <x v="26"/>
    <s v="multi-omics, urinary biomarkers, prostate cancer"/>
    <n v="0"/>
    <s v="zN/A"/>
    <n v="0"/>
    <s v="zN/A"/>
    <s v="Liu, Stanley K"/>
  </r>
  <r>
    <x v="569"/>
    <s v="Sunnybrook Research Institute (Toronto, Ontario)"/>
    <x v="1"/>
    <x v="1"/>
    <s v="202303PJT"/>
    <x v="5"/>
    <s v="Primary prostate cancer cells as novel models for patient therapy prediction"/>
    <n v="883576"/>
    <n v="0"/>
    <s v="5 yrs 0 mth "/>
    <x v="0"/>
    <x v="13"/>
    <s v="prostate cancer, patient models, therapy prediction"/>
    <n v="0"/>
    <s v="zN/A"/>
    <n v="0"/>
    <s v="zN/A"/>
    <s v="Liu, Stanley K"/>
  </r>
  <r>
    <x v="570"/>
    <s v="University of Toronto"/>
    <x v="1"/>
    <x v="1"/>
    <s v="201803PJT"/>
    <x v="9"/>
    <s v="A Paper-based Microfluidic Platform for Automated Point-of-Care Diagnosis of Laryngopharyngeal Reflux"/>
    <n v="593640"/>
    <n v="0"/>
    <s v="4 yrs 0 mth "/>
    <x v="10"/>
    <x v="7"/>
    <s v="Microfluidic, Point-of-Care, Diagnosis"/>
    <n v="1"/>
    <s v="zN/A"/>
    <n v="0"/>
    <s v="zN/A"/>
    <s v="Liu, Xinyu"/>
  </r>
  <r>
    <x v="571"/>
    <s v="University of British Columbia"/>
    <x v="3"/>
    <x v="0"/>
    <s v="201503MOP"/>
    <x v="5"/>
    <s v="Longitudinal assessment of immune-tumor interactions during lung cancer progression"/>
    <n v="704111"/>
    <n v="0"/>
    <s v="5 yrs 0 mth "/>
    <x v="0"/>
    <x v="19"/>
    <s v="immune, tumor, lung"/>
    <n v="0"/>
    <s v="zN/A"/>
    <n v="0"/>
    <s v="zN/A"/>
    <s v="Lockwood, William W"/>
  </r>
  <r>
    <x v="571"/>
    <s v="University of British Columbia"/>
    <x v="3"/>
    <x v="1"/>
    <s v="201909PJT"/>
    <x v="3"/>
    <s v="The effects of smoking marijuana on lung cancer development: implications for screening and early detection."/>
    <n v="688500"/>
    <n v="0"/>
    <s v="3 yrs 0 mth "/>
    <x v="0"/>
    <x v="22"/>
    <s v="marijuana, lung cancer, screening"/>
    <n v="0"/>
    <s v="zN/A"/>
    <n v="0"/>
    <s v="zN/A"/>
    <s v="Lockwood, William W"/>
  </r>
  <r>
    <x v="571"/>
    <s v="University of British Columbia"/>
    <x v="3"/>
    <x v="1"/>
    <s v="202104PJT"/>
    <x v="3"/>
    <s v="Understanding the effects of ERK hyperactivation in cancer: implications for therapy"/>
    <n v="956250"/>
    <n v="0"/>
    <s v="5 yrs 0 mth "/>
    <x v="0"/>
    <x v="35"/>
    <s v="ERK, hyperactivation, cancer"/>
    <n v="0"/>
    <s v="zN/A"/>
    <n v="0"/>
    <s v="zN/A"/>
    <s v="Lockwood, William W"/>
  </r>
  <r>
    <x v="571"/>
    <s v="University of British Columbia"/>
    <x v="3"/>
    <x v="40"/>
    <s v="202209PJS"/>
    <x v="0"/>
    <s v="SNF2 Histone Linker PHD RING Helicase as a novel tumor suppressor gene and risk factor in lung adenocarcinoma development"/>
    <n v="100000"/>
    <n v="0"/>
    <s v="1 yr 0 mth "/>
    <x v="0"/>
    <x v="28"/>
    <s v="SNF2, histone, adenocarcinoma"/>
    <n v="0"/>
    <s v="zN/A"/>
    <n v="0"/>
    <s v="zN/A"/>
    <s v="Lockwood, William W"/>
  </r>
  <r>
    <x v="572"/>
    <s v="Sinai Health System (Toronto)"/>
    <x v="1"/>
    <x v="14"/>
    <s v="201706PCG"/>
    <x v="14"/>
    <s v="Security and authentication for large scale deployment of disease-specific applications for patients with serious and complex renal disease."/>
    <n v="200000"/>
    <n v="0"/>
    <s v="2 yrs 0 mth "/>
    <x v="11"/>
    <x v="30"/>
    <s v="security, authentication, renal disease"/>
    <n v="0"/>
    <s v="zN/A"/>
    <n v="0"/>
    <s v="zN/A"/>
    <s v="Logan, Alexander G"/>
  </r>
  <r>
    <x v="573"/>
    <s v="University Health Network (Toronto)"/>
    <x v="1"/>
    <x v="1"/>
    <s v="201909PJT"/>
    <x v="5"/>
    <s v="The SCF(FBXO11) - XAB2 axis mediates DNA repair and therapeutic resistance in small cell lung cancer"/>
    <n v="984555"/>
    <n v="0"/>
    <s v="5 yrs 0 mth "/>
    <x v="0"/>
    <x v="22"/>
    <s v="SCF, DNA repair, lung cancer"/>
    <n v="0"/>
    <s v="zN/A"/>
    <n v="0"/>
    <s v="zN/A"/>
    <s v="Lok, Benjamin"/>
  </r>
  <r>
    <x v="574"/>
    <s v="Ottawa Hospital Research Institute"/>
    <x v="1"/>
    <x v="0"/>
    <s v="201009MOP"/>
    <x v="5"/>
    <s v="Evaluation of protein kinase C iota as a target for glioblastoma therapy"/>
    <n v="326658"/>
    <n v="0"/>
    <s v="3 yrs 0 mth "/>
    <x v="0"/>
    <x v="16"/>
    <s v="protein kinase C, glioblastoma, target"/>
    <n v="0"/>
    <s v="zN/A"/>
    <n v="0"/>
    <s v="zN/A"/>
    <s v="Lorimer, Ian Anthony J"/>
  </r>
  <r>
    <x v="574"/>
    <s v="Ottawa Hospital Research Institute"/>
    <x v="1"/>
    <x v="0"/>
    <s v="201403MOP"/>
    <x v="5"/>
    <s v="Evaluation of protein kinase C iota as a target for glioblastoma therapy"/>
    <n v="567572"/>
    <n v="0"/>
    <s v="4 yrs 0 mth "/>
    <x v="0"/>
    <x v="18"/>
    <s v="protein kinase C, glioblastoma, target"/>
    <n v="0"/>
    <s v="zN/A"/>
    <n v="0"/>
    <s v="zN/A"/>
    <s v="Lorimer, Ian Anthony J"/>
  </r>
  <r>
    <x v="574"/>
    <s v="Ottawa Hospital Research Institute"/>
    <x v="1"/>
    <x v="1"/>
    <s v="202109PJT"/>
    <x v="5"/>
    <s v="A therapeutic strategy for PTEN tumour suppressor restoration in glioblastoma"/>
    <n v="738225"/>
    <n v="0"/>
    <s v="5 yrs 0 mth "/>
    <x v="0"/>
    <x v="25"/>
    <s v="PTEN, glioblastoma, tumor suppressor"/>
    <n v="0"/>
    <s v="zN/A"/>
    <n v="0"/>
    <s v="zN/A"/>
    <s v="Lorimer, Ian Anthony J"/>
  </r>
  <r>
    <x v="575"/>
    <s v="University of Waterloo (Ontario)"/>
    <x v="1"/>
    <x v="0"/>
    <s v="200909MOP"/>
    <x v="6"/>
    <s v="Molecular-Mechanism-Based Target Identification and Drug Discovery for Radiotherapy of Cancer"/>
    <n v="662867"/>
    <n v="0"/>
    <s v="5 yrs 0 mth "/>
    <x v="0"/>
    <x v="10"/>
    <s v="molecular, target, radiotherapy"/>
    <n v="3"/>
    <s v="zN/A"/>
    <n v="0"/>
    <s v="zN/A"/>
    <s v="Lu, Qing-Bin"/>
  </r>
  <r>
    <x v="575"/>
    <s v="University of Waterloo (Ontario)"/>
    <x v="1"/>
    <x v="1"/>
    <s v="201903PJT"/>
    <x v="6"/>
    <s v="Development of Novel Non-Platinum-Based Antitumor Agents for Natural Targeted Chemotherapy and Radiotherapy of Cervical, Lung and Ovarian Cancers"/>
    <n v="910350"/>
    <n v="0"/>
    <s v="5 yrs 0 mth "/>
    <x v="0"/>
    <x v="1"/>
    <s v="Non-Platinum, Antitumor, Chemotherapy"/>
    <n v="0"/>
    <s v="zN/A"/>
    <n v="0"/>
    <s v="zN/A"/>
    <s v="Lu, Qing-Bin"/>
  </r>
  <r>
    <x v="576"/>
    <s v="Université de Montréal"/>
    <x v="4"/>
    <x v="6"/>
    <s v="201310CPG"/>
    <x v="8"/>
    <s v="Treatment of Age Related Macular Degeneration with CD36 Receptor Modulators"/>
    <n v="541155"/>
    <n v="0"/>
    <s v="3 yrs 0 mth "/>
    <x v="6"/>
    <x v="9"/>
    <s v="Macular Degeneration, CD36, Receptor"/>
    <n v="3"/>
    <s v="zN/A"/>
    <n v="0"/>
    <s v="zN/A"/>
    <s v="Lubell, William D"/>
  </r>
  <r>
    <x v="576"/>
    <s v="Université de Montréal"/>
    <x v="4"/>
    <x v="6"/>
    <s v="201410CPG"/>
    <x v="8"/>
    <s v="Treatment of Preterm Birth with ProstaglandinF2alpha Receptor Modulators"/>
    <n v="429975"/>
    <n v="0"/>
    <s v="3 yrs 0 mth "/>
    <x v="6"/>
    <x v="6"/>
    <s v="Preterm Birth, ProstaglandinF2alpha, Receptor Modulators"/>
    <n v="0"/>
    <s v="zN/A"/>
    <n v="0"/>
    <s v="zN/A"/>
    <s v="Lubell, William D"/>
  </r>
  <r>
    <x v="576"/>
    <s v="Université de Montréal"/>
    <x v="4"/>
    <x v="6"/>
    <s v="201510CPG"/>
    <x v="8"/>
    <s v="Targeting the interleukin-1 receptor for treating ischemic eye diseases"/>
    <n v="375507"/>
    <n v="0"/>
    <s v="3 yrs 0 mth "/>
    <x v="6"/>
    <x v="4"/>
    <s v="interleukin-1 receptor, ischemic eye"/>
    <n v="1"/>
    <s v="zN/A"/>
    <n v="0"/>
    <s v="zN/A"/>
    <s v="Lubell, William D"/>
  </r>
  <r>
    <x v="576"/>
    <s v="Université de Montréal"/>
    <x v="4"/>
    <x v="6"/>
    <s v="201810CPG"/>
    <x v="8"/>
    <s v="Azacyclopeptide Modulators of Immuno-metabolism to Treat Age-Related Macular Degeneration"/>
    <n v="403623"/>
    <n v="48053"/>
    <s v="3 yrs 0 mth "/>
    <x v="6"/>
    <x v="26"/>
    <s v="Azacyclopeptide, Immuno-metabolism, Macular Degeneration"/>
    <n v="0"/>
    <s v="zN/A"/>
    <n v="0"/>
    <s v="zN/A"/>
    <s v="Lubell, William D"/>
  </r>
  <r>
    <x v="577"/>
    <s v="London Health Sciences Centre Res. Inc. (Ont.)"/>
    <x v="1"/>
    <x v="1"/>
    <s v="201809PJT"/>
    <x v="9"/>
    <s v="Therapeutic potential of bloodless oxygenated perfusion of donor kidneys for prolonged storage and protection for transplantation"/>
    <n v="520200"/>
    <n v="0"/>
    <s v="4 yrs 0 mth "/>
    <x v="2"/>
    <x v="26"/>
    <s v="bloodless, oxygenated perfusion, kidneys"/>
    <n v="0"/>
    <s v="zN/A"/>
    <n v="0"/>
    <s v="zN/A"/>
    <s v="Luke, Patrick"/>
  </r>
  <r>
    <x v="578"/>
    <s v="University of Saskatchewan"/>
    <x v="6"/>
    <x v="12"/>
    <s v="201003COP"/>
    <x v="5"/>
    <s v="The cellular implications of breast tumor kinase induction in mammary tumorigenesis."/>
    <n v="270471"/>
    <n v="0"/>
    <s v="3 yrs 0 mth "/>
    <x v="0"/>
    <x v="21"/>
    <s v="breast tumor kinase, mammary tumorigenesis, cellular implications"/>
    <n v="0"/>
    <s v="zN/A"/>
    <n v="0"/>
    <s v="zN/A"/>
    <s v="Lukong, Kiven E"/>
  </r>
  <r>
    <x v="579"/>
    <s v="University of Victoria (British Columbia)"/>
    <x v="3"/>
    <x v="1"/>
    <s v="201809PJT"/>
    <x v="0"/>
    <s v="Rewiring the Metabolic Ecosystem to Improve Cellular Immunotherapy"/>
    <n v="1082475"/>
    <n v="0"/>
    <s v="5 yrs 0 mth "/>
    <x v="0"/>
    <x v="26"/>
    <s v="metabolic, ecosystem, immunotherapy"/>
    <n v="1"/>
    <s v="zN/A"/>
    <n v="0"/>
    <s v="zN/A"/>
    <s v="Lum, Julian J"/>
  </r>
  <r>
    <x v="579"/>
    <s v="University of Victoria (British Columbia)"/>
    <x v="3"/>
    <x v="1"/>
    <s v="202309PJT"/>
    <x v="0"/>
    <s v="Metabolic Insights into Immune Suppression in Ovarian Cancer"/>
    <n v="1101600"/>
    <n v="0"/>
    <s v="5 yrs 0 mth "/>
    <x v="0"/>
    <x v="33"/>
    <s v="Metabolic, Immune Suppression, Ovarian Cancer"/>
    <n v="0"/>
    <s v="zN/A"/>
    <n v="0"/>
    <s v="zN/A"/>
    <s v="Lum, Julian J"/>
  </r>
  <r>
    <x v="580"/>
    <s v="University of Manitoba"/>
    <x v="0"/>
    <x v="44"/>
    <s v="200903CVC"/>
    <x v="24"/>
    <s v="ATTACKING HIV PROTEASE CLEAVAGE SITES WITH IMMUNIZATION - Explore the rapid mutation rate of HIV-1"/>
    <n v="100000"/>
    <n v="0"/>
    <s v="1 yr 0 mth "/>
    <x v="1"/>
    <x v="5"/>
    <s v="HIV, Protease, Immunization"/>
    <n v="1"/>
    <s v="zN/A"/>
    <n v="0"/>
    <s v="zN/A"/>
    <s v="Luo, Ma"/>
  </r>
  <r>
    <x v="581"/>
    <s v="University of British Columbia"/>
    <x v="3"/>
    <x v="0"/>
    <s v="201109MOP"/>
    <x v="9"/>
    <s v="Microfluidic Device to Measure the Deformability of Stored Red Blood Cells"/>
    <n v="318353"/>
    <n v="0"/>
    <s v="3 yrs 0 mth "/>
    <x v="3"/>
    <x v="15"/>
    <s v="microfluidic, deformability, red blood cells"/>
    <n v="0"/>
    <s v="zN/A"/>
    <n v="0"/>
    <s v="zN/A"/>
    <s v="Ma, Hongshen"/>
  </r>
  <r>
    <x v="581"/>
    <s v="University of British Columbia"/>
    <x v="3"/>
    <x v="0"/>
    <s v="201309MOP"/>
    <x v="9"/>
    <s v="Microfluidic Separation of Circulating Tumor Cells"/>
    <n v="632779"/>
    <n v="0"/>
    <s v="4 yrs 0 mth "/>
    <x v="0"/>
    <x v="9"/>
    <s v="microfluidic, circulating tumor cells"/>
    <n v="0"/>
    <s v="zN/A"/>
    <n v="0"/>
    <s v="zN/A"/>
    <s v="Ma, Hongshen"/>
  </r>
  <r>
    <x v="581"/>
    <s v="University of British Columbia"/>
    <x v="3"/>
    <x v="6"/>
    <s v="201610CPG"/>
    <x v="8"/>
    <s v="Development of Technologies for Rapid Isolation and Genome Sequencing of Single Circulating Tumor Cells in Prostate Cancer"/>
    <n v="489780"/>
    <n v="0"/>
    <s v="3 yrs 0 mth "/>
    <x v="0"/>
    <x v="24"/>
    <s v="isolation, genome sequencing, circulating tumor cells"/>
    <n v="0"/>
    <s v="zN/A"/>
    <n v="0"/>
    <s v="zN/A"/>
    <s v="Ma, Hongshen"/>
  </r>
  <r>
    <x v="581"/>
    <s v="University of British Columbia"/>
    <x v="3"/>
    <x v="6"/>
    <s v="201810CPG"/>
    <x v="8"/>
    <s v="Deformability based Cell Sorting Enabling Quality Control of Stored Red Blood Cells"/>
    <n v="312155"/>
    <n v="0"/>
    <s v="3 yrs 0 mth "/>
    <x v="3"/>
    <x v="26"/>
    <s v="Deformability, Cell Sorting, Red Blood Cells"/>
    <n v="0"/>
    <s v="zN/A"/>
    <n v="0"/>
    <s v="zN/A"/>
    <s v="Ma, Hongshen"/>
  </r>
  <r>
    <x v="581"/>
    <s v="University of British Columbia"/>
    <x v="3"/>
    <x v="1"/>
    <s v="202203PJT"/>
    <x v="10"/>
    <s v="Behaviour-based cell separation to interrogate host cell heterogeneity in CAR-T cell therapies"/>
    <n v="864450"/>
    <n v="0"/>
    <s v="5 yrs 0 mth "/>
    <x v="0"/>
    <x v="3"/>
    <s v="cell separation, CAR-T, heterogeneity"/>
    <n v="0"/>
    <s v="zN/A"/>
    <n v="0"/>
    <s v="zN/A"/>
    <s v="Ma, Hongshen"/>
  </r>
  <r>
    <x v="582"/>
    <s v="University of British Columbia"/>
    <x v="3"/>
    <x v="4"/>
    <s v="200809IC1"/>
    <x v="9"/>
    <s v="Static and Dynamic 3D Computer Model of Pre-Invasive Neoplastic Epithelial Tissues"/>
    <n v="100000"/>
    <n v="0"/>
    <s v="1 yr 0 mth "/>
    <x v="0"/>
    <x v="42"/>
    <s v="3D modeling, Neoplastic tissues, Epithelial"/>
    <n v="0"/>
    <s v="zN/A"/>
    <n v="0"/>
    <s v="zN/A"/>
    <s v="Macaulay, Calum E"/>
  </r>
  <r>
    <x v="582"/>
    <s v="University of British Columbia"/>
    <x v="3"/>
    <x v="11"/>
    <s v="200909IC3"/>
    <x v="9"/>
    <s v="A 3D cell-based computer model for a system biology approach to the study of intra epithelial neoplastic processes."/>
    <n v="100000"/>
    <n v="0"/>
    <s v="1 yr 0 mth "/>
    <x v="0"/>
    <x v="29"/>
    <s v="3D cell model, system biology, intra epithelial neoplastic"/>
    <n v="1"/>
    <s v="zN/A"/>
    <n v="0"/>
    <s v="zN/A"/>
    <s v="Macaulay, Calum E"/>
  </r>
  <r>
    <x v="582"/>
    <s v="University of British Columbia"/>
    <x v="3"/>
    <x v="6"/>
    <s v="201310CPG"/>
    <x v="8"/>
    <s v="Real-Time In Vivo Oral Pathology for Clinical Decision Making"/>
    <n v="289499"/>
    <n v="0"/>
    <s v="3 yrs 0 mth "/>
    <x v="0"/>
    <x v="9"/>
    <s v="Real-Time, In Vivo, Oral Pathology"/>
    <n v="2"/>
    <s v="zN/A"/>
    <n v="0"/>
    <s v="zN/A"/>
    <s v="Macaulay, Calum E"/>
  </r>
  <r>
    <x v="582"/>
    <s v="University of British Columbia"/>
    <x v="3"/>
    <x v="0"/>
    <s v="201503MOP"/>
    <x v="6"/>
    <s v="Multi-Scale Tissue System's Biology approach to Identify Lethal Prostate Cancer"/>
    <n v="511228"/>
    <n v="0"/>
    <s v="4 yrs 0 mth "/>
    <x v="0"/>
    <x v="19"/>
    <s v="Tissue, Prostate, Cancer"/>
    <n v="0"/>
    <s v="zN/A"/>
    <n v="0"/>
    <s v="zN/A"/>
    <s v="Macaulay, Calum E"/>
  </r>
  <r>
    <x v="582"/>
    <s v="University of British Columbia"/>
    <x v="3"/>
    <x v="1"/>
    <s v="202104PJT"/>
    <x v="6"/>
    <s v="Devices for Image-Guided Biopsy of Peripheral Lung Nodules"/>
    <n v="386326"/>
    <n v="0"/>
    <s v="3 yrs 0 mth "/>
    <x v="0"/>
    <x v="35"/>
    <s v="Image-Guided, Biopsy, Lung"/>
    <n v="1"/>
    <s v="zN/A"/>
    <n v="0"/>
    <s v="zN/A"/>
    <s v="Macaulay, Calum E"/>
  </r>
  <r>
    <x v="583"/>
    <s v="Hospital for Sick Children (Toronto)"/>
    <x v="1"/>
    <x v="0"/>
    <s v="200903MOP"/>
    <x v="6"/>
    <s v="MRI Assessment of Pulmonary Vascular Remodelling and Vasoconstriction in Pulmonary Hypertension"/>
    <n v="233833"/>
    <n v="0"/>
    <s v="3 yrs 0 mth "/>
    <x v="3"/>
    <x v="5"/>
    <s v="MRI, Pulmonary Vascular, Hypertension"/>
    <n v="0"/>
    <s v="zN/A"/>
    <n v="0"/>
    <s v="zN/A"/>
    <s v="Macgowan, Christopher K"/>
  </r>
  <r>
    <x v="583"/>
    <s v="Hospital for Sick Children (Toronto)"/>
    <x v="1"/>
    <x v="1"/>
    <s v="201909PJT"/>
    <x v="6"/>
    <s v="Hemodynamics of Pediatric Congenital Heart Disease Using Accelerated and Motion-Compensated MRI"/>
    <n v="722925"/>
    <n v="0"/>
    <s v="5 yrs 0 mth "/>
    <x v="3"/>
    <x v="22"/>
    <s v="Hemodynamics, MRI, Congenital Heart Disease"/>
    <n v="0"/>
    <s v="zN/A"/>
    <n v="0"/>
    <s v="zN/A"/>
    <s v="Macgowan, Christopher K"/>
  </r>
  <r>
    <x v="583"/>
    <s v="Hospital for Sick Children (Toronto)"/>
    <x v="1"/>
    <x v="1"/>
    <s v="202303PJT"/>
    <x v="6"/>
    <s v="Advanced Fetal MRI Methods to Evaluate Prenatal Organ Development and Predict Postnatal Outcome in Congenital Heart Disease"/>
    <n v="1048050"/>
    <n v="0"/>
    <s v="5 yrs 0 mth "/>
    <x v="3"/>
    <x v="13"/>
    <s v="Fetal MRI, Prenatal Organ Development, Congenital Heart Disease"/>
    <n v="0"/>
    <s v="zN/A"/>
    <n v="0"/>
    <s v="zN/A"/>
    <s v="Macgowan, Christopher K"/>
  </r>
  <r>
    <x v="584"/>
    <s v="Sunnybrook Research Institute (Toronto, Ontario)"/>
    <x v="1"/>
    <x v="1"/>
    <s v="201903PJT"/>
    <x v="6"/>
    <s v="Identifying vascular targets to treat cerebral small vessel disease"/>
    <n v="665550"/>
    <n v="0"/>
    <s v="5 yrs 0 mth "/>
    <x v="6"/>
    <x v="1"/>
    <s v="vascular, targets, vessel disease"/>
    <n v="0"/>
    <s v="zN/A"/>
    <n v="0"/>
    <s v="zN/A"/>
    <s v="MacIntosh, Bradley J"/>
  </r>
  <r>
    <x v="585"/>
    <s v="Brock University (Ontario)"/>
    <x v="1"/>
    <x v="19"/>
    <s v="202307NWI"/>
    <x v="17"/>
    <s v="Targeting BDNF signaling for postmenopausal brain health"/>
    <n v="130000"/>
    <n v="0"/>
    <s v="1 yr 0 mth "/>
    <x v="4"/>
    <x v="36"/>
    <s v="BDNF, signaling, brain health"/>
    <n v="0"/>
    <s v="zN/A"/>
    <n v="0"/>
    <s v="zN/A"/>
    <s v="MacPherson, Rebecca E"/>
  </r>
  <r>
    <x v="586"/>
    <s v="Université de Montréal"/>
    <x v="4"/>
    <x v="4"/>
    <s v="201203IC1"/>
    <x v="5"/>
    <s v="Antiestrogen-HDACi hybrid molecules for breast cancer treatment."/>
    <n v="100000"/>
    <n v="0"/>
    <s v="1 yr 0 mth "/>
    <x v="0"/>
    <x v="12"/>
    <s v="Antiestrogen, HDACi, breast cancer"/>
    <n v="1"/>
    <s v="zN/A"/>
    <n v="0"/>
    <s v="zN/A"/>
    <s v="Mader, Sylvie N"/>
  </r>
  <r>
    <x v="587"/>
    <s v="University of Calgary"/>
    <x v="2"/>
    <x v="1"/>
    <s v="201903PJT"/>
    <x v="0"/>
    <s v="Mechanisms underlying oncolytic rhabdovirus-mediated anticancer immunity"/>
    <n v="822376"/>
    <n v="0"/>
    <s v="5 yrs 0 mth "/>
    <x v="0"/>
    <x v="1"/>
    <s v="oncolytic, rhabdovirus, anticancer"/>
    <n v="0"/>
    <s v="zN/A"/>
    <n v="0"/>
    <s v="zN/A"/>
    <s v="Mahoney, Douglas J"/>
  </r>
  <r>
    <x v="588"/>
    <s v="McGill University"/>
    <x v="4"/>
    <x v="52"/>
    <s v="202209ARB"/>
    <x v="10"/>
    <s v="Phenotypic Profiling of Antibiotic Susceptibility via a Multiplexed Colorimetric Fluidic Assay"/>
    <n v="100000"/>
    <n v="0"/>
    <s v="1 yr 0 mth "/>
    <x v="1"/>
    <x v="28"/>
    <s v="Phenotypic profiling, Antibiotic susceptibility, Colorimetric assay"/>
    <n v="1"/>
    <s v="zN/A"/>
    <n v="0"/>
    <s v="zN/A"/>
    <s v="Mahshid, Sara"/>
  </r>
  <r>
    <x v="588"/>
    <s v="McGill University"/>
    <x v="4"/>
    <x v="1"/>
    <s v="202403PJT"/>
    <x v="10"/>
    <s v="Molecular profiling of single extracellular vesicles reveals therapeutic effects of temozolomide in GBM patients"/>
    <n v="677026"/>
    <n v="0"/>
    <s v="5 yrs 0 mth "/>
    <x v="0"/>
    <x v="38"/>
    <s v="molecular profiling, extracellular vesicles, temozolomide"/>
    <n v="0"/>
    <s v="zN/A"/>
    <n v="0"/>
    <s v="zN/A"/>
    <s v="Mahshid, Sara"/>
  </r>
  <r>
    <x v="589"/>
    <s v="University Health Network (Toronto)"/>
    <x v="1"/>
    <x v="0"/>
    <s v="201003MOP"/>
    <x v="0"/>
    <s v="The roles of p53 and p73 in DNA repair and oncogenesis."/>
    <n v="851814"/>
    <n v="0"/>
    <s v="5 yrs 0 mth "/>
    <x v="0"/>
    <x v="21"/>
    <s v="p53, p73, DNA repair"/>
    <n v="0"/>
    <s v="zN/A"/>
    <n v="0"/>
    <s v="zN/A"/>
    <s v="Mak, Tak W"/>
  </r>
  <r>
    <x v="589"/>
    <s v="University Health Network (Toronto)"/>
    <x v="1"/>
    <x v="1"/>
    <s v="202209PJT"/>
    <x v="0"/>
    <s v="The roles of cholinergic T cells in immunosurveillance and immunotherapy of liver cancer."/>
    <n v="1032750"/>
    <n v="0"/>
    <s v="5 yrs 0 mth "/>
    <x v="0"/>
    <x v="8"/>
    <s v="cholinergic, T cells, liver cancer"/>
    <n v="1"/>
    <s v="zN/A"/>
    <n v="0"/>
    <s v="zN/A"/>
    <s v="Mak, Tak W"/>
  </r>
  <r>
    <x v="589"/>
    <s v="University Health Network (Toronto)"/>
    <x v="1"/>
    <x v="1"/>
    <s v="202403PJT"/>
    <x v="5"/>
    <s v="Identification of tumour-reactive gamma delta T cell receptors to treat hematological malignancies."/>
    <n v="1147500"/>
    <n v="0"/>
    <s v="5 yrs 0 mth "/>
    <x v="0"/>
    <x v="38"/>
    <s v="gamma delta T, tumor-reactive, receptors"/>
    <n v="0"/>
    <s v="zN/A"/>
    <n v="0"/>
    <s v="zN/A"/>
    <s v="Mak, Tak W"/>
  </r>
  <r>
    <x v="590"/>
    <s v="Hospital for Sick Children (Toronto)"/>
    <x v="1"/>
    <x v="0"/>
    <s v="200903MOP"/>
    <x v="0"/>
    <s v="DNA Copy Number Variation in Li-Fraumeni Syndrome"/>
    <n v="769785"/>
    <n v="0"/>
    <s v="4 yrs 0 mth "/>
    <x v="0"/>
    <x v="5"/>
    <s v="DNA, Copy Number, Variation"/>
    <n v="0"/>
    <s v="zN/A"/>
    <n v="0"/>
    <s v="zN/A"/>
    <s v="Malkin, David D"/>
  </r>
  <r>
    <x v="590"/>
    <s v="Hospital for Sick Children (Toronto)"/>
    <x v="1"/>
    <x v="0"/>
    <s v="201003MOP"/>
    <x v="5"/>
    <s v="Molecular Determinants of Li-Fraumeni Syndrome Associated Cancers"/>
    <n v="748696"/>
    <n v="0"/>
    <s v="5 yrs 0 mth "/>
    <x v="0"/>
    <x v="21"/>
    <s v="Li-Fraumeni, Cancers, Molecular"/>
    <n v="0"/>
    <s v="zN/A"/>
    <n v="0"/>
    <s v="zN/A"/>
    <s v="Malkin, David D"/>
  </r>
  <r>
    <x v="590"/>
    <s v="Hospital for Sick Children (Toronto)"/>
    <x v="1"/>
    <x v="0"/>
    <s v="201103MOP"/>
    <x v="5"/>
    <s v="Targeting the Integrin-Linked Kinase Pathway in Rhabdomyosarcoma"/>
    <n v="295309"/>
    <n v="0"/>
    <s v="3 yrs 0 mth "/>
    <x v="0"/>
    <x v="17"/>
    <s v="Integrin, Kinase, Rhabdomyosarcoma"/>
    <n v="0"/>
    <s v="zN/A"/>
    <n v="0"/>
    <s v="zN/A"/>
    <s v="Malkin, David D"/>
  </r>
  <r>
    <x v="590"/>
    <s v="Hospital for Sick Children (Toronto)"/>
    <x v="1"/>
    <x v="0"/>
    <s v="201303MOP"/>
    <x v="5"/>
    <s v="DNA Copy Number Variation in Li-Fraumeni Syndrome"/>
    <n v="1075723"/>
    <n v="0"/>
    <s v="5 yrs 0 mth "/>
    <x v="0"/>
    <x v="34"/>
    <s v="DNA, Copy Number, Variation"/>
    <n v="0"/>
    <s v="zN/A"/>
    <n v="0"/>
    <s v="zN/A"/>
    <s v="Malkin, David D"/>
  </r>
  <r>
    <x v="590"/>
    <s v="Hospital for Sick Children (Toronto)"/>
    <x v="1"/>
    <x v="1"/>
    <s v="202303PJT"/>
    <x v="5"/>
    <s v="Developing diagnostics of patient-specific cancer risk and early-stage tumorigenesis"/>
    <n v="906526"/>
    <n v="0"/>
    <s v="5 yrs 0 mth "/>
    <x v="0"/>
    <x v="13"/>
    <s v="diagnostics, cancer, tumorigenesis"/>
    <n v="0"/>
    <s v="zN/A"/>
    <n v="0"/>
    <s v="zN/A"/>
    <s v="Malkin, David D"/>
  </r>
  <r>
    <x v="591"/>
    <s v="CIUSSS Est-de-l'Ile-de- Montréal-Maisonneuve Rosemont"/>
    <x v="4"/>
    <x v="1"/>
    <s v="201709PJT"/>
    <x v="5"/>
    <s v="Identification of therapeutic targets for pediatric acute megakaryoblastic leukemia"/>
    <n v="765000"/>
    <n v="0"/>
    <s v="5 yrs 0 mth "/>
    <x v="0"/>
    <x v="11"/>
    <s v="therapeutic targets, pediatric leukemia, megakaryoblastic"/>
    <n v="0"/>
    <s v="zN/A"/>
    <n v="0"/>
    <s v="zN/A"/>
    <s v="Mallette, Frederick A"/>
  </r>
  <r>
    <x v="591"/>
    <s v="CIUSSS Est-de-l'Ile-de- Montréal-Maisonneuve Rosemont"/>
    <x v="4"/>
    <x v="17"/>
    <s v="202309PDI"/>
    <x v="1"/>
    <s v="Identifying novel therapeutic vulnerabilities in pediatric acute megakaryoblastic leukemia"/>
    <n v="100000"/>
    <n v="0"/>
    <s v="1 yr 0 mth "/>
    <x v="0"/>
    <x v="37"/>
    <s v="therapeutic vulnerabilities, pediatric leukemia, megakaryoblastic"/>
    <n v="0"/>
    <s v="zN/A"/>
    <n v="0"/>
    <s v="zN/A"/>
    <s v="Mallette, Frederick A"/>
  </r>
  <r>
    <x v="591"/>
    <s v="CIUSSS Est-de-l'Ile-de- Montréal-Maisonneuve Rosemont"/>
    <x v="4"/>
    <x v="10"/>
    <s v="202309PLL"/>
    <x v="3"/>
    <s v="Exploiting translational reprogramming in neoplasia to devise unique strategies to eliminate cancer and cancer-promoting senescent cells"/>
    <n v="100000"/>
    <n v="0"/>
    <s v="1 yr 0 mth "/>
    <x v="0"/>
    <x v="38"/>
    <s v="translational reprogramming, neoplasia, cancer"/>
    <n v="0"/>
    <s v="zN/A"/>
    <n v="0"/>
    <s v="zN/A"/>
    <s v="Mallette, Frederick A"/>
  </r>
  <r>
    <x v="591"/>
    <s v="CIUSSS Est-de-l'Ile-de- Montréal-Maisonneuve Rosemont"/>
    <x v="4"/>
    <x v="1"/>
    <s v="202403PJT"/>
    <x v="0"/>
    <s v="Exploiting translational reprogramming in neoplasia to devise unique strategies to eliminate cancer and cancer-promoting senescent cells"/>
    <n v="940950"/>
    <n v="0"/>
    <s v="5 yrs 0 mth "/>
    <x v="0"/>
    <x v="38"/>
    <s v="translational reprogramming, neoplasia, cancer"/>
    <n v="0"/>
    <s v="zN/A"/>
    <n v="0"/>
    <s v="zN/A"/>
    <s v="Mallette, Frederick A"/>
  </r>
  <r>
    <x v="592"/>
    <s v="Universite Laval"/>
    <x v="4"/>
    <x v="53"/>
    <s v="201506EH2"/>
    <x v="26"/>
    <s v="Projet FreeDom (FreeO2 e domicile). Mise au point et evaluation d'une strategie innovante de prise en charge pour reduire la duree d'hospitalisation au cours des exacerbations de MPOC: retour precoce e domicile en combinant le sevrage et l'ajustement automatise de l'oxygene (FreeO2) et la telemedecine. Benefices pour les patients et pour le systeme de sante."/>
    <n v="384683"/>
    <n v="0"/>
    <s v="4 yrs 0 mth "/>
    <x v="3"/>
    <x v="46"/>
    <s v="oxygen, telemedicine, COPD"/>
    <n v="0"/>
    <s v="zN/A"/>
    <n v="0"/>
    <s v="zN/A"/>
    <s v="Maltais, Franeois"/>
  </r>
  <r>
    <x v="593"/>
    <s v="University of Toronto"/>
    <x v="1"/>
    <x v="6"/>
    <s v="201210CPG"/>
    <x v="8"/>
    <s v="Hybrid (Co-registered) Intravascular Imaging Technology of Coronary Atherosclerosis using Wavelength-Modulated Differential Photoacoustic Radar and Ultrasonic Tomography"/>
    <n v="404580"/>
    <n v="0"/>
    <s v="3 yrs 0 mth "/>
    <x v="3"/>
    <x v="14"/>
    <s v="Intravascular imaging, Photoacoustic radar, Ultrasonic tomography"/>
    <n v="0"/>
    <s v="zN/A"/>
    <n v="0"/>
    <s v="zN/A"/>
    <s v="Mandelis, Andreas"/>
  </r>
  <r>
    <x v="593"/>
    <s v="University of Toronto"/>
    <x v="1"/>
    <x v="6"/>
    <s v="201610CPG"/>
    <x v="8"/>
    <s v="Development of a high-resolution photothermal coherence tomography clinical device for detection and 3-D mapping of early dental caries"/>
    <n v="358647"/>
    <n v="0"/>
    <s v="3 yrs 0 mth "/>
    <x v="5"/>
    <x v="24"/>
    <s v="photothermal, coherence tomography, dental caries"/>
    <n v="1"/>
    <s v="zN/A"/>
    <n v="0"/>
    <s v="zN/A"/>
    <s v="Mandelis, Andreas"/>
  </r>
  <r>
    <x v="594"/>
    <s v="Dalhousie University (Nova Scotia)"/>
    <x v="5"/>
    <x v="0"/>
    <s v="201303MOP"/>
    <x v="5"/>
    <s v="The role of ALDH1A3 in breast cancer progression and cancer stem cell biology"/>
    <n v="627147"/>
    <n v="0"/>
    <s v="5 yrs 0 mth "/>
    <x v="0"/>
    <x v="34"/>
    <s v="ALDH1A3, breast cancer, cancer stem cells"/>
    <n v="0"/>
    <s v="zN/A"/>
    <n v="0"/>
    <s v="zN/A"/>
    <s v="Marcato, Paola"/>
  </r>
  <r>
    <x v="594"/>
    <s v="Dalhousie University (Nova Scotia)"/>
    <x v="5"/>
    <x v="1"/>
    <s v="201809PJT"/>
    <x v="3"/>
    <s v="Defining the mechanism of ALDH1A3 in breast cancer for the identification of novel therapeutic targets"/>
    <n v="918000"/>
    <n v="0"/>
    <s v="5 yrs 0 mth "/>
    <x v="0"/>
    <x v="26"/>
    <s v="ALDH1A3, breast cancer, therapeutic targets"/>
    <n v="0"/>
    <s v="zN/A"/>
    <n v="0"/>
    <s v="zN/A"/>
    <s v="Marcato, Paola"/>
  </r>
  <r>
    <x v="594"/>
    <s v="Dalhousie University (Nova Scotia)"/>
    <x v="5"/>
    <x v="10"/>
    <s v="202209PLL"/>
    <x v="1"/>
    <s v="Identification of lncRNAs that regulate biological processes required for breast cancer progression"/>
    <n v="100000"/>
    <n v="0"/>
    <s v="1 yr 0 mth "/>
    <x v="0"/>
    <x v="28"/>
    <s v="lncRNAs, breast cancer, biological processes"/>
    <n v="0"/>
    <s v="zN/A"/>
    <n v="0"/>
    <s v="zN/A"/>
    <s v="Marcato, Paola"/>
  </r>
  <r>
    <x v="594"/>
    <s v="Dalhousie University (Nova Scotia)"/>
    <x v="5"/>
    <x v="1"/>
    <s v="202303PJT"/>
    <x v="5"/>
    <s v="Investigating the role of LINC01929 in regulating processes critical for breast cancer progression"/>
    <n v="1093950"/>
    <n v="0"/>
    <s v="5 yrs 0 mth "/>
    <x v="0"/>
    <x v="13"/>
    <s v="LINC01929, breast cancer, regulation"/>
    <n v="0"/>
    <s v="zN/A"/>
    <n v="0"/>
    <s v="zN/A"/>
    <s v="Marcato, Paola"/>
  </r>
  <r>
    <x v="594"/>
    <s v="Dalhousie University (Nova Scotia)"/>
    <x v="5"/>
    <x v="1"/>
    <s v="202309PJT"/>
    <x v="5"/>
    <s v="Targeting ALDH1A3 and investigating mechanisms of ALDH1A3-mediated breast cancer progression"/>
    <n v="1090125"/>
    <n v="0"/>
    <s v="5 yrs 0 mth "/>
    <x v="0"/>
    <x v="33"/>
    <s v="ALDH1A3, breast cancer, progression"/>
    <n v="1"/>
    <s v="zN/A"/>
    <n v="0"/>
    <s v="zN/A"/>
    <s v="Marcato, Paola"/>
  </r>
  <r>
    <x v="595"/>
    <s v="University of Toronto"/>
    <x v="1"/>
    <x v="6"/>
    <s v="201410CPG"/>
    <x v="8"/>
    <s v="Orthopaedic surgical platform which uses burst-mode ultrafast laser pulses delivered by high-power fiber-optic catheter for less-invasive surgery with ultrafine control"/>
    <n v="378611"/>
    <n v="0"/>
    <s v="3 yrs 0 mth "/>
    <x v="5"/>
    <x v="6"/>
    <s v="ultrafast laser, fiber-optic catheter, minimally invasive"/>
    <n v="0"/>
    <s v="zN/A"/>
    <n v="0"/>
    <s v="zN/A"/>
    <s v="Marjoribanks, Robin S"/>
  </r>
  <r>
    <x v="596"/>
    <s v="Sunnybrook Research Institute (Toronto, Ontario)"/>
    <x v="1"/>
    <x v="0"/>
    <s v="201103MOP"/>
    <x v="6"/>
    <s v="Automatic Motion Correction for Dynamic Contrast Enhanced MRI"/>
    <n v="198878"/>
    <n v="0"/>
    <s v="3 yrs 0 mth "/>
    <x v="0"/>
    <x v="17"/>
    <s v="Motion, Correction, MRI"/>
    <n v="0"/>
    <s v="zN/A"/>
    <n v="0"/>
    <s v="zN/A"/>
    <s v="Martel, Anne L"/>
  </r>
  <r>
    <x v="596"/>
    <s v="Sunnybrook Research Institute (Toronto, Ontario)"/>
    <x v="1"/>
    <x v="1"/>
    <s v="201809PJT"/>
    <x v="6"/>
    <s v="Using deep learning to estimate breast cancer recurrence scores from histopathology images"/>
    <n v="780300"/>
    <n v="0"/>
    <s v="5 yrs 0 mth "/>
    <x v="0"/>
    <x v="26"/>
    <s v="deep learning, breast cancer, histopathology"/>
    <n v="1"/>
    <s v="zN/A"/>
    <n v="0"/>
    <s v="zN/A"/>
    <s v="Martel, Anne L"/>
  </r>
  <r>
    <x v="596"/>
    <s v="Sunnybrook Research Institute (Toronto, Ontario)"/>
    <x v="1"/>
    <x v="1"/>
    <s v="201909PJT"/>
    <x v="6"/>
    <s v="Using MRI imaging to develop a personalized risk-based breast cancer screening strategy"/>
    <n v="925650"/>
    <n v="0"/>
    <s v="5 yrs 0 mth "/>
    <x v="0"/>
    <x v="22"/>
    <s v="MRI, breast cancer, screening"/>
    <n v="0"/>
    <s v="zN/A"/>
    <n v="0"/>
    <s v="zN/A"/>
    <s v="Martel, Anne L"/>
  </r>
  <r>
    <x v="596"/>
    <s v="Sunnybrook Research Institute (Toronto, Ontario)"/>
    <x v="1"/>
    <x v="1"/>
    <s v="202203PJT"/>
    <x v="6"/>
    <s v="Using AI to predict the presence of occult invasive carcinoma following diagnosis of DCIS on biopsy"/>
    <n v="887400"/>
    <n v="0"/>
    <s v="5 yrs 0 mth "/>
    <x v="0"/>
    <x v="3"/>
    <s v="AI, carcinoma, biopsy"/>
    <n v="0"/>
    <s v="zN/A"/>
    <n v="0"/>
    <s v="zN/A"/>
    <s v="Martel, Anne L"/>
  </r>
  <r>
    <x v="597"/>
    <s v="Polytechnique Montréal"/>
    <x v="4"/>
    <x v="6"/>
    <s v="201410CPG"/>
    <x v="8"/>
    <s v="Endovascular navigation of magnetic drug eluting beads for liver cancer therapy: Feasibility and optimization"/>
    <n v="252318"/>
    <n v="0"/>
    <s v="3 yrs 0 mth "/>
    <x v="0"/>
    <x v="6"/>
    <s v="endovascular, magnetic beads, liver cancer"/>
    <n v="0"/>
    <s v="zN/A"/>
    <n v="0"/>
    <s v="zN/A"/>
    <s v="Martel, Sylvain"/>
  </r>
  <r>
    <x v="598"/>
    <s v="University of Toronto"/>
    <x v="1"/>
    <x v="1"/>
    <s v="202003PJT"/>
    <x v="0"/>
    <s v="Gut microbiota and the etiology of colon cancer"/>
    <n v="1005976"/>
    <n v="0"/>
    <s v="5 yrs 0 mth "/>
    <x v="0"/>
    <x v="39"/>
    <s v="gut microbiota, colon cancer, etiology"/>
    <n v="1"/>
    <s v="zN/A"/>
    <n v="0"/>
    <s v="zN/A"/>
    <s v="Martin, Alberto"/>
  </r>
  <r>
    <x v="599"/>
    <s v="Toronto Rehabilitation Institute-UHN"/>
    <x v="1"/>
    <x v="0"/>
    <s v="201009MOP"/>
    <x v="9"/>
    <s v="Novel methodology to reduce muscle fatigue during functional electrical stimulation"/>
    <n v="120364"/>
    <n v="0"/>
    <s v="2 yrs 0 mth "/>
    <x v="5"/>
    <x v="16"/>
    <s v="muscle fatigue, functional electrical stimulation"/>
    <n v="0"/>
    <s v="zN/A"/>
    <n v="0"/>
    <s v="zN/A"/>
    <s v="Masani, Kei"/>
  </r>
  <r>
    <x v="599"/>
    <s v="University Health Network (Toronto)"/>
    <x v="1"/>
    <x v="54"/>
    <s v="201303OMH"/>
    <x v="9"/>
    <s v="Development of novel tool to reduce muscle fatigue during rehabilitation using functional electrical stimulation"/>
    <n v="100000"/>
    <n v="0"/>
    <s v="1 yr 0 mth "/>
    <x v="5"/>
    <x v="34"/>
    <s v="muscle fatigue, functional electrical stimulation, rehabilitation"/>
    <n v="0"/>
    <s v="zN/A"/>
    <n v="0"/>
    <s v="zN/A"/>
    <s v="Masani, Kei"/>
  </r>
  <r>
    <x v="600"/>
    <s v="Université Laval"/>
    <x v="4"/>
    <x v="0"/>
    <s v="200909MOP"/>
    <x v="0"/>
    <s v="MRE11-RAD50-NBS1: at the crossroads of DNA double-strand break repair and Fanconi anemia"/>
    <n v="821551"/>
    <n v="0"/>
    <s v="5 yrs 0 mth "/>
    <x v="2"/>
    <x v="10"/>
    <s v="DNA repair, double-strand break, Fanconi anemia"/>
    <n v="0"/>
    <s v="zN/A"/>
    <n v="0"/>
    <s v="zN/A"/>
    <s v="Masson, Jean-Yves"/>
  </r>
  <r>
    <x v="600"/>
    <s v="Université Laval"/>
    <x v="4"/>
    <x v="0"/>
    <s v="201009MOP"/>
    <x v="0"/>
    <s v="Functions of the tumor suppressor PALB2 in DNA double-strand break repair and tumorigenesis"/>
    <n v="742371"/>
    <n v="0"/>
    <s v="5 yrs 0 mth "/>
    <x v="2"/>
    <x v="16"/>
    <s v="PALB2,DNA repair, tumorigenesis"/>
    <n v="0"/>
    <s v="zN/A"/>
    <n v="0"/>
    <s v="zN/A"/>
    <s v="Masson, Jean-Yves"/>
  </r>
  <r>
    <x v="600"/>
    <s v="Université Laval"/>
    <x v="4"/>
    <x v="0"/>
    <s v="201303MOP"/>
    <x v="0"/>
    <s v="Interplay between homologous recombination and anti-recombination activities at broken DNA replication forks and genomic instability"/>
    <n v="514295"/>
    <n v="0"/>
    <s v="5 yrs 0 mth "/>
    <x v="2"/>
    <x v="34"/>
    <s v="homologous recombination, DNA replication, genomic instability"/>
    <n v="0"/>
    <s v="zN/A"/>
    <n v="0"/>
    <s v="zN/A"/>
    <s v="Masson, Jean-Yves"/>
  </r>
  <r>
    <x v="601"/>
    <s v="University of British Columbia"/>
    <x v="3"/>
    <x v="1"/>
    <s v="201903PJT"/>
    <x v="9"/>
    <s v="Treating advanced retinal degeneration - rebuilding multiple co-dependent retinal layers with stem cells"/>
    <n v="856800"/>
    <n v="0"/>
    <s v="4 yrs 0 mth "/>
    <x v="6"/>
    <x v="1"/>
    <s v="retinal degeneration, stem cells, retinal layers"/>
    <n v="0"/>
    <s v="zN/A"/>
    <n v="0"/>
    <s v="zN/A"/>
    <s v="Matsubara, Joanne A"/>
  </r>
  <r>
    <x v="602"/>
    <s v="University of Toronto"/>
    <x v="1"/>
    <x v="1"/>
    <s v="201909PJT"/>
    <x v="9"/>
    <s v="Ultrasound activated bubbles to potentiate cancer therapy"/>
    <n v="455176"/>
    <n v="0"/>
    <s v="4 yrs 0 mth "/>
    <x v="0"/>
    <x v="22"/>
    <s v="Ultrasound, Bubbles, Cancer"/>
    <n v="0"/>
    <s v="zN/A"/>
    <n v="0"/>
    <s v="zN/A"/>
    <s v="Matsuura, Naomi"/>
  </r>
  <r>
    <x v="602"/>
    <s v="University of Toronto"/>
    <x v="1"/>
    <x v="1"/>
    <s v="202403PJT"/>
    <x v="1"/>
    <s v="Enhanced drug delivery to lung cancers using endobronchial ultrasound (EBUS)"/>
    <n v="753526"/>
    <n v="0"/>
    <s v="5 yrs 0 mth "/>
    <x v="0"/>
    <x v="38"/>
    <s v="drug delivery, lung cancers, endobronchial ultrasound"/>
    <n v="0"/>
    <s v="zN/A"/>
    <n v="0"/>
    <s v="zN/A"/>
    <s v="Matsuura, Naomi"/>
  </r>
  <r>
    <x v="603"/>
    <s v="University of Toronto"/>
    <x v="1"/>
    <x v="6"/>
    <s v="201510CPG"/>
    <x v="8"/>
    <s v="Novel Methods to Evaluate the Cardiac Activity of Pharmaceuticals: Identifying New Therapies and Predicting Cardiac Toxicity"/>
    <n v="357480"/>
    <n v="0"/>
    <s v="3 yrs 0 mth "/>
    <x v="3"/>
    <x v="4"/>
    <s v="Cardiac activity, Pharmaceuticals, Toxicity"/>
    <n v="0"/>
    <s v="zN/A"/>
    <n v="0"/>
    <s v="zN/A"/>
    <s v="Maynes, Jason T"/>
  </r>
  <r>
    <x v="603"/>
    <s v="University of Toronto"/>
    <x v="1"/>
    <x v="6"/>
    <s v="201810CPG"/>
    <x v="8"/>
    <s v="Neonatal Stem Cell Secretomes as a Novel Regenerative Therapy for Heart Failure"/>
    <n v="318560"/>
    <n v="0"/>
    <s v="3 yrs 0 mth "/>
    <x v="3"/>
    <x v="26"/>
    <s v="Neonatal, Stem Cell, Heart Failure"/>
    <n v="1"/>
    <s v="zN/A"/>
    <n v="0"/>
    <s v="zN/A"/>
    <s v="Maynes, Jason T"/>
  </r>
  <r>
    <x v="604"/>
    <s v="Research Institute of the McGill University Health Centre"/>
    <x v="4"/>
    <x v="7"/>
    <s v="201103ISO"/>
    <x v="4"/>
    <s v="Molecular mechanism for immunoprotection and Treg induction by polyspecific immunoglobulins (IVIg)"/>
    <n v="165000"/>
    <n v="0"/>
    <s v="3 yrs 0 mth "/>
    <x v="3"/>
    <x v="17"/>
    <s v="immunoprotection, Treg, immunoglobulins"/>
    <n v="0"/>
    <s v="zN/A"/>
    <n v="0"/>
    <s v="zN/A"/>
    <s v="Mazer, Bruce D"/>
  </r>
  <r>
    <x v="605"/>
    <s v="Université Laval"/>
    <x v="4"/>
    <x v="0"/>
    <s v="201003MOP"/>
    <x v="0"/>
    <s v="Role of eIF4E in stress granules formation and the associated resistance to chemotherapy"/>
    <n v="421824"/>
    <n v="0"/>
    <s v="3 yrs 0 mth "/>
    <x v="0"/>
    <x v="57"/>
    <s v="eIF4E, stress granules, chemotherapy"/>
    <n v="0"/>
    <s v="zN/A"/>
    <n v="0"/>
    <s v="zN/A"/>
    <s v="Mazroui, Rachid"/>
  </r>
  <r>
    <x v="606"/>
    <s v="Hospital for Sick Children (Toronto)"/>
    <x v="1"/>
    <x v="1"/>
    <s v="202203PJT"/>
    <x v="10"/>
    <s v="Using heart rhythm detection as a prototype to translate machine learning equitably and reproducibly to the point of care"/>
    <n v="657900"/>
    <n v="0"/>
    <s v="3 yrs 0 mth "/>
    <x v="3"/>
    <x v="3"/>
    <s v="heart rhythm, machine learning, point of care"/>
    <n v="0"/>
    <s v="zN/A"/>
    <n v="0"/>
    <s v="zN/A"/>
    <s v="Mazwi, Mjaye L"/>
  </r>
  <r>
    <x v="607"/>
    <s v="Sinai Health System (Toronto)"/>
    <x v="1"/>
    <x v="28"/>
    <s v="201810APC"/>
    <x v="20"/>
    <s v="Development of an automated point of care system for rapid multiplex detection and antibiotic resistance profiling of microbial pathogens."/>
    <n v="673199"/>
    <n v="0"/>
    <s v="3 yrs 0 mth "/>
    <x v="1"/>
    <x v="43"/>
    <s v="point of care, multiplex detection, antibiotic resistance"/>
    <n v="0"/>
    <s v="zN/A"/>
    <n v="0"/>
    <s v="zN/A"/>
    <s v="Mazzulli, Tony"/>
  </r>
  <r>
    <x v="608"/>
    <s v="McGill University"/>
    <x v="4"/>
    <x v="1"/>
    <s v="201709PJT"/>
    <x v="3"/>
    <s v="Distinct roles for the Par6 polarity protein in development of low- and high-grade breast cancers."/>
    <n v="898875"/>
    <n v="0"/>
    <s v="5 yrs 0 mth "/>
    <x v="0"/>
    <x v="11"/>
    <s v="Par6, polarity protein, breast cancers"/>
    <n v="0"/>
    <s v="zN/A"/>
    <n v="0"/>
    <s v="zN/A"/>
    <s v="McCaffrey, Luke M"/>
  </r>
  <r>
    <x v="608"/>
    <s v="McGill University"/>
    <x v="4"/>
    <x v="1"/>
    <s v="202003PJT"/>
    <x v="1"/>
    <s v="Overcoming suppressive micro-environments in early breast cancer progression"/>
    <n v="1338750"/>
    <n v="0"/>
    <s v="5 yrs 0 mth "/>
    <x v="0"/>
    <x v="39"/>
    <s v="micro-environments, breast cancer, progression"/>
    <n v="0"/>
    <s v="zN/A"/>
    <n v="0"/>
    <s v="zN/A"/>
    <s v="McCaffrey, Luke M"/>
  </r>
  <r>
    <x v="609"/>
    <s v="University of Calgary"/>
    <x v="2"/>
    <x v="1"/>
    <s v="202104PJT"/>
    <x v="0"/>
    <s v="Determining the impact of inosine-producing microbes in promoting the efficacy and modulating toxicity of immune checkpoint blockade therapy in cancer."/>
    <n v="975376"/>
    <n v="0"/>
    <s v="5 yrs 0 mth "/>
    <x v="0"/>
    <x v="35"/>
    <s v="inosine, microbes, immune checkpoint"/>
    <n v="0"/>
    <s v="zN/A"/>
    <n v="0"/>
    <s v="zN/A"/>
    <s v="McCoy, Kathy"/>
  </r>
  <r>
    <x v="610"/>
    <s v="University of Toronto"/>
    <x v="1"/>
    <x v="6"/>
    <s v="201410CPG"/>
    <x v="8"/>
    <s v="Screening Assay for Inhibition of Cancer Cell Invasion"/>
    <n v="354383"/>
    <n v="0"/>
    <s v="3 yrs 0 mth "/>
    <x v="0"/>
    <x v="6"/>
    <s v="Cancer, Cell Invasion, Assay"/>
    <n v="0"/>
    <s v="zN/A"/>
    <n v="0"/>
    <s v="zN/A"/>
    <s v="McCulloch, Christopher A"/>
  </r>
  <r>
    <x v="611"/>
    <s v="University of British Columbia"/>
    <x v="3"/>
    <x v="34"/>
    <s v="200809MUS"/>
    <x v="0"/>
    <s v="CXC chemokines in basal cell carcinomas"/>
    <n v="84507"/>
    <n v="0"/>
    <s v="1 yr 0 mth "/>
    <x v="5"/>
    <x v="42"/>
    <s v="CXC chemokines, basal cell carcinoma"/>
    <n v="0"/>
    <s v="zN/A"/>
    <n v="0"/>
    <s v="zN/A"/>
    <s v="McElwee, Kevin J"/>
  </r>
  <r>
    <x v="612"/>
    <s v="Université Laval"/>
    <x v="4"/>
    <x v="6"/>
    <s v="201410CPG"/>
    <x v="8"/>
    <s v="Body-Environment Proximity Measurement: An integrated approach to measuring mobility deficits for assessment and treatment"/>
    <n v="181578"/>
    <n v="0"/>
    <s v="3 yrs 0 mth "/>
    <x v="5"/>
    <x v="6"/>
    <s v="Proximity, Measurement, Mobility"/>
    <n v="0"/>
    <s v="zN/A"/>
    <n v="0"/>
    <s v="zN/A"/>
    <s v="Mcfadyen, Bradford J"/>
  </r>
  <r>
    <x v="613"/>
    <s v="University Health Network (Toronto)"/>
    <x v="1"/>
    <x v="1"/>
    <s v="201809PJT"/>
    <x v="0"/>
    <s v="Mechanistic studies of macrophages and the tumour microenvironment as immunologic barriers to therapy in pancreatic ductal adenocarcinoma"/>
    <n v="1059525"/>
    <n v="0"/>
    <s v="5 yrs 0 mth "/>
    <x v="1"/>
    <x v="26"/>
    <s v="macrophages, tumour microenvironment, pancreatic ductal adenocarcinoma"/>
    <n v="1"/>
    <s v="zN/A"/>
    <n v="0"/>
    <s v="zN/A"/>
    <s v="McGaha, Tracy"/>
  </r>
  <r>
    <x v="614"/>
    <s v="University of New Brunswick (Fredericton)"/>
    <x v="9"/>
    <x v="26"/>
    <s v="200809IHP"/>
    <x v="9"/>
    <s v="The Doctor is in the house: Validation of a toolkit for remote monitoring of progressive neuromuscular and neurological conditions"/>
    <n v="100000"/>
    <n v="0"/>
    <s v="1 yr 0 mth "/>
    <x v="4"/>
    <x v="42"/>
    <s v="remote monitoring, neuromuscular, neurological"/>
    <n v="0"/>
    <s v="zN/A"/>
    <n v="0"/>
    <s v="zN/A"/>
    <s v="McGibbon, Chris"/>
  </r>
  <r>
    <x v="615"/>
    <s v="McMaster University"/>
    <x v="1"/>
    <x v="53"/>
    <s v="201506EH2"/>
    <x v="26"/>
    <s v="THE SMArT VIEW, CoVeRed: TecHnology Enabled monitoring  and Self-MAnagemenT- VIsion for patient EmpoWerment following  Cardiac and VasculaR surgery"/>
    <n v="749876"/>
    <n v="0"/>
    <s v="4 yrs 0 mth "/>
    <x v="3"/>
    <x v="46"/>
    <s v="monitoring, vision, patient empowerment"/>
    <n v="0"/>
    <s v="zN/A"/>
    <n v="0"/>
    <s v="zN/A"/>
    <s v="McGillion, Michael H"/>
  </r>
  <r>
    <x v="616"/>
    <s v="University Health Network (Toronto)"/>
    <x v="1"/>
    <x v="0"/>
    <s v="201403MOP"/>
    <x v="1"/>
    <s v="Nanoparticle targeting of the liver"/>
    <n v="483813"/>
    <n v="0"/>
    <s v="3 yrs 0 mth "/>
    <x v="0"/>
    <x v="18"/>
    <s v="Nanoparticle, targeting, liver"/>
    <n v="0"/>
    <s v="zN/A"/>
    <n v="0"/>
    <s v="zN/A"/>
    <s v="Mcgilvray, Ian D"/>
  </r>
  <r>
    <x v="616"/>
    <s v="University Health Network (Toronto)"/>
    <x v="1"/>
    <x v="1"/>
    <s v="202309PJT"/>
    <x v="10"/>
    <s v="Manipulating the cellular microenvironment to bioengineer bile ducts"/>
    <n v="1067175"/>
    <n v="0"/>
    <s v="5 yrs 0 mth "/>
    <x v="1"/>
    <x v="33"/>
    <s v="cellular, microenvironment, bile ducts"/>
    <n v="0"/>
    <s v="zN/A"/>
    <n v="0"/>
    <s v="zN/A"/>
    <s v="Mcgilvray, Ian D"/>
  </r>
  <r>
    <x v="617"/>
    <s v="Hospital for Sick Children (Toronto)"/>
    <x v="1"/>
    <x v="0"/>
    <s v="201003MOP"/>
    <x v="0"/>
    <s v="Function and regulation of Numb alternative splicing in cancer."/>
    <n v="654230"/>
    <n v="0"/>
    <s v="5 yrs 0 mth "/>
    <x v="0"/>
    <x v="21"/>
    <s v="Numb, splicing, cancer"/>
    <n v="0"/>
    <s v="zN/A"/>
    <n v="0"/>
    <s v="zN/A"/>
    <s v="McGlade, Catherine J"/>
  </r>
  <r>
    <x v="617"/>
    <s v="Hospital for Sick Children (Toronto)"/>
    <x v="1"/>
    <x v="0"/>
    <s v="201503MOP"/>
    <x v="1"/>
    <s v="Function and regulation of Numb protein isoforms in cancer."/>
    <n v="817497"/>
    <n v="0"/>
    <s v="5 yrs 0 mth "/>
    <x v="0"/>
    <x v="19"/>
    <s v="Numb protein, isoforms, cancer"/>
    <n v="0"/>
    <s v="zN/A"/>
    <n v="0"/>
    <s v="zN/A"/>
    <s v="McGlade, Catherine J"/>
  </r>
  <r>
    <x v="617"/>
    <s v="Hospital for Sick Children (Toronto)"/>
    <x v="1"/>
    <x v="1"/>
    <s v="201903PJT"/>
    <x v="1"/>
    <s v="Approaches to regulate Cbl ubiquitin ligase activity and control oncogenic tyrosine kinase signaling."/>
    <n v="906526"/>
    <n v="0"/>
    <s v="5 yrs 0 mth "/>
    <x v="0"/>
    <x v="1"/>
    <s v="Cbl, ubiquitin ligase, tyrosine kinase"/>
    <n v="0"/>
    <s v="zN/A"/>
    <n v="0"/>
    <s v="zN/A"/>
    <s v="McGlade, Catherine J"/>
  </r>
  <r>
    <x v="617"/>
    <s v="Hospital for Sick Children (Toronto)"/>
    <x v="1"/>
    <x v="1"/>
    <s v="202109PJT"/>
    <x v="5"/>
    <s v="Alternative splicing and Numb protein isoform function in cancer metastasis."/>
    <n v="860625"/>
    <n v="0"/>
    <s v="5 yrs 0 mth "/>
    <x v="0"/>
    <x v="25"/>
    <s v="splicing, Numb protein, metastasis"/>
    <n v="0"/>
    <s v="zN/A"/>
    <n v="0"/>
    <s v="zN/A"/>
    <s v="McGlade, Catherine J"/>
  </r>
  <r>
    <x v="618"/>
    <s v="University of Toronto"/>
    <x v="1"/>
    <x v="6"/>
    <s v="201510CPG"/>
    <x v="8"/>
    <s v="A tissue engineering platform to identify target combinations in tumour stoma to render tumours therapy sensitive"/>
    <n v="207800"/>
    <n v="0"/>
    <s v="3 yrs 0 mth "/>
    <x v="0"/>
    <x v="4"/>
    <s v="tissue engineering, tumour stroma, therapy sensitivity"/>
    <n v="0"/>
    <s v="zN/A"/>
    <n v="0"/>
    <s v="zN/A"/>
    <s v="McGuigan, Alison P"/>
  </r>
  <r>
    <x v="618"/>
    <s v="University of Toronto"/>
    <x v="1"/>
    <x v="1"/>
    <s v="202010PJT"/>
    <x v="3"/>
    <s v="Deciphering the impact of genetic and microenvironmental variation on pancreatic ductal adenocarcinoma (PDAC) cell phenotype and response to therapy"/>
    <n v="669375"/>
    <n v="0"/>
    <s v="5 yrs 0 mth "/>
    <x v="0"/>
    <x v="23"/>
    <s v="genetic, microenvironmental, pancreatic ductal adenocarcinoma"/>
    <n v="0"/>
    <s v="zN/A"/>
    <n v="0"/>
    <s v="zN/A"/>
    <s v="McGuigan, Alison P"/>
  </r>
  <r>
    <x v="619"/>
    <s v="Western University (Ontario)"/>
    <x v="1"/>
    <x v="1"/>
    <s v="201809PJT"/>
    <x v="6"/>
    <s v="Hyperpolarised 13C MRI of Placental Metabolism in Intrauterine Growth Restriction"/>
    <n v="638776"/>
    <n v="0"/>
    <s v="4 yrs 0 mth "/>
    <x v="7"/>
    <x v="26"/>
    <s v="hyperpolarised, MRI, placental metabolism"/>
    <n v="0"/>
    <s v="zN/A"/>
    <n v="0"/>
    <s v="zN/A"/>
    <s v="McKenzie, Charles A"/>
  </r>
  <r>
    <x v="620"/>
    <s v="University of British Columbia"/>
    <x v="3"/>
    <x v="6"/>
    <s v="201810CPG"/>
    <x v="8"/>
    <s v="Confidential Automatic Monitoring, Examination, and Recognition of disease Activity (CAMERA): Application to Parkinson and Alzheimer Diseases"/>
    <n v="517818"/>
    <n v="61140"/>
    <s v="3 yrs 0 mth "/>
    <x v="4"/>
    <x v="26"/>
    <s v="Automatic, Monitoring, Disease"/>
    <n v="0"/>
    <s v="zN/A"/>
    <n v="0"/>
    <s v="zN/A"/>
    <s v="Mckeown, Martin J"/>
  </r>
  <r>
    <x v="621"/>
    <s v="University of Waterloo (Ontario)"/>
    <x v="1"/>
    <x v="55"/>
    <s v="202109PAY"/>
    <x v="9"/>
    <s v="A prospective investigation for characterization and predictive modeling of cage subsidence following anterior spinal column reconstruction"/>
    <n v="100000"/>
    <n v="0"/>
    <s v="1 yr 0 mth "/>
    <x v="5"/>
    <x v="52"/>
    <s v="cage subsidence, anterior spinal, predictive modeling"/>
    <n v="0"/>
    <s v="zN/A"/>
    <n v="0"/>
    <s v="zN/A"/>
    <s v="McLachlin, Stewart D"/>
  </r>
  <r>
    <x v="622"/>
    <s v="Sinai Health System (Toronto)"/>
    <x v="1"/>
    <x v="19"/>
    <s v="202307NWI"/>
    <x v="17"/>
    <s v="Redefining the diagnosis and treatment of hypertension in pregnancy through the integration of placental growth factor (PlGF) testing."/>
    <n v="123234"/>
    <n v="0"/>
    <s v="1 yr 0 mth "/>
    <x v="3"/>
    <x v="36"/>
    <s v="hypertension, pregnancy, placental growth factor"/>
    <n v="0"/>
    <s v="zN/A"/>
    <n v="0"/>
    <s v="zN/A"/>
    <s v="McLaughlin, Kelsey M"/>
  </r>
  <r>
    <x v="623"/>
    <s v="University of Ottawa"/>
    <x v="1"/>
    <x v="9"/>
    <s v="202403NW3"/>
    <x v="11"/>
    <s v="Does repetitive transcranial magnetic stimulation (rTMS) reduce pain associated with endometriosis more effectively than a sham rTMS intervention? A randomized controlled trial."/>
    <n v="600000"/>
    <n v="0"/>
    <s v="2 yrs 10 mths "/>
    <x v="8"/>
    <x v="27"/>
    <s v="transcranial magnetic stimulation, endometriosis, pain"/>
    <n v="0"/>
    <s v="zN/A"/>
    <n v="0"/>
    <s v="zN/A"/>
    <s v="McLean, Linda"/>
  </r>
  <r>
    <x v="624"/>
    <s v="University of Manitoba"/>
    <x v="0"/>
    <x v="1"/>
    <s v="201809PJT"/>
    <x v="5"/>
    <s v="Exploring and Exploiting Reduced USP22 Expression in Colorectal Cancer"/>
    <n v="807075"/>
    <n v="0"/>
    <s v="5 yrs 0 mth "/>
    <x v="0"/>
    <x v="26"/>
    <s v="USP22, colorectal cancer, gene expression"/>
    <n v="0"/>
    <s v="zN/A"/>
    <n v="0"/>
    <s v="zN/A"/>
    <s v="McManus, Kirk J"/>
  </r>
  <r>
    <x v="625"/>
    <s v="University of Toronto"/>
    <x v="1"/>
    <x v="18"/>
    <s v="202005VR2"/>
    <x v="16"/>
    <s v="Development of a yeast-based immunoassay for SARS-CoV-2 serologic testing amenable to inexpensive local production"/>
    <n v="179140"/>
    <n v="0"/>
    <s v="1 yr 0 mth "/>
    <x v="1"/>
    <x v="2"/>
    <s v="yeast, immunoassay, SARS-CoV-2"/>
    <n v="0"/>
    <s v="zN/A"/>
    <n v="0"/>
    <s v="zN/A"/>
    <s v="Mcmillen, David R"/>
  </r>
  <r>
    <x v="626"/>
    <s v="University of Alberta"/>
    <x v="2"/>
    <x v="0"/>
    <s v="201209MOP"/>
    <x v="1"/>
    <s v="The Biological and Clinical Significance of Platelet Derived Growth Factor Receptor in Papillary Thyroid Cancer"/>
    <n v="642147"/>
    <n v="0"/>
    <s v="5 yrs 0 mth "/>
    <x v="0"/>
    <x v="14"/>
    <s v="Platelet, Growth Factor Receptor, Thyroid Cancer"/>
    <n v="2"/>
    <s v="zN/A"/>
    <n v="0"/>
    <s v="zN/A"/>
    <s v="McMullen, Todd"/>
  </r>
  <r>
    <x v="626"/>
    <s v="University of Alberta"/>
    <x v="2"/>
    <x v="1"/>
    <s v="201710PJT"/>
    <x v="13"/>
    <s v="Targeting PDGFRa using PET Imaging to Diagnose Metastatic Papillary Thyroid Cancer and Improve Treatment"/>
    <n v="100000"/>
    <n v="0"/>
    <s v="1 yr 0 mth "/>
    <x v="0"/>
    <x v="11"/>
    <s v="PDGFRa, PET imaging, thyroid cancer"/>
    <n v="0"/>
    <s v="zN/A"/>
    <n v="0"/>
    <s v="zN/A"/>
    <s v="McMullen, Todd"/>
  </r>
  <r>
    <x v="627"/>
    <s v="University of British Columbia"/>
    <x v="3"/>
    <x v="10"/>
    <s v="202209PLL"/>
    <x v="0"/>
    <s v="Podocalyxin's role in tumor invasion, metastasis, and immune evasion"/>
    <n v="100000"/>
    <n v="0"/>
    <s v="1 yr 0 mth "/>
    <x v="0"/>
    <x v="28"/>
    <s v="Podocalyxin, tumor invasion, metastasis"/>
    <n v="0"/>
    <s v="zN/A"/>
    <n v="0"/>
    <s v="zN/A"/>
    <s v="McNagny, Kelly M"/>
  </r>
  <r>
    <x v="628"/>
    <s v="Hospital for Sick Children (Toronto)"/>
    <x v="1"/>
    <x v="3"/>
    <s v="201209IPR"/>
    <x v="4"/>
    <s v="Discovery and Development of Small Molecule Toxin Antagonists to Treat C. difficile-Associated Disease"/>
    <n v="499795"/>
    <n v="0"/>
    <s v="5 yrs 0 mth "/>
    <x v="1"/>
    <x v="14"/>
    <s v="Small Molecule, Toxin, C. difficile"/>
    <n v="6"/>
    <s v="zN/A"/>
    <n v="0"/>
    <s v="zN/A"/>
    <s v="Melnyk, Roman"/>
  </r>
  <r>
    <x v="629"/>
    <s v="Simon Fraser University (Burnaby, B.C.)"/>
    <x v="3"/>
    <x v="6"/>
    <s v="201310CPG"/>
    <x v="8"/>
    <s v="Scanning micro-cantilever based catheter for in vivo imaging"/>
    <n v="358351"/>
    <n v="0"/>
    <s v="3 yrs 0 mth "/>
    <x v="0"/>
    <x v="9"/>
    <s v="micro-cantilever, catheter, imaging"/>
    <n v="0"/>
    <s v="zN/A"/>
    <n v="0"/>
    <s v="zN/A"/>
    <s v="Menon, Carlo"/>
  </r>
  <r>
    <x v="629"/>
    <s v="Simon Fraser University (Burnaby, B.C.)"/>
    <x v="3"/>
    <x v="6"/>
    <s v="201510CPG"/>
    <x v="8"/>
    <s v="Bimanual wearable robotic orthoses to promote cortical function and recovery from stroke"/>
    <n v="225500"/>
    <n v="0"/>
    <s v="3 yrs 0 mth "/>
    <x v="4"/>
    <x v="4"/>
    <s v="wearable, robotic, orthoses"/>
    <n v="0"/>
    <s v="zN/A"/>
    <n v="0"/>
    <s v="zN/A"/>
    <s v="Menon, Carlo"/>
  </r>
  <r>
    <x v="629"/>
    <s v="Simon Fraser University (Burnaby, B.C.)"/>
    <x v="3"/>
    <x v="6"/>
    <s v="201610CPG"/>
    <x v="8"/>
    <s v="Restoring normal gait: a disruptive assistive technology"/>
    <n v="251314"/>
    <n v="0"/>
    <s v="3 yrs 0 mth "/>
    <x v="6"/>
    <x v="24"/>
    <s v="Gait, assistive, technology"/>
    <n v="0"/>
    <s v="zN/A"/>
    <n v="0"/>
    <s v="zN/A"/>
    <s v="Menon, Carlo"/>
  </r>
  <r>
    <x v="629"/>
    <s v="Simon Fraser University (Burnaby, B.C.)"/>
    <x v="3"/>
    <x v="6"/>
    <s v="201711CPG"/>
    <x v="8"/>
    <s v="Transformative Ankle Bracelet"/>
    <n v="231245"/>
    <n v="6500"/>
    <s v="3 yrs 0 mth "/>
    <x v="4"/>
    <x v="11"/>
    <s v="Ankle, Bracelet"/>
    <n v="1"/>
    <s v="zN/A"/>
    <n v="0"/>
    <s v="zN/A"/>
    <s v="Menon, Carlo"/>
  </r>
  <r>
    <x v="630"/>
    <s v="Western University (Ontario)"/>
    <x v="1"/>
    <x v="0"/>
    <s v="201009MOP"/>
    <x v="6"/>
    <s v="Ultra high field MRI measurements of tissue magnetic susceptibility in Multiple Sclerosis"/>
    <n v="912635"/>
    <n v="0"/>
    <s v="5 yrs 0 mth "/>
    <x v="4"/>
    <x v="16"/>
    <s v="MRI, magnetic susceptibility, Multiple Sclerosis"/>
    <n v="0"/>
    <s v="zN/A"/>
    <n v="0"/>
    <s v="zN/A"/>
    <s v="Menon, Ravi S"/>
  </r>
  <r>
    <x v="630"/>
    <s v="Western University (Ontario)"/>
    <x v="1"/>
    <x v="0"/>
    <s v="201403MOP"/>
    <x v="6"/>
    <s v="Beyond the McDonald Criteria. Can MRI diagnose Multiple Sclerosis at the onset of initial symptoms ?"/>
    <n v="773740"/>
    <n v="0"/>
    <s v="5 yrs 0 mth "/>
    <x v="4"/>
    <x v="18"/>
    <s v="MRI, Multiple Sclerosis, Diagnosis"/>
    <n v="0"/>
    <s v="zN/A"/>
    <n v="0"/>
    <s v="zN/A"/>
    <s v="Menon, Ravi S"/>
  </r>
  <r>
    <x v="631"/>
    <s v="Western University (Ontario)"/>
    <x v="1"/>
    <x v="6"/>
    <s v="201510CPG"/>
    <x v="8"/>
    <s v="Non-diffusing 3D gel dosimeters: A platform technology for dose verification and quality assurance in radiation therapy"/>
    <n v="213650"/>
    <n v="0"/>
    <s v="3 yrs 0 mth "/>
    <x v="0"/>
    <x v="4"/>
    <s v="3D gel dosimeters, dose verification, radiation therapy"/>
    <n v="0"/>
    <s v="zN/A"/>
    <n v="0"/>
    <s v="zN/A"/>
    <s v="Mequanint, Kibret"/>
  </r>
  <r>
    <x v="632"/>
    <s v="CIUSSS de Centre-Ouest-de-l'Ile-de-Montréal-Jewish General"/>
    <x v="4"/>
    <x v="1"/>
    <s v="202209PJT"/>
    <x v="5"/>
    <s v="Understanding the role of eIF4A in AML progression and relapse"/>
    <n v="929475"/>
    <n v="0"/>
    <s v="5 yrs 0 mth "/>
    <x v="0"/>
    <x v="8"/>
    <s v="eIF4A, AML, relapse"/>
    <n v="0"/>
    <s v="zN/A"/>
    <n v="0"/>
    <s v="zN/A"/>
    <s v="Mercier, Franeois"/>
  </r>
  <r>
    <x v="633"/>
    <s v="Centre hospitalier de l'Universite de Montreal (CHUM)"/>
    <x v="4"/>
    <x v="19"/>
    <s v="202307NWI"/>
    <x v="17"/>
    <s v="Unveiling the Role of Cellular Aging in Postmenopausal Syndrome: Rationale for Senolytic-Based Strategies to Enhance Women's Health"/>
    <n v="108000"/>
    <n v="0"/>
    <s v="1 yr 0 mth "/>
    <x v="8"/>
    <x v="36"/>
    <s v="cellular aging, senolytic, women's health"/>
    <n v="0"/>
    <s v="zN/A"/>
    <n v="0"/>
    <s v="zN/A"/>
    <s v="Mes-Masson, Anne-Marie"/>
  </r>
  <r>
    <x v="634"/>
    <s v="Université Laval"/>
    <x v="4"/>
    <x v="6"/>
    <s v="201410CPG"/>
    <x v="8"/>
    <s v="Minimally-invasive, wireless, multimodal micro-optrodes for brain sensing"/>
    <n v="375000"/>
    <n v="0"/>
    <s v="3 yrs 0 mth "/>
    <x v="4"/>
    <x v="6"/>
    <s v="micro-optrodes, brain sensing, wireless"/>
    <n v="0"/>
    <s v="zN/A"/>
    <n v="0"/>
    <s v="zN/A"/>
    <s v="Messaddeq, Younes"/>
  </r>
  <r>
    <x v="635"/>
    <s v="Polytechnique Montréal"/>
    <x v="4"/>
    <x v="6"/>
    <s v="201210CPG"/>
    <x v="8"/>
    <s v="Nanoplasmonics Enhanced Laser Gene Delivery for Retinal Degenerative Diseases"/>
    <n v="269000"/>
    <n v="0"/>
    <s v="3 yrs 0 mth "/>
    <x v="6"/>
    <x v="14"/>
    <s v="Nanoplasmonics, Laser, Gene delivery"/>
    <n v="0"/>
    <s v="zN/A"/>
    <n v="0"/>
    <s v="zN/A"/>
    <s v="Meunier, Michel"/>
  </r>
  <r>
    <x v="635"/>
    <s v="Polytechnique Montréal"/>
    <x v="4"/>
    <x v="6"/>
    <s v="201711CPG"/>
    <x v="8"/>
    <s v="Improving the reliability of cytology diagnosis with immunoplasmonic multiplex labeling."/>
    <n v="301500"/>
    <n v="0"/>
    <s v="3 yrs 0 mth "/>
    <x v="0"/>
    <x v="11"/>
    <s v="cytology, immunoplasmonic, multiplex labeling"/>
    <n v="0"/>
    <s v="zN/A"/>
    <n v="0"/>
    <s v="zN/A"/>
    <s v="Meunier, Michel"/>
  </r>
  <r>
    <x v="635"/>
    <s v="Polytechnique Montréal"/>
    <x v="4"/>
    <x v="6"/>
    <s v="201711CPG"/>
    <x v="8"/>
    <s v="Selective laser-mediated gene therapy for ocular diseases"/>
    <n v="369433"/>
    <n v="4750"/>
    <s v="3 yrs 0 mth "/>
    <x v="4"/>
    <x v="11"/>
    <s v="laser, gene, ocular"/>
    <n v="1"/>
    <s v="zN/A"/>
    <n v="0"/>
    <s v="zN/A"/>
    <s v="Meunier, Michel"/>
  </r>
  <r>
    <x v="636"/>
    <s v="University of British Columbia"/>
    <x v="3"/>
    <x v="30"/>
    <s v="201210CEH"/>
    <x v="21"/>
    <s v="Quality of life in bipolar disorder: e-health engagement to move evidence into action."/>
    <n v="100000"/>
    <n v="0"/>
    <s v="1 yr 0 mth "/>
    <x v="4"/>
    <x v="32"/>
    <s v="bipolar disorder, e-health, engagement"/>
    <n v="0"/>
    <s v="zN/A"/>
    <n v="0"/>
    <s v="zN/A"/>
    <s v="Michalak, Erin"/>
  </r>
  <r>
    <x v="637"/>
    <s v="University of Toronto"/>
    <x v="1"/>
    <x v="6"/>
    <s v="201210CPG"/>
    <x v="8"/>
    <s v="A Modular Intelligent Power Wheelchair System to Enhance Mobility, Safety and Participation of Users"/>
    <n v="286788"/>
    <n v="0"/>
    <s v="3 yrs 0 mth "/>
    <x v="6"/>
    <x v="14"/>
    <s v="Power, Wheelchair, Mobility"/>
    <n v="1"/>
    <s v="zN/A"/>
    <n v="0"/>
    <s v="zN/A"/>
    <s v="Mihailidis, Alex"/>
  </r>
  <r>
    <x v="638"/>
    <s v="University Health Network (Toronto)"/>
    <x v="1"/>
    <x v="0"/>
    <s v="201303MOP"/>
    <x v="6"/>
    <s v="A potential biomarker for vascular dementia"/>
    <n v="324598"/>
    <n v="0"/>
    <s v="4 yrs 0 mth "/>
    <x v="6"/>
    <x v="34"/>
    <s v="biomarker, vascular, dementia"/>
    <n v="0"/>
    <s v="zN/A"/>
    <n v="0"/>
    <s v="zN/A"/>
    <s v="Mikulis, David J"/>
  </r>
  <r>
    <x v="639"/>
    <s v="University of Manitoba"/>
    <x v="0"/>
    <x v="6"/>
    <s v="201210CPG"/>
    <x v="8"/>
    <s v="Development of Magnetic Nanoparticles to Breakthrough the Blood-Brain Barrier"/>
    <n v="440666"/>
    <n v="0"/>
    <s v="3 yrs 0 mth "/>
    <x v="4"/>
    <x v="14"/>
    <s v="Magnetic Nanoparticles, Blood-Brain Barrier"/>
    <n v="1"/>
    <s v="zN/A"/>
    <n v="0"/>
    <s v="zN/A"/>
    <s v="Miller, Donald W"/>
  </r>
  <r>
    <x v="639"/>
    <s v="University of Manitoba"/>
    <x v="0"/>
    <x v="6"/>
    <s v="201810CPG"/>
    <x v="8"/>
    <s v="Development and clinical assessment of novel biomarker drugs targeting SSAT1 for detection and therapeutic monitoring of glioblastoma"/>
    <n v="405529"/>
    <n v="5232"/>
    <s v="3 yrs 0 mth "/>
    <x v="0"/>
    <x v="26"/>
    <s v="biomarker, SSAT1, glioblastoma"/>
    <n v="1"/>
    <s v="zN/A"/>
    <n v="0"/>
    <s v="zN/A"/>
    <s v="Miller, Donald W"/>
  </r>
  <r>
    <x v="640"/>
    <s v="University of Toronto"/>
    <x v="1"/>
    <x v="5"/>
    <s v="200902NHG"/>
    <x v="7"/>
    <s v="Impulsive Heat desorption of the single cell - towards a full protein content determination"/>
    <n v="89450"/>
    <n v="0"/>
    <s v="1 yr 0 mth "/>
    <x v="2"/>
    <x v="45"/>
    <s v="Heat desorption, protein content, single cell"/>
    <n v="0"/>
    <s v="zN/A"/>
    <n v="0"/>
    <s v="zN/A"/>
    <s v="Miller, Robert John D"/>
  </r>
  <r>
    <x v="641"/>
    <s v="CIUSSS de Centre-Ouest-de-l'Ile-de-Montréal-Jewish General"/>
    <x v="4"/>
    <x v="0"/>
    <s v="200809MOP"/>
    <x v="5"/>
    <s v="Mechanisms of the anti-cancer actions of arsenic."/>
    <n v="851780"/>
    <n v="0"/>
    <s v="5 yrs 0 mth "/>
    <x v="0"/>
    <x v="0"/>
    <s v="arsenic, anti-cancer, mechanisms"/>
    <n v="0"/>
    <s v="zN/A"/>
    <n v="0"/>
    <s v="zN/A"/>
    <s v="Miller, Wilson H"/>
  </r>
  <r>
    <x v="641"/>
    <s v="CIUSSS de Centre-Ouest-de-l'Ile-de-Montréal-Jewish General"/>
    <x v="4"/>
    <x v="0"/>
    <s v="201103MOP"/>
    <x v="5"/>
    <s v="Targeting the eukaryotic translation initiation factor eIF4E with ribavirin in breast cancer"/>
    <n v="425282"/>
    <n v="0"/>
    <s v="3 yrs 0 mth "/>
    <x v="0"/>
    <x v="17"/>
    <s v="eIF4E, ribavirin, breast cancer"/>
    <n v="0"/>
    <s v="zN/A"/>
    <n v="0"/>
    <s v="zN/A"/>
    <s v="Miller, Wilson H"/>
  </r>
  <r>
    <x v="641"/>
    <s v="CIUSSS de Centre-Ouest-de-l'Ile-de-Montréal-Jewish General"/>
    <x v="4"/>
    <x v="0"/>
    <s v="201209MOP"/>
    <x v="1"/>
    <s v="Mechanisms of response and resistance to epigenetic therapy in hematological malignancy"/>
    <n v="729885"/>
    <n v="0"/>
    <s v="5 yrs 0 mth "/>
    <x v="0"/>
    <x v="14"/>
    <s v="epigenetic, hematological malignancy, response"/>
    <n v="0"/>
    <s v="zN/A"/>
    <n v="0"/>
    <s v="zN/A"/>
    <s v="Miller, Wilson H"/>
  </r>
  <r>
    <x v="641"/>
    <s v="CIUSSS de Centre-Ouest-de-l'Ile-de-Montréal-Jewish General"/>
    <x v="4"/>
    <x v="0"/>
    <s v="201503MOP"/>
    <x v="1"/>
    <s v="Understanding the role of the MNK-eIF4E axis in the response and resistance to BRAF inhibitors."/>
    <n v="720155"/>
    <n v="0"/>
    <s v="5 yrs 0 mth "/>
    <x v="0"/>
    <x v="19"/>
    <s v="MNK, eIF4E, BRAF"/>
    <n v="0"/>
    <s v="zN/A"/>
    <n v="0"/>
    <s v="zN/A"/>
    <s v="Miller, Wilson H"/>
  </r>
  <r>
    <x v="641"/>
    <s v="CIUSSS de Centre-Ouest-de-l'Ile-de-Montréal-Jewish General"/>
    <x v="4"/>
    <x v="1"/>
    <s v="201709PJT"/>
    <x v="0"/>
    <s v="Targeting the Mnk/eIF4E axis in the tumor microenvironment of pregnancy associated breast cancers."/>
    <n v="692325"/>
    <n v="0"/>
    <s v="5 yrs 0 mth "/>
    <x v="0"/>
    <x v="11"/>
    <s v="Mnk, eIF4E, breast cancer"/>
    <n v="0"/>
    <s v="zN/A"/>
    <n v="0"/>
    <s v="zN/A"/>
    <s v="Miller, Wilson H"/>
  </r>
  <r>
    <x v="641"/>
    <s v="CIUSSS de Centre-Ouest-de-l'Ile-de-Montréal-Jewish General"/>
    <x v="4"/>
    <x v="1"/>
    <s v="202203PJT"/>
    <x v="0"/>
    <s v="Exploring the therapeutic potential of combined inhibition of MNK1/2 and CDK4/6 to treat melanoma."/>
    <n v="841500"/>
    <n v="0"/>
    <s v="5 yrs 0 mth "/>
    <x v="0"/>
    <x v="3"/>
    <s v="MNK1, CDK4/6, melanoma"/>
    <n v="0"/>
    <s v="zN/A"/>
    <n v="0"/>
    <s v="zN/A"/>
    <s v="Miller, Wilson H"/>
  </r>
  <r>
    <x v="642"/>
    <s v="CIUSSS Est-de-l'Ile-de- Montréal-Maisonneuve Rosemont"/>
    <x v="4"/>
    <x v="1"/>
    <s v="202109PJT"/>
    <x v="0"/>
    <s v="Influence of Ikaros on treatment response in Acute Lymphoblastic Leukemia"/>
    <n v="868275"/>
    <n v="0"/>
    <s v="5 yrs 0 mth "/>
    <x v="0"/>
    <x v="25"/>
    <s v="Ikaros, Acute Lymphoblastic Leukemia, response"/>
    <n v="0"/>
    <s v="zN/A"/>
    <n v="0"/>
    <s v="zN/A"/>
    <s v="Milot, Eric"/>
  </r>
  <r>
    <x v="643"/>
    <s v="Western University (Ontario)"/>
    <x v="1"/>
    <x v="0"/>
    <s v="201209MOP"/>
    <x v="5"/>
    <s v="The role of IDO1 vs IDO2 on tumour immune evasion  and immune therapy"/>
    <n v="313349"/>
    <n v="0"/>
    <s v="3 yrs 0 mth "/>
    <x v="0"/>
    <x v="14"/>
    <s v="IDO1, IDO2, immune evasion"/>
    <n v="0"/>
    <s v="zN/A"/>
    <n v="0"/>
    <s v="zN/A"/>
    <s v="Min, Wei-Ping"/>
  </r>
  <r>
    <x v="644"/>
    <s v="University of British Columbia"/>
    <x v="3"/>
    <x v="0"/>
    <s v="200809MOP"/>
    <x v="0"/>
    <s v="Hypoxia-selective radiation sensitizers"/>
    <n v="560232"/>
    <n v="0"/>
    <s v="4 yrs 0 mth "/>
    <x v="0"/>
    <x v="0"/>
    <s v="Hypoxia, radiation, sensitizers"/>
    <n v="0"/>
    <s v="zN/A"/>
    <n v="0"/>
    <s v="zN/A"/>
    <s v="Minchinton, Andrew I"/>
  </r>
  <r>
    <x v="644"/>
    <s v="University of British Columbia"/>
    <x v="3"/>
    <x v="0"/>
    <s v="201109MOP"/>
    <x v="0"/>
    <s v="Microenvironmental strategies for the optimal utilization of anti-angiogenic drugs combinations"/>
    <n v="662588"/>
    <n v="0"/>
    <s v="4 yrs 0 mth "/>
    <x v="0"/>
    <x v="15"/>
    <s v="microenvironment, anti-angiogenic, drugs"/>
    <n v="0"/>
    <s v="zN/A"/>
    <n v="0"/>
    <s v="zN/A"/>
    <s v="Minchinton, Andrew I"/>
  </r>
  <r>
    <x v="644"/>
    <s v="University of British Columbia"/>
    <x v="3"/>
    <x v="0"/>
    <s v="201309MOP"/>
    <x v="0"/>
    <s v="Metabolic manipulation of hypoxia and radiotherapy response"/>
    <n v="727090"/>
    <n v="0"/>
    <s v="5 yrs 0 mth "/>
    <x v="0"/>
    <x v="9"/>
    <s v="metabolic, hypoxia, radiotherapy"/>
    <n v="0"/>
    <s v="zN/A"/>
    <n v="0"/>
    <s v="zN/A"/>
    <s v="Minchinton, Andrew I"/>
  </r>
  <r>
    <x v="644"/>
    <s v="University of British Columbia"/>
    <x v="3"/>
    <x v="6"/>
    <s v="201711CPG"/>
    <x v="8"/>
    <s v="Hypoxia-selective inhibitors of DNA repair"/>
    <n v="259381"/>
    <n v="0"/>
    <s v="3 yrs 0 mth "/>
    <x v="0"/>
    <x v="11"/>
    <s v="hypoxia, inhibitors, DNA repair"/>
    <n v="2"/>
    <s v="zN/A"/>
    <n v="0"/>
    <s v="zN/A"/>
    <s v="Minchinton, Andrew I"/>
  </r>
  <r>
    <x v="644"/>
    <s v="University of British Columbia"/>
    <x v="3"/>
    <x v="1"/>
    <s v="202104PJT"/>
    <x v="3"/>
    <s v="FLASH radiotherapy - mechanisms and translational studies"/>
    <n v="918000"/>
    <n v="0"/>
    <s v="4 yrs 0 mth "/>
    <x v="0"/>
    <x v="35"/>
    <s v="FLASH, radiotherapy, mechanisms"/>
    <n v="0"/>
    <s v="zN/A"/>
    <n v="0"/>
    <s v="zN/A"/>
    <s v="Minchinton, Andrew I"/>
  </r>
  <r>
    <x v="644"/>
    <s v="University of British Columbia"/>
    <x v="3"/>
    <x v="1"/>
    <s v="202109PJT"/>
    <x v="3"/>
    <s v="Metabolic manipulation of hypoxia for improved radiotherapy response"/>
    <n v="677024"/>
    <n v="0"/>
    <s v="4 yrs 0 mth "/>
    <x v="0"/>
    <x v="25"/>
    <s v="metabolic manipulation, hypoxia, radiotherapy"/>
    <n v="1"/>
    <s v="zN/A"/>
    <n v="0"/>
    <s v="zN/A"/>
    <s v="Minchinton, Andrew I"/>
  </r>
  <r>
    <x v="645"/>
    <s v="University Health Network (Toronto)"/>
    <x v="1"/>
    <x v="0"/>
    <s v="200903MOP"/>
    <x v="5"/>
    <s v="DNA Hypermethylation in AML: A means to understand the disease and to direct therapy"/>
    <n v="391824"/>
    <n v="0"/>
    <s v="3 yrs 0 mth "/>
    <x v="0"/>
    <x v="5"/>
    <s v="DNA, Hypermethylation, AML"/>
    <n v="2"/>
    <s v="zN/A"/>
    <n v="0"/>
    <s v="zN/A"/>
    <s v="Minden, Mark D"/>
  </r>
  <r>
    <x v="645"/>
    <s v="University Health Network (Toronto)"/>
    <x v="1"/>
    <x v="0"/>
    <s v="201109MOP"/>
    <x v="1"/>
    <s v="CSF1R as a therapeutic target in Acute Myeloid Leukemia"/>
    <n v="361800"/>
    <n v="0"/>
    <s v="3 yrs 0 mth "/>
    <x v="0"/>
    <x v="15"/>
    <s v="CSF1R, Acute Myeloid Leukemia, therapeutic target"/>
    <n v="0"/>
    <s v="zN/A"/>
    <n v="0"/>
    <s v="zN/A"/>
    <s v="Minden, Mark D"/>
  </r>
  <r>
    <x v="645"/>
    <s v="University Health Network (Toronto)"/>
    <x v="1"/>
    <x v="1"/>
    <s v="201709PJT"/>
    <x v="1"/>
    <s v="Mutant nucleophosmin AML a heterogeneous disease: characterization and drug sensitivity."/>
    <n v="688500"/>
    <n v="0"/>
    <s v="5 yrs 0 mth "/>
    <x v="0"/>
    <x v="11"/>
    <s v="nucleophosmin, AML, drug sensitivity"/>
    <n v="0"/>
    <s v="zN/A"/>
    <n v="0"/>
    <s v="zN/A"/>
    <s v="Minden, Mark D"/>
  </r>
  <r>
    <x v="646"/>
    <s v="University of Toronto"/>
    <x v="1"/>
    <x v="1"/>
    <s v="202003PJT"/>
    <x v="0"/>
    <s v="Identifying cancer intrinsic immune evasion mechanism for target discovery"/>
    <n v="956250"/>
    <n v="0"/>
    <s v="5 yrs 0 mth "/>
    <x v="0"/>
    <x v="39"/>
    <s v="cancer, immune evasion, target discovery"/>
    <n v="1"/>
    <s v="zN/A"/>
    <n v="0"/>
    <s v="zN/A"/>
    <s v="Moffat, Jason"/>
  </r>
  <r>
    <x v="647"/>
    <s v="University Health Network (Toronto)"/>
    <x v="1"/>
    <x v="1"/>
    <s v="202010PJT"/>
    <x v="5"/>
    <s v="Identification of novel therapeutic targets for SOX2-driven lung squamous cell carcinoma"/>
    <n v="650252"/>
    <n v="0"/>
    <s v="4 yrs 0 mth "/>
    <x v="0"/>
    <x v="23"/>
    <s v="SOX2, lung cancer, targets"/>
    <n v="0"/>
    <s v="zN/A"/>
    <n v="0"/>
    <s v="zN/A"/>
    <s v="Moghal, Nadeem"/>
  </r>
  <r>
    <x v="648"/>
    <s v="University of British Columbia"/>
    <x v="3"/>
    <x v="19"/>
    <s v="202307NWI"/>
    <x v="17"/>
    <s v="Prediction of Pregnancy Outcomes Using Point-of-Care First Trimester Biomarkers in a Recurrent Pregnancy Loss Population"/>
    <n v="111386"/>
    <n v="0"/>
    <s v="1 yr 0 mth "/>
    <x v="8"/>
    <x v="36"/>
    <s v="Pregnancy, Biomarkers, Prediction"/>
    <n v="0"/>
    <s v="zN/A"/>
    <n v="0"/>
    <s v="zN/A"/>
    <s v="Mohamed, Ali Bedaiwy"/>
  </r>
  <r>
    <x v="649"/>
    <s v="University of Calgary"/>
    <x v="2"/>
    <x v="1"/>
    <s v="202010PJT"/>
    <x v="0"/>
    <s v="Harnessing STING activation for the treatment of sarcoma"/>
    <n v="1071000"/>
    <n v="0"/>
    <s v="5 yrs 0 mth "/>
    <x v="0"/>
    <x v="23"/>
    <s v="STING, activation, sarcoma"/>
    <n v="0"/>
    <s v="zN/A"/>
    <n v="0"/>
    <s v="zN/A"/>
    <s v="Monument, Michael J"/>
  </r>
  <r>
    <x v="650"/>
    <s v="University of Guelph"/>
    <x v="1"/>
    <x v="0"/>
    <s v="201003MOP"/>
    <x v="5"/>
    <s v="Is IGF-IR Mediated Mammary Tumorigenesis Influenced by the Mammary Developmental Stage"/>
    <n v="453972"/>
    <n v="0"/>
    <s v="4 yrs 0 mth "/>
    <x v="0"/>
    <x v="21"/>
    <s v="IGF-IR, Mammary, Tumorigenesis"/>
    <n v="0"/>
    <s v="zN/A"/>
    <n v="0"/>
    <s v="zN/A"/>
    <s v="Moorehead, Roger A"/>
  </r>
  <r>
    <x v="650"/>
    <s v="University of Guelph"/>
    <x v="1"/>
    <x v="0"/>
    <s v="201403MOP"/>
    <x v="0"/>
    <s v="miRNA function in breast cancer"/>
    <n v="589508"/>
    <n v="0"/>
    <s v="5 yrs 0 mth "/>
    <x v="0"/>
    <x v="18"/>
    <s v="miRNA, breast cancer"/>
    <n v="0"/>
    <s v="zN/A"/>
    <n v="0"/>
    <s v="zN/A"/>
    <s v="Moorehead, Roger A"/>
  </r>
  <r>
    <x v="650"/>
    <s v="University of Guelph"/>
    <x v="1"/>
    <x v="1"/>
    <s v="201809PJT"/>
    <x v="3"/>
    <s v="Understanding how the miR-200 family prevents tumor initiation and impairs tumor growth"/>
    <n v="837675"/>
    <n v="0"/>
    <s v="5 yrs 0 mth "/>
    <x v="0"/>
    <x v="26"/>
    <s v="miR-200, tumor, growth"/>
    <n v="0"/>
    <s v="zN/A"/>
    <n v="0"/>
    <s v="zN/A"/>
    <s v="Moorehead, Roger A"/>
  </r>
  <r>
    <x v="650"/>
    <s v="University of Guelph"/>
    <x v="1"/>
    <x v="10"/>
    <s v="202309PLL"/>
    <x v="1"/>
    <s v="The role of MXRA8 in breast cancer growth and metastasis"/>
    <n v="100000"/>
    <n v="0"/>
    <s v="1 yr 0 mth "/>
    <x v="0"/>
    <x v="37"/>
    <s v="MXRA8, breast cancer, metastasis"/>
    <n v="0"/>
    <s v="zN/A"/>
    <n v="0"/>
    <s v="zN/A"/>
    <s v="Moorehead, Roger A"/>
  </r>
  <r>
    <x v="651"/>
    <s v="University of British Columbia"/>
    <x v="3"/>
    <x v="4"/>
    <s v="201309IC1"/>
    <x v="6"/>
    <s v="Computational multimodal radiologic profiling as a prognostic biomarker for individualized prostate cancer therapy"/>
    <n v="100000"/>
    <n v="0"/>
    <s v="1 yr 0 mth "/>
    <x v="0"/>
    <x v="54"/>
    <s v="computational, radiologic, prostate cancer"/>
    <n v="3"/>
    <s v="zN/A"/>
    <n v="0"/>
    <s v="zN/A"/>
    <s v="Moradi, Mehdi"/>
  </r>
  <r>
    <x v="652"/>
    <s v="Hospital for Sick Children (Toronto)"/>
    <x v="1"/>
    <x v="40"/>
    <s v="202209PJS"/>
    <x v="1"/>
    <s v="An ACO2-Iron Axis in Aggressive Lung Cancer"/>
    <n v="100000"/>
    <n v="0"/>
    <s v="1 yr 0 mth "/>
    <x v="0"/>
    <x v="28"/>
    <s v="ACO2, Iron, Lung Cancer"/>
    <n v="0"/>
    <s v="zN/A"/>
    <n v="0"/>
    <s v="zN/A"/>
    <s v="Moran, Michael F"/>
  </r>
  <r>
    <x v="653"/>
    <s v="Hospital for Sick Children (Toronto)"/>
    <x v="1"/>
    <x v="17"/>
    <s v="202203PDI"/>
    <x v="3"/>
    <s v="OPTIMISE: Optimal precision therapies to customise care in childhood and adolescent cancer"/>
    <n v="545625"/>
    <n v="0"/>
    <s v="1 yr 5 mths "/>
    <x v="0"/>
    <x v="3"/>
    <s v="precision, therapies, cancer"/>
    <n v="0"/>
    <s v="zN/A"/>
    <n v="0"/>
    <s v="zN/A"/>
    <s v="Morgenstern, Daniel A"/>
  </r>
  <r>
    <x v="654"/>
    <s v="University of Toronto"/>
    <x v="1"/>
    <x v="6"/>
    <s v="201210CPG"/>
    <x v="8"/>
    <s v="Screening technologies for identification of bacterial vascular dissemination inhibitors and testing of novel antibiotic-complementing therapeutic molecules"/>
    <n v="313633"/>
    <n v="0"/>
    <s v="3 yrs 0 mth "/>
    <x v="1"/>
    <x v="14"/>
    <s v="bacterial, vascular, inhibitors"/>
    <n v="0"/>
    <s v="zN/A"/>
    <n v="0"/>
    <s v="zN/A"/>
    <s v="Moriarty, Tara J"/>
  </r>
  <r>
    <x v="655"/>
    <s v="Universite de Sherbrooke"/>
    <x v="4"/>
    <x v="19"/>
    <s v="202307NWI"/>
    <x v="17"/>
    <s v="Punctures physiotherapiques avec aiguilles seches pour la vestibulodynie provoquee: une etude de faisabilite et d'acceptabilite randomisee et contrelee"/>
    <n v="149971"/>
    <n v="0"/>
    <s v="1 yr 0 mth "/>
    <x v="8"/>
    <x v="36"/>
    <s v="punctures, physiotherapy, vestibulodynia"/>
    <n v="0"/>
    <s v="zN/A"/>
    <n v="0"/>
    <s v="zN/A"/>
    <s v="Morin, Melanie"/>
  </r>
  <r>
    <x v="656"/>
    <s v="Simon Fraser University (Burnaby, B.C.)"/>
    <x v="3"/>
    <x v="0"/>
    <s v="201303MOP"/>
    <x v="0"/>
    <s v="Investigating the mutations driving non Hodgkin lymphomas and developing plasma-based assays for tumour detection and monitoring"/>
    <n v="612722"/>
    <n v="0"/>
    <s v="5 yrs 0 mth "/>
    <x v="0"/>
    <x v="34"/>
    <s v="mutations, lymphomas, assays"/>
    <n v="0"/>
    <s v="zN/A"/>
    <n v="0"/>
    <s v="zN/A"/>
    <s v="Morin, Ryan D"/>
  </r>
  <r>
    <x v="656"/>
    <s v="Simon Fraser University (Burnaby, B.C.)"/>
    <x v="3"/>
    <x v="1"/>
    <s v="201903PJT"/>
    <x v="5"/>
    <s v="Prioritization and functional characterization of regulatory mutations in non-Hodgkin lymphoma"/>
    <n v="784126"/>
    <n v="0"/>
    <s v="5 yrs 0 mth "/>
    <x v="0"/>
    <x v="1"/>
    <s v="regulatory mutations, non-Hodgkin lymphoma, functional characterization"/>
    <n v="2"/>
    <s v="zN/A"/>
    <n v="0"/>
    <s v="zN/A"/>
    <s v="Morin, Ryan D"/>
  </r>
  <r>
    <x v="656"/>
    <s v="Simon Fraser University (Burnaby, B.C.)"/>
    <x v="3"/>
    <x v="1"/>
    <s v="202203PJT"/>
    <x v="1"/>
    <s v="All roads lead to Rome: Tracing the evolutionary paths to diffuse large B-cell lymphoma"/>
    <n v="1017450"/>
    <n v="0"/>
    <s v="5 yrs 0 mth "/>
    <x v="0"/>
    <x v="3"/>
    <s v="B-cell lymphoma, tracing, evolutionary"/>
    <n v="0"/>
    <s v="zN/A"/>
    <n v="0"/>
    <s v="zN/A"/>
    <s v="Morin, Ryan D"/>
  </r>
  <r>
    <x v="657"/>
    <s v="Institut de recherches cliniques de Montréal"/>
    <x v="4"/>
    <x v="0"/>
    <s v="201009MOP"/>
    <x v="0"/>
    <s v="Dose dependent role of Gfi1 in the initiation and maintenance of T-cell leukemia and lymphoma"/>
    <n v="339678"/>
    <n v="0"/>
    <s v="3 yrs 0 mth "/>
    <x v="0"/>
    <x v="16"/>
    <s v="Gfi1, T-cell leukemia, lymphoma"/>
    <n v="1"/>
    <s v="zN/A"/>
    <n v="0"/>
    <s v="zN/A"/>
    <s v="Moroy, Tarik"/>
  </r>
  <r>
    <x v="657"/>
    <s v="Institut de recherches cliniques de Montréal"/>
    <x v="4"/>
    <x v="0"/>
    <s v="201103MOP"/>
    <x v="0"/>
    <s v="Function of the BTB/POZ domain transcription factor Miz-1 in the activation of lymphoid cells and in lymphoid leukemia and lymphoma"/>
    <n v="706460"/>
    <n v="0"/>
    <s v="5 yrs 0 mth "/>
    <x v="0"/>
    <x v="17"/>
    <s v="BTB, transcription factor, lymphoid"/>
    <n v="0"/>
    <s v="zN/A"/>
    <n v="0"/>
    <s v="zN/A"/>
    <s v="Moroy, Tarik"/>
  </r>
  <r>
    <x v="657"/>
    <s v="Institut de recherches cliniques de Montréal"/>
    <x v="4"/>
    <x v="0"/>
    <s v="201209MOP"/>
    <x v="0"/>
    <s v="Role of Gfi1 as a modulator of the ATM/DNA-PK DNA damage response pathway"/>
    <n v="686375"/>
    <n v="0"/>
    <s v="5 yrs 0 mth "/>
    <x v="0"/>
    <x v="14"/>
    <s v="Gfi1, ATM, DNA-PK"/>
    <n v="0"/>
    <s v="zN/A"/>
    <n v="0"/>
    <s v="zN/A"/>
    <s v="Moroy, Tarik"/>
  </r>
  <r>
    <x v="657"/>
    <s v="Institut de recherches cliniques de Montréal"/>
    <x v="4"/>
    <x v="1"/>
    <s v="202209PJT"/>
    <x v="0"/>
    <s v="Therapeutic potential of the long non-coding RNA ELDR for the Acute Myeloid Leukemia subtype M5 with t(9;11) translocations"/>
    <n v="992014"/>
    <n v="0"/>
    <s v="5 yrs 0 mth "/>
    <x v="0"/>
    <x v="8"/>
    <s v="long non-coding RNA, Acute Myeloid Leukemia, ELDR"/>
    <n v="0"/>
    <s v="zN/A"/>
    <n v="0"/>
    <s v="zN/A"/>
    <s v="Moroy, Tarik"/>
  </r>
  <r>
    <x v="657"/>
    <s v="Institut de recherches cliniques de Montréal"/>
    <x v="4"/>
    <x v="1"/>
    <s v="202203PJT"/>
    <x v="0"/>
    <s v="The role of the RNA helicase DDX3X in Burkitt Lymphoma and its potential as a new therapeutic target"/>
    <n v="1162800"/>
    <n v="0"/>
    <s v="5 yrs 0 mth "/>
    <x v="0"/>
    <x v="49"/>
    <s v="RNA helicase, DDX3X, Burkitt Lymphoma"/>
    <n v="0"/>
    <s v="zN/A"/>
    <n v="0"/>
    <s v="zN/A"/>
    <s v="Moroy, Tarik"/>
  </r>
  <r>
    <x v="657"/>
    <s v="Institut de recherches cliniques de Montréal"/>
    <x v="4"/>
    <x v="17"/>
    <s v="202303PDI"/>
    <x v="0"/>
    <s v="The MYC/MIZ-1 complex in germinal center B cells and B cell lymphomagenesis"/>
    <n v="100000"/>
    <n v="0"/>
    <s v="1 yr 0 mth "/>
    <x v="0"/>
    <x v="13"/>
    <s v="MYC, MIZ-1, B cells"/>
    <n v="0"/>
    <s v="zN/A"/>
    <n v="0"/>
    <s v="zN/A"/>
    <s v="Moroy, Tarik"/>
  </r>
  <r>
    <x v="658"/>
    <s v="University of Toronto"/>
    <x v="1"/>
    <x v="3"/>
    <s v="201309IPR"/>
    <x v="4"/>
    <s v="Promoting neural regeneration with stem cell based therapies:  A novel source of autologous human neural stem cells for transplantation"/>
    <n v="1250000"/>
    <n v="0"/>
    <s v="5 yrs 0 mth "/>
    <x v="4"/>
    <x v="9"/>
    <s v="neural regeneration, stem cells, transplantation"/>
    <n v="1"/>
    <s v="zN/A"/>
    <n v="0"/>
    <s v="zN/A"/>
    <s v="Morshead, Cindi M"/>
  </r>
  <r>
    <x v="658"/>
    <s v="University of Toronto"/>
    <x v="1"/>
    <x v="6"/>
    <s v="201910CPG"/>
    <x v="8"/>
    <s v="Engineering healing: Combinatorial strategies to promote repair of the stroke injured brain"/>
    <n v="551700"/>
    <n v="0"/>
    <s v="3 yrs 0 mth "/>
    <x v="4"/>
    <x v="22"/>
    <s v="brain, repair, stroke"/>
    <n v="0"/>
    <s v="zN/A"/>
    <n v="0"/>
    <s v="zN/A"/>
    <s v="Morshead, Cindi M"/>
  </r>
  <r>
    <x v="659"/>
    <s v="Queen's University (Kingston, Ontario)"/>
    <x v="1"/>
    <x v="6"/>
    <s v="201310CPG"/>
    <x v="8"/>
    <s v="RF Time Series Flashlight for Targeted Prostate Biopsy"/>
    <n v="126440"/>
    <n v="0"/>
    <s v="3 yrs 0 mth "/>
    <x v="0"/>
    <x v="9"/>
    <s v="RF, Time Series, Biopsy"/>
    <n v="2"/>
    <s v="zN/A"/>
    <n v="0"/>
    <s v="zN/A"/>
    <s v="Mousavi, Parvin"/>
  </r>
  <r>
    <x v="659"/>
    <s v="Queen's University (Kingston, Ontario)"/>
    <x v="1"/>
    <x v="6"/>
    <s v="201810CPG"/>
    <x v="8"/>
    <s v="An integrated spectroscopy-ultrasound surgical navigation system for residual cancer detection in breast surgery."/>
    <n v="188350"/>
    <n v="10000"/>
    <s v="3 yrs 0 mth "/>
    <x v="0"/>
    <x v="26"/>
    <s v="spectroscopy, ultrasound, cancer detection"/>
    <n v="1"/>
    <s v="zN/A"/>
    <n v="0"/>
    <s v="zN/A"/>
    <s v="Mousavi, Parvin"/>
  </r>
  <r>
    <x v="659"/>
    <s v="Queen's University (Kingston, Ontario)"/>
    <x v="1"/>
    <x v="1"/>
    <s v="202303PJT"/>
    <x v="6"/>
    <s v="Real-time molecular-imaging guidance of breast conserving surgery"/>
    <n v="692326"/>
    <n v="0"/>
    <s v="5 yrs 0 mth "/>
    <x v="0"/>
    <x v="13"/>
    <s v="molecular-imaging, breast, surgery"/>
    <n v="0"/>
    <s v="zN/A"/>
    <n v="0"/>
    <s v="zN/A"/>
    <s v="Mousavi, Parvin"/>
  </r>
  <r>
    <x v="660"/>
    <s v="CIUSSS de Centre-Ouest-de-l'Ile-de-Montréal-Jewish General"/>
    <x v="4"/>
    <x v="1"/>
    <s v="202104PJT"/>
    <x v="1"/>
    <s v="A prospective trial of radiation omission in patients with clinically node negative breast cancer and pathologic complete response after neoadjuvant chemotherapy."/>
    <n v="1514700"/>
    <n v="0"/>
    <s v="10 yrs 0 mth "/>
    <x v="0"/>
    <x v="35"/>
    <s v="radiation, breast cancer, chemotherapy"/>
    <n v="0"/>
    <s v="zN/A"/>
    <n v="0"/>
    <s v="zN/A"/>
    <s v="Muanza, Thierry M"/>
  </r>
  <r>
    <x v="661"/>
    <s v="University of Toronto"/>
    <x v="1"/>
    <x v="6"/>
    <s v="201410CPG"/>
    <x v="8"/>
    <s v="Characterization and mitigation of experimental and natural viral bioaerosols"/>
    <n v="241032"/>
    <n v="0"/>
    <s v="3 yrs 0 mth "/>
    <x v="1"/>
    <x v="6"/>
    <s v="viral, bioaerosols, characterization"/>
    <n v="0"/>
    <s v="zN/A"/>
    <n v="0"/>
    <s v="zN/A"/>
    <s v="Mubareka, Samira"/>
  </r>
  <r>
    <x v="662"/>
    <s v="University of British Columbia"/>
    <x v="3"/>
    <x v="0"/>
    <s v="201003MOP"/>
    <x v="1"/>
    <s v="Small molecule SHIP agonists for inhibiting the phosphoinositide 3-kinase pathway"/>
    <n v="390802"/>
    <n v="0"/>
    <s v="3 yrs 0 mth "/>
    <x v="0"/>
    <x v="21"/>
    <s v="small molecule, SHIP, phosphoinositide 3-kinase"/>
    <n v="0"/>
    <s v="zN/A"/>
    <n v="0"/>
    <s v="zN/A"/>
    <s v="Mui, Alice L"/>
  </r>
  <r>
    <x v="662"/>
    <s v="University of British Columbia"/>
    <x v="3"/>
    <x v="13"/>
    <s v="202005VR3"/>
    <x v="12"/>
    <s v="The role of interleukin-10 responsiveness in lung inflammation in SARS CoV2 infection"/>
    <n v="150072"/>
    <n v="0"/>
    <s v="1 yr 0 mth "/>
    <x v="1"/>
    <x v="2"/>
    <s v="interleukin-10, lung inflammation, SARS CoV2"/>
    <n v="1"/>
    <s v="zN/A"/>
    <n v="0"/>
    <s v="zN/A"/>
    <s v="Mui, Alice L"/>
  </r>
  <r>
    <x v="663"/>
    <s v="McGill University"/>
    <x v="4"/>
    <x v="0"/>
    <s v="201309MOP"/>
    <x v="5"/>
    <s v="Identification of PI-3K coupled signalling pathways involved in mammary tumour progression: Implication for resistance to targeted therapy."/>
    <n v="841225"/>
    <n v="0"/>
    <s v="5 yrs 0 mth "/>
    <x v="0"/>
    <x v="9"/>
    <s v="PI-3K, signalling pathways, mammary tumor"/>
    <n v="0"/>
    <s v="zN/A"/>
    <n v="0"/>
    <s v="zN/A"/>
    <s v="Muller, William J"/>
  </r>
  <r>
    <x v="663"/>
    <s v="McGill University"/>
    <x v="4"/>
    <x v="10"/>
    <s v="202209PLL"/>
    <x v="0"/>
    <s v="Chi3L1 (YKL-40) plays a multifaceted role in modulating tumor immune microenvironment during breast cancer progression."/>
    <n v="100000"/>
    <n v="0"/>
    <s v="1 yr 0 mth "/>
    <x v="0"/>
    <x v="13"/>
    <s v="Chi3L1, immune microenvironment, breast cancer"/>
    <n v="0"/>
    <s v="zN/A"/>
    <n v="0"/>
    <s v="zN/A"/>
    <s v="Muller, William J"/>
  </r>
  <r>
    <x v="663"/>
    <s v="McGill University"/>
    <x v="4"/>
    <x v="1"/>
    <s v="202303PJT"/>
    <x v="0"/>
    <s v="Chi3L1 (YKL-40) plays a multifaceted role in modulating tumor immune microenvironment during breast cancer progression."/>
    <n v="1277550"/>
    <n v="0"/>
    <s v="5 yrs 0 mth "/>
    <x v="0"/>
    <x v="13"/>
    <s v="Chi3L1, immune microenvironment, breast cancer"/>
    <n v="0"/>
    <s v="zN/A"/>
    <n v="0"/>
    <s v="zN/A"/>
    <s v="Muller, William J"/>
  </r>
  <r>
    <x v="663"/>
    <s v="McGill University"/>
    <x v="4"/>
    <x v="10"/>
    <s v="202303PLL"/>
    <x v="5"/>
    <s v="Identifying the molecular and environmental factors involved in promoting escape from breast cancer dormancy."/>
    <n v="100000"/>
    <n v="0"/>
    <s v="1 yr 0 mth "/>
    <x v="0"/>
    <x v="33"/>
    <s v="breast cancer, dormancy, molecular factors"/>
    <n v="0"/>
    <s v="zN/A"/>
    <n v="0"/>
    <s v="zN/A"/>
    <s v="Muller, William J"/>
  </r>
  <r>
    <x v="664"/>
    <s v="Queen's University (Kingston, Ontario)"/>
    <x v="1"/>
    <x v="0"/>
    <s v="201503MOP"/>
    <x v="0"/>
    <s v="Mechanisms regulating RET receptor-mediated tumourigenesis"/>
    <n v="695582"/>
    <n v="0"/>
    <s v="5 yrs 0 mth "/>
    <x v="0"/>
    <x v="19"/>
    <s v="RET, receptor, tumourigenesis"/>
    <n v="0"/>
    <s v="zN/A"/>
    <n v="0"/>
    <s v="zN/A"/>
    <s v="Mulligan, Lois M"/>
  </r>
  <r>
    <x v="664"/>
    <s v="Queen's University (Kingston, Ontario)"/>
    <x v="1"/>
    <x v="1"/>
    <s v="202104PJT"/>
    <x v="3"/>
    <s v="Investigating the Regulation of RET Receptor-Mediated Perineural Invasion and Metastasis"/>
    <n v="887400"/>
    <n v="0"/>
    <s v="5 yrs 0 mth "/>
    <x v="0"/>
    <x v="35"/>
    <s v="RET, receptor, metastasis"/>
    <n v="0"/>
    <s v="zN/A"/>
    <n v="0"/>
    <s v="zN/A"/>
    <s v="Mulligan, Lois M"/>
  </r>
  <r>
    <x v="665"/>
    <s v="University of Manitoba"/>
    <x v="0"/>
    <x v="0"/>
    <s v="200903MOP"/>
    <x v="5"/>
    <s v="Beyond the estrogen receptor: Involvement of kinases in estrogen dependence and independence in human breast cancer"/>
    <n v="729830"/>
    <n v="0"/>
    <s v="5 yrs 0 mth "/>
    <x v="0"/>
    <x v="5"/>
    <s v="estrogen receptor, kinases, breast cancer"/>
    <n v="1"/>
    <s v="zN/A"/>
    <n v="0"/>
    <s v="zN/A"/>
    <s v="Murphy, Leigh C"/>
  </r>
  <r>
    <x v="666"/>
    <s v="University of Alberta"/>
    <x v="2"/>
    <x v="0"/>
    <s v="201203MOP"/>
    <x v="9"/>
    <s v="Prevention of Pressure Ulcer Formation using Intermittent Electrical Stimulation"/>
    <n v="459602"/>
    <n v="0"/>
    <s v="3 yrs 6 mths "/>
    <x v="4"/>
    <x v="12"/>
    <s v="Pressure ulcer, electrical stimulation, prevention"/>
    <n v="2"/>
    <s v="zN/A"/>
    <n v="0"/>
    <s v="zN/A"/>
    <s v="Mushahwar, Vivian"/>
  </r>
  <r>
    <x v="666"/>
    <s v="University of Alberta"/>
    <x v="2"/>
    <x v="0"/>
    <s v="201303MOP"/>
    <x v="9"/>
    <s v="Intraspinal Neural Prosthesis for Restoring Function after Spinal Cord Injury"/>
    <n v="661685"/>
    <n v="0"/>
    <s v="4 yrs 0 mth "/>
    <x v="4"/>
    <x v="34"/>
    <s v="neural prosthesis, spinal cord, injury"/>
    <n v="0"/>
    <s v="zN/A"/>
    <n v="0"/>
    <s v="zN/A"/>
    <s v="Mushahwar, Vivian"/>
  </r>
  <r>
    <x v="666"/>
    <s v="University of Alberta"/>
    <x v="2"/>
    <x v="0"/>
    <s v="201309MOP"/>
    <x v="9"/>
    <s v="Patterned electrical stimulation of the arms and legs to improve walking after spinal cord injury"/>
    <n v="994127"/>
    <n v="0"/>
    <s v="5 yrs 0 mth "/>
    <x v="4"/>
    <x v="9"/>
    <s v="electrical stimulation, spinal cord injury, walking"/>
    <n v="1"/>
    <s v="zN/A"/>
    <n v="0"/>
    <s v="zN/A"/>
    <s v="Mushahwar, Vivian"/>
  </r>
  <r>
    <x v="667"/>
    <s v="University of Toronto"/>
    <x v="1"/>
    <x v="6"/>
    <s v="201910CPG"/>
    <x v="8"/>
    <s v="Development and validation of a clinically feasible, novel therapy for improving standing balance and reducing falls"/>
    <n v="297385"/>
    <n v="4064"/>
    <s v="3 yrs 0 mth "/>
    <x v="4"/>
    <x v="22"/>
    <s v="standing balance, fall prevention, clinical validation"/>
    <n v="0"/>
    <s v="zN/A"/>
    <n v="0"/>
    <s v="zN/A"/>
    <s v="Musselman, Kristin E"/>
  </r>
  <r>
    <x v="668"/>
    <s v="CIUSSS de Centre-Ouest-de-l'Ile-de-Montréal-Jewish General"/>
    <x v="4"/>
    <x v="0"/>
    <s v="201109MOP"/>
    <x v="9"/>
    <s v="The efficacy of Link N as a mediator of repair in Intervertebral Disc Degeneration"/>
    <n v="454098"/>
    <n v="0"/>
    <s v="4 yrs 0 mth "/>
    <x v="5"/>
    <x v="15"/>
    <s v="Link N, intervertebral disc, repair"/>
    <n v="1"/>
    <s v="zN/A"/>
    <n v="0"/>
    <s v="zN/A"/>
    <s v="Mwale, Fackson"/>
  </r>
  <r>
    <x v="668"/>
    <s v="CIUSSS de Centre-Ouest-de-l'Ile-de-Montréal-Jewish General"/>
    <x v="4"/>
    <x v="1"/>
    <s v="202209PJT"/>
    <x v="9"/>
    <s v="Small molecule inhibitor of IL-1b signaling in degenerative disc disease"/>
    <n v="734400"/>
    <n v="0"/>
    <s v="5 yrs 0 mth "/>
    <x v="6"/>
    <x v="8"/>
    <s v="small molecule, IL-1b, degenerative disc"/>
    <n v="0"/>
    <s v="zN/A"/>
    <n v="0"/>
    <s v="zN/A"/>
    <s v="Mwale, Fackson"/>
  </r>
  <r>
    <x v="669"/>
    <s v="University of British Columbia"/>
    <x v="3"/>
    <x v="0"/>
    <s v="201009MOP"/>
    <x v="1"/>
    <s v="Evaluation of autocrine motility factor as a targeted delivery agent for cancer therapy"/>
    <n v="405657"/>
    <n v="0"/>
    <s v="3 yrs 0 mth "/>
    <x v="0"/>
    <x v="16"/>
    <s v="autocrine motility factor, targeted delivery, cancer"/>
    <n v="0"/>
    <s v="zN/A"/>
    <n v="0"/>
    <s v="zN/A"/>
    <s v="Nabi, Ivan R"/>
  </r>
  <r>
    <x v="669"/>
    <s v="University of British Columbia"/>
    <x v="3"/>
    <x v="0"/>
    <s v="201209MOP"/>
    <x v="0"/>
    <s v="Membrane domain regulation of receptor signaling"/>
    <n v="867203"/>
    <n v="0"/>
    <s v="5 yrs 0 mth "/>
    <x v="0"/>
    <x v="14"/>
    <s v="Membrane, receptor, signaling"/>
    <n v="1"/>
    <s v="zN/A"/>
    <n v="0"/>
    <s v="zN/A"/>
    <s v="Nabi, Ivan R"/>
  </r>
  <r>
    <x v="669"/>
    <s v="University of British Columbia"/>
    <x v="3"/>
    <x v="6"/>
    <s v="201810CPG"/>
    <x v="8"/>
    <s v="Super-resolution microscopy network analysis: Drug target validation for cystic fibrosis"/>
    <n v="390330"/>
    <n v="18000"/>
    <s v="3 yrs 0 mth "/>
    <x v="3"/>
    <x v="26"/>
    <s v="super-resolution, microscopy, cystic fibrosis"/>
    <n v="0"/>
    <s v="zN/A"/>
    <n v="0"/>
    <s v="zN/A"/>
    <s v="Nabi, Ivan R"/>
  </r>
  <r>
    <x v="670"/>
    <s v="McGill University"/>
    <x v="4"/>
    <x v="0"/>
    <s v="201309MOP"/>
    <x v="6"/>
    <s v="Nanoparticle-aided radiation therapy with scintillating high Z materials"/>
    <n v="325851"/>
    <n v="0"/>
    <s v="3 yrs 0 mth "/>
    <x v="0"/>
    <x v="9"/>
    <s v="nanoparticle, radiation, scintillating"/>
    <n v="0"/>
    <s v="zN/A"/>
    <n v="0"/>
    <s v="zN/A"/>
    <s v="Nadeau, Jay Louise"/>
  </r>
  <r>
    <x v="671"/>
    <s v="McMaster University"/>
    <x v="1"/>
    <x v="6"/>
    <s v="201210CPG"/>
    <x v="8"/>
    <s v="The development of an eosinophil-specific bioactive paper detection system"/>
    <n v="300000"/>
    <n v="0"/>
    <s v="3 yrs 0 mth "/>
    <x v="3"/>
    <x v="14"/>
    <s v="eosinophil, bioactive paper, detection"/>
    <n v="0"/>
    <s v="zN/A"/>
    <n v="0"/>
    <s v="zN/A"/>
    <s v="Nair, Parameswaran K"/>
  </r>
  <r>
    <x v="672"/>
    <s v="Women's College Hospital (Toronto)"/>
    <x v="1"/>
    <x v="0"/>
    <s v="201203MOP"/>
    <x v="0"/>
    <s v="The effect of prophylactic salpingo-oophorectomy on markers of health in women who carry a BRCA mutation"/>
    <n v="382243"/>
    <n v="0"/>
    <s v="3 yrs 0 mth "/>
    <x v="0"/>
    <x v="12"/>
    <s v="salpingo-oophorectomy, BRCA, markers"/>
    <n v="0"/>
    <s v="zN/A"/>
    <n v="0"/>
    <s v="zN/A"/>
    <s v="Narod, Steven A"/>
  </r>
  <r>
    <x v="672"/>
    <s v="Women's College Hospital (Toronto)"/>
    <x v="1"/>
    <x v="1"/>
    <s v="202309PJT"/>
    <x v="5"/>
    <s v="An observational study of treatment and outcomes among BRCA1 carriers with breast cancer"/>
    <n v="765000"/>
    <n v="0"/>
    <s v="5 yrs 0 mth "/>
    <x v="0"/>
    <x v="50"/>
    <s v="BRCA1, breast cancer, outcomes"/>
    <n v="0"/>
    <s v="zN/A"/>
    <n v="0"/>
    <s v="zN/A"/>
    <s v="Narod, Steven A"/>
  </r>
  <r>
    <x v="673"/>
    <s v="University of British Columbia"/>
    <x v="3"/>
    <x v="0"/>
    <s v="200809MOP"/>
    <x v="5"/>
    <s v="Pannexins as a novel growth regulator in gliomas"/>
    <n v="645690"/>
    <n v="0"/>
    <s v="5 yrs 0 mth "/>
    <x v="0"/>
    <x v="0"/>
    <s v="Pannexins, gliomas, growth regulator"/>
    <n v="0"/>
    <s v="zN/A"/>
    <n v="0"/>
    <s v="zN/A"/>
    <s v="Naus, Christian C"/>
  </r>
  <r>
    <x v="673"/>
    <s v="University of British Columbia"/>
    <x v="3"/>
    <x v="0"/>
    <s v="200909MOP"/>
    <x v="5"/>
    <s v="Connexin regulation and glioma growth control"/>
    <n v="693965"/>
    <n v="0"/>
    <s v="5 yrs 0 mth "/>
    <x v="0"/>
    <x v="10"/>
    <s v="Connexin, glioma, regulation"/>
    <n v="0"/>
    <s v="zN/A"/>
    <n v="0"/>
    <s v="zN/A"/>
    <s v="Naus, Christian C"/>
  </r>
  <r>
    <x v="674"/>
    <s v="CIUSSS de l'Ouest-de-l'Ile-de-Montréal-Douglas Hospital"/>
    <x v="4"/>
    <x v="1"/>
    <s v="201903PJT"/>
    <x v="6"/>
    <s v="Development of dynamic 1H MRSI for the assessment of impaired brain glucose metabolism in patients with early Alzheimer's Disease"/>
    <n v="772651"/>
    <n v="0"/>
    <s v="4 yrs 0 mth "/>
    <x v="4"/>
    <x v="1"/>
    <s v="1H MRSI, brain glucose, Alzheimer's"/>
    <n v="0"/>
    <s v="zN/A"/>
    <n v="0"/>
    <s v="zN/A"/>
    <s v="Near, Jamie"/>
  </r>
  <r>
    <x v="674"/>
    <s v="Sunnybrook Research Institute (Toronto, Ontario)"/>
    <x v="1"/>
    <x v="1"/>
    <s v="202203PJT"/>
    <x v="6"/>
    <s v="NMR spectroscopy in brain organoids: identifying neurochemical and gene regulatory network signatures of the healthy and Alzheimer's Disease brain"/>
    <n v="940950"/>
    <n v="0"/>
    <s v="5 yrs 0 mth "/>
    <x v="6"/>
    <x v="3"/>
    <s v="NMR, brain organoids, neurochemical"/>
    <n v="0"/>
    <s v="zN/A"/>
    <n v="0"/>
    <s v="zN/A"/>
    <s v="Near, Jamie"/>
  </r>
  <r>
    <x v="675"/>
    <s v="University Health Network (Toronto)"/>
    <x v="1"/>
    <x v="0"/>
    <s v="200810MOP"/>
    <x v="0"/>
    <s v="Identification and characterization of ovarian cancer initiating cells"/>
    <n v="100000"/>
    <n v="0"/>
    <s v="1 yr 0 mth "/>
    <x v="0"/>
    <x v="48"/>
    <s v="ovarian cancer, initiating cells, characterization"/>
    <n v="0"/>
    <s v="zN/A"/>
    <n v="0"/>
    <s v="zN/A"/>
    <s v="Neel, Benjamin G"/>
  </r>
  <r>
    <x v="675"/>
    <s v="University Health Network (Toronto)"/>
    <x v="1"/>
    <x v="0"/>
    <s v="201403MOP"/>
    <x v="1"/>
    <s v="Cell of Origin and Tumor Initiating Cells in Serous Ovarian Cancer"/>
    <n v="804047"/>
    <n v="0"/>
    <s v="5 yrs 0 mth "/>
    <x v="0"/>
    <x v="18"/>
    <s v="Cell, Tumor, Ovarian"/>
    <n v="5"/>
    <s v="zN/A"/>
    <n v="0"/>
    <s v="zN/A"/>
    <s v="Neel, Benjamin G"/>
  </r>
  <r>
    <x v="676"/>
    <s v="University of Victoria (British Columbia)"/>
    <x v="3"/>
    <x v="0"/>
    <s v="200903MOP"/>
    <x v="0"/>
    <s v="Tumor-infiltrating T cells in ovarian cancer: functional impact on patient survival"/>
    <n v="421287"/>
    <n v="0"/>
    <s v="3 yrs 0 mth "/>
    <x v="0"/>
    <x v="5"/>
    <s v="Tumor-infiltrating T cells, ovarian cancer, patient survival"/>
    <n v="1"/>
    <s v="zN/A"/>
    <n v="0"/>
    <s v="zN/A"/>
    <s v="Nelson, Brad H"/>
  </r>
  <r>
    <x v="676"/>
    <s v="University of British Columbia"/>
    <x v="3"/>
    <x v="0"/>
    <s v="201003MOP"/>
    <x v="0"/>
    <s v="Toward personalized immunotherapy: identifying tumour-specific factors that dictate the response of spontaneous mammary cancers to T cells"/>
    <n v="671932"/>
    <n v="0"/>
    <s v="5 yrs 0 mth "/>
    <x v="0"/>
    <x v="21"/>
    <s v="immunotherapy, tumor-specific factors, T cells"/>
    <n v="1"/>
    <s v="zN/A"/>
    <n v="0"/>
    <s v="zN/A"/>
    <s v="Nelson, Brad H"/>
  </r>
  <r>
    <x v="676"/>
    <s v="University of British Columbia"/>
    <x v="3"/>
    <x v="0"/>
    <s v="201405MOP"/>
    <x v="1"/>
    <s v="Mechanisms of Protective Immunity in Ovarian Cancer"/>
    <n v="100000"/>
    <n v="0"/>
    <s v="1 yr 0 mth "/>
    <x v="0"/>
    <x v="19"/>
    <s v="Protective immunity, ovarian cancer"/>
    <n v="0"/>
    <s v="zN/A"/>
    <n v="0"/>
    <s v="zN/A"/>
    <s v="Nelson, Brad H"/>
  </r>
  <r>
    <x v="676"/>
    <s v="University of British Columbia"/>
    <x v="3"/>
    <x v="0"/>
    <s v="201503MOP"/>
    <x v="1"/>
    <s v="Mechanisms of Protective Immunity in Ovarian Cancer"/>
    <n v="639477"/>
    <n v="0"/>
    <s v="5 yrs 0 mth "/>
    <x v="0"/>
    <x v="19"/>
    <s v="Protective immunity, ovarian cancer"/>
    <n v="0"/>
    <s v="zN/A"/>
    <n v="0"/>
    <s v="zN/A"/>
    <s v="Nelson, Brad H"/>
  </r>
  <r>
    <x v="676"/>
    <s v="University of British Columbia"/>
    <x v="3"/>
    <x v="1"/>
    <s v="201909PJT"/>
    <x v="1"/>
    <s v="Mechanisms of B cell-mediated immunity in human cancer"/>
    <n v="1193400"/>
    <n v="0"/>
    <s v="5 yrs 0 mth "/>
    <x v="0"/>
    <x v="22"/>
    <s v="B cell, immunity, cancer"/>
    <n v="7"/>
    <s v="zN/A"/>
    <n v="0"/>
    <s v="zN/A"/>
    <s v="Nelson, Brad H"/>
  </r>
  <r>
    <x v="676"/>
    <s v="University of British Columbia"/>
    <x v="3"/>
    <x v="1"/>
    <s v="202209PJT"/>
    <x v="0"/>
    <s v="Deciphering the Hottest Immune Neighbourhoods in Ovarian Cancer to Advance Immunotherapy"/>
    <n v="983025"/>
    <n v="0"/>
    <s v="5 yrs 0 mth "/>
    <x v="0"/>
    <x v="8"/>
    <s v="immune, ovarian, immunotherapy"/>
    <n v="0"/>
    <s v="zN/A"/>
    <n v="0"/>
    <s v="zN/A"/>
    <s v="Nelson, Brad H"/>
  </r>
  <r>
    <x v="677"/>
    <s v="McGill University"/>
    <x v="4"/>
    <x v="0"/>
    <s v="200903MOP"/>
    <x v="0"/>
    <s v="Transcription and Translesion Synthesis"/>
    <n v="699673"/>
    <n v="0"/>
    <s v="5 yrs 0 mth "/>
    <x v="0"/>
    <x v="5"/>
    <s v="Transcription, Translesion Synthesis"/>
    <n v="1"/>
    <s v="zN/A"/>
    <n v="0"/>
    <s v="zN/A"/>
    <s v="Nepveu, Alain"/>
  </r>
  <r>
    <x v="677"/>
    <s v="McGill University"/>
    <x v="4"/>
    <x v="0"/>
    <s v="201403MOP"/>
    <x v="0"/>
    <s v="Structure/Function Analysis of Cut Repeat Domains in Base Excision Repair"/>
    <n v="604954"/>
    <n v="0"/>
    <s v="5 yrs 0 mth "/>
    <x v="0"/>
    <x v="20"/>
    <s v="Base Excision Repair, Cut Repeat Domains, Structure-Function"/>
    <n v="0"/>
    <s v="zN/A"/>
    <n v="0"/>
    <s v="zN/A"/>
    <s v="Nepveu, Alain"/>
  </r>
  <r>
    <x v="677"/>
    <s v="McGill University"/>
    <x v="4"/>
    <x v="1"/>
    <s v="201709PJT"/>
    <x v="0"/>
    <s v="Base Excision Repair in Cancer- New Mechanisms, Dependencies and Vulnerabilities"/>
    <n v="826200"/>
    <n v="0"/>
    <s v="5 yrs 0 mth "/>
    <x v="0"/>
    <x v="11"/>
    <s v="Base Excision Repair, Cancer, Vulnerabilities"/>
    <n v="0"/>
    <s v="zN/A"/>
    <n v="0"/>
    <s v="zN/A"/>
    <s v="Nepveu, Alain"/>
  </r>
  <r>
    <x v="677"/>
    <s v="McGill University"/>
    <x v="4"/>
    <x v="1"/>
    <s v="201909PJT"/>
    <x v="0"/>
    <s v="The Tumor Suppressor Function of CUX1"/>
    <n v="673200"/>
    <n v="0"/>
    <s v="4 yrs 0 mth "/>
    <x v="0"/>
    <x v="22"/>
    <s v="CUX1, tumor suppressor"/>
    <n v="0"/>
    <s v="zN/A"/>
    <n v="0"/>
    <s v="zN/A"/>
    <s v="Nepveu, Alain"/>
  </r>
  <r>
    <x v="678"/>
    <s v="University of British Columbia"/>
    <x v="3"/>
    <x v="0"/>
    <s v="200809MOP"/>
    <x v="5"/>
    <s v="The role of IMP3 in pancreatic cancer progression and chemoresistance"/>
    <n v="367857"/>
    <n v="0"/>
    <s v="3 yrs 0 mth "/>
    <x v="0"/>
    <x v="0"/>
    <s v="IMP3, pancreatic cancer, chemoresistance"/>
    <n v="0"/>
    <s v="zN/A"/>
    <n v="0"/>
    <s v="zN/A"/>
    <s v="Ng, Sylvia"/>
  </r>
  <r>
    <x v="678"/>
    <s v="University of British Columbia"/>
    <x v="3"/>
    <x v="4"/>
    <s v="201003IC1"/>
    <x v="5"/>
    <s v="Antiangiogenesis-Induced Changes in the Tumour Microenvironment: A Window for Therapeutic Exploitation in Pancreatic Cancer"/>
    <n v="100000"/>
    <n v="0"/>
    <s v="1 yr 0 mth "/>
    <x v="0"/>
    <x v="55"/>
    <s v="Antiangiogenesis, Tumour Microenvironment, Pancreatic Cancer"/>
    <n v="0"/>
    <s v="zN/A"/>
    <n v="0"/>
    <s v="zN/A"/>
    <s v="Ng, Sylvia"/>
  </r>
  <r>
    <x v="679"/>
    <s v="University of British Columbia"/>
    <x v="3"/>
    <x v="6"/>
    <s v="201310CPG"/>
    <x v="8"/>
    <s v="Development of an Ultrasound based Elastography System for Renal Transplantation"/>
    <n v="194000"/>
    <n v="0"/>
    <s v="3 yrs 0 mth "/>
    <x v="1"/>
    <x v="9"/>
    <s v="Ultrasound, Elastography, Renal"/>
    <n v="0"/>
    <s v="zN/A"/>
    <n v="0"/>
    <s v="zN/A"/>
    <s v="Nguan, Christopher"/>
  </r>
  <r>
    <x v="680"/>
    <s v="Université de Montréal"/>
    <x v="4"/>
    <x v="6"/>
    <s v="201810CPG"/>
    <x v="8"/>
    <s v="A multimodal seizure detection artificial intelligence-based smart wear"/>
    <n v="435407"/>
    <n v="45186"/>
    <s v="3 yrs 0 mth "/>
    <x v="4"/>
    <x v="26"/>
    <s v="seizure detection, artificial intelligence, smart wear"/>
    <n v="0"/>
    <s v="zN/A"/>
    <n v="0"/>
    <s v="zN/A"/>
    <s v="Nguyen, Dang K"/>
  </r>
  <r>
    <x v="681"/>
    <s v="University of Calgary"/>
    <x v="2"/>
    <x v="0"/>
    <s v="201103MOP"/>
    <x v="0"/>
    <s v="Surviving the break-up in DNA damage response with a novel partner: TPX2"/>
    <n v="272532"/>
    <n v="0"/>
    <s v="3 yrs 0 mth "/>
    <x v="0"/>
    <x v="17"/>
    <s v="DNA damage, TPX2, response"/>
    <n v="0"/>
    <s v="zN/A"/>
    <n v="0"/>
    <s v="zN/A"/>
    <s v="Nguyen, Minh Dang"/>
  </r>
  <r>
    <x v="682"/>
    <s v="Western University (Ontario)"/>
    <x v="1"/>
    <x v="0"/>
    <s v="201503MOP"/>
    <x v="5"/>
    <s v="Mechanisms of resistance and sensitivity to PI3K inhibition in head and neck cancer."/>
    <n v="515090"/>
    <n v="0"/>
    <s v="5 yrs 0 mth "/>
    <x v="0"/>
    <x v="19"/>
    <s v="PI3K, resistance, cancer"/>
    <n v="1"/>
    <s v="zN/A"/>
    <n v="0"/>
    <s v="zN/A"/>
    <s v="Nichols, Anthony C"/>
  </r>
  <r>
    <x v="682"/>
    <s v="Western University (Ontario)"/>
    <x v="1"/>
    <x v="56"/>
    <s v="202003PJP"/>
    <x v="1"/>
    <s v="Mechanisms of resistance to cisplatin and radiation in human papillomavirus (HPV) related head and neck cancer"/>
    <n v="100000"/>
    <n v="0"/>
    <s v="1 yr 0 mth "/>
    <x v="0"/>
    <x v="39"/>
    <s v="cisplatin, radiation, HPV"/>
    <n v="1"/>
    <s v="zN/A"/>
    <n v="0"/>
    <s v="zN/A"/>
    <s v="Nichols, Anthony C"/>
  </r>
  <r>
    <x v="682"/>
    <s v="Western University (Ontario)"/>
    <x v="1"/>
    <x v="57"/>
    <s v="202203PJK"/>
    <x v="5"/>
    <s v="Defining the tumour immune microenvironment underlying chemoradiation resistance in human papillomavirus related head and neck cancer"/>
    <n v="100000"/>
    <n v="0"/>
    <s v="1 yr 0 mth "/>
    <x v="0"/>
    <x v="3"/>
    <s v="tumour, immune, chemoradiation"/>
    <n v="1"/>
    <s v="zN/A"/>
    <n v="0"/>
    <s v="zN/A"/>
    <s v="Nichols, Anthony C"/>
  </r>
  <r>
    <x v="682"/>
    <s v="Western University (Ontario)"/>
    <x v="1"/>
    <x v="1"/>
    <s v="202209PJT"/>
    <x v="5"/>
    <s v="Targeted and immuno-therapy to overcome innate and acquired resistance in aggressive MAPK-addicted cancers."/>
    <n v="990675"/>
    <n v="0"/>
    <s v="5 yrs 0 mth "/>
    <x v="0"/>
    <x v="8"/>
    <s v="immuno-therapy, MAPK, resistance"/>
    <n v="0"/>
    <s v="zN/A"/>
    <n v="0"/>
    <s v="zN/A"/>
    <s v="Nichols, Anthony C"/>
  </r>
  <r>
    <x v="683"/>
    <s v="University of British Columbia"/>
    <x v="3"/>
    <x v="58"/>
    <s v="202209PPE"/>
    <x v="6"/>
    <s v="Artificial intelligence assisted Method, Optimizing the Prediction of Patient Outcomes among Long COVID-19 Patients."/>
    <n v="100000"/>
    <n v="0"/>
    <s v="1 yr 0 mth "/>
    <x v="11"/>
    <x v="28"/>
    <s v="artificial intelligence, prediction, COVID-19"/>
    <n v="0"/>
    <s v="zN/A"/>
    <n v="0"/>
    <s v="zN/A"/>
    <s v="Nicolaou, Savvakis"/>
  </r>
  <r>
    <x v="684"/>
    <s v="University of British Columbia"/>
    <x v="3"/>
    <x v="0"/>
    <s v="201003MOP"/>
    <x v="1"/>
    <s v="CSF1 pathway inhibitors in tenosynovial giant cell tumors and leiomyosarcoma"/>
    <n v="289885"/>
    <n v="0"/>
    <s v="3 yrs 0 mth "/>
    <x v="0"/>
    <x v="21"/>
    <s v="CSF1, pathway inhibitors, giant cell tumors"/>
    <n v="0"/>
    <s v="zN/A"/>
    <n v="0"/>
    <s v="zN/A"/>
    <s v="Nielsen, Torsten O"/>
  </r>
  <r>
    <x v="684"/>
    <s v="University of British Columbia"/>
    <x v="3"/>
    <x v="17"/>
    <s v="202209PDI"/>
    <x v="1"/>
    <s v="Translating Epigenomics into Clinical Care for Synovial Sarcoma"/>
    <n v="100000"/>
    <n v="0"/>
    <s v="1 yr 0 mth "/>
    <x v="0"/>
    <x v="13"/>
    <s v="Epigenomics, Synovial Sarcoma, Clinical Care"/>
    <n v="0"/>
    <s v="zN/A"/>
    <n v="0"/>
    <s v="zN/A"/>
    <s v="Nielsen, Torsten O"/>
  </r>
  <r>
    <x v="684"/>
    <s v="University of British Columbia"/>
    <x v="3"/>
    <x v="1"/>
    <s v="202303PJT"/>
    <x v="5"/>
    <s v="Translating Epigenomics into Clinical Care for Synovial Sarcoma"/>
    <n v="948600"/>
    <n v="0"/>
    <s v="5 yrs 0 mth "/>
    <x v="0"/>
    <x v="13"/>
    <s v="Epigenomics, Synovial Sarcoma, Clinical Care"/>
    <n v="0"/>
    <s v="zN/A"/>
    <n v="0"/>
    <s v="zN/A"/>
    <s v="Nielsen, Torsten O"/>
  </r>
  <r>
    <x v="685"/>
    <s v="Hospital for Sick Children (Toronto)"/>
    <x v="1"/>
    <x v="0"/>
    <s v="201109MOP"/>
    <x v="6"/>
    <s v="Neuroanatomical late effects in pediatric brain irradiation"/>
    <n v="705269"/>
    <n v="0"/>
    <s v="5 yrs 0 mth "/>
    <x v="0"/>
    <x v="15"/>
    <s v="neuroanatomical, brain, irradiation"/>
    <n v="0"/>
    <s v="zN/A"/>
    <n v="0"/>
    <s v="zN/A"/>
    <s v="Nieman, Brian J"/>
  </r>
  <r>
    <x v="685"/>
    <s v="Hospital for Sick Children (Toronto)"/>
    <x v="1"/>
    <x v="1"/>
    <s v="201709PJT"/>
    <x v="13"/>
    <s v="Limiting late effects following pediatric cranial radiation"/>
    <n v="994500"/>
    <n v="0"/>
    <s v="5 yrs 0 mth "/>
    <x v="0"/>
    <x v="11"/>
    <s v="cranial radiation, late effects, pediatric"/>
    <n v="0"/>
    <s v="zN/A"/>
    <n v="0"/>
    <s v="zN/A"/>
    <s v="Nieman, Brian J"/>
  </r>
  <r>
    <x v="685"/>
    <s v="Hospital for Sick Children (Toronto)"/>
    <x v="1"/>
    <x v="1"/>
    <s v="202309PJT"/>
    <x v="6"/>
    <s v="Genetic determinants of radiation-induced brain toxicity in a juvenile mouse model"/>
    <n v="1143675"/>
    <n v="0"/>
    <s v="5 yrs 0 mth "/>
    <x v="0"/>
    <x v="33"/>
    <s v="genetic, radiation, brain toxicity"/>
    <n v="0"/>
    <s v="zN/A"/>
    <n v="0"/>
    <s v="zN/A"/>
    <s v="Nieman, Brian J"/>
  </r>
  <r>
    <x v="686"/>
    <s v="McGill University"/>
    <x v="4"/>
    <x v="1"/>
    <s v="202303PJT"/>
    <x v="5"/>
    <s v="Chromatin-binding deubiquitinase MYSM1 as a putative drug target for cMYC-driven B cell lymphoma"/>
    <n v="761176"/>
    <n v="0"/>
    <s v="5 yrs 0 mth "/>
    <x v="0"/>
    <x v="13"/>
    <s v="chromatin, deubiquitinase, lymphoma"/>
    <n v="0"/>
    <s v="zN/A"/>
    <n v="0"/>
    <s v="zN/A"/>
    <s v="Nijnik, Anastasia"/>
  </r>
  <r>
    <x v="687"/>
    <s v="University of Alberta"/>
    <x v="2"/>
    <x v="6"/>
    <s v="201910CPG"/>
    <x v="8"/>
    <s v="Optimization of an ex vivo heart perfusion device for pre-transplant preservation and evaluation of donor hearts"/>
    <n v="387264"/>
    <n v="69700"/>
    <s v="3 yrs 0 mth "/>
    <x v="3"/>
    <x v="22"/>
    <s v="heart, perfusion, preservation"/>
    <n v="0"/>
    <s v="zN/A"/>
    <n v="0"/>
    <s v="zN/A"/>
    <s v="Nobes, David S"/>
  </r>
  <r>
    <x v="688"/>
    <s v="Centre hospitalier de l'Université de Montréal (CHUM)"/>
    <x v="4"/>
    <x v="3"/>
    <s v="201503IPR"/>
    <x v="4"/>
    <s v="Pharmacological intervention to reduce ischemic injury: Development of a novel infarct-sparing agent"/>
    <n v="79872"/>
    <n v="0"/>
    <s v="1 yr 0 mth "/>
    <x v="3"/>
    <x v="46"/>
    <s v="ischemic injury, infarct-sparing, pharmacological"/>
    <n v="0"/>
    <s v="zN/A"/>
    <n v="0"/>
    <s v="zN/A"/>
    <s v="Noiseux, Nicolas"/>
  </r>
  <r>
    <x v="689"/>
    <s v="University Health Network (Toronto)"/>
    <x v="1"/>
    <x v="1"/>
    <s v="202010PJT"/>
    <x v="1"/>
    <s v="Impact of copy number imbalances in mutant KRAS on pancreatic cancer chemoresistance and metastases"/>
    <n v="765000"/>
    <n v="0"/>
    <s v="5 yrs 0 mth "/>
    <x v="0"/>
    <x v="23"/>
    <s v="KRAS, chemoresistance, pancreatic cancer"/>
    <n v="0"/>
    <s v="zN/A"/>
    <n v="0"/>
    <s v="zN/A"/>
    <s v="Notta, Faiyaz"/>
  </r>
  <r>
    <x v="690"/>
    <s v="University Health Network (Toronto)"/>
    <x v="1"/>
    <x v="0"/>
    <s v="201303MOP"/>
    <x v="0"/>
    <s v="Targeting colorectal cancer-initiating cells and anti-EGFR therapeutic resistance by manipulating levels of the reactive aldehyde, 4-hydroxynonenal"/>
    <n v="625730"/>
    <n v="0"/>
    <s v="4 yrs 0 mth "/>
    <x v="0"/>
    <x v="58"/>
    <s v="colorectal cancer, EGFR, aldehyde"/>
    <n v="0"/>
    <s v="zN/A"/>
    <n v="0"/>
    <s v="zN/A"/>
    <s v="O'Brien, Catherine A"/>
  </r>
  <r>
    <x v="690"/>
    <s v="University Health Network (Toronto)"/>
    <x v="1"/>
    <x v="1"/>
    <s v="202010PJT"/>
    <x v="5"/>
    <s v="Molecular drivers of the drug tolerant persister state in patient-derived colorectal cancer models"/>
    <n v="960075"/>
    <n v="0"/>
    <s v="5 yrs 0 mth "/>
    <x v="0"/>
    <x v="23"/>
    <s v="molecular drivers, drug tolerant, colorectal cancer"/>
    <n v="0"/>
    <s v="zN/A"/>
    <n v="0"/>
    <s v="zN/A"/>
    <s v="O'Brien, Catherine A"/>
  </r>
  <r>
    <x v="690"/>
    <s v="University Health Network (Toronto)"/>
    <x v="1"/>
    <x v="40"/>
    <s v="202209PJS"/>
    <x v="0"/>
    <s v="Inhibition of CBP/p300 bromodomain activity increases chemosensitivity of p53 mutant colorectal cancers through inhibiting p53 aggregation"/>
    <n v="100000"/>
    <n v="0"/>
    <s v="1 yr 0 mth "/>
    <x v="0"/>
    <x v="28"/>
    <s v="CBP, p300, bromodomain"/>
    <n v="0"/>
    <s v="zN/A"/>
    <n v="0"/>
    <s v="zN/A"/>
    <s v="O'Brien, Catherine A"/>
  </r>
  <r>
    <x v="691"/>
    <s v="Sunnybrook Research Institute (Toronto, Ontario)"/>
    <x v="1"/>
    <x v="1"/>
    <s v="201809PJT"/>
    <x v="6"/>
    <s v="Ultrasound-Mediated Drug Delivery to the Spinal Cord"/>
    <n v="673200"/>
    <n v="0"/>
    <s v="5 yrs 0 mth "/>
    <x v="4"/>
    <x v="26"/>
    <s v="Ultrasound, Drug Delivery, Spinal Cord"/>
    <n v="0"/>
    <s v="zN/A"/>
    <n v="0"/>
    <s v="zN/A"/>
    <s v="O'Reilly, Meaghan"/>
  </r>
  <r>
    <x v="691"/>
    <s v="Sunnybrook Research Institute (Toronto, Ontario)"/>
    <x v="1"/>
    <x v="1"/>
    <s v="202210PJT"/>
    <x v="6"/>
    <s v="Establishing the chronic safety profile of focused ultrasound-mediated blood-spinal cord barrier opening in a large animal model"/>
    <n v="100000"/>
    <n v="0"/>
    <s v="1 yr 0 mth "/>
    <x v="4"/>
    <x v="8"/>
    <s v="focused ultrasound, blood-spinal cord barrier, safety"/>
    <n v="0"/>
    <s v="zN/A"/>
    <n v="0"/>
    <s v="zN/A"/>
    <s v="O'Reilly, Meaghan"/>
  </r>
  <r>
    <x v="691"/>
    <s v="Sunnybrook Research Institute (Toronto, Ontario)"/>
    <x v="1"/>
    <x v="1"/>
    <s v="202303PJT"/>
    <x v="6"/>
    <s v="Establishing the chronic safety profile of focused ultrasound-mediated blood-spinal cord barrier opening in a large animal model."/>
    <n v="860626"/>
    <n v="0"/>
    <s v="5 yrs 0 mth "/>
    <x v="4"/>
    <x v="8"/>
    <s v="focused ultrasound, blood-spinal cord barrier, safety"/>
    <n v="0"/>
    <s v="zN/A"/>
    <n v="0"/>
    <s v="zN/A"/>
    <s v="O'Reilly, Meaghan"/>
  </r>
  <r>
    <x v="692"/>
    <s v="University of Toronto"/>
    <x v="1"/>
    <x v="0"/>
    <s v="201109MOP"/>
    <x v="5"/>
    <s v="Molecular characterization of JMML"/>
    <n v="782020"/>
    <n v="0"/>
    <s v="5 yrs 0 mth "/>
    <x v="0"/>
    <x v="15"/>
    <s v="Molecular, characterization, JMML"/>
    <n v="0"/>
    <s v="zN/A"/>
    <n v="0"/>
    <s v="zN/A"/>
    <s v="Ohh, Michael"/>
  </r>
  <r>
    <x v="692"/>
    <s v="University of Toronto"/>
    <x v="1"/>
    <x v="0"/>
    <s v="201403MOP"/>
    <x v="5"/>
    <s v="Molecular characterization of EpoR regulation in cancer progression"/>
    <n v="834840"/>
    <n v="0"/>
    <s v="5 yrs 0 mth "/>
    <x v="0"/>
    <x v="18"/>
    <s v="EpoR, cancer, regulation"/>
    <n v="0"/>
    <s v="zN/A"/>
    <n v="0"/>
    <s v="zN/A"/>
    <s v="Ohh, Michael"/>
  </r>
  <r>
    <x v="693"/>
    <s v="University Health Network (Toronto)"/>
    <x v="1"/>
    <x v="4"/>
    <s v="201009IC1"/>
    <x v="0"/>
    <s v="Roles of Histone Demethylases in Estrogen Receptor Signaling Network"/>
    <n v="100000"/>
    <n v="0"/>
    <s v="1 yr 0 mth "/>
    <x v="0"/>
    <x v="44"/>
    <s v="Histone Demethylases, Estrogen Receptor, Signaling"/>
    <n v="0"/>
    <s v="zN/A"/>
    <n v="0"/>
    <s v="zN/A"/>
    <s v="Okada, Hitoshi"/>
  </r>
  <r>
    <x v="694"/>
    <s v="Toronto Metropolitan University"/>
    <x v="1"/>
    <x v="1"/>
    <s v="201909PJT"/>
    <x v="0"/>
    <s v="The role of ROCK1 cleavage during apoptosis in liver homeostasis and cancer"/>
    <n v="979200"/>
    <n v="0"/>
    <s v="5 yrs 0 mth "/>
    <x v="0"/>
    <x v="22"/>
    <s v="ROCK1, apoptosis, liver"/>
    <n v="0"/>
    <s v="zN/A"/>
    <n v="0"/>
    <s v="zN/A"/>
    <s v="Olson, Michael F"/>
  </r>
  <r>
    <x v="695"/>
    <s v="University Health Network (Toronto)"/>
    <x v="1"/>
    <x v="1"/>
    <s v="202003PJT"/>
    <x v="3"/>
    <s v="Mapping epigenomic makeup in colorectal cancer patient models to identify novel therapeutic options"/>
    <n v="814726"/>
    <n v="0"/>
    <s v="5 yrs 0 mth "/>
    <x v="0"/>
    <x v="39"/>
    <s v="epigenomic, colorectal cancer, patient models"/>
    <n v="0"/>
    <s v="zN/A"/>
    <n v="0"/>
    <s v="zN/A"/>
    <s v="Orouji, Elias"/>
  </r>
  <r>
    <x v="695"/>
    <s v="University Health Network (Toronto)"/>
    <x v="1"/>
    <x v="1"/>
    <s v="202303PJT"/>
    <x v="0"/>
    <s v="Epigenetic Drivers in Metastatic Melanoma and Chromatin Loop-Specific Targeting Strategies"/>
    <n v="784126"/>
    <n v="0"/>
    <s v="5 yrs 0 mth "/>
    <x v="0"/>
    <x v="13"/>
    <s v="Epigenetic, Melanoma, Chromatin"/>
    <n v="0"/>
    <s v="zN/A"/>
    <n v="0"/>
    <s v="zN/A"/>
    <s v="Orouji, Elias"/>
  </r>
  <r>
    <x v="696"/>
    <s v="University of British Columbia"/>
    <x v="3"/>
    <x v="6"/>
    <s v="201510CPG"/>
    <x v="8"/>
    <s v="Theranostic Vectors to Treat Cancer with Radiometals"/>
    <n v="359446"/>
    <n v="0"/>
    <s v="3 yrs 0 mth "/>
    <x v="0"/>
    <x v="4"/>
    <s v="Theranostic, Vectors, Radiometals"/>
    <n v="0"/>
    <s v="zN/A"/>
    <n v="0"/>
    <s v="zN/A"/>
    <s v="Orvig, Christopher E"/>
  </r>
  <r>
    <x v="697"/>
    <s v="University of Toronto"/>
    <x v="1"/>
    <x v="44"/>
    <s v="200903CVC"/>
    <x v="24"/>
    <s v="Discovery of new B cell immunogens for HIV vaccines"/>
    <n v="99252"/>
    <n v="0"/>
    <s v="1 yr 0 mth "/>
    <x v="1"/>
    <x v="5"/>
    <s v="B cell, immunogens, HIV"/>
    <n v="3"/>
    <s v="zN/A"/>
    <n v="0"/>
    <s v="zN/A"/>
    <s v="Ostrowski, Mario A"/>
  </r>
  <r>
    <x v="697"/>
    <s v="University of Toronto"/>
    <x v="1"/>
    <x v="16"/>
    <s v="201211CHR"/>
    <x v="15"/>
    <s v="Enhancing the Recognition and Killing of HIV Reservoirs"/>
    <n v="100000"/>
    <n v="0"/>
    <s v="1 yr 0 mth "/>
    <x v="1"/>
    <x v="32"/>
    <s v="HIV, Reservoirs, Recognition"/>
    <n v="0"/>
    <s v="zN/A"/>
    <n v="0"/>
    <s v="zN/A"/>
    <s v="Ostrowski, Mario A"/>
  </r>
  <r>
    <x v="698"/>
    <s v="University of British Columbia"/>
    <x v="3"/>
    <x v="0"/>
    <s v="201009MOP"/>
    <x v="5"/>
    <s v="Proteolytic Signatures in Breast Cancer"/>
    <n v="890620"/>
    <n v="0"/>
    <s v="5 yrs 0 mth "/>
    <x v="0"/>
    <x v="16"/>
    <s v="Proteolytic, Signatures, Breast Cancer"/>
    <n v="0"/>
    <s v="zN/A"/>
    <n v="0"/>
    <s v="zN/A"/>
    <s v="Overall, Christopher M"/>
  </r>
  <r>
    <x v="698"/>
    <s v="University of British Columbia"/>
    <x v="3"/>
    <x v="6"/>
    <s v="201210CPG"/>
    <x v="8"/>
    <s v="Polymers for Proteomic Enrichment of Early Cancer Biomarkers"/>
    <n v="452322"/>
    <n v="0"/>
    <s v="3 yrs 0 mth "/>
    <x v="0"/>
    <x v="14"/>
    <s v="Polymers, Proteomic, Biomarkers"/>
    <n v="0"/>
    <s v="zN/A"/>
    <n v="0"/>
    <s v="zN/A"/>
    <s v="Overall, Christopher M"/>
  </r>
  <r>
    <x v="699"/>
    <s v="University of British Columbia"/>
    <x v="3"/>
    <x v="0"/>
    <s v="201309MOP"/>
    <x v="9"/>
    <s v="Biomechanical factors in spinal cord injury - relevance to the timing of decompression"/>
    <n v="423361"/>
    <n v="0"/>
    <s v="4 yrs 0 mth "/>
    <x v="4"/>
    <x v="9"/>
    <s v="biomechanical, spinal cord injury, decompression"/>
    <n v="0"/>
    <s v="zN/A"/>
    <n v="0"/>
    <s v="zN/A"/>
    <s v="Oxland, Thomas R"/>
  </r>
  <r>
    <x v="699"/>
    <s v="University of British Columbia"/>
    <x v="3"/>
    <x v="1"/>
    <s v="202109PJT"/>
    <x v="9"/>
    <s v="Subject-Specific Biomechanical Modelling in Adult Spinal Deformity Patients: A Surgical Planning and Failure Prediction Toolkit"/>
    <n v="795600"/>
    <n v="0"/>
    <s v="5 yrs 0 mth "/>
    <x v="5"/>
    <x v="25"/>
    <s v="Biomechanical, Spinal Deformity, Surgical Planning"/>
    <n v="0"/>
    <s v="zN/A"/>
    <n v="0"/>
    <s v="zN/A"/>
    <s v="Oxland, Thomas R"/>
  </r>
  <r>
    <x v="700"/>
    <s v="University of Toronto"/>
    <x v="1"/>
    <x v="16"/>
    <s v="201211CHR"/>
    <x v="15"/>
    <s v="How viral membrane components influence epitope recognition by the broadly neutralizing anti-HIV-1 antibody 2F5: potential translation into vaccine design"/>
    <n v="100000"/>
    <n v="0"/>
    <s v="1 yr 0 mth "/>
    <x v="1"/>
    <x v="32"/>
    <s v="viral membrane, epitope recognition, HIV-1"/>
    <n v="0"/>
    <s v="zN/A"/>
    <n v="0"/>
    <s v="zN/A"/>
    <s v="Pai, Emil F"/>
  </r>
  <r>
    <x v="701"/>
    <s v="Ontario Institute for Cancer Research (Toronto, Ontario)"/>
    <x v="1"/>
    <x v="17"/>
    <s v="202209PDI"/>
    <x v="1"/>
    <s v="Developmental epigenetic origins of Group 3 and 4 medulloblastoma"/>
    <n v="100000"/>
    <n v="0"/>
    <s v="1 yr 0 mth "/>
    <x v="0"/>
    <x v="28"/>
    <s v="epigenetic, medulloblastoma, developmental"/>
    <n v="0"/>
    <s v="zN/A"/>
    <n v="0"/>
    <s v="zN/A"/>
    <s v="Pai, Shraddha"/>
  </r>
  <r>
    <x v="702"/>
    <s v="Simon Fraser University (Burnaby, B.C.)"/>
    <x v="3"/>
    <x v="44"/>
    <s v="200903CVC"/>
    <x v="24"/>
    <s v="Immunogen design to elicit broadly neutralizing antibodies to influenza"/>
    <n v="99242"/>
    <n v="0"/>
    <s v="1 yr 0 mth "/>
    <x v="1"/>
    <x v="5"/>
    <s v="Immunogen, neutralizing antibodies, influenza"/>
    <n v="0"/>
    <s v="zN/A"/>
    <n v="0"/>
    <s v="zN/A"/>
    <s v="Pantophlet, Ralph A"/>
  </r>
  <r>
    <x v="702"/>
    <s v="Simon Fraser University (Burnaby, B.C.)"/>
    <x v="3"/>
    <x v="16"/>
    <s v="201211CHR"/>
    <x v="15"/>
    <s v="Probing MBL function in oligomannose-specific anti-HIV antibody responses"/>
    <n v="98300"/>
    <n v="0"/>
    <s v="1 yr 0 mth "/>
    <x v="1"/>
    <x v="32"/>
    <s v="MBL, oligomannose, HIV"/>
    <n v="0"/>
    <s v="zN/A"/>
    <n v="0"/>
    <s v="zN/A"/>
    <s v="Pantophlet, Ralph A"/>
  </r>
  <r>
    <x v="703"/>
    <s v="Universite Laval"/>
    <x v="4"/>
    <x v="9"/>
    <s v="202403NW3"/>
    <x v="11"/>
    <s v="Klotho, a new biomarker to improve breast cancer screening programs by reducing false-positive results."/>
    <n v="300000"/>
    <n v="0"/>
    <s v="2 yrs 0 mth "/>
    <x v="0"/>
    <x v="27"/>
    <s v="Klotho, biomarker, breast cancer"/>
    <n v="0"/>
    <s v="zN/A"/>
    <n v="0"/>
    <s v="zN/A"/>
    <s v="Paquette, Jean-Sebastien"/>
  </r>
  <r>
    <x v="704"/>
    <s v="University of Toronto"/>
    <x v="1"/>
    <x v="1"/>
    <s v="202403PJT"/>
    <x v="10"/>
    <s v="Improving Access to Diagnostics: The Development of Deployable, Low-Burden Hand-Held Testing for Infectious Disease and Health Biomarkers."/>
    <n v="952424"/>
    <n v="0"/>
    <s v="4 yrs 0 mth "/>
    <x v="1"/>
    <x v="38"/>
    <s v="Diagnostics, Hand-Held Testing, Infectious Disease"/>
    <n v="0"/>
    <s v="zN/A"/>
    <n v="0"/>
    <s v="zN/A"/>
    <s v="Pardee, Keith I"/>
  </r>
  <r>
    <x v="705"/>
    <s v="McMaster University"/>
    <x v="1"/>
    <x v="3"/>
    <s v="201209IPR"/>
    <x v="4"/>
    <s v="Integration of clinical, biomarker, and genetic data for prediction of adverse outcomes in diabetes."/>
    <n v="999330"/>
    <n v="0"/>
    <s v="4 yrs 0 mth "/>
    <x v="9"/>
    <x v="14"/>
    <s v="clinical, biomarker, genetics"/>
    <n v="3"/>
    <s v="zN/A"/>
    <n v="0"/>
    <s v="zN/A"/>
    <s v="Pare, Guillaume"/>
  </r>
  <r>
    <x v="706"/>
    <s v="Université de Sherbrooke"/>
    <x v="4"/>
    <x v="1"/>
    <s v="201810PJT"/>
    <x v="5"/>
    <s v="The small GTPase Rab4 as a target for breast cancer metastasis"/>
    <n v="100000"/>
    <n v="0"/>
    <s v="1 yr 0 mth "/>
    <x v="0"/>
    <x v="1"/>
    <s v="Rab4, GTPase, breast cancer"/>
    <n v="0"/>
    <s v="zN/A"/>
    <n v="0"/>
    <s v="zN/A"/>
    <s v="Parent, Jean-Luc"/>
  </r>
  <r>
    <x v="706"/>
    <s v="Université de Sherbrooke"/>
    <x v="4"/>
    <x v="1"/>
    <s v="201903PJT"/>
    <x v="5"/>
    <s v="The small GTPase Rab4 as a target for breast cancer metastasis"/>
    <n v="822376"/>
    <n v="0"/>
    <s v="5 yrs 0 mth "/>
    <x v="0"/>
    <x v="1"/>
    <s v="Rab4, GTPase, breast cancer"/>
    <n v="0"/>
    <s v="zN/A"/>
    <n v="0"/>
    <s v="zN/A"/>
    <s v="Parent, Jean-Luc"/>
  </r>
  <r>
    <x v="707"/>
    <s v="Centre hospitalier universitaire Sainte-Justine (Montréal, Québec)"/>
    <x v="4"/>
    <x v="1"/>
    <s v="201909PJT"/>
    <x v="9"/>
    <s v="Predicting the Progression and Brace Treatment Response in Spinal Deformities with Temporal-based Machine Learning Approaches"/>
    <n v="864450"/>
    <n v="0"/>
    <s v="5 yrs 0 mth "/>
    <x v="5"/>
    <x v="22"/>
    <s v="Spinal Deformities, Machine Learning, Progression"/>
    <n v="0"/>
    <s v="zN/A"/>
    <n v="0"/>
    <s v="zN/A"/>
    <s v="Parent, Stefan"/>
  </r>
  <r>
    <x v="708"/>
    <s v="Ottawa Hospital Research Institute"/>
    <x v="1"/>
    <x v="5"/>
    <s v="201003NHG"/>
    <x v="7"/>
    <s v="Development of a novel therapy for treatment of Spinal Muscular Atrophy"/>
    <n v="200000"/>
    <n v="0"/>
    <s v="2 yrs 0 mth "/>
    <x v="5"/>
    <x v="21"/>
    <s v="Spinal Muscular Atrophy, therapy"/>
    <n v="0"/>
    <s v="zN/A"/>
    <n v="0"/>
    <s v="zN/A"/>
    <s v="Parks, Robin J"/>
  </r>
  <r>
    <x v="709"/>
    <s v="Western University (Ontario)"/>
    <x v="1"/>
    <x v="0"/>
    <s v="200903MOP"/>
    <x v="6"/>
    <s v="Hyperpolarized Helium-3 Magnetic Resonance Imaging Phenotypes of Chronic Obstructive Pulmonary Disease"/>
    <n v="359119"/>
    <n v="0"/>
    <s v="3 yrs 0 mth "/>
    <x v="3"/>
    <x v="5"/>
    <s v="Hyperpolarized, Helium-3, MRI"/>
    <n v="0"/>
    <s v="zN/A"/>
    <n v="0"/>
    <s v="zN/A"/>
    <s v="Parraga, Grace"/>
  </r>
  <r>
    <x v="710"/>
    <s v="Queen's University (Kingston, Ontario)"/>
    <x v="1"/>
    <x v="1"/>
    <s v="201710PJT"/>
    <x v="3"/>
    <s v="A Phase II Single Arm Trial of Elective Volume Adjusted De-Escalation Radiotherapy (EVADER) in Patients with Low-Risk HPV-Related Oropharyngeal Squamous Cell Carcinoma"/>
    <n v="100000"/>
    <n v="0"/>
    <s v="1 yr 0 mth "/>
    <x v="0"/>
    <x v="7"/>
    <s v="Radiotherapy, HPV, Oropharyngeal carcinoma"/>
    <n v="0"/>
    <s v="zN/A"/>
    <n v="0"/>
    <s v="zN/A"/>
    <s v="Parulekar, Wendy R"/>
  </r>
  <r>
    <x v="710"/>
    <s v="Queen's University (Kingston, Ontario)"/>
    <x v="1"/>
    <x v="1"/>
    <s v="201803PJT"/>
    <x v="3"/>
    <s v="A Phase II Single Arm Trial of Elective Volume Adjusted De-Escalation Radiotherapy (EVADER) in Patients with Low-Risk HPV-Related Oropharyngeal Squamous Cell Carcinoma"/>
    <n v="860628"/>
    <n v="0"/>
    <s v="6 yrs 0 mth "/>
    <x v="0"/>
    <x v="7"/>
    <s v="Radiotherapy, HPV, Oropharyngeal carcinoma"/>
    <n v="0"/>
    <s v="zN/A"/>
    <n v="0"/>
    <s v="zN/A"/>
    <s v="Parulekar, Wendy R"/>
  </r>
  <r>
    <x v="711"/>
    <s v="McGill University"/>
    <x v="4"/>
    <x v="6"/>
    <s v="201310CPG"/>
    <x v="8"/>
    <s v="Development of a mechanically biomcompatible hip replacement implant with Ti-6Al-4V open-cell microlattice architecture"/>
    <n v="237998"/>
    <n v="0"/>
    <s v="3 yrs 0 mth "/>
    <x v="5"/>
    <x v="9"/>
    <s v="hip replacement, biomcompatible, Ti-6Al-4V"/>
    <n v="2"/>
    <s v="zN/A"/>
    <n v="0"/>
    <s v="zN/A"/>
    <s v="Pasini, Damiano"/>
  </r>
  <r>
    <x v="712"/>
    <s v="Western University (Ontario)"/>
    <x v="1"/>
    <x v="6"/>
    <s v="201310CPG"/>
    <x v="8"/>
    <s v="Novel Haptics-Enabled Robotic Systems for Rehabilitation Therapy"/>
    <n v="273395"/>
    <n v="0"/>
    <s v="3 yrs 0 mth "/>
    <x v="6"/>
    <x v="9"/>
    <s v="Haptics, Robotic Systems, Rehabilitation"/>
    <n v="1"/>
    <s v="zN/A"/>
    <n v="0"/>
    <s v="zN/A"/>
    <s v="Patel, Rajnikant V"/>
  </r>
  <r>
    <x v="713"/>
    <s v="University of Alberta"/>
    <x v="2"/>
    <x v="18"/>
    <s v="202005VR2"/>
    <x v="16"/>
    <s v="MOIST study: Multi-Organ Imaging with Serial Testing in COVID-19 infected patients"/>
    <n v="342369"/>
    <n v="0"/>
    <s v="1 yr 0 mth "/>
    <x v="3"/>
    <x v="2"/>
    <s v="Multi-Organ, Imaging, COVID-19"/>
    <n v="0"/>
    <s v="zN/A"/>
    <n v="0"/>
    <s v="zN/A"/>
    <s v="Paterson, Ian"/>
  </r>
  <r>
    <x v="714"/>
    <s v="University of Toronto"/>
    <x v="1"/>
    <x v="6"/>
    <s v="201410CPG"/>
    <x v="8"/>
    <s v="The relationship of temporal gait asymmetry and rhythm perception and production"/>
    <n v="225096"/>
    <n v="0"/>
    <s v="3 yrs 0 mth "/>
    <x v="4"/>
    <x v="6"/>
    <s v="gait, rhythm, perception"/>
    <n v="0"/>
    <s v="zN/A"/>
    <n v="0"/>
    <s v="zN/A"/>
    <s v="Patterson, Kara K"/>
  </r>
  <r>
    <x v="715"/>
    <s v="McGill University"/>
    <x v="4"/>
    <x v="10"/>
    <s v="202209PLL"/>
    <x v="5"/>
    <s v="Characterization of human TFE3 isoforms as drivers in breast cancer"/>
    <n v="100000"/>
    <n v="0"/>
    <s v="1 yr 0 mth "/>
    <x v="0"/>
    <x v="28"/>
    <s v="TFE3, isoforms, breast cancer"/>
    <n v="0"/>
    <s v="zN/A"/>
    <n v="0"/>
    <s v="zN/A"/>
    <s v="Pause, Arnim P"/>
  </r>
  <r>
    <x v="716"/>
    <s v="University of Waterloo (Ontario)"/>
    <x v="1"/>
    <x v="6"/>
    <s v="201510CPG"/>
    <x v="8"/>
    <s v="Supervised in vivo lung perfusion strategy for treatment of cancer metastases to the lungs. Real time monitoring of chemotherapy by on-site analytical platform"/>
    <n v="431583"/>
    <n v="0"/>
    <s v="3 yrs 0 mth "/>
    <x v="0"/>
    <x v="4"/>
    <s v="lung perfusion, cancer metastases, chemotherapy"/>
    <n v="0"/>
    <s v="zN/A"/>
    <n v="0"/>
    <s v="zN/A"/>
    <s v="Pawliszyn, Janusz B"/>
  </r>
  <r>
    <x v="717"/>
    <s v="University of Manitoba"/>
    <x v="0"/>
    <x v="1"/>
    <s v="202309PJT"/>
    <x v="1"/>
    <s v="Identifying strategies to therapeutically target the unique epigenetic landscape of small cell lung cancer"/>
    <n v="983025"/>
    <n v="0"/>
    <s v="5 yrs 0 mth "/>
    <x v="0"/>
    <x v="37"/>
    <s v="epigenetic, small cell lung cancer, targeting"/>
    <n v="0"/>
    <s v="zN/A"/>
    <n v="0"/>
    <s v="zN/A"/>
    <s v="Pearson, Joel"/>
  </r>
  <r>
    <x v="718"/>
    <s v="McGill University"/>
    <x v="4"/>
    <x v="0"/>
    <s v="201003MOP"/>
    <x v="1"/>
    <s v="Modelling Translation Inhibition as Cancer Therapy"/>
    <n v="797054"/>
    <n v="0"/>
    <s v="5 yrs 0 mth "/>
    <x v="0"/>
    <x v="21"/>
    <s v="Translation, Inhibition, Cancer"/>
    <n v="2"/>
    <s v="zN/A"/>
    <n v="0"/>
    <s v="zN/A"/>
    <s v="Pelletier, Jerry M"/>
  </r>
  <r>
    <x v="718"/>
    <s v="McGill University"/>
    <x v="4"/>
    <x v="1"/>
    <s v="202203PJT"/>
    <x v="5"/>
    <s v="Targeting the Oncogenic Translation Program"/>
    <n v="772650"/>
    <n v="0"/>
    <s v="5 yrs 0 mth "/>
    <x v="0"/>
    <x v="49"/>
    <s v="Oncogenic, Translation, Program"/>
    <n v="0"/>
    <s v="zN/A"/>
    <n v="0"/>
    <s v="zN/A"/>
    <s v="Pelletier, Jerry M"/>
  </r>
  <r>
    <x v="719"/>
    <s v="Université de Montréal"/>
    <x v="4"/>
    <x v="6"/>
    <s v="201210CPG"/>
    <x v="8"/>
    <s v="Clinical evaluation of surface-plasmon resonance and nanoparticle-based fluorescent detection of serum biomarkers"/>
    <n v="328059"/>
    <n v="0"/>
    <s v="3 yrs 0 mth "/>
    <x v="2"/>
    <x v="14"/>
    <s v="surface-plasmon resonance, nanoparticle, biomarkers"/>
    <n v="0"/>
    <s v="zN/A"/>
    <n v="0"/>
    <s v="zN/A"/>
    <s v="Pelletier, Joelle N"/>
  </r>
  <r>
    <x v="720"/>
    <s v="University Health Network (Toronto)"/>
    <x v="1"/>
    <x v="0"/>
    <s v="201503MOP"/>
    <x v="1"/>
    <s v="Targeting the Mevalonate Pathway and its Restorative Feedback Loop"/>
    <n v="731950"/>
    <n v="0"/>
    <s v="5 yrs 0 mth "/>
    <x v="0"/>
    <x v="19"/>
    <s v="Mevalonate pathway, feedback loop"/>
    <n v="0"/>
    <s v="zN/A"/>
    <n v="0"/>
    <s v="zN/A"/>
    <s v="Penn, Linda Z"/>
  </r>
  <r>
    <x v="720"/>
    <s v="University Health Network (Toronto)"/>
    <x v="1"/>
    <x v="1"/>
    <s v="201709PJT"/>
    <x v="5"/>
    <s v="Regulating MYC Oncoprotein Stability as an Anti-Cancer Strategy"/>
    <n v="875925"/>
    <n v="0"/>
    <s v="5 yrs 0 mth "/>
    <x v="0"/>
    <x v="11"/>
    <s v="MYC, Oncoprotein, Stability"/>
    <n v="0"/>
    <s v="zN/A"/>
    <n v="0"/>
    <s v="zN/A"/>
    <s v="Penn, Linda Z"/>
  </r>
  <r>
    <x v="720"/>
    <s v="University Health Network (Toronto)"/>
    <x v="1"/>
    <x v="1"/>
    <s v="202104PJT"/>
    <x v="5"/>
    <s v="Targeting the Metabolic Mevalonate Pathway as an Actionable Prostate Cancer Vulnerability"/>
    <n v="1002150"/>
    <n v="0"/>
    <s v="5 yrs 0 mth "/>
    <x v="0"/>
    <x v="35"/>
    <s v="Metabolic, Mevalonate, Prostate Cancer"/>
    <n v="0"/>
    <s v="zN/A"/>
    <n v="0"/>
    <s v="zN/A"/>
    <s v="Penn, Linda Z"/>
  </r>
  <r>
    <x v="721"/>
    <s v="University of British Columbia"/>
    <x v="3"/>
    <x v="13"/>
    <s v="202005VR3"/>
    <x v="12"/>
    <s v="Mechanistic studies on ACE2 as a rational therapy for COVID-19"/>
    <n v="578090"/>
    <n v="0"/>
    <s v="1 yr 0 mth "/>
    <x v="3"/>
    <x v="2"/>
    <s v="ACE2, COVID-19, therapy"/>
    <n v="4"/>
    <s v="zN/A"/>
    <n v="0"/>
    <s v="zN/A"/>
    <s v="Penninger, Josef"/>
  </r>
  <r>
    <x v="722"/>
    <s v="Unity Health Toronto"/>
    <x v="1"/>
    <x v="3"/>
    <s v="201303IPR"/>
    <x v="4"/>
    <s v="The Peritoneal Dialysis Outcomes and Practice Patterns Study  (P-DOPPS)"/>
    <n v="500000"/>
    <n v="0"/>
    <s v="4 yrs 0 mth "/>
    <x v="9"/>
    <x v="34"/>
    <s v="Peritoneal Dialysis, Outcomes, Practice Patterns"/>
    <n v="0"/>
    <s v="zN/A"/>
    <n v="0"/>
    <s v="zN/A"/>
    <s v="Perl, Jeffrey"/>
  </r>
  <r>
    <x v="723"/>
    <s v="Centre hospitalier universitaire Sainte-Justine (Montréal, Québec)"/>
    <x v="4"/>
    <x v="1"/>
    <s v="201903PJT"/>
    <x v="1"/>
    <s v="A Phase 2 study of Trametinib for patients with pediatric glioma or plexiform neurofibroma with refractory tumor and activation of the MAPK/ERK pathwa"/>
    <n v="573750"/>
    <n v="0"/>
    <s v="5 yrs 0 mth "/>
    <x v="0"/>
    <x v="1"/>
    <s v="Trametinib, glioma, MAPK/ERK"/>
    <n v="0"/>
    <s v="zN/A"/>
    <n v="0"/>
    <s v="zN/A"/>
    <s v="Perreault, Sebastien"/>
  </r>
  <r>
    <x v="723"/>
    <s v="Centre hospitalier universitaire Sainte-Justine (Montréal, Québec)"/>
    <x v="4"/>
    <x v="17"/>
    <s v="202203PDI"/>
    <x v="3"/>
    <s v="A phase 2 study of mirdametinib and vinblastine for newly diagnosed or previously untreated patients with pediatric low-grade glioma and activation of the MAPK pathway"/>
    <n v="463500"/>
    <n v="0"/>
    <s v="1 yr 5 mths "/>
    <x v="0"/>
    <x v="3"/>
    <s v="mirdametinib, vinblastine, glioma"/>
    <n v="0"/>
    <s v="zN/A"/>
    <n v="0"/>
    <s v="zN/A"/>
    <s v="Perreault, Sebastien"/>
  </r>
  <r>
    <x v="724"/>
    <s v="University of British Columbia"/>
    <x v="3"/>
    <x v="0"/>
    <s v="201003MOP"/>
    <x v="0"/>
    <s v="Chemical Biology of Amanitin-Induced Transcriptional Inhibiton"/>
    <n v="357800"/>
    <n v="0"/>
    <s v="4 yrs 0 mth "/>
    <x v="0"/>
    <x v="21"/>
    <s v="Amanitin, Transcription, Inhibition"/>
    <n v="0"/>
    <s v="zN/A"/>
    <n v="0"/>
    <s v="zN/A"/>
    <s v="Perrin, David M"/>
  </r>
  <r>
    <x v="724"/>
    <s v="University of British Columbia"/>
    <x v="3"/>
    <x v="1"/>
    <s v="201709PJT"/>
    <x v="1"/>
    <s v="Alpha-amanitin: synthetic derivatives for applications in targeted therapy"/>
    <n v="405452"/>
    <n v="0"/>
    <s v="4 yrs 0 mth "/>
    <x v="0"/>
    <x v="11"/>
    <s v="alpha-amanitin, synthetic derivatives, targeted therapy"/>
    <n v="6"/>
    <s v="zN/A"/>
    <n v="0"/>
    <s v="zN/A"/>
    <s v="Perrin, David M"/>
  </r>
  <r>
    <x v="724"/>
    <s v="University of British Columbia"/>
    <x v="3"/>
    <x v="13"/>
    <s v="202005VR3"/>
    <x v="12"/>
    <s v="Peptide macrocycle decoys against COVID-19 viral spike protein"/>
    <n v="167056"/>
    <n v="0"/>
    <s v="1 yr 0 mth "/>
    <x v="1"/>
    <x v="2"/>
    <s v="peptide, macrocycle, spike protein"/>
    <n v="0"/>
    <s v="zN/A"/>
    <n v="0"/>
    <s v="zN/A"/>
    <s v="Perrin, David M"/>
  </r>
  <r>
    <x v="725"/>
    <s v="Carleton University (Ottawa)"/>
    <x v="1"/>
    <x v="6"/>
    <s v="201610CPG"/>
    <x v="8"/>
    <s v="The development of a next-generation polymeric headform surrogate for concussion and helmet evaluation"/>
    <n v="298928"/>
    <n v="0"/>
    <s v="3 yrs 0 mth "/>
    <x v="4"/>
    <x v="24"/>
    <s v="polymeric, headform, concussion"/>
    <n v="1"/>
    <s v="zN/A"/>
    <n v="0"/>
    <s v="zN/A"/>
    <s v="Petel, Oren"/>
  </r>
  <r>
    <x v="726"/>
    <s v="Western University (Ontario)"/>
    <x v="1"/>
    <x v="0"/>
    <s v="201109MOP"/>
    <x v="6"/>
    <s v="Image-guided Mitral Valve Repair"/>
    <n v="711980"/>
    <n v="0"/>
    <s v="5 yrs 0 mth "/>
    <x v="3"/>
    <x v="15"/>
    <s v="Image-guided, Mitral Valve, Repair"/>
    <n v="0"/>
    <s v="zN/A"/>
    <n v="0"/>
    <s v="zN/A"/>
    <s v="Peters, Terence M"/>
  </r>
  <r>
    <x v="726"/>
    <s v="Western University (Ontario)"/>
    <x v="1"/>
    <x v="0"/>
    <s v="201403MOP"/>
    <x v="6"/>
    <s v="Quantitative Imaging for Epilepsy Surgery"/>
    <n v="728495"/>
    <n v="0"/>
    <s v="5 yrs 0 mth "/>
    <x v="4"/>
    <x v="20"/>
    <s v="Imaging, Epilepsy, Surgery"/>
    <n v="0"/>
    <s v="zN/A"/>
    <n v="0"/>
    <s v="zN/A"/>
    <s v="Peters, Terence M"/>
  </r>
  <r>
    <x v="727"/>
    <s v="University of Guelph"/>
    <x v="1"/>
    <x v="0"/>
    <s v="201103MOP"/>
    <x v="5"/>
    <s v="Thrombospondin-1 as a potent anti-tumor and anti-angiogenic factor in ovarian cancer"/>
    <n v="549816"/>
    <n v="0"/>
    <s v="5 yrs 0 mth "/>
    <x v="0"/>
    <x v="17"/>
    <s v="Thrombospondin-1, anti-angiogenic, ovarian cancer"/>
    <n v="0"/>
    <s v="zN/A"/>
    <n v="0"/>
    <s v="zN/A"/>
    <s v="Petrik, Jim J"/>
  </r>
  <r>
    <x v="727"/>
    <s v="University of Guelph"/>
    <x v="1"/>
    <x v="1"/>
    <s v="201903PJT"/>
    <x v="0"/>
    <s v="Vascular normalization improves immunotherapy in advanced stage ovarian cancer."/>
    <n v="631126"/>
    <n v="0"/>
    <s v="5 yrs 0 mth "/>
    <x v="0"/>
    <x v="1"/>
    <s v="Vascular normalization, immunotherapy, ovarian cancer"/>
    <n v="0"/>
    <s v="zN/A"/>
    <n v="0"/>
    <s v="zN/A"/>
    <s v="Petrik, Jim J"/>
  </r>
  <r>
    <x v="728"/>
    <s v="University of British Columbia"/>
    <x v="3"/>
    <x v="6"/>
    <s v="201210CPG"/>
    <x v="8"/>
    <s v="Universal Smart Guided-Catheter Systems Based on Novel Shape Memory Polymer Brush Actuators for Minimally Invasive Vascular Surgery"/>
    <n v="313100"/>
    <n v="0"/>
    <s v="3 yrs 0 mth "/>
    <x v="3"/>
    <x v="14"/>
    <s v="Smart, Catheter, Shape Memory Polymer"/>
    <n v="0"/>
    <s v="zN/A"/>
    <n v="0"/>
    <s v="zN/A"/>
    <s v="Phani, Srikantha A"/>
  </r>
  <r>
    <x v="729"/>
    <s v="Research Institute of the McGill University Health Centre"/>
    <x v="4"/>
    <x v="7"/>
    <s v="201009ISO"/>
    <x v="4"/>
    <s v="Role of endoglin in aberrant TGF-beta signaling in scleroderma"/>
    <n v="60000"/>
    <n v="0"/>
    <s v="2 yrs 0 mth "/>
    <x v="5"/>
    <x v="16"/>
    <s v="endoglin, TGF-beta, scleroderma"/>
    <n v="0"/>
    <s v="zN/A"/>
    <n v="0"/>
    <s v="zN/A"/>
    <s v="Philip, Anie"/>
  </r>
  <r>
    <x v="729"/>
    <s v="Research Institute of the McGill University Health Centre"/>
    <x v="4"/>
    <x v="1"/>
    <s v="201809PJT"/>
    <x v="3"/>
    <s v="Role of CD109 in regulating cellular signaling and responses in skin and oral squamous cell carcinoma cells"/>
    <n v="1074825"/>
    <n v="0"/>
    <s v="5 yrs 0 mth "/>
    <x v="5"/>
    <x v="26"/>
    <s v="CD109, cellular signaling, squamous cell carcinoma"/>
    <n v="1"/>
    <s v="zN/A"/>
    <n v="0"/>
    <s v="zN/A"/>
    <s v="Philip, Anie"/>
  </r>
  <r>
    <x v="730"/>
    <s v="University of Toronto"/>
    <x v="1"/>
    <x v="6"/>
    <s v="201910CPG"/>
    <x v="8"/>
    <s v="Synthetic biology approaches to design living medicines to improve intestinal and metabolic health."/>
    <n v="450330"/>
    <n v="0"/>
    <s v="3 yrs 0 mth "/>
    <x v="9"/>
    <x v="22"/>
    <s v="synthetic biology, living medicines, metabolic health"/>
    <n v="1"/>
    <s v="zN/A"/>
    <n v="0"/>
    <s v="zN/A"/>
    <s v="Philpott, Dana J"/>
  </r>
  <r>
    <x v="731"/>
    <s v="Université de Sherbrooke"/>
    <x v="4"/>
    <x v="0"/>
    <s v="201103MOP"/>
    <x v="5"/>
    <s v="Understanding the contribution of ovarian cancer ascites to drug and death receptor resistance"/>
    <n v="338166"/>
    <n v="0"/>
    <s v="3 yrs 0 mth "/>
    <x v="0"/>
    <x v="17"/>
    <s v="ovarian cancer, ascites, resistance"/>
    <n v="0"/>
    <s v="zN/A"/>
    <n v="0"/>
    <s v="zN/A"/>
    <s v="Piche, Alain"/>
  </r>
  <r>
    <x v="732"/>
    <s v="Sunnybrook Research Institute (Toronto, Ontario)"/>
    <x v="1"/>
    <x v="0"/>
    <s v="201009MOP"/>
    <x v="5"/>
    <s v="Long term outcomes of a multicentre controlled clinical trial of breast irradiation using Intensity-Modulated Radiation Therapy"/>
    <n v="130322"/>
    <n v="0"/>
    <s v="3 yrs 0 mth "/>
    <x v="0"/>
    <x v="16"/>
    <s v="breast irradiation, intensity-modulated radiation therapy, clinical trial"/>
    <n v="0"/>
    <s v="zN/A"/>
    <n v="0"/>
    <s v="zN/A"/>
    <s v="Pignol, Jean-Philippe"/>
  </r>
  <r>
    <x v="733"/>
    <s v="McGill University"/>
    <x v="4"/>
    <x v="0"/>
    <s v="200909MOP"/>
    <x v="6"/>
    <s v="Quantitative magnetic resonance imaging of multiple sclerosis"/>
    <n v="805242"/>
    <n v="0"/>
    <s v="5 yrs 0 mth "/>
    <x v="4"/>
    <x v="10"/>
    <s v="magnetic resonance imaging, multiple sclerosis"/>
    <n v="0"/>
    <s v="zN/A"/>
    <n v="0"/>
    <s v="zN/A"/>
    <s v="Pike, G. Bruce"/>
  </r>
  <r>
    <x v="733"/>
    <s v="McGill University"/>
    <x v="4"/>
    <x v="0"/>
    <s v="201109MOP"/>
    <x v="6"/>
    <s v="Functional MRI of Brain Physiology"/>
    <n v="829562"/>
    <n v="0"/>
    <s v="5 yrs 0 mth "/>
    <x v="4"/>
    <x v="15"/>
    <s v="Functional MRI, Brain Physiology"/>
    <n v="0"/>
    <s v="zN/A"/>
    <n v="0"/>
    <s v="zN/A"/>
    <s v="Pike, G. Bruce"/>
  </r>
  <r>
    <x v="734"/>
    <s v="York University (Toronto, Ontario)"/>
    <x v="1"/>
    <x v="6"/>
    <s v="201810CPG"/>
    <x v="8"/>
    <s v="Rebooting Infant Pain Assessment: Using Machine Learning to Exponentially Improve Neonatal Intensive Care Unit Practice."/>
    <n v="856779"/>
    <n v="85000"/>
    <s v="3 yrs 0 mth "/>
    <x v="7"/>
    <x v="26"/>
    <s v="Machine Learning, Neonatal, Pain Assessment"/>
    <n v="0"/>
    <s v="zN/A"/>
    <n v="0"/>
    <s v="zN/A"/>
    <s v="Pillai Riddell, Rebecca Rita E"/>
  </r>
  <r>
    <x v="735"/>
    <s v="Research Institute of the McGill University Health Centre"/>
    <x v="4"/>
    <x v="9"/>
    <s v="202403NW3"/>
    <x v="11"/>
    <s v="Social Prescribing to Improve Adherence and Outcomes in Women with Heart Failure"/>
    <n v="600000"/>
    <n v="0"/>
    <s v="2 yrs 10 mths "/>
    <x v="8"/>
    <x v="27"/>
    <s v="Social prescribing, heart failure, adherence"/>
    <n v="0"/>
    <s v="zN/A"/>
    <n v="0"/>
    <s v="zN/A"/>
    <s v="Pilote, Louise"/>
  </r>
  <r>
    <x v="736"/>
    <s v="Western University (Ontario)"/>
    <x v="1"/>
    <x v="1"/>
    <s v="201903PJT"/>
    <x v="3"/>
    <s v="Defining the role for ATF3 in recurrent pancreatic injury and PDAC"/>
    <n v="761176"/>
    <n v="0"/>
    <s v="5 yrs 0 mth "/>
    <x v="0"/>
    <x v="1"/>
    <s v="ATF3, pancreatic injury, PDAC"/>
    <n v="0"/>
    <s v="zN/A"/>
    <n v="0"/>
    <s v="zN/A"/>
    <s v="Pin, Christopher L"/>
  </r>
  <r>
    <x v="736"/>
    <s v="Western University (Ontario)"/>
    <x v="1"/>
    <x v="40"/>
    <s v="202209PJS"/>
    <x v="0"/>
    <s v="Tumour cell reprogramming in pancreatic ductal adenocarcinoma as a means for therapeutic resistance"/>
    <n v="100000"/>
    <n v="0"/>
    <s v="1 yr 0 mth "/>
    <x v="0"/>
    <x v="28"/>
    <s v="tumour cell reprogramming, pancreatic ductal adenocarcinoma, therapeutic resistance"/>
    <n v="0"/>
    <s v="zN/A"/>
    <n v="0"/>
    <s v="zN/A"/>
    <s v="Pin, Christopher L"/>
  </r>
  <r>
    <x v="737"/>
    <s v="McGill University"/>
    <x v="4"/>
    <x v="0"/>
    <s v="200903MOP"/>
    <x v="9"/>
    <s v="Adaptive stimulation strategies for the treatment of epileptic syndromes in vivo"/>
    <n v="180000"/>
    <n v="0"/>
    <s v="3 yrs 0 mth "/>
    <x v="4"/>
    <x v="5"/>
    <s v="adaptive, stimulation, epileptic"/>
    <n v="0"/>
    <s v="zN/A"/>
    <n v="0"/>
    <s v="zN/A"/>
    <s v="Pineau, Joelle"/>
  </r>
  <r>
    <x v="738"/>
    <s v="McMaster University"/>
    <x v="1"/>
    <x v="4"/>
    <s v="200809IC1"/>
    <x v="5"/>
    <s v="Adiponectin Signaling in Cancer"/>
    <n v="100000"/>
    <n v="0"/>
    <s v="1 yr 0 mth "/>
    <x v="0"/>
    <x v="42"/>
    <s v="Adiponectin, Signaling, Cancer"/>
    <n v="0"/>
    <s v="zN/A"/>
    <n v="0"/>
    <s v="zN/A"/>
    <s v="Pinthus, Jehonathan H"/>
  </r>
  <r>
    <x v="739"/>
    <s v="University of British Columbia"/>
    <x v="3"/>
    <x v="6"/>
    <s v="201610CPG"/>
    <x v="8"/>
    <s v="Raman Spectroscopy Analysis to Improve the Validation of Cell Therapy Manufacturing Processes"/>
    <n v="233800"/>
    <n v="0"/>
    <s v="3 yrs 0 mth "/>
    <x v="9"/>
    <x v="24"/>
    <s v="Raman Spectroscopy, Cell Therapy, Manufacturing"/>
    <n v="0"/>
    <s v="zN/A"/>
    <n v="0"/>
    <s v="zN/A"/>
    <s v="Piret, James M"/>
  </r>
  <r>
    <x v="739"/>
    <s v="University of British Columbia"/>
    <x v="3"/>
    <x v="6"/>
    <s v="201810CPG"/>
    <x v="8"/>
    <s v="Bioprocess Engineering for Therapeutic T-cell Manufacturing"/>
    <n v="306802"/>
    <n v="0"/>
    <s v="3 yrs 0 mth "/>
    <x v="1"/>
    <x v="26"/>
    <s v="Bioprocess, T-cell, Manufacturing"/>
    <n v="0"/>
    <s v="zN/A"/>
    <n v="0"/>
    <s v="zN/A"/>
    <s v="Piret, James M"/>
  </r>
  <r>
    <x v="740"/>
    <s v="Hospital for Sick Children (Toronto)"/>
    <x v="1"/>
    <x v="1"/>
    <s v="202203PJT"/>
    <x v="9"/>
    <s v="Development of miniaturized robotic tools for cleft palate repair"/>
    <n v="742050"/>
    <n v="0"/>
    <s v="5 yrs 0 mth "/>
    <x v="7"/>
    <x v="3"/>
    <s v="robotic tools, cleft palate"/>
    <n v="0"/>
    <s v="zN/A"/>
    <n v="0"/>
    <s v="zN/A"/>
    <s v="Podolsky, Dale J"/>
  </r>
  <r>
    <x v="740"/>
    <s v="Hospital for Sick Children (Toronto)"/>
    <x v="1"/>
    <x v="1"/>
    <s v="202303PJT"/>
    <x v="9"/>
    <s v="Development of a minimally invasive bone cutting tool for craniosynostosis surgery"/>
    <n v="864450"/>
    <n v="0"/>
    <s v="5 yrs 0 mth "/>
    <x v="7"/>
    <x v="13"/>
    <s v="bone, cutting, craniosynostosis"/>
    <n v="1"/>
    <s v="zN/A"/>
    <n v="0"/>
    <s v="zN/A"/>
    <s v="Podolsky, Dale J"/>
  </r>
  <r>
    <x v="741"/>
    <s v="Institut de recherches cliniques de Montréal"/>
    <x v="4"/>
    <x v="12"/>
    <s v="201209COP"/>
    <x v="5"/>
    <s v="Biomarker discovery for human breast cancer relapse in a mouse model of artificial late recurrence."/>
    <n v="100000"/>
    <n v="0"/>
    <s v="1 yr 0 mth "/>
    <x v="0"/>
    <x v="32"/>
    <s v="biomarker, breast cancer, relapse"/>
    <n v="0"/>
    <s v="zN/A"/>
    <n v="0"/>
    <s v="zN/A"/>
    <s v="Podsypanina, Katrina"/>
  </r>
  <r>
    <x v="742"/>
    <s v="University of British Columbia"/>
    <x v="3"/>
    <x v="59"/>
    <s v="201903PJ7"/>
    <x v="1"/>
    <s v="Genomic, Epigenomic, and Phenotypic Characterization of Oral Premalignant Fields for the Development of Actionable Prevention Strategies"/>
    <n v="100000"/>
    <n v="0"/>
    <s v="1 yr 0 mth "/>
    <x v="0"/>
    <x v="1"/>
    <s v="Genomic, Epigenomic, Phenotypic"/>
    <n v="0"/>
    <s v="zN/A"/>
    <n v="0"/>
    <s v="zN/A"/>
    <s v="Poh, Catherine"/>
  </r>
  <r>
    <x v="743"/>
    <s v="Université Laval"/>
    <x v="4"/>
    <x v="1"/>
    <s v="201903PJT"/>
    <x v="0"/>
    <s v="Poly(ADP-ribose) writers, readers, and erasers: Functions in DNA double-strand break repair and synthetic lethality."/>
    <n v="956250"/>
    <n v="0"/>
    <s v="5 yrs 0 mth "/>
    <x v="2"/>
    <x v="1"/>
    <s v="Poly(ADP-ribose), DNA repair, synthetic lethality"/>
    <n v="0"/>
    <s v="zN/A"/>
    <n v="0"/>
    <s v="zN/A"/>
    <s v="Poirier, Guy G"/>
  </r>
  <r>
    <x v="744"/>
    <s v="University of Toronto"/>
    <x v="1"/>
    <x v="6"/>
    <s v="201610CPG"/>
    <x v="8"/>
    <s v="Wireless neurophotonic probes for the interrogation of neurons in memory circuits"/>
    <n v="349500"/>
    <n v="0"/>
    <s v="3 yrs 0 mth "/>
    <x v="4"/>
    <x v="24"/>
    <s v="wireless, neurophotonic, neurons"/>
    <n v="0"/>
    <s v="zN/A"/>
    <n v="0"/>
    <s v="zN/A"/>
    <s v="Poon, Joyce"/>
  </r>
  <r>
    <x v="745"/>
    <s v="University of Windsor (Ontario)"/>
    <x v="1"/>
    <x v="0"/>
    <s v="201503MOP"/>
    <x v="0"/>
    <s v="Novel Cell Cycle Regulation in the Initiation and Therapeutic Intervention of Breast Cancer"/>
    <n v="765202"/>
    <n v="0"/>
    <s v="5 yrs 0 mth "/>
    <x v="0"/>
    <x v="19"/>
    <s v="Cell cycle, breast cancer, regulation"/>
    <n v="3"/>
    <s v="zN/A"/>
    <n v="0"/>
    <s v="zN/A"/>
    <s v="Porter, Lisa A"/>
  </r>
  <r>
    <x v="745"/>
    <s v="University of Windsor (Ontario)"/>
    <x v="1"/>
    <x v="1"/>
    <s v="201809PJT"/>
    <x v="0"/>
    <s v="Targeting Cell Cycle Checkpoints in Glioma"/>
    <n v="1044225"/>
    <n v="0"/>
    <s v="5 yrs 0 mth "/>
    <x v="0"/>
    <x v="26"/>
    <s v="Cell cycle, Checkpoints, Glioma"/>
    <n v="1"/>
    <s v="zN/A"/>
    <n v="0"/>
    <s v="zN/A"/>
    <s v="Porter, Lisa A"/>
  </r>
  <r>
    <x v="746"/>
    <s v="Hospital for Sick Children (Toronto)"/>
    <x v="1"/>
    <x v="1"/>
    <s v="202309PJT"/>
    <x v="0"/>
    <s v="Lung cancer therapy using genetically modified macrophages"/>
    <n v="979200"/>
    <n v="0"/>
    <s v="5 yrs 0 mth "/>
    <x v="3"/>
    <x v="33"/>
    <s v="lung cancer, macrophages, genetically modified"/>
    <n v="0"/>
    <s v="zN/A"/>
    <n v="0"/>
    <s v="zN/A"/>
    <s v="Post, Martin"/>
  </r>
  <r>
    <x v="747"/>
    <s v="Western University (Ontario)"/>
    <x v="1"/>
    <x v="0"/>
    <s v="201109MOP"/>
    <x v="1"/>
    <s v="Role Of The Embryonic Morphpogen Nodal In The Regulation Of Breast Cancer Invasion"/>
    <n v="739830"/>
    <n v="0"/>
    <s v="5 yrs 0 mth "/>
    <x v="0"/>
    <x v="15"/>
    <s v="embryonic, Nodal, breast cancer"/>
    <n v="1"/>
    <s v="zN/A"/>
    <n v="0"/>
    <s v="zN/A"/>
    <s v="Postovit, Lynne-Marie"/>
  </r>
  <r>
    <x v="748"/>
    <s v="University of Saskatchewan"/>
    <x v="6"/>
    <x v="1"/>
    <s v="202303PJT"/>
    <x v="6"/>
    <s v="Tumor targeted, radiolabeled, mimetic nanovesicle theranostics for imaging and treating head and neck cancer"/>
    <n v="963900"/>
    <n v="0"/>
    <s v="5 yrs 0 mth "/>
    <x v="0"/>
    <x v="13"/>
    <s v="tumor, radiolabeled, nanovesicle"/>
    <n v="0"/>
    <s v="zN/A"/>
    <n v="0"/>
    <s v="zN/A"/>
    <s v="Price, Eric W"/>
  </r>
  <r>
    <x v="749"/>
    <s v="University of British Columbia"/>
    <x v="3"/>
    <x v="48"/>
    <s v="201310CEA"/>
    <x v="21"/>
    <s v="A mixed-method study to explore, assess, and explain the translation of a complex set of evidence-based rules into practice through electronic medical record based decision support: How can STOPP effectively be deployed in primary care?"/>
    <n v="80459"/>
    <n v="0"/>
    <s v="1 yr 0 mth "/>
    <x v="11"/>
    <x v="54"/>
    <s v="decision support, electronic medical record, primary care"/>
    <n v="0"/>
    <s v="zN/A"/>
    <n v="0"/>
    <s v="zN/A"/>
    <s v="Price, Morgan Thomas M"/>
  </r>
  <r>
    <x v="749"/>
    <s v="University of Victoria (British Columbia)"/>
    <x v="3"/>
    <x v="14"/>
    <s v="201706PCG"/>
    <x v="14"/>
    <s v="Focus:  Engaging patients with chronic pain to use their character strengths to improve quality of life through a tailored mHealth intervention."/>
    <n v="199427"/>
    <n v="0"/>
    <s v="2 yrs 0 mth "/>
    <x v="5"/>
    <x v="30"/>
    <s v="chronic pain, mHealth, patient engagement"/>
    <n v="0"/>
    <s v="zN/A"/>
    <n v="0"/>
    <s v="zN/A"/>
    <s v="Price, Morgan Thomas M"/>
  </r>
  <r>
    <x v="750"/>
    <s v="University of British Columbia"/>
    <x v="3"/>
    <x v="6"/>
    <s v="201810CPG"/>
    <x v="8"/>
    <s v="Intraoperative Surgical Tools for Advanced Reconstruction Workflow to Optimize Outcomes of Head and Neck Cancer Treatment"/>
    <n v="360914"/>
    <n v="33363"/>
    <s v="3 yrs 0 mth "/>
    <x v="0"/>
    <x v="26"/>
    <s v="surgical tools, reconstruction, head and neck cancer"/>
    <n v="0"/>
    <s v="zN/A"/>
    <n v="0"/>
    <s v="zN/A"/>
    <s v="Prisman, Eitan"/>
  </r>
  <r>
    <x v="751"/>
    <s v="Western University (Ontario)"/>
    <x v="1"/>
    <x v="19"/>
    <s v="202307NWI"/>
    <x v="17"/>
    <s v="Identifying causes of neovaginal malodour in transfeminine people"/>
    <n v="149115"/>
    <n v="0"/>
    <s v="1 yr 0 mth "/>
    <x v="8"/>
    <x v="59"/>
    <s v="neovaginal, malodour, transfeminine"/>
    <n v="0"/>
    <s v="zN/A"/>
    <n v="0"/>
    <s v="zN/A"/>
    <s v="Prodger, Jessica L"/>
  </r>
  <r>
    <x v="751"/>
    <s v="Western University (Ontario)"/>
    <x v="1"/>
    <x v="19"/>
    <s v="202307NWI"/>
    <x v="17"/>
    <s v="Identifying causes of neovaginal malodour in transfeminine people"/>
    <n v="149115"/>
    <n v="0"/>
    <s v="1 yr 0 mth "/>
    <x v="8"/>
    <x v="36"/>
    <s v="neovaginal, malodour, transfeminine"/>
    <n v="0"/>
    <s v="zN/A"/>
    <n v="0"/>
    <s v="zN/A"/>
    <s v="Prodger, Jessica L"/>
  </r>
  <r>
    <x v="752"/>
    <s v="Polytechnique Montréal"/>
    <x v="4"/>
    <x v="1"/>
    <s v="202010PJT"/>
    <x v="6"/>
    <s v="Dynamic Ultrasound Localization Pulsatility Imaging"/>
    <n v="673200"/>
    <n v="0"/>
    <s v="5 yrs 0 mth "/>
    <x v="3"/>
    <x v="23"/>
    <s v="Ultrasound, Localization, Pulsatility"/>
    <n v="2"/>
    <s v="zN/A"/>
    <n v="0"/>
    <s v="zN/A"/>
    <s v="Provost, Jean"/>
  </r>
  <r>
    <x v="752"/>
    <s v="Polytechnique Montréal"/>
    <x v="4"/>
    <x v="1"/>
    <s v="202309PJT"/>
    <x v="6"/>
    <s v="Dynamic Myocardial Ultrasound Localization Microscopy"/>
    <n v="841500"/>
    <n v="0"/>
    <s v="5 yrs 0 mth "/>
    <x v="3"/>
    <x v="33"/>
    <s v="Myocardial, Ultrasound, Localization"/>
    <n v="0"/>
    <s v="zN/A"/>
    <n v="0"/>
    <s v="zN/A"/>
    <s v="Provost, Jean"/>
  </r>
  <r>
    <x v="753"/>
    <s v="University Health Network (Toronto)"/>
    <x v="1"/>
    <x v="1"/>
    <s v="201803PJT"/>
    <x v="5"/>
    <s v="Molecular evolution of myeloma from precursor through to relapsed disease"/>
    <n v="390152"/>
    <n v="0"/>
    <s v="4 yrs 0 mth "/>
    <x v="0"/>
    <x v="7"/>
    <s v="molecular evolution, myeloma, relapse"/>
    <n v="0"/>
    <s v="zN/A"/>
    <n v="0"/>
    <s v="zN/A"/>
    <s v="Pugh, Trevor J"/>
  </r>
  <r>
    <x v="753"/>
    <s v="University Health Network (Toronto)"/>
    <x v="1"/>
    <x v="1"/>
    <s v="201803PJT"/>
    <x v="5"/>
    <s v="Early detection of cancer in high-risk patients through profiling of circulating tumour DNA"/>
    <n v="1977525"/>
    <n v="0"/>
    <s v="4 yrs 0 mth "/>
    <x v="0"/>
    <x v="7"/>
    <s v="cancer, circulating tumour DNA, detection"/>
    <n v="0"/>
    <s v="zN/A"/>
    <n v="0"/>
    <s v="zN/A"/>
    <s v="Pugh, Trevor J"/>
  </r>
  <r>
    <x v="753"/>
    <s v="University Health Network (Toronto)"/>
    <x v="1"/>
    <x v="1"/>
    <s v="202010PJT"/>
    <x v="5"/>
    <s v="Understanding inevitable relapse of multiple myeloma following highly-effective anti-BCMA treatment"/>
    <n v="990676"/>
    <n v="0"/>
    <s v="4 yrs 0 mth "/>
    <x v="0"/>
    <x v="23"/>
    <s v="multiple myeloma, anti-BCMA, relapse"/>
    <n v="0"/>
    <s v="zN/A"/>
    <n v="0"/>
    <s v="zN/A"/>
    <s v="Pugh, Trevor J"/>
  </r>
  <r>
    <x v="754"/>
    <s v="Queen's University (Kingston, Ontario)"/>
    <x v="1"/>
    <x v="9"/>
    <s v="202403NW3"/>
    <x v="11"/>
    <s v="Examining the efficacy of a multimodal virtual program on pain and sexual outcomes in individuals with provoked vestibulodynia: A randomized clinical trial"/>
    <n v="599086"/>
    <n v="0"/>
    <s v="2 yrs 10 mths "/>
    <x v="8"/>
    <x v="27"/>
    <s v="virtual, pain, vestibulodynia"/>
    <n v="0"/>
    <s v="zN/A"/>
    <n v="0"/>
    <s v="zN/A"/>
    <s v="Pukall, Caroline F"/>
  </r>
  <r>
    <x v="755"/>
    <s v="University of Toronto"/>
    <x v="1"/>
    <x v="6"/>
    <s v="201210CPG"/>
    <x v="8"/>
    <s v="Improving Quality and Patient Safety in Radiation Therapy by Integrating Multi-Disciplinary Criteria into an Artificial Intelligence System"/>
    <n v="325530"/>
    <n v="0"/>
    <s v="3 yrs 0 mth "/>
    <x v="0"/>
    <x v="14"/>
    <s v="Radiation Therapy, Artificial Intelligence, Patient Safety"/>
    <n v="0"/>
    <s v="zN/A"/>
    <n v="0"/>
    <s v="zN/A"/>
    <s v="Purdie, Thomas G"/>
  </r>
  <r>
    <x v="755"/>
    <s v="University of Toronto"/>
    <x v="1"/>
    <x v="6"/>
    <s v="201610CPG"/>
    <x v="8"/>
    <s v="Advancing Personalized Cancer Care with an Automated Radiomics-Based Radiation Therapy Method"/>
    <n v="276283"/>
    <n v="0"/>
    <s v="3 yrs 0 mth "/>
    <x v="0"/>
    <x v="24"/>
    <s v="Radiomics, Radiation Therapy, Cancer"/>
    <n v="1"/>
    <s v="zN/A"/>
    <n v="0"/>
    <s v="zN/A"/>
    <s v="Purdie, Thomas G"/>
  </r>
  <r>
    <x v="755"/>
    <s v="University Health Network (Toronto)"/>
    <x v="1"/>
    <x v="1"/>
    <s v="202203PJT"/>
    <x v="6"/>
    <s v="Clinical Deployment of an End-to-End Artificial Intelligence (AI)-only Radiotherapy Treatment Planning and Decision Support Workflow"/>
    <n v="711450"/>
    <n v="0"/>
    <s v="5 yrs 0 mth "/>
    <x v="0"/>
    <x v="3"/>
    <s v="Artificial Intelligence, Radiotherapy, Planning"/>
    <n v="0"/>
    <s v="zN/A"/>
    <n v="0"/>
    <s v="zN/A"/>
    <s v="Purdie, Thomas G"/>
  </r>
  <r>
    <x v="756"/>
    <s v="University of Guelph"/>
    <x v="1"/>
    <x v="19"/>
    <s v="202307NWI"/>
    <x v="17"/>
    <s v="Getting to the Heart of Domestic Abuse: Identifying the molecular mechanisms of heart disease in association with physical and psychological stress"/>
    <n v="150000"/>
    <n v="0"/>
    <s v="1 yr 0 mth "/>
    <x v="8"/>
    <x v="36"/>
    <s v="heart disease, molecular mechanisms, stress"/>
    <n v="0"/>
    <s v="zN/A"/>
    <n v="0"/>
    <s v="zN/A"/>
    <s v="Pyle, Glen W"/>
  </r>
  <r>
    <x v="757"/>
    <s v="Centre hospitalier universitaire Sainte-Justine (Montréal, Québec)"/>
    <x v="4"/>
    <x v="18"/>
    <s v="202005VR2"/>
    <x v="16"/>
    <s v="REinfection in COVid-19 Estimation of Risk (RECOVER)"/>
    <n v="2112471"/>
    <n v="0"/>
    <s v="1 yr 0 mth "/>
    <x v="10"/>
    <x v="2"/>
    <s v="COVID-19, Reinfection, Risk"/>
    <n v="0"/>
    <s v="zN/A"/>
    <n v="0"/>
    <s v="zN/A"/>
    <s v="Quach-Thanh, Caroline"/>
  </r>
  <r>
    <x v="758"/>
    <s v="McGill University"/>
    <x v="4"/>
    <x v="1"/>
    <s v="201803PJT"/>
    <x v="0"/>
    <s v="Impact of obesity-associated inflammation on breast cancer progression"/>
    <n v="944776"/>
    <n v="0"/>
    <s v="5 yrs 0 mth "/>
    <x v="0"/>
    <x v="7"/>
    <s v="obesity, inflammation, breast cancer"/>
    <n v="0"/>
    <s v="zN/A"/>
    <n v="0"/>
    <s v="zN/A"/>
    <s v="Quail, Daniela"/>
  </r>
  <r>
    <x v="758"/>
    <s v="McGill University"/>
    <x v="4"/>
    <x v="1"/>
    <s v="202104PJT"/>
    <x v="0"/>
    <s v="Targeting obesity-associated monocytosis in colorectal cancer liver metastasis"/>
    <n v="948600"/>
    <n v="0"/>
    <s v="5 yrs 0 mth "/>
    <x v="0"/>
    <x v="35"/>
    <s v="obesity, monocytosis, colorectal cancer"/>
    <n v="0"/>
    <s v="zN/A"/>
    <n v="0"/>
    <s v="zN/A"/>
    <s v="Quail, Daniela"/>
  </r>
  <r>
    <x v="759"/>
    <s v="McMaster University"/>
    <x v="1"/>
    <x v="1"/>
    <s v="202109PJT"/>
    <x v="6"/>
    <s v="Investigation of the factors contributing to fracture risk in clinical populations using novel image processing techniques of standard DXA images from longitudinal datasets."/>
    <n v="459000"/>
    <n v="0"/>
    <s v="4 yrs 0 mth "/>
    <x v="5"/>
    <x v="25"/>
    <s v="fracture risk, image processing, DXA"/>
    <n v="0"/>
    <s v="zN/A"/>
    <n v="0"/>
    <s v="zN/A"/>
    <s v="Quenneville, Cheryl"/>
  </r>
  <r>
    <x v="24"/>
    <s v="University of Toronto"/>
    <x v="1"/>
    <x v="6"/>
    <s v="201510CPG"/>
    <x v="8"/>
    <s v="Platform technology for maturation of human stem cell derived cardiomyocytes and cardiotoxicity screening"/>
    <n v="149788"/>
    <n v="0"/>
    <s v="3 yrs 0 mth "/>
    <x v="3"/>
    <x v="4"/>
    <s v="stem cells, cardiomyocytes, cardiotoxicity"/>
    <n v="4"/>
    <s v="zN/A"/>
    <n v="0"/>
    <s v="zN/A"/>
    <s v="Radisic, Milica"/>
  </r>
  <r>
    <x v="760"/>
    <s v="Université de Montréal"/>
    <x v="4"/>
    <x v="1"/>
    <s v="202209PJT"/>
    <x v="0"/>
    <s v="Immunoproteasome-expressing mesenchymal stromal cells: a new tool for cancer vaccination"/>
    <n v="956250"/>
    <n v="0"/>
    <s v="5 yrs 0 mth "/>
    <x v="0"/>
    <x v="8"/>
    <s v="immunoproteasome, mesenchymal stromal cells, cancer vaccination"/>
    <n v="1"/>
    <s v="zN/A"/>
    <n v="0"/>
    <s v="zN/A"/>
    <s v="Rafei, Moutih"/>
  </r>
  <r>
    <x v="760"/>
    <s v="Université de Montréal"/>
    <x v="4"/>
    <x v="1"/>
    <s v="202403PJT"/>
    <x v="0"/>
    <s v="Tuning-up thymopoiesis by targeting interleukin-21 to the bone marrow"/>
    <n v="1139850"/>
    <n v="0"/>
    <s v="5 yrs 0 mth "/>
    <x v="0"/>
    <x v="38"/>
    <s v="thymopoiesis, interleukin-21, bone marrow"/>
    <n v="0"/>
    <s v="zN/A"/>
    <n v="0"/>
    <s v="zN/A"/>
    <s v="Rafei, Moutih"/>
  </r>
  <r>
    <x v="761"/>
    <s v="McMaster University"/>
    <x v="1"/>
    <x v="6"/>
    <s v="201711CPG"/>
    <x v="8"/>
    <s v="Placenta on a chip: A humanized platform for testing of pharmaceuticals and environmental chemicals"/>
    <n v="281306"/>
    <n v="12500"/>
    <s v="3 yrs 0 mth "/>
    <x v="7"/>
    <x v="11"/>
    <s v="placenta, chip, pharmaceuticals"/>
    <n v="0"/>
    <s v="zN/A"/>
    <n v="0"/>
    <s v="zN/A"/>
    <s v="Raha, Sandeep"/>
  </r>
  <r>
    <x v="762"/>
    <s v="University of Windsor (Ontario)"/>
    <x v="1"/>
    <x v="10"/>
    <s v="202309PLL"/>
    <x v="0"/>
    <s v="Regulation of natural killer cell-mediated immune response in breast cancer"/>
    <n v="100000"/>
    <n v="0"/>
    <s v="1 yr 0 mth "/>
    <x v="0"/>
    <x v="37"/>
    <s v="natural killer, immune response, breast cancer"/>
    <n v="0"/>
    <s v="zN/A"/>
    <n v="0"/>
    <s v="zN/A"/>
    <s v="Rahim, Mir Munir Ahmed"/>
  </r>
  <r>
    <x v="763"/>
    <s v="University of British Columbia"/>
    <x v="3"/>
    <x v="1"/>
    <s v="201809PJT"/>
    <x v="6"/>
    <s v="Quantitative PSMA Targeted Imaging of Prostate Cancer Patients"/>
    <n v="631124"/>
    <n v="0"/>
    <s v="4 yrs 0 mth "/>
    <x v="0"/>
    <x v="26"/>
    <s v="PSMA, Imaging, Prostate Cancer"/>
    <n v="0"/>
    <s v="zN/A"/>
    <n v="0"/>
    <s v="zN/A"/>
    <s v="Rahmim, Arman"/>
  </r>
  <r>
    <x v="763"/>
    <s v="University of British Columbia"/>
    <x v="3"/>
    <x v="1"/>
    <s v="202003PJT"/>
    <x v="6"/>
    <s v="Improved Assessment of Disease in Lymphoma Patients using Quantitative PET Imaging"/>
    <n v="898876"/>
    <n v="0"/>
    <s v="5 yrs 0 mth "/>
    <x v="0"/>
    <x v="39"/>
    <s v="Lymphoma, PET imaging, Quantitative"/>
    <n v="0"/>
    <s v="zN/A"/>
    <n v="0"/>
    <s v="zN/A"/>
    <s v="Rahmim, Arman"/>
  </r>
  <r>
    <x v="764"/>
    <s v="Research Institute of the McGill University Health Centre"/>
    <x v="4"/>
    <x v="0"/>
    <s v="200909MOP"/>
    <x v="5"/>
    <s v="Tissue factor in tumour progression and angiogenesis"/>
    <n v="744120"/>
    <n v="0"/>
    <s v="5 yrs 0 mth "/>
    <x v="0"/>
    <x v="10"/>
    <s v="Tissue factor, tumour progression, angiogenesis"/>
    <n v="0"/>
    <s v="zN/A"/>
    <n v="0"/>
    <s v="zN/A"/>
    <s v="Rak, Janusz"/>
  </r>
  <r>
    <x v="764"/>
    <s v="Research Institute of the McGill University Health Centre"/>
    <x v="4"/>
    <x v="0"/>
    <s v="201009MOP"/>
    <x v="1"/>
    <s v="Oncogene-containing microvesicles as mediators and messengers of tumour progression"/>
    <n v="774560"/>
    <n v="0"/>
    <s v="5 yrs 0 mth "/>
    <x v="0"/>
    <x v="16"/>
    <s v="oncogene, microvesicles, tumour"/>
    <n v="4"/>
    <s v="zN/A"/>
    <n v="0"/>
    <s v="zN/A"/>
    <s v="Rak, Janusz"/>
  </r>
  <r>
    <x v="764"/>
    <s v="Research Institute of the McGill University Health Centre"/>
    <x v="4"/>
    <x v="0"/>
    <s v="201309MOP"/>
    <x v="1"/>
    <s v="Coagulation system effectors as regulators of tumour dormancy and therapeutic targets"/>
    <n v="710040"/>
    <n v="0"/>
    <s v="5 yrs 0 mth "/>
    <x v="0"/>
    <x v="9"/>
    <s v="coagulation, tumour, dormancy"/>
    <n v="0"/>
    <s v="zN/A"/>
    <n v="0"/>
    <s v="zN/A"/>
    <s v="Rak, Janusz"/>
  </r>
  <r>
    <x v="764"/>
    <s v="Research Institute of the McGill University Health Centre"/>
    <x v="4"/>
    <x v="1"/>
    <s v="202203PJT"/>
    <x v="5"/>
    <s v="Targeting exosomal mediators of vascular pathology in glioblastoma"/>
    <n v="956250"/>
    <n v="0"/>
    <s v="5 yrs 0 mth "/>
    <x v="0"/>
    <x v="3"/>
    <s v="exosomal, vascular, glioblastoma"/>
    <n v="0"/>
    <s v="zN/A"/>
    <n v="0"/>
    <s v="zN/A"/>
    <s v="Rak, Janusz"/>
  </r>
  <r>
    <x v="765"/>
    <s v="Sunnybrook Research Institute (Toronto, Ontario)"/>
    <x v="1"/>
    <x v="1"/>
    <s v="201709PJT"/>
    <x v="3"/>
    <s v="DCIS-Precise: A Genomics-Driven Model for Predicting DCIS Response to Radiation"/>
    <n v="910352"/>
    <n v="0"/>
    <s v="4 yrs 0 mth "/>
    <x v="0"/>
    <x v="11"/>
    <s v="DCIS, Genomics, Radiation"/>
    <n v="0"/>
    <s v="zN/A"/>
    <n v="0"/>
    <s v="zN/A"/>
    <s v="Rakovitch, Eileen"/>
  </r>
  <r>
    <x v="765"/>
    <s v="Sunnybrook Research Institute (Toronto, Ontario)"/>
    <x v="1"/>
    <x v="1"/>
    <s v="202003PJT"/>
    <x v="3"/>
    <s v="Prospective Evaluation of Breast-Conserving Surgery Alone in Low Risk Ductal Carcinoma in Situ Defined by a Molecular Expression Assay Combined with Clinico-Pathological Features"/>
    <n v="1235476"/>
    <n v="0"/>
    <s v="6 yrs 0 mth "/>
    <x v="0"/>
    <x v="39"/>
    <s v="Breast-Conserving Surgery, Ductal Carcinoma, Molecular Expression"/>
    <n v="0"/>
    <s v="zN/A"/>
    <n v="0"/>
    <s v="zN/A"/>
    <s v="Rakovitch, Eileen"/>
  </r>
  <r>
    <x v="765"/>
    <s v="Sunnybrook Research Institute (Toronto, Ontario)"/>
    <x v="1"/>
    <x v="1"/>
    <s v="202209PJT"/>
    <x v="0"/>
    <s v="Validation of a novel biomarker classifier that predicts radiation response following breast-conserving surgery for ductal carcinoma in situ (DCIS)"/>
    <n v="1981352"/>
    <n v="0"/>
    <s v="4 yrs 0 mth "/>
    <x v="0"/>
    <x v="8"/>
    <s v="biomarker, classifier, radiation"/>
    <n v="0"/>
    <s v="zN/A"/>
    <n v="0"/>
    <s v="zN/A"/>
    <s v="Rakovitch, Eileen"/>
  </r>
  <r>
    <x v="766"/>
    <s v="Hospital for Sick Children (Toronto)"/>
    <x v="1"/>
    <x v="1"/>
    <s v="201803PJT"/>
    <x v="1"/>
    <s v="Molecular and Functional Characterization of Childhood Ependymoma"/>
    <n v="914176"/>
    <n v="0"/>
    <s v="5 yrs 0 mth "/>
    <x v="0"/>
    <x v="7"/>
    <s v="Molecular, Functional, Ependymoma"/>
    <n v="0"/>
    <s v="zN/A"/>
    <n v="0"/>
    <s v="zN/A"/>
    <s v="Ramaswamy, Vijay"/>
  </r>
  <r>
    <x v="766"/>
    <s v="Hospital for Sick Children (Toronto)"/>
    <x v="1"/>
    <x v="1"/>
    <s v="202209PJT"/>
    <x v="1"/>
    <s v="Exploiting therapeutic vulnerabilities to identify new treatments for high-risk SHH medulloblastoma"/>
    <n v="1285200"/>
    <n v="0"/>
    <s v="5 yrs 0 mth "/>
    <x v="0"/>
    <x v="8"/>
    <s v="therapeutic vulnerabilities, SHH medulloblastoma"/>
    <n v="0"/>
    <s v="zN/A"/>
    <n v="0"/>
    <s v="zN/A"/>
    <s v="Ramaswamy, Vijay"/>
  </r>
  <r>
    <x v="767"/>
    <s v="CIUSSS Est-de-l'Ile-de- Montréal-Maisonneuve Rosemont"/>
    <x v="4"/>
    <x v="0"/>
    <s v="200809MOP"/>
    <x v="0"/>
    <s v="The role of human glyceraldehyde-3-phosphate dehydrogenase in reactivating oxidized forms of the DNA repair enzyme APE1"/>
    <n v="355206"/>
    <n v="0"/>
    <s v="3 yrs 0 mth "/>
    <x v="0"/>
    <x v="0"/>
    <s v="glyceraldehyde-3-phosphate dehydrogenase, DNA repair, APE1"/>
    <n v="0"/>
    <s v="zN/A"/>
    <n v="0"/>
    <s v="zN/A"/>
    <s v="Ramotar, Dindial"/>
  </r>
  <r>
    <x v="767"/>
    <s v="CIUSSS Est-de-l'Ile-de- Montréal-Maisonneuve Rosemont"/>
    <x v="4"/>
    <x v="0"/>
    <s v="201109MOP"/>
    <x v="0"/>
    <s v="The role of human glyceraldehyde-3-phosphate dehydrogenase in maintaining the redox state of the DNA repair enzyme APE1"/>
    <n v="622134"/>
    <n v="0"/>
    <s v="5 yrs 0 mth "/>
    <x v="0"/>
    <x v="15"/>
    <s v="glyceraldehyde-3-phosphate dehydrogenase, DNA repair, APE1"/>
    <n v="0"/>
    <s v="zN/A"/>
    <n v="0"/>
    <s v="zN/A"/>
    <s v="Ramotar, Dindial"/>
  </r>
  <r>
    <x v="768"/>
    <s v="University of Calgary"/>
    <x v="2"/>
    <x v="6"/>
    <s v="201510CPG"/>
    <x v="8"/>
    <s v="Derivation and Culture of Naeve Pluripotent Stem Cells in Stirred Suspension Bioreactors"/>
    <n v="351690"/>
    <n v="0"/>
    <s v="3 yrs 0 mth "/>
    <x v="2"/>
    <x v="4"/>
    <s v="Naive, pluripotent, bioreactors"/>
    <n v="0"/>
    <s v="zN/A"/>
    <n v="0"/>
    <s v="zN/A"/>
    <s v="Rancourt, Derrick E"/>
  </r>
  <r>
    <x v="769"/>
    <s v="Alberta Health Services"/>
    <x v="2"/>
    <x v="0"/>
    <s v="200809MOP"/>
    <x v="6"/>
    <s v="Investigation of Pulsed Radiation Effects on RF Coils for Integrated MRI-Linac Project"/>
    <n v="263007"/>
    <n v="0"/>
    <s v="3 yrs 0 mth "/>
    <x v="0"/>
    <x v="0"/>
    <s v="Pulsed Radiation, RF Coils, MRI-Linac"/>
    <n v="3"/>
    <s v="zN/A"/>
    <n v="0"/>
    <s v="zN/A"/>
    <s v="Rathee, Satyapal"/>
  </r>
  <r>
    <x v="770"/>
    <s v="University of British Columbia"/>
    <x v="3"/>
    <x v="1"/>
    <s v="201903PJT"/>
    <x v="6"/>
    <s v="Imaging markers for tissue damage and disease progression in MS"/>
    <n v="707626"/>
    <n v="0"/>
    <s v="5 yrs 0 mth "/>
    <x v="4"/>
    <x v="1"/>
    <s v="imaging, markers, tissue damage"/>
    <n v="0"/>
    <s v="zN/A"/>
    <n v="0"/>
    <s v="zN/A"/>
    <s v="Rauscher, Alexander"/>
  </r>
  <r>
    <x v="770"/>
    <s v="University of British Columbia"/>
    <x v="3"/>
    <x v="1"/>
    <s v="202203PJT"/>
    <x v="6"/>
    <s v="Quantitative Susceptibility Mapping from Clinical Phase Data"/>
    <n v="275400"/>
    <n v="0"/>
    <s v="3 yrs 0 mth "/>
    <x v="4"/>
    <x v="3"/>
    <s v="Susceptibility, Mapping, Clinical"/>
    <n v="0"/>
    <s v="zN/A"/>
    <n v="0"/>
    <s v="zN/A"/>
    <s v="Rauscher, Alexander"/>
  </r>
  <r>
    <x v="771"/>
    <s v="Centre hospitalier universitaire Sainte-Justine (Montréal, Québec)"/>
    <x v="4"/>
    <x v="37"/>
    <s v="202003PJG"/>
    <x v="3"/>
    <s v="4D spheroids identify type I protein arginine methyltransferases as a target in NSCLC"/>
    <n v="100000"/>
    <n v="0"/>
    <s v="1 yr 0 mth "/>
    <x v="0"/>
    <x v="39"/>
    <s v="4D, spheroids, NSCLC"/>
    <n v="0"/>
    <s v="zN/A"/>
    <n v="0"/>
    <s v="zN/A"/>
    <s v="Raynal, Noel J"/>
  </r>
  <r>
    <x v="771"/>
    <s v="Centre hospitalier universitaire Sainte-Justine (Montréal, Québec)"/>
    <x v="4"/>
    <x v="17"/>
    <s v="202209PDI"/>
    <x v="0"/>
    <s v="Epigenetic priming of neuroblastoma to NK cell-based immunotherapy"/>
    <n v="100000"/>
    <n v="0"/>
    <s v="1 yr 0 mth "/>
    <x v="0"/>
    <x v="28"/>
    <s v="Epigenetic, neuroblastoma, immunotherapy"/>
    <n v="0"/>
    <s v="zN/A"/>
    <n v="0"/>
    <s v="zN/A"/>
    <s v="Raynal, Noel J"/>
  </r>
  <r>
    <x v="771"/>
    <s v="Centre hospitalier universitaire Sainte-Justine (Montréal, Québec)"/>
    <x v="4"/>
    <x v="1"/>
    <s v="202309PJT"/>
    <x v="0"/>
    <s v="Epigenetic priming of neuroblastoma to Natural Killer cell-based immunotherapy"/>
    <n v="810900"/>
    <n v="0"/>
    <s v="5 yrs 0 mth "/>
    <x v="0"/>
    <x v="33"/>
    <s v="Epigenetic, neuroblastoma, immunotherapy"/>
    <n v="0"/>
    <s v="zN/A"/>
    <n v="0"/>
    <s v="zN/A"/>
    <s v="Raynal, Noel J"/>
  </r>
  <r>
    <x v="772"/>
    <s v="University of Toronto"/>
    <x v="1"/>
    <x v="6"/>
    <s v="201810CPG"/>
    <x v="8"/>
    <s v="Using artificial intelligence to identify and predict delirium among hospitalized medical patients"/>
    <n v="426104"/>
    <n v="17500"/>
    <s v="3 yrs 0 mth "/>
    <x v="11"/>
    <x v="26"/>
    <s v="artificial intelligence, delirium, hospitalized patients"/>
    <n v="0"/>
    <s v="zN/A"/>
    <n v="0"/>
    <s v="zN/A"/>
    <s v="Razak, Fahad"/>
  </r>
  <r>
    <x v="773"/>
    <s v="Queen's University (Kingston, Ontario)"/>
    <x v="1"/>
    <x v="3"/>
    <s v="201409IPR"/>
    <x v="4"/>
    <s v="Optimizing Contemporary Sequential Mapping of Atrial Fibrillation Signals as a Strategy to Identify Novel Targets for Ablation"/>
    <n v="232748"/>
    <n v="6041"/>
    <s v="4 yrs 0 mth "/>
    <x v="3"/>
    <x v="6"/>
    <s v="Atrial Fibrillation, Sequential Mapping, Ablation"/>
    <n v="2"/>
    <s v="zN/A"/>
    <n v="0"/>
    <s v="zN/A"/>
    <s v="Redfearn, Damian P"/>
  </r>
  <r>
    <x v="774"/>
    <s v="University Health Network (Toronto)"/>
    <x v="1"/>
    <x v="0"/>
    <s v="200909MOP"/>
    <x v="0"/>
    <s v="Identification of molecular pathways associated with Notch activation in triple-negative breast cancer"/>
    <n v="346950"/>
    <n v="0"/>
    <s v="3 yrs 0 mth "/>
    <x v="0"/>
    <x v="10"/>
    <s v="Notch, molecular pathways, breast cancer"/>
    <n v="0"/>
    <s v="zN/A"/>
    <n v="0"/>
    <s v="zN/A"/>
    <s v="Reedijk, Michael"/>
  </r>
  <r>
    <x v="774"/>
    <s v="University Health Network (Toronto)"/>
    <x v="1"/>
    <x v="1"/>
    <s v="201709PJT"/>
    <x v="0"/>
    <s v="Priming Notch-activated basal like breast cancer for immune checkpoint blockade"/>
    <n v="918000"/>
    <n v="0"/>
    <s v="5 yrs 0 mth "/>
    <x v="0"/>
    <x v="11"/>
    <s v="Notch, breast cancer, immune checkpoint"/>
    <n v="0"/>
    <s v="zN/A"/>
    <n v="0"/>
    <s v="zN/A"/>
    <s v="Reedijk, Michael"/>
  </r>
  <r>
    <x v="775"/>
    <s v="University of British Columbia"/>
    <x v="3"/>
    <x v="0"/>
    <s v="201209MOP"/>
    <x v="0"/>
    <s v="Identifying Determinants of Acute Lymphoblastic Leukemia Progression"/>
    <n v="582966"/>
    <n v="0"/>
    <s v="5 yrs 0 mth "/>
    <x v="0"/>
    <x v="14"/>
    <s v="Acute Lymphoblastic Leukemia, Progression, Determinants"/>
    <n v="0"/>
    <s v="zN/A"/>
    <n v="0"/>
    <s v="zN/A"/>
    <s v="Reid, Gregor"/>
  </r>
  <r>
    <x v="775"/>
    <s v="University of British Columbia"/>
    <x v="3"/>
    <x v="1"/>
    <s v="201709PJT"/>
    <x v="3"/>
    <s v="Identifying infection-induced determinants of paediatric acute lymphoblastic leukaemia progression"/>
    <n v="688500"/>
    <n v="0"/>
    <s v="5 yrs 0 mth "/>
    <x v="0"/>
    <x v="11"/>
    <s v="infection, lymphoblastic leukaemia, paediatric"/>
    <n v="0"/>
    <s v="zN/A"/>
    <n v="0"/>
    <s v="zN/A"/>
    <s v="Reid, Gregor"/>
  </r>
  <r>
    <x v="775"/>
    <s v="University of British Columbia"/>
    <x v="3"/>
    <x v="25"/>
    <s v="202309DCP"/>
    <x v="3"/>
    <s v="Harnessing infection-associated modifiers of paediatric acute lymphoblastic leukaemia progression for therapeutic benefit"/>
    <n v="100000"/>
    <n v="0"/>
    <s v="1 yr 0 mth "/>
    <x v="0"/>
    <x v="37"/>
    <s v="infection, lymphoblastic leukaemia, paediatric"/>
    <n v="0"/>
    <s v="zN/A"/>
    <n v="0"/>
    <s v="zN/A"/>
    <s v="Reid, Gregor"/>
  </r>
  <r>
    <x v="775"/>
    <s v="University of British Columbia"/>
    <x v="3"/>
    <x v="1"/>
    <s v="202403PJT"/>
    <x v="0"/>
    <s v="Harnessing infection-associated modifiers of paediatric acute lymphoblastic leukaemia progression for therapeutic benefit"/>
    <n v="918000"/>
    <n v="0"/>
    <s v="5 yrs 0 mth "/>
    <x v="0"/>
    <x v="37"/>
    <s v="infection, lymphoblastic leukaemia, paediatric"/>
    <n v="0"/>
    <s v="zN/A"/>
    <n v="0"/>
    <s v="zN/A"/>
    <s v="Reid, Gregor"/>
  </r>
  <r>
    <x v="776"/>
    <s v="Ottawa Heart Institute Research Corporation (Ontario)"/>
    <x v="1"/>
    <x v="14"/>
    <s v="201706PCG"/>
    <x v="14"/>
    <s v="E-health intervention for cardiac rehabilitation: Pilot implementation and feasibility assessment"/>
    <n v="199091"/>
    <n v="0"/>
    <s v="2 yrs 0 mth "/>
    <x v="3"/>
    <x v="30"/>
    <s v="e-health, cardiac, rehabilitation"/>
    <n v="0"/>
    <s v="zN/A"/>
    <n v="0"/>
    <s v="zN/A"/>
    <s v="Reid, Robert D"/>
  </r>
  <r>
    <x v="777"/>
    <s v="University of Toronto"/>
    <x v="1"/>
    <x v="0"/>
    <s v="201009MOP"/>
    <x v="0"/>
    <s v="CD123-Targeted Auger Electron Radioimmunotherapy of Acute Myelogenous Leukemia (AML)"/>
    <n v="372204"/>
    <n v="0"/>
    <s v="3 yrs 0 mth "/>
    <x v="0"/>
    <x v="16"/>
    <s v="CD123, Auger electron, leukemia"/>
    <n v="0"/>
    <s v="zN/A"/>
    <n v="0"/>
    <s v="zN/A"/>
    <s v="Reilly, Raymond M"/>
  </r>
  <r>
    <x v="777"/>
    <s v="University of Toronto"/>
    <x v="1"/>
    <x v="1"/>
    <s v="201709PJT"/>
    <x v="5"/>
    <s v="Auger Electron Radioimmunotherapy for Treatment and Prevention of Metastases from Triple-Negative Breast Cancer"/>
    <n v="684675"/>
    <n v="0"/>
    <s v="5 yrs 0 mth "/>
    <x v="0"/>
    <x v="11"/>
    <s v="Auger Electron, Radioimmunotherapy, Metastases"/>
    <n v="0"/>
    <s v="zN/A"/>
    <n v="0"/>
    <s v="zN/A"/>
    <s v="Reilly, Raymond M"/>
  </r>
  <r>
    <x v="777"/>
    <s v="University of Toronto"/>
    <x v="1"/>
    <x v="1"/>
    <s v="202104PJT"/>
    <x v="5"/>
    <s v="Alpha-Particle Radioimmunotherapy of Brain Metastases from HER2-Positive Breast Cancer"/>
    <n v="581400"/>
    <n v="0"/>
    <s v="4 yrs 0 mth "/>
    <x v="0"/>
    <x v="35"/>
    <s v="Alpha-particle, Radioimmunotherapy, Brain metastases"/>
    <n v="0"/>
    <s v="zN/A"/>
    <n v="0"/>
    <s v="zN/A"/>
    <s v="Reilly, Raymond M"/>
  </r>
  <r>
    <x v="778"/>
    <s v="Research Institute of the McGill University Health Centre"/>
    <x v="4"/>
    <x v="19"/>
    <s v="202307NWI"/>
    <x v="17"/>
    <s v="Magnetic Resonance Imaging (MRI) and Artificial Intelligence (AI) can improve preoperative malignancy risk prediction of ovarian masses."/>
    <n v="150000"/>
    <n v="0"/>
    <s v="1 yr 0 mth "/>
    <x v="0"/>
    <x v="36"/>
    <s v="Magnetic Resonance Imaging, Artificial Intelligence, Ovarian masses"/>
    <n v="0"/>
    <s v="zN/A"/>
    <n v="0"/>
    <s v="zN/A"/>
    <s v="Reinhold, Caroline"/>
  </r>
  <r>
    <x v="779"/>
    <s v="McGill University"/>
    <x v="4"/>
    <x v="6"/>
    <s v="201210CPG"/>
    <x v="8"/>
    <s v="Nanoconfinement Based Single-Cell Cytogenetic Platform for Pre-/Post-Implantation Genetic Diagnosis"/>
    <n v="219185"/>
    <n v="0"/>
    <s v="3 yrs 0 mth "/>
    <x v="2"/>
    <x v="14"/>
    <s v="Nanoconfinement, Single-Cell, Cytogenetics"/>
    <n v="0"/>
    <s v="zN/A"/>
    <n v="0"/>
    <s v="zN/A"/>
    <s v="Reisner, Walter W"/>
  </r>
  <r>
    <x v="779"/>
    <s v="McGill University"/>
    <x v="4"/>
    <x v="6"/>
    <s v="201410CPG"/>
    <x v="8"/>
    <s v="Nanofluidic Wet-Cell for Genomic Analysis of Single Circulating Tumor Cells via Electron Microscopy"/>
    <n v="358467"/>
    <n v="0"/>
    <s v="3 yrs 0 mth "/>
    <x v="0"/>
    <x v="6"/>
    <s v="Nanofluidic, Genomic Analysis, Tumor Cells"/>
    <n v="1"/>
    <s v="zN/A"/>
    <n v="0"/>
    <s v="zN/A"/>
    <s v="Reisner, Walter W"/>
  </r>
  <r>
    <x v="780"/>
    <s v="University of Waterloo (Ontario)"/>
    <x v="1"/>
    <x v="18"/>
    <s v="202005VR2"/>
    <x v="16"/>
    <s v="Development of a Microwave Enabled Bio-Nano-Microfluidic Device for Point-of-Care Diagnosis of COVID-19"/>
    <n v="264908"/>
    <n v="0"/>
    <s v="1 yr 0 mth "/>
    <x v="1"/>
    <x v="2"/>
    <s v="Microwave, Bio-Nano-Microfluidic, Diagnosis"/>
    <n v="0"/>
    <s v="zN/A"/>
    <n v="0"/>
    <s v="zN/A"/>
    <s v="Ren, Carolyn L"/>
  </r>
  <r>
    <x v="781"/>
    <s v="University of British Columbia"/>
    <x v="3"/>
    <x v="0"/>
    <s v="201009MOP"/>
    <x v="1"/>
    <s v="In Vivo siRNA Knockdown of Androgen Receptors to Treat Advanced Prostate Cancer"/>
    <n v="685781"/>
    <n v="0"/>
    <s v="5 yrs 0 mth "/>
    <x v="0"/>
    <x v="16"/>
    <s v="siRNA, androgen receptors, prostate cancer"/>
    <n v="4"/>
    <s v="zN/A"/>
    <n v="0"/>
    <s v="zN/A"/>
    <s v="Rennie, Paul S"/>
  </r>
  <r>
    <x v="781"/>
    <s v="University of British Columbia"/>
    <x v="3"/>
    <x v="0"/>
    <s v="201209MOP"/>
    <x v="5"/>
    <s v="A virus-based strategy for measurement of circulating tumour cells"/>
    <n v="352260"/>
    <n v="0"/>
    <s v="3 yrs 0 mth "/>
    <x v="0"/>
    <x v="14"/>
    <s v="virus, circulating tumour cells, measurement"/>
    <n v="0"/>
    <s v="zN/A"/>
    <n v="0"/>
    <s v="zN/A"/>
    <s v="Rennie, Paul S"/>
  </r>
  <r>
    <x v="782"/>
    <s v="Lakehead University (Thunder Bay, Ontario)"/>
    <x v="1"/>
    <x v="1"/>
    <s v="202203PJT"/>
    <x v="6"/>
    <s v="Prostate-targeted PET/TRUS dual-modality imaging system for diagnosis and image-guided biopsy."/>
    <n v="738226"/>
    <n v="0"/>
    <s v="5 yrs 0 mth "/>
    <x v="0"/>
    <x v="3"/>
    <s v="Prostate, PET, TRUS"/>
    <n v="0"/>
    <s v="zN/A"/>
    <n v="0"/>
    <s v="zN/A"/>
    <s v="Reznik, Alla"/>
  </r>
  <r>
    <x v="783"/>
    <s v="CIUSSS de Centre-Ouest-de-l'Ile-de-Montréal-Jewish General"/>
    <x v="4"/>
    <x v="0"/>
    <s v="200809MOP"/>
    <x v="0"/>
    <s v="Arginine methylase PRMT1 and PRMT6 in cancer and genomic instability."/>
    <n v="877100"/>
    <n v="0"/>
    <s v="5 yrs 0 mth "/>
    <x v="0"/>
    <x v="0"/>
    <s v="Arginine methylase, PRMT1, PRMT6"/>
    <n v="0"/>
    <s v="zN/A"/>
    <n v="0"/>
    <s v="zN/A"/>
    <s v="Richard, Stephane"/>
  </r>
  <r>
    <x v="783"/>
    <s v="CIUSSS de Centre-Ouest-de-l'Ile-de-Montréal-Jewish General"/>
    <x v="4"/>
    <x v="0"/>
    <s v="201109MOP"/>
    <x v="0"/>
    <s v="The role of post-translational modifications of MRE11 in mediating the DNA damage response."/>
    <n v="873345"/>
    <n v="0"/>
    <s v="5 yrs 0 mth "/>
    <x v="0"/>
    <x v="15"/>
    <s v="post-translational modifications, MRE11, DNA damage response"/>
    <n v="0"/>
    <s v="zN/A"/>
    <n v="0"/>
    <s v="zN/A"/>
    <s v="Richard, Stephane"/>
  </r>
  <r>
    <x v="783"/>
    <s v="CIUSSS de Centre-Ouest-de-l'Ile-de-Montréal-Jewish General"/>
    <x v="4"/>
    <x v="0"/>
    <s v="201309MOP"/>
    <x v="0"/>
    <s v="Defining the role of protein arginine methyltransferases (PRMTs) and RGG/RG motifs in cancer and in the maintenance of genomic stability."/>
    <n v="967960"/>
    <n v="0"/>
    <s v="5 yrs 0 mth "/>
    <x v="0"/>
    <x v="9"/>
    <s v="protein arginine methyltransferases, RGG/RG motifs, genomic stability"/>
    <n v="0"/>
    <s v="zN/A"/>
    <n v="0"/>
    <s v="zN/A"/>
    <s v="Richard, Stephane"/>
  </r>
  <r>
    <x v="784"/>
    <s v="McMaster University"/>
    <x v="1"/>
    <x v="0"/>
    <s v="201403MOP"/>
    <x v="5"/>
    <s v="Regulation of stromal cell support of cancer in lungs"/>
    <n v="334403"/>
    <n v="0"/>
    <s v="3 yrs 0 mth "/>
    <x v="0"/>
    <x v="18"/>
    <s v="stromal cells, cancer, lungs"/>
    <n v="0"/>
    <s v="zN/A"/>
    <n v="0"/>
    <s v="zN/A"/>
    <s v="Richards, Carl D"/>
  </r>
  <r>
    <x v="785"/>
    <s v="Dalhousie University (Nova Scotia)"/>
    <x v="5"/>
    <x v="2"/>
    <s v="202005VR1"/>
    <x v="2"/>
    <s v="Expression and Purification of COVID19 Virus Spike (S) Protein for Diagnostics and Vaccines"/>
    <n v="138097"/>
    <n v="0"/>
    <s v="1 yr 0 mth "/>
    <x v="1"/>
    <x v="2"/>
    <s v="COVID19, Spike Protein, Diagnostics"/>
    <n v="0"/>
    <s v="zN/A"/>
    <n v="0"/>
    <s v="zN/A"/>
    <s v="Richardson, Christopher D"/>
  </r>
  <r>
    <x v="786"/>
    <s v="University Health Network (Toronto)"/>
    <x v="1"/>
    <x v="1"/>
    <s v="201809PJT"/>
    <x v="6"/>
    <s v="A universal self-calibrating in vivo real-time optical radiation dosimeter for quality assurance and quality control of radiotherapy treatment."/>
    <n v="317476"/>
    <n v="0"/>
    <s v="4 yrs 0 mth "/>
    <x v="0"/>
    <x v="26"/>
    <s v="self-calibrating, optical radiation, dosimeter"/>
    <n v="0"/>
    <s v="zN/A"/>
    <n v="0"/>
    <s v="zN/A"/>
    <s v="Rink, Alexandra"/>
  </r>
  <r>
    <x v="786"/>
    <s v="University Health Network (Toronto)"/>
    <x v="1"/>
    <x v="1"/>
    <s v="202209PJT"/>
    <x v="6"/>
    <s v="AI Assisted Organ and Target Segmentation for Cervix Brachytherapy Treatment Planning"/>
    <n v="837675"/>
    <n v="0"/>
    <s v="5 yrs 0 mth "/>
    <x v="0"/>
    <x v="8"/>
    <s v="AI, Organ Segmentation, Brachytherapy"/>
    <n v="0"/>
    <s v="zN/A"/>
    <n v="0"/>
    <s v="zN/A"/>
    <s v="Rink, Alexandra"/>
  </r>
  <r>
    <x v="787"/>
    <s v="Université Laval"/>
    <x v="4"/>
    <x v="8"/>
    <s v="201103IRO"/>
    <x v="4"/>
    <s v="Novel immunotherapies for treating Alzheimer's disease"/>
    <n v="571200"/>
    <n v="0"/>
    <s v="5 yrs 0 mth "/>
    <x v="4"/>
    <x v="17"/>
    <s v="immunotherapies, Alzheimer's"/>
    <n v="0"/>
    <s v="zN/A"/>
    <n v="0"/>
    <s v="zN/A"/>
    <s v="Rivest, Serge"/>
  </r>
  <r>
    <x v="788"/>
    <s v="University Health Network (Toronto)"/>
    <x v="1"/>
    <x v="5"/>
    <s v="200902NHG"/>
    <x v="7"/>
    <s v="Design of novel microfluidic devices to stimulate growth and maintenance of ex vivo pancreatic islet endothelial cells."/>
    <n v="90400"/>
    <n v="0"/>
    <s v="1 yr 0 mth "/>
    <x v="2"/>
    <x v="45"/>
    <s v="microfluidic, pancreatic islet, endothelial cells"/>
    <n v="0"/>
    <s v="zN/A"/>
    <n v="0"/>
    <s v="zN/A"/>
    <s v="Rocheleau, Jonathan V"/>
  </r>
  <r>
    <x v="789"/>
    <s v="Centre hospitalier de l'Université de Montréal (CHUM)"/>
    <x v="4"/>
    <x v="0"/>
    <s v="201103MOP"/>
    <x v="0"/>
    <s v="Mechanisms regulating persistent DNA damage signaling and the linked control of cell proliferation and extracellular signals"/>
    <n v="606634"/>
    <n v="0"/>
    <s v="5 yrs 0 mth "/>
    <x v="0"/>
    <x v="17"/>
    <s v="DNA damage, cell proliferation, signaling"/>
    <n v="3"/>
    <s v="zN/A"/>
    <n v="0"/>
    <s v="zN/A"/>
    <s v="Rodier, Francis"/>
  </r>
  <r>
    <x v="789"/>
    <s v="Centre hospitalier de l'Université de Montréal (CHUM)"/>
    <x v="4"/>
    <x v="1"/>
    <s v="202003PJT"/>
    <x v="3"/>
    <s v="Probing molecular mechanisms of epithelial ovarian cancer therapy-induced senescence to find biomarkers and drug targets"/>
    <n v="1021276"/>
    <n v="0"/>
    <s v="5 yrs 0 mth "/>
    <x v="0"/>
    <x v="39"/>
    <s v="molecular, ovarian cancer, biomarkers"/>
    <n v="0"/>
    <s v="zN/A"/>
    <n v="0"/>
    <s v="zN/A"/>
    <s v="Rodier, Francis"/>
  </r>
  <r>
    <x v="790"/>
    <s v="Centre hospitalier de l'Université de Montréal (CHUM)"/>
    <x v="4"/>
    <x v="16"/>
    <s v="201211CHR"/>
    <x v="15"/>
    <s v="Modulation of BLyS levels to restore immune efficiency and reduce HIV targets."/>
    <n v="100000"/>
    <n v="0"/>
    <s v="1 yr 0 mth "/>
    <x v="1"/>
    <x v="32"/>
    <s v="BLyS, immune, HIV"/>
    <n v="0"/>
    <s v="zN/A"/>
    <n v="0"/>
    <s v="zN/A"/>
    <s v="Roger, Michel"/>
  </r>
  <r>
    <x v="791"/>
    <s v="University of British Columbia"/>
    <x v="3"/>
    <x v="0"/>
    <s v="201209MOP"/>
    <x v="6"/>
    <s v="Ultrasound Guidance for Epidural Analgesia and Anesthesia"/>
    <n v="434490"/>
    <n v="0"/>
    <s v="4 yrs 0 mth "/>
    <x v="5"/>
    <x v="14"/>
    <s v="Ultrasound, Epidural, Analgesia"/>
    <n v="2"/>
    <s v="zN/A"/>
    <n v="0"/>
    <s v="zN/A"/>
    <s v="Rohling, Robert N"/>
  </r>
  <r>
    <x v="791"/>
    <s v="University of British Columbia"/>
    <x v="3"/>
    <x v="6"/>
    <s v="201510CPG"/>
    <x v="8"/>
    <s v="Quantitative ultrasound for detecting abnormalities of the placenta"/>
    <n v="240861"/>
    <n v="0"/>
    <s v="3 yrs 0 mth "/>
    <x v="7"/>
    <x v="4"/>
    <s v="ultrasound, placenta, abnormalities"/>
    <n v="0"/>
    <s v="zN/A"/>
    <n v="0"/>
    <s v="zN/A"/>
    <s v="Rohling, Robert N"/>
  </r>
  <r>
    <x v="792"/>
    <s v="Western University (Ontario)"/>
    <x v="1"/>
    <x v="51"/>
    <s v="202010PWW"/>
    <x v="6"/>
    <s v="Development of Molecular Imaging Tools to Monitor the Fate of an Off-The-Shelf Chimeric Antigen Receptor Natural Killer (CAR-NK) Cell Immunotherapy for Breast Cancer"/>
    <n v="100000"/>
    <n v="0"/>
    <s v="1 yr 0 mth "/>
    <x v="0"/>
    <x v="56"/>
    <s v="Molecular Imaging, Chimeric Antigen Receptor, Natural Killer"/>
    <n v="0"/>
    <s v="zN/A"/>
    <n v="0"/>
    <s v="zN/A"/>
    <s v="Ronald, John A"/>
  </r>
  <r>
    <x v="792"/>
    <s v="Western University (Ontario)"/>
    <x v="1"/>
    <x v="1"/>
    <s v="202104PJT"/>
    <x v="6"/>
    <s v="Development of Molecular Imaging Tools to Monitor the Fate of an Off-The-Shelf Chimeric Antigen Receptor Natural Killer (CAR-NK) Cell Immunotherapy"/>
    <n v="799426"/>
    <n v="0"/>
    <s v="5 yrs 0 mth "/>
    <x v="0"/>
    <x v="35"/>
    <s v="Molecular Imaging, Chimeric Antigen Receptor, Natural Killer"/>
    <n v="0"/>
    <s v="zN/A"/>
    <n v="0"/>
    <s v="zN/A"/>
    <s v="Ronald, John A"/>
  </r>
  <r>
    <x v="793"/>
    <s v="CIUSSS de Centre-Ouest-de-l'Ile-de-Montréal-Jewish General"/>
    <x v="4"/>
    <x v="1"/>
    <s v="202109PJT"/>
    <x v="3"/>
    <s v="Evaluating mutant NRAS as a molecular mediator of immunotherapy resistance in melanoma"/>
    <n v="860625"/>
    <n v="0"/>
    <s v="5 yrs 0 mth "/>
    <x v="0"/>
    <x v="25"/>
    <s v="NRAS, immunotherapy, melanoma"/>
    <n v="0"/>
    <s v="zN/A"/>
    <n v="0"/>
    <s v="zN/A"/>
    <s v="Rose, April A"/>
  </r>
  <r>
    <x v="794"/>
    <s v="Dalhousie University (Nova Scotia)"/>
    <x v="5"/>
    <x v="1"/>
    <s v="201709PJT"/>
    <x v="3"/>
    <s v="Molecular hallmarks of breast cancer sensitivity to ErbB2-targeted therapies"/>
    <n v="684675"/>
    <n v="0"/>
    <s v="5 yrs 0 mth "/>
    <x v="0"/>
    <x v="11"/>
    <s v="molecular, breast cancer, ErbB2"/>
    <n v="0"/>
    <s v="zN/A"/>
    <n v="0"/>
    <s v="zN/A"/>
    <s v="Rosen, Kirill V"/>
  </r>
  <r>
    <x v="795"/>
    <s v="University of British Columbia"/>
    <x v="3"/>
    <x v="0"/>
    <s v="201209MOP"/>
    <x v="5"/>
    <s v="Preclinical Development Of Inhibitors Of Podocalyxin-Driven Tumor Progression"/>
    <n v="754756"/>
    <n v="0"/>
    <s v="5 yrs 0 mth "/>
    <x v="0"/>
    <x v="14"/>
    <s v="Podocalyxin, Inhibitors, Tumor"/>
    <n v="1"/>
    <s v="zN/A"/>
    <n v="0"/>
    <s v="zN/A"/>
    <s v="Roskelley, Calvin D"/>
  </r>
  <r>
    <x v="795"/>
    <s v="University of British Columbia"/>
    <x v="3"/>
    <x v="1"/>
    <s v="201903PJT"/>
    <x v="3"/>
    <s v="Targeting ovarian carcinoma using the cell surface glycoprotein podocalyxin."/>
    <n v="963900"/>
    <n v="0"/>
    <s v="5 yrs 0 mth "/>
    <x v="0"/>
    <x v="1"/>
    <s v="ovarian carcinoma, glycoprotein, podocalyxin"/>
    <n v="1"/>
    <s v="zN/A"/>
    <n v="0"/>
    <s v="zN/A"/>
    <s v="Roskelley, Calvin D"/>
  </r>
  <r>
    <x v="796"/>
    <s v="University of Toronto"/>
    <x v="1"/>
    <x v="1"/>
    <s v="202303PJT"/>
    <x v="0"/>
    <s v="Targeting the metabolomic mechanisms underlying poor prognosis in Glioblastoma multiforme cancer stem cells."/>
    <n v="990676"/>
    <n v="0"/>
    <s v="5 yrs 0 mth "/>
    <x v="0"/>
    <x v="13"/>
    <s v="metabolomic, Glioblastoma, cancer stem cells"/>
    <n v="0"/>
    <s v="zN/A"/>
    <n v="0"/>
    <s v="zN/A"/>
    <s v="Rost, Hannes L"/>
  </r>
  <r>
    <x v="797"/>
    <s v="University Health Network (Toronto)"/>
    <x v="1"/>
    <x v="18"/>
    <s v="202005VR2"/>
    <x v="16"/>
    <s v="Development of a Predictive Serologic Test for Cytopathogenic Autoantibodies in COVID-19 Patients"/>
    <n v="215475"/>
    <n v="0"/>
    <s v="1 yr 0 mth "/>
    <x v="1"/>
    <x v="2"/>
    <s v="Predictive, Serologic, Autoantibodies"/>
    <n v="0"/>
    <s v="zN/A"/>
    <n v="0"/>
    <s v="zN/A"/>
    <s v="Rottapel, Robert K"/>
  </r>
  <r>
    <x v="797"/>
    <s v="University Health Network (Toronto)"/>
    <x v="1"/>
    <x v="1"/>
    <s v="202403PJT"/>
    <x v="0"/>
    <s v="Nonsense Mediated RNA Decay Shapes the Expressed Transcriptome Required for Ovarian Cancer Progression"/>
    <n v="956250"/>
    <n v="0"/>
    <s v="5 yrs 0 mth "/>
    <x v="0"/>
    <x v="38"/>
    <s v="RNA decay, transcriptome, ovarian cancer"/>
    <n v="0"/>
    <s v="zN/A"/>
    <n v="0"/>
    <s v="zN/A"/>
    <s v="Rottapel, Robert K"/>
  </r>
  <r>
    <x v="798"/>
    <s v="Centre hospitalier de l'Université de Montréal (CHUM)"/>
    <x v="4"/>
    <x v="1"/>
    <s v="201903PJT"/>
    <x v="5"/>
    <s v="Prebiotics to modify the gut microbiome and enhance immune checkpoint blockers"/>
    <n v="761176"/>
    <n v="0"/>
    <s v="5 yrs 0 mth "/>
    <x v="0"/>
    <x v="1"/>
    <s v="Prebiotics, microbiome, immune checkpoint"/>
    <n v="1"/>
    <s v="zN/A"/>
    <n v="0"/>
    <s v="zN/A"/>
    <s v="Routy, Bertrand"/>
  </r>
  <r>
    <x v="799"/>
    <s v="Research Institute of the McGill University Health Centre"/>
    <x v="4"/>
    <x v="16"/>
    <s v="201211CHR"/>
    <x v="15"/>
    <s v="The orchid study: A pilot assessment of viral reservoir and immune compartmentalization in testicular tissue of HIV-infected subjects"/>
    <n v="99997"/>
    <n v="0"/>
    <s v="1 yr 0 mth "/>
    <x v="1"/>
    <x v="32"/>
    <s v="orchid, viral reservoir, immune compartmentalization"/>
    <n v="0"/>
    <s v="zN/A"/>
    <n v="0"/>
    <s v="zN/A"/>
    <s v="Routy, Jean-Pierre"/>
  </r>
  <r>
    <x v="800"/>
    <s v="Université de Montréal"/>
    <x v="4"/>
    <x v="1"/>
    <s v="202109PJT"/>
    <x v="3"/>
    <s v="Targeting ENPP1-dependent immune evasion in ErbB2-positive breast cancer"/>
    <n v="921825"/>
    <n v="0"/>
    <s v="5 yrs 0 mth "/>
    <x v="0"/>
    <x v="25"/>
    <s v="ENPP1, immune evasion, breast cancer"/>
    <n v="0"/>
    <s v="zN/A"/>
    <n v="0"/>
    <s v="zN/A"/>
    <s v="Roux, Philippe"/>
  </r>
  <r>
    <x v="801"/>
    <s v="Université de Sherbrooke"/>
    <x v="4"/>
    <x v="13"/>
    <s v="202005VR3"/>
    <x v="12"/>
    <s v="Characterization of Covid-19 infection in rheumatoid arthritis patients- the CoViD-in-RA project"/>
    <n v="502775"/>
    <n v="0"/>
    <s v="1 yr 0 mth "/>
    <x v="5"/>
    <x v="2"/>
    <s v="Covid-19, rheumatoid arthritis, infection"/>
    <n v="0"/>
    <s v="zN/A"/>
    <n v="0"/>
    <s v="zN/A"/>
    <s v="Roux, Sophie"/>
  </r>
  <r>
    <x v="802"/>
    <s v="CIUSSS Est-de-l'Ile-de- Montréal-Maisonneuve Rosemont"/>
    <x v="4"/>
    <x v="0"/>
    <s v="201503MOP"/>
    <x v="9"/>
    <s v="Elucidating mechanisms of MSC-induced tissue regeneration: path to mesenchymal stromal cell clinical trial in glaucoma"/>
    <n v="596450"/>
    <n v="0"/>
    <s v="5 yrs 0 mth "/>
    <x v="11"/>
    <x v="19"/>
    <s v="MSC, tissue regeneration, glaucoma"/>
    <n v="0"/>
    <s v="zN/A"/>
    <n v="0"/>
    <s v="zN/A"/>
    <s v="Roy, Denis-Claude"/>
  </r>
  <r>
    <x v="802"/>
    <s v="CIUSSS Est-de-l'Ile-de- Montréal-Maisonneuve Rosemont"/>
    <x v="4"/>
    <x v="1"/>
    <s v="202010PJT"/>
    <x v="1"/>
    <s v="Exploiting minor histocompatibility antigens for personalized cancer immunotherapy"/>
    <n v="1067175"/>
    <n v="0"/>
    <s v="5 yrs 0 mth "/>
    <x v="0"/>
    <x v="23"/>
    <s v="minor histocompatibility, antigens, immunotherapy"/>
    <n v="0"/>
    <s v="zN/A"/>
    <n v="0"/>
    <s v="zN/A"/>
    <s v="Roy, Denis-Claude"/>
  </r>
  <r>
    <x v="803"/>
    <s v="Centre hospitalier de l'Université de Montréal (CHUM)"/>
    <x v="4"/>
    <x v="1"/>
    <s v="202309PJT"/>
    <x v="0"/>
    <s v="Targeting itaconate production to improve oncolytic virus therapy."/>
    <n v="772650"/>
    <n v="0"/>
    <s v="5 yrs 0 mth "/>
    <x v="0"/>
    <x v="33"/>
    <s v="itaconate, oncolytic virus, production"/>
    <n v="0"/>
    <s v="zN/A"/>
    <n v="0"/>
    <s v="zN/A"/>
    <s v="Roy, Dominic"/>
  </r>
  <r>
    <x v="804"/>
    <s v="McGill University"/>
    <x v="4"/>
    <x v="1"/>
    <s v="202209PJT"/>
    <x v="6"/>
    <s v="Unraveling Silent Progression in MS Using Advanced Quantitative MRI, PET Molecular Imaging and Computational Neuroanatomy"/>
    <n v="914175"/>
    <n v="0"/>
    <s v="5 yrs 0 mth "/>
    <x v="4"/>
    <x v="8"/>
    <s v="MRI, PET, Neuroanatomy"/>
    <n v="0"/>
    <s v="zN/A"/>
    <n v="0"/>
    <s v="zN/A"/>
    <s v="Rudko, David A"/>
  </r>
  <r>
    <x v="805"/>
    <s v="Ottawa Hospital Research Institute"/>
    <x v="1"/>
    <x v="0"/>
    <s v="201309MOP"/>
    <x v="0"/>
    <s v="Genomic Analysis of Rhabdomyosarcoma Tumor Initiating Cells"/>
    <n v="1207800"/>
    <n v="0"/>
    <s v="5 yrs 0 mth "/>
    <x v="0"/>
    <x v="9"/>
    <s v="Genomic, Rhabdomyosarcoma, Tumor Cells"/>
    <n v="1"/>
    <s v="zN/A"/>
    <n v="0"/>
    <s v="zN/A"/>
    <s v="Rudnicki, Michael A"/>
  </r>
  <r>
    <x v="806"/>
    <s v="Ottawa Heart Institute Research Corporation (Ontario)"/>
    <x v="1"/>
    <x v="0"/>
    <s v="201303MOP"/>
    <x v="9"/>
    <s v="Optimizing Signaling, Cells, and Host Environment in Matrix-based Cardiac Regenerative Therapy: Towards Pre-clinical Application"/>
    <n v="619261"/>
    <n v="0"/>
    <s v="5 yrs 0 mth "/>
    <x v="3"/>
    <x v="34"/>
    <s v="Signaling, Cells, Cardiac"/>
    <n v="1"/>
    <s v="zN/A"/>
    <n v="0"/>
    <s v="zN/A"/>
    <s v="Ruel, Marc"/>
  </r>
  <r>
    <x v="807"/>
    <s v="University of British Columbia"/>
    <x v="3"/>
    <x v="13"/>
    <s v="202005VR3"/>
    <x v="12"/>
    <s v="HOST RESPONSE MEDIATORS IN CORONAVIRUS (COVID-19) INFECTION - IS THERE A PROTECTIVE EFFECT OF ARBs ON OUTCOMES OF CORONAVIRUS INFECTION? (ARBs CORONA II)"/>
    <n v="3456541"/>
    <n v="0"/>
    <s v="1 yr 0 mth "/>
    <x v="3"/>
    <x v="2"/>
    <s v="host response, coronavirus, ARBs"/>
    <n v="0"/>
    <s v="zN/A"/>
    <n v="0"/>
    <s v="zN/A"/>
    <s v="Russell, James A"/>
  </r>
  <r>
    <x v="808"/>
    <s v="McGill University"/>
    <x v="4"/>
    <x v="5"/>
    <s v="200903NHG"/>
    <x v="7"/>
    <s v="Transcellular Complementation of Split GFPs and Split Inteins for Mapping Neuronal Circuitry"/>
    <n v="298212"/>
    <n v="0"/>
    <s v="3 yrs 0 mth "/>
    <x v="4"/>
    <x v="5"/>
    <s v="GFPs, Inteins, Neuronal Circuitry"/>
    <n v="0"/>
    <s v="zN/A"/>
    <n v="0"/>
    <s v="zN/A"/>
    <s v="Ruthazer, Edward S"/>
  </r>
  <r>
    <x v="809"/>
    <s v="Hospital for Sick Children (Toronto)"/>
    <x v="1"/>
    <x v="0"/>
    <s v="200909MOP"/>
    <x v="0"/>
    <s v="Molecular targeting of the Rho-GTPase pathway in human astrocytomas"/>
    <n v="797005"/>
    <n v="0"/>
    <s v="5 yrs 0 mth "/>
    <x v="0"/>
    <x v="10"/>
    <s v="Rho-GTPase, molecular targeting, astrocytomas"/>
    <n v="0"/>
    <s v="zN/A"/>
    <n v="0"/>
    <s v="zN/A"/>
    <s v="Rutka, James T"/>
  </r>
  <r>
    <x v="809"/>
    <s v="Hospital for Sick Children (Toronto)"/>
    <x v="1"/>
    <x v="1"/>
    <s v="201709PJT"/>
    <x v="3"/>
    <s v="Enhancing the Delivery of Novel Chemotherapeutics to Diffuse Intrinsic Pontine Glioma"/>
    <n v="623476"/>
    <n v="0"/>
    <s v="4 yrs 0 mth "/>
    <x v="0"/>
    <x v="11"/>
    <s v="Chemotherapeutics, Diffuse Intrinsic Pontine Glioma, Delivery"/>
    <n v="0"/>
    <s v="zN/A"/>
    <n v="0"/>
    <s v="zN/A"/>
    <s v="Rutka, James T"/>
  </r>
  <r>
    <x v="809"/>
    <s v="Hospital for Sick Children (Toronto)"/>
    <x v="1"/>
    <x v="1"/>
    <s v="202210PJT"/>
    <x v="5"/>
    <s v="Establishment of a drug discovery and delivery platform for diffuse intrinsic pontine glioma (DIPG)."/>
    <n v="100000"/>
    <n v="0"/>
    <s v="1 yr 0 mth "/>
    <x v="0"/>
    <x v="8"/>
    <s v="drug delivery, diffuse intrinsic pontine glioma, drug discovery"/>
    <n v="0"/>
    <s v="zN/A"/>
    <n v="0"/>
    <s v="zN/A"/>
    <s v="Rutka, James T"/>
  </r>
  <r>
    <x v="810"/>
    <s v="University Health Network (Toronto)"/>
    <x v="1"/>
    <x v="1"/>
    <s v="201909PJT"/>
    <x v="0"/>
    <s v="Mucosal Associated Invariant T-cells (MAIT cells) as Key Mediators of Anti-Tumor Immune Responses and the Microbiome Effect in Non-Small Cell Lung Cancer (NSCLC)"/>
    <n v="283051"/>
    <n v="0"/>
    <s v="3 yrs 0 mth "/>
    <x v="0"/>
    <x v="22"/>
    <s v="MAIT cells, immune response, lung cancer"/>
    <n v="0"/>
    <s v="zN/A"/>
    <n v="0"/>
    <s v="zN/A"/>
    <s v="Sacher, Adrian G"/>
  </r>
  <r>
    <x v="811"/>
    <s v="York University (Toronto, Ontario)"/>
    <x v="1"/>
    <x v="1"/>
    <s v="202209PJT"/>
    <x v="9"/>
    <s v="Tissue Engineering of 3D bone marrow niche for hematopoietic stem cells vs acute myeloid leukemia stem cell molecular target and therapeutics discovery"/>
    <n v="730575"/>
    <n v="0"/>
    <s v="5 yrs 0 mth "/>
    <x v="0"/>
    <x v="8"/>
    <s v="tissue engineering, bone marrow, hematopoietic stem cells"/>
    <n v="0"/>
    <s v="zN/A"/>
    <n v="0"/>
    <s v="zN/A"/>
    <s v="Sachlos, Eleftherios"/>
  </r>
  <r>
    <x v="9"/>
    <s v="University of British Columbia"/>
    <x v="3"/>
    <x v="0"/>
    <s v="201009MOP"/>
    <x v="5"/>
    <s v="Characterization of EPI-001 for the treatment of prostate cancer"/>
    <n v="498929"/>
    <n v="0"/>
    <s v="3 yrs 0 mth "/>
    <x v="0"/>
    <x v="16"/>
    <s v="EPI-001, prostate cancer"/>
    <n v="0"/>
    <s v="zN/A"/>
    <n v="0"/>
    <s v="zN/A"/>
    <s v="Sadar, Marianne D"/>
  </r>
  <r>
    <x v="9"/>
    <s v="University of British Columbia"/>
    <x v="3"/>
    <x v="0"/>
    <s v="201303MOP"/>
    <x v="1"/>
    <s v="Reversible inhibitors of the N-terminal domain of the androgen receptor"/>
    <n v="467474"/>
    <n v="0"/>
    <s v="3 yrs 0 mth "/>
    <x v="0"/>
    <x v="34"/>
    <s v="inhibitors, androgen receptor, N-terminal"/>
    <n v="20"/>
    <s v="zN/A"/>
    <n v="0"/>
    <s v="zN/A"/>
    <s v="Sadar, Marianne D"/>
  </r>
  <r>
    <x v="812"/>
    <s v="University of British Columbia"/>
    <x v="3"/>
    <x v="14"/>
    <s v="201706PCG"/>
    <x v="14"/>
    <s v="Development, validation, and dissemination of an individualized prediction tool for acute exacerbations of chronic obstructive pulmonary disease"/>
    <n v="198305"/>
    <n v="0"/>
    <s v="2 yrs 0 mth "/>
    <x v="10"/>
    <x v="30"/>
    <s v="prediction, COPD, exacerbations"/>
    <n v="0"/>
    <s v="zN/A"/>
    <n v="0"/>
    <s v="zN/A"/>
    <s v="Sadatsafavi, Mohsen"/>
  </r>
  <r>
    <x v="813"/>
    <s v="McGill University"/>
    <x v="4"/>
    <x v="0"/>
    <s v="201503MOP"/>
    <x v="6"/>
    <s v="Development of Novel Methods for Analyzing the Structure and Connectivity of the Human Basal Ganglia, Thalamus and Brainstem"/>
    <n v="645025"/>
    <n v="0"/>
    <s v="5 yrs 0 mth "/>
    <x v="6"/>
    <x v="19"/>
    <s v="Basal Ganglia, Connectivity, Brainstem"/>
    <n v="0"/>
    <s v="zN/A"/>
    <n v="0"/>
    <s v="zN/A"/>
    <s v="Sadikot, Abbas F"/>
  </r>
  <r>
    <x v="814"/>
    <s v="University Health Network (Toronto)"/>
    <x v="1"/>
    <x v="1"/>
    <s v="202209PJT"/>
    <x v="10"/>
    <s v="Advanced Artificial Intelligence for Human Ex Vivo Lung Perfusion using Digital Twins"/>
    <n v="726750"/>
    <n v="0"/>
    <s v="5 yrs 0 mth "/>
    <x v="3"/>
    <x v="8"/>
    <s v="Artificial Intelligence, Lung Perfusion, Digital Twins"/>
    <n v="1"/>
    <s v="zN/A"/>
    <n v="0"/>
    <s v="zN/A"/>
    <s v="Sage, Andrew T"/>
  </r>
  <r>
    <x v="814"/>
    <s v="University Health Network (Toronto)"/>
    <x v="1"/>
    <x v="1"/>
    <s v="202309PJT"/>
    <x v="9"/>
    <s v="'Smart Ventilation' - Novel Real-Time Biosensors and Artificial Intelligence for Optimized Mechanical Ventilation in Human Lungs"/>
    <n v="692325"/>
    <n v="0"/>
    <s v="5 yrs 0 mth "/>
    <x v="3"/>
    <x v="33"/>
    <s v="Biosensors, Artificial Intelligence, Mechanical Ventilation"/>
    <n v="0"/>
    <s v="zN/A"/>
    <n v="0"/>
    <s v="zN/A"/>
    <s v="Sage, Andrew T"/>
  </r>
  <r>
    <x v="815"/>
    <s v="University Health Network (Toronto)"/>
    <x v="1"/>
    <x v="1"/>
    <s v="202203PJT"/>
    <x v="0"/>
    <s v="Modulating T cell metabolism to enhance the efficacy of adoptive cell therapy"/>
    <n v="516376"/>
    <n v="0"/>
    <s v="5 yrs 0 mth "/>
    <x v="0"/>
    <x v="3"/>
    <s v="T cell, metabolism, adoptive cell therapy"/>
    <n v="0"/>
    <s v="zN/A"/>
    <n v="0"/>
    <s v="zN/A"/>
    <s v="Saibil, Samuel D"/>
  </r>
  <r>
    <x v="816"/>
    <s v="University of British Columbia"/>
    <x v="3"/>
    <x v="0"/>
    <s v="201503MOP"/>
    <x v="6"/>
    <s v="Image guidance for radical prostatectomy"/>
    <n v="667966"/>
    <n v="0"/>
    <s v="5 yrs 0 mth "/>
    <x v="0"/>
    <x v="19"/>
    <s v="Image guidance, prostatectomy"/>
    <n v="3"/>
    <s v="zN/A"/>
    <n v="0"/>
    <s v="zN/A"/>
    <s v="Salcudean, Septimiu E"/>
  </r>
  <r>
    <x v="816"/>
    <s v="University of British Columbia"/>
    <x v="3"/>
    <x v="1"/>
    <s v="202303PJT"/>
    <x v="6"/>
    <s v="Multi-modal, multi-parametric liver imaging for ultrasound-based stratification of patients with non-alcoholic fatty liver disease"/>
    <n v="625770"/>
    <n v="0"/>
    <s v="5 yrs 0 mth "/>
    <x v="9"/>
    <x v="13"/>
    <s v="liver imaging, ultrasound, fatty liver"/>
    <n v="0"/>
    <s v="zN/A"/>
    <n v="0"/>
    <s v="zN/A"/>
    <s v="Salcudean, Septimiu E"/>
  </r>
  <r>
    <x v="817"/>
    <s v="University of Toronto"/>
    <x v="1"/>
    <x v="1"/>
    <s v="201803PJT"/>
    <x v="1"/>
    <s v="Investigating INPP4B signalling as a target for therapy in leukaemia"/>
    <n v="745876"/>
    <n v="0"/>
    <s v="5 yrs 0 mth "/>
    <x v="0"/>
    <x v="7"/>
    <s v="INPP4B, signalling, leukaemia"/>
    <n v="0"/>
    <s v="zN/A"/>
    <n v="0"/>
    <s v="zN/A"/>
    <s v="Salmena, Leonardo L"/>
  </r>
  <r>
    <x v="817"/>
    <s v="University of Toronto"/>
    <x v="1"/>
    <x v="1"/>
    <s v="202010PJT"/>
    <x v="1"/>
    <s v="Identification and characterization of microRNAs essential for the development and fitness of chemoresistant AML"/>
    <n v="898875"/>
    <n v="0"/>
    <s v="5 yrs 0 mth "/>
    <x v="0"/>
    <x v="23"/>
    <s v="microRNAs, chemoresistant AML, characterization"/>
    <n v="0"/>
    <s v="zN/A"/>
    <n v="0"/>
    <s v="zN/A"/>
    <s v="Salmena, Leonardo L"/>
  </r>
  <r>
    <x v="817"/>
    <s v="University of Toronto"/>
    <x v="1"/>
    <x v="1"/>
    <s v="202210PJT"/>
    <x v="1"/>
    <s v="Investigating a novel phosphoinositide-lysosomal signalling axis for pancreatic cancer therapy"/>
    <n v="100000"/>
    <n v="0"/>
    <s v="1 yr 0 mth "/>
    <x v="0"/>
    <x v="8"/>
    <s v="phosphoinositide, lysosomal, pancreatic cancer"/>
    <n v="0"/>
    <s v="zN/A"/>
    <n v="0"/>
    <s v="zN/A"/>
    <s v="Salmena, Leonardo L"/>
  </r>
  <r>
    <x v="817"/>
    <s v="University of Toronto"/>
    <x v="1"/>
    <x v="1"/>
    <s v="202403PJT"/>
    <x v="5"/>
    <s v="Targeting a novel phosphoinositide-lysosomal signalling axis for pancreatic cancer therapy"/>
    <n v="1071000"/>
    <n v="0"/>
    <s v="5 yrs 0 mth "/>
    <x v="0"/>
    <x v="38"/>
    <s v="phosphoinositide, lysosomal, pancreatic cancer"/>
    <n v="0"/>
    <s v="zN/A"/>
    <n v="0"/>
    <s v="zN/A"/>
    <s v="Salmena, Leonardo L"/>
  </r>
  <r>
    <x v="818"/>
    <s v="University of Calgary"/>
    <x v="2"/>
    <x v="1"/>
    <s v="202109PJT"/>
    <x v="9"/>
    <s v="RACE Concussion Study: Rapid, accurate cost-effective assessment of fluid biomarkers using a hand-held biosensor in patients with concussion"/>
    <n v="608175"/>
    <n v="0"/>
    <s v="5 yrs 0 mth "/>
    <x v="4"/>
    <x v="25"/>
    <s v="biosensor, biomarkers, concussion"/>
    <n v="1"/>
    <s v="zN/A"/>
    <n v="0"/>
    <s v="zN/A"/>
    <s v="Sanati Nezhad, Amir"/>
  </r>
  <r>
    <x v="819"/>
    <s v="Université de Sherbrooke"/>
    <x v="4"/>
    <x v="0"/>
    <s v="201003MOP"/>
    <x v="6"/>
    <s v="Investigations of low energy electron damage to cellular constituents: application to Chemoradiation therapy."/>
    <n v="753239"/>
    <n v="0"/>
    <s v="5 yrs 0 mth "/>
    <x v="0"/>
    <x v="21"/>
    <s v="electron, damage, chemoradiation"/>
    <n v="0"/>
    <s v="zN/A"/>
    <n v="0"/>
    <s v="zN/A"/>
    <s v="Sanche, Leon"/>
  </r>
  <r>
    <x v="819"/>
    <s v="Universite de Sherbrooke"/>
    <x v="4"/>
    <x v="0"/>
    <s v="201209MOP"/>
    <x v="6"/>
    <s v="Secondary electron collision cross sections for use in radiotherapy and radioprotection/Sections efficaces de diffusion des electrons secondaires pour utilisation en radiotherapie et radioprotection."/>
    <n v="670172"/>
    <n v="0"/>
    <s v="5 yrs 0 mth "/>
    <x v="0"/>
    <x v="14"/>
    <s v="electron, radiotherapy, radioprotection"/>
    <n v="0"/>
    <s v="zN/A"/>
    <n v="0"/>
    <s v="zN/A"/>
    <s v="Sanche, Leon"/>
  </r>
  <r>
    <x v="819"/>
    <s v="Université de Sherbrooke"/>
    <x v="4"/>
    <x v="1"/>
    <s v="201809PJT"/>
    <x v="6"/>
    <s v="Secondary electron collision cross sections for micro- and nano-dosimetry of emerging radiation and chemo-radiation therapies."/>
    <n v="634950"/>
    <n v="0"/>
    <s v="5 yrs 0 mth "/>
    <x v="0"/>
    <x v="26"/>
    <s v="electron, dosimetry, radiation"/>
    <n v="0"/>
    <s v="zN/A"/>
    <n v="0"/>
    <s v="zN/A"/>
    <s v="Sanche, Leon"/>
  </r>
  <r>
    <x v="820"/>
    <s v="INRS - (Québec, QC)"/>
    <x v="4"/>
    <x v="0"/>
    <s v="201103MOP"/>
    <x v="5"/>
    <s v="Antiandrogenic and antiproliferative effects of diindolylmethane (DIM) and ring-substituted analogs (ring-DIMs) in androgen -ependent and -independent human prostate cancer cells in vitro, and in vivo using real-time imaging technology."/>
    <n v="345661"/>
    <n v="0"/>
    <s v="3 yrs 0 mth "/>
    <x v="8"/>
    <x v="17"/>
    <s v="antiandrogenic, antiproliferative, prostate cancer"/>
    <n v="0"/>
    <s v="zN/A"/>
    <n v="0"/>
    <s v="zN/A"/>
    <s v="Sanderson, J. Thomas"/>
  </r>
  <r>
    <x v="821"/>
    <s v="University of Toronto"/>
    <x v="1"/>
    <x v="0"/>
    <s v="201009MOP"/>
    <x v="9"/>
    <s v="Monocyte directed tissue regeneration of a blood vessel substitute using a pro-cellular degradable tubular scaffold"/>
    <n v="379080"/>
    <n v="0"/>
    <s v="3 yrs 0 mth "/>
    <x v="3"/>
    <x v="16"/>
    <s v="monocyte, tissue regeneration, blood vessel"/>
    <n v="0"/>
    <s v="zN/A"/>
    <n v="0"/>
    <s v="zN/A"/>
    <s v="Santerre, Paul"/>
  </r>
  <r>
    <x v="821"/>
    <s v="University of Toronto"/>
    <x v="1"/>
    <x v="0"/>
    <s v="201403MOP"/>
    <x v="9"/>
    <s v="Monocyte directed tissue regeneration of a blood vessel substitute using a pro-cellular degradable tubular scaffold"/>
    <n v="482574"/>
    <n v="0"/>
    <s v="4 yrs 0 mth "/>
    <x v="3"/>
    <x v="18"/>
    <s v="monocyte, tissue regeneration, blood vessel"/>
    <n v="0"/>
    <s v="zN/A"/>
    <n v="0"/>
    <s v="zN/A"/>
    <s v="Santerre, Paul"/>
  </r>
  <r>
    <x v="821"/>
    <s v="University of Toronto"/>
    <x v="1"/>
    <x v="6"/>
    <s v="201610CPG"/>
    <x v="8"/>
    <s v="Novel adhesive polymeric membranes for binding degradable composite materials to bone in craniomaxillofacial repair"/>
    <n v="260200"/>
    <n v="0"/>
    <s v="3 yrs 0 mth "/>
    <x v="5"/>
    <x v="24"/>
    <s v="adhesive, polymeric membranes, craniomaxillofacial"/>
    <n v="2"/>
    <s v="zN/A"/>
    <n v="0"/>
    <s v="zN/A"/>
    <s v="Santerre, Paul"/>
  </r>
  <r>
    <x v="821"/>
    <s v="University of Toronto"/>
    <x v="1"/>
    <x v="6"/>
    <s v="201610CPG"/>
    <x v="8"/>
    <s v="Degradable Cardiac Patch with Immuno-modulatory function"/>
    <n v="273483"/>
    <n v="0"/>
    <s v="3 yrs 0 mth "/>
    <x v="3"/>
    <x v="24"/>
    <s v="Cardiac, Degradable, Immuno-modulatory"/>
    <n v="1"/>
    <s v="zN/A"/>
    <n v="0"/>
    <s v="zN/A"/>
    <s v="Santerre, Paul"/>
  </r>
  <r>
    <x v="821"/>
    <s v="University of Toronto"/>
    <x v="1"/>
    <x v="1"/>
    <s v="201909PJT"/>
    <x v="9"/>
    <s v="Enabling the Engineering of Vascular Grafts with Human Cells-Appliations to Pulmonary Arterial Grafting"/>
    <n v="852975"/>
    <n v="0"/>
    <s v="5 yrs 0 mth "/>
    <x v="3"/>
    <x v="22"/>
    <s v="Vascular Grafts, Human Cells, Pulmonary Arterial"/>
    <n v="1"/>
    <s v="zN/A"/>
    <n v="0"/>
    <s v="zN/A"/>
    <s v="Santerre, Paul"/>
  </r>
  <r>
    <x v="822"/>
    <s v="Western University (Ontario)"/>
    <x v="1"/>
    <x v="0"/>
    <s v="201009MOP"/>
    <x v="6"/>
    <s v="Functional and Metabolic Magnetic Resonance Imaging of Lung Inflammation"/>
    <n v="367905"/>
    <n v="0"/>
    <s v="3 yrs 0 mth "/>
    <x v="3"/>
    <x v="16"/>
    <s v="Magnetic Resonance Imaging, Lung Inflammation"/>
    <n v="0"/>
    <s v="zN/A"/>
    <n v="0"/>
    <s v="zN/A"/>
    <s v="Santyr, Giles E"/>
  </r>
  <r>
    <x v="822"/>
    <s v="Western University (Ontario)"/>
    <x v="1"/>
    <x v="0"/>
    <s v="201203MOP"/>
    <x v="6"/>
    <s v="Hyperpolarized Xenon-129 Magnetic Resonance Imaging of Radiation-Induced Lung Injury"/>
    <n v="500264"/>
    <n v="0"/>
    <s v="5 yrs 0 mth "/>
    <x v="3"/>
    <x v="12"/>
    <s v="Hyperpolarized, Xenon-129, MRI"/>
    <n v="0"/>
    <s v="zN/A"/>
    <n v="0"/>
    <s v="zN/A"/>
    <s v="Santyr, Giles E"/>
  </r>
  <r>
    <x v="822"/>
    <s v="Hospital for Sick Children (Toronto)"/>
    <x v="1"/>
    <x v="1"/>
    <s v="202010PJT"/>
    <x v="6"/>
    <s v="Magnetic Resonance Imaging Toolbox for Assessment of Lung Structure and Function in the Early Years of Life"/>
    <n v="627635"/>
    <n v="0"/>
    <s v="5 yrs 0 mth "/>
    <x v="3"/>
    <x v="23"/>
    <s v="Magnetic Resonance Imaging, Lung, Structure"/>
    <n v="0"/>
    <s v="zN/A"/>
    <n v="0"/>
    <s v="zN/A"/>
    <s v="Santyr, Giles E"/>
  </r>
  <r>
    <x v="823"/>
    <s v="CIUSSS de Centre-Ouest-de-l'Ile-de-Montréal-Jewish General"/>
    <x v="4"/>
    <x v="1"/>
    <s v="202203PJT"/>
    <x v="5"/>
    <s v="Development of effective targeted anti-GD2 cancer immunotherapies, that synergize with immune-checkpoint inhibitor blockades"/>
    <n v="1109251"/>
    <n v="0"/>
    <s v="4 yrs 0 mth "/>
    <x v="0"/>
    <x v="3"/>
    <s v="anti-GD2, immunotherapies, immune-checkpoint"/>
    <n v="2"/>
    <s v="zN/A"/>
    <n v="0"/>
    <s v="zN/A"/>
    <s v="Saragovi, Horacio U"/>
  </r>
  <r>
    <x v="824"/>
    <s v="Simon Fraser University (Burnaby, B.C.)"/>
    <x v="3"/>
    <x v="6"/>
    <s v="201510CPG"/>
    <x v="8"/>
    <s v="Optical imaging of retinal structure and function with cellular resolution"/>
    <n v="307750"/>
    <n v="0"/>
    <s v="3 yrs 0 mth "/>
    <x v="4"/>
    <x v="4"/>
    <s v="Optical imaging, retinal, cellular"/>
    <n v="5"/>
    <s v="zN/A"/>
    <n v="0"/>
    <s v="zN/A"/>
    <s v="Sarunic, Marinko V"/>
  </r>
  <r>
    <x v="825"/>
    <s v="Université de Sherbrooke"/>
    <x v="4"/>
    <x v="0"/>
    <s v="201003MOP"/>
    <x v="5"/>
    <s v="The role of receptor tyrosine kinases in the initiation and progression of colorectal cancer"/>
    <n v="657991"/>
    <n v="0"/>
    <s v="5 yrs 0 mth "/>
    <x v="0"/>
    <x v="21"/>
    <s v="receptor tyrosine kinases, colorectal cancer"/>
    <n v="0"/>
    <s v="zN/A"/>
    <n v="0"/>
    <s v="zN/A"/>
    <s v="Saucier, Caroline"/>
  </r>
  <r>
    <x v="826"/>
    <s v="Université de Montréal"/>
    <x v="4"/>
    <x v="1"/>
    <s v="202109PJT"/>
    <x v="1"/>
    <s v="Understanding the GR/PLZF axis in acute myeloid leukemia"/>
    <n v="908438"/>
    <n v="0"/>
    <s v="5 yrs 0 mth "/>
    <x v="0"/>
    <x v="25"/>
    <s v="GR, PLZF, leukemia"/>
    <n v="0"/>
    <s v="zN/A"/>
    <n v="0"/>
    <s v="zN/A"/>
    <s v="Sauvageau, Guy"/>
  </r>
  <r>
    <x v="827"/>
    <s v="Memorial University of Newfoundland"/>
    <x v="7"/>
    <x v="46"/>
    <s v="201003RNL"/>
    <x v="5"/>
    <s v="Identification of genetic factors correlated with survival in colorectal cancer: Investigation of genetic markers from angiogenesis/lymphangiogenesis and metastasis pathways"/>
    <n v="114190"/>
    <n v="0"/>
    <s v="2 yrs 6 mths "/>
    <x v="0"/>
    <x v="44"/>
    <s v="genetic factors, colorectal cancer, metastasis"/>
    <n v="0"/>
    <s v="zN/A"/>
    <n v="0"/>
    <s v="zN/A"/>
    <s v="Savas, Sevtap"/>
  </r>
  <r>
    <x v="828"/>
    <s v="Western University (Ontario)"/>
    <x v="1"/>
    <x v="4"/>
    <s v="200909IC1"/>
    <x v="0"/>
    <s v="Mechanisms of RanBPM-mediated cell death"/>
    <n v="100000"/>
    <n v="0"/>
    <s v="1 yr 0 mth "/>
    <x v="0"/>
    <x v="10"/>
    <s v="RanBPM, cell death, mechanisms"/>
    <n v="0"/>
    <s v="zN/A"/>
    <n v="0"/>
    <s v="zN/A"/>
    <s v="Schild-Poulter, Caroline"/>
  </r>
  <r>
    <x v="828"/>
    <s v="Western University (Ontario)"/>
    <x v="1"/>
    <x v="0"/>
    <s v="201103MOP"/>
    <x v="0"/>
    <s v="Characterization of RanBPM function in apoptosis and cell transformation"/>
    <n v="335472"/>
    <n v="0"/>
    <s v="3 yrs 0 mth "/>
    <x v="0"/>
    <x v="17"/>
    <s v="RanBPM, apoptosis, cell transformation"/>
    <n v="0"/>
    <s v="zN/A"/>
    <n v="0"/>
    <s v="zN/A"/>
    <s v="Schild-Poulter, Caroline"/>
  </r>
  <r>
    <x v="828"/>
    <s v="Western University (Ontario)"/>
    <x v="1"/>
    <x v="0"/>
    <s v="201503MOP"/>
    <x v="0"/>
    <s v="Cell signaling pathway regulation by the RanBPM/CTLH complex in cancer development"/>
    <n v="711895"/>
    <n v="0"/>
    <s v="5 yrs 0 mth "/>
    <x v="0"/>
    <x v="19"/>
    <s v="cell signaling, RanBPM, cancer"/>
    <n v="0"/>
    <s v="zN/A"/>
    <n v="0"/>
    <s v="zN/A"/>
    <s v="Schild-Poulter, Caroline"/>
  </r>
  <r>
    <x v="828"/>
    <s v="Western University (Ontario)"/>
    <x v="1"/>
    <x v="1"/>
    <s v="201909PJT"/>
    <x v="3"/>
    <s v="Tumour-suppressive regulation of the Wnt/e-catenin signaling pathway by the CTLH complex"/>
    <n v="807075"/>
    <n v="0"/>
    <s v="5 yrs 0 mth "/>
    <x v="0"/>
    <x v="22"/>
    <s v="Wnt, e-catenin, CTLH"/>
    <n v="0"/>
    <s v="zN/A"/>
    <n v="0"/>
    <s v="zN/A"/>
    <s v="Schild-Poulter, Caroline"/>
  </r>
  <r>
    <x v="829"/>
    <s v="University Health Network (Toronto)"/>
    <x v="1"/>
    <x v="0"/>
    <s v="201209MOP"/>
    <x v="1"/>
    <s v="Inhibiting oncogenic kinases to target metabolism in AML"/>
    <n v="714400"/>
    <n v="0"/>
    <s v="5 yrs 0 mth "/>
    <x v="0"/>
    <x v="14"/>
    <s v="kinases, metabolism, AML"/>
    <n v="1"/>
    <s v="zN/A"/>
    <n v="0"/>
    <s v="zN/A"/>
    <s v="Schimmer, Aaron D"/>
  </r>
  <r>
    <x v="829"/>
    <s v="University Health Network (Toronto)"/>
    <x v="1"/>
    <x v="3"/>
    <s v="201309IPR"/>
    <x v="4"/>
    <s v="Targeting mitochondrial translation as a novel therapeutic strategy for AML"/>
    <n v="820000"/>
    <n v="0"/>
    <s v="5 yrs 0 mth "/>
    <x v="0"/>
    <x v="9"/>
    <s v="mitochondrial translation, AML"/>
    <n v="1"/>
    <s v="zN/A"/>
    <n v="0"/>
    <s v="zN/A"/>
    <s v="Schimmer, Aaron D"/>
  </r>
  <r>
    <x v="829"/>
    <s v="University Health Network (Toronto)"/>
    <x v="1"/>
    <x v="0"/>
    <s v="201403MOP"/>
    <x v="0"/>
    <s v="Targeting the mitochondrial proteasome, ClpP, in AML"/>
    <n v="707495"/>
    <n v="0"/>
    <s v="5 yrs 0 mth "/>
    <x v="0"/>
    <x v="18"/>
    <s v="mitochondrial proteasome, ClpP, AML"/>
    <n v="0"/>
    <s v="zN/A"/>
    <n v="0"/>
    <s v="zN/A"/>
    <s v="Schimmer, Aaron D"/>
  </r>
  <r>
    <x v="829"/>
    <s v="University Health Network (Toronto)"/>
    <x v="1"/>
    <x v="60"/>
    <s v="202303OGB"/>
    <x v="5"/>
    <s v="The IL23 Receptor (IL23R) regulates mitotic spindle formation and is a novel therapeutic target for AML"/>
    <n v="100000"/>
    <n v="0"/>
    <s v="1 yr 0 mth "/>
    <x v="2"/>
    <x v="13"/>
    <s v="IL23R, mitotic spindle, AML"/>
    <n v="0"/>
    <s v="zN/A"/>
    <n v="0"/>
    <s v="zN/A"/>
    <s v="Schimmer, Aaron D"/>
  </r>
  <r>
    <x v="830"/>
    <s v="CIUSSS de Centre-Ouest-de-l'Ile-de-Montréal-Jewish General"/>
    <x v="4"/>
    <x v="29"/>
    <s v="200809NMD"/>
    <x v="6"/>
    <s v="Beta-cell imaging with 18F-labeled glibenclamide-glucose conjugates by positron emission tomography"/>
    <n v="81155"/>
    <n v="0"/>
    <s v="1 yr 0 mth "/>
    <x v="9"/>
    <x v="42"/>
    <s v="beta-cell, imaging, positron emission tomography"/>
    <n v="0"/>
    <s v="zN/A"/>
    <n v="0"/>
    <s v="zN/A"/>
    <s v="Schirrmacher, Ralf"/>
  </r>
  <r>
    <x v="830"/>
    <s v="CIUSSS de Centre-Ouest-de-l'Ile-de-Montréal-Jewish General"/>
    <x v="4"/>
    <x v="0"/>
    <s v="200903MOP"/>
    <x v="6"/>
    <s v="Beta-cell imaging with 18F-labeled glibenclamide-glucose conjugates by positron emission tomography"/>
    <n v="238386"/>
    <n v="0"/>
    <s v="3 yrs 0 mth "/>
    <x v="9"/>
    <x v="5"/>
    <s v="beta-cell, imaging, positron emission tomography"/>
    <n v="0"/>
    <s v="zN/A"/>
    <n v="0"/>
    <s v="zN/A"/>
    <s v="Schirrmacher, Ralf"/>
  </r>
  <r>
    <x v="831"/>
    <s v="Sinai Health System (Toronto)"/>
    <x v="1"/>
    <x v="1"/>
    <s v="202003PJT"/>
    <x v="3"/>
    <s v="In vivo CRISPR screen to identify clinically relevant therapeutic targets for lung cancer"/>
    <n v="1071000"/>
    <n v="0"/>
    <s v="5 yrs 0 mth "/>
    <x v="0"/>
    <x v="39"/>
    <s v="CRISPR, lung cancer, targets"/>
    <n v="0"/>
    <s v="zN/A"/>
    <n v="0"/>
    <s v="zN/A"/>
    <s v="Schramek, Daniel"/>
  </r>
  <r>
    <x v="831"/>
    <s v="Sinai Health System (Toronto)"/>
    <x v="1"/>
    <x v="1"/>
    <s v="202210PJT"/>
    <x v="1"/>
    <s v="Identifying essential genes for epithelial homeostasis and KRas-driven carcinomas using in vivo CRISPR screens."/>
    <n v="100000"/>
    <n v="0"/>
    <s v="1 yr 0 mth "/>
    <x v="0"/>
    <x v="8"/>
    <s v="CRISPR, genes, carcinomas"/>
    <n v="0"/>
    <s v="zN/A"/>
    <n v="0"/>
    <s v="zN/A"/>
    <s v="Schramek, Daniel"/>
  </r>
  <r>
    <x v="831"/>
    <s v="Sinai Health System (Toronto)"/>
    <x v="1"/>
    <x v="1"/>
    <s v="202303PJT"/>
    <x v="5"/>
    <s v="Identifying and characterizing essential genes and cancer driver genes in HNSCC using in vivo CRISPR screens."/>
    <n v="1063350"/>
    <n v="0"/>
    <s v="5 yrs 0 mth "/>
    <x v="0"/>
    <x v="13"/>
    <s v="CRISPR, genes, cancer"/>
    <n v="0"/>
    <s v="zN/A"/>
    <n v="0"/>
    <s v="zN/A"/>
    <s v="Schramek, Daniel"/>
  </r>
  <r>
    <x v="832"/>
    <s v="Queen's University (Kingston, Ontario)"/>
    <x v="1"/>
    <x v="4"/>
    <s v="201009IC1"/>
    <x v="6"/>
    <s v="Advancing gel dosimetry for clinical radiation therapy"/>
    <n v="60388"/>
    <n v="0"/>
    <s v="1 yr 0 mth "/>
    <x v="0"/>
    <x v="44"/>
    <s v="gel, dosimetry, radiation"/>
    <n v="0"/>
    <s v="zN/A"/>
    <n v="0"/>
    <s v="zN/A"/>
    <s v="Schreiner, L. John"/>
  </r>
  <r>
    <x v="832"/>
    <s v="Queen's University (Kingston, Ontario)"/>
    <x v="1"/>
    <x v="0"/>
    <s v="201103MOP"/>
    <x v="6"/>
    <s v="Advancing gel dosimetry for clinical radiation therapy"/>
    <n v="369252"/>
    <n v="0"/>
    <s v="5 yrs 0 mth "/>
    <x v="0"/>
    <x v="17"/>
    <s v="gel, dosimetry, radiation"/>
    <n v="0"/>
    <s v="zN/A"/>
    <n v="0"/>
    <s v="zN/A"/>
    <s v="Schreiner, L. John"/>
  </r>
  <r>
    <x v="832"/>
    <s v="Queen's University (Kingston, Ontario)"/>
    <x v="1"/>
    <x v="6"/>
    <s v="201610CPG"/>
    <x v="8"/>
    <s v="Gel dosimetry for brachytherapy dose delivery validation"/>
    <n v="157870"/>
    <n v="0"/>
    <s v="3 yrs 0 mth "/>
    <x v="0"/>
    <x v="24"/>
    <s v="Gel dosimetry, brachytherapy, dose validation"/>
    <n v="0"/>
    <s v="zN/A"/>
    <n v="0"/>
    <s v="zN/A"/>
    <s v="Schreiner, L. John"/>
  </r>
  <r>
    <x v="833"/>
    <s v="University of British Columbia"/>
    <x v="3"/>
    <x v="0"/>
    <s v="200810MOP"/>
    <x v="5"/>
    <s v="Biomarkers for Chronic Graft-Versus-Host disease"/>
    <n v="100000"/>
    <n v="0"/>
    <s v="1 yr 0 mth "/>
    <x v="0"/>
    <x v="48"/>
    <s v="biomarkers, Graft-Versus-Host, disease"/>
    <n v="0"/>
    <s v="zN/A"/>
    <n v="0"/>
    <s v="zN/A"/>
    <s v="Schultz, Kirk R"/>
  </r>
  <r>
    <x v="833"/>
    <s v="University of British Columbia"/>
    <x v="3"/>
    <x v="0"/>
    <s v="200903MOP"/>
    <x v="5"/>
    <s v="Biomarkers for Chronic Graft-Versus-Host disease"/>
    <n v="972275"/>
    <n v="0"/>
    <s v="5 yrs 0 mth "/>
    <x v="0"/>
    <x v="5"/>
    <s v="biomarkers, Graft-Versus-Host, disease"/>
    <n v="0"/>
    <s v="zN/A"/>
    <n v="0"/>
    <s v="zN/A"/>
    <s v="Schultz, Kirk R"/>
  </r>
  <r>
    <x v="834"/>
    <s v="Western University (Ontario)"/>
    <x v="1"/>
    <x v="6"/>
    <s v="201510CPG"/>
    <x v="8"/>
    <s v="Rapid measures of speech-evoked brainstem activity in infants who have hearing loss: Assessing hearing aid benefit for speech sounds."/>
    <n v="164423"/>
    <n v="0"/>
    <s v="3 yrs 0 mth "/>
    <x v="7"/>
    <x v="4"/>
    <s v="speech, brainstem, hearing loss"/>
    <n v="0"/>
    <s v="zN/A"/>
    <n v="0"/>
    <s v="zN/A"/>
    <s v="Scollie, Susan D"/>
  </r>
  <r>
    <x v="835"/>
    <s v="Canadian Blood Services (Ottawa)"/>
    <x v="1"/>
    <x v="0"/>
    <s v="201203MOP"/>
    <x v="9"/>
    <s v="Polymer-Grafted Allogeneic Leukocytes and Systemic Immune Modulation"/>
    <n v="822276"/>
    <n v="0"/>
    <s v="5 yrs 0 mth "/>
    <x v="3"/>
    <x v="12"/>
    <s v="Polymer-Grafted, Leukocytes, Immune"/>
    <n v="9"/>
    <s v="zN/A"/>
    <n v="0"/>
    <s v="zN/A"/>
    <s v="Scott, Mark D"/>
  </r>
  <r>
    <x v="836"/>
    <s v="Research Institute of the McGill University Health Centre"/>
    <x v="4"/>
    <x v="0"/>
    <s v="201203MOP"/>
    <x v="1"/>
    <s v="Development of a Transgenic Mouse Model and Testing Platform of Multiple Myeloma Bone Disease"/>
    <n v="331788"/>
    <n v="0"/>
    <s v="3 yrs 0 mth "/>
    <x v="0"/>
    <x v="12"/>
    <s v="Transgenic, Mouse Model, Multiple Myeloma"/>
    <n v="1"/>
    <s v="zN/A"/>
    <n v="0"/>
    <s v="zN/A"/>
    <s v="Sebag, Michael"/>
  </r>
  <r>
    <x v="837"/>
    <s v="Centre hospitalier de l'Université de Montréal (CHUM)"/>
    <x v="4"/>
    <x v="7"/>
    <s v="201003ISO"/>
    <x v="4"/>
    <s v="Telomere attrition rate as predictor of cardiovascular complications of type 2 diabetes"/>
    <n v="1454272"/>
    <n v="0"/>
    <s v="3 yrs 0 mth "/>
    <x v="3"/>
    <x v="21"/>
    <s v="telomere, cardiovascular, diabetes"/>
    <n v="0"/>
    <s v="zN/A"/>
    <n v="0"/>
    <s v="zN/A"/>
    <s v="Seda, Ondrej"/>
  </r>
  <r>
    <x v="838"/>
    <s v="University of Toronto"/>
    <x v="1"/>
    <x v="0"/>
    <s v="201103MOP"/>
    <x v="9"/>
    <s v="Modular Tissue Engineering for Islet Transplantation"/>
    <n v="346262"/>
    <n v="0"/>
    <s v="3 yrs 0 mth "/>
    <x v="9"/>
    <x v="17"/>
    <s v="Tissue engineering, Islet transplantation"/>
    <n v="1"/>
    <s v="zN/A"/>
    <n v="0"/>
    <s v="zN/A"/>
    <s v="Sefton, Michael V"/>
  </r>
  <r>
    <x v="838"/>
    <s v="University of Toronto"/>
    <x v="1"/>
    <x v="0"/>
    <s v="201503MOP"/>
    <x v="9"/>
    <s v="Robust vascularization using modular tissue engineering"/>
    <n v="619244"/>
    <n v="0"/>
    <s v="5 yrs 0 mth "/>
    <x v="3"/>
    <x v="19"/>
    <s v="vascularization, tissue engineering, modular"/>
    <n v="0"/>
    <s v="zN/A"/>
    <n v="0"/>
    <s v="zN/A"/>
    <s v="Sefton, Michael V"/>
  </r>
  <r>
    <x v="838"/>
    <s v="University of Toronto"/>
    <x v="1"/>
    <x v="6"/>
    <s v="201510CPG"/>
    <x v="8"/>
    <s v="Vascularized regenerative biomaterials for medical devices and cell therapy"/>
    <n v="235413"/>
    <n v="0"/>
    <s v="3 yrs 0 mth "/>
    <x v="1"/>
    <x v="4"/>
    <s v="Vascularized, biomaterials, cell therapy"/>
    <n v="0"/>
    <s v="zN/A"/>
    <n v="0"/>
    <s v="zN/A"/>
    <s v="Sefton, Michael V"/>
  </r>
  <r>
    <x v="839"/>
    <s v="Université de Montréal"/>
    <x v="4"/>
    <x v="44"/>
    <s v="200903CVC"/>
    <x v="24"/>
    <s v="Effect of sialic acid of Gram-positive bacteria capsular polysaccharides on the immunogenic capacity of conjugate vaccines"/>
    <n v="98222"/>
    <n v="0"/>
    <s v="1 yr 0 mth "/>
    <x v="1"/>
    <x v="5"/>
    <s v="sialic acid, Gram-positive bacteria, capsular polysaccharides"/>
    <n v="1"/>
    <s v="zN/A"/>
    <n v="0"/>
    <s v="zN/A"/>
    <s v="Segura, Mariela A"/>
  </r>
  <r>
    <x v="840"/>
    <s v="McMaster University"/>
    <x v="1"/>
    <x v="1"/>
    <s v="201909PJT"/>
    <x v="9"/>
    <s v="Artificial Placenta: A biomimetic approach to support neonates with respiratory distress"/>
    <n v="761176"/>
    <n v="0"/>
    <s v="4 yrs 0 mth "/>
    <x v="7"/>
    <x v="22"/>
    <s v="Artificial placenta, biomimetic, respiratory"/>
    <n v="0"/>
    <s v="zN/A"/>
    <n v="0"/>
    <s v="zN/A"/>
    <s v="Selvaganapathy, Ponnambalam R"/>
  </r>
  <r>
    <x v="841"/>
    <s v="Women's College Hospital (Toronto)"/>
    <x v="1"/>
    <x v="30"/>
    <s v="201310CEH"/>
    <x v="21"/>
    <s v="Replacing ambulatory clinic follow-up with remote home monitoring using smartphones in breast reconstruction patients: Is it cost-effective?"/>
    <n v="38042"/>
    <n v="1861"/>
    <s v="1 yr 0 mth "/>
    <x v="11"/>
    <x v="54"/>
    <s v="remote monitoring, smartphones, breast reconstruction"/>
    <n v="0"/>
    <s v="zN/A"/>
    <n v="0"/>
    <s v="zN/A"/>
    <s v="Semple, John L"/>
  </r>
  <r>
    <x v="842"/>
    <s v="Research Institute of the McGill University Health Centre"/>
    <x v="4"/>
    <x v="0"/>
    <s v="200909MOP"/>
    <x v="6"/>
    <s v="Monte Carlo-based mixed electron/photon beam inverse treatment planning, delivery and verification"/>
    <n v="300000"/>
    <n v="0"/>
    <s v="5 yrs 0 mth "/>
    <x v="0"/>
    <x v="10"/>
    <s v="Monte Carlo, electron/photon, beam"/>
    <n v="2"/>
    <s v="zN/A"/>
    <n v="0"/>
    <s v="zN/A"/>
    <s v="Seuntjens, Jan P"/>
  </r>
  <r>
    <x v="842"/>
    <s v="University Health Network (Toronto)"/>
    <x v="1"/>
    <x v="1"/>
    <s v="202203PJT"/>
    <x v="6"/>
    <s v="Towards a low-cost, optimized proton therapy accelerator"/>
    <n v="1369352"/>
    <n v="0"/>
    <s v="4 yrs 0 mth "/>
    <x v="0"/>
    <x v="3"/>
    <s v="proton therapy, accelerator"/>
    <n v="0"/>
    <s v="zN/A"/>
    <n v="0"/>
    <s v="zN/A"/>
    <s v="Seuntjens, Jan P"/>
  </r>
  <r>
    <x v="843"/>
    <s v="Universite Laval"/>
    <x v="4"/>
    <x v="8"/>
    <s v="200909IRO"/>
    <x v="4"/>
    <s v="Modulation de la pression arterielle par la NTPDase1 et les nucleotides extracellulaires"/>
    <n v="42500"/>
    <n v="0"/>
    <s v="2 yrs 0 mth "/>
    <x v="3"/>
    <x v="10"/>
    <s v="pressure, NTPDase1, nucleotides"/>
    <n v="0"/>
    <s v="zN/A"/>
    <n v="0"/>
    <s v="zN/A"/>
    <s v="Sevigny, Jean"/>
  </r>
  <r>
    <x v="844"/>
    <s v="University of British Columbia"/>
    <x v="3"/>
    <x v="1"/>
    <s v="202303PJT"/>
    <x v="9"/>
    <s v="Advanced optical monitoring of free tissue transfer hemodynamics"/>
    <n v="669376"/>
    <n v="0"/>
    <s v="4 yrs 0 mth "/>
    <x v="3"/>
    <x v="13"/>
    <s v="optical, monitoring, hemodynamics"/>
    <n v="0"/>
    <s v="zN/A"/>
    <n v="0"/>
    <s v="zN/A"/>
    <s v="Shadgan, Babak"/>
  </r>
  <r>
    <x v="845"/>
    <s v="University of Calgary"/>
    <x v="2"/>
    <x v="1"/>
    <s v="202303PJT"/>
    <x v="0"/>
    <s v="A Phase I Feasibility and Safety Study of GCAR1, a Chimeric Antigen Receptor (CAR) T-cell Therapy for Patients with Relapsed/Refractory GPNMB-Expressing Solid Tumors"/>
    <n v="2796075"/>
    <n v="0"/>
    <s v="4 yrs 0 mth "/>
    <x v="0"/>
    <x v="13"/>
    <s v="Chimeric Antigen Receptor, T-cell Therapy, GPNMB"/>
    <n v="0"/>
    <s v="zN/A"/>
    <n v="0"/>
    <s v="zN/A"/>
    <s v="Shafey, Mona"/>
  </r>
  <r>
    <x v="846"/>
    <s v="Université Laval"/>
    <x v="4"/>
    <x v="15"/>
    <s v="201303IMH"/>
    <x v="0"/>
    <s v="Roles of poly(ADP-ribose)polymerase-1 in cellular responses to ultraviolet radiations"/>
    <n v="100000"/>
    <n v="0"/>
    <s v="1 yr 0 mth "/>
    <x v="0"/>
    <x v="34"/>
    <s v="poly(ADP-ribose)polymerase-1, cellular responses, ultraviolet radiations"/>
    <n v="0"/>
    <s v="zN/A"/>
    <n v="0"/>
    <s v="zN/A"/>
    <s v="Shah, Girish M"/>
  </r>
  <r>
    <x v="847"/>
    <s v="University of British Columbia"/>
    <x v="3"/>
    <x v="0"/>
    <s v="201103MOP"/>
    <x v="1"/>
    <s v="Genomic Disruption in High-Grade Serous Ovarian Carcinomas: Steady State or Continuous Drift?"/>
    <n v="563330"/>
    <n v="0"/>
    <s v="4 yrs 0 mth "/>
    <x v="0"/>
    <x v="17"/>
    <s v="Genomic, Ovarian, Carcinomas"/>
    <n v="4"/>
    <s v="zN/A"/>
    <n v="0"/>
    <s v="zN/A"/>
    <s v="Shah, Sohrab P"/>
  </r>
  <r>
    <x v="848"/>
    <s v="University of British Columbia"/>
    <x v="3"/>
    <x v="1"/>
    <s v="202309PJT"/>
    <x v="10"/>
    <s v="Optogenetic stimulation after spinal cord injury in rodents"/>
    <n v="956250"/>
    <n v="0"/>
    <s v="5 yrs 0 mth "/>
    <x v="4"/>
    <x v="33"/>
    <s v="Optogenetic, spinal cord injury, stimulation"/>
    <n v="1"/>
    <s v="zN/A"/>
    <n v="0"/>
    <s v="zN/A"/>
    <s v="Shahriari, Dena"/>
  </r>
  <r>
    <x v="849"/>
    <s v="University of British Columbia"/>
    <x v="3"/>
    <x v="60"/>
    <s v="202109OGB"/>
    <x v="9"/>
    <s v="A bioengineering platform to promote safe cell therapies"/>
    <n v="100000"/>
    <n v="0"/>
    <s v="1 yr 0 mth "/>
    <x v="2"/>
    <x v="3"/>
    <s v="bioengineering, cell therapies, platform"/>
    <n v="0"/>
    <s v="zN/A"/>
    <n v="0"/>
    <s v="zN/A"/>
    <s v="Shakiba, Nika"/>
  </r>
  <r>
    <x v="849"/>
    <s v="University of British Columbia"/>
    <x v="3"/>
    <x v="1"/>
    <s v="202203PJT"/>
    <x v="10"/>
    <s v="A bioengineering platform to promote safe cell therapies"/>
    <n v="963900"/>
    <n v="0"/>
    <s v="5 yrs 0 mth "/>
    <x v="2"/>
    <x v="3"/>
    <s v="bioengineering, cell therapies, platform"/>
    <n v="0"/>
    <s v="zN/A"/>
    <n v="0"/>
    <s v="zN/A"/>
    <s v="Shakiba, Nika"/>
  </r>
  <r>
    <x v="850"/>
    <s v="University of Manitoba"/>
    <x v="0"/>
    <x v="1"/>
    <s v="202109PJT"/>
    <x v="3"/>
    <s v="Taking down the 'undruggable' oncogene: therapeutic implications for novel mechanism-based targeting of MYC"/>
    <n v="956250"/>
    <n v="0"/>
    <s v="5 yrs 0 mth "/>
    <x v="0"/>
    <x v="25"/>
    <s v="MYC, oncogene, targeting"/>
    <n v="0"/>
    <s v="zN/A"/>
    <n v="0"/>
    <s v="zN/A"/>
    <s v="Sharif, Tanveer"/>
  </r>
  <r>
    <x v="851"/>
    <s v="University of Manitoba"/>
    <x v="0"/>
    <x v="0"/>
    <s v="201009MOP"/>
    <x v="6"/>
    <s v="Point of care diagnostic and analytical metabolomic testing."/>
    <n v="289018"/>
    <n v="0"/>
    <s v="3 yrs 0 mth "/>
    <x v="10"/>
    <x v="16"/>
    <s v="point of care, diagnostic, metabolomic"/>
    <n v="0"/>
    <s v="zN/A"/>
    <n v="0"/>
    <s v="zN/A"/>
    <s v="Shaw, Tony"/>
  </r>
  <r>
    <x v="852"/>
    <s v="McMaster University"/>
    <x v="1"/>
    <x v="1"/>
    <s v="202003PJT"/>
    <x v="9"/>
    <s v="A Degradable Sustained Release Mucoadhesive Drug Delivery System to Regulate Intraocular Pressure (IOP) in Glaucoma"/>
    <n v="699976"/>
    <n v="0"/>
    <s v="5 yrs 0 mth "/>
    <x v="6"/>
    <x v="39"/>
    <s v="Degradable, Mucoadhesive, Intraocular Pressure"/>
    <n v="0"/>
    <s v="zN/A"/>
    <n v="0"/>
    <s v="zN/A"/>
    <s v="Sheardown, Heather D"/>
  </r>
  <r>
    <x v="853"/>
    <s v="University of Manitoba"/>
    <x v="0"/>
    <x v="27"/>
    <s v="202403NW2"/>
    <x v="11"/>
    <s v="Protecting and supporting breastfeeding and lactation equity in Manitoba through community-integrated education and care using novel technologies, culturally safe and gender affirming approaches"/>
    <n v="600000"/>
    <n v="0"/>
    <s v="2 yrs 10 mths "/>
    <x v="8"/>
    <x v="27"/>
    <s v="breastfeeding, lactation, community"/>
    <n v="0"/>
    <s v="zN/A"/>
    <n v="0"/>
    <s v="zN/A"/>
    <s v="Shen, Garry X"/>
  </r>
  <r>
    <x v="854"/>
    <s v="University of Toronto"/>
    <x v="1"/>
    <x v="6"/>
    <s v="201310CPG"/>
    <x v="8"/>
    <s v="Nanoparticle-based anti-Myc cancer therapeutics"/>
    <n v="448040"/>
    <n v="0"/>
    <s v="3 yrs 0 mth "/>
    <x v="0"/>
    <x v="9"/>
    <s v="Nanoparticle, cancer, therapeutics"/>
    <n v="0"/>
    <s v="zN/A"/>
    <n v="0"/>
    <s v="zN/A"/>
    <s v="Shin, Jumi"/>
  </r>
  <r>
    <x v="855"/>
    <s v="University of Toronto"/>
    <x v="1"/>
    <x v="0"/>
    <s v="201009MOP"/>
    <x v="9"/>
    <s v="Polymeric Nanospheres Designed for Targeted Delivery in Breast Cancer"/>
    <n v="586822"/>
    <n v="0"/>
    <s v="4 yrs 0 mth "/>
    <x v="0"/>
    <x v="16"/>
    <s v="Polymeric, Nanospheres, Breast Cancer"/>
    <n v="0"/>
    <s v="zN/A"/>
    <n v="0"/>
    <s v="zN/A"/>
    <s v="Shoichet, Molly S"/>
  </r>
  <r>
    <x v="855"/>
    <s v="University of Toronto"/>
    <x v="1"/>
    <x v="0"/>
    <s v="201203MOP"/>
    <x v="9"/>
    <s v="Local Delivery of Therapeutic Biomolecules to the Injured Spinal Cord"/>
    <n v="756107"/>
    <n v="0"/>
    <s v="5 yrs 0 mth "/>
    <x v="4"/>
    <x v="12"/>
    <s v="biomolecules, spinal cord, delivery"/>
    <n v="2"/>
    <s v="zN/A"/>
    <n v="0"/>
    <s v="zN/A"/>
    <s v="Shoichet, Molly S"/>
  </r>
  <r>
    <x v="855"/>
    <s v="University of Toronto"/>
    <x v="1"/>
    <x v="6"/>
    <s v="201210CPG"/>
    <x v="8"/>
    <s v="Design of a high content personalized medicine screening tool for the treatment of cancer"/>
    <n v="479799"/>
    <n v="0"/>
    <s v="3 yrs 0 mth "/>
    <x v="0"/>
    <x v="14"/>
    <s v="personalized medicine, screening, cancer"/>
    <n v="5"/>
    <s v="zN/A"/>
    <n v="0"/>
    <s v="zN/A"/>
    <s v="Shoichet, Molly S"/>
  </r>
  <r>
    <x v="855"/>
    <s v="University of Toronto"/>
    <x v="1"/>
    <x v="6"/>
    <s v="201410CPG"/>
    <x v="8"/>
    <s v="Brain Cancer Treatment: innovations in delivery of stable siRNAs and chemotherapeutics"/>
    <n v="504350"/>
    <n v="0"/>
    <s v="3 yrs 0 mth "/>
    <x v="0"/>
    <x v="6"/>
    <s v="siRNAs, chemotherapeutics, brain cancer"/>
    <n v="0"/>
    <s v="zN/A"/>
    <n v="0"/>
    <s v="zN/A"/>
    <s v="Shoichet, Molly S"/>
  </r>
  <r>
    <x v="855"/>
    <s v="University of Toronto"/>
    <x v="1"/>
    <x v="1"/>
    <s v="202109PJT"/>
    <x v="9"/>
    <s v="Vision Rescue: Transforming Therapeutics with Hydrogel Delivery"/>
    <n v="573752"/>
    <n v="0"/>
    <s v="4 yrs 0 mth "/>
    <x v="4"/>
    <x v="51"/>
    <s v="Vision, Hydrogel, Delivery"/>
    <n v="0"/>
    <s v="zN/A"/>
    <n v="0"/>
    <s v="zN/A"/>
    <s v="Shoichet, Molly S"/>
  </r>
  <r>
    <x v="855"/>
    <s v="University of Toronto"/>
    <x v="1"/>
    <x v="1"/>
    <s v="202209PJT"/>
    <x v="10"/>
    <s v="Overcoming ER+ Breast Cancer with Fulvestrant-siRNA co-delivery"/>
    <n v="665552"/>
    <n v="0"/>
    <s v="4 yrs 0 mth "/>
    <x v="0"/>
    <x v="8"/>
    <s v="ER+, breast cancer, siRNA"/>
    <n v="0"/>
    <s v="zN/A"/>
    <n v="0"/>
    <s v="zN/A"/>
    <s v="Shoichet, Molly S"/>
  </r>
  <r>
    <x v="856"/>
    <s v="University of Calgary"/>
    <x v="2"/>
    <x v="15"/>
    <s v="201109IMH"/>
    <x v="9"/>
    <s v="Investigating the Mechanisims of Osteoarthritis in an Ovine Model"/>
    <n v="100000"/>
    <n v="0"/>
    <s v="1 yr 0 mth "/>
    <x v="5"/>
    <x v="31"/>
    <s v="Osteoarthritis, Ovine, Mechanisms"/>
    <n v="0"/>
    <s v="zN/A"/>
    <n v="0"/>
    <s v="zN/A"/>
    <s v="Shrive, Nigel G"/>
  </r>
  <r>
    <x v="856"/>
    <s v="University of Calgary"/>
    <x v="2"/>
    <x v="0"/>
    <s v="201209MOP"/>
    <x v="9"/>
    <s v="The mechanical causes of osteoarthritis"/>
    <n v="665010"/>
    <n v="0"/>
    <s v="5 yrs 0 mth "/>
    <x v="5"/>
    <x v="14"/>
    <s v="mechanical, osteoarthritis, causes"/>
    <n v="0"/>
    <s v="zN/A"/>
    <n v="0"/>
    <s v="zN/A"/>
    <s v="Shrive, Nigel G"/>
  </r>
  <r>
    <x v="857"/>
    <s v="Vancouver Island University (Nanaimo, BC)"/>
    <x v="3"/>
    <x v="19"/>
    <s v="202307NWI"/>
    <x v="17"/>
    <s v="Blood biomarkers to detect brain injury due to intimate partner violence"/>
    <n v="149720"/>
    <n v="0"/>
    <s v="1 yr 0 mth "/>
    <x v="8"/>
    <x v="36"/>
    <s v="blood biomarkers, brain injury, partner violence"/>
    <n v="0"/>
    <s v="zN/A"/>
    <n v="0"/>
    <s v="zN/A"/>
    <s v="Shultz, Sandy"/>
  </r>
  <r>
    <x v="857"/>
    <s v="Vancouver Island University (Nanaimo, BC)"/>
    <x v="3"/>
    <x v="9"/>
    <s v="202403NW3"/>
    <x v="11"/>
    <s v="Psilocybin-assisted therapy for post-traumatic stress disorder (PTSD) in intimate partner violence (IPV) survivors"/>
    <n v="599500"/>
    <n v="0"/>
    <s v="2 yrs 10 mths "/>
    <x v="8"/>
    <x v="27"/>
    <s v="Psilocybin, PTSD, survivors"/>
    <n v="0"/>
    <s v="zN/A"/>
    <n v="0"/>
    <s v="zN/A"/>
    <s v="Shultz, Sandy"/>
  </r>
  <r>
    <x v="858"/>
    <s v="Sinai Health System (Toronto)"/>
    <x v="1"/>
    <x v="1"/>
    <s v="202109PJT"/>
    <x v="1"/>
    <s v="Induced proximity therapeutics for the difficult-to-drug RAS and RAF oncoproteins"/>
    <n v="1300882"/>
    <n v="0"/>
    <s v="5 yrs 0 mth "/>
    <x v="0"/>
    <x v="25"/>
    <s v="induced proximity, RAS, RAF"/>
    <n v="0"/>
    <s v="zN/A"/>
    <n v="0"/>
    <s v="zN/A"/>
    <s v="Sicheri, Frank"/>
  </r>
  <r>
    <x v="8"/>
    <s v="University of Toronto"/>
    <x v="1"/>
    <x v="0"/>
    <s v="201009MOP"/>
    <x v="5"/>
    <s v="Specific inhibitors of deubiquitinating enzymes"/>
    <n v="485957"/>
    <n v="0"/>
    <s v="3 yrs 0 mth "/>
    <x v="0"/>
    <x v="16"/>
    <s v="deubiquitinating enzymes, inhibitors"/>
    <n v="0"/>
    <s v="zN/A"/>
    <n v="0"/>
    <s v="zN/A"/>
    <s v="Sidhu, Sachdev S"/>
  </r>
  <r>
    <x v="8"/>
    <s v="University of Toronto"/>
    <x v="1"/>
    <x v="0"/>
    <s v="201403MOP"/>
    <x v="1"/>
    <s v="Specific inhibitors of ubiquitin ligases and deubiquitinases"/>
    <n v="919406"/>
    <n v="0"/>
    <s v="5 yrs 0 mth "/>
    <x v="2"/>
    <x v="18"/>
    <s v="ubiquitin, ligases, deubiquitinases"/>
    <n v="4"/>
    <s v="zN/A"/>
    <n v="0"/>
    <s v="zN/A"/>
    <s v="Sidhu, Sachdev S"/>
  </r>
  <r>
    <x v="859"/>
    <s v="McGill University"/>
    <x v="4"/>
    <x v="0"/>
    <s v="201109MOP"/>
    <x v="1"/>
    <s v="GPNMB as an emerging therapeutic target in metastatic breast cancer"/>
    <n v="729830"/>
    <n v="0"/>
    <s v="5 yrs 0 mth "/>
    <x v="0"/>
    <x v="15"/>
    <s v="GPNMB, metastatic breast cancer, therapeutic target"/>
    <n v="0"/>
    <s v="zN/A"/>
    <n v="0"/>
    <s v="zN/A"/>
    <s v="Siegel, Peter M"/>
  </r>
  <r>
    <x v="859"/>
    <s v="McGill University"/>
    <x v="4"/>
    <x v="0"/>
    <s v="201403MOP"/>
    <x v="5"/>
    <s v="Claudin-2 as a Prognostic and Therapeutic Target in Breast Cancer Liver Metastasis"/>
    <n v="761594"/>
    <n v="0"/>
    <s v="5 yrs 0 mth "/>
    <x v="0"/>
    <x v="18"/>
    <s v="Claudin-2, Breast Cancer, Liver Metastasis"/>
    <n v="0"/>
    <s v="zN/A"/>
    <n v="0"/>
    <s v="zN/A"/>
    <s v="Siegel, Peter M"/>
  </r>
  <r>
    <x v="859"/>
    <s v="McGill University"/>
    <x v="4"/>
    <x v="1"/>
    <s v="202010PJT"/>
    <x v="1"/>
    <s v="Identifying tumor-derived and microenvironmental factors that drive invasive growth of brain metastases"/>
    <n v="1032750"/>
    <n v="0"/>
    <s v="5 yrs 0 mth "/>
    <x v="0"/>
    <x v="23"/>
    <s v="tumor, microenvironment, metastases"/>
    <n v="0"/>
    <s v="zN/A"/>
    <n v="0"/>
    <s v="zN/A"/>
    <s v="Siegel, Peter M"/>
  </r>
  <r>
    <x v="859"/>
    <s v="McGill University"/>
    <x v="4"/>
    <x v="1"/>
    <s v="202209PJT"/>
    <x v="0"/>
    <s v="Defining the Immunomodulatory Role of GPNMB in Triple Negative Breast Cancer"/>
    <n v="994500"/>
    <n v="0"/>
    <s v="5 yrs 0 mth "/>
    <x v="0"/>
    <x v="8"/>
    <s v="GPNMB, Immunomodulatory, Breast Cancer"/>
    <n v="0"/>
    <s v="zN/A"/>
    <n v="0"/>
    <s v="zN/A"/>
    <s v="Siegel, Peter M"/>
  </r>
  <r>
    <x v="860"/>
    <s v="McGill University"/>
    <x v="4"/>
    <x v="1"/>
    <s v="202109PJT"/>
    <x v="3"/>
    <s v="Identification of biological properties and molecular signatures to predict treatment response in patients with advanced HPV positive oropharyngeal cancer"/>
    <n v="665550"/>
    <n v="0"/>
    <s v="5 yrs 0 mth "/>
    <x v="0"/>
    <x v="25"/>
    <s v="biological properties, molecular signatures, HPV"/>
    <n v="0"/>
    <s v="zN/A"/>
    <n v="0"/>
    <s v="zN/A"/>
    <s v="Silva Wurzba, Sabrina Daniela"/>
  </r>
  <r>
    <x v="861"/>
    <s v="University of Toronto"/>
    <x v="1"/>
    <x v="0"/>
    <s v="201303MOP"/>
    <x v="9"/>
    <s v="Systematic screening of engineered microenvironments for improved heart valve tissue regeneration"/>
    <n v="411566"/>
    <n v="0"/>
    <s v="3 yrs 0 mth "/>
    <x v="3"/>
    <x v="34"/>
    <s v="microenvironments, heart valve, tissue regeneration"/>
    <n v="0"/>
    <s v="zN/A"/>
    <n v="0"/>
    <s v="zN/A"/>
    <s v="Simmons, Craig A"/>
  </r>
  <r>
    <x v="861"/>
    <s v="University of Toronto"/>
    <x v="1"/>
    <x v="6"/>
    <s v="201410CPG"/>
    <x v="8"/>
    <s v="Biomaterial substrates for xeno- and feeder layer-free culture of human pluripotent stem cells"/>
    <n v="316195"/>
    <n v="0"/>
    <s v="3 yrs 0 mth "/>
    <x v="7"/>
    <x v="6"/>
    <s v="biomaterial, stem cells, culture"/>
    <n v="1"/>
    <s v="zN/A"/>
    <n v="0"/>
    <s v="zN/A"/>
    <s v="Simmons, Craig A"/>
  </r>
  <r>
    <x v="861"/>
    <s v="University of Toronto"/>
    <x v="1"/>
    <x v="6"/>
    <s v="201610CPG"/>
    <x v="8"/>
    <s v="Engineering Pulmonary Valve Tissue for Pediatric Patients with Tetralogy of Fallot"/>
    <n v="386873"/>
    <n v="0"/>
    <s v="3 yrs 0 mth "/>
    <x v="3"/>
    <x v="24"/>
    <s v="Pulmonary Valve, Tissue Engineering, Pediatric"/>
    <n v="0"/>
    <s v="zN/A"/>
    <n v="0"/>
    <s v="zN/A"/>
    <s v="Simmons, Craig A"/>
  </r>
  <r>
    <x v="861"/>
    <s v="University of Toronto"/>
    <x v="1"/>
    <x v="6"/>
    <s v="201610CPG"/>
    <x v="8"/>
    <s v="Development of a physiological cardiac microtissue platform for drug development"/>
    <n v="426720"/>
    <n v="0"/>
    <s v="3 yrs 0 mth "/>
    <x v="3"/>
    <x v="24"/>
    <s v="cardiac, microtissue, drug"/>
    <n v="3"/>
    <s v="zN/A"/>
    <n v="0"/>
    <s v="zN/A"/>
    <s v="Simmons, Craig A"/>
  </r>
  <r>
    <x v="861"/>
    <s v="University of Toronto"/>
    <x v="1"/>
    <x v="1"/>
    <s v="201903PJT"/>
    <x v="9"/>
    <s v="Dissecting the role of hemodynamics in ascending aorta aneurysm development"/>
    <n v="860626"/>
    <n v="0"/>
    <s v="5 yrs 0 mth "/>
    <x v="3"/>
    <x v="1"/>
    <s v="hemodynamics, ascending aorta, aneurysm"/>
    <n v="0"/>
    <s v="zN/A"/>
    <n v="0"/>
    <s v="zN/A"/>
    <s v="Simmons, Craig A"/>
  </r>
  <r>
    <x v="861"/>
    <s v="University of Toronto"/>
    <x v="1"/>
    <x v="1"/>
    <s v="202010PJT"/>
    <x v="9"/>
    <s v="Optimization of cell culture media and substrates to mature pluripotent stem cell-derived cardiomyoctyes for improved cardiac cell therapy"/>
    <n v="929475"/>
    <n v="0"/>
    <s v="5 yrs 0 mth "/>
    <x v="3"/>
    <x v="23"/>
    <s v="cell culture, pluripotent stem cells, cardiomyocytes"/>
    <n v="1"/>
    <s v="zN/A"/>
    <n v="0"/>
    <s v="zN/A"/>
    <s v="Simmons, Craig A"/>
  </r>
  <r>
    <x v="862"/>
    <s v="McMaster University"/>
    <x v="1"/>
    <x v="0"/>
    <s v="201303MOP"/>
    <x v="0"/>
    <s v="Clonal evolution of medulloblastoma BTICs (brain tumor initiating cells) in response to therapy: Discovering the refractory BTIC population through genes regulating stem cell self-renewal"/>
    <n v="554057"/>
    <n v="0"/>
    <s v="5 yrs 0 mth "/>
    <x v="0"/>
    <x v="34"/>
    <s v="medulloblastoma, BTICs, stem cell"/>
    <n v="2"/>
    <s v="zN/A"/>
    <n v="0"/>
    <s v="zN/A"/>
    <s v="Singh, Sheila K"/>
  </r>
  <r>
    <x v="862"/>
    <s v="McMaster University"/>
    <x v="1"/>
    <x v="1"/>
    <s v="201803PJT"/>
    <x v="5"/>
    <s v="Wnt activation as a therapeutic strategy for treatment-refractory childhood medulloblastoma"/>
    <n v="860626"/>
    <n v="0"/>
    <s v="5 yrs 0 mth "/>
    <x v="0"/>
    <x v="7"/>
    <s v="Wnt, medulloblastoma, activation"/>
    <n v="1"/>
    <s v="zN/A"/>
    <n v="0"/>
    <s v="zN/A"/>
    <s v="Singh, Sheila K"/>
  </r>
  <r>
    <x v="862"/>
    <s v="McMaster University"/>
    <x v="1"/>
    <x v="1"/>
    <s v="202209PJT"/>
    <x v="0"/>
    <s v="Dynamic metabolic reprogramming drives myc-amplified medulloblastoma recurrence"/>
    <n v="841500"/>
    <n v="0"/>
    <s v="5 yrs 0 mth "/>
    <x v="0"/>
    <x v="8"/>
    <s v="metabolic reprogramming, myc-amplified, medulloblastoma"/>
    <n v="1"/>
    <s v="zN/A"/>
    <n v="0"/>
    <s v="zN/A"/>
    <s v="Singh, Sheila K"/>
  </r>
  <r>
    <x v="862"/>
    <s v="McMaster University"/>
    <x v="1"/>
    <x v="25"/>
    <s v="202309DCP"/>
    <x v="5"/>
    <s v="Targeting BACE1 for the prevention and treatment of Brain metastases"/>
    <n v="100000"/>
    <n v="0"/>
    <s v="1 yr 0 mth "/>
    <x v="0"/>
    <x v="37"/>
    <s v="BACE1, brain metastases"/>
    <n v="0"/>
    <s v="zN/A"/>
    <n v="0"/>
    <s v="zN/A"/>
    <s v="Singh, Sheila K"/>
  </r>
  <r>
    <x v="863"/>
    <s v="Centre hospitalier universitaire Sainte-Justine (Montréal, Québec)"/>
    <x v="4"/>
    <x v="0"/>
    <s v="200809MOP"/>
    <x v="5"/>
    <s v="Regulatory polymorphisms in apoptosis genes and susceptibility to childhood leukemia"/>
    <n v="410877"/>
    <n v="0"/>
    <s v="3 yrs 0 mth "/>
    <x v="2"/>
    <x v="0"/>
    <s v="polymorphisms, apoptosis, leukemia"/>
    <n v="0"/>
    <s v="zN/A"/>
    <n v="0"/>
    <s v="zN/A"/>
    <s v="Sinnett, Daniel"/>
  </r>
  <r>
    <x v="863"/>
    <s v="Centre hospitalier universitaire Sainte-Justine (Montréal, Québec)"/>
    <x v="4"/>
    <x v="0"/>
    <s v="201003MOP"/>
    <x v="1"/>
    <s v="Investigation of the genomic determinants of childhood leukemia using next-generation sequencing"/>
    <n v="647040"/>
    <n v="0"/>
    <s v="5 yrs 0 mth "/>
    <x v="2"/>
    <x v="21"/>
    <s v="genomic, leukemia, sequencing"/>
    <n v="0"/>
    <s v="zN/A"/>
    <n v="0"/>
    <s v="zN/A"/>
    <s v="Sinnett, Daniel"/>
  </r>
  <r>
    <x v="864"/>
    <s v="University of Toronto"/>
    <x v="1"/>
    <x v="6"/>
    <s v="201610CPG"/>
    <x v="8"/>
    <s v="Sperm Olympics: Selecting 1 in 100,000 for Intracytoplasmic Sperm Injection"/>
    <n v="272390"/>
    <n v="0"/>
    <s v="3 yrs 0 mth "/>
    <x v="7"/>
    <x v="24"/>
    <s v="Sperm, Intracytoplasmic, Injection"/>
    <n v="1"/>
    <s v="zN/A"/>
    <n v="0"/>
    <s v="zN/A"/>
    <s v="Sinton, David A"/>
  </r>
  <r>
    <x v="865"/>
    <s v="York University (Toronto, Ontario)"/>
    <x v="1"/>
    <x v="0"/>
    <s v="200810MOP"/>
    <x v="5"/>
    <s v="From Tumors to Blood: Biomarker-Based Diagnostics, and Implications in Prognostics and Therapeutics of Glioblastoma Multiforme"/>
    <n v="100000"/>
    <n v="0"/>
    <s v="1 yr 0 mth "/>
    <x v="0"/>
    <x v="48"/>
    <s v="Biomarkers, Glioblastoma, Diagnostics"/>
    <n v="0"/>
    <s v="zN/A"/>
    <n v="0"/>
    <s v="zN/A"/>
    <s v="Siu, K. W. Michael"/>
  </r>
  <r>
    <x v="865"/>
    <s v="York University (Toronto, Ontario)"/>
    <x v="1"/>
    <x v="0"/>
    <s v="200903MOP"/>
    <x v="5"/>
    <s v="From Tumors to Blood: Biomarker-Based Diagnostics, and Implications in Prognostics and Therapeutics of Glioblastoma Multiforme"/>
    <n v="385416"/>
    <n v="0"/>
    <s v="3 yrs 0 mth "/>
    <x v="0"/>
    <x v="5"/>
    <s v="Biomarkers, Glioblastoma, Diagnostics"/>
    <n v="0"/>
    <s v="zN/A"/>
    <n v="0"/>
    <s v="zN/A"/>
    <s v="Siu, K. W. Michael"/>
  </r>
  <r>
    <x v="866"/>
    <s v="University of British Columbia"/>
    <x v="3"/>
    <x v="44"/>
    <s v="200903CVC"/>
    <x v="24"/>
    <s v="TITRE II: TIV Infant/Toddler Response Evaluation (TITRE) - follow-up &amp; focus on influenza B"/>
    <n v="100000"/>
    <n v="0"/>
    <s v="1 yr 0 mth "/>
    <x v="1"/>
    <x v="5"/>
    <s v="Infant, Response, Influenza B"/>
    <n v="0"/>
    <s v="zN/A"/>
    <n v="0"/>
    <s v="zN/A"/>
    <s v="Skowronski, Danuta Maria"/>
  </r>
  <r>
    <x v="867"/>
    <s v="Hospital for Sick Children (Toronto)"/>
    <x v="1"/>
    <x v="0"/>
    <s v="201009MOP"/>
    <x v="6"/>
    <s v="Neurovascular Adaptation"/>
    <n v="793339"/>
    <n v="0"/>
    <s v="5 yrs 0 mth "/>
    <x v="4"/>
    <x v="16"/>
    <s v="Neurovascular, Adaptation"/>
    <n v="0"/>
    <s v="zN/A"/>
    <n v="0"/>
    <s v="zN/A"/>
    <s v="Sled, John G"/>
  </r>
  <r>
    <x v="867"/>
    <s v="Hospital for Sick Children (Toronto)"/>
    <x v="1"/>
    <x v="0"/>
    <s v="201303MOP"/>
    <x v="6"/>
    <s v="Advanced MRI methods for early detection and characterization of placental dysfunction and the monitoring of therapy"/>
    <n v="470585"/>
    <n v="0"/>
    <s v="3 yrs 0 mth "/>
    <x v="7"/>
    <x v="34"/>
    <s v="MRI, placental dysfunction, detection"/>
    <n v="0"/>
    <s v="zN/A"/>
    <n v="0"/>
    <s v="zN/A"/>
    <s v="Sled, John G"/>
  </r>
  <r>
    <x v="867"/>
    <s v="Hospital for Sick Children (Toronto)"/>
    <x v="1"/>
    <x v="1"/>
    <s v="201909PJT"/>
    <x v="6"/>
    <s v="Predicting and preventing brain injury in the antenatal period"/>
    <n v="891225"/>
    <n v="0"/>
    <s v="5 yrs 0 mth "/>
    <x v="7"/>
    <x v="22"/>
    <s v="brain injury, antenatal, prediction"/>
    <n v="0"/>
    <s v="zN/A"/>
    <n v="0"/>
    <s v="zN/A"/>
    <s v="Sled, John G"/>
  </r>
  <r>
    <x v="868"/>
    <s v="McGill University"/>
    <x v="4"/>
    <x v="6"/>
    <s v="201210CPG"/>
    <x v="8"/>
    <s v="DNA Cages as a Platform for Efficient and Selective Delivery of Therapeutics into Tumor Cells"/>
    <n v="400000"/>
    <n v="0"/>
    <s v="3 yrs 0 mth "/>
    <x v="0"/>
    <x v="14"/>
    <s v="DNA cages, targeted delivery, tumor cells"/>
    <n v="0"/>
    <s v="zN/A"/>
    <n v="0"/>
    <s v="zN/A"/>
    <s v="Sleiman, Hanadi"/>
  </r>
  <r>
    <x v="869"/>
    <s v="McMaster University"/>
    <x v="1"/>
    <x v="19"/>
    <s v="202307NWI"/>
    <x v="17"/>
    <s v="Pregnancy's Microbial Marvels: Unraveling the Intestinal Secrets of Maternal Metabolic Regulation"/>
    <n v="100000"/>
    <n v="0"/>
    <s v="1 yr 0 mth "/>
    <x v="8"/>
    <x v="36"/>
    <s v="microbial, intestinal, metabolic"/>
    <n v="0"/>
    <s v="zN/A"/>
    <n v="0"/>
    <s v="zN/A"/>
    <s v="Sloboda, Deborah M"/>
  </r>
  <r>
    <x v="870"/>
    <s v="McMaster University"/>
    <x v="1"/>
    <x v="41"/>
    <s v="200811CHV"/>
    <x v="23"/>
    <s v="Functional correlate of mucosal antibody response to HIV infection in blood."/>
    <n v="100000"/>
    <n v="0"/>
    <s v="1 yr 0 mth "/>
    <x v="1"/>
    <x v="48"/>
    <s v="mucosal antibody, HIV, blood"/>
    <n v="0"/>
    <s v="zN/A"/>
    <n v="0"/>
    <s v="zN/A"/>
    <s v="Snider, Denis P"/>
  </r>
  <r>
    <x v="871"/>
    <s v="London Health Sciences Centre Res. Inc. (Ont.)"/>
    <x v="1"/>
    <x v="1"/>
    <s v="201909PJT"/>
    <x v="6"/>
    <s v="Multi-centre diagnostic performance of dynamic CT perfusion for functional assessment of multi-vessel coronary artery disease with dense coronary calcification"/>
    <n v="581246"/>
    <n v="0"/>
    <s v="3 yrs 0 mth "/>
    <x v="3"/>
    <x v="22"/>
    <s v="CT perfusion, coronary artery disease, calcification"/>
    <n v="1"/>
    <s v="zN/A"/>
    <n v="0"/>
    <s v="zN/A"/>
    <s v="So, Aaron"/>
  </r>
  <r>
    <x v="872"/>
    <s v="University of British Columbia"/>
    <x v="3"/>
    <x v="1"/>
    <s v="201803PJT"/>
    <x v="9"/>
    <s v="Novel 3D personalized bladder cancer model on demand: A new era for personalized medicine."/>
    <n v="248625"/>
    <n v="0"/>
    <s v="2 yrs 0 mth "/>
    <x v="0"/>
    <x v="7"/>
    <s v="3D, bladder cancer, personalized"/>
    <n v="0"/>
    <s v="zN/A"/>
    <n v="0"/>
    <s v="zN/A"/>
    <s v="So, Alan I"/>
  </r>
  <r>
    <x v="873"/>
    <s v="University of Toronto"/>
    <x v="1"/>
    <x v="6"/>
    <s v="201310CPG"/>
    <x v="8"/>
    <s v="A novel mineralization-inducing membrane for promoting periodontal attachment"/>
    <n v="276081"/>
    <n v="0"/>
    <s v="3 yrs 0 mth "/>
    <x v="5"/>
    <x v="9"/>
    <s v="mineralization, membrane, periodontal"/>
    <n v="0"/>
    <s v="zN/A"/>
    <n v="0"/>
    <s v="zN/A"/>
    <s v="Sone, Eli D"/>
  </r>
  <r>
    <x v="874"/>
    <s v="McGill University"/>
    <x v="4"/>
    <x v="13"/>
    <s v="202005VR3"/>
    <x v="12"/>
    <s v="INTERCEPTORs: engINeered ThERapeutiC dEfensive Particles TO SARS-CoV-2"/>
    <n v="745124"/>
    <n v="0"/>
    <s v="1 yr 0 mth "/>
    <x v="1"/>
    <x v="2"/>
    <s v="interceptor, engineered particles, SARS-CoV-2"/>
    <n v="0"/>
    <s v="zN/A"/>
    <n v="0"/>
    <s v="zN/A"/>
    <s v="Sonenberg, Nahum"/>
  </r>
  <r>
    <x v="875"/>
    <s v="University of British Columbia"/>
    <x v="3"/>
    <x v="0"/>
    <s v="201109MOP"/>
    <x v="0"/>
    <s v="Regulation of fusion oncoprotein stability by the IGF1 receptor axis"/>
    <n v="409800"/>
    <n v="0"/>
    <s v="3 yrs 0 mth "/>
    <x v="0"/>
    <x v="15"/>
    <s v="fusion,oncoprotein,IGF1 receptor"/>
    <n v="0"/>
    <s v="zN/A"/>
    <n v="0"/>
    <s v="zN/A"/>
    <s v="Sorensen, Poul H"/>
  </r>
  <r>
    <x v="875"/>
    <s v="University of British Columbia"/>
    <x v="3"/>
    <x v="0"/>
    <s v="201203MOP"/>
    <x v="0"/>
    <s v="The Hace1 tumour suppressor--a novel regulator of the oxidative stress response"/>
    <n v="458026"/>
    <n v="0"/>
    <s v="3 yrs 0 mth "/>
    <x v="0"/>
    <x v="12"/>
    <s v="Hace1, tumour suppressor, oxidative stress"/>
    <n v="0"/>
    <s v="zN/A"/>
    <n v="0"/>
    <s v="zN/A"/>
    <s v="Sorensen, Poul H"/>
  </r>
  <r>
    <x v="875"/>
    <s v="University of British Columbia"/>
    <x v="3"/>
    <x v="1"/>
    <s v="202309PJT"/>
    <x v="3"/>
    <s v="Targeting metabolic vulnerabilities in childhood cancers using immunotherapy"/>
    <n v="956250"/>
    <n v="0"/>
    <s v="5 yrs 0 mth "/>
    <x v="0"/>
    <x v="33"/>
    <s v="metabolic vulnerabilities, childhood cancers, immunotherapy"/>
    <n v="0"/>
    <s v="zN/A"/>
    <n v="0"/>
    <s v="zN/A"/>
    <s v="Sorensen, Poul H"/>
  </r>
  <r>
    <x v="876"/>
    <s v="Centre hospitalier de l'Université de Montréal (CHUM)"/>
    <x v="4"/>
    <x v="7"/>
    <s v="200809ISO"/>
    <x v="4"/>
    <s v="Endovascular repair of abdominal aortic aneurysm: Enhanced planning, guidance and assessment by 2D/3D registration of fluoroscopic, CT, C-arm CT and virtual stent data"/>
    <n v="120845"/>
    <n v="0"/>
    <s v="3 yrs 0 mth "/>
    <x v="3"/>
    <x v="0"/>
    <s v="endovascular, aneurysm, registration"/>
    <n v="2"/>
    <s v="zN/A"/>
    <n v="0"/>
    <s v="zN/A"/>
    <s v="Soulez, Gilles"/>
  </r>
  <r>
    <x v="876"/>
    <s v="Centre hospitalier de l'Université de Montréal (CHUM)"/>
    <x v="4"/>
    <x v="0"/>
    <s v="201103MOP"/>
    <x v="6"/>
    <s v="Monitoring of abdominal aortic aneurysm after endovascular repair by ultrasound elastography: feasibility, optimization and validation"/>
    <n v="631588"/>
    <n v="0"/>
    <s v="4 yrs 0 mth "/>
    <x v="3"/>
    <x v="17"/>
    <s v="abdominal aortic aneurysm, ultrasound elastography, endovascular repair"/>
    <n v="0"/>
    <s v="zN/A"/>
    <n v="0"/>
    <s v="zN/A"/>
    <s v="Soulez, Gilles"/>
  </r>
  <r>
    <x v="876"/>
    <s v="Centre hospitalier de l'Université de Montréal (CHUM)"/>
    <x v="4"/>
    <x v="3"/>
    <s v="201203IPR"/>
    <x v="4"/>
    <s v="Endovascular repair of abdominal aortic aneurysm : Enhanced guidance by elastic registration between CT-Scanner and fluoroscopy"/>
    <n v="274796"/>
    <n v="0"/>
    <s v="3 yrs 0 mth "/>
    <x v="3"/>
    <x v="12"/>
    <s v="endovascular, aneurysm, elastic registration"/>
    <n v="0"/>
    <s v="zN/A"/>
    <n v="0"/>
    <s v="zN/A"/>
    <s v="Soulez, Gilles"/>
  </r>
  <r>
    <x v="876"/>
    <s v="Université de Montréal"/>
    <x v="4"/>
    <x v="6"/>
    <s v="201910CPG"/>
    <x v="8"/>
    <s v="Optimization and preclinical testing of a sclerosing and embolizing gel for embolization of varicose veins"/>
    <n v="278520"/>
    <n v="3500"/>
    <s v="3 yrs 0 mth "/>
    <x v="3"/>
    <x v="22"/>
    <s v="sclerosing, embolizing, veins"/>
    <n v="0"/>
    <s v="zN/A"/>
    <n v="0"/>
    <s v="zN/A"/>
    <s v="Soulez, Gilles"/>
  </r>
  <r>
    <x v="876"/>
    <s v="Centre hospitalier de l'Université de Montréal (CHUM)"/>
    <x v="4"/>
    <x v="1"/>
    <s v="202003PJT"/>
    <x v="6"/>
    <s v="Magnetic resonance navigation of drug eluting beads for liver cancer therapy: in-vitro optimization and preclinical safety efficacy study"/>
    <n v="619651"/>
    <n v="0"/>
    <s v="4 yrs 0 mth "/>
    <x v="0"/>
    <x v="39"/>
    <s v="magnetic resonance, drug eluting beads, liver cancer"/>
    <n v="0"/>
    <s v="zN/A"/>
    <n v="0"/>
    <s v="zN/A"/>
    <s v="Soulez, Gilles"/>
  </r>
  <r>
    <x v="877"/>
    <s v="University of Guelph"/>
    <x v="1"/>
    <x v="13"/>
    <s v="202005VR3"/>
    <x v="12"/>
    <s v="Identification and validation of nutraceuticals that prevent SARS-CoV-2 infection"/>
    <n v="211250"/>
    <n v="0"/>
    <s v="1 yr 0 mth "/>
    <x v="1"/>
    <x v="2"/>
    <s v="nutraceuticals, SARS-CoV-2, infection"/>
    <n v="0"/>
    <s v="zN/A"/>
    <n v="0"/>
    <s v="zN/A"/>
    <s v="Spagnuolo, Paul"/>
  </r>
  <r>
    <x v="877"/>
    <s v="University of Guelph"/>
    <x v="1"/>
    <x v="1"/>
    <s v="202003PJT"/>
    <x v="1"/>
    <s v="Targeting mitochondria metabolism to selectively kill leukemia cells"/>
    <n v="367200"/>
    <n v="0"/>
    <s v="3 yrs 0 mth "/>
    <x v="0"/>
    <x v="39"/>
    <s v="mitochondria, metabolism, leukemia"/>
    <n v="1"/>
    <s v="zN/A"/>
    <n v="0"/>
    <s v="zN/A"/>
    <s v="Spagnuolo, Paul"/>
  </r>
  <r>
    <x v="878"/>
    <s v="Sunnybrook Research Institute (Toronto, Ontario)"/>
    <x v="1"/>
    <x v="0"/>
    <s v="200809MOP"/>
    <x v="0"/>
    <s v="Metabolic Regulation of Toll-like Receptor Agonist Therapy in Leukemia"/>
    <n v="380709"/>
    <n v="0"/>
    <s v="3 yrs 0 mth "/>
    <x v="0"/>
    <x v="0"/>
    <s v="Metabolic, Toll-like Receptor, Leukemia"/>
    <n v="0"/>
    <s v="zN/A"/>
    <n v="0"/>
    <s v="zN/A"/>
    <s v="Spaner, David E"/>
  </r>
  <r>
    <x v="878"/>
    <s v="Sunnybrook Research Institute (Toronto, Ontario)"/>
    <x v="1"/>
    <x v="0"/>
    <s v="201303MOP"/>
    <x v="5"/>
    <s v="Improving Glucocorticoid Therapy in Leukemia"/>
    <n v="377124"/>
    <n v="0"/>
    <s v="3 yrs 0 mth "/>
    <x v="0"/>
    <x v="34"/>
    <s v="Glucocorticoid, Leukemia"/>
    <n v="0"/>
    <s v="zN/A"/>
    <n v="0"/>
    <s v="zN/A"/>
    <s v="Spaner, David E"/>
  </r>
  <r>
    <x v="879"/>
    <s v="Research Institute of the McGill University Health Centre"/>
    <x v="4"/>
    <x v="1"/>
    <s v="202303PJT"/>
    <x v="5"/>
    <s v="Role of the circadian rhythm in the regulation of the tumor microenvironment of non-small cell cancer"/>
    <n v="1162800"/>
    <n v="0"/>
    <s v="5 yrs 0 mth "/>
    <x v="0"/>
    <x v="13"/>
    <s v="circadian rhythm, tumor microenvironment, non-small cell cancer"/>
    <n v="0"/>
    <s v="zN/A"/>
    <n v="0"/>
    <s v="zN/A"/>
    <s v="Spicer, Jonathan D"/>
  </r>
  <r>
    <x v="880"/>
    <s v="McGill University"/>
    <x v="4"/>
    <x v="4"/>
    <s v="200909IC1"/>
    <x v="0"/>
    <s v="The role of the PGC-1 transcriptional coactivators in the regulation of breast cancer metabolism"/>
    <n v="100000"/>
    <n v="0"/>
    <s v="1 yr 0 mth "/>
    <x v="0"/>
    <x v="10"/>
    <s v="PGC-1, transcriptional coactivators, breast cancer"/>
    <n v="0"/>
    <s v="zN/A"/>
    <n v="0"/>
    <s v="zN/A"/>
    <s v="St-Pierre, Julie"/>
  </r>
  <r>
    <x v="881"/>
    <s v="London Health Sciences Centre Res. Inc. (Ont.)"/>
    <x v="1"/>
    <x v="0"/>
    <s v="200903MOP"/>
    <x v="6"/>
    <s v="Continuous monitoring of cerebral blood flow and metabolism in the critically ill newborn"/>
    <n v="215912"/>
    <n v="0"/>
    <s v="3 yrs 0 mth "/>
    <x v="3"/>
    <x v="5"/>
    <s v="cerebral blood flow, metabolism, newborn"/>
    <n v="0"/>
    <s v="zN/A"/>
    <n v="0"/>
    <s v="zN/A"/>
    <s v="St. Lawrence, Keith S"/>
  </r>
  <r>
    <x v="881"/>
    <s v="London Health Sciences Centre Res. Inc. (Ont.)"/>
    <x v="1"/>
    <x v="0"/>
    <s v="201109MOP"/>
    <x v="6"/>
    <s v="Development of a Perfusion MRI Technique to Investigate Longitudinal Effects of Chronic Pain on Brain Function"/>
    <n v="451668"/>
    <n v="0"/>
    <s v="4 yrs 0 mth "/>
    <x v="4"/>
    <x v="15"/>
    <s v="Perfusion MRI, Chronic Pain, Brain Function"/>
    <n v="0"/>
    <s v="zN/A"/>
    <n v="0"/>
    <s v="zN/A"/>
    <s v="St. Lawrence, Keith S"/>
  </r>
  <r>
    <x v="881"/>
    <s v="London Health Sciences Centre Res. Inc. (Ont.)"/>
    <x v="1"/>
    <x v="0"/>
    <s v="201303MOP"/>
    <x v="6"/>
    <s v="Improving neurological outcome of intensive care by bedside monitoring of cerebral perfusion"/>
    <n v="459168"/>
    <n v="0"/>
    <s v="4 yrs 0 mth "/>
    <x v="3"/>
    <x v="34"/>
    <s v="neurological, perfusion, monitoring"/>
    <n v="0"/>
    <s v="zN/A"/>
    <n v="0"/>
    <s v="zN/A"/>
    <s v="St. Lawrence, Keith S"/>
  </r>
  <r>
    <x v="881"/>
    <s v="Western University (Ontario)"/>
    <x v="1"/>
    <x v="6"/>
    <s v="201410CPG"/>
    <x v="8"/>
    <s v="The need for neuromonitoring during the golden hour to prevent preterm brain injury"/>
    <n v="185373"/>
    <n v="0"/>
    <s v="3 yrs 0 mth "/>
    <x v="7"/>
    <x v="6"/>
    <s v="neuromonitoring, preterm brain injury, golden hour"/>
    <n v="0"/>
    <s v="zN/A"/>
    <n v="0"/>
    <s v="zN/A"/>
    <s v="St. Lawrence, Keith S"/>
  </r>
  <r>
    <x v="881"/>
    <s v="London Health Sciences Centre Res. Inc. (Ont.)"/>
    <x v="1"/>
    <x v="1"/>
    <s v="202010PJT"/>
    <x v="6"/>
    <s v="Development of a non-invasive optical device to guide individualized neurointensive care"/>
    <n v="631125"/>
    <n v="0"/>
    <s v="5 yrs 0 mth "/>
    <x v="3"/>
    <x v="23"/>
    <s v="optical device, neurointensive care, non-invasive"/>
    <n v="0"/>
    <s v="zN/A"/>
    <n v="0"/>
    <s v="zN/A"/>
    <s v="St. Lawrence, Keith S"/>
  </r>
  <r>
    <x v="881"/>
    <s v="London Health Sciences Centre Res. Inc. (Ont.)"/>
    <x v="1"/>
    <x v="1"/>
    <s v="202109PJT"/>
    <x v="6"/>
    <s v="Does Impaired Cerebral Metabolism Link Vascular Dysfunction to Cognitive Decline?"/>
    <n v="612000"/>
    <n v="0"/>
    <s v="5 yrs 0 mth "/>
    <x v="6"/>
    <x v="25"/>
    <s v="Cerebral Metabolism, Vascular Dysfunction, Cognitive Decline"/>
    <n v="0"/>
    <s v="zN/A"/>
    <n v="0"/>
    <s v="zN/A"/>
    <s v="St. Lawrence, Keith S"/>
  </r>
  <r>
    <x v="882"/>
    <s v="Centre hospitalier de l'Université de Montréal (CHUM)"/>
    <x v="4"/>
    <x v="0"/>
    <s v="201103MOP"/>
    <x v="1"/>
    <s v="Remodeling of the tumor microenvironment by CD73: a therapeutic target"/>
    <n v="497491"/>
    <n v="0"/>
    <s v="4 yrs 0 mth "/>
    <x v="0"/>
    <x v="17"/>
    <s v="tumor microenvironment, CD73, remodeling"/>
    <n v="0"/>
    <s v="zN/A"/>
    <n v="0"/>
    <s v="zN/A"/>
    <s v="Stagg, John"/>
  </r>
  <r>
    <x v="882"/>
    <s v="Centre hospitalier de l'Université de Montréal (CHUM)"/>
    <x v="4"/>
    <x v="1"/>
    <s v="202109PJT"/>
    <x v="5"/>
    <s v="Targeting the extracellular adenosine pathway in pancreatic and liver cancers"/>
    <n v="765000"/>
    <n v="0"/>
    <s v="5 yrs 0 mth "/>
    <x v="0"/>
    <x v="25"/>
    <s v="adenosine, pancreatic, liver"/>
    <n v="0"/>
    <s v="zN/A"/>
    <n v="0"/>
    <s v="zN/A"/>
    <s v="Stagg, John"/>
  </r>
  <r>
    <x v="882"/>
    <s v="Centre hospitalier de l'Université de Montréal (CHUM)"/>
    <x v="4"/>
    <x v="1"/>
    <s v="202309PJT"/>
    <x v="0"/>
    <s v="Deciphering the role of protease-activated receptor 2 in immuno-oncology"/>
    <n v="1013625"/>
    <n v="0"/>
    <s v="5 yrs 0 mth "/>
    <x v="0"/>
    <x v="33"/>
    <s v="protease-activated receptor, immuno-oncology, receptor"/>
    <n v="0"/>
    <s v="zN/A"/>
    <n v="0"/>
    <s v="zN/A"/>
    <s v="Stagg, John"/>
  </r>
  <r>
    <x v="883"/>
    <s v="University of Toronto"/>
    <x v="1"/>
    <x v="5"/>
    <s v="200902NHG"/>
    <x v="7"/>
    <s v="Development of the mammalian membrane two-hybrid technology"/>
    <n v="99519"/>
    <n v="0"/>
    <s v="1 yr 0 mth "/>
    <x v="2"/>
    <x v="45"/>
    <s v="mammalian, membrane, two-hybrid"/>
    <n v="1"/>
    <s v="zN/A"/>
    <n v="0"/>
    <s v="zN/A"/>
    <s v="Stagljar, Igor"/>
  </r>
  <r>
    <x v="883"/>
    <s v="University of Toronto"/>
    <x v="1"/>
    <x v="5"/>
    <s v="200903NHG"/>
    <x v="7"/>
    <s v="Development of the mammalian membrane two-hybrid technology."/>
    <n v="298557"/>
    <n v="0"/>
    <s v="3 yrs 0 mth "/>
    <x v="2"/>
    <x v="5"/>
    <s v="mammalian, membrane, two-hybrid"/>
    <n v="0"/>
    <s v="zN/A"/>
    <n v="0"/>
    <s v="zN/A"/>
    <s v="Stagljar, Igor"/>
  </r>
  <r>
    <x v="883"/>
    <s v="University of Toronto"/>
    <x v="1"/>
    <x v="1"/>
    <s v="201903PJT"/>
    <x v="3"/>
    <s v="Identification and analysis of new small-molecules active against drug-resistant non-small cell lung cancer"/>
    <n v="749700"/>
    <n v="0"/>
    <s v="3 yrs 0 mth "/>
    <x v="0"/>
    <x v="1"/>
    <s v="small-molecules, drug-resistant, lung cancer"/>
    <n v="2"/>
    <s v="zN/A"/>
    <n v="0"/>
    <s v="zN/A"/>
    <s v="Stagljar, Igor"/>
  </r>
  <r>
    <x v="884"/>
    <s v="University Health Network (Toronto)"/>
    <x v="1"/>
    <x v="12"/>
    <s v="201003COP"/>
    <x v="0"/>
    <s v="Functional characterization of the NIMA-related kinase 10 (Nek10) in development and disease"/>
    <n v="481140"/>
    <n v="0"/>
    <s v="4 yrs 0 mth "/>
    <x v="0"/>
    <x v="21"/>
    <s v="NIMA-related kinase, Nek10, disease"/>
    <n v="0"/>
    <s v="zN/A"/>
    <n v="0"/>
    <s v="zN/A"/>
    <s v="Stambolic, Vuk"/>
  </r>
  <r>
    <x v="884"/>
    <s v="University Health Network (Toronto)"/>
    <x v="1"/>
    <x v="1"/>
    <s v="202010PJT"/>
    <x v="0"/>
    <s v="The Function of Protein Kinase NEK10 in tumour suppression"/>
    <n v="1224000"/>
    <n v="0"/>
    <s v="5 yrs 0 mth "/>
    <x v="0"/>
    <x v="23"/>
    <s v="Protein Kinase, NEK10, Tumour suppression"/>
    <n v="0"/>
    <s v="zN/A"/>
    <n v="0"/>
    <s v="zN/A"/>
    <s v="Stambolic, Vuk"/>
  </r>
  <r>
    <x v="885"/>
    <s v="University Health Network (Toronto)"/>
    <x v="1"/>
    <x v="1"/>
    <s v="202309PJT"/>
    <x v="6"/>
    <s v="Generative Adversarial Networks for MRI-driven Radiation Therapy"/>
    <n v="604352"/>
    <n v="0"/>
    <s v="4 yrs 0 mth "/>
    <x v="0"/>
    <x v="33"/>
    <s v="Generative Adversarial Networks, MRI, Radiation Therapy"/>
    <n v="0"/>
    <s v="zN/A"/>
    <n v="0"/>
    <s v="zN/A"/>
    <s v="Stanescu, Teodor"/>
  </r>
  <r>
    <x v="886"/>
    <s v="University of Ottawa"/>
    <x v="1"/>
    <x v="6"/>
    <s v="201410CPG"/>
    <x v="8"/>
    <s v="An Integrated Systems Biology Approach to Developing Mesenchymal Stem/Stromal Cell-derived Cellular Therapeutics"/>
    <n v="375384"/>
    <n v="0"/>
    <s v="3 yrs 0 mth "/>
    <x v="1"/>
    <x v="6"/>
    <s v="Systems biology, Mesenchymal stem cells, Cellular therapeutics"/>
    <n v="0"/>
    <s v="zN/A"/>
    <n v="0"/>
    <s v="zN/A"/>
    <s v="Stanford, William L"/>
  </r>
  <r>
    <x v="886"/>
    <s v="Ottawa Hospital Research Institute"/>
    <x v="1"/>
    <x v="0"/>
    <s v="201503MOP"/>
    <x v="0"/>
    <s v="The role of PCL2/PRC2 in hematopoietic stem cells and leukemia"/>
    <n v="1163874"/>
    <n v="0"/>
    <s v="5 yrs 0 mth "/>
    <x v="0"/>
    <x v="19"/>
    <s v="PCL2, PRC2, hematopoietic stem cells"/>
    <n v="1"/>
    <s v="zN/A"/>
    <n v="0"/>
    <s v="zN/A"/>
    <s v="Stanford, William L"/>
  </r>
  <r>
    <x v="887"/>
    <s v="Sunnybrook Research Institute (Toronto, Ontario)"/>
    <x v="1"/>
    <x v="0"/>
    <s v="201209MOP"/>
    <x v="6"/>
    <s v="Evaluation of MR Chemical Exchange Saturation Transfer Imaging as a marker of tumour environment and pH"/>
    <n v="540084"/>
    <n v="0"/>
    <s v="4 yrs 0 mth "/>
    <x v="0"/>
    <x v="14"/>
    <s v="MR, Chemical Exchange Saturation Transfer, tumor environment"/>
    <n v="0"/>
    <s v="zN/A"/>
    <n v="0"/>
    <s v="zN/A"/>
    <s v="Stanisz, Greg J"/>
  </r>
  <r>
    <x v="887"/>
    <s v="Sunnybrook Research Institute (Toronto, Ontario)"/>
    <x v="1"/>
    <x v="1"/>
    <s v="201709PJT"/>
    <x v="6"/>
    <s v="Saturation Transfer MRI as a biomarker of tumour response to radiation treatment in patients with glioblastoma multiforme"/>
    <n v="650250"/>
    <n v="0"/>
    <s v="5 yrs 0 mth "/>
    <x v="0"/>
    <x v="11"/>
    <s v="Saturation Transfer, MRI, glioblastoma"/>
    <n v="0"/>
    <s v="zN/A"/>
    <n v="0"/>
    <s v="zN/A"/>
    <s v="Stanisz, Greg J"/>
  </r>
  <r>
    <x v="887"/>
    <s v="Sunnybrook Research Institute (Toronto, Ontario)"/>
    <x v="1"/>
    <x v="1"/>
    <s v="202109PJT"/>
    <x v="6"/>
    <s v="Redefining the paradigm for surveillance in patients with low-grade glioma using saturation transfer magnetic resonance imaging"/>
    <n v="830024"/>
    <n v="0"/>
    <s v="6 yrs 0 mth "/>
    <x v="0"/>
    <x v="25"/>
    <s v="glioma, magnetic resonance imaging, saturation transfer"/>
    <n v="0"/>
    <s v="zN/A"/>
    <n v="0"/>
    <s v="zN/A"/>
    <s v="Stanisz, Greg J"/>
  </r>
  <r>
    <x v="887"/>
    <s v="Sunnybrook Research Institute (Toronto, Ontario)"/>
    <x v="1"/>
    <x v="1"/>
    <s v="202403PJT"/>
    <x v="6"/>
    <s v="Combining Advanced Metabolic MRI with Genomics to Refine the Treatment Paradigm for Grade 2/3 IDH-wildtype Astrocytoma (&quot;Molecular Glioblastoma&quot;)"/>
    <n v="787950"/>
    <n v="0"/>
    <s v="5 yrs 0 mth "/>
    <x v="0"/>
    <x v="38"/>
    <s v="Metabolic MRI, Genomics, Astrocytoma"/>
    <n v="0"/>
    <s v="zN/A"/>
    <n v="0"/>
    <s v="zN/A"/>
    <s v="Stanisz, Greg J"/>
  </r>
  <r>
    <x v="888"/>
    <s v="Sunnybrook Research Institute (Toronto, Ontario)"/>
    <x v="1"/>
    <x v="0"/>
    <s v="200809MOP"/>
    <x v="6"/>
    <s v="Biophysics of Functional MRI"/>
    <n v="276264"/>
    <n v="0"/>
    <s v="3 yrs 0 mth "/>
    <x v="4"/>
    <x v="0"/>
    <s v="Biophysics, Functional MRI"/>
    <n v="0"/>
    <s v="zN/A"/>
    <n v="0"/>
    <s v="zN/A"/>
    <s v="Stefanovic, Bojana"/>
  </r>
  <r>
    <x v="888"/>
    <s v="Sunnybrook Research Institute (Toronto, Ontario)"/>
    <x v="1"/>
    <x v="0"/>
    <s v="201203MOP"/>
    <x v="6"/>
    <s v="The mechanism of neurovascular remodelling after focal ischemia"/>
    <n v="621248"/>
    <n v="0"/>
    <s v="5 yrs 0 mth "/>
    <x v="4"/>
    <x v="12"/>
    <s v="neurovascular, remodelling, ischemia"/>
    <n v="0"/>
    <s v="zN/A"/>
    <n v="0"/>
    <s v="zN/A"/>
    <s v="Stefanovic, Bojana"/>
  </r>
  <r>
    <x v="888"/>
    <s v="Sunnybrook Research Institute (Toronto, Ontario)"/>
    <x v="1"/>
    <x v="1"/>
    <s v="201709PJT"/>
    <x v="6"/>
    <s v="Modulating peri-ischemic neuronal hyperexcitability"/>
    <n v="918000"/>
    <n v="0"/>
    <s v="5 yrs 0 mth "/>
    <x v="4"/>
    <x v="11"/>
    <s v="peri-ischemic, neuronal, hyperexcitability"/>
    <n v="0"/>
    <s v="zN/A"/>
    <n v="0"/>
    <s v="zN/A"/>
    <s v="Stefanovic, Bojana"/>
  </r>
  <r>
    <x v="888"/>
    <s v="Sunnybrook Research Institute (Toronto, Ontario)"/>
    <x v="1"/>
    <x v="1"/>
    <s v="202003PJT"/>
    <x v="6"/>
    <s v="Rescuing Neurovascular Network Function with Transcranial Neuromodulation"/>
    <n v="849150"/>
    <n v="0"/>
    <s v="5 yrs 0 mth "/>
    <x v="4"/>
    <x v="39"/>
    <s v="Neurovascular, Neuromodulation, Transcranial"/>
    <n v="0"/>
    <s v="zN/A"/>
    <n v="0"/>
    <s v="zN/A"/>
    <s v="Stefanovic, Bojana"/>
  </r>
  <r>
    <x v="888"/>
    <s v="Sunnybrook Research Institute (Toronto, Ontario)"/>
    <x v="1"/>
    <x v="1"/>
    <s v="202309PJT"/>
    <x v="6"/>
    <s v="Imaging metrics of neuronal stochasticity and brain resilience"/>
    <n v="975375"/>
    <n v="0"/>
    <s v="5 yrs 0 mth "/>
    <x v="4"/>
    <x v="33"/>
    <s v="Imaging, neuronal, resilience"/>
    <n v="0"/>
    <s v="zN/A"/>
    <n v="0"/>
    <s v="zN/A"/>
    <s v="Stefanovic, Bojana"/>
  </r>
  <r>
    <x v="889"/>
    <s v="University of British Columbia"/>
    <x v="3"/>
    <x v="0"/>
    <s v="201203MOP"/>
    <x v="1"/>
    <s v="Prognostic markers and biology of relapsed Hodgkin lymphoma"/>
    <n v="502157"/>
    <n v="0"/>
    <s v="3 yrs 0 mth "/>
    <x v="0"/>
    <x v="12"/>
    <s v="prognostic markers, Hodgkin lymphoma, relapsed"/>
    <n v="2"/>
    <s v="zN/A"/>
    <n v="0"/>
    <s v="zN/A"/>
    <s v="Steidl, Christian"/>
  </r>
  <r>
    <x v="889"/>
    <s v="University of British Columbia"/>
    <x v="3"/>
    <x v="0"/>
    <s v="201403MOP"/>
    <x v="0"/>
    <s v="Somatic mutations in the JAK-STAT signaling pathway in primary mediastinal large B cell lymphoma"/>
    <n v="855882"/>
    <n v="0"/>
    <s v="5 yrs 0 mth "/>
    <x v="0"/>
    <x v="18"/>
    <s v="JAK-STAT, mutations, lymphoma"/>
    <n v="0"/>
    <s v="zN/A"/>
    <n v="0"/>
    <s v="zN/A"/>
    <s v="Steidl, Christian"/>
  </r>
  <r>
    <x v="889"/>
    <s v="University of British Columbia"/>
    <x v="3"/>
    <x v="1"/>
    <s v="202010PJT"/>
    <x v="5"/>
    <s v="Somatic mutations in the JAK-STAT and IRF signaling pathways in Non-Hodgkin lymphoma"/>
    <n v="1120725"/>
    <n v="0"/>
    <s v="5 yrs 0 mth "/>
    <x v="0"/>
    <x v="23"/>
    <s v="JAK-STAT, IRF, lymphoma"/>
    <n v="0"/>
    <s v="zN/A"/>
    <n v="0"/>
    <s v="zN/A"/>
    <s v="Steidl, Christian"/>
  </r>
  <r>
    <x v="889"/>
    <s v="University of British Columbia"/>
    <x v="3"/>
    <x v="1"/>
    <s v="202309PJT"/>
    <x v="5"/>
    <s v="Cytokine receptor common beta chain alterations in mediastinal lymphomas"/>
    <n v="1048050"/>
    <n v="0"/>
    <s v="5 yrs 0 mth "/>
    <x v="0"/>
    <x v="33"/>
    <s v="cytokine receptor, beta chain, lymphomas"/>
    <n v="0"/>
    <s v="zN/A"/>
    <n v="0"/>
    <s v="zN/A"/>
    <s v="Steidl, Christian"/>
  </r>
  <r>
    <x v="890"/>
    <s v="Ontario Institute for Cancer Research (Toronto, Ontario)"/>
    <x v="1"/>
    <x v="1"/>
    <s v="202003PJT"/>
    <x v="0"/>
    <s v="Immunotherapeutic Targeting of the U1 snRNA Mutation in Cancer"/>
    <n v="1013626"/>
    <n v="0"/>
    <s v="5 yrs 0 mth "/>
    <x v="0"/>
    <x v="39"/>
    <s v="Immunotherapy, U1 snRNA, Cancer"/>
    <n v="0"/>
    <s v="zN/A"/>
    <n v="0"/>
    <s v="zN/A"/>
    <s v="Stein, Lincoln"/>
  </r>
  <r>
    <x v="890"/>
    <s v="Ontario Institute for Cancer Research (Toronto, Ontario)"/>
    <x v="1"/>
    <x v="1"/>
    <s v="202104PJT"/>
    <x v="5"/>
    <s v="Probing the developmental origins of pediatric cerebellar brain cancers using single cell profiling"/>
    <n v="1128376"/>
    <n v="0"/>
    <s v="5 yrs 0 mth "/>
    <x v="0"/>
    <x v="35"/>
    <s v="pediatric, cerebellar, single cell profiling"/>
    <n v="0"/>
    <s v="zN/A"/>
    <n v="0"/>
    <s v="zN/A"/>
    <s v="Stein, Lincoln"/>
  </r>
  <r>
    <x v="890"/>
    <s v="Ontario Institute for Cancer Research (Toronto, Ontario)"/>
    <x v="1"/>
    <x v="1"/>
    <s v="202309PJT"/>
    <x v="5"/>
    <s v="Identifying Cancer Tissue of Origin using Plasma Whole Genome Sequencing"/>
    <n v="979200"/>
    <n v="0"/>
    <s v="4 yrs 0 mth "/>
    <x v="0"/>
    <x v="33"/>
    <s v="Cancer, Genome Sequencing, Tissue"/>
    <n v="0"/>
    <s v="zN/A"/>
    <n v="0"/>
    <s v="zN/A"/>
    <s v="Stein, Lincoln"/>
  </r>
  <r>
    <x v="891"/>
    <s v="Ottawa Hospital Research Institute"/>
    <x v="1"/>
    <x v="13"/>
    <s v="202005VR3"/>
    <x v="12"/>
    <s v="Cellular Immuno-Therapy for COVID-19 Induced Acute Respiratory Distress Syndrome: the CIRCA-19 Trial"/>
    <n v="1860523"/>
    <n v="0"/>
    <s v="1 yr 0 mth "/>
    <x v="3"/>
    <x v="2"/>
    <s v="Cellular, Immuno-Therapy, COVID-19"/>
    <n v="0"/>
    <s v="zN/A"/>
    <n v="0"/>
    <s v="zN/A"/>
    <s v="Stewart, Duncan J"/>
  </r>
  <r>
    <x v="892"/>
    <s v="Hospital for Sick Children (Toronto)"/>
    <x v="1"/>
    <x v="30"/>
    <s v="201210CEH"/>
    <x v="21"/>
    <s v="Virtual Peer-to-Peer (VP2P) Support Mentoring for Adolescents with Juvenile Idiopathic Arthritis: A Feasibility Pilot Randomized Controlled Trial"/>
    <n v="99987"/>
    <n v="0"/>
    <s v="1 yr 0 mth "/>
    <x v="5"/>
    <x v="32"/>
    <s v="Virtual, Peer-to-Peer, Juvenile Idiopathic Arthritis"/>
    <n v="0"/>
    <s v="zN/A"/>
    <n v="0"/>
    <s v="zN/A"/>
    <s v="Stinson, Jennifer N"/>
  </r>
  <r>
    <x v="892"/>
    <s v="Hospital for Sick Children (Toronto)"/>
    <x v="1"/>
    <x v="30"/>
    <s v="201310CEH"/>
    <x v="21"/>
    <s v="Teens Taking Charge - Managing Cancer Online Trial: A Feasibility Study of Quality and Cost"/>
    <n v="92207"/>
    <n v="0"/>
    <s v="1 yr 0 mth "/>
    <x v="0"/>
    <x v="54"/>
    <s v="cancer, online, feasibility"/>
    <n v="0"/>
    <s v="zN/A"/>
    <n v="0"/>
    <s v="zN/A"/>
    <s v="Stinson, Jennifer N"/>
  </r>
  <r>
    <x v="892"/>
    <s v="Hospital for Sick Children (Toronto)"/>
    <x v="1"/>
    <x v="30"/>
    <s v="201310CEH"/>
    <x v="21"/>
    <s v="The PainSquad+ Real-time Pain Management System for Adolescents with Cancer: A Feasibility, Quality and Cost Study"/>
    <n v="92228"/>
    <n v="0"/>
    <s v="1 yr 0 mth "/>
    <x v="0"/>
    <x v="54"/>
    <s v="Pain management, adolescents, cancer"/>
    <n v="0"/>
    <s v="zN/A"/>
    <n v="0"/>
    <s v="zN/A"/>
    <s v="Stinson, Jennifer N"/>
  </r>
  <r>
    <x v="893"/>
    <s v="University of British Columbia"/>
    <x v="3"/>
    <x v="1"/>
    <s v="202403PJT"/>
    <x v="5"/>
    <s v="Development and application of novel FEN1 endonuclease inhibitors"/>
    <n v="1044226"/>
    <n v="0"/>
    <s v="5 yrs 0 mth "/>
    <x v="0"/>
    <x v="38"/>
    <s v="FEN1, endonuclease, inhibitors"/>
    <n v="0"/>
    <s v="zN/A"/>
    <n v="0"/>
    <s v="zN/A"/>
    <s v="Stirling, Peter C"/>
  </r>
  <r>
    <x v="894"/>
    <s v="University of British Columbia"/>
    <x v="3"/>
    <x v="6"/>
    <s v="201711CPG"/>
    <x v="8"/>
    <s v="Platform technology for blood diagnostics integrating microneedle blood sampling and quantum-dot based multiplexed assays"/>
    <n v="356025"/>
    <n v="0"/>
    <s v="3 yrs 0 mth "/>
    <x v="3"/>
    <x v="11"/>
    <s v="blood, microneedle, quantum-dot"/>
    <n v="0"/>
    <s v="zN/A"/>
    <n v="0"/>
    <s v="zN/A"/>
    <s v="Stoeber, Boris"/>
  </r>
  <r>
    <x v="895"/>
    <s v="University of British Columbia"/>
    <x v="3"/>
    <x v="13"/>
    <s v="202005VR3"/>
    <x v="12"/>
    <s v="Bespoke transition state analog inhibitors of SARS-CoV-2 3CL and PL proteases"/>
    <n v="403065"/>
    <n v="0"/>
    <s v="1 yr 0 mth "/>
    <x v="1"/>
    <x v="2"/>
    <s v="transition state, inhibitors, proteases"/>
    <n v="0"/>
    <s v="zN/A"/>
    <n v="0"/>
    <s v="zN/A"/>
    <s v="Strynadka, Natalie C"/>
  </r>
  <r>
    <x v="896"/>
    <s v="University of Toronto"/>
    <x v="1"/>
    <x v="6"/>
    <s v="201410CPG"/>
    <x v="8"/>
    <s v="Automated assays of gap junction functions and screening of drugs for rescuing conduction in heart tissues"/>
    <n v="300938"/>
    <n v="0"/>
    <s v="3 yrs 0 mth "/>
    <x v="3"/>
    <x v="6"/>
    <s v="assays, gap junctions, heart tissues"/>
    <n v="3"/>
    <s v="zN/A"/>
    <n v="0"/>
    <s v="zN/A"/>
    <s v="Sun, Yu"/>
  </r>
  <r>
    <x v="897"/>
    <s v="Hospital for Sick Children (Toronto)"/>
    <x v="1"/>
    <x v="14"/>
    <s v="201706PCG"/>
    <x v="14"/>
    <s v="Longitudinal symptom screening and symptom reporting, and development and access to supportive care clinical practice guidelines using SPARK (Supportive care Prioritization, Assessment and Recommendations for Kids) in children receiving cancer treatment"/>
    <n v="199906"/>
    <n v="0"/>
    <s v="2 yrs 0 mth "/>
    <x v="0"/>
    <x v="30"/>
    <s v="symptom screening, supportive care, clinical guidelines"/>
    <n v="0"/>
    <s v="zN/A"/>
    <n v="0"/>
    <s v="zN/A"/>
    <s v="Sung, Lillian"/>
  </r>
  <r>
    <x v="898"/>
    <s v="Toronto Metropolitan University"/>
    <x v="1"/>
    <x v="1"/>
    <s v="202303PJT"/>
    <x v="6"/>
    <s v="FetAS: Fetal Assessment Suite to Facilitate Rapid Fetal MRI Diagnosis using Artificial Intelligence"/>
    <n v="906526"/>
    <n v="0"/>
    <s v="5 yrs 0 mth "/>
    <x v="7"/>
    <x v="13"/>
    <s v="Fetal MRI, Artificial Intelligence, Diagnosis"/>
    <n v="0"/>
    <s v="zN/A"/>
    <n v="0"/>
    <s v="zN/A"/>
    <s v="Sussman, Dafna"/>
  </r>
  <r>
    <x v="899"/>
    <s v="University of Calgary"/>
    <x v="2"/>
    <x v="6"/>
    <s v="201410CPG"/>
    <x v="8"/>
    <s v="A novel neurosurgery-specific haptic hand-controller for robot-assisted surgical systems"/>
    <n v="234250"/>
    <n v="0"/>
    <s v="3 yrs 0 mth "/>
    <x v="4"/>
    <x v="6"/>
    <s v="neurosurgery, haptic, robotic"/>
    <n v="3"/>
    <s v="zN/A"/>
    <n v="0"/>
    <s v="zN/A"/>
    <s v="Sutherland, Garnette R"/>
  </r>
  <r>
    <x v="900"/>
    <s v="University of Ottawa"/>
    <x v="1"/>
    <x v="6"/>
    <s v="201711CPG"/>
    <x v="8"/>
    <s v="Injectable collagen matrices for cardiac tissue repair"/>
    <n v="417412"/>
    <n v="25000"/>
    <s v="3 yrs 0 mth "/>
    <x v="3"/>
    <x v="11"/>
    <s v="Injectable, collagen, cardiac"/>
    <n v="1"/>
    <s v="zN/A"/>
    <n v="0"/>
    <s v="zN/A"/>
    <s v="Suuronen, Erik"/>
  </r>
  <r>
    <x v="901"/>
    <s v="University of Manitoba"/>
    <x v="0"/>
    <x v="30"/>
    <s v="201310CEH"/>
    <x v="21"/>
    <s v="Games and Telerehabilitation for Balance impairments and gaze dysfunction: Testing model in clients with Peripheral Vestibular Disorders"/>
    <n v="66461"/>
    <n v="0"/>
    <s v="1 yr 0 mth "/>
    <x v="10"/>
    <x v="54"/>
    <s v="Telerehabilitation, Balance, Vestibular Disorders"/>
    <n v="0"/>
    <s v="zN/A"/>
    <n v="0"/>
    <s v="zN/A"/>
    <s v="Szturm, Tony J"/>
  </r>
  <r>
    <x v="902"/>
    <s v="Hospital for Sick Children (Toronto)"/>
    <x v="1"/>
    <x v="0"/>
    <s v="201009MOP"/>
    <x v="5"/>
    <s v="Prediction and Prevention of glioma recurrence by targeting telomere dependent self-renewal capacity of tumor initiating cells."/>
    <n v="757479"/>
    <n v="0"/>
    <s v="5 yrs 0 mth "/>
    <x v="0"/>
    <x v="16"/>
    <s v="glioma, telomere, self-renewal"/>
    <n v="0"/>
    <s v="zN/A"/>
    <n v="0"/>
    <s v="zN/A"/>
    <s v="Tabori, Uri"/>
  </r>
  <r>
    <x v="902"/>
    <s v="Hospital for Sick Children (Toronto)"/>
    <x v="1"/>
    <x v="0"/>
    <s v="201203MOP"/>
    <x v="5"/>
    <s v="Clinical and biological implications of monoallelic gene expression in pediatric malignant brain tumors."/>
    <n v="573543"/>
    <n v="0"/>
    <s v="4 yrs 0 mth "/>
    <x v="0"/>
    <x v="12"/>
    <s v="monoallelic gene expression, pediatric brain tumors, malignancy"/>
    <n v="1"/>
    <s v="zN/A"/>
    <n v="0"/>
    <s v="zN/A"/>
    <s v="Tabori, Uri"/>
  </r>
  <r>
    <x v="902"/>
    <s v="Hospital for Sick Children (Toronto)"/>
    <x v="1"/>
    <x v="0"/>
    <s v="201403MOP"/>
    <x v="5"/>
    <s v="Novel implications of THOR hypermethylation in telomere maintenance and gliomageneis."/>
    <n v="911430"/>
    <n v="0"/>
    <s v="5 yrs 0 mth "/>
    <x v="0"/>
    <x v="18"/>
    <s v="THOR, hypermethylation, telomere"/>
    <n v="1"/>
    <s v="zN/A"/>
    <n v="0"/>
    <s v="zN/A"/>
    <s v="Tabori, Uri"/>
  </r>
  <r>
    <x v="902"/>
    <s v="Hospital for Sick Children (Toronto)"/>
    <x v="1"/>
    <x v="1"/>
    <s v="201709PJT"/>
    <x v="1"/>
    <s v="Biological and translational implications of replication repair deficiency and hypermutation in human cancer"/>
    <n v="956250"/>
    <n v="0"/>
    <s v="5 yrs 0 mth "/>
    <x v="0"/>
    <x v="11"/>
    <s v="replication repair, hypermutation, cancer"/>
    <n v="1"/>
    <s v="zN/A"/>
    <n v="0"/>
    <s v="zN/A"/>
    <s v="Tabori, Uri"/>
  </r>
  <r>
    <x v="902"/>
    <s v="Hospital for Sick Children (Toronto)"/>
    <x v="1"/>
    <x v="1"/>
    <s v="202104PJT"/>
    <x v="1"/>
    <s v="Dissecting the origins and microenvironment of replication repair deficient hypermutant gliomas for novel immune based therapies"/>
    <n v="1300500"/>
    <n v="0"/>
    <s v="5 yrs 0 mth "/>
    <x v="0"/>
    <x v="35"/>
    <s v="replication, repair, gliomas"/>
    <n v="0"/>
    <s v="zN/A"/>
    <n v="0"/>
    <s v="zN/A"/>
    <s v="Tabori, Uri"/>
  </r>
  <r>
    <x v="902"/>
    <s v="Hospital for Sick Children (Toronto)"/>
    <x v="1"/>
    <x v="1"/>
    <s v="202209PJT"/>
    <x v="1"/>
    <s v="Uncovering the mechanism and impact of novel genetic and epigenetic promoter alterations on tissue-specific mismatch repair deficient cancers"/>
    <n v="1147500"/>
    <n v="0"/>
    <s v="5 yrs 0 mth "/>
    <x v="10"/>
    <x v="8"/>
    <s v="genetic, epigenetic, mismatch repair"/>
    <n v="1"/>
    <s v="zN/A"/>
    <n v="0"/>
    <s v="zN/A"/>
    <s v="Tabori, Uri"/>
  </r>
  <r>
    <x v="903"/>
    <s v="McGill University"/>
    <x v="4"/>
    <x v="6"/>
    <s v="201310CPG"/>
    <x v="8"/>
    <s v="Rapidly-Gelling, Guanosine 5' Diphosphate-Crosslinked Injectable Chitosan Sponges to Promote Oligodendrocyte Progenitor Cells' Differentiation Post-Spinal Cord Injuries"/>
    <n v="277440"/>
    <n v="0"/>
    <s v="3 yrs 0 mth "/>
    <x v="4"/>
    <x v="9"/>
    <s v="Guanosine, Chitosan, Sponges"/>
    <n v="1"/>
    <s v="zN/A"/>
    <n v="0"/>
    <s v="zN/A"/>
    <s v="Tabrizian, Maryam"/>
  </r>
  <r>
    <x v="903"/>
    <s v="McGill University"/>
    <x v="4"/>
    <x v="6"/>
    <s v="201810CPG"/>
    <x v="8"/>
    <s v="An Injectable Phosphate Releasing Bone Tissue Construct Encapsulating Adipose-Derived Stem Cells and Diphosphate Cleaving Enzymes to Promote Biomineralization in Critical Size Bone Defects"/>
    <n v="383593"/>
    <n v="0"/>
    <s v="3 yrs 0 mth "/>
    <x v="5"/>
    <x v="26"/>
    <s v="Bone, Stem Cells, Biomineralization"/>
    <n v="0"/>
    <s v="zN/A"/>
    <n v="0"/>
    <s v="zN/A"/>
    <s v="Tabrizian, Maryam"/>
  </r>
  <r>
    <x v="903"/>
    <s v="McGill University"/>
    <x v="4"/>
    <x v="1"/>
    <s v="201809PJT"/>
    <x v="9"/>
    <s v="Nanoplexes for Targeted Anti-Inflammatory Gene Therapy in Atherosclerosis"/>
    <n v="707625"/>
    <n v="0"/>
    <s v="5 yrs 0 mth "/>
    <x v="3"/>
    <x v="26"/>
    <s v="Nanoplexes, Anti-Inflammatory, Gene Therapy"/>
    <n v="0"/>
    <s v="zN/A"/>
    <n v="0"/>
    <s v="zN/A"/>
    <s v="Tabrizian, Maryam"/>
  </r>
  <r>
    <x v="903"/>
    <s v="McGill University"/>
    <x v="4"/>
    <x v="1"/>
    <s v="202104PJT"/>
    <x v="9"/>
    <s v="Conformal coating using layer-by-layer self-assembly of polyelectrolytes for immunomodulation of pancreatic islets"/>
    <n v="849150"/>
    <n v="0"/>
    <s v="5 yrs 0 mth "/>
    <x v="9"/>
    <x v="35"/>
    <s v="conformal coating, layer-by-layer, polyelectrolytes"/>
    <n v="0"/>
    <s v="zN/A"/>
    <n v="0"/>
    <s v="zN/A"/>
    <s v="Tabrizian, Maryam"/>
  </r>
  <r>
    <x v="903"/>
    <s v="McGill University"/>
    <x v="4"/>
    <x v="1"/>
    <s v="202309PJT"/>
    <x v="10"/>
    <s v="Engineering bacteria-based nanoplexes for melanoma immunomodulation"/>
    <n v="1002150"/>
    <n v="0"/>
    <s v="5 yrs 0 mth "/>
    <x v="0"/>
    <x v="33"/>
    <s v="bacteria, nanoplexes, melanoma"/>
    <n v="0"/>
    <s v="zN/A"/>
    <n v="0"/>
    <s v="zN/A"/>
    <s v="Tabrizian, Maryam"/>
  </r>
  <r>
    <x v="904"/>
    <s v="University of British Columbia"/>
    <x v="3"/>
    <x v="0"/>
    <s v="200909MOP"/>
    <x v="5"/>
    <s v="The role of SPARC in chemotherapy sensitization"/>
    <n v="1030027"/>
    <n v="0"/>
    <s v="5 yrs 0 mth "/>
    <x v="0"/>
    <x v="10"/>
    <s v="SPARC, chemotherapy, sensitization"/>
    <n v="4"/>
    <s v="zN/A"/>
    <n v="0"/>
    <s v="zN/A"/>
    <s v="Tai, Isabella T"/>
  </r>
  <r>
    <x v="905"/>
    <s v="Université de Sherbrooke"/>
    <x v="4"/>
    <x v="1"/>
    <s v="201809PJT"/>
    <x v="5"/>
    <s v="Targeting metastatic disease of triple negative breast cancer with an immunogenic cancer vaccine"/>
    <n v="703800"/>
    <n v="0"/>
    <s v="5 yrs 0 mth "/>
    <x v="0"/>
    <x v="26"/>
    <s v="metastatic disease, triple negative breast cancer, immunogenic vaccine"/>
    <n v="1"/>
    <s v="zN/A"/>
    <n v="0"/>
    <s v="zN/A"/>
    <s v="Tai, Lee-Hwa"/>
  </r>
  <r>
    <x v="905"/>
    <s v="Université de Sherbrooke"/>
    <x v="4"/>
    <x v="1"/>
    <s v="202403PJT"/>
    <x v="0"/>
    <s v="Precision virotherapy to treat bladder cancer"/>
    <n v="814726"/>
    <n v="0"/>
    <s v="5 yrs 0 mth "/>
    <x v="0"/>
    <x v="38"/>
    <s v="virotherapy, bladder cancer, precision"/>
    <n v="0"/>
    <s v="zN/A"/>
    <n v="0"/>
    <s v="zN/A"/>
    <s v="Tai, Lee-Hwa"/>
  </r>
  <r>
    <x v="906"/>
    <s v="University of British Columbia"/>
    <x v="3"/>
    <x v="6"/>
    <s v="201310CPG"/>
    <x v="8"/>
    <s v="Active Stent Based Endohyperthermia System for Inhibition of In-Stent Restenosis"/>
    <n v="325935"/>
    <n v="0"/>
    <s v="3 yrs 0 mth "/>
    <x v="3"/>
    <x v="9"/>
    <s v="Stent, Endohyperthermia, Restenosis"/>
    <n v="0"/>
    <s v="zN/A"/>
    <n v="0"/>
    <s v="zN/A"/>
    <s v="Takahata, Kenichi"/>
  </r>
  <r>
    <x v="906"/>
    <s v="University of British Columbia"/>
    <x v="3"/>
    <x v="6"/>
    <s v="201711CPG"/>
    <x v="8"/>
    <s v="Intelligent Ureteral Stent System for Prevention of Renal Damage"/>
    <n v="326860"/>
    <n v="3750"/>
    <s v="3 yrs 0 mth "/>
    <x v="1"/>
    <x v="11"/>
    <s v="Ureteral stent, Renal damage, Prevention"/>
    <n v="0"/>
    <s v="zN/A"/>
    <n v="0"/>
    <s v="zN/A"/>
    <s v="Takahata, Kenichi"/>
  </r>
  <r>
    <x v="907"/>
    <s v="University of Alberta"/>
    <x v="2"/>
    <x v="14"/>
    <s v="201706PCG"/>
    <x v="14"/>
    <s v="HEAL-C : Home-based eHealth App for Cirrhosis"/>
    <n v="200000"/>
    <n v="0"/>
    <s v="2 yrs 0 mth "/>
    <x v="9"/>
    <x v="30"/>
    <s v="eHealth, Cirrhosis, App"/>
    <n v="0"/>
    <s v="zN/A"/>
    <n v="0"/>
    <s v="zN/A"/>
    <s v="Tandon, Puneeta"/>
  </r>
  <r>
    <x v="908"/>
    <s v="McMaster University"/>
    <x v="1"/>
    <x v="1"/>
    <s v="201809PJT"/>
    <x v="1"/>
    <s v="PCSK9, a novel contributor to the development of castration resistant prostate cancer"/>
    <n v="577574"/>
    <n v="0"/>
    <s v="3 yrs 0 mth "/>
    <x v="0"/>
    <x v="26"/>
    <s v="PCSK9, prostate cancer, castration resistant"/>
    <n v="0"/>
    <s v="zN/A"/>
    <n v="0"/>
    <s v="zN/A"/>
    <s v="Tang, Damu"/>
  </r>
  <r>
    <x v="908"/>
    <s v="McMaster University"/>
    <x v="1"/>
    <x v="1"/>
    <s v="202309PJT"/>
    <x v="3"/>
    <s v="Characterization of a novel prostate cancer factor contactin 1 (CNTN1)-derived tumorigenesis through establishing a new transgenic mouse model for prostate cancer"/>
    <n v="837675"/>
    <n v="0"/>
    <s v="5 yrs 0 mth "/>
    <x v="0"/>
    <x v="33"/>
    <s v="prostate cancer, contactin 1, tumorigenesis"/>
    <n v="0"/>
    <s v="zN/A"/>
    <n v="0"/>
    <s v="zN/A"/>
    <s v="Tang, Damu"/>
  </r>
  <r>
    <x v="909"/>
    <s v="University of British Columbia"/>
    <x v="3"/>
    <x v="6"/>
    <s v="201210CPG"/>
    <x v="8"/>
    <s v="Photoacoustic Imaging for Image Guided Prostate Cancer Interventions"/>
    <n v="172625"/>
    <n v="0"/>
    <s v="3 yrs 0 mth "/>
    <x v="0"/>
    <x v="14"/>
    <s v="Photoacoustic, Imaging, Prostate Cancer"/>
    <n v="0"/>
    <s v="zN/A"/>
    <n v="0"/>
    <s v="zN/A"/>
    <s v="Tang, Shuo"/>
  </r>
  <r>
    <x v="909"/>
    <s v="University of British Columbia"/>
    <x v="3"/>
    <x v="6"/>
    <s v="201610CPG"/>
    <x v="8"/>
    <s v="Handheld Multiphoton Imaging Device for Detecting Oral Cancer"/>
    <n v="294250"/>
    <n v="0"/>
    <s v="3 yrs 0 mth "/>
    <x v="0"/>
    <x v="24"/>
    <s v="Multiphoton, Imaging, Oral Cancer"/>
    <n v="0"/>
    <s v="zN/A"/>
    <n v="0"/>
    <s v="zN/A"/>
    <s v="Tang, Shuo"/>
  </r>
  <r>
    <x v="910"/>
    <s v="University Health Network (Toronto)"/>
    <x v="1"/>
    <x v="0"/>
    <s v="200909MOP"/>
    <x v="5"/>
    <s v="Distribution of anticancer drugs and target cells within solid tumours"/>
    <n v="379994"/>
    <n v="0"/>
    <s v="3 yrs 0 mth "/>
    <x v="0"/>
    <x v="10"/>
    <s v="anticancer, drugs, tumours"/>
    <n v="0"/>
    <s v="zN/A"/>
    <n v="0"/>
    <s v="zN/A"/>
    <s v="Tannock, Ian F"/>
  </r>
  <r>
    <x v="910"/>
    <s v="University Health Network (Toronto)"/>
    <x v="1"/>
    <x v="0"/>
    <s v="201109MOP"/>
    <x v="5"/>
    <s v="Phase II clinical trial of pantoprazole and docetaxel for men with metastatic castration-resistant prostate cancer"/>
    <n v="297244"/>
    <n v="0"/>
    <s v="3 yrs 0 mth "/>
    <x v="0"/>
    <x v="15"/>
    <s v="pantoprazole, docetaxel, prostate cancer"/>
    <n v="0"/>
    <s v="zN/A"/>
    <n v="0"/>
    <s v="zN/A"/>
    <s v="Tannock, Ian F"/>
  </r>
  <r>
    <x v="911"/>
    <s v="University of Alberta"/>
    <x v="2"/>
    <x v="6"/>
    <s v="201210CPG"/>
    <x v="8"/>
    <s v="An Intelligent Needle Adjustment Assistant for Prostate Brachytherapy"/>
    <n v="147327"/>
    <n v="0"/>
    <s v="3 yrs 0 mth "/>
    <x v="0"/>
    <x v="14"/>
    <s v="Needle, Adjustment, Brachytherapy"/>
    <n v="1"/>
    <s v="zN/A"/>
    <n v="0"/>
    <s v="zN/A"/>
    <s v="Tavakoli, Mahdi"/>
  </r>
  <r>
    <x v="911"/>
    <s v="University of Alberta"/>
    <x v="2"/>
    <x v="6"/>
    <s v="201711CPG"/>
    <x v="8"/>
    <s v="Computer-Integrated Ultrasound Guidance and Mechatronics Assistance for Breast Brachytherapy"/>
    <n v="219829"/>
    <n v="27671"/>
    <s v="3 yrs 0 mth "/>
    <x v="0"/>
    <x v="11"/>
    <s v="Ultrasound, Guidance, Brachytherapy"/>
    <n v="1"/>
    <s v="zN/A"/>
    <n v="0"/>
    <s v="zN/A"/>
    <s v="Tavakoli, Mahdi"/>
  </r>
  <r>
    <x v="912"/>
    <s v="Queen's University (Kingston, Ontario)"/>
    <x v="1"/>
    <x v="19"/>
    <s v="202307NWI"/>
    <x v="17"/>
    <s v="Unique extracellular vesicle signatures in the pathophysiology of endometriosis"/>
    <n v="150000"/>
    <n v="0"/>
    <s v="1 yr 0 mth "/>
    <x v="7"/>
    <x v="36"/>
    <s v="extracellular vesicle, endometriosis, signatures"/>
    <n v="0"/>
    <s v="zN/A"/>
    <n v="0"/>
    <s v="zN/A"/>
    <s v="Tayade, Chandrakant"/>
  </r>
  <r>
    <x v="913"/>
    <s v="Hospital for Sick Children (Toronto)"/>
    <x v="1"/>
    <x v="0"/>
    <s v="200909MOP"/>
    <x v="5"/>
    <s v="Role of Histone Lysine Methylation in Medulloblastoma and Cerebellar Development"/>
    <n v="540219"/>
    <n v="0"/>
    <s v="3 yrs 0 mth "/>
    <x v="0"/>
    <x v="10"/>
    <s v="Histone, Methylation, Medulloblastoma"/>
    <n v="0"/>
    <s v="zN/A"/>
    <n v="0"/>
    <s v="zN/A"/>
    <s v="Taylor, Michael D"/>
  </r>
  <r>
    <x v="914"/>
    <s v="McMaster University"/>
    <x v="1"/>
    <x v="3"/>
    <s v="201109IPR"/>
    <x v="4"/>
    <s v="A randomized double-blind placebo-controlled trial for the evaluation of a polypill, a low dose aspirin and vitamin D supplementation in primary prevention to reduce cardiovascular disease (CVD) outcomes - The International Polycap Study 3 (TIPS-3)"/>
    <n v="810452"/>
    <n v="0"/>
    <s v="5 yrs 0 mth "/>
    <x v="3"/>
    <x v="15"/>
    <s v="polypill, aspirin, cardiovascular disease"/>
    <n v="0"/>
    <s v="zN/A"/>
    <n v="0"/>
    <s v="zN/A"/>
    <s v="Teo, Koon K"/>
  </r>
  <r>
    <x v="915"/>
    <s v="McGill University"/>
    <x v="4"/>
    <x v="0"/>
    <s v="201103MOP"/>
    <x v="1"/>
    <s v="Tumour suppressor mediated mechanisms of angiogenesis inhibition"/>
    <n v="377699"/>
    <n v="0"/>
    <s v="3 yrs 0 mth "/>
    <x v="0"/>
    <x v="17"/>
    <s v="tumour suppressor, angiogenesis"/>
    <n v="0"/>
    <s v="zN/A"/>
    <n v="0"/>
    <s v="zN/A"/>
    <s v="Teodoro, Jose G"/>
  </r>
  <r>
    <x v="915"/>
    <s v="McGill University"/>
    <x v="4"/>
    <x v="1"/>
    <s v="202210PJT"/>
    <x v="1"/>
    <s v="Targeting the RNA translatome to enhance anti-mitotic chemotherapy."/>
    <n v="100000"/>
    <n v="0"/>
    <s v="1 yr 0 mth "/>
    <x v="0"/>
    <x v="13"/>
    <s v="RNA, translatome, chemotherapy"/>
    <n v="0"/>
    <s v="zN/A"/>
    <n v="0"/>
    <s v="zN/A"/>
    <s v="Teodoro, Jose G"/>
  </r>
  <r>
    <x v="915"/>
    <s v="McGill University"/>
    <x v="4"/>
    <x v="1"/>
    <s v="202303PJT"/>
    <x v="5"/>
    <s v="Targeting the RNA translatome to enhance anti-mitotic chemotherapy."/>
    <n v="1120726"/>
    <n v="0"/>
    <s v="5 yrs 0 mth "/>
    <x v="0"/>
    <x v="13"/>
    <s v="RNA, translatome, chemotherapy"/>
    <n v="0"/>
    <s v="zN/A"/>
    <n v="0"/>
    <s v="zN/A"/>
    <s v="Teodoro, Jose G"/>
  </r>
  <r>
    <x v="916"/>
    <s v="CIUSSS de Centre-Ouest-de-l'Ile-de-Montréal-Jewish General"/>
    <x v="4"/>
    <x v="1"/>
    <s v="201909PJT"/>
    <x v="6"/>
    <s v="Non-invasive PET imaging of tropomyosin related kinase B/C receptor in humans"/>
    <n v="579106"/>
    <n v="0"/>
    <s v="3 yrs 0 mth "/>
    <x v="4"/>
    <x v="22"/>
    <s v="PET, imaging, kinase"/>
    <n v="0"/>
    <s v="zN/A"/>
    <n v="0"/>
    <s v="zN/A"/>
    <s v="Thiel, Alexander"/>
  </r>
  <r>
    <x v="917"/>
    <s v="McGill University"/>
    <x v="4"/>
    <x v="8"/>
    <s v="200903IRO"/>
    <x v="4"/>
    <s v="Therapeutic development of cystic fibrosis correctors"/>
    <n v="480000"/>
    <n v="0"/>
    <s v="2 yrs 0 mth "/>
    <x v="3"/>
    <x v="5"/>
    <s v="cystic fibrosis, correctors"/>
    <n v="5"/>
    <s v="zN/A"/>
    <n v="0"/>
    <s v="zN/A"/>
    <s v="Thomas, David Y"/>
  </r>
  <r>
    <x v="918"/>
    <s v="McMaster University"/>
    <x v="1"/>
    <x v="6"/>
    <s v="201711CPG"/>
    <x v="8"/>
    <s v="Developing Thermally Stable Dry Powder Vaccine Platforms Via Spray Drying Tailored for Inhalation Delivery"/>
    <n v="408901"/>
    <n v="16929"/>
    <s v="3 yrs 0 mth "/>
    <x v="1"/>
    <x v="11"/>
    <s v="Thermal stability, Dry powder, Inhalation"/>
    <n v="4"/>
    <s v="zN/A"/>
    <n v="0"/>
    <s v="zN/A"/>
    <s v="Thompson, Michael R"/>
  </r>
  <r>
    <x v="919"/>
    <s v="University of Alberta"/>
    <x v="2"/>
    <x v="0"/>
    <s v="201003MOP"/>
    <x v="6"/>
    <s v="Imaging the Mechanisms of Diastolic Dysfunction and its Role in Cardiovascular Performance"/>
    <n v="281098"/>
    <n v="0"/>
    <s v="3 yrs 0 mth "/>
    <x v="3"/>
    <x v="21"/>
    <s v="Imaging, Diastolic Dysfunction, Cardiovascular"/>
    <n v="1"/>
    <s v="zN/A"/>
    <n v="0"/>
    <s v="zN/A"/>
    <s v="Thompson, Richard B"/>
  </r>
  <r>
    <x v="919"/>
    <s v="University of Alberta"/>
    <x v="2"/>
    <x v="0"/>
    <s v="201403MOP"/>
    <x v="6"/>
    <s v="Imaging Diffuse Fibrosis in Acute Myocardial Infarction"/>
    <n v="462429"/>
    <n v="0"/>
    <s v="4 yrs 0 mth "/>
    <x v="3"/>
    <x v="18"/>
    <s v="Imaging, Fibrosis, Myocardial Infarction"/>
    <n v="0"/>
    <s v="zN/A"/>
    <n v="0"/>
    <s v="zN/A"/>
    <s v="Thompson, Richard B"/>
  </r>
  <r>
    <x v="919"/>
    <s v="University of Alberta"/>
    <x v="2"/>
    <x v="1"/>
    <s v="201709PJT"/>
    <x v="6"/>
    <s v="Quantitative Magnetic Resonance Imaging of Pulmonary Edema: Application in Acute Heart Failure"/>
    <n v="608175"/>
    <n v="0"/>
    <s v="5 yrs 0 mth "/>
    <x v="3"/>
    <x v="11"/>
    <s v="Magnetic Resonance Imaging, Pulmonary Edema, Heart Failure"/>
    <n v="0"/>
    <s v="zN/A"/>
    <n v="0"/>
    <s v="zN/A"/>
    <s v="Thompson, Richard B"/>
  </r>
  <r>
    <x v="919"/>
    <s v="University of Alberta"/>
    <x v="2"/>
    <x v="1"/>
    <s v="202104PJT"/>
    <x v="6"/>
    <s v="Quantitative Imaging of the Evolution of the Whole-Body Fat Profile in Breast Cancer Survivors"/>
    <n v="755440"/>
    <n v="0"/>
    <s v="5 yrs 0 mth "/>
    <x v="0"/>
    <x v="35"/>
    <s v="Imaging, Fat Profile, Breast Cancer"/>
    <n v="1"/>
    <s v="zN/A"/>
    <n v="0"/>
    <s v="zN/A"/>
    <s v="Thompson, Richard B"/>
  </r>
  <r>
    <x v="919"/>
    <s v="University of Alberta"/>
    <x v="2"/>
    <x v="1"/>
    <s v="202403PJT"/>
    <x v="6"/>
    <s v="Imaging of Long Term Tissue Damage from COVID-19 and Cardiometabolic Disease"/>
    <n v="887400"/>
    <n v="0"/>
    <s v="5 yrs 0 mth "/>
    <x v="3"/>
    <x v="38"/>
    <s v="Imaging, Tissue Damage, COVID-19"/>
    <n v="0"/>
    <s v="zN/A"/>
    <n v="0"/>
    <s v="zN/A"/>
    <s v="Thompson, Richard B"/>
  </r>
  <r>
    <x v="920"/>
    <s v="University of Calgary"/>
    <x v="2"/>
    <x v="15"/>
    <s v="200809IMH"/>
    <x v="9"/>
    <s v="Damage Mechanics and Mechanisms in Ligament and Tendon"/>
    <n v="73019"/>
    <n v="0"/>
    <s v="1 yr 0 mth "/>
    <x v="5"/>
    <x v="42"/>
    <s v="Damage, Mechanics, Ligament"/>
    <n v="0"/>
    <s v="zN/A"/>
    <n v="0"/>
    <s v="zN/A"/>
    <s v="Thornton, Gail M"/>
  </r>
  <r>
    <x v="921"/>
    <s v="Unity Health Toronto"/>
    <x v="1"/>
    <x v="1"/>
    <s v="202104PJT"/>
    <x v="0"/>
    <s v="Investigation of centrosome amplification as a therapeutic vulnerability in non-small cell lung cancer"/>
    <n v="841500"/>
    <n v="0"/>
    <s v="5 yrs 0 mth "/>
    <x v="0"/>
    <x v="35"/>
    <s v="centrosome amplification, non-small cell lung cancer"/>
    <n v="0"/>
    <s v="zN/A"/>
    <n v="0"/>
    <s v="zN/A"/>
    <s v="Thu, Kelsie L"/>
  </r>
  <r>
    <x v="922"/>
    <s v="University Health Network (Toronto)"/>
    <x v="1"/>
    <x v="0"/>
    <s v="201109MOP"/>
    <x v="1"/>
    <s v="A small molecule inhibitor of G protein-coupled Receptor Kinase 6 (GRK6) to treat human Multiple Myeloma and related diseases"/>
    <n v="361800"/>
    <n v="0"/>
    <s v="3 yrs 0 mth "/>
    <x v="0"/>
    <x v="15"/>
    <s v="small molecule, G protein-coupled Receptor Kinase 6, Multiple Myeloma"/>
    <n v="1"/>
    <s v="zN/A"/>
    <n v="0"/>
    <s v="zN/A"/>
    <s v="Tiedemann, Rodger"/>
  </r>
  <r>
    <x v="923"/>
    <s v="University Health Network (Toronto)"/>
    <x v="1"/>
    <x v="1"/>
    <s v="202109PJT"/>
    <x v="1"/>
    <s v="Identification of microenvironmental cues that promote acute lymphoblastic leukemia"/>
    <n v="1128375"/>
    <n v="0"/>
    <s v="5 yrs 0 mth "/>
    <x v="0"/>
    <x v="25"/>
    <s v="microenvironmental cues, acute lymphoblastic leukemia"/>
    <n v="0"/>
    <s v="zN/A"/>
    <n v="0"/>
    <s v="zN/A"/>
    <s v="Tikhonova, Anastasia"/>
  </r>
  <r>
    <x v="924"/>
    <s v="Mount Royal University (Calgary, Alberta)"/>
    <x v="2"/>
    <x v="30"/>
    <s v="201210CEH"/>
    <x v="21"/>
    <s v="The Spinal Stenosis Pedometer and Nutrition e-Health Lifestyle Intervention (SSPANLI) Randomized Trial"/>
    <n v="98968"/>
    <n v="0"/>
    <s v="1 yr 0 mth "/>
    <x v="11"/>
    <x v="60"/>
    <s v="Spinal Stenosis, Pedometer, Nutrition"/>
    <n v="0"/>
    <s v="zN/A"/>
    <n v="0"/>
    <s v="zN/A"/>
    <s v="Tomkins-Lane, Christy"/>
  </r>
  <r>
    <x v="925"/>
    <s v="Research Institute of the McGill University Health Centre"/>
    <x v="4"/>
    <x v="4"/>
    <s v="200903IC1"/>
    <x v="5"/>
    <s v="An integrated functional and genomics approach at elucidating the chromosome 3 genes important in ovarian cancer"/>
    <n v="100000"/>
    <n v="0"/>
    <s v="1 yr 0 mth "/>
    <x v="0"/>
    <x v="5"/>
    <s v="chromosome 3, genomics, ovarian cancer"/>
    <n v="0"/>
    <s v="zN/A"/>
    <n v="0"/>
    <s v="zN/A"/>
    <s v="Tonin, Patricia N"/>
  </r>
  <r>
    <x v="925"/>
    <s v="Research Institute of the McGill University Health Centre"/>
    <x v="4"/>
    <x v="0"/>
    <s v="200909MOP"/>
    <x v="5"/>
    <s v="Elucidating the tumor suppressor genes involved in reprogramming an ovarian cancer cell line model modified by chromosome 3 transfer"/>
    <n v="404578"/>
    <n v="0"/>
    <s v="3 yrs 0 mth "/>
    <x v="0"/>
    <x v="10"/>
    <s v="tumor suppressor, reprogramming, ovarian cancer"/>
    <n v="0"/>
    <s v="zN/A"/>
    <n v="0"/>
    <s v="zN/A"/>
    <s v="Tonin, Patricia N"/>
  </r>
  <r>
    <x v="925"/>
    <s v="Research Institute of the McGill University Health Centre"/>
    <x v="4"/>
    <x v="1"/>
    <s v="201709PJT"/>
    <x v="3"/>
    <s v="Discovering new high-risk ovarian cancer predisposing genes through targeted genetic analyses of a Canadian founder population"/>
    <n v="680850"/>
    <n v="0"/>
    <s v="5 yrs 0 mth "/>
    <x v="0"/>
    <x v="11"/>
    <s v="ovarian cancer, genetic analyses, predisposing genes"/>
    <n v="0"/>
    <s v="zN/A"/>
    <n v="0"/>
    <s v="zN/A"/>
    <s v="Tonin, Patricia N"/>
  </r>
  <r>
    <x v="926"/>
    <s v="Dalhousie University (Nova Scotia)"/>
    <x v="5"/>
    <x v="21"/>
    <s v="201203RNS"/>
    <x v="5"/>
    <s v="The Role of Carboxypeptidase-D in Prostate Cancer Growth and Progression"/>
    <n v="174874"/>
    <n v="0"/>
    <s v="3 yrs 0 mth "/>
    <x v="0"/>
    <x v="12"/>
    <s v="Carboxypeptidase-D, Prostate Cancer, Growth"/>
    <n v="0"/>
    <s v="zN/A"/>
    <n v="0"/>
    <s v="zN/A"/>
    <s v="Too, Catherine K"/>
  </r>
  <r>
    <x v="927"/>
    <s v="Université Laval"/>
    <x v="4"/>
    <x v="1"/>
    <s v="202104PJT"/>
    <x v="1"/>
    <s v="Targeting sex steroids to improve the response to bladder cancer immunotherapy"/>
    <n v="822376"/>
    <n v="0"/>
    <s v="5 yrs 0 mth "/>
    <x v="0"/>
    <x v="35"/>
    <s v="sex steroids, bladder cancer, immunotherapy"/>
    <n v="0"/>
    <s v="zN/A"/>
    <n v="0"/>
    <s v="zN/A"/>
    <s v="Toren, Paul"/>
  </r>
  <r>
    <x v="928"/>
    <s v="Toronto Metropolitan University"/>
    <x v="1"/>
    <x v="6"/>
    <s v="201310CPG"/>
    <x v="8"/>
    <s v="Transformative Bioglass Coatings for Surgical Applications."/>
    <n v="320161"/>
    <n v="0"/>
    <s v="3 yrs 0 mth "/>
    <x v="5"/>
    <x v="9"/>
    <s v="Bioglass, Coatings, Surgical"/>
    <n v="2"/>
    <s v="zN/A"/>
    <n v="0"/>
    <s v="zN/A"/>
    <s v="Towler, Mark R"/>
  </r>
  <r>
    <x v="928"/>
    <s v="Toronto Metropolitan University"/>
    <x v="1"/>
    <x v="6"/>
    <s v="201510CPG"/>
    <x v="8"/>
    <s v="Synthesis of Bioactive Augments for use in Revision Knee Joint Replacement"/>
    <n v="250861"/>
    <n v="0"/>
    <s v="3 yrs 0 mth "/>
    <x v="5"/>
    <x v="4"/>
    <s v="Bioactive, Knee Joint, Replacement"/>
    <n v="1"/>
    <s v="zN/A"/>
    <n v="0"/>
    <s v="zN/A"/>
    <s v="Towler, Mark R"/>
  </r>
  <r>
    <x v="929"/>
    <s v="Western University (Ontario)"/>
    <x v="1"/>
    <x v="6"/>
    <s v="201711CPG"/>
    <x v="8"/>
    <s v="Mechatronic Device for Multimodal Suppression of Parkinsonian Tremor"/>
    <n v="207246"/>
    <n v="4223"/>
    <s v="3 yrs 0 mth "/>
    <x v="5"/>
    <x v="11"/>
    <s v="Mechatronic, Suppression, Tremor"/>
    <n v="1"/>
    <s v="zN/A"/>
    <n v="0"/>
    <s v="zN/A"/>
    <s v="Trejos, Ana Luisa"/>
  </r>
  <r>
    <x v="930"/>
    <s v="Université Laval"/>
    <x v="4"/>
    <x v="41"/>
    <s v="200811CHV"/>
    <x v="23"/>
    <s v="A new human cell experimental system for evaluating prototype HIV-1 vaccines"/>
    <n v="100000"/>
    <n v="0"/>
    <s v="1 yr 0 mth "/>
    <x v="1"/>
    <x v="48"/>
    <s v="human cell, HIV-1, vaccines"/>
    <n v="5"/>
    <s v="zN/A"/>
    <n v="0"/>
    <s v="zN/A"/>
    <s v="Tremblay, Michel J"/>
  </r>
  <r>
    <x v="931"/>
    <s v="McGill University"/>
    <x v="4"/>
    <x v="0"/>
    <s v="201503MOP"/>
    <x v="0"/>
    <s v="The PRL-CNNM-Magnesium cascade, a new paradigm in oncogenesis."/>
    <n v="778857"/>
    <n v="0"/>
    <s v="5 yrs 0 mth "/>
    <x v="0"/>
    <x v="19"/>
    <s v="PRL-CNNM, Magnesium, oncogenesis"/>
    <n v="0"/>
    <s v="zN/A"/>
    <n v="0"/>
    <s v="zN/A"/>
    <s v="Tremblay, Michel L"/>
  </r>
  <r>
    <x v="932"/>
    <s v="Queen's University (Kingston, Ontario)"/>
    <x v="1"/>
    <x v="0"/>
    <s v="200903MOP"/>
    <x v="5"/>
    <s v="The role of microRNAs in Malignant Melanoma"/>
    <n v="397897"/>
    <n v="0"/>
    <s v="3 yrs 0 mth "/>
    <x v="0"/>
    <x v="5"/>
    <s v="microRNAs, Malignant Melanoma"/>
    <n v="0"/>
    <s v="zN/A"/>
    <n v="0"/>
    <s v="zN/A"/>
    <s v="Tron, Victor A"/>
  </r>
  <r>
    <x v="933"/>
    <s v="Centre hospitalier de l'Université de Montréal (CHUM)"/>
    <x v="4"/>
    <x v="1"/>
    <s v="201909PJT"/>
    <x v="1"/>
    <s v="Diagnosis of Aggressive Prostate Cancer Using Key Features of Raman Spectroscopy"/>
    <n v="765000"/>
    <n v="0"/>
    <s v="5 yrs 0 mth "/>
    <x v="0"/>
    <x v="22"/>
    <s v="Prostate Cancer, Raman Spectroscopy, Diagnosis"/>
    <n v="0"/>
    <s v="zN/A"/>
    <n v="0"/>
    <s v="zN/A"/>
    <s v="Trudel, Dominique"/>
  </r>
  <r>
    <x v="934"/>
    <s v="University of Ottawa"/>
    <x v="1"/>
    <x v="0"/>
    <s v="201009MOP"/>
    <x v="9"/>
    <s v="Autologous Bone Marrow-Derived Cellular Augmentation in Rotator Cuff Repair"/>
    <n v="866864"/>
    <n v="0"/>
    <s v="5 yrs 0 mth "/>
    <x v="5"/>
    <x v="16"/>
    <s v="Bone Marrow, Cellular, Rotator Cuff"/>
    <n v="0"/>
    <s v="zN/A"/>
    <n v="0"/>
    <s v="zN/A"/>
    <s v="Trudel, Guy"/>
  </r>
  <r>
    <x v="935"/>
    <s v="Toronto Metropolitan University"/>
    <x v="1"/>
    <x v="1"/>
    <s v="202303PJT"/>
    <x v="10"/>
    <s v="Aqueous two-phase system technology for biomarker isolation and next-generation non-invasive active surveillance of prostate cancer"/>
    <n v="749700"/>
    <n v="0"/>
    <s v="5 yrs 0 mth "/>
    <x v="0"/>
    <x v="13"/>
    <s v="Aqueous two-phase system, biomarker isolation, prostate cancer"/>
    <n v="1"/>
    <s v="zN/A"/>
    <n v="0"/>
    <s v="zN/A"/>
    <s v="Tsai, Scott"/>
  </r>
  <r>
    <x v="936"/>
    <s v="McMaster University"/>
    <x v="1"/>
    <x v="0"/>
    <s v="201303MOP"/>
    <x v="0"/>
    <s v="A phase II study to investigate combination of chemo-radiotherapy with metformin in patients with Locally Advanced Non-Small Cell Lung Cancer (LA-NSCLC)."/>
    <n v="568514"/>
    <n v="0"/>
    <s v="4 yrs 0 mth "/>
    <x v="0"/>
    <x v="34"/>
    <s v="chemo-radiotherapy, metformin, lung cancer"/>
    <n v="0"/>
    <s v="zN/A"/>
    <n v="0"/>
    <s v="zN/A"/>
    <s v="Tsakiridis, Theodoros"/>
  </r>
  <r>
    <x v="937"/>
    <s v="University of British Columbia"/>
    <x v="3"/>
    <x v="6"/>
    <s v="201510CPG"/>
    <x v="8"/>
    <s v="INformation FUSion for Echocardiography (INFUSE): A Novel Platform for Automatic Analysis of Echocardiography Data at Any Point-Of-Care"/>
    <n v="327819"/>
    <n v="0"/>
    <s v="3 yrs 0 mth "/>
    <x v="3"/>
    <x v="4"/>
    <s v="Information, Fusion, Echocardiography"/>
    <n v="0"/>
    <s v="zN/A"/>
    <n v="0"/>
    <s v="zN/A"/>
    <s v="Tsang, Teresa S"/>
  </r>
  <r>
    <x v="937"/>
    <s v="University of British Columbia"/>
    <x v="3"/>
    <x v="18"/>
    <s v="202005VR2"/>
    <x v="16"/>
    <s v="Point of Care Heart-Lung Imaging for Patients Presenting with COVID-19 Symptoms: Artificial Intelligence Precision Modeling for Prediction of Outcomes"/>
    <n v="260326"/>
    <n v="0"/>
    <s v="1 yr 0 mth "/>
    <x v="3"/>
    <x v="2"/>
    <s v="Heart-Lung, Imaging, COVID-19"/>
    <n v="0"/>
    <s v="zN/A"/>
    <n v="0"/>
    <s v="zN/A"/>
    <s v="Tsang, Teresa S"/>
  </r>
  <r>
    <x v="938"/>
    <s v="University Health Network (Toronto)"/>
    <x v="1"/>
    <x v="0"/>
    <s v="201103MOP"/>
    <x v="5"/>
    <s v="Roles of carcinoma associated fibroblasts and tumor stromal genes in lung cancer"/>
    <n v="812446"/>
    <n v="0"/>
    <s v="5 yrs 0 mth "/>
    <x v="0"/>
    <x v="17"/>
    <s v="carcinoma associated fibroblasts, tumor stromal genes, lung cancer"/>
    <n v="0"/>
    <s v="zN/A"/>
    <n v="0"/>
    <s v="zN/A"/>
    <s v="Tsao, Ming-Sound"/>
  </r>
  <r>
    <x v="938"/>
    <s v="University Health Network (Toronto)"/>
    <x v="1"/>
    <x v="0"/>
    <s v="201403MOP"/>
    <x v="1"/>
    <s v="Functional Genomics and in vitro Modeling of Human Pancreatic Carcinogenesis"/>
    <n v="754235"/>
    <n v="0"/>
    <s v="5 yrs 0 mth "/>
    <x v="0"/>
    <x v="18"/>
    <s v="Genomics, in vitro, Pancreatic Carcinogenesis"/>
    <n v="3"/>
    <s v="zN/A"/>
    <n v="0"/>
    <s v="zN/A"/>
    <s v="Tsao, Ming-Sound"/>
  </r>
  <r>
    <x v="938"/>
    <s v="University Health Network (Toronto)"/>
    <x v="1"/>
    <x v="1"/>
    <s v="202209PJT"/>
    <x v="1"/>
    <s v="Predictive biomarkers for adjuvant immune checkpoint inhibitor therapy in non-small cell lung cancer"/>
    <n v="1224000"/>
    <n v="0"/>
    <s v="5 yrs 0 mth "/>
    <x v="0"/>
    <x v="49"/>
    <s v="biomarkers, immune checkpoint, lung cancer"/>
    <n v="0"/>
    <s v="zN/A"/>
    <n v="0"/>
    <s v="zN/A"/>
    <s v="Tsao, Ming-Sound"/>
  </r>
  <r>
    <x v="938"/>
    <s v="University Health Network (Toronto)"/>
    <x v="1"/>
    <x v="1"/>
    <s v="202403PJT"/>
    <x v="1"/>
    <s v="Discovering pathways to drug tolerance and therapeutic vulnerabilities of persister cells in lung cancer"/>
    <n v="1292850"/>
    <n v="0"/>
    <s v="5 yrs 0 mth "/>
    <x v="0"/>
    <x v="38"/>
    <s v="drug tolerance, persister cells, lung cancer"/>
    <n v="0"/>
    <s v="zN/A"/>
    <n v="0"/>
    <s v="zN/A"/>
    <s v="Tsao, Ming-Sound"/>
  </r>
  <r>
    <x v="939"/>
    <s v="Université de Moncton (New Brunswick)"/>
    <x v="9"/>
    <x v="0"/>
    <s v="201403MOP"/>
    <x v="5"/>
    <s v="Exploiting synthetic lethality in Renal Cell Carcinoma: Targeting the loss of the von Hippel-Lindau tumor suppressor gene through autophagy for the development of anticancer therapy"/>
    <n v="495930"/>
    <n v="0"/>
    <s v="5 yrs 0 mth "/>
    <x v="0"/>
    <x v="18"/>
    <s v="synthetic lethality, renal cell carcinoma, autophagy"/>
    <n v="0"/>
    <s v="zN/A"/>
    <n v="0"/>
    <s v="zN/A"/>
    <s v="Turcotte, Sandra"/>
  </r>
  <r>
    <x v="939"/>
    <s v="Université de Moncton (New Brunswick)"/>
    <x v="9"/>
    <x v="40"/>
    <s v="202209PJS"/>
    <x v="1"/>
    <s v="Characterization of PIKfyve as novel therapeutic target in clear cell Renal Cell Carcinoma"/>
    <n v="100000"/>
    <n v="0"/>
    <s v="1 yr 0 mth "/>
    <x v="0"/>
    <x v="28"/>
    <s v="PIKfyve, renal cell carcinoma, characterization"/>
    <n v="0"/>
    <s v="zN/A"/>
    <n v="0"/>
    <s v="zN/A"/>
    <s v="Turcotte, Sandra"/>
  </r>
  <r>
    <x v="940"/>
    <s v="University of Alberta"/>
    <x v="2"/>
    <x v="7"/>
    <s v="201009ISO"/>
    <x v="4"/>
    <s v="Omega-3 Fatty Acids for Treatment of Intestinal Failure Associated Liver Disease: A Translational Research Study"/>
    <n v="131484"/>
    <n v="0"/>
    <s v="3 yrs 0 mth "/>
    <x v="9"/>
    <x v="16"/>
    <s v="Omega-3, Fatty Acids, Liver Disease"/>
    <n v="0"/>
    <s v="zN/A"/>
    <n v="0"/>
    <s v="zN/A"/>
    <s v="Turner, Justine M"/>
  </r>
  <r>
    <x v="941"/>
    <s v="University of British Columbia"/>
    <x v="3"/>
    <x v="6"/>
    <s v="201210CPG"/>
    <x v="8"/>
    <s v="Non-Invasive Probe to Assess the Quality and Suitability for Transfusion of Stored Red Blood Cells"/>
    <n v="206647"/>
    <n v="0"/>
    <s v="3 yrs 0 mth "/>
    <x v="11"/>
    <x v="14"/>
    <s v="Probe, Red Blood Cells, Transfusion"/>
    <n v="0"/>
    <s v="zN/A"/>
    <n v="0"/>
    <s v="zN/A"/>
    <s v="Turner, Robin F"/>
  </r>
  <r>
    <x v="942"/>
    <s v="University of Alberta"/>
    <x v="2"/>
    <x v="8"/>
    <s v="200903IRO"/>
    <x v="4"/>
    <s v="Studies on modulation of the innate immune response to HCV in chimeric mice"/>
    <n v="175000"/>
    <n v="0"/>
    <s v="2 yrs 0 mth "/>
    <x v="1"/>
    <x v="5"/>
    <s v="innate immune response, HCV, chimeric mice"/>
    <n v="1"/>
    <s v="zN/A"/>
    <n v="0"/>
    <s v="zN/A"/>
    <s v="Tyrrell, D. Lorne J"/>
  </r>
  <r>
    <x v="942"/>
    <s v="University of Alberta"/>
    <x v="2"/>
    <x v="13"/>
    <s v="202005VR3"/>
    <x v="12"/>
    <s v="Characterization of interferon-lambda 1 as a treatment for COVID-19"/>
    <n v="499775"/>
    <n v="0"/>
    <s v="1 yr 0 mth "/>
    <x v="1"/>
    <x v="2"/>
    <s v="interferon-lambda, COVID-19"/>
    <n v="0"/>
    <s v="zN/A"/>
    <n v="0"/>
    <s v="zN/A"/>
    <s v="Tyrrell, D. Lorne J"/>
  </r>
  <r>
    <x v="942"/>
    <s v="University of Alberta"/>
    <x v="2"/>
    <x v="13"/>
    <s v="202005VR3"/>
    <x v="12"/>
    <s v="Advancing a Potent Inhibitor of SARS-CoV-2 3CL Protease into Clinical Trials"/>
    <n v="904236"/>
    <n v="0"/>
    <s v="1 yr 0 mth "/>
    <x v="1"/>
    <x v="2"/>
    <s v="SARS-CoV-2, 3CL Protease, Inhibitor"/>
    <n v="2"/>
    <s v="zN/A"/>
    <n v="0"/>
    <s v="zN/A"/>
    <s v="Tyrrell, D. Lorne J"/>
  </r>
  <r>
    <x v="26"/>
    <s v="University of Alberta"/>
    <x v="2"/>
    <x v="0"/>
    <s v="201109MOP"/>
    <x v="9"/>
    <s v="Designing Amphiphilic Polymeric Carriers of DNA for Gene Therapy"/>
    <n v="513029"/>
    <n v="0"/>
    <s v="4 yrs 0 mth "/>
    <x v="5"/>
    <x v="15"/>
    <s v="Amphiphilic, Polymeric, DNA"/>
    <n v="1"/>
    <s v="zN/A"/>
    <n v="0"/>
    <s v="zN/A"/>
    <s v="Uludag, Hasan"/>
  </r>
  <r>
    <x v="26"/>
    <s v="University of Alberta"/>
    <x v="2"/>
    <x v="1"/>
    <s v="201709PJT"/>
    <x v="9"/>
    <s v="Engineering Biomimetic Gene Activated Matrices for Bone Tissue Regeneration"/>
    <n v="504900"/>
    <n v="0"/>
    <s v="4 yrs 0 mth "/>
    <x v="5"/>
    <x v="11"/>
    <s v="Biomimetic, Gene Activated, Bone Tissue"/>
    <n v="0"/>
    <s v="zN/A"/>
    <n v="0"/>
    <s v="zN/A"/>
    <s v="Uludag, Hasan"/>
  </r>
  <r>
    <x v="26"/>
    <s v="University of Alberta"/>
    <x v="2"/>
    <x v="1"/>
    <s v="202010PJT"/>
    <x v="9"/>
    <s v="Synthetic Biomaterials to Package and Deliver siRNA Nanoparticles in order to Curb Uncontrolled Growth of Leukemic Cells"/>
    <n v="757350"/>
    <n v="0"/>
    <s v="5 yrs 0 mth "/>
    <x v="0"/>
    <x v="23"/>
    <s v="biomaterials, siRNA, nanoparticles"/>
    <n v="0"/>
    <s v="zN/A"/>
    <n v="0"/>
    <s v="zN/A"/>
    <s v="Uludag, Hasan"/>
  </r>
  <r>
    <x v="943"/>
    <s v="University of British Columbia"/>
    <x v="3"/>
    <x v="1"/>
    <s v="202203PJT"/>
    <x v="5"/>
    <s v="Fate and function of mesenchymal progenitors within the medulloblastoma tumour microenvironment"/>
    <n v="841500"/>
    <n v="0"/>
    <s v="5 yrs 0 mth "/>
    <x v="0"/>
    <x v="3"/>
    <s v="mesenchymal progenitors, medulloblastoma, microenvironment"/>
    <n v="0"/>
    <s v="zN/A"/>
    <n v="0"/>
    <s v="zN/A"/>
    <s v="Underhill, Michael"/>
  </r>
  <r>
    <x v="944"/>
    <s v="University of Calgary"/>
    <x v="2"/>
    <x v="0"/>
    <s v="201403MOP"/>
    <x v="9"/>
    <s v="Optimizing the size and composition of beta cell aggregates to improve islet graft survival"/>
    <n v="586594"/>
    <n v="0"/>
    <s v="5 yrs 0 mth "/>
    <x v="9"/>
    <x v="18"/>
    <s v="beta cell, islet graft, aggregates"/>
    <n v="0"/>
    <s v="zN/A"/>
    <n v="0"/>
    <s v="zN/A"/>
    <s v="Ungrin, Mark D"/>
  </r>
  <r>
    <x v="944"/>
    <s v="University of Calgary"/>
    <x v="2"/>
    <x v="61"/>
    <s v="201809PJ9"/>
    <x v="9"/>
    <s v="Scalable production, delivery and assessment of human pseudoislets for research and clinical applications"/>
    <n v="100000"/>
    <n v="0"/>
    <s v="1 yr 0 mth "/>
    <x v="9"/>
    <x v="61"/>
    <s v="pseudoislets, production, delivery"/>
    <n v="0"/>
    <s v="zN/A"/>
    <n v="0"/>
    <s v="zN/A"/>
    <s v="Ungrin, Mark D"/>
  </r>
  <r>
    <x v="945"/>
    <s v="Simon Fraser University (Burnaby, B.C.)"/>
    <x v="3"/>
    <x v="18"/>
    <s v="202005VR2"/>
    <x v="16"/>
    <s v="General and Inexpensive Saliva-based Viral RNA Testing by Direct Imaging"/>
    <n v="82026"/>
    <n v="0"/>
    <s v="1 yr 0 mth "/>
    <x v="1"/>
    <x v="2"/>
    <s v="Saliva, Viral RNA, Imaging"/>
    <n v="1"/>
    <s v="zN/A"/>
    <n v="0"/>
    <s v="zN/A"/>
    <s v="Unrau, Peter J"/>
  </r>
  <r>
    <x v="946"/>
    <s v="University of Alberta"/>
    <x v="2"/>
    <x v="1"/>
    <s v="201709PJT"/>
    <x v="9"/>
    <s v="Delivery platforms for treating perinatal brain injury"/>
    <n v="218025"/>
    <n v="0"/>
    <s v="3 yrs 0 mth "/>
    <x v="7"/>
    <x v="11"/>
    <s v="delivery, brain injury, perinatal"/>
    <n v="0"/>
    <s v="zN/A"/>
    <n v="0"/>
    <s v="zN/A"/>
    <s v="Unsworth, Larry D"/>
  </r>
  <r>
    <x v="946"/>
    <s v="University of Alberta"/>
    <x v="2"/>
    <x v="1"/>
    <s v="202104PJT"/>
    <x v="9"/>
    <s v="Peptide decorated magnetic nanoparticle strategies for minimally invasive targeting and removing exfoliation materials from the anterior lens capsule"/>
    <n v="589050"/>
    <n v="0"/>
    <s v="5 yrs 0 mth "/>
    <x v="6"/>
    <x v="35"/>
    <s v="peptide, magnetic nanoparticle, lens capsule"/>
    <n v="1"/>
    <s v="zN/A"/>
    <n v="0"/>
    <s v="zN/A"/>
    <s v="Unsworth, Larry D"/>
  </r>
  <r>
    <x v="947"/>
    <s v="CIUSSS de Centre-Ouest-de-l'Ile-de-Montréal-Jewish General"/>
    <x v="4"/>
    <x v="0"/>
    <s v="201009MOP"/>
    <x v="1"/>
    <s v="Mechanisms through which ShcA integrates tyrosine kinase signaling to promote breast cancer progression"/>
    <n v="681336"/>
    <n v="0"/>
    <s v="5 yrs 0 mth "/>
    <x v="0"/>
    <x v="16"/>
    <s v="ShcA, tyrosine kinase, breast cancer"/>
    <n v="0"/>
    <s v="zN/A"/>
    <n v="0"/>
    <s v="zN/A"/>
    <s v="Ursini-Siegel, Giuseppina"/>
  </r>
  <r>
    <x v="947"/>
    <s v="CIUSSS de Centre-Ouest-de-l'Ile-de-Montréal-Jewish General"/>
    <x v="4"/>
    <x v="0"/>
    <s v="201309MOP"/>
    <x v="5"/>
    <s v="Defining the Molecular Mechanisms and Clinical Implications of p66ShcA as a Driver of the Epithelial to Mesenchymal Transition in Breast Cancer"/>
    <n v="685520"/>
    <n v="0"/>
    <s v="5 yrs 0 mth "/>
    <x v="0"/>
    <x v="9"/>
    <s v="p66ShcA, Epithelial to Mesenchymal Transition, Breast Cancer"/>
    <n v="0"/>
    <s v="zN/A"/>
    <n v="0"/>
    <s v="zN/A"/>
    <s v="Ursini-Siegel, Giuseppina"/>
  </r>
  <r>
    <x v="947"/>
    <s v="CIUSSS de Centre-Ouest-de-l'Ile-de-Montréal-Jewish General"/>
    <x v="4"/>
    <x v="0"/>
    <s v="201503MOP"/>
    <x v="1"/>
    <s v="Defining the mechanisms and therapeutic potential of ShcA-mediated angiogenesis and metabolism that fuel breast tumorigenesis"/>
    <n v="817643"/>
    <n v="0"/>
    <s v="5 yrs 0 mth "/>
    <x v="0"/>
    <x v="19"/>
    <s v="ShcA, angiogenesis, tumorigenesis"/>
    <n v="0"/>
    <s v="zN/A"/>
    <n v="0"/>
    <s v="zN/A"/>
    <s v="Ursini-Siegel, Giuseppina"/>
  </r>
  <r>
    <x v="947"/>
    <s v="CIUSSS de Centre-Ouest-de-l'Ile-de-Montréal-Jewish General"/>
    <x v="4"/>
    <x v="1"/>
    <s v="201909PJT"/>
    <x v="1"/>
    <s v="Capitalizing on an oxidative stress response to sensitize poor outcome cancers to PARP inhibitors"/>
    <n v="948600"/>
    <n v="0"/>
    <s v="5 yrs 0 mth "/>
    <x v="0"/>
    <x v="22"/>
    <s v="oxidative stress, cancer, PARP inhibitors"/>
    <n v="0"/>
    <s v="zN/A"/>
    <n v="0"/>
    <s v="zN/A"/>
    <s v="Ursini-Siegel, Giuseppina"/>
  </r>
  <r>
    <x v="947"/>
    <s v="CIUSSS de Centre-Ouest-de-l'Ile-de-Montréal-Jewish General"/>
    <x v="4"/>
    <x v="1"/>
    <s v="201909PJT"/>
    <x v="0"/>
    <s v="Understanding how oxidative stress influences tumor evolution via metabolic reprogramming"/>
    <n v="975375"/>
    <n v="0"/>
    <s v="5 yrs 0 mth "/>
    <x v="0"/>
    <x v="22"/>
    <s v="oxidative stress, tumor, metabolic reprogramming"/>
    <n v="0"/>
    <s v="zN/A"/>
    <n v="0"/>
    <s v="zN/A"/>
    <s v="Ursini-Siegel, Giuseppina"/>
  </r>
  <r>
    <x v="947"/>
    <s v="CIUSSS de Centre-Ouest-de-l'Ile-de-Montréal-Jewish General"/>
    <x v="4"/>
    <x v="10"/>
    <s v="202109PLL"/>
    <x v="5"/>
    <s v="Inducing oxidative stress as a mechanism to increase the clinical impact of complex I inhibitors in treating aggressive breast cancers."/>
    <n v="100000"/>
    <n v="0"/>
    <s v="1 yr 0 mth "/>
    <x v="0"/>
    <x v="52"/>
    <s v="oxidative stress, complex I inhibitors, breast cancers"/>
    <n v="0"/>
    <s v="zN/A"/>
    <n v="0"/>
    <s v="zN/A"/>
    <s v="Ursini-Siegel, Giuseppina"/>
  </r>
  <r>
    <x v="948"/>
    <s v="University of Guelph"/>
    <x v="1"/>
    <x v="40"/>
    <s v="202209PJS"/>
    <x v="5"/>
    <s v="Development of boron-based inhibitors of the mitochondrial ClpXP protease to combat AML"/>
    <n v="100000"/>
    <n v="0"/>
    <s v="1 yr 0 mth "/>
    <x v="0"/>
    <x v="28"/>
    <s v="boron, ClpXP, AML"/>
    <n v="0"/>
    <s v="zN/A"/>
    <n v="0"/>
    <s v="zN/A"/>
    <s v="Vahidi, Siavash"/>
  </r>
  <r>
    <x v="948"/>
    <s v="University of Guelph"/>
    <x v="1"/>
    <x v="1"/>
    <s v="202309PJT"/>
    <x v="5"/>
    <s v="Developing allosteric inhibitors of mitochondrial ClpP protease for acute myeloid leukemia"/>
    <n v="1143675"/>
    <n v="0"/>
    <s v="5 yrs 0 mth "/>
    <x v="0"/>
    <x v="33"/>
    <s v="allosteric, inhibitors, ClpP"/>
    <n v="0"/>
    <s v="zN/A"/>
    <n v="0"/>
    <s v="zN/A"/>
    <s v="Vahidi, Siavash"/>
  </r>
  <r>
    <x v="949"/>
    <s v="McMaster University"/>
    <x v="1"/>
    <x v="6"/>
    <s v="201510CPG"/>
    <x v="8"/>
    <s v="Development of Molecularly Targeted Ultrasound Contrast Agents for Prostate Cancer Imaging using Bioorthogonal Chemistry"/>
    <n v="261250"/>
    <n v="0"/>
    <s v="3 yrs 0 mth "/>
    <x v="0"/>
    <x v="4"/>
    <s v="Ultrasound, Contrast Agents, Prostate Cancer"/>
    <n v="0"/>
    <s v="zN/A"/>
    <n v="0"/>
    <s v="zN/A"/>
    <s v="Valliant, John F"/>
  </r>
  <r>
    <x v="949"/>
    <s v="McMaster University"/>
    <x v="1"/>
    <x v="1"/>
    <s v="201903PJT"/>
    <x v="3"/>
    <s v="Getting to the heart of hard-to-treat cancers: Anti-CD133 theranostics for molecular imaging and treatment of GBM"/>
    <n v="860624"/>
    <n v="0"/>
    <s v="4 yrs 0 mth "/>
    <x v="0"/>
    <x v="1"/>
    <s v="CD133, theranostics, GBM"/>
    <n v="0"/>
    <s v="zN/A"/>
    <n v="0"/>
    <s v="zN/A"/>
    <s v="Valliant, John F"/>
  </r>
  <r>
    <x v="950"/>
    <s v="University of British Columbia"/>
    <x v="3"/>
    <x v="9"/>
    <s v="202403NW3"/>
    <x v="11"/>
    <s v="Development and validation of a clinical assessment tool to improve detection of brain injury in intimate partner violence"/>
    <n v="495144"/>
    <n v="0"/>
    <s v="2 yrs 10 mths "/>
    <x v="8"/>
    <x v="27"/>
    <s v="brain injury, assessment tool, violence"/>
    <n v="0"/>
    <s v="zN/A"/>
    <n v="0"/>
    <s v="zN/A"/>
    <s v="van Donkelaar, Paul"/>
  </r>
  <r>
    <x v="951"/>
    <s v="Universite de Sherbrooke"/>
    <x v="4"/>
    <x v="19"/>
    <s v="202307NWI"/>
    <x v="17"/>
    <s v="Automating data acquisition and data processing pipeline via artificial intelligence and machine learning approaches to allow at-home use of a novel breast cancer screening method employing bra-based elastography imaging."/>
    <n v="150000"/>
    <n v="0"/>
    <s v="1 yr 0 mth "/>
    <x v="0"/>
    <x v="36"/>
    <s v="data acquisition, elastography imaging, breast cancer"/>
    <n v="0"/>
    <s v="zN/A"/>
    <n v="0"/>
    <s v="zN/A"/>
    <s v="Van Houten, Elijah E"/>
  </r>
  <r>
    <x v="952"/>
    <s v="Ottawa Hospital Research Institute"/>
    <x v="1"/>
    <x v="1"/>
    <s v="201709PJT"/>
    <x v="0"/>
    <s v="Enhancing ovarian cancer immunogenicity by increasing antitumoral responses using engineered oncolytic vaccines"/>
    <n v="910350"/>
    <n v="0"/>
    <s v="5 yrs 0 mth "/>
    <x v="0"/>
    <x v="11"/>
    <s v="ovarian cancer, immunogenicity, oncolytic vaccines"/>
    <n v="0"/>
    <s v="zN/A"/>
    <n v="0"/>
    <s v="zN/A"/>
    <s v="Vanderhyden, Barbara C"/>
  </r>
  <r>
    <x v="952"/>
    <s v="Ottawa Hospital Research Institute"/>
    <x v="1"/>
    <x v="1"/>
    <s v="202209PJT"/>
    <x v="0"/>
    <s v="Increasing anti-tumoral responses to ovarian cancer using engineered viruses"/>
    <n v="906525"/>
    <n v="0"/>
    <s v="5 yrs 0 mth "/>
    <x v="0"/>
    <x v="8"/>
    <s v="anti-tumoral, engineered viruses, ovarian cancer"/>
    <n v="0"/>
    <s v="zN/A"/>
    <n v="0"/>
    <s v="zN/A"/>
    <s v="Vanderhyden, Barbara C"/>
  </r>
  <r>
    <x v="953"/>
    <s v="Institut de recherches cliniques de Montréal"/>
    <x v="4"/>
    <x v="1"/>
    <s v="202104PJT"/>
    <x v="0"/>
    <s v="Targeting inhibitory immune checkpoints in macrophages for anti-cancer therapy"/>
    <n v="956250"/>
    <n v="0"/>
    <s v="5 yrs 0 mth "/>
    <x v="1"/>
    <x v="51"/>
    <s v="immune checkpoints, macrophages, cancer"/>
    <n v="0"/>
    <s v="zN/A"/>
    <n v="0"/>
    <s v="zN/A"/>
    <s v="Veillette, Andre"/>
  </r>
  <r>
    <x v="953"/>
    <s v="Institut de recherches cliniques de Montréal"/>
    <x v="4"/>
    <x v="1"/>
    <s v="202203PJT"/>
    <x v="0"/>
    <s v="SLAMF7 in innate immune cells and anti-cancer immunotherapy"/>
    <n v="956250"/>
    <n v="0"/>
    <s v="5 yrs 0 mth "/>
    <x v="1"/>
    <x v="3"/>
    <s v="SLAMF7, immune cells, immunotherapy"/>
    <n v="0"/>
    <s v="zN/A"/>
    <n v="0"/>
    <s v="zN/A"/>
    <s v="Veillette, Andre"/>
  </r>
  <r>
    <x v="954"/>
    <s v="University of British Columbia"/>
    <x v="3"/>
    <x v="10"/>
    <s v="202209PLL"/>
    <x v="1"/>
    <s v="Characterizing and validating diacetylspermine as a metabolic biomarker of drug response and precision treatment in triple-negative breast cancer"/>
    <n v="100000"/>
    <n v="0"/>
    <s v="1 yr 0 mth "/>
    <x v="0"/>
    <x v="28"/>
    <s v="diacetylspermine, biomarker, breast cancer"/>
    <n v="0"/>
    <s v="zN/A"/>
    <n v="0"/>
    <s v="zN/A"/>
    <s v="Velenosi, Thomas J"/>
  </r>
  <r>
    <x v="954"/>
    <s v="University of British Columbia"/>
    <x v="3"/>
    <x v="10"/>
    <s v="202309PLL"/>
    <x v="1"/>
    <s v="Characterizing diacetylspermine as a biomarker of drug response and precision treatment in triple-negative breast cancer"/>
    <n v="100000"/>
    <n v="0"/>
    <s v="1 yr 0 mth "/>
    <x v="0"/>
    <x v="37"/>
    <s v="diacetylspermine, biomarker, breast cancer"/>
    <n v="0"/>
    <s v="zN/A"/>
    <n v="0"/>
    <s v="zN/A"/>
    <s v="Velenosi, Thomas J"/>
  </r>
  <r>
    <x v="954"/>
    <s v="University of British Columbia"/>
    <x v="3"/>
    <x v="1"/>
    <s v="202403PJT"/>
    <x v="1"/>
    <s v="Characterizing diacetylspermine as a biomarker of drug response and precision treatment in triple-negative breast cancer"/>
    <n v="979200"/>
    <n v="0"/>
    <s v="5 yrs 0 mth "/>
    <x v="0"/>
    <x v="37"/>
    <s v="diacetylspermine, biomarker, breast cancer"/>
    <n v="0"/>
    <s v="zN/A"/>
    <n v="0"/>
    <s v="zN/A"/>
    <s v="Velenosi, Thomas J"/>
  </r>
  <r>
    <x v="955"/>
    <s v="University of British Columbia"/>
    <x v="3"/>
    <x v="1"/>
    <s v="202109PJT"/>
    <x v="0"/>
    <s v="Self reactivity as a driver of extranodal diffuse large B-cell lymphoma transformation and progression."/>
    <n v="1139850"/>
    <n v="0"/>
    <s v="5 yrs 0 mth "/>
    <x v="0"/>
    <x v="25"/>
    <s v="self reactivity, extranodal, B-cell lymphoma"/>
    <n v="0"/>
    <s v="zN/A"/>
    <n v="0"/>
    <s v="zN/A"/>
    <s v="Venturutti, Leandro"/>
  </r>
  <r>
    <x v="956"/>
    <s v="University Health Network (Toronto)"/>
    <x v="1"/>
    <x v="0"/>
    <s v="201209MOP"/>
    <x v="6"/>
    <s v="Optical coherence tomography for assessment of early radiobiological response in-vivo"/>
    <n v="500960"/>
    <n v="0"/>
    <s v="5 yrs 0 mth "/>
    <x v="0"/>
    <x v="14"/>
    <s v="Optical coherence tomography, radiobiological response, in-vivo"/>
    <n v="0"/>
    <s v="zN/A"/>
    <n v="0"/>
    <s v="zN/A"/>
    <s v="Vitkin, I. Alex"/>
  </r>
  <r>
    <x v="956"/>
    <s v="University Health Network (Toronto)"/>
    <x v="1"/>
    <x v="1"/>
    <s v="201709PJT"/>
    <x v="13"/>
    <s v="Wide-field polarimetric imaging for targeted and rapid high-sensitivity analysis of breast cancer margins and heterogeneity with mass spectrometry"/>
    <n v="795600"/>
    <n v="0"/>
    <s v="5 yrs 0 mth "/>
    <x v="0"/>
    <x v="11"/>
    <s v="polarimetric, imaging, mass spectrometry"/>
    <n v="0"/>
    <s v="zN/A"/>
    <n v="0"/>
    <s v="zN/A"/>
    <s v="Vitkin, I. Alex"/>
  </r>
  <r>
    <x v="956"/>
    <s v="University Health Network (Toronto)"/>
    <x v="1"/>
    <x v="1"/>
    <s v="202010PJT"/>
    <x v="6"/>
    <s v="Shedding light on SBRT: functional optical coherence tomography and MR imaging for in vivo monitoring of high-dose few-fractions radiotherapy of pancreatic cancer"/>
    <n v="956250"/>
    <n v="0"/>
    <s v="5 yrs 0 mth "/>
    <x v="0"/>
    <x v="23"/>
    <s v="optical coherence tomography, MR imaging, radiotherapy"/>
    <n v="0"/>
    <s v="zN/A"/>
    <n v="0"/>
    <s v="zN/A"/>
    <s v="Vitkin, I. Alex"/>
  </r>
  <r>
    <x v="957"/>
    <s v="University of Saskatchewan"/>
    <x v="6"/>
    <x v="1"/>
    <s v="202104PJT"/>
    <x v="5"/>
    <s v="Identification of therapeutically relevant targets in telomerase overexpressing prostate cancers"/>
    <n v="983026"/>
    <n v="0"/>
    <s v="5 yrs 0 mth "/>
    <x v="0"/>
    <x v="35"/>
    <s v="telomerase, prostate cancer, targets"/>
    <n v="0"/>
    <s v="zN/A"/>
    <n v="0"/>
    <s v="zN/A"/>
    <s v="Vizeacoumar, Franco J"/>
  </r>
  <r>
    <x v="958"/>
    <s v="Dalhousie University (Nova Scotia)"/>
    <x v="5"/>
    <x v="1"/>
    <s v="201809PJT"/>
    <x v="1"/>
    <s v="Significance of S100A10 (p11) in breast cancer tumor progression"/>
    <n v="516375"/>
    <n v="0"/>
    <s v="3 yrs 0 mth "/>
    <x v="0"/>
    <x v="26"/>
    <s v="S100A10, breast cancer, tumor progression"/>
    <n v="0"/>
    <s v="zN/A"/>
    <n v="0"/>
    <s v="zN/A"/>
    <s v="Waisman, David M"/>
  </r>
  <r>
    <x v="959"/>
    <s v="Unity Health Toronto"/>
    <x v="1"/>
    <x v="3"/>
    <s v="201409IPR"/>
    <x v="4"/>
    <s v="STandard versus Accelerated initiation of Renal Replacement Therapy in Acute Kidney Injury (STARRT-AKI)"/>
    <n v="220995"/>
    <n v="0"/>
    <s v="4 yrs 0 mth "/>
    <x v="9"/>
    <x v="6"/>
    <s v="Renal Replacement Therapy, Acute Kidney Injury, STARRT-AKI"/>
    <n v="0"/>
    <s v="zN/A"/>
    <n v="0"/>
    <s v="zN/A"/>
    <s v="Wald, Ron"/>
  </r>
  <r>
    <x v="960"/>
    <s v="Toronto Metropolitan University"/>
    <x v="1"/>
    <x v="0"/>
    <s v="201403MOP"/>
    <x v="9"/>
    <s v="Tissue engineering of auricular cartilage implants for external ear reconstruction"/>
    <n v="339992"/>
    <n v="0"/>
    <s v="4 yrs 0 mth "/>
    <x v="5"/>
    <x v="18"/>
    <s v="tissue engineering, auricular cartilage, ear reconstruction"/>
    <n v="1"/>
    <s v="zN/A"/>
    <n v="0"/>
    <s v="zN/A"/>
    <s v="Waldman, Stephen D"/>
  </r>
  <r>
    <x v="960"/>
    <s v="Toronto Metropolitan University"/>
    <x v="1"/>
    <x v="1"/>
    <s v="201809PJT"/>
    <x v="9"/>
    <s v="Controlling Glucose Metabolism to Develop Superior Tissue Engineered Cartilage"/>
    <n v="631125"/>
    <n v="0"/>
    <s v="5 yrs 0 mth "/>
    <x v="5"/>
    <x v="26"/>
    <s v="Glucose, Metabolism, Cartilage"/>
    <n v="0"/>
    <s v="zN/A"/>
    <n v="0"/>
    <s v="zN/A"/>
    <s v="Waldman, Stephen D"/>
  </r>
  <r>
    <x v="961"/>
    <s v="University of Toronto"/>
    <x v="1"/>
    <x v="6"/>
    <s v="201310CPG"/>
    <x v="8"/>
    <s v="Improved Diagnosis of Leukemia Using Highly Multiplexed Surface Enhanced Raman Scattering Nanoparticles"/>
    <n v="100000"/>
    <n v="0"/>
    <s v="2 yrs 0 mth "/>
    <x v="0"/>
    <x v="9"/>
    <s v="Leukemia, Surface Enhanced Raman Scattering, Nanoparticles"/>
    <n v="0"/>
    <s v="zN/A"/>
    <n v="0"/>
    <s v="zN/A"/>
    <s v="Walker, Gilbert C"/>
  </r>
  <r>
    <x v="962"/>
    <s v="McGill University"/>
    <x v="4"/>
    <x v="1"/>
    <s v="202309PJT"/>
    <x v="0"/>
    <s v="Enhancing immunotherapy through the food-gut-axis in non-small cell lung cancer"/>
    <n v="1109250"/>
    <n v="0"/>
    <s v="5 yrs 0 mth "/>
    <x v="0"/>
    <x v="33"/>
    <s v="immunotherapy, gut-axis, lung cancer"/>
    <n v="0"/>
    <s v="zN/A"/>
    <n v="0"/>
    <s v="zN/A"/>
    <s v="Walsh, Logan A"/>
  </r>
  <r>
    <x v="962"/>
    <s v="McGill University"/>
    <x v="4"/>
    <x v="1"/>
    <s v="202403PJT"/>
    <x v="1"/>
    <s v="Combining highly multiplexed imaging data with AI to unlock new predictive biomarkers for lung cancer"/>
    <n v="1109250"/>
    <n v="0"/>
    <s v="5 yrs 0 mth "/>
    <x v="0"/>
    <x v="38"/>
    <s v="multiplexed imaging, AI, biomarkers"/>
    <n v="0"/>
    <s v="zN/A"/>
    <n v="0"/>
    <s v="zN/A"/>
    <s v="Walsh, Logan A"/>
  </r>
  <r>
    <x v="963"/>
    <s v="IWK Health Centre (Halifax)"/>
    <x v="5"/>
    <x v="44"/>
    <s v="200903CVC"/>
    <x v="24"/>
    <s v="Development of Novel Molecular Adjuvants for Genetic Vaccination"/>
    <n v="99252"/>
    <n v="0"/>
    <s v="1 yr 0 mth "/>
    <x v="1"/>
    <x v="5"/>
    <s v="Molecular adjuvants, genetic vaccination"/>
    <n v="0"/>
    <s v="zN/A"/>
    <n v="0"/>
    <s v="zN/A"/>
    <s v="Wang, Jun"/>
  </r>
  <r>
    <x v="963"/>
    <s v="Dalhousie University (Nova Scotia)"/>
    <x v="5"/>
    <x v="19"/>
    <s v="202307NWI"/>
    <x v="17"/>
    <s v="Understanding the role of chronic chlamydial infection in ovarian cancer"/>
    <n v="150000"/>
    <n v="0"/>
    <s v="1 yr 0 mth "/>
    <x v="0"/>
    <x v="36"/>
    <s v="chlamydial infection, ovarian cancer"/>
    <n v="0"/>
    <s v="zN/A"/>
    <n v="0"/>
    <s v="zN/A"/>
    <s v="Wang, Jun"/>
  </r>
  <r>
    <x v="964"/>
    <s v="McMaster University"/>
    <x v="1"/>
    <x v="9"/>
    <s v="202403NW3"/>
    <x v="11"/>
    <s v="Development of a novel risk prediction model for chronic postsurgical pain after breast cancer surgery"/>
    <n v="600000"/>
    <n v="0"/>
    <s v="2 yrs 10 mths "/>
    <x v="0"/>
    <x v="27"/>
    <s v="risk prediction, chronic postsurgical pain, breast cancer"/>
    <n v="0"/>
    <s v="zN/A"/>
    <n v="0"/>
    <s v="zN/A"/>
    <s v="Wang, Li"/>
  </r>
  <r>
    <x v="965"/>
    <s v="University of British Columbia"/>
    <x v="3"/>
    <x v="0"/>
    <s v="200903MOP"/>
    <x v="9"/>
    <s v="Mechanisms of Bone Fracture and their Clinical Applications"/>
    <n v="511717"/>
    <n v="0"/>
    <s v="4 yrs 0 mth "/>
    <x v="5"/>
    <x v="5"/>
    <s v="Bone, Fracture, Mechanisms"/>
    <n v="0"/>
    <s v="zN/A"/>
    <n v="0"/>
    <s v="zN/A"/>
    <s v="Wang, Rizhi"/>
  </r>
  <r>
    <x v="965"/>
    <s v="University of British Columbia"/>
    <x v="3"/>
    <x v="6"/>
    <s v="201510CPG"/>
    <x v="8"/>
    <s v="Preventing Adverse Tissue Reactions in Total Hip Replacement, from Mechanisms to New Implant Designs"/>
    <n v="511511"/>
    <n v="0"/>
    <s v="3 yrs 0 mth "/>
    <x v="5"/>
    <x v="4"/>
    <s v="hip replacement, tissue reactions, implant design"/>
    <n v="0"/>
    <s v="zN/A"/>
    <n v="0"/>
    <s v="zN/A"/>
    <s v="Wang, Rizhi"/>
  </r>
  <r>
    <x v="965"/>
    <s v="University of British Columbia"/>
    <x v="3"/>
    <x v="32"/>
    <s v="201809PJ5"/>
    <x v="9"/>
    <s v="Bone hypermineralization in older men and women and its impact on hip fragility"/>
    <n v="100000"/>
    <n v="0"/>
    <s v="1 yr 0 mth "/>
    <x v="5"/>
    <x v="61"/>
    <s v="bone, hypermineralization, fragility"/>
    <n v="0"/>
    <s v="zN/A"/>
    <n v="0"/>
    <s v="zN/A"/>
    <s v="Wang, Rizhi"/>
  </r>
  <r>
    <x v="965"/>
    <s v="University of British Columbia"/>
    <x v="3"/>
    <x v="1"/>
    <s v="202104PJT"/>
    <x v="9"/>
    <s v="A comprehensive study on bone quality for the prediction of second hip fractures"/>
    <n v="833850"/>
    <n v="0"/>
    <s v="5 yrs 0 mth "/>
    <x v="5"/>
    <x v="35"/>
    <s v="bone, fracture, prediction"/>
    <n v="0"/>
    <s v="zN/A"/>
    <n v="0"/>
    <s v="zN/A"/>
    <s v="Wang, Rizhi"/>
  </r>
  <r>
    <x v="966"/>
    <s v="University of British Columbia"/>
    <x v="3"/>
    <x v="1"/>
    <s v="202104PJT"/>
    <x v="3"/>
    <s v="Exploit the metabolic vulnerabilities in SWI/SNF-deficient cancer"/>
    <n v="688501"/>
    <n v="0"/>
    <s v="4 yrs 0 mth "/>
    <x v="0"/>
    <x v="35"/>
    <s v="metabolic, vulnerabilities, SWI/SNF-deficient"/>
    <n v="0"/>
    <s v="zN/A"/>
    <n v="0"/>
    <s v="zN/A"/>
    <s v="Wang, Yemin"/>
  </r>
  <r>
    <x v="967"/>
    <s v="University of British Columbia"/>
    <x v="3"/>
    <x v="0"/>
    <s v="200809MOP"/>
    <x v="5"/>
    <s v="Identification and functional analysis of a novel metastasis-associated gene in prostate cancer"/>
    <n v="541348"/>
    <n v="0"/>
    <s v="4 yrs 0 mth "/>
    <x v="0"/>
    <x v="0"/>
    <s v="metastasis, gene, prostate cancer"/>
    <n v="0"/>
    <s v="zN/A"/>
    <n v="0"/>
    <s v="zN/A"/>
    <s v="Wang, Yuzhuo"/>
  </r>
  <r>
    <x v="967"/>
    <s v="University of British Columbia"/>
    <x v="3"/>
    <x v="0"/>
    <s v="200909MOP"/>
    <x v="5"/>
    <s v="Prostate Cancer Metastasis-Associated Serum miRNAs"/>
    <n v="363690"/>
    <n v="0"/>
    <s v="3 yrs 0 mth "/>
    <x v="0"/>
    <x v="10"/>
    <s v="Prostate, Cancer, miRNAs"/>
    <n v="0"/>
    <s v="zN/A"/>
    <n v="0"/>
    <s v="zN/A"/>
    <s v="Wang, Yuzhuo"/>
  </r>
  <r>
    <x v="967"/>
    <s v="University of British Columbia"/>
    <x v="3"/>
    <x v="3"/>
    <s v="201109IPR"/>
    <x v="4"/>
    <s v="Next generation patient-derived, genetically-defined prostate cancer xenograft models for anti- cancer drug development"/>
    <n v="375000"/>
    <n v="0"/>
    <s v="3 yrs 0 mth "/>
    <x v="0"/>
    <x v="15"/>
    <s v="patient-derived, prostate cancer, xenograft"/>
    <n v="3"/>
    <s v="zN/A"/>
    <n v="0"/>
    <s v="zN/A"/>
    <s v="Wang, Yuzhuo"/>
  </r>
  <r>
    <x v="967"/>
    <s v="University of British Columbia"/>
    <x v="3"/>
    <x v="0"/>
    <s v="201203MOP"/>
    <x v="1"/>
    <s v="Identification of miRNAs and their Specific Gene Targets that are Critical for Prostate Cancer Metastases"/>
    <n v="775000"/>
    <n v="0"/>
    <s v="4 yrs 0 mth "/>
    <x v="0"/>
    <x v="12"/>
    <s v="miRNAs, gene targets, prostate cancer"/>
    <n v="1"/>
    <s v="zN/A"/>
    <n v="0"/>
    <s v="zN/A"/>
    <s v="Wang, Yuzhuo"/>
  </r>
  <r>
    <x v="967"/>
    <s v="University of British Columbia"/>
    <x v="3"/>
    <x v="3"/>
    <s v="201503IPR"/>
    <x v="4"/>
    <s v="Next generation patient-derived, genetically-defined kidney and bladder cancer xenograft models for anti-cancer drug development"/>
    <n v="489800"/>
    <n v="0"/>
    <s v="4 yrs 0 mth "/>
    <x v="0"/>
    <x v="46"/>
    <s v="kidney, bladder, xenograft"/>
    <n v="1"/>
    <s v="zN/A"/>
    <n v="0"/>
    <s v="zN/A"/>
    <s v="Wang, Yuzhuo"/>
  </r>
  <r>
    <x v="967"/>
    <s v="University of British Columbia"/>
    <x v="3"/>
    <x v="3"/>
    <s v="201509IPR"/>
    <x v="4"/>
    <s v="Application of antibody internalization domain to improve the efficacy and safety of Antibody Drug Conjugates"/>
    <n v="625000"/>
    <n v="0"/>
    <s v="5 yrs 0 mth "/>
    <x v="0"/>
    <x v="4"/>
    <s v="antibody, internalization, conjugates"/>
    <n v="0"/>
    <s v="zN/A"/>
    <n v="0"/>
    <s v="zN/A"/>
    <s v="Wang, Yuzhuo"/>
  </r>
  <r>
    <x v="967"/>
    <s v="University of British Columbia"/>
    <x v="3"/>
    <x v="1"/>
    <s v="201809PJT"/>
    <x v="3"/>
    <s v="Function and therapeutic potential of SUV420H2 in neuroendocrine prostate cancer"/>
    <n v="956250"/>
    <n v="0"/>
    <s v="5 yrs 0 mth "/>
    <x v="0"/>
    <x v="26"/>
    <s v="SUV420H2, neuroendocrine, prostate cancer"/>
    <n v="0"/>
    <s v="zN/A"/>
    <n v="0"/>
    <s v="zN/A"/>
    <s v="Wang, Yuzhuo"/>
  </r>
  <r>
    <x v="967"/>
    <s v="University of British Columbia"/>
    <x v="3"/>
    <x v="1"/>
    <s v="202003PJT"/>
    <x v="3"/>
    <s v="The role of PRDM16 in neuroendocrine prostate cancer development and aggressiveness"/>
    <n v="765000"/>
    <n v="0"/>
    <s v="4 yrs 0 mth "/>
    <x v="0"/>
    <x v="39"/>
    <s v="PRDM16, neuroendocrine, prostate cancer"/>
    <n v="0"/>
    <s v="zN/A"/>
    <n v="0"/>
    <s v="zN/A"/>
    <s v="Wang, Yuzhuo"/>
  </r>
  <r>
    <x v="967"/>
    <s v="University of British Columbia"/>
    <x v="3"/>
    <x v="40"/>
    <s v="202209PJS"/>
    <x v="5"/>
    <s v="A master transcription factor driving cell lineage reprogramming in neuroendocrine prostate cancer development and progression"/>
    <n v="100000"/>
    <n v="0"/>
    <s v="1 yr 0 mth "/>
    <x v="0"/>
    <x v="28"/>
    <s v="transcription factor, cell reprogramming, neuroendocrine prostate cancer"/>
    <n v="0"/>
    <s v="zN/A"/>
    <n v="0"/>
    <s v="zN/A"/>
    <s v="Wang, Yuzhuo"/>
  </r>
  <r>
    <x v="968"/>
    <s v="Western University (Ontario)"/>
    <x v="1"/>
    <x v="1"/>
    <s v="202303PJT"/>
    <x v="6"/>
    <s v="Histopathology image analysis for prostate cancer prognosis after radical prostatectomy"/>
    <n v="592876"/>
    <n v="0"/>
    <s v="5 yrs 0 mth "/>
    <x v="0"/>
    <x v="13"/>
    <s v="histopathology, image analysis, prostate cancer"/>
    <n v="0"/>
    <s v="zN/A"/>
    <n v="0"/>
    <s v="zN/A"/>
    <s v="Ward, Aaron"/>
  </r>
  <r>
    <x v="5"/>
    <s v="Research Institute of the McGill University Health Centre"/>
    <x v="4"/>
    <x v="7"/>
    <s v="200909ISO"/>
    <x v="4"/>
    <s v="The next generation of vaccines: characterization of virus-like particle (VLP) vaccines made in plants."/>
    <n v="300000"/>
    <n v="0"/>
    <s v="2 yrs 0 mth "/>
    <x v="1"/>
    <x v="10"/>
    <s v="virus-like particle, vaccines, plants"/>
    <n v="0"/>
    <s v="zN/A"/>
    <n v="0"/>
    <s v="zN/A"/>
    <s v="Ward, Brian J"/>
  </r>
  <r>
    <x v="5"/>
    <s v="Research Institute of the McGill University Health Centre"/>
    <x v="4"/>
    <x v="3"/>
    <s v="201303IPR"/>
    <x v="4"/>
    <s v="Understanding the unusual effectiveness of Virus-Like Particle (VLP) vaccines made in plants"/>
    <n v="591600"/>
    <n v="0"/>
    <s v="3 yrs 0 mth "/>
    <x v="1"/>
    <x v="34"/>
    <s v="Virus-Like Particle, vaccines, plants"/>
    <n v="1"/>
    <s v="zN/A"/>
    <n v="0"/>
    <s v="zN/A"/>
    <s v="Ward, Brian J"/>
  </r>
  <r>
    <x v="969"/>
    <s v="University of Toronto"/>
    <x v="1"/>
    <x v="6"/>
    <s v="201810CPG"/>
    <x v="8"/>
    <s v="Development of a Magnetic Resonance guided High Intensity Focused Ultrasound Therapy Platform for Perinatal Applications"/>
    <n v="325250"/>
    <n v="0"/>
    <s v="3 yrs 0 mth "/>
    <x v="7"/>
    <x v="26"/>
    <s v="Magnetic Resonance, Focused Ultrasound, Perinatal"/>
    <n v="0"/>
    <s v="zN/A"/>
    <n v="0"/>
    <s v="zN/A"/>
    <s v="Waspe, Adam C"/>
  </r>
  <r>
    <x v="970"/>
    <s v="McGill University"/>
    <x v="4"/>
    <x v="1"/>
    <s v="202104PJT"/>
    <x v="1"/>
    <s v="Investigation of the sexual dimorphic role of DDX3X in melanoma"/>
    <n v="803250"/>
    <n v="0"/>
    <s v="5 yrs 0 mth "/>
    <x v="0"/>
    <x v="35"/>
    <s v="DDX3X, melanoma, sexual dimorphism"/>
    <n v="0"/>
    <s v="zN/A"/>
    <n v="0"/>
    <s v="zN/A"/>
    <s v="Watson, Ian R"/>
  </r>
  <r>
    <x v="970"/>
    <s v="McGill University"/>
    <x v="4"/>
    <x v="1"/>
    <s v="202109PJT"/>
    <x v="5"/>
    <s v="Defining the distinct roles of MAPK pathway mutations in immune and targeted therapy response in melanoma"/>
    <n v="990675"/>
    <n v="0"/>
    <s v="5 yrs 0 mth "/>
    <x v="0"/>
    <x v="25"/>
    <s v="MAPK, mutations, melanoma"/>
    <n v="0"/>
    <s v="zN/A"/>
    <n v="0"/>
    <s v="zN/A"/>
    <s v="Watson, Ian R"/>
  </r>
  <r>
    <x v="970"/>
    <s v="McGill University"/>
    <x v="4"/>
    <x v="1"/>
    <s v="202209PJT"/>
    <x v="1"/>
    <s v="Identification of biomarkers using single cell technology that inform on optimal duration of immunotherapy treatment in melanoma"/>
    <n v="1422900"/>
    <n v="0"/>
    <s v="5 yrs 0 mth "/>
    <x v="0"/>
    <x v="8"/>
    <s v="biomarkers, single cell, immunotherapy"/>
    <n v="0"/>
    <s v="zN/A"/>
    <n v="0"/>
    <s v="zN/A"/>
    <s v="Watson, Ian R"/>
  </r>
  <r>
    <x v="971"/>
    <s v="University of Toronto"/>
    <x v="1"/>
    <x v="2"/>
    <s v="202005VR1"/>
    <x v="2"/>
    <s v="Towards a comprehensive understanding of adaptive immunity to SARS-CoV-2"/>
    <n v="1069730"/>
    <n v="0"/>
    <s v="1 yr 0 mth "/>
    <x v="1"/>
    <x v="2"/>
    <s v="adaptive immunity, SARS-CoV-2"/>
    <n v="0"/>
    <s v="zN/A"/>
    <n v="0"/>
    <s v="zN/A"/>
    <s v="Watts, Tania H"/>
  </r>
  <r>
    <x v="972"/>
    <s v="University Health Network (Toronto)"/>
    <x v="1"/>
    <x v="0"/>
    <s v="201503MOP"/>
    <x v="6"/>
    <s v="Improving Target Definition in Radiation Therapy Planning by the Spatial Registration of Optical Endoscopy Imaging with Volumetric Imaging"/>
    <n v="280582"/>
    <n v="0"/>
    <s v="3 yrs 0 mth "/>
    <x v="0"/>
    <x v="19"/>
    <s v="Radiation Therapy, Optical Endoscopy, Volumetric Imaging"/>
    <n v="0"/>
    <s v="zN/A"/>
    <n v="0"/>
    <s v="zN/A"/>
    <s v="Weersink, Robert A"/>
  </r>
  <r>
    <x v="973"/>
    <s v="University of Alberta"/>
    <x v="2"/>
    <x v="0"/>
    <s v="200909MOP"/>
    <x v="0"/>
    <s v="Polynucleotide kinase: its role in DNA single-strand break repair and a potential therapeutic target to enhance radio- and chemotherapy."/>
    <n v="531872"/>
    <n v="0"/>
    <s v="4 yrs 0 mth "/>
    <x v="0"/>
    <x v="10"/>
    <s v="Polynucleotide kinase, DNA repair, chemotherapy"/>
    <n v="0"/>
    <s v="zN/A"/>
    <n v="0"/>
    <s v="zN/A"/>
    <s v="Weinfeld, Michael"/>
  </r>
  <r>
    <x v="973"/>
    <s v="University of Alberta"/>
    <x v="2"/>
    <x v="0"/>
    <s v="201103MOP"/>
    <x v="0"/>
    <s v="Preclinical evaluation of polynucleotide kinase/phosphatase as a therapeutic target."/>
    <n v="357058"/>
    <n v="0"/>
    <s v="3 yrs 0 mth "/>
    <x v="0"/>
    <x v="17"/>
    <s v="polynucleotide kinase, phosphatase, therapeutic target"/>
    <n v="0"/>
    <s v="zN/A"/>
    <n v="0"/>
    <s v="zN/A"/>
    <s v="Weinfeld, Michael"/>
  </r>
  <r>
    <x v="973"/>
    <s v="University of Alberta"/>
    <x v="2"/>
    <x v="0"/>
    <s v="201309MOP"/>
    <x v="0"/>
    <s v="Polynucleotide kinase: its role in DNA strand break repair and a potential therapeutic target to enhance radio- and chemotherapy"/>
    <n v="952465"/>
    <n v="0"/>
    <s v="5 yrs 0 mth "/>
    <x v="0"/>
    <x v="9"/>
    <s v="Polynucleotide kinase, DNA repair, chemotherapy"/>
    <n v="3"/>
    <s v="zN/A"/>
    <n v="0"/>
    <s v="zN/A"/>
    <s v="Weinfeld, Michael"/>
  </r>
  <r>
    <x v="973"/>
    <s v="University of Alberta"/>
    <x v="2"/>
    <x v="1"/>
    <s v="201909PJT"/>
    <x v="0"/>
    <s v="Polynucleotide kinase/phosphatase: its role in DNA strand break repair and a potential therapeutic target to enhance radio- and chemotherapy"/>
    <n v="940950"/>
    <n v="0"/>
    <s v="5 yrs 0 mth "/>
    <x v="0"/>
    <x v="22"/>
    <s v="Polynucleotide kinase, DNA repair, chemotherapy"/>
    <n v="0"/>
    <s v="zN/A"/>
    <n v="0"/>
    <s v="zN/A"/>
    <s v="Weinfeld, Michael"/>
  </r>
  <r>
    <x v="974"/>
    <s v="University of British Columbia"/>
    <x v="3"/>
    <x v="1"/>
    <s v="202209PJT"/>
    <x v="9"/>
    <s v="Using translational biomarkers to define whether plane of motion and complexity of head kinematics modifies biomarker and neuropathological responses to concussion in mice and humans."/>
    <n v="1293201"/>
    <n v="0"/>
    <s v="4 yrs 0 mth "/>
    <x v="4"/>
    <x v="8"/>
    <s v="biomarkers, head kinematics, concussion"/>
    <n v="0"/>
    <s v="zN/A"/>
    <n v="0"/>
    <s v="zN/A"/>
    <s v="Wellington, Cheryl L"/>
  </r>
  <r>
    <x v="975"/>
    <s v="University of British Columbia"/>
    <x v="3"/>
    <x v="0"/>
    <s v="201203MOP"/>
    <x v="1"/>
    <s v="Adult vs. Fetal Programs in Leukemia Pathogenesis"/>
    <n v="351308"/>
    <n v="0"/>
    <s v="3 yrs 0 mth "/>
    <x v="0"/>
    <x v="12"/>
    <s v="Leukemia, Pathogenesis, Fetal"/>
    <n v="0"/>
    <s v="zN/A"/>
    <n v="0"/>
    <s v="zN/A"/>
    <s v="Weng, Andrew P"/>
  </r>
  <r>
    <x v="975"/>
    <s v="University of British Columbia"/>
    <x v="3"/>
    <x v="0"/>
    <s v="201303MOP"/>
    <x v="1"/>
    <s v="Regulation of Leukemia Stem Cell Activity by Signaling through PKC[theta]"/>
    <n v="868690"/>
    <n v="0"/>
    <s v="5 yrs 0 mth "/>
    <x v="0"/>
    <x v="34"/>
    <s v="Leukemia, Stem Cell, PKC theta"/>
    <n v="0"/>
    <s v="zN/A"/>
    <n v="0"/>
    <s v="zN/A"/>
    <s v="Weng, Andrew P"/>
  </r>
  <r>
    <x v="976"/>
    <s v="University of Manitoba"/>
    <x v="0"/>
    <x v="0"/>
    <s v="201309MOP"/>
    <x v="1"/>
    <s v="Functional characterization of novel biomarkers for subtype-specific medulloblastoma cell phenotypes"/>
    <n v="614472"/>
    <n v="0"/>
    <s v="5 yrs 0 mth "/>
    <x v="0"/>
    <x v="9"/>
    <s v="biomarkers, medulloblastoma, phenotypes"/>
    <n v="1"/>
    <s v="zN/A"/>
    <n v="0"/>
    <s v="zN/A"/>
    <s v="Werbowetski-Ogilvie, Tamra E"/>
  </r>
  <r>
    <x v="976"/>
    <s v="University of Manitoba"/>
    <x v="0"/>
    <x v="1"/>
    <s v="202003PJT"/>
    <x v="5"/>
    <s v="Novel therapeutic targets for Group 3 medulloblastoma stem cells"/>
    <n v="1208700"/>
    <n v="0"/>
    <s v="5 yrs 0 mth "/>
    <x v="0"/>
    <x v="39"/>
    <s v="medulloblastoma, stem cells, therapeutic targets"/>
    <n v="0"/>
    <s v="zN/A"/>
    <n v="0"/>
    <s v="zN/A"/>
    <s v="Werbowetski-Ogilvie, Tamra E"/>
  </r>
  <r>
    <x v="977"/>
    <s v="McMaster University"/>
    <x v="1"/>
    <x v="0"/>
    <s v="201109MOP"/>
    <x v="0"/>
    <s v="Avoidance of Radiotherapy in Luminal A Breast Cancer"/>
    <n v="339130"/>
    <n v="0"/>
    <s v="2 yrs 0 mth "/>
    <x v="0"/>
    <x v="15"/>
    <s v="Radiotherapy, Luminal A, Breast Cancer"/>
    <n v="0"/>
    <s v="zN/A"/>
    <n v="0"/>
    <s v="zN/A"/>
    <s v="Whelan, Timothy J"/>
  </r>
  <r>
    <x v="978"/>
    <s v="McGill University"/>
    <x v="4"/>
    <x v="4"/>
    <s v="201109IC1"/>
    <x v="0"/>
    <s v="Regulation of FoxO protein and cMYC function by the vitamin D receptor"/>
    <n v="100000"/>
    <n v="0"/>
    <s v="1 yr 0 mth "/>
    <x v="0"/>
    <x v="31"/>
    <s v="FoxO, cMYC, vitamin D receptor"/>
    <n v="0"/>
    <s v="zN/A"/>
    <n v="0"/>
    <s v="zN/A"/>
    <s v="White, John H"/>
  </r>
  <r>
    <x v="978"/>
    <s v="McGill University"/>
    <x v="4"/>
    <x v="0"/>
    <s v="201303MOP"/>
    <x v="0"/>
    <s v="FBW7-dependent regulation of cMYC and MXD1 function by the vitamin D receptor"/>
    <n v="380219"/>
    <n v="0"/>
    <s v="3 yrs 0 mth "/>
    <x v="0"/>
    <x v="34"/>
    <s v="FBW7, cMYC, vitamin D receptor"/>
    <n v="0"/>
    <s v="zN/A"/>
    <n v="0"/>
    <s v="zN/A"/>
    <s v="White, John H"/>
  </r>
  <r>
    <x v="979"/>
    <s v="Sunnybrook Research Institute (Toronto, Ontario)"/>
    <x v="1"/>
    <x v="12"/>
    <s v="201203COP"/>
    <x v="9"/>
    <s v="Implications of pathologic changes to bone material properties on the skeletal stability of the metastatic spine"/>
    <n v="100000"/>
    <n v="0"/>
    <s v="1 yr 0 mth "/>
    <x v="0"/>
    <x v="12"/>
    <s v="bone, metastasis, stability"/>
    <n v="0"/>
    <s v="zN/A"/>
    <n v="0"/>
    <s v="zN/A"/>
    <s v="Whyne, Cari M"/>
  </r>
  <r>
    <x v="979"/>
    <s v="Sunnybrook Research Institute (Toronto, Ontario)"/>
    <x v="1"/>
    <x v="0"/>
    <s v="201209MOP"/>
    <x v="9"/>
    <s v="Implications of pathologic changes to bone material properties on the skeletal stability of the metastatic spine"/>
    <n v="720465"/>
    <n v="0"/>
    <s v="5 yrs 0 mth "/>
    <x v="0"/>
    <x v="14"/>
    <s v="bone, metastasis, stability"/>
    <n v="0"/>
    <s v="zN/A"/>
    <n v="0"/>
    <s v="zN/A"/>
    <s v="Whyne, Cari M"/>
  </r>
  <r>
    <x v="979"/>
    <s v="Sunnybrook Research Institute (Toronto, Ontario)"/>
    <x v="1"/>
    <x v="1"/>
    <s v="201709PJT"/>
    <x v="9"/>
    <s v="Treatment induced changes to bone quality: Impact on the skeletal stability of the metastatic spine"/>
    <n v="966960"/>
    <n v="0"/>
    <s v="4 yrs 0 mth "/>
    <x v="5"/>
    <x v="11"/>
    <s v="bone, skeletal, metastasis"/>
    <n v="1"/>
    <s v="zN/A"/>
    <n v="0"/>
    <s v="zN/A"/>
    <s v="Whyne, Cari M"/>
  </r>
  <r>
    <x v="979"/>
    <s v="University of Toronto"/>
    <x v="1"/>
    <x v="6"/>
    <s v="201810CPG"/>
    <x v="8"/>
    <s v="Shifting the Paradigm in Home Physiotherapy: Implementation and Implications of Adherence Monitoring with Artificial Intelligence"/>
    <n v="322322"/>
    <n v="25000"/>
    <s v="3 yrs 0 mth "/>
    <x v="5"/>
    <x v="26"/>
    <s v="Physiotherapy, Adherence Monitoring, Artificial Intelligence"/>
    <n v="0"/>
    <s v="zN/A"/>
    <n v="0"/>
    <s v="zN/A"/>
    <s v="Whyne, Cari M"/>
  </r>
  <r>
    <x v="979"/>
    <s v="Sunnybrook Research Institute (Toronto, Ontario)"/>
    <x v="1"/>
    <x v="62"/>
    <s v="202403CSV"/>
    <x v="0"/>
    <s v="Stereotactic Radiotherapy for Spinal Metastases: Quantifying the Impact on Musculoskeletal Health"/>
    <n v="100000"/>
    <n v="0"/>
    <s v="1 yr 0 mth "/>
    <x v="0"/>
    <x v="38"/>
    <s v="Stereotactic Radiotherapy, Spinal Metastases, Musculoskeletal Health"/>
    <n v="0"/>
    <s v="zN/A"/>
    <n v="0"/>
    <s v="zN/A"/>
    <s v="Whyne, Cari M"/>
  </r>
  <r>
    <x v="980"/>
    <s v="Centre for Addiction and Mental Health (Toronto)"/>
    <x v="1"/>
    <x v="35"/>
    <s v="201506EH1"/>
    <x v="22"/>
    <s v="Cognitive Behavior Therapy for Anxious and Depressed Youth: Improving Outcomes through Mobile Technology"/>
    <n v="728345"/>
    <n v="0"/>
    <s v="4 yrs 0 mth "/>
    <x v="7"/>
    <x v="46"/>
    <s v="Cognitive Behavior Therapy, Mobile Technology, Youth"/>
    <n v="0"/>
    <s v="zN/A"/>
    <n v="0"/>
    <s v="zN/A"/>
    <s v="Wilansky, Pamela"/>
  </r>
  <r>
    <x v="981"/>
    <s v="Sinai Health System (Toronto)"/>
    <x v="1"/>
    <x v="0"/>
    <s v="201103MOP"/>
    <x v="9"/>
    <s v="Engineering of Irradiation-Sterilized Musculoskeletal Allografts for Improved Biomechanical Performance"/>
    <n v="230350"/>
    <n v="0"/>
    <s v="3 yrs 0 mth "/>
    <x v="5"/>
    <x v="17"/>
    <s v="Irradiation, Allografts, Biomechanical"/>
    <n v="1"/>
    <s v="zN/A"/>
    <n v="0"/>
    <s v="zN/A"/>
    <s v="Willett, Thomas"/>
  </r>
  <r>
    <x v="981"/>
    <s v="Sinai Health System (Toronto)"/>
    <x v="1"/>
    <x v="39"/>
    <s v="201403ONM"/>
    <x v="9"/>
    <s v="Engineering of Irradiation-Sterilized Skeletal Allograft for Improved Clinical Outcomes"/>
    <n v="100000"/>
    <n v="0"/>
    <s v="1 yr 0 mth "/>
    <x v="5"/>
    <x v="20"/>
    <s v="Irradiation, Sterilization, Allograft"/>
    <n v="0"/>
    <s v="zN/A"/>
    <n v="0"/>
    <s v="zN/A"/>
    <s v="Willett, Thomas"/>
  </r>
  <r>
    <x v="981"/>
    <s v="University of Waterloo (Ontario)"/>
    <x v="1"/>
    <x v="1"/>
    <s v="201709PJT"/>
    <x v="9"/>
    <s v="Bone-mimetic nanocomposite biomaterials for critically-sized skeletal defect reconstruction"/>
    <n v="665552"/>
    <n v="0"/>
    <s v="4 yrs 0 mth "/>
    <x v="5"/>
    <x v="11"/>
    <s v="bone, nanocomposite, biomaterials"/>
    <n v="0"/>
    <s v="zN/A"/>
    <n v="0"/>
    <s v="zN/A"/>
    <s v="Willett, Thomas"/>
  </r>
  <r>
    <x v="981"/>
    <s v="University of Waterloo (Ontario)"/>
    <x v="1"/>
    <x v="1"/>
    <s v="201803PJT"/>
    <x v="9"/>
    <s v="Oxidative Damage of Bone Collagen As A Mechanism Of Bone Fragility"/>
    <n v="653157"/>
    <n v="0"/>
    <s v="4 yrs 0 mth "/>
    <x v="5"/>
    <x v="7"/>
    <s v="oxidative damage, bone collagen, bone fragility"/>
    <n v="0"/>
    <s v="zN/A"/>
    <n v="0"/>
    <s v="zN/A"/>
    <s v="Willett, Thomas"/>
  </r>
  <r>
    <x v="982"/>
    <s v="University of Alberta"/>
    <x v="2"/>
    <x v="0"/>
    <s v="200909MOP"/>
    <x v="6"/>
    <s v="Quantitative MRI for Multiple Sclerosis"/>
    <n v="664475"/>
    <n v="0"/>
    <s v="5 yrs 0 mth "/>
    <x v="4"/>
    <x v="10"/>
    <s v="MRI, Multiple Sclerosis"/>
    <n v="0"/>
    <s v="zN/A"/>
    <n v="0"/>
    <s v="zN/A"/>
    <s v="Wilman, Alan H"/>
  </r>
  <r>
    <x v="982"/>
    <s v="University of Alberta"/>
    <x v="2"/>
    <x v="0"/>
    <s v="201403MOP"/>
    <x v="6"/>
    <s v="Imaging Brain Iron in Multiple Sclerosis: Development, Validation and Clinical Implementation"/>
    <n v="678786"/>
    <n v="0"/>
    <s v="5 yrs 0 mth "/>
    <x v="4"/>
    <x v="20"/>
    <s v="Brain imaging, Iron detection, Multiple sclerosis"/>
    <n v="0"/>
    <s v="zN/A"/>
    <n v="0"/>
    <s v="zN/A"/>
    <s v="Wilman, Alan H"/>
  </r>
  <r>
    <x v="982"/>
    <s v="University of Alberta"/>
    <x v="2"/>
    <x v="1"/>
    <s v="201803PJT"/>
    <x v="6"/>
    <s v="New Quantitative MRI for Human Stroke"/>
    <n v="768826"/>
    <n v="0"/>
    <s v="5 yrs 0 mth "/>
    <x v="3"/>
    <x v="7"/>
    <s v="MRI, Stroke"/>
    <n v="0"/>
    <s v="zN/A"/>
    <n v="0"/>
    <s v="zN/A"/>
    <s v="Wilman, Alan H"/>
  </r>
  <r>
    <x v="982"/>
    <s v="University of Alberta"/>
    <x v="2"/>
    <x v="1"/>
    <s v="202109PJT"/>
    <x v="6"/>
    <s v="Relaxation Mapping for the Clinic: Application to Multiple Sclerosis"/>
    <n v="753525"/>
    <n v="0"/>
    <s v="5 yrs 0 mth "/>
    <x v="4"/>
    <x v="25"/>
    <s v="Relaxation, Mapping, Multiple Sclerosis"/>
    <n v="0"/>
    <s v="zN/A"/>
    <n v="0"/>
    <s v="zN/A"/>
    <s v="Wilman, Alan H"/>
  </r>
  <r>
    <x v="983"/>
    <s v="University Health Network (Toronto)"/>
    <x v="1"/>
    <x v="1"/>
    <s v="201803PJT"/>
    <x v="6"/>
    <s v="Nuclear-targeted X-ray activated photodynamic therapy of pancreatic cancer"/>
    <n v="371024"/>
    <n v="0"/>
    <s v="4 yrs 0 mth "/>
    <x v="0"/>
    <x v="7"/>
    <s v="Nuclear, X-ray, photodynamic"/>
    <n v="3"/>
    <s v="zN/A"/>
    <n v="0"/>
    <s v="zN/A"/>
    <s v="Wilson, Brian C"/>
  </r>
  <r>
    <x v="984"/>
    <s v="University of British Columbia"/>
    <x v="3"/>
    <x v="0"/>
    <s v="201003MOP"/>
    <x v="9"/>
    <s v="Imaging-based assessments of knee mechanics"/>
    <n v="676920"/>
    <n v="0"/>
    <s v="5 yrs 0 mth "/>
    <x v="5"/>
    <x v="21"/>
    <s v="Imaging, knee, mechanics"/>
    <n v="2"/>
    <s v="zN/A"/>
    <n v="0"/>
    <s v="zN/A"/>
    <s v="Wilson, David R"/>
  </r>
  <r>
    <x v="984"/>
    <s v="University of British Columbia"/>
    <x v="3"/>
    <x v="1"/>
    <s v="201710PJT"/>
    <x v="9"/>
    <s v="Development, assessment and application of a new method for characterizing degenerative lumbar spondylolisthesis in the symptomatic upright posture."/>
    <n v="100000"/>
    <n v="0"/>
    <s v="1 yr 0 mth "/>
    <x v="5"/>
    <x v="11"/>
    <s v="lumbar spondylolisthesis, degenerative, characterization"/>
    <n v="0"/>
    <s v="zN/A"/>
    <n v="0"/>
    <s v="zN/A"/>
    <s v="Wilson, David R"/>
  </r>
  <r>
    <x v="984"/>
    <s v="University of British Columbia"/>
    <x v="3"/>
    <x v="1"/>
    <s v="201903PJT"/>
    <x v="9"/>
    <s v="Development, assessment and application of a new method for characterizing degenerative lumbar spondylolisthesis in the symptomatic upright posture."/>
    <n v="550800"/>
    <n v="0"/>
    <s v="4 yrs 0 mth "/>
    <x v="5"/>
    <x v="11"/>
    <s v="lumbar spondylolisthesis, degenerative, characterization"/>
    <n v="0"/>
    <s v="zN/A"/>
    <n v="0"/>
    <s v="zN/A"/>
    <s v="Wilson, David R"/>
  </r>
  <r>
    <x v="985"/>
    <s v="University of Saskatchewan"/>
    <x v="6"/>
    <x v="13"/>
    <s v="202005VR3"/>
    <x v="12"/>
    <s v="SARS-CoV2 therapeutic discovery through genetic screens and repurposing drugs that target essential virus-host interactions."/>
    <n v="449276"/>
    <n v="0"/>
    <s v="1 yr 0 mth "/>
    <x v="1"/>
    <x v="2"/>
    <s v="SARS-CoV2, genetic screens, virus-host interactions"/>
    <n v="0"/>
    <s v="zN/A"/>
    <n v="0"/>
    <s v="zN/A"/>
    <s v="Wilson, Joyce A"/>
  </r>
  <r>
    <x v="986"/>
    <s v="University of British Columbia"/>
    <x v="3"/>
    <x v="1"/>
    <s v="202403PJT"/>
    <x v="0"/>
    <s v="T-cell glyco-immune checkpoints as next-generation targets for cancer immunotherapy"/>
    <n v="918000"/>
    <n v="0"/>
    <s v="5 yrs 0 mth "/>
    <x v="1"/>
    <x v="38"/>
    <s v="T-cell, glyco-immune, checkpoints"/>
    <n v="0"/>
    <s v="zN/A"/>
    <n v="0"/>
    <s v="zN/A"/>
    <s v="Wisnovsky, Simon"/>
  </r>
  <r>
    <x v="987"/>
    <s v="CIUSSS de Centre-Ouest-de-l'Ile-de-Montréal-Jewish General"/>
    <x v="4"/>
    <x v="0"/>
    <s v="201203MOP"/>
    <x v="0"/>
    <s v="The epigenetic impact of deregulated poly(ADP)ribosylation in breast cancer."/>
    <n v="695970"/>
    <n v="0"/>
    <s v="5 yrs 0 mth "/>
    <x v="0"/>
    <x v="12"/>
    <s v="epigenetic, poly(ADP)ribosylation, breast cancer"/>
    <n v="0"/>
    <s v="zN/A"/>
    <n v="0"/>
    <s v="zN/A"/>
    <s v="Witcher, Michael"/>
  </r>
  <r>
    <x v="987"/>
    <s v="CIUSSS de Centre-Ouest-de-l'Ile-de-Montréal-Jewish General"/>
    <x v="4"/>
    <x v="1"/>
    <s v="201803PJT"/>
    <x v="0"/>
    <s v="Oncogenic activity of poly (ADP-ribose) polymerase."/>
    <n v="665550"/>
    <n v="0"/>
    <s v="5 yrs 0 mth "/>
    <x v="0"/>
    <x v="7"/>
    <s v="oncogenic, poly (ADP-ribose), polymerase"/>
    <n v="0"/>
    <s v="zN/A"/>
    <n v="0"/>
    <s v="zN/A"/>
    <s v="Witcher, Michael"/>
  </r>
  <r>
    <x v="987"/>
    <s v="CIUSSS de Centre-Ouest-de-l'Ile-de-Montréal-Jewish General"/>
    <x v="4"/>
    <x v="1"/>
    <s v="201803PJT"/>
    <x v="1"/>
    <s v="Epigenetic characterization and therapeutic targeting of cancers harboring dysfunctional CTCF."/>
    <n v="726750"/>
    <n v="0"/>
    <s v="5 yrs 0 mth "/>
    <x v="0"/>
    <x v="7"/>
    <s v="Epigenetic, CTCF, cancers"/>
    <n v="0"/>
    <s v="zN/A"/>
    <n v="0"/>
    <s v="zN/A"/>
    <s v="Witcher, Michael"/>
  </r>
  <r>
    <x v="987"/>
    <s v="CIUSSS de Centre-Ouest-de-l'Ile-de-Montréal-Jewish General"/>
    <x v="4"/>
    <x v="10"/>
    <s v="202209PLL"/>
    <x v="5"/>
    <s v="Targeting changes to chromatin architecture that promote breast cancer metastasis."/>
    <n v="100000"/>
    <n v="0"/>
    <s v="1 yr 0 mth "/>
    <x v="0"/>
    <x v="13"/>
    <s v="chromatin, breast cancer, metastasis"/>
    <n v="0"/>
    <s v="zN/A"/>
    <n v="0"/>
    <s v="zN/A"/>
    <s v="Witcher, Michael"/>
  </r>
  <r>
    <x v="987"/>
    <s v="CIUSSS de Centre-Ouest-de-l'Ile-de-Montréal-Jewish General"/>
    <x v="4"/>
    <x v="10"/>
    <s v="202303PLL"/>
    <x v="5"/>
    <s v="Targeting changes to chromatin architecture that promote breast cancer metastasis."/>
    <n v="100000"/>
    <n v="0"/>
    <s v="1 yr 0 mth "/>
    <x v="0"/>
    <x v="13"/>
    <s v="chromatin, breast cancer, metastasis"/>
    <n v="0"/>
    <s v="zN/A"/>
    <n v="0"/>
    <s v="zN/A"/>
    <s v="Witcher, Michael"/>
  </r>
  <r>
    <x v="987"/>
    <s v="CIUSSS de Centre-Ouest-de-l'Ile-de-Montréal-Jewish General"/>
    <x v="4"/>
    <x v="1"/>
    <s v="202309PJT"/>
    <x v="1"/>
    <s v="Targeting changes to chromatin architecture that promote breast cancer metastasis."/>
    <n v="1097775"/>
    <n v="0"/>
    <s v="5 yrs 0 mth "/>
    <x v="0"/>
    <x v="13"/>
    <s v="chromatin, breast cancer, metastasis"/>
    <n v="0"/>
    <s v="zN/A"/>
    <n v="0"/>
    <s v="zN/A"/>
    <s v="Witcher, Michael"/>
  </r>
  <r>
    <x v="988"/>
    <s v="University of British Columbia"/>
    <x v="3"/>
    <x v="6"/>
    <s v="201910CPG"/>
    <x v="8"/>
    <s v="Improved organ transplant across the ABO barrier through enzymatic removal of antigens"/>
    <n v="431290"/>
    <n v="0"/>
    <s v="3 yrs 0 mth "/>
    <x v="3"/>
    <x v="22"/>
    <s v="organ transplant, enzymatic removal, antigens"/>
    <n v="3"/>
    <s v="zN/A"/>
    <n v="0"/>
    <s v="zN/A"/>
    <s v="Withers, Stephen G"/>
  </r>
  <r>
    <x v="989"/>
    <s v="University of British Columbia"/>
    <x v="3"/>
    <x v="1"/>
    <s v="202109PJT"/>
    <x v="0"/>
    <s v="Molecular and Functional Genomic Characterization of G-quadruplex in Cancers with the Alternate Lengthening of Telomere (ALT) Mechanism"/>
    <n v="948600"/>
    <n v="0"/>
    <s v="5 yrs 0 mth "/>
    <x v="0"/>
    <x v="25"/>
    <s v="G-quadruplex, Genomic, Telomere"/>
    <n v="0"/>
    <s v="zN/A"/>
    <n v="0"/>
    <s v="zN/A"/>
    <s v="Wong, Judy M"/>
  </r>
  <r>
    <x v="990"/>
    <s v="University of Guelph"/>
    <x v="1"/>
    <x v="6"/>
    <s v="201910CPG"/>
    <x v="8"/>
    <s v="Clinical Advancement of an AAV Lung Gene Therapy Platform for the Treatment of Monogenic Lung Diseases"/>
    <n v="280788"/>
    <n v="25000"/>
    <s v="3 yrs 0 mth "/>
    <x v="3"/>
    <x v="22"/>
    <s v="AAV, gene therapy, lung"/>
    <n v="0"/>
    <s v="zN/A"/>
    <n v="0"/>
    <s v="zN/A"/>
    <s v="Wootton, Sarah"/>
  </r>
  <r>
    <x v="991"/>
    <s v="University of Guelph"/>
    <x v="1"/>
    <x v="1"/>
    <s v="202210PJT"/>
    <x v="0"/>
    <s v="Unraveling how programmed cell death shapes anticancer immunity"/>
    <n v="100000"/>
    <n v="0"/>
    <s v="1 yr 0 mth "/>
    <x v="0"/>
    <x v="13"/>
    <s v="programmed cell death, anticancer immunity"/>
    <n v="0"/>
    <s v="zN/A"/>
    <n v="0"/>
    <s v="zN/A"/>
    <s v="Workenhe, Samuel Tekeste"/>
  </r>
  <r>
    <x v="991"/>
    <s v="University of Guelph"/>
    <x v="1"/>
    <x v="1"/>
    <s v="202303PJT"/>
    <x v="0"/>
    <s v="Unraveling how programmed cell death shapes anticancer immunity"/>
    <n v="925650"/>
    <n v="0"/>
    <s v="5 yrs 0 mth "/>
    <x v="0"/>
    <x v="13"/>
    <s v="programmed cell death, anticancer immunity"/>
    <n v="0"/>
    <s v="zN/A"/>
    <n v="0"/>
    <s v="zN/A"/>
    <s v="Workenhe, Samuel Tekeste"/>
  </r>
  <r>
    <x v="992"/>
    <s v="University Health Network (Toronto)"/>
    <x v="1"/>
    <x v="0"/>
    <s v="200903MOP"/>
    <x v="0"/>
    <s v="Adaptation to hypoxia in cancer through the unfolded protein response"/>
    <n v="845046"/>
    <n v="0"/>
    <s v="5 yrs 0 mth "/>
    <x v="0"/>
    <x v="5"/>
    <s v="hypoxia, unfolded protein response, cancer"/>
    <n v="0"/>
    <s v="zN/A"/>
    <n v="0"/>
    <s v="zN/A"/>
    <s v="Wouters, Bradly"/>
  </r>
  <r>
    <x v="992"/>
    <s v="University Health Network (Toronto)"/>
    <x v="1"/>
    <x v="0"/>
    <s v="201405MOP"/>
    <x v="0"/>
    <s v="Targeting hypoxia in pancreatic cancer through the unfolded protein response"/>
    <n v="100000"/>
    <n v="0"/>
    <s v="1 yr 0 mth "/>
    <x v="0"/>
    <x v="19"/>
    <s v="hypoxia, pancreatic cancer, unfolded protein response"/>
    <n v="0"/>
    <s v="zN/A"/>
    <n v="0"/>
    <s v="zN/A"/>
    <s v="Wouters, Bradly"/>
  </r>
  <r>
    <x v="992"/>
    <s v="University Health Network (Toronto)"/>
    <x v="1"/>
    <x v="0"/>
    <s v="201503MOP"/>
    <x v="0"/>
    <s v="Targeting hypoxia in pancreatic cancer through the unfolded protein response"/>
    <n v="738505"/>
    <n v="0"/>
    <s v="5 yrs 0 mth "/>
    <x v="0"/>
    <x v="19"/>
    <s v="hypoxia, pancreatic cancer, unfolded protein response"/>
    <n v="0"/>
    <s v="zN/A"/>
    <n v="0"/>
    <s v="zN/A"/>
    <s v="Wouters, Bradly"/>
  </r>
  <r>
    <x v="14"/>
    <s v="Sunnybrook Research Institute (Toronto, Ontario)"/>
    <x v="1"/>
    <x v="0"/>
    <s v="200809MOP"/>
    <x v="6"/>
    <s v="Magnetic Resonance Imaging for Ischemic Heart Disease"/>
    <n v="830540"/>
    <n v="0"/>
    <s v="5 yrs 0 mth "/>
    <x v="3"/>
    <x v="0"/>
    <s v="Magnetic Resonance, Imaging, Ischemic Heart Disease"/>
    <n v="11"/>
    <s v="zN/A"/>
    <n v="0"/>
    <s v="zN/A"/>
    <s v="Wright, Graham A"/>
  </r>
  <r>
    <x v="14"/>
    <s v="Sunnybrook Research Institute (Toronto, Ontario)"/>
    <x v="1"/>
    <x v="0"/>
    <s v="201209MOP"/>
    <x v="6"/>
    <s v="MR-Guided Revascularization of Occlusive Peripheral Arterial Disease"/>
    <n v="562215"/>
    <n v="0"/>
    <s v="5 yrs 0 mth "/>
    <x v="3"/>
    <x v="14"/>
    <s v="MR, Revascularization, Peripheral Arterial Disease"/>
    <n v="0"/>
    <s v="zN/A"/>
    <n v="0"/>
    <s v="zN/A"/>
    <s v="Wright, Graham A"/>
  </r>
  <r>
    <x v="14"/>
    <s v="Sunnybrook Research Institute (Toronto, Ontario)"/>
    <x v="1"/>
    <x v="0"/>
    <s v="201309MOP"/>
    <x v="6"/>
    <s v="MRI for Arrhythmia Management in Ischemic Heart Disease"/>
    <n v="820920"/>
    <n v="0"/>
    <s v="5 yrs 0 mth "/>
    <x v="3"/>
    <x v="9"/>
    <s v="MRI, Arrhythmia, Heart Disease"/>
    <n v="0"/>
    <s v="zN/A"/>
    <n v="0"/>
    <s v="zN/A"/>
    <s v="Wright, Graham A"/>
  </r>
  <r>
    <x v="14"/>
    <s v="Sunnybrook Research Institute (Toronto, Ontario)"/>
    <x v="1"/>
    <x v="1"/>
    <s v="202104PJT"/>
    <x v="6"/>
    <s v="MRI for Arrhythmia Management in Ischemic Heart Disease"/>
    <n v="925650"/>
    <n v="0"/>
    <s v="5 yrs 0 mth "/>
    <x v="3"/>
    <x v="9"/>
    <s v="MRI, Arrhythmia, Heart Disease"/>
    <n v="0"/>
    <s v="zN/A"/>
    <n v="0"/>
    <s v="zN/A"/>
    <s v="Wright, Graham A"/>
  </r>
  <r>
    <x v="993"/>
    <s v="University Health Network (Toronto)"/>
    <x v="1"/>
    <x v="14"/>
    <s v="201706PCG"/>
    <x v="14"/>
    <s v="Developing a wearable device and a mobile application that aids patients in self-management of their COPD by providing biofeedback, education and guidance"/>
    <n v="197304"/>
    <n v="0"/>
    <s v="2 yrs 0 mth "/>
    <x v="3"/>
    <x v="30"/>
    <s v="wearable device, mobile application, COPD"/>
    <n v="1"/>
    <s v="zN/A"/>
    <n v="0"/>
    <s v="zN/A"/>
    <s v="Wu, Robert"/>
  </r>
  <r>
    <x v="994"/>
    <s v="University of Toronto"/>
    <x v="1"/>
    <x v="0"/>
    <s v="201403MOP"/>
    <x v="9"/>
    <s v="Engineering Transformable Polymer-lipid Nanoparticles for Cascade Drug Delivery to Brain Cancer Cells"/>
    <n v="512205"/>
    <n v="0"/>
    <s v="5 yrs 0 mth "/>
    <x v="0"/>
    <x v="18"/>
    <s v="Polymer-lipid, Nanoparticles, Drug delivery"/>
    <n v="3"/>
    <s v="zN/A"/>
    <n v="0"/>
    <s v="zN/A"/>
    <s v="Wu, Xiao Yu S"/>
  </r>
  <r>
    <x v="995"/>
    <s v="University of Alberta"/>
    <x v="2"/>
    <x v="0"/>
    <s v="200903MOP"/>
    <x v="6"/>
    <s v="Molecular imaging of cyclooxygenase-2 (COX-2) expression in vivo by means of positron emission tomography (PET)"/>
    <n v="321076"/>
    <n v="0"/>
    <s v="3 yrs 0 mth "/>
    <x v="0"/>
    <x v="5"/>
    <s v="molecular imaging, cyclooxygenase-2, positron emission tomography"/>
    <n v="0"/>
    <s v="zN/A"/>
    <n v="0"/>
    <s v="zN/A"/>
    <s v="Wuest, Frank"/>
  </r>
  <r>
    <x v="996"/>
    <s v="CIUSSS Est-de-l'Ile-de- Montréal-Maisonneuve Rosemont"/>
    <x v="4"/>
    <x v="1"/>
    <s v="201709PJT"/>
    <x v="0"/>
    <s v="Modulation of UV damage repair by replicative stress-induced RPA exhaustion during skin cancer development"/>
    <n v="791775"/>
    <n v="0"/>
    <s v="5 yrs 0 mth "/>
    <x v="0"/>
    <x v="11"/>
    <s v="UV damage, RPA exhaustion, skin cancer"/>
    <n v="0"/>
    <s v="zN/A"/>
    <n v="0"/>
    <s v="zN/A"/>
    <s v="Wurtele, Hugo"/>
  </r>
  <r>
    <x v="997"/>
    <s v="University of British Columbia"/>
    <x v="3"/>
    <x v="1"/>
    <s v="201709PJT"/>
    <x v="1"/>
    <s v="Predicting therapy resistance in castration-resistant prostate cancer with circulating tumor DNA"/>
    <n v="516375"/>
    <n v="0"/>
    <s v="3 yrs 0 mth "/>
    <x v="0"/>
    <x v="11"/>
    <s v="therapy resistance, circulating tumor DNA, prostate cancer"/>
    <n v="0"/>
    <s v="zN/A"/>
    <n v="0"/>
    <s v="zN/A"/>
    <s v="Wyatt, Alexander W"/>
  </r>
  <r>
    <x v="997"/>
    <s v="University of British Columbia"/>
    <x v="3"/>
    <x v="1"/>
    <s v="202104PJT"/>
    <x v="1"/>
    <s v="Genomic dissection of de novo metastatic prostate cancer prior to treatment"/>
    <n v="734400"/>
    <n v="0"/>
    <s v="3 yrs 0 mth "/>
    <x v="0"/>
    <x v="35"/>
    <s v="genomic, metastatic, prostate cancer"/>
    <n v="0"/>
    <s v="zN/A"/>
    <n v="0"/>
    <s v="zN/A"/>
    <s v="Wyatt, Alexander W"/>
  </r>
  <r>
    <x v="997"/>
    <s v="University of British Columbia"/>
    <x v="3"/>
    <x v="1"/>
    <s v="202109PJT"/>
    <x v="1"/>
    <s v="Refining the clinical utility of circulating tumour DNA in metastatic bladder cancer"/>
    <n v="841500"/>
    <n v="0"/>
    <s v="4 yrs 0 mth "/>
    <x v="0"/>
    <x v="25"/>
    <s v="circulating tumour DNA, metastatic bladder cancer"/>
    <n v="1"/>
    <s v="zN/A"/>
    <n v="0"/>
    <s v="zN/A"/>
    <s v="Wyatt, Alexander W"/>
  </r>
  <r>
    <x v="998"/>
    <s v="McMaster University"/>
    <x v="1"/>
    <x v="1"/>
    <s v="202003PJT"/>
    <x v="9"/>
    <s v="Engineering solid tumors for bispecific immunotherapies through controlled delivery"/>
    <n v="692326"/>
    <n v="0"/>
    <s v="5 yrs 0 mth "/>
    <x v="0"/>
    <x v="35"/>
    <s v="solid tumors, bispecific, immunotherapies"/>
    <n v="0"/>
    <s v="zN/A"/>
    <n v="0"/>
    <s v="zN/A"/>
    <s v="Wylie, Ryan G"/>
  </r>
  <r>
    <x v="999"/>
    <s v="University of Saskatchewan"/>
    <x v="6"/>
    <x v="44"/>
    <s v="200903CVC"/>
    <x v="24"/>
    <s v="Acombined early and late HIV-1 protein-specific exosome-targeted T cell vaccine capable of stimulating HIV-1 specific CD8+ CTL responses in absence of CD4+ T cells and counteracting immune suppression."/>
    <n v="89482"/>
    <n v="0"/>
    <s v="1 yr 0 mth "/>
    <x v="1"/>
    <x v="5"/>
    <s v="HIV-1, exosome, T cell"/>
    <n v="0"/>
    <s v="zN/A"/>
    <n v="0"/>
    <s v="zN/A"/>
    <s v="Xiang, Jim"/>
  </r>
  <r>
    <x v="1000"/>
    <s v="University of Saskatchewan"/>
    <x v="6"/>
    <x v="0"/>
    <s v="200809MOP"/>
    <x v="0"/>
    <s v="Molecular mechanisms of DNA damage tolerance - A yeast model"/>
    <n v="492133"/>
    <n v="0"/>
    <s v="4 yrs 0 mth "/>
    <x v="0"/>
    <x v="0"/>
    <s v="DNA, damage, yeast"/>
    <n v="1"/>
    <s v="zN/A"/>
    <n v="0"/>
    <s v="zN/A"/>
    <s v="Xiao, Wei"/>
  </r>
  <r>
    <x v="1001"/>
    <s v="McMaster University"/>
    <x v="1"/>
    <x v="6"/>
    <s v="201210CPG"/>
    <x v="8"/>
    <s v="Bioengineered chimpanzee adenovirus-based vaccines against tuberculosis: Optimization of immunologic property, formulation and delivery for bench-to-human applications"/>
    <n v="486740"/>
    <n v="0"/>
    <s v="3 yrs 0 mth "/>
    <x v="1"/>
    <x v="14"/>
    <s v="chimpanzee adenovirus, vaccines, tuberculosis"/>
    <n v="1"/>
    <s v="zN/A"/>
    <n v="0"/>
    <s v="zN/A"/>
    <s v="Xing, Zhou"/>
  </r>
  <r>
    <x v="1001"/>
    <s v="McMaster University"/>
    <x v="1"/>
    <x v="2"/>
    <s v="202005VR1"/>
    <x v="2"/>
    <s v="Rapid bench-to-human development of safe and effective aerosol vaccine strategies against Covid-19"/>
    <n v="1920985"/>
    <n v="0"/>
    <s v="1 yr 0 mth "/>
    <x v="1"/>
    <x v="2"/>
    <s v="aerosol, vaccine, Covid-19"/>
    <n v="2"/>
    <s v="zN/A"/>
    <n v="0"/>
    <s v="zN/A"/>
    <s v="Xing, Zhou"/>
  </r>
  <r>
    <x v="1002"/>
    <s v="Toronto Metropolitan University"/>
    <x v="1"/>
    <x v="0"/>
    <s v="201009MOP"/>
    <x v="6"/>
    <s v="Optical Coherence Tomography for Intraoperative Imaging During Skull Base Neurosurgical Procedures"/>
    <n v="379765"/>
    <n v="0"/>
    <s v="3 yrs 0 mth "/>
    <x v="3"/>
    <x v="16"/>
    <s v="Optical Coherence Tomography, Intraoperative Imaging, Skull Base"/>
    <n v="3"/>
    <s v="zN/A"/>
    <n v="0"/>
    <s v="zN/A"/>
    <s v="Yang, Victor X"/>
  </r>
  <r>
    <x v="1002"/>
    <s v="Toronto Metropolitan University"/>
    <x v="1"/>
    <x v="6"/>
    <s v="201610CPG"/>
    <x v="8"/>
    <s v="Photodynamic therapy of non-melanoma skin cancers - development of a comprehensive image-guided planning system for personalized treatment"/>
    <n v="253500"/>
    <n v="0"/>
    <s v="3 yrs 0 mth "/>
    <x v="0"/>
    <x v="24"/>
    <s v="photodynamic, skin cancers, image-guided"/>
    <n v="2"/>
    <s v="zN/A"/>
    <n v="0"/>
    <s v="zN/A"/>
    <s v="Yang, Victor X"/>
  </r>
  <r>
    <x v="1003"/>
    <s v="Queen's University (Kingston, Ontario)"/>
    <x v="1"/>
    <x v="1"/>
    <s v="202209PJT"/>
    <x v="1"/>
    <s v="Investigating the PTK-Hippo axis in breast cancer metastasis"/>
    <n v="956250"/>
    <n v="0"/>
    <s v="5 yrs 0 mth "/>
    <x v="0"/>
    <x v="8"/>
    <s v="PTK, Hippo, metastasis"/>
    <n v="0"/>
    <s v="zN/A"/>
    <n v="0"/>
    <s v="zN/A"/>
    <s v="Yang, Xiaolong"/>
  </r>
  <r>
    <x v="1004"/>
    <s v="University Health Network (Toronto)"/>
    <x v="1"/>
    <x v="1"/>
    <s v="201709PJT"/>
    <x v="1"/>
    <s v="Improving lung cancer patient bronchoscopy efficiency through a novel pairing of biosensors with EBUS-TBNA"/>
    <n v="688500"/>
    <n v="0"/>
    <s v="5 yrs 0 mth "/>
    <x v="0"/>
    <x v="11"/>
    <s v="lung, biosensors, EBUS-TBNA"/>
    <n v="1"/>
    <s v="zN/A"/>
    <n v="0"/>
    <s v="zN/A"/>
    <s v="Yasufuku, Kazuhiro"/>
  </r>
  <r>
    <x v="1005"/>
    <s v="Queen's University (Kingston, Ontario)"/>
    <x v="1"/>
    <x v="27"/>
    <s v="202403NW2"/>
    <x v="11"/>
    <s v="Listening to our Women: Understanding barriers, enablers, and strategies to cervical cancer screening uptake using HPV DNA self-sampling through participatory, community-based approaches among Indigenous women living remotely in Ontario"/>
    <n v="600000"/>
    <n v="0"/>
    <s v="2 yrs 10 mths "/>
    <x v="12"/>
    <x v="27"/>
    <s v="HPV DNA, self-sampling, cervical cancer"/>
    <n v="0"/>
    <s v="zN/A"/>
    <n v="0"/>
    <s v="zN/A"/>
    <s v="Yeates, Karen"/>
  </r>
  <r>
    <x v="1006"/>
    <s v="University of Toronto"/>
    <x v="1"/>
    <x v="6"/>
    <s v="201510CPG"/>
    <x v="8"/>
    <s v="Image-guided Radiofrequency Ablation (RFA) - Development, Validation, and Integration of Multimodality Treatment Planning for Vertebral Tumors"/>
    <n v="165000"/>
    <n v="0"/>
    <s v="3 yrs 0 mth "/>
    <x v="0"/>
    <x v="4"/>
    <s v="Image-guided, Radiofrequency Ablation, Tumors"/>
    <n v="0"/>
    <s v="zN/A"/>
    <n v="0"/>
    <s v="zN/A"/>
    <s v="Yee, Albert J"/>
  </r>
  <r>
    <x v="1007"/>
    <s v="University of Waterloo (Ontario)"/>
    <x v="1"/>
    <x v="1"/>
    <s v="202303PJT"/>
    <x v="9"/>
    <s v="Bioengineered self-sealing synthetic arteriovenous graft for hemodialysis access"/>
    <n v="1086300"/>
    <n v="0"/>
    <s v="5 yrs 0 mth "/>
    <x v="3"/>
    <x v="13"/>
    <s v="bioengineering, arteriovenous graft, hemodialysis"/>
    <n v="0"/>
    <s v="zN/A"/>
    <n v="0"/>
    <s v="zN/A"/>
    <s v="Yim, Evelyn K"/>
  </r>
  <r>
    <x v="1008"/>
    <s v="University of Toronto"/>
    <x v="1"/>
    <x v="0"/>
    <s v="201203MOP"/>
    <x v="6"/>
    <s v="Super-Resolution Imaging of Receptor Dynamics and Structure: Self-Association of CEACAM and Its Implications for Cancer,Infection, and Inflammation"/>
    <n v="592876"/>
    <n v="0"/>
    <s v="5 yrs 0 mth "/>
    <x v="1"/>
    <x v="12"/>
    <s v="Super-Resolution, Receptor, CEACAM"/>
    <n v="0"/>
    <s v="zN/A"/>
    <n v="0"/>
    <s v="zN/A"/>
    <s v="Yip, Christopher M"/>
  </r>
  <r>
    <x v="1009"/>
    <s v="University of Calgary"/>
    <x v="2"/>
    <x v="1"/>
    <s v="201709PJT"/>
    <x v="1"/>
    <s v="Mobilizing anti-tumor microglia/macrophages with niacin to improve the prognosis of glioblastoma: Bench to clinical trial and back."/>
    <n v="1243125"/>
    <n v="0"/>
    <s v="5 yrs 0 mth "/>
    <x v="0"/>
    <x v="11"/>
    <s v="microglia, glioblastoma, niacin"/>
    <n v="0"/>
    <s v="zN/A"/>
    <n v="0"/>
    <s v="zN/A"/>
    <s v="Yong, Voon W"/>
  </r>
  <r>
    <x v="1010"/>
    <s v="Unity Health Toronto"/>
    <x v="1"/>
    <x v="0"/>
    <s v="201109MOP"/>
    <x v="5"/>
    <s v="The Role of microRNAs in Renal Cell Carcinoma Pathogenesis and their Clinical Utility as Tumor Markers"/>
    <n v="493169"/>
    <n v="0"/>
    <s v="3 yrs 0 mth "/>
    <x v="0"/>
    <x v="15"/>
    <s v="microRNAs, renal cell carcinoma, tumor markers"/>
    <n v="1"/>
    <s v="zN/A"/>
    <n v="0"/>
    <s v="zN/A"/>
    <s v="Yousef, George M"/>
  </r>
  <r>
    <x v="1011"/>
    <s v="University of Toronto"/>
    <x v="1"/>
    <x v="6"/>
    <s v="201410CPG"/>
    <x v="8"/>
    <s v="Development of a lead boron-containing ClpP inhibitor for AML therapy"/>
    <n v="299046"/>
    <n v="0"/>
    <s v="3 yrs 0 mth "/>
    <x v="0"/>
    <x v="6"/>
    <s v="lead, boron, ClpP"/>
    <n v="0"/>
    <s v="zN/A"/>
    <n v="0"/>
    <s v="zN/A"/>
    <s v="Yudin, Andrei"/>
  </r>
  <r>
    <x v="1012"/>
    <s v="University of Toronto"/>
    <x v="1"/>
    <x v="6"/>
    <s v="201410CPG"/>
    <x v="8"/>
    <s v="Using magnetic resonance imaging to non-invasively image and quantify kidney fibrosis"/>
    <n v="388551"/>
    <n v="0"/>
    <s v="3 yrs 0 mth "/>
    <x v="9"/>
    <x v="6"/>
    <s v="magnetic resonance imaging, kidney fibrosis, imaging"/>
    <n v="1"/>
    <s v="zN/A"/>
    <n v="0"/>
    <s v="zN/A"/>
    <s v="Yuen, Darren A"/>
  </r>
  <r>
    <x v="1012"/>
    <s v="University of Toronto"/>
    <x v="1"/>
    <x v="6"/>
    <s v="201810CPG"/>
    <x v="8"/>
    <s v="Using &quot;enhanced ultrasound&quot; to help select the best kidneys for transplantation"/>
    <n v="491750"/>
    <n v="0"/>
    <s v="3 yrs 0 mth "/>
    <x v="9"/>
    <x v="26"/>
    <s v="ultrasound, kidneys, transplantation"/>
    <n v="3"/>
    <s v="zN/A"/>
    <n v="0"/>
    <s v="zN/A"/>
    <s v="Yuen, Darren A"/>
  </r>
  <r>
    <x v="1013"/>
    <s v="University of Alberta"/>
    <x v="2"/>
    <x v="1"/>
    <s v="202003PJT"/>
    <x v="6"/>
    <s v="Towards the non-invasive, most accurate radiotherapy of mobile tumours in a hybrid linac-MR system"/>
    <n v="550800"/>
    <n v="0"/>
    <s v="5 yrs 0 mth "/>
    <x v="0"/>
    <x v="39"/>
    <s v="radiotherapy, mobile tumours, linac-MR"/>
    <n v="0"/>
    <s v="zN/A"/>
    <n v="0"/>
    <s v="zN/A"/>
    <s v="Yun, Jihyun"/>
  </r>
  <r>
    <x v="1014"/>
    <s v="University Health Network (Toronto)"/>
    <x v="1"/>
    <x v="0"/>
    <s v="201309MOP"/>
    <x v="0"/>
    <s v="A model for Group C Medulloblastoma induced by deletion of RB1 and p53 tumor suppressors"/>
    <n v="486928"/>
    <n v="0"/>
    <s v="4 yrs 0 mth "/>
    <x v="0"/>
    <x v="9"/>
    <s v="Medulloblastoma,RB1,p53"/>
    <n v="0"/>
    <s v="zN/A"/>
    <n v="0"/>
    <s v="zN/A"/>
    <s v="Zacksenhaus, Eldad"/>
  </r>
  <r>
    <x v="1014"/>
    <s v="University Health Network (Toronto)"/>
    <x v="1"/>
    <x v="1"/>
    <s v="202104PJT"/>
    <x v="5"/>
    <s v="New mouse models and targeted therapies for aggressive forms of germline and sporadic pineoblastoma"/>
    <n v="956250"/>
    <n v="0"/>
    <s v="5 yrs 0 mth "/>
    <x v="0"/>
    <x v="35"/>
    <s v="mouse models, targeted therapies, pineoblastoma"/>
    <n v="0"/>
    <s v="zN/A"/>
    <n v="0"/>
    <s v="zN/A"/>
    <s v="Zacksenhaus, Eldad"/>
  </r>
  <r>
    <x v="1015"/>
    <s v="University Health Network (Toronto)"/>
    <x v="1"/>
    <x v="0"/>
    <s v="201109MOP"/>
    <x v="1"/>
    <s v="Role of Bone Marrow Derived Progenitor Cells in Brain Tumor Neovascularizatoin"/>
    <n v="385251"/>
    <n v="0"/>
    <s v="3 yrs 0 mth "/>
    <x v="0"/>
    <x v="15"/>
    <s v="Bone Marrow, Progenitor Cells, Brain Tumor"/>
    <n v="0"/>
    <s v="zN/A"/>
    <n v="0"/>
    <s v="zN/A"/>
    <s v="Zadeh, Gelareh"/>
  </r>
  <r>
    <x v="1015"/>
    <s v="University Health Network (Toronto)"/>
    <x v="1"/>
    <x v="0"/>
    <s v="201203MOP"/>
    <x v="5"/>
    <s v="Role of HK2 in Regulating Brain Tumor Metabolism and Angiogenesis"/>
    <n v="560636"/>
    <n v="0"/>
    <s v="4 yrs 0 mth "/>
    <x v="0"/>
    <x v="12"/>
    <s v="HK2, Brain Tumor, Angiogenesis"/>
    <n v="0"/>
    <s v="zN/A"/>
    <n v="0"/>
    <s v="zN/A"/>
    <s v="Zadeh, Gelareh"/>
  </r>
  <r>
    <x v="1015"/>
    <s v="University Health Network (Toronto)"/>
    <x v="1"/>
    <x v="1"/>
    <s v="201803PJT"/>
    <x v="5"/>
    <s v="Understanding the mechanisms of treatment response in glioblastoma"/>
    <n v="1503226"/>
    <n v="0"/>
    <s v="5 yrs 0 mth "/>
    <x v="0"/>
    <x v="7"/>
    <s v="glioblastoma, response, mechanisms"/>
    <n v="0"/>
    <s v="zN/A"/>
    <n v="0"/>
    <s v="zN/A"/>
    <s v="Zadeh, Gelareh"/>
  </r>
  <r>
    <x v="1015"/>
    <s v="University Health Network (Toronto)"/>
    <x v="1"/>
    <x v="1"/>
    <s v="202003PJT"/>
    <x v="1"/>
    <s v="Establishing the epigenetic drivers of aggressive behaviour in meningiomas"/>
    <n v="902700"/>
    <n v="0"/>
    <s v="5 yrs 0 mth "/>
    <x v="0"/>
    <x v="39"/>
    <s v="epigenetic, meningiomas, behaviour"/>
    <n v="0"/>
    <s v="zN/A"/>
    <n v="0"/>
    <s v="zN/A"/>
    <s v="Zadeh, Gelareh"/>
  </r>
  <r>
    <x v="1015"/>
    <s v="University Health Network (Toronto)"/>
    <x v="1"/>
    <x v="1"/>
    <s v="202010PJT"/>
    <x v="1"/>
    <s v="Liquid biopsy-based DNA methylation profiling for improved diagnosis and prognostication of primary and metastatic CNS tumors"/>
    <n v="1147500"/>
    <n v="0"/>
    <s v="5 yrs 0 mth "/>
    <x v="0"/>
    <x v="23"/>
    <s v="liquid biopsy, DNA methylation, CNS tumors"/>
    <n v="1"/>
    <s v="zN/A"/>
    <n v="0"/>
    <s v="zN/A"/>
    <s v="Zadeh, Gelareh"/>
  </r>
  <r>
    <x v="1015"/>
    <s v="University Health Network (Toronto)"/>
    <x v="1"/>
    <x v="1"/>
    <s v="202203PJT"/>
    <x v="1"/>
    <s v="Uncovering the molecular biomarkers of radiation responsiveness in meningiomas"/>
    <n v="1051876"/>
    <n v="0"/>
    <s v="5 yrs 0 mth "/>
    <x v="0"/>
    <x v="3"/>
    <s v="molecular biomarkers, radiation, meningiomas"/>
    <n v="0"/>
    <s v="zN/A"/>
    <n v="0"/>
    <s v="zN/A"/>
    <s v="Zadeh, Gelareh"/>
  </r>
  <r>
    <x v="1016"/>
    <s v="University of Toronto"/>
    <x v="1"/>
    <x v="0"/>
    <s v="201203MOP"/>
    <x v="9"/>
    <s v="Engineering niches to support the development of definitive blood progenitors from human pluripotent stem cells"/>
    <n v="819405"/>
    <n v="0"/>
    <s v="5 yrs 0 mth "/>
    <x v="3"/>
    <x v="12"/>
    <s v="blood progenitors, pluripotent stem cells, niches"/>
    <n v="0"/>
    <s v="zN/A"/>
    <n v="0"/>
    <s v="zN/A"/>
    <s v="Zandstra, Peter W"/>
  </r>
  <r>
    <x v="1016"/>
    <s v="University of Toronto"/>
    <x v="1"/>
    <x v="0"/>
    <s v="201309MOP"/>
    <x v="9"/>
    <s v="Regulatory control of pluripotent cell identity and fate"/>
    <n v="917420"/>
    <n v="0"/>
    <s v="5 yrs 0 mth "/>
    <x v="7"/>
    <x v="9"/>
    <s v="regulatory control, pluripotent cell, cell identity"/>
    <n v="5"/>
    <s v="zN/A"/>
    <n v="0"/>
    <s v="zN/A"/>
    <s v="Zandstra, Peter W"/>
  </r>
  <r>
    <x v="1016"/>
    <s v="University of British Columbia"/>
    <x v="3"/>
    <x v="1"/>
    <s v="202403PJT"/>
    <x v="10"/>
    <s v="Gastruloid Engineering: Precision Organoid Design for Developmental and Disease Modeling"/>
    <n v="1208700"/>
    <n v="0"/>
    <s v="5 yrs 0 mth "/>
    <x v="2"/>
    <x v="38"/>
    <s v="Gastruloid, Organoid, Disease Modeling"/>
    <n v="0"/>
    <s v="zN/A"/>
    <n v="0"/>
    <s v="zN/A"/>
    <s v="Zandstra, Peter W"/>
  </r>
  <r>
    <x v="1017"/>
    <s v="University of British Columbia"/>
    <x v="3"/>
    <x v="0"/>
    <s v="201309MOP"/>
    <x v="0"/>
    <s v="Regulation of intestinal homeostasis and cancer by the lysine methyltransferase Set7"/>
    <n v="795064"/>
    <n v="0"/>
    <s v="5 yrs 0 mth "/>
    <x v="0"/>
    <x v="9"/>
    <s v="intestinal, methyltransferase, cancer"/>
    <n v="0"/>
    <s v="zN/A"/>
    <n v="0"/>
    <s v="zN/A"/>
    <s v="Zaph, Colby"/>
  </r>
  <r>
    <x v="1018"/>
    <s v="University of Toronto"/>
    <x v="1"/>
    <x v="1"/>
    <s v="202203PJT"/>
    <x v="9"/>
    <s v="Bidirectional, selective, and implantable peripheral nerve interface for restoring function after spinal cord injury"/>
    <n v="822376"/>
    <n v="0"/>
    <s v="5 yrs 0 mth "/>
    <x v="4"/>
    <x v="3"/>
    <s v="nerve interface, spinal cord, implantable"/>
    <n v="0"/>
    <s v="zN/A"/>
    <n v="0"/>
    <s v="zN/A"/>
    <s v="Zariffa, Jose"/>
  </r>
  <r>
    <x v="1019"/>
    <s v="University Health Network (Toronto)"/>
    <x v="1"/>
    <x v="1"/>
    <s v="202109PJT"/>
    <x v="6"/>
    <s v="Picosecond InfraRed Laser Mass Spectrometry (PIRL-MS) for Rapid Determination of Pediatric Brain Tumour Pathology"/>
    <n v="677025"/>
    <n v="0"/>
    <s v="5 yrs 0 mth "/>
    <x v="0"/>
    <x v="25"/>
    <s v="Picosecond, InfraRed, Mass Spectrometry"/>
    <n v="1"/>
    <s v="zN/A"/>
    <n v="0"/>
    <s v="zN/A"/>
    <s v="Zarrine-Afsar, Arash"/>
  </r>
  <r>
    <x v="1019"/>
    <s v="University Health Network (Toronto)"/>
    <x v="1"/>
    <x v="1"/>
    <s v="202309PJT"/>
    <x v="6"/>
    <s v="Rapid high sensitivity and specificity diagnosis of melanoma with Picosecond infrared laser mass spectrometry"/>
    <n v="619650"/>
    <n v="0"/>
    <s v="5 yrs 0 mth "/>
    <x v="0"/>
    <x v="33"/>
    <s v="melanoma, infrared laser, mass spectrometry"/>
    <n v="0"/>
    <s v="zN/A"/>
    <n v="0"/>
    <s v="zN/A"/>
    <s v="Zarrine-Afsar, Arash"/>
  </r>
  <r>
    <x v="1020"/>
    <s v="University of Manitoba"/>
    <x v="0"/>
    <x v="13"/>
    <s v="202005VR3"/>
    <x v="12"/>
    <s v="ANTI-THROMBOTIC THERAPY TO AMELIORATE COMPLICATIONS OF COVID-19 (ATTACC): A randomized, international, multi-centre, adaptive, controlled clinical trial"/>
    <n v="3573336"/>
    <n v="0"/>
    <s v="1 yr 0 mth "/>
    <x v="3"/>
    <x v="2"/>
    <s v="anti-thrombotic, COVID-19, clinical trial"/>
    <n v="0"/>
    <s v="zN/A"/>
    <n v="0"/>
    <s v="zN/A"/>
    <s v="Zarychanski, Ryan"/>
  </r>
  <r>
    <x v="1021"/>
    <s v="Lakehead University (Thunder Bay, Ontario)"/>
    <x v="1"/>
    <x v="6"/>
    <s v="201410CPG"/>
    <x v="8"/>
    <s v="High intensity focused ultrasound and newly engineered single domain antibodies for non-invasive treatment of human papillomavirus-related cervical cancer"/>
    <n v="226870"/>
    <n v="0"/>
    <s v="3 yrs 0 mth "/>
    <x v="0"/>
    <x v="6"/>
    <s v="ultrasound, antibodies, cervical cancer"/>
    <n v="0"/>
    <s v="zN/A"/>
    <n v="0"/>
    <s v="zN/A"/>
    <s v="Zehbe, Ingeborg"/>
  </r>
  <r>
    <x v="1022"/>
    <s v="University of Alberta"/>
    <x v="2"/>
    <x v="6"/>
    <s v="201310CPG"/>
    <x v="8"/>
    <s v="Modulation-Encoded Micromachined Transducer Arrays for Ultrasound and Photoacoustic Imaging of Prostate and Colorectal Cancer"/>
    <n v="274000"/>
    <n v="0"/>
    <s v="3 yrs 0 mth "/>
    <x v="0"/>
    <x v="9"/>
    <s v="Micromachined, Transducer, Imaging"/>
    <n v="9"/>
    <s v="zN/A"/>
    <n v="0"/>
    <s v="zN/A"/>
    <s v="Zemp, Roger J"/>
  </r>
  <r>
    <x v="1022"/>
    <s v="University of Alberta"/>
    <x v="2"/>
    <x v="1"/>
    <s v="201909PJT"/>
    <x v="6"/>
    <s v="Photoacoustic Remote Sensing Virtual Histology for Tumor Margin Assessment"/>
    <n v="551542"/>
    <n v="0"/>
    <s v="4 yrs 0 mth "/>
    <x v="0"/>
    <x v="22"/>
    <s v="Photoacoustic, Virtual Histology, Tumor Margin"/>
    <n v="1"/>
    <s v="zN/A"/>
    <n v="0"/>
    <s v="zN/A"/>
    <s v="Zemp, Roger J"/>
  </r>
  <r>
    <x v="1023"/>
    <s v="University of British Columbia"/>
    <x v="3"/>
    <x v="0"/>
    <s v="200909MOP"/>
    <x v="6"/>
    <s v="MEMS Enabled Reflectance Confocal Microscopy for Early GI Cancer Detection"/>
    <n v="293915"/>
    <n v="0"/>
    <s v="3 yrs 0 mth "/>
    <x v="0"/>
    <x v="10"/>
    <s v="MEMS, Confocal Microscopy, GI Cancer"/>
    <n v="2"/>
    <s v="zN/A"/>
    <n v="0"/>
    <s v="zN/A"/>
    <s v="Zeng, Haishan"/>
  </r>
  <r>
    <x v="1023"/>
    <s v="University of British Columbia"/>
    <x v="3"/>
    <x v="0"/>
    <s v="201303MOP"/>
    <x v="6"/>
    <s v="Integrated In Vivo Multiphoton Microscopy and Confocal Raman Spectroscopy for Skin Cancer Detection and Evaluation"/>
    <n v="493204"/>
    <n v="0"/>
    <s v="5 yrs 0 mth "/>
    <x v="0"/>
    <x v="34"/>
    <s v="Multiphoton Microscopy, Raman Spectroscopy, Skin Cancer"/>
    <n v="2"/>
    <s v="zN/A"/>
    <n v="0"/>
    <s v="zN/A"/>
    <s v="Zeng, Haishan"/>
  </r>
  <r>
    <x v="1023"/>
    <s v="University of British Columbia"/>
    <x v="3"/>
    <x v="1"/>
    <s v="201903PJT"/>
    <x v="6"/>
    <s v="Multiphoton Photothermolysis Based Laser Therapy for Precision Treatment of Neovascular Eye Diseases"/>
    <n v="711451"/>
    <n v="0"/>
    <s v="4 yrs 0 mth "/>
    <x v="4"/>
    <x v="1"/>
    <s v="Multiphoton, Photothermolysis, Laser"/>
    <n v="0"/>
    <s v="zN/A"/>
    <n v="0"/>
    <s v="zN/A"/>
    <s v="Zeng, Haishan"/>
  </r>
  <r>
    <x v="1023"/>
    <s v="University of British Columbia"/>
    <x v="3"/>
    <x v="25"/>
    <s v="202309DCP"/>
    <x v="6"/>
    <s v="Advanced Raman Spectroscopy for Exhaled Breath Analysis for Lung Cancer Detection"/>
    <n v="100000"/>
    <n v="0"/>
    <s v="1 yr 0 mth "/>
    <x v="0"/>
    <x v="37"/>
    <s v="Raman spectroscopy, exhaled breath, lung cancer"/>
    <n v="0"/>
    <s v="zN/A"/>
    <n v="0"/>
    <s v="zN/A"/>
    <s v="Zeng, Haishan"/>
  </r>
  <r>
    <x v="1024"/>
    <s v="McMaster University"/>
    <x v="1"/>
    <x v="1"/>
    <s v="201809PJT"/>
    <x v="9"/>
    <s v="Pre-clinical evaluation of micro-tissue injection and self-assembly in vivo for cardiac repairs."/>
    <n v="386324"/>
    <n v="0"/>
    <s v="4 yrs 0 mth "/>
    <x v="3"/>
    <x v="26"/>
    <s v="micro-tissue, injection, cardiac"/>
    <n v="6"/>
    <s v="zN/A"/>
    <n v="0"/>
    <s v="zN/A"/>
    <s v="Zhang, Boyang"/>
  </r>
  <r>
    <x v="1024"/>
    <s v="McMaster University"/>
    <x v="1"/>
    <x v="1"/>
    <s v="201903PJT"/>
    <x v="9"/>
    <s v="SynoPlate - Human physiology on demand"/>
    <n v="684675"/>
    <n v="0"/>
    <s v="4 yrs 0 mth "/>
    <x v="3"/>
    <x v="1"/>
    <s v="SynoPlate, physiology, on demand"/>
    <n v="0"/>
    <s v="zN/A"/>
    <n v="0"/>
    <s v="zN/A"/>
    <s v="Zhang, Boyang"/>
  </r>
  <r>
    <x v="1025"/>
    <s v="Sinai Health System (Toronto)"/>
    <x v="1"/>
    <x v="0"/>
    <s v="200903MOP"/>
    <x v="0"/>
    <s v="Studies of the role of an Ets family protein in prostate cancer"/>
    <n v="694200"/>
    <n v="0"/>
    <s v="5 yrs 0 mth "/>
    <x v="0"/>
    <x v="5"/>
    <s v="Ets, prostate cancer"/>
    <n v="0"/>
    <s v="zN/A"/>
    <n v="0"/>
    <s v="zN/A"/>
    <s v="Zhang, Jinyi"/>
  </r>
  <r>
    <x v="1026"/>
    <s v="University Health Network (Toronto)"/>
    <x v="1"/>
    <x v="0"/>
    <s v="201109MOP"/>
    <x v="1"/>
    <s v="Development of personalized immunotherapy to treat lung cancer using gamma-delta-T cells"/>
    <n v="785005"/>
    <n v="0"/>
    <s v="5 yrs 0 mth "/>
    <x v="0"/>
    <x v="15"/>
    <s v="immunotherapy, gamma-delta-T cells, lung cancer"/>
    <n v="8"/>
    <s v="zN/A"/>
    <n v="0"/>
    <s v="zN/A"/>
    <s v="Zhang, Li"/>
  </r>
  <r>
    <x v="1027"/>
    <s v="University of Guelph"/>
    <x v="1"/>
    <x v="1"/>
    <s v="201809PJT"/>
    <x v="5"/>
    <s v="Development of allosteric inhibitors for HECT E3 ligases"/>
    <n v="745875"/>
    <n v="0"/>
    <s v="5 yrs 0 mth "/>
    <x v="0"/>
    <x v="26"/>
    <s v="allosteric, inhibitors, E3 ligases"/>
    <n v="1"/>
    <s v="zN/A"/>
    <n v="0"/>
    <s v="zN/A"/>
    <s v="Zhang, Wei"/>
  </r>
  <r>
    <x v="1028"/>
    <s v="University of Calgary"/>
    <x v="2"/>
    <x v="33"/>
    <s v="201909PJ8"/>
    <x v="6"/>
    <s v="Prediction of multiple sclerosis disability worsening scores using multi-stream deep learning"/>
    <n v="100000"/>
    <n v="0"/>
    <s v="1 yr 0 mth "/>
    <x v="4"/>
    <x v="47"/>
    <s v="multiple sclerosis, deep learning, disability scoring"/>
    <n v="0"/>
    <s v="zN/A"/>
    <n v="0"/>
    <s v="zN/A"/>
    <s v="Zhang, Yunyan"/>
  </r>
  <r>
    <x v="1028"/>
    <s v="University of Calgary"/>
    <x v="2"/>
    <x v="1"/>
    <s v="202003PJT"/>
    <x v="6"/>
    <s v="Prediction of multiple sclerosis disability worsening scores using multi-stream deep learning"/>
    <n v="711450"/>
    <n v="0"/>
    <s v="5 yrs 0 mth "/>
    <x v="4"/>
    <x v="47"/>
    <s v="multiple sclerosis, deep learning, disability scoring"/>
    <n v="0"/>
    <s v="zN/A"/>
    <n v="0"/>
    <s v="zN/A"/>
    <s v="Zhang, Yunyan"/>
  </r>
  <r>
    <x v="1029"/>
    <s v="Université Laval"/>
    <x v="4"/>
    <x v="0"/>
    <s v="201003MOP"/>
    <x v="9"/>
    <s v="Cell Response to Electrical Stimulation Mediated by Conductive Scaffold"/>
    <n v="459471"/>
    <n v="0"/>
    <s v="5 yrs 0 mth "/>
    <x v="5"/>
    <x v="21"/>
    <s v="Cell, Electrical Stimulation, Conductive Scaffold"/>
    <n v="0"/>
    <s v="zN/A"/>
    <n v="0"/>
    <s v="zN/A"/>
    <s v="Zhang, Ze"/>
  </r>
  <r>
    <x v="1030"/>
    <s v="University Health Network (Toronto)"/>
    <x v="1"/>
    <x v="0"/>
    <s v="201109MOP"/>
    <x v="0"/>
    <s v="Porphysome nanoparticle-enabled minimally invasive transbronchial photothermal ablation of lung cancer"/>
    <n v="756699"/>
    <n v="0"/>
    <s v="5 yrs 0 mth "/>
    <x v="0"/>
    <x v="15"/>
    <s v="Porphysome, nanoparticle, photothermal"/>
    <n v="6"/>
    <s v="zN/A"/>
    <n v="0"/>
    <s v="zN/A"/>
    <s v="Zheng, Gang"/>
  </r>
  <r>
    <x v="1030"/>
    <s v="University Health Network (Toronto)"/>
    <x v="1"/>
    <x v="0"/>
    <s v="201309MOP"/>
    <x v="1"/>
    <s v="Improving cure rate of early stage lung cancer with personalized nanomedicine"/>
    <n v="695400"/>
    <n v="0"/>
    <s v="5 yrs 0 mth "/>
    <x v="0"/>
    <x v="9"/>
    <s v="lung cancer, nanomedicine, cure rate"/>
    <n v="3"/>
    <s v="zN/A"/>
    <n v="0"/>
    <s v="zN/A"/>
    <s v="Zheng, Gang"/>
  </r>
  <r>
    <x v="1030"/>
    <s v="University Health Network (Toronto)"/>
    <x v="1"/>
    <x v="1"/>
    <s v="202303PJT"/>
    <x v="10"/>
    <s v="New nanotechnology for non-invasive deep lung-activatable antimicrobial photodynamic therapy of hospital-associated pneumonia"/>
    <n v="837676"/>
    <n v="0"/>
    <s v="5 yrs 0 mth "/>
    <x v="1"/>
    <x v="13"/>
    <s v="nanotechnology, photodynamic, pneumonia"/>
    <n v="0"/>
    <s v="zN/A"/>
    <n v="0"/>
    <s v="zN/A"/>
    <s v="Zheng, Gang"/>
  </r>
  <r>
    <x v="1030"/>
    <s v="University Health Network (Toronto)"/>
    <x v="1"/>
    <x v="1"/>
    <s v="202303PJT"/>
    <x v="5"/>
    <s v="Synergistic Radiosensitization of Hypoxic Pancreatic Adenocarcinoma using Gd-Texaphyrin Oxygen-Loaded Nanodroplets"/>
    <n v="994500"/>
    <n v="0"/>
    <s v="5 yrs 0 mth "/>
    <x v="0"/>
    <x v="50"/>
    <s v="Radiosensitization, Hypoxic, Nanodroplets"/>
    <n v="0"/>
    <s v="zN/A"/>
    <n v="0"/>
    <s v="zN/A"/>
    <s v="Zheng, Gang"/>
  </r>
  <r>
    <x v="1031"/>
    <s v="University of British Columbia"/>
    <x v="3"/>
    <x v="0"/>
    <s v="201103MOP"/>
    <x v="1"/>
    <s v="Abnormal Activation of Thymocytes High-Mobility Group Box Protein (TOX) in Cutaneous T Cell Lymphomas: Pathogenic Significance and Clinical Applications"/>
    <n v="340314"/>
    <n v="0"/>
    <s v="3 yrs 0 mth "/>
    <x v="5"/>
    <x v="17"/>
    <s v="Thymocytes, TOX, T Cell Lymphomas"/>
    <n v="2"/>
    <s v="zN/A"/>
    <n v="0"/>
    <s v="zN/A"/>
    <s v="Zhou, Youwen"/>
  </r>
  <r>
    <x v="1032"/>
    <s v="McMaster University"/>
    <x v="1"/>
    <x v="0"/>
    <s v="201209MOP"/>
    <x v="0"/>
    <s v="Functional Analysis of Proteins Involved in Telomere Maintenance and Genome Integrity"/>
    <n v="813505"/>
    <n v="0"/>
    <s v="5 yrs 0 mth "/>
    <x v="0"/>
    <x v="14"/>
    <s v="Proteins, Telomere, Genome"/>
    <n v="0"/>
    <s v="zN/A"/>
    <n v="0"/>
    <s v="zN/A"/>
    <s v="Zhu, Xu-Dong"/>
  </r>
  <r>
    <x v="1032"/>
    <s v="McMaster University"/>
    <x v="1"/>
    <x v="1"/>
    <s v="201803PJT"/>
    <x v="0"/>
    <s v="Elucidating the Role of CSB in the Maintenance of Genomic Stability"/>
    <n v="902700"/>
    <n v="0"/>
    <s v="5 yrs 0 mth "/>
    <x v="0"/>
    <x v="7"/>
    <s v="CSB, Genomic Stability, DNA Repair"/>
    <n v="0"/>
    <s v="zN/A"/>
    <n v="0"/>
    <s v="zN/A"/>
    <s v="Zhu, Xu-Dong"/>
  </r>
  <r>
    <x v="1033"/>
    <s v="University of British Columbia"/>
    <x v="3"/>
    <x v="1"/>
    <s v="201803PJT"/>
    <x v="3"/>
    <s v="Hormone therapy induces reprogramming to drive aggressive prostate cancer"/>
    <n v="669376"/>
    <n v="0"/>
    <s v="5 yrs 0 mth "/>
    <x v="0"/>
    <x v="7"/>
    <s v="hormone therapy, reprogramming, prostate cancer"/>
    <n v="0"/>
    <s v="zN/A"/>
    <n v="0"/>
    <s v="zN/A"/>
    <s v="Zoubeidi, Amina"/>
  </r>
  <r>
    <x v="1033"/>
    <s v="University of British Columbia"/>
    <x v="3"/>
    <x v="1"/>
    <s v="201909PJT"/>
    <x v="1"/>
    <s v="The role of the lineage oncogene ASCL1 in treatment-induced neuroendocrine prostate cancer"/>
    <n v="841500"/>
    <n v="0"/>
    <s v="5 yrs 0 mth "/>
    <x v="0"/>
    <x v="22"/>
    <s v="ASCL1, neuroendocrine, prostate cancer"/>
    <n v="0"/>
    <s v="zN/A"/>
    <n v="0"/>
    <s v="zN/A"/>
    <s v="Zoubeidi, Amin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EC192CC-58D9-E14C-9EF9-439D7773014E}"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I32:J49" firstHeaderRow="1" firstDataRow="1" firstDataCol="1"/>
  <pivotFields count="21">
    <pivotField showAll="0"/>
    <pivotField showAll="0"/>
    <pivotField showAll="0"/>
    <pivotField showAll="0"/>
    <pivotField showAll="0"/>
    <pivotField showAll="0"/>
    <pivotField showAll="0"/>
    <pivotField numFmtId="6" showAll="0"/>
    <pivotField numFmtId="6" showAll="0"/>
    <pivotField showAll="0"/>
    <pivotField showAll="0"/>
    <pivotField numFmtId="14" showAll="0">
      <items count="63">
        <item x="42"/>
        <item x="45"/>
        <item x="48"/>
        <item x="0"/>
        <item x="5"/>
        <item x="29"/>
        <item x="10"/>
        <item x="55"/>
        <item x="21"/>
        <item x="44"/>
        <item x="16"/>
        <item x="57"/>
        <item x="17"/>
        <item x="31"/>
        <item x="15"/>
        <item x="12"/>
        <item x="32"/>
        <item x="14"/>
        <item x="34"/>
        <item x="54"/>
        <item x="9"/>
        <item x="18"/>
        <item x="58"/>
        <item x="20"/>
        <item x="6"/>
        <item x="19"/>
        <item x="24"/>
        <item x="30"/>
        <item x="11"/>
        <item x="7"/>
        <item x="61"/>
        <item x="26"/>
        <item x="1"/>
        <item x="47"/>
        <item x="22"/>
        <item x="2"/>
        <item x="39"/>
        <item x="56"/>
        <item x="23"/>
        <item x="35"/>
        <item x="52"/>
        <item x="25"/>
        <item x="51"/>
        <item x="3"/>
        <item x="28"/>
        <item x="8"/>
        <item x="49"/>
        <item x="13"/>
        <item x="37"/>
        <item x="33"/>
        <item x="53"/>
        <item x="50"/>
        <item x="38"/>
        <item x="60"/>
        <item x="46"/>
        <item x="4"/>
        <item x="36"/>
        <item x="27"/>
        <item x="41"/>
        <item x="43"/>
        <item x="40"/>
        <item x="59"/>
        <item t="default"/>
      </items>
    </pivotField>
    <pivotField showAll="0"/>
    <pivotField dataField="1"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1"/>
        <item sd="0" x="2"/>
        <item sd="0" x="3"/>
        <item sd="0" x="4"/>
        <item sd="0" x="5"/>
        <item x="0"/>
        <item t="default"/>
      </items>
    </pivotField>
    <pivotField axis="axisRow" showAll="0">
      <items count="19">
        <item sd="0" x="1"/>
        <item sd="0" x="2"/>
        <item sd="0" x="3"/>
        <item sd="0" x="4"/>
        <item sd="0" x="5"/>
        <item sd="0" x="6"/>
        <item sd="0" x="7"/>
        <item sd="0" x="8"/>
        <item sd="0" x="9"/>
        <item sd="0" x="10"/>
        <item sd="0" x="11"/>
        <item sd="0" x="12"/>
        <item sd="0" x="13"/>
        <item sd="0" x="14"/>
        <item sd="0" x="15"/>
        <item sd="0" x="16"/>
        <item sd="0" x="17"/>
        <item x="0"/>
        <item t="default"/>
      </items>
    </pivotField>
  </pivotFields>
  <rowFields count="1">
    <field x="20"/>
  </rowFields>
  <rowItems count="17">
    <i>
      <x/>
    </i>
    <i>
      <x v="1"/>
    </i>
    <i>
      <x v="2"/>
    </i>
    <i>
      <x v="3"/>
    </i>
    <i>
      <x v="4"/>
    </i>
    <i>
      <x v="5"/>
    </i>
    <i>
      <x v="6"/>
    </i>
    <i>
      <x v="7"/>
    </i>
    <i>
      <x v="8"/>
    </i>
    <i>
      <x v="9"/>
    </i>
    <i>
      <x v="10"/>
    </i>
    <i>
      <x v="11"/>
    </i>
    <i>
      <x v="12"/>
    </i>
    <i>
      <x v="13"/>
    </i>
    <i>
      <x v="14"/>
    </i>
    <i>
      <x v="15"/>
    </i>
    <i t="grand">
      <x/>
    </i>
  </rowItems>
  <colItems count="1">
    <i/>
  </colItems>
  <dataFields count="1">
    <dataField name="Sum of Patents"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A3ECD32-42F1-7440-9952-3A6F38E88A15}"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B29" firstHeaderRow="1" firstDataRow="1" firstDataCol="1"/>
  <pivotFields count="21">
    <pivotField dataField="1" showAll="0"/>
    <pivotField showAll="0"/>
    <pivotField showAll="0"/>
    <pivotField showAll="0"/>
    <pivotField showAll="0"/>
    <pivotField showAll="0"/>
    <pivotField showAll="0"/>
    <pivotField numFmtId="166" showAll="0"/>
    <pivotField numFmtId="166" showAll="0"/>
    <pivotField showAll="0"/>
    <pivotField axis="axisRow" showAll="0">
      <items count="14">
        <item x="6"/>
        <item x="0"/>
        <item x="3"/>
        <item x="8"/>
        <item x="2"/>
        <item x="11"/>
        <item x="7"/>
        <item x="12"/>
        <item x="1"/>
        <item x="5"/>
        <item x="4"/>
        <item x="9"/>
        <item x="10"/>
        <item t="default"/>
      </items>
    </pivotField>
    <pivotField numFmtId="14" showAll="0">
      <items count="63">
        <item x="42"/>
        <item x="45"/>
        <item x="48"/>
        <item x="0"/>
        <item x="5"/>
        <item x="29"/>
        <item x="10"/>
        <item x="55"/>
        <item x="21"/>
        <item x="44"/>
        <item x="16"/>
        <item x="57"/>
        <item x="17"/>
        <item x="41"/>
        <item x="31"/>
        <item x="15"/>
        <item x="12"/>
        <item x="32"/>
        <item x="14"/>
        <item x="60"/>
        <item x="34"/>
        <item x="54"/>
        <item x="9"/>
        <item x="18"/>
        <item x="58"/>
        <item x="20"/>
        <item x="6"/>
        <item x="19"/>
        <item x="46"/>
        <item x="4"/>
        <item x="40"/>
        <item x="24"/>
        <item x="30"/>
        <item x="11"/>
        <item x="7"/>
        <item x="43"/>
        <item x="61"/>
        <item x="26"/>
        <item x="1"/>
        <item x="47"/>
        <item x="22"/>
        <item x="2"/>
        <item x="39"/>
        <item x="56"/>
        <item x="23"/>
        <item x="35"/>
        <item x="52"/>
        <item x="25"/>
        <item x="51"/>
        <item x="3"/>
        <item x="28"/>
        <item x="8"/>
        <item x="59"/>
        <item x="49"/>
        <item x="13"/>
        <item x="36"/>
        <item x="37"/>
        <item x="33"/>
        <item x="53"/>
        <item x="27"/>
        <item x="50"/>
        <item x="38"/>
        <item t="default"/>
      </items>
    </pivotField>
    <pivotField showAll="0"/>
    <pivotField showAll="0"/>
    <pivotField showAll="0"/>
    <pivotField showAll="0"/>
    <pivotField showAll="0"/>
    <pivotField showAll="0"/>
    <pivotField showAll="0" defaultSubtotal="0"/>
    <pivotField showAll="0" defaultSubtotal="0"/>
    <pivotField showAll="0" defaultSubtotal="0">
      <items count="18">
        <item x="0"/>
        <item x="1"/>
        <item x="2"/>
        <item x="3"/>
        <item x="4"/>
        <item x="5"/>
        <item x="6"/>
        <item x="7"/>
        <item x="8"/>
        <item x="9"/>
        <item x="10"/>
        <item x="11"/>
        <item x="12"/>
        <item x="13"/>
        <item x="14"/>
        <item x="15"/>
        <item x="16"/>
        <item x="17"/>
      </items>
    </pivotField>
  </pivotFields>
  <rowFields count="1">
    <field x="10"/>
  </rowFields>
  <rowItems count="14">
    <i>
      <x/>
    </i>
    <i>
      <x v="1"/>
    </i>
    <i>
      <x v="2"/>
    </i>
    <i>
      <x v="3"/>
    </i>
    <i>
      <x v="4"/>
    </i>
    <i>
      <x v="5"/>
    </i>
    <i>
      <x v="6"/>
    </i>
    <i>
      <x v="7"/>
    </i>
    <i>
      <x v="8"/>
    </i>
    <i>
      <x v="9"/>
    </i>
    <i>
      <x v="10"/>
    </i>
    <i>
      <x v="11"/>
    </i>
    <i>
      <x v="12"/>
    </i>
    <i t="grand">
      <x/>
    </i>
  </rowItems>
  <colItems count="1">
    <i/>
  </colItems>
  <dataFields count="1">
    <dataField name="Count of Nam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D0CE379-2FF9-BA40-BCEA-94992D306162}" name="PivotTable2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54:Q175" firstHeaderRow="1" firstDataRow="1" firstDataCol="1" rowPageCount="1" colPageCount="1"/>
  <pivotFields count="21">
    <pivotField axis="axisRow" showAll="0">
      <items count="1035">
        <item x="36"/>
        <item x="37"/>
        <item x="38"/>
        <item x="39"/>
        <item x="41"/>
        <item x="42"/>
        <item x="43"/>
        <item x="44"/>
        <item x="45"/>
        <item x="47"/>
        <item x="50"/>
        <item x="53"/>
        <item x="54"/>
        <item x="56"/>
        <item x="57"/>
        <item x="58"/>
        <item x="59"/>
        <item x="61"/>
        <item x="13"/>
        <item x="64"/>
        <item x="65"/>
        <item x="66"/>
        <item x="67"/>
        <item x="68"/>
        <item x="69"/>
        <item x="70"/>
        <item x="71"/>
        <item x="72"/>
        <item x="73"/>
        <item x="74"/>
        <item x="75"/>
        <item x="77"/>
        <item x="79"/>
        <item x="80"/>
        <item x="82"/>
        <item x="83"/>
        <item x="85"/>
        <item x="86"/>
        <item x="18"/>
        <item x="87"/>
        <item x="88"/>
        <item x="89"/>
        <item x="90"/>
        <item x="91"/>
        <item x="95"/>
        <item x="97"/>
        <item x="98"/>
        <item x="99"/>
        <item x="100"/>
        <item x="102"/>
        <item x="105"/>
        <item x="30"/>
        <item x="106"/>
        <item x="107"/>
        <item x="108"/>
        <item x="109"/>
        <item x="110"/>
        <item x="111"/>
        <item x="112"/>
        <item x="113"/>
        <item x="114"/>
        <item x="115"/>
        <item x="116"/>
        <item x="117"/>
        <item x="119"/>
        <item x="122"/>
        <item x="123"/>
        <item x="124"/>
        <item x="126"/>
        <item x="127"/>
        <item x="31"/>
        <item x="129"/>
        <item x="132"/>
        <item x="133"/>
        <item x="135"/>
        <item x="138"/>
        <item x="139"/>
        <item x="140"/>
        <item x="141"/>
        <item x="143"/>
        <item x="27"/>
        <item x="145"/>
        <item x="146"/>
        <item x="148"/>
        <item x="149"/>
        <item x="150"/>
        <item x="151"/>
        <item x="154"/>
        <item x="155"/>
        <item x="157"/>
        <item x="158"/>
        <item x="159"/>
        <item x="160"/>
        <item x="161"/>
        <item x="162"/>
        <item x="20"/>
        <item x="163"/>
        <item x="164"/>
        <item x="166"/>
        <item x="170"/>
        <item x="172"/>
        <item x="174"/>
        <item x="175"/>
        <item x="177"/>
        <item x="178"/>
        <item x="179"/>
        <item x="180"/>
        <item x="182"/>
        <item x="183"/>
        <item x="184"/>
        <item x="185"/>
        <item x="186"/>
        <item x="187"/>
        <item x="188"/>
        <item x="189"/>
        <item x="190"/>
        <item x="191"/>
        <item x="192"/>
        <item x="193"/>
        <item x="194"/>
        <item x="196"/>
        <item x="197"/>
        <item x="198"/>
        <item x="200"/>
        <item x="201"/>
        <item x="202"/>
        <item x="204"/>
        <item x="205"/>
        <item x="207"/>
        <item x="208"/>
        <item x="209"/>
        <item x="210"/>
        <item x="211"/>
        <item x="212"/>
        <item x="213"/>
        <item x="214"/>
        <item x="216"/>
        <item x="217"/>
        <item x="219"/>
        <item x="220"/>
        <item x="221"/>
        <item x="222"/>
        <item x="17"/>
        <item x="224"/>
        <item x="225"/>
        <item x="226"/>
        <item x="228"/>
        <item x="16"/>
        <item x="229"/>
        <item x="230"/>
        <item x="231"/>
        <item x="233"/>
        <item x="234"/>
        <item x="235"/>
        <item x="2"/>
        <item x="236"/>
        <item x="238"/>
        <item x="239"/>
        <item x="15"/>
        <item x="240"/>
        <item x="241"/>
        <item x="244"/>
        <item x="245"/>
        <item x="248"/>
        <item x="249"/>
        <item x="250"/>
        <item x="251"/>
        <item x="252"/>
        <item x="253"/>
        <item x="254"/>
        <item x="255"/>
        <item x="257"/>
        <item x="258"/>
        <item x="259"/>
        <item x="260"/>
        <item x="261"/>
        <item x="263"/>
        <item x="264"/>
        <item x="265"/>
        <item x="266"/>
        <item x="269"/>
        <item x="270"/>
        <item x="272"/>
        <item x="273"/>
        <item x="23"/>
        <item x="25"/>
        <item x="274"/>
        <item x="275"/>
        <item x="278"/>
        <item x="279"/>
        <item x="280"/>
        <item x="281"/>
        <item x="283"/>
        <item x="284"/>
        <item x="285"/>
        <item x="286"/>
        <item x="288"/>
        <item x="290"/>
        <item x="291"/>
        <item x="292"/>
        <item x="293"/>
        <item x="32"/>
        <item x="295"/>
        <item x="296"/>
        <item x="298"/>
        <item x="299"/>
        <item x="300"/>
        <item x="304"/>
        <item x="306"/>
        <item x="307"/>
        <item x="309"/>
        <item x="310"/>
        <item x="312"/>
        <item x="313"/>
        <item x="314"/>
        <item x="317"/>
        <item x="318"/>
        <item x="319"/>
        <item x="320"/>
        <item x="321"/>
        <item x="326"/>
        <item x="327"/>
        <item x="328"/>
        <item x="329"/>
        <item x="330"/>
        <item x="331"/>
        <item x="332"/>
        <item x="333"/>
        <item x="7"/>
        <item x="334"/>
        <item x="335"/>
        <item x="336"/>
        <item x="338"/>
        <item x="340"/>
        <item x="342"/>
        <item x="344"/>
        <item x="345"/>
        <item x="348"/>
        <item x="351"/>
        <item x="354"/>
        <item x="356"/>
        <item x="357"/>
        <item x="358"/>
        <item x="359"/>
        <item x="360"/>
        <item x="361"/>
        <item x="362"/>
        <item x="363"/>
        <item x="364"/>
        <item x="365"/>
        <item x="366"/>
        <item x="367"/>
        <item x="369"/>
        <item x="370"/>
        <item x="373"/>
        <item x="374"/>
        <item x="375"/>
        <item x="376"/>
        <item x="377"/>
        <item x="378"/>
        <item x="381"/>
        <item x="382"/>
        <item x="385"/>
        <item x="10"/>
        <item x="386"/>
        <item x="387"/>
        <item x="388"/>
        <item x="389"/>
        <item x="391"/>
        <item x="393"/>
        <item x="394"/>
        <item x="395"/>
        <item x="396"/>
        <item x="397"/>
        <item x="398"/>
        <item x="400"/>
        <item x="403"/>
        <item x="404"/>
        <item x="405"/>
        <item x="406"/>
        <item x="407"/>
        <item x="408"/>
        <item x="409"/>
        <item x="411"/>
        <item x="412"/>
        <item x="21"/>
        <item x="416"/>
        <item x="417"/>
        <item x="33"/>
        <item x="418"/>
        <item x="419"/>
        <item x="420"/>
        <item x="421"/>
        <item x="422"/>
        <item x="423"/>
        <item x="424"/>
        <item x="425"/>
        <item x="426"/>
        <item x="428"/>
        <item x="429"/>
        <item x="430"/>
        <item x="431"/>
        <item x="432"/>
        <item x="6"/>
        <item x="435"/>
        <item x="436"/>
        <item x="437"/>
        <item x="438"/>
        <item x="439"/>
        <item x="440"/>
        <item x="442"/>
        <item x="443"/>
        <item x="444"/>
        <item x="445"/>
        <item x="446"/>
        <item x="447"/>
        <item x="448"/>
        <item x="449"/>
        <item x="19"/>
        <item x="451"/>
        <item x="452"/>
        <item x="454"/>
        <item x="455"/>
        <item x="457"/>
        <item x="458"/>
        <item x="459"/>
        <item x="460"/>
        <item x="461"/>
        <item x="462"/>
        <item x="464"/>
        <item x="465"/>
        <item x="466"/>
        <item x="468"/>
        <item x="469"/>
        <item x="470"/>
        <item x="471"/>
        <item x="473"/>
        <item x="474"/>
        <item x="475"/>
        <item x="477"/>
        <item x="478"/>
        <item x="479"/>
        <item x="481"/>
        <item x="482"/>
        <item x="485"/>
        <item x="486"/>
        <item x="487"/>
        <item x="488"/>
        <item x="489"/>
        <item x="490"/>
        <item x="491"/>
        <item x="492"/>
        <item x="493"/>
        <item x="494"/>
        <item x="496"/>
        <item x="498"/>
        <item x="501"/>
        <item x="503"/>
        <item x="504"/>
        <item x="505"/>
        <item x="506"/>
        <item x="507"/>
        <item x="508"/>
        <item x="509"/>
        <item x="515"/>
        <item x="517"/>
        <item x="518"/>
        <item x="519"/>
        <item x="521"/>
        <item x="523"/>
        <item x="527"/>
        <item x="528"/>
        <item x="529"/>
        <item x="530"/>
        <item x="532"/>
        <item x="534"/>
        <item x="536"/>
        <item x="537"/>
        <item x="538"/>
        <item x="539"/>
        <item x="540"/>
        <item x="541"/>
        <item x="544"/>
        <item x="545"/>
        <item x="546"/>
        <item x="547"/>
        <item x="3"/>
        <item x="548"/>
        <item x="549"/>
        <item x="550"/>
        <item x="551"/>
        <item x="552"/>
        <item x="553"/>
        <item x="555"/>
        <item x="11"/>
        <item x="556"/>
        <item x="557"/>
        <item x="558"/>
        <item x="559"/>
        <item x="560"/>
        <item x="4"/>
        <item x="562"/>
        <item x="563"/>
        <item x="564"/>
        <item x="565"/>
        <item x="566"/>
        <item x="567"/>
        <item x="568"/>
        <item x="571"/>
        <item x="572"/>
        <item x="574"/>
        <item x="575"/>
        <item x="577"/>
        <item x="578"/>
        <item x="579"/>
        <item x="580"/>
        <item x="581"/>
        <item x="582"/>
        <item x="583"/>
        <item x="584"/>
        <item x="585"/>
        <item x="587"/>
        <item x="0"/>
        <item x="589"/>
        <item x="590"/>
        <item x="592"/>
        <item x="594"/>
        <item x="596"/>
        <item x="598"/>
        <item x="599"/>
        <item x="600"/>
        <item x="601"/>
        <item x="604"/>
        <item x="605"/>
        <item x="607"/>
        <item x="608"/>
        <item x="609"/>
        <item x="611"/>
        <item x="613"/>
        <item x="614"/>
        <item x="615"/>
        <item x="616"/>
        <item x="617"/>
        <item x="618"/>
        <item x="619"/>
        <item x="621"/>
        <item x="622"/>
        <item x="623"/>
        <item x="624"/>
        <item x="625"/>
        <item x="626"/>
        <item x="628"/>
        <item x="630"/>
        <item x="633"/>
        <item x="640"/>
        <item x="641"/>
        <item x="642"/>
        <item x="643"/>
        <item x="644"/>
        <item x="645"/>
        <item x="646"/>
        <item x="648"/>
        <item x="649"/>
        <item x="650"/>
        <item x="652"/>
        <item x="653"/>
        <item x="655"/>
        <item x="656"/>
        <item x="657"/>
        <item x="658"/>
        <item x="662"/>
        <item x="663"/>
        <item x="664"/>
        <item x="665"/>
        <item x="666"/>
        <item x="668"/>
        <item x="669"/>
        <item x="670"/>
        <item x="672"/>
        <item x="673"/>
        <item x="675"/>
        <item x="676"/>
        <item x="677"/>
        <item x="678"/>
        <item x="681"/>
        <item x="682"/>
        <item x="683"/>
        <item x="684"/>
        <item x="685"/>
        <item x="688"/>
        <item x="689"/>
        <item x="690"/>
        <item x="22"/>
        <item x="691"/>
        <item x="692"/>
        <item x="693"/>
        <item x="694"/>
        <item x="695"/>
        <item x="697"/>
        <item x="698"/>
        <item x="699"/>
        <item x="700"/>
        <item x="701"/>
        <item x="702"/>
        <item x="703"/>
        <item x="704"/>
        <item x="707"/>
        <item x="709"/>
        <item x="713"/>
        <item x="715"/>
        <item x="717"/>
        <item x="718"/>
        <item x="720"/>
        <item x="721"/>
        <item x="722"/>
        <item x="723"/>
        <item x="724"/>
        <item x="726"/>
        <item x="727"/>
        <item x="729"/>
        <item x="731"/>
        <item x="732"/>
        <item x="733"/>
        <item x="735"/>
        <item x="736"/>
        <item x="737"/>
        <item x="738"/>
        <item x="740"/>
        <item x="741"/>
        <item x="742"/>
        <item x="743"/>
        <item x="745"/>
        <item x="746"/>
        <item x="747"/>
        <item x="749"/>
        <item x="751"/>
        <item x="752"/>
        <item x="754"/>
        <item x="756"/>
        <item x="758"/>
        <item x="759"/>
        <item x="24"/>
        <item x="760"/>
        <item x="762"/>
        <item x="763"/>
        <item x="764"/>
        <item x="765"/>
        <item x="766"/>
        <item x="767"/>
        <item x="768"/>
        <item x="770"/>
        <item x="773"/>
        <item x="774"/>
        <item x="775"/>
        <item x="776"/>
        <item x="777"/>
        <item x="778"/>
        <item x="780"/>
        <item x="781"/>
        <item x="782"/>
        <item x="784"/>
        <item x="785"/>
        <item x="787"/>
        <item x="788"/>
        <item x="789"/>
        <item x="790"/>
        <item x="791"/>
        <item x="792"/>
        <item x="793"/>
        <item x="794"/>
        <item x="795"/>
        <item x="796"/>
        <item x="797"/>
        <item x="798"/>
        <item x="799"/>
        <item x="800"/>
        <item x="801"/>
        <item x="802"/>
        <item x="803"/>
        <item x="804"/>
        <item x="807"/>
        <item x="808"/>
        <item x="809"/>
        <item x="810"/>
        <item x="811"/>
        <item x="9"/>
        <item x="813"/>
        <item x="815"/>
        <item x="817"/>
        <item x="819"/>
        <item x="820"/>
        <item x="821"/>
        <item x="822"/>
        <item x="823"/>
        <item x="34"/>
        <item x="825"/>
        <item x="826"/>
        <item x="827"/>
        <item x="828"/>
        <item x="829"/>
        <item x="830"/>
        <item x="831"/>
        <item x="832"/>
        <item x="833"/>
        <item x="835"/>
        <item x="836"/>
        <item x="837"/>
        <item x="838"/>
        <item x="840"/>
        <item x="842"/>
        <item x="843"/>
        <item x="844"/>
        <item x="846"/>
        <item x="848"/>
        <item x="850"/>
        <item x="851"/>
        <item x="852"/>
        <item x="853"/>
        <item x="855"/>
        <item x="856"/>
        <item x="857"/>
        <item x="858"/>
        <item x="8"/>
        <item x="859"/>
        <item x="861"/>
        <item x="862"/>
        <item x="863"/>
        <item x="865"/>
        <item x="867"/>
        <item x="869"/>
        <item x="870"/>
        <item x="871"/>
        <item x="872"/>
        <item x="875"/>
        <item x="876"/>
        <item x="877"/>
        <item x="878"/>
        <item x="879"/>
        <item x="880"/>
        <item x="881"/>
        <item x="882"/>
        <item x="883"/>
        <item x="884"/>
        <item x="887"/>
        <item x="888"/>
        <item x="889"/>
        <item x="890"/>
        <item x="892"/>
        <item x="893"/>
        <item x="28"/>
        <item x="895"/>
        <item x="901"/>
        <item x="902"/>
        <item x="903"/>
        <item x="904"/>
        <item x="905"/>
        <item x="907"/>
        <item x="908"/>
        <item x="910"/>
        <item x="912"/>
        <item x="913"/>
        <item x="915"/>
        <item x="917"/>
        <item x="919"/>
        <item x="920"/>
        <item x="921"/>
        <item x="922"/>
        <item x="923"/>
        <item x="924"/>
        <item x="925"/>
        <item x="926"/>
        <item x="927"/>
        <item x="930"/>
        <item x="931"/>
        <item x="932"/>
        <item x="934"/>
        <item x="936"/>
        <item x="938"/>
        <item x="939"/>
        <item x="940"/>
        <item x="942"/>
        <item x="26"/>
        <item x="943"/>
        <item x="944"/>
        <item x="945"/>
        <item x="946"/>
        <item x="947"/>
        <item x="949"/>
        <item x="950"/>
        <item x="951"/>
        <item x="952"/>
        <item x="954"/>
        <item x="955"/>
        <item x="956"/>
        <item x="958"/>
        <item x="960"/>
        <item x="962"/>
        <item x="29"/>
        <item x="963"/>
        <item x="964"/>
        <item x="966"/>
        <item x="967"/>
        <item x="5"/>
        <item x="970"/>
        <item x="972"/>
        <item x="973"/>
        <item x="975"/>
        <item x="976"/>
        <item x="978"/>
        <item x="980"/>
        <item x="981"/>
        <item x="982"/>
        <item x="984"/>
        <item x="987"/>
        <item x="989"/>
        <item x="991"/>
        <item x="992"/>
        <item x="14"/>
        <item x="994"/>
        <item x="995"/>
        <item x="996"/>
        <item x="998"/>
        <item x="999"/>
        <item x="1000"/>
        <item x="1002"/>
        <item x="1003"/>
        <item x="1004"/>
        <item x="1005"/>
        <item x="1008"/>
        <item x="1009"/>
        <item x="1010"/>
        <item x="1012"/>
        <item x="1013"/>
        <item x="1014"/>
        <item x="1015"/>
        <item x="1016"/>
        <item x="1017"/>
        <item x="1019"/>
        <item x="1022"/>
        <item x="1024"/>
        <item x="1025"/>
        <item x="1026"/>
        <item x="1027"/>
        <item x="1028"/>
        <item x="1029"/>
        <item x="1030"/>
        <item x="1031"/>
        <item x="1032"/>
        <item x="1033"/>
        <item x="814"/>
        <item x="771"/>
        <item x="849"/>
        <item x="965"/>
        <item x="520"/>
        <item x="637"/>
        <item x="680"/>
        <item x="873"/>
        <item x="899"/>
        <item x="570"/>
        <item x="845"/>
        <item x="402"/>
        <item x="710"/>
        <item x="638"/>
        <item x="660"/>
        <item x="914"/>
        <item x="453"/>
        <item x="232"/>
        <item x="786"/>
        <item x="379"/>
        <item x="456"/>
        <item x="906"/>
        <item x="55"/>
        <item x="450"/>
        <item x="1023"/>
        <item x="755"/>
        <item x="659"/>
        <item x="886"/>
        <item x="911"/>
        <item x="535"/>
        <item x="311"/>
        <item x="282"/>
        <item x="1020"/>
        <item x="586"/>
        <item x="935"/>
        <item x="783"/>
        <item x="142"/>
        <item x="94"/>
        <item x="147"/>
        <item x="896"/>
        <item x="81"/>
        <item x="977"/>
        <item x="49"/>
        <item x="576"/>
        <item x="1018"/>
        <item x="629"/>
        <item x="467"/>
        <item x="1001"/>
        <item x="1007"/>
        <item x="84"/>
        <item x="60"/>
        <item x="153"/>
        <item x="739"/>
        <item x="156"/>
        <item x="612"/>
        <item x="399"/>
        <item x="137"/>
        <item x="522"/>
        <item x="891"/>
        <item x="125"/>
        <item x="661"/>
        <item x="484"/>
        <item x="176"/>
        <item x="686"/>
        <item x="990"/>
        <item x="719"/>
        <item x="271"/>
        <item x="355"/>
        <item x="651"/>
        <item x="620"/>
        <item x="134"/>
        <item x="472"/>
        <item x="287"/>
        <item x="246"/>
        <item x="383"/>
        <item x="343"/>
        <item x="62"/>
        <item x="512"/>
        <item x="531"/>
        <item x="118"/>
        <item x="165"/>
        <item x="414"/>
        <item x="511"/>
        <item x="349"/>
        <item x="993"/>
        <item x="948"/>
        <item x="121"/>
        <item x="463"/>
        <item x="561"/>
        <item x="918"/>
        <item x="168"/>
        <item x="639"/>
        <item x="63"/>
        <item x="524"/>
        <item x="384"/>
        <item x="667"/>
        <item x="96"/>
        <item x="199"/>
        <item x="593"/>
        <item x="1011"/>
        <item x="533"/>
        <item x="969"/>
        <item x="711"/>
        <item x="35"/>
        <item x="708"/>
        <item x="215"/>
        <item x="325"/>
        <item x="128"/>
        <item x="322"/>
        <item x="679"/>
        <item x="52"/>
        <item x="674"/>
        <item x="203"/>
        <item x="476"/>
        <item x="218"/>
        <item x="513"/>
        <item x="78"/>
        <item x="812"/>
        <item x="347"/>
        <item x="933"/>
        <item x="868"/>
        <item x="753"/>
        <item x="543"/>
        <item x="839"/>
        <item x="597"/>
        <item x="602"/>
        <item x="131"/>
        <item x="262"/>
        <item x="227"/>
        <item x="371"/>
        <item x="591"/>
        <item x="898"/>
        <item x="242"/>
        <item x="885"/>
        <item x="805"/>
        <item x="847"/>
        <item x="997"/>
        <item x="1"/>
        <item x="909"/>
        <item x="223"/>
        <item x="51"/>
        <item x="130"/>
        <item x="1021"/>
        <item x="968"/>
        <item x="247"/>
        <item x="267"/>
        <item x="410"/>
        <item x="860"/>
        <item x="352"/>
        <item x="303"/>
        <item x="647"/>
        <item x="957"/>
        <item x="816"/>
        <item x="1006"/>
        <item x="499"/>
        <item x="979"/>
        <item x="961"/>
        <item x="988"/>
        <item x="276"/>
        <item x="635"/>
        <item x="937"/>
        <item x="542"/>
        <item x="900"/>
        <item x="289"/>
        <item x="705"/>
        <item x="874"/>
        <item x="120"/>
        <item x="750"/>
        <item x="434"/>
        <item x="769"/>
        <item x="372"/>
        <item x="237"/>
        <item x="302"/>
        <item x="144"/>
        <item x="897"/>
        <item x="502"/>
        <item x="48"/>
        <item x="525"/>
        <item x="929"/>
        <item x="495"/>
        <item x="392"/>
        <item x="634"/>
        <item x="301"/>
        <item x="324"/>
        <item x="500"/>
        <item x="588"/>
        <item x="195"/>
        <item x="136"/>
        <item x="779"/>
        <item x="854"/>
        <item x="603"/>
        <item x="380"/>
        <item x="243"/>
        <item x="631"/>
        <item x="569"/>
        <item x="916"/>
        <item x="941"/>
        <item x="93"/>
        <item x="712"/>
        <item x="92"/>
        <item x="256"/>
        <item x="169"/>
        <item x="983"/>
        <item x="104"/>
        <item x="308"/>
        <item x="350"/>
        <item x="824"/>
        <item x="687"/>
        <item x="806"/>
        <item x="595"/>
        <item x="171"/>
        <item x="339"/>
        <item x="12"/>
        <item x="341"/>
        <item x="167"/>
        <item x="761"/>
        <item x="894"/>
        <item x="627"/>
        <item x="315"/>
        <item x="526"/>
        <item x="76"/>
        <item x="294"/>
        <item x="268"/>
        <item x="368"/>
        <item x="480"/>
        <item x="346"/>
        <item x="636"/>
        <item x="441"/>
        <item x="818"/>
        <item x="297"/>
        <item x="834"/>
        <item x="181"/>
        <item x="734"/>
        <item x="510"/>
        <item x="305"/>
        <item x="757"/>
        <item x="841"/>
        <item x="554"/>
        <item x="40"/>
        <item x="985"/>
        <item x="610"/>
        <item x="654"/>
        <item x="101"/>
        <item x="152"/>
        <item x="337"/>
        <item x="206"/>
        <item x="953"/>
        <item x="864"/>
        <item x="959"/>
        <item x="433"/>
        <item x="716"/>
        <item x="928"/>
        <item x="730"/>
        <item x="986"/>
        <item x="390"/>
        <item x="514"/>
        <item x="427"/>
        <item x="323"/>
        <item x="497"/>
        <item x="725"/>
        <item x="671"/>
        <item x="714"/>
        <item x="573"/>
        <item x="706"/>
        <item x="401"/>
        <item x="173"/>
        <item x="483"/>
        <item x="696"/>
        <item x="866"/>
        <item x="971"/>
        <item x="103"/>
        <item x="277"/>
        <item x="748"/>
        <item x="413"/>
        <item x="353"/>
        <item x="632"/>
        <item x="728"/>
        <item x="316"/>
        <item x="772"/>
        <item x="606"/>
        <item x="415"/>
        <item x="974"/>
        <item x="516"/>
        <item x="46"/>
        <item x="744"/>
        <item t="default"/>
      </items>
    </pivotField>
    <pivotField showAll="0"/>
    <pivotField multipleItemSelectionAllowed="1" showAll="0"/>
    <pivotField showAll="0"/>
    <pivotField showAll="0"/>
    <pivotField showAll="0"/>
    <pivotField showAll="0"/>
    <pivotField numFmtId="166" showAll="0"/>
    <pivotField numFmtId="166" showAll="0"/>
    <pivotField showAll="0"/>
    <pivotField axis="axisPage" multipleItemSelectionAllowed="1" showAll="0">
      <items count="14">
        <item h="1" x="6"/>
        <item h="1" x="0"/>
        <item x="3"/>
        <item h="1" x="8"/>
        <item h="1" x="2"/>
        <item h="1" x="11"/>
        <item h="1" x="7"/>
        <item h="1" x="12"/>
        <item h="1" x="1"/>
        <item h="1" x="5"/>
        <item h="1" x="4"/>
        <item h="1" x="9"/>
        <item h="1" x="10"/>
        <item t="default"/>
      </items>
    </pivotField>
    <pivotField numFmtId="14" showAll="0">
      <items count="63">
        <item x="42"/>
        <item x="45"/>
        <item x="48"/>
        <item x="0"/>
        <item x="5"/>
        <item x="29"/>
        <item x="10"/>
        <item x="55"/>
        <item x="21"/>
        <item x="44"/>
        <item x="16"/>
        <item x="57"/>
        <item x="17"/>
        <item x="41"/>
        <item x="31"/>
        <item x="15"/>
        <item x="12"/>
        <item x="32"/>
        <item x="14"/>
        <item x="60"/>
        <item x="34"/>
        <item x="54"/>
        <item x="9"/>
        <item x="18"/>
        <item x="58"/>
        <item x="20"/>
        <item x="6"/>
        <item x="19"/>
        <item x="46"/>
        <item x="4"/>
        <item x="40"/>
        <item x="24"/>
        <item x="30"/>
        <item x="11"/>
        <item x="7"/>
        <item x="43"/>
        <item x="61"/>
        <item x="26"/>
        <item x="1"/>
        <item x="47"/>
        <item x="22"/>
        <item x="2"/>
        <item x="39"/>
        <item x="56"/>
        <item x="23"/>
        <item x="35"/>
        <item x="52"/>
        <item x="25"/>
        <item x="51"/>
        <item x="3"/>
        <item x="28"/>
        <item x="8"/>
        <item x="59"/>
        <item x="49"/>
        <item x="13"/>
        <item x="36"/>
        <item x="37"/>
        <item x="33"/>
        <item x="53"/>
        <item x="27"/>
        <item x="50"/>
        <item x="38"/>
        <item t="default"/>
      </items>
    </pivotField>
    <pivotField showAll="0"/>
    <pivotField dataField="1" showAll="0"/>
    <pivotField showAll="0"/>
    <pivotField showAll="0"/>
    <pivotField showAll="0"/>
    <pivotField showAll="0"/>
    <pivotField showAll="0" defaultSubtotal="0"/>
    <pivotField showAll="0" defaultSubtotal="0"/>
    <pivotField showAll="0" defaultSubtotal="0">
      <items count="18">
        <item x="0"/>
        <item x="1"/>
        <item x="2"/>
        <item x="3"/>
        <item x="4"/>
        <item x="5"/>
        <item x="6"/>
        <item x="7"/>
        <item x="8"/>
        <item x="9"/>
        <item x="10"/>
        <item x="11"/>
        <item x="12"/>
        <item x="13"/>
        <item x="14"/>
        <item x="15"/>
        <item x="16"/>
        <item x="17"/>
      </items>
    </pivotField>
  </pivotFields>
  <rowFields count="1">
    <field x="0"/>
  </rowFields>
  <rowItems count="121">
    <i>
      <x v="18"/>
    </i>
    <i>
      <x v="26"/>
    </i>
    <i>
      <x v="48"/>
    </i>
    <i>
      <x v="62"/>
    </i>
    <i>
      <x v="72"/>
    </i>
    <i>
      <x v="118"/>
    </i>
    <i>
      <x v="130"/>
    </i>
    <i>
      <x v="144"/>
    </i>
    <i>
      <x v="145"/>
    </i>
    <i>
      <x v="155"/>
    </i>
    <i>
      <x v="163"/>
    </i>
    <i>
      <x v="177"/>
    </i>
    <i>
      <x v="189"/>
    </i>
    <i>
      <x v="196"/>
    </i>
    <i>
      <x v="201"/>
    </i>
    <i>
      <x v="203"/>
    </i>
    <i>
      <x v="218"/>
    </i>
    <i>
      <x v="219"/>
    </i>
    <i>
      <x v="227"/>
    </i>
    <i>
      <x v="240"/>
    </i>
    <i>
      <x v="258"/>
    </i>
    <i>
      <x v="277"/>
    </i>
    <i>
      <x v="279"/>
    </i>
    <i>
      <x v="281"/>
    </i>
    <i>
      <x v="286"/>
    </i>
    <i>
      <x v="296"/>
    </i>
    <i>
      <x v="310"/>
    </i>
    <i>
      <x v="312"/>
    </i>
    <i>
      <x v="320"/>
    </i>
    <i>
      <x v="321"/>
    </i>
    <i>
      <x v="335"/>
    </i>
    <i>
      <x v="340"/>
    </i>
    <i>
      <x v="369"/>
    </i>
    <i>
      <x v="374"/>
    </i>
    <i>
      <x v="390"/>
    </i>
    <i>
      <x v="391"/>
    </i>
    <i>
      <x v="395"/>
    </i>
    <i>
      <x v="398"/>
    </i>
    <i>
      <x v="407"/>
    </i>
    <i>
      <x v="416"/>
    </i>
    <i>
      <x v="418"/>
    </i>
    <i>
      <x v="425"/>
    </i>
    <i>
      <x v="432"/>
    </i>
    <i>
      <x v="440"/>
    </i>
    <i>
      <x v="446"/>
    </i>
    <i>
      <x v="476"/>
    </i>
    <i>
      <x v="489"/>
    </i>
    <i>
      <x v="492"/>
    </i>
    <i>
      <x v="507"/>
    </i>
    <i>
      <x v="508"/>
    </i>
    <i>
      <x v="513"/>
    </i>
    <i>
      <x v="517"/>
    </i>
    <i>
      <x v="532"/>
    </i>
    <i>
      <x v="536"/>
    </i>
    <i>
      <x v="541"/>
    </i>
    <i>
      <x v="551"/>
    </i>
    <i>
      <x v="554"/>
    </i>
    <i>
      <x v="580"/>
    </i>
    <i>
      <x v="591"/>
    </i>
    <i>
      <x v="592"/>
    </i>
    <i>
      <x v="604"/>
    </i>
    <i>
      <x v="606"/>
    </i>
    <i>
      <x v="607"/>
    </i>
    <i>
      <x v="610"/>
    </i>
    <i>
      <x v="611"/>
    </i>
    <i>
      <x v="624"/>
    </i>
    <i>
      <x v="631"/>
    </i>
    <i>
      <x v="634"/>
    </i>
    <i>
      <x v="639"/>
    </i>
    <i>
      <x v="653"/>
    </i>
    <i>
      <x v="662"/>
    </i>
    <i>
      <x v="663"/>
    </i>
    <i>
      <x v="711"/>
    </i>
    <i>
      <x v="717"/>
    </i>
    <i>
      <x v="724"/>
    </i>
    <i>
      <x v="735"/>
    </i>
    <i>
      <x v="739"/>
    </i>
    <i>
      <x v="749"/>
    </i>
    <i>
      <x v="764"/>
    </i>
    <i>
      <x v="770"/>
    </i>
    <i>
      <x v="771"/>
    </i>
    <i>
      <x v="781"/>
    </i>
    <i>
      <x v="788"/>
    </i>
    <i>
      <x v="789"/>
    </i>
    <i>
      <x v="791"/>
    </i>
    <i>
      <x v="797"/>
    </i>
    <i>
      <x v="805"/>
    </i>
    <i>
      <x v="807"/>
    </i>
    <i>
      <x v="810"/>
    </i>
    <i>
      <x v="813"/>
    </i>
    <i>
      <x v="815"/>
    </i>
    <i>
      <x v="816"/>
    </i>
    <i>
      <x v="820"/>
    </i>
    <i>
      <x v="821"/>
    </i>
    <i>
      <x v="822"/>
    </i>
    <i>
      <x v="833"/>
    </i>
    <i>
      <x v="847"/>
    </i>
    <i>
      <x v="849"/>
    </i>
    <i>
      <x v="855"/>
    </i>
    <i>
      <x v="857"/>
    </i>
    <i>
      <x v="861"/>
    </i>
    <i>
      <x v="862"/>
    </i>
    <i>
      <x v="871"/>
    </i>
    <i>
      <x v="876"/>
    </i>
    <i>
      <x v="877"/>
    </i>
    <i>
      <x v="893"/>
    </i>
    <i>
      <x v="906"/>
    </i>
    <i>
      <x v="909"/>
    </i>
    <i>
      <x v="910"/>
    </i>
    <i>
      <x v="911"/>
    </i>
    <i>
      <x v="936"/>
    </i>
    <i>
      <x v="939"/>
    </i>
    <i>
      <x v="956"/>
    </i>
    <i>
      <x v="957"/>
    </i>
    <i>
      <x v="965"/>
    </i>
    <i>
      <x v="967"/>
    </i>
    <i>
      <x v="986"/>
    </i>
    <i>
      <x v="1009"/>
    </i>
    <i>
      <x v="1025"/>
    </i>
    <i>
      <x v="1028"/>
    </i>
    <i t="grand">
      <x/>
    </i>
  </rowItems>
  <colItems count="1">
    <i/>
  </colItems>
  <pageFields count="1">
    <pageField fld="10" hier="-1"/>
  </pageFields>
  <dataFields count="1">
    <dataField name="Sum of Patents"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6DFAEE9-587F-1246-8921-4201564E2752}"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2:B43" firstHeaderRow="1" firstDataRow="1" firstDataCol="1"/>
  <pivotFields count="21">
    <pivotField showAll="0"/>
    <pivotField showAll="0"/>
    <pivotField axis="axisRow" showAll="0">
      <items count="11">
        <item x="2"/>
        <item x="3"/>
        <item x="0"/>
        <item x="9"/>
        <item x="7"/>
        <item x="5"/>
        <item x="1"/>
        <item x="8"/>
        <item x="4"/>
        <item x="6"/>
        <item t="default"/>
      </items>
    </pivotField>
    <pivotField showAll="0"/>
    <pivotField showAll="0"/>
    <pivotField showAll="0"/>
    <pivotField showAll="0"/>
    <pivotField numFmtId="166" showAll="0"/>
    <pivotField numFmtId="166" showAll="0"/>
    <pivotField showAll="0"/>
    <pivotField showAll="0"/>
    <pivotField numFmtId="14" showAll="0">
      <items count="63">
        <item x="42"/>
        <item x="45"/>
        <item x="48"/>
        <item x="0"/>
        <item x="5"/>
        <item x="29"/>
        <item x="10"/>
        <item x="55"/>
        <item x="21"/>
        <item x="44"/>
        <item x="16"/>
        <item x="57"/>
        <item x="17"/>
        <item x="41"/>
        <item x="31"/>
        <item x="15"/>
        <item x="12"/>
        <item x="32"/>
        <item x="14"/>
        <item x="60"/>
        <item x="34"/>
        <item x="54"/>
        <item x="9"/>
        <item x="18"/>
        <item x="58"/>
        <item x="20"/>
        <item x="6"/>
        <item x="19"/>
        <item x="46"/>
        <item x="4"/>
        <item x="40"/>
        <item x="24"/>
        <item x="30"/>
        <item x="11"/>
        <item x="7"/>
        <item x="43"/>
        <item x="61"/>
        <item x="26"/>
        <item x="1"/>
        <item x="47"/>
        <item x="22"/>
        <item x="2"/>
        <item x="39"/>
        <item x="56"/>
        <item x="23"/>
        <item x="35"/>
        <item x="52"/>
        <item x="25"/>
        <item x="51"/>
        <item x="3"/>
        <item x="28"/>
        <item x="8"/>
        <item x="59"/>
        <item x="49"/>
        <item x="13"/>
        <item x="36"/>
        <item x="37"/>
        <item x="33"/>
        <item x="53"/>
        <item x="27"/>
        <item x="50"/>
        <item x="38"/>
        <item t="default"/>
      </items>
    </pivotField>
    <pivotField showAll="0"/>
    <pivotField dataField="1" showAll="0"/>
    <pivotField showAll="0"/>
    <pivotField showAll="0"/>
    <pivotField showAll="0"/>
    <pivotField showAll="0"/>
    <pivotField showAll="0" defaultSubtotal="0"/>
    <pivotField showAll="0" defaultSubtotal="0"/>
    <pivotField showAll="0" defaultSubtotal="0">
      <items count="18">
        <item x="0"/>
        <item x="1"/>
        <item x="2"/>
        <item x="3"/>
        <item x="4"/>
        <item x="5"/>
        <item x="6"/>
        <item x="7"/>
        <item x="8"/>
        <item x="9"/>
        <item x="10"/>
        <item x="11"/>
        <item x="12"/>
        <item x="13"/>
        <item x="14"/>
        <item x="15"/>
        <item x="16"/>
        <item x="17"/>
      </items>
    </pivotField>
  </pivotFields>
  <rowFields count="1">
    <field x="2"/>
  </rowFields>
  <rowItems count="11">
    <i>
      <x/>
    </i>
    <i>
      <x v="1"/>
    </i>
    <i>
      <x v="2"/>
    </i>
    <i>
      <x v="3"/>
    </i>
    <i>
      <x v="4"/>
    </i>
    <i>
      <x v="5"/>
    </i>
    <i>
      <x v="6"/>
    </i>
    <i>
      <x v="7"/>
    </i>
    <i>
      <x v="8"/>
    </i>
    <i>
      <x v="9"/>
    </i>
    <i t="grand">
      <x/>
    </i>
  </rowItems>
  <colItems count="1">
    <i/>
  </colItems>
  <dataFields count="1">
    <dataField name="Sum of Patents"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0F09E91-F3C3-A243-AE58-E7BA9C7E83E2}"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54:J326" firstHeaderRow="1" firstDataRow="1" firstDataCol="1" rowPageCount="1" colPageCount="1"/>
  <pivotFields count="21">
    <pivotField axis="axisRow" showAll="0">
      <items count="1035">
        <item x="36"/>
        <item x="37"/>
        <item x="38"/>
        <item x="39"/>
        <item x="41"/>
        <item x="42"/>
        <item x="43"/>
        <item x="44"/>
        <item x="45"/>
        <item x="47"/>
        <item x="50"/>
        <item x="53"/>
        <item x="54"/>
        <item x="56"/>
        <item x="57"/>
        <item x="58"/>
        <item x="59"/>
        <item x="61"/>
        <item x="13"/>
        <item x="64"/>
        <item x="65"/>
        <item x="66"/>
        <item x="67"/>
        <item x="68"/>
        <item x="69"/>
        <item x="70"/>
        <item x="71"/>
        <item x="72"/>
        <item x="73"/>
        <item x="74"/>
        <item x="75"/>
        <item x="77"/>
        <item x="79"/>
        <item x="80"/>
        <item x="82"/>
        <item x="83"/>
        <item x="85"/>
        <item x="86"/>
        <item x="18"/>
        <item x="87"/>
        <item x="88"/>
        <item x="89"/>
        <item x="90"/>
        <item x="91"/>
        <item x="95"/>
        <item x="97"/>
        <item x="98"/>
        <item x="99"/>
        <item x="100"/>
        <item x="102"/>
        <item x="105"/>
        <item x="30"/>
        <item x="106"/>
        <item x="107"/>
        <item x="108"/>
        <item x="109"/>
        <item x="110"/>
        <item x="111"/>
        <item x="112"/>
        <item x="113"/>
        <item x="114"/>
        <item x="115"/>
        <item x="116"/>
        <item x="117"/>
        <item x="119"/>
        <item x="122"/>
        <item x="123"/>
        <item x="124"/>
        <item x="126"/>
        <item x="127"/>
        <item x="31"/>
        <item x="129"/>
        <item x="132"/>
        <item x="133"/>
        <item x="135"/>
        <item x="138"/>
        <item x="139"/>
        <item x="140"/>
        <item x="141"/>
        <item x="143"/>
        <item x="27"/>
        <item x="145"/>
        <item x="146"/>
        <item x="148"/>
        <item x="149"/>
        <item x="150"/>
        <item x="151"/>
        <item x="154"/>
        <item x="155"/>
        <item x="157"/>
        <item x="158"/>
        <item x="159"/>
        <item x="160"/>
        <item x="161"/>
        <item x="162"/>
        <item x="20"/>
        <item x="163"/>
        <item x="164"/>
        <item x="166"/>
        <item x="170"/>
        <item x="172"/>
        <item x="174"/>
        <item x="175"/>
        <item x="177"/>
        <item x="178"/>
        <item x="179"/>
        <item x="180"/>
        <item x="182"/>
        <item x="183"/>
        <item x="184"/>
        <item x="185"/>
        <item x="186"/>
        <item x="187"/>
        <item x="188"/>
        <item x="189"/>
        <item x="190"/>
        <item x="191"/>
        <item x="192"/>
        <item x="193"/>
        <item x="194"/>
        <item x="196"/>
        <item x="197"/>
        <item x="198"/>
        <item x="200"/>
        <item x="201"/>
        <item x="202"/>
        <item x="204"/>
        <item x="205"/>
        <item x="207"/>
        <item x="208"/>
        <item x="209"/>
        <item x="210"/>
        <item x="211"/>
        <item x="212"/>
        <item x="213"/>
        <item x="214"/>
        <item x="216"/>
        <item x="217"/>
        <item x="219"/>
        <item x="220"/>
        <item x="221"/>
        <item x="222"/>
        <item x="17"/>
        <item x="224"/>
        <item x="225"/>
        <item x="226"/>
        <item x="228"/>
        <item x="16"/>
        <item x="229"/>
        <item x="230"/>
        <item x="231"/>
        <item x="233"/>
        <item x="234"/>
        <item x="235"/>
        <item x="2"/>
        <item x="236"/>
        <item x="238"/>
        <item x="239"/>
        <item x="15"/>
        <item x="240"/>
        <item x="241"/>
        <item x="244"/>
        <item x="245"/>
        <item x="248"/>
        <item x="249"/>
        <item x="250"/>
        <item x="251"/>
        <item x="252"/>
        <item x="253"/>
        <item x="254"/>
        <item x="255"/>
        <item x="257"/>
        <item x="258"/>
        <item x="259"/>
        <item x="260"/>
        <item x="261"/>
        <item x="263"/>
        <item x="264"/>
        <item x="265"/>
        <item x="266"/>
        <item x="269"/>
        <item x="270"/>
        <item x="272"/>
        <item x="273"/>
        <item x="23"/>
        <item x="25"/>
        <item x="274"/>
        <item x="275"/>
        <item x="278"/>
        <item x="279"/>
        <item x="280"/>
        <item x="281"/>
        <item x="283"/>
        <item x="284"/>
        <item x="285"/>
        <item x="286"/>
        <item x="288"/>
        <item x="290"/>
        <item x="291"/>
        <item x="292"/>
        <item x="293"/>
        <item x="32"/>
        <item x="295"/>
        <item x="296"/>
        <item x="298"/>
        <item x="299"/>
        <item x="300"/>
        <item x="304"/>
        <item x="306"/>
        <item x="307"/>
        <item x="309"/>
        <item x="310"/>
        <item x="312"/>
        <item x="313"/>
        <item x="314"/>
        <item x="317"/>
        <item x="318"/>
        <item x="319"/>
        <item x="320"/>
        <item x="321"/>
        <item x="326"/>
        <item x="327"/>
        <item x="328"/>
        <item x="329"/>
        <item x="330"/>
        <item x="331"/>
        <item x="332"/>
        <item x="333"/>
        <item x="7"/>
        <item x="334"/>
        <item x="335"/>
        <item x="336"/>
        <item x="338"/>
        <item x="340"/>
        <item x="342"/>
        <item x="344"/>
        <item x="345"/>
        <item x="348"/>
        <item x="351"/>
        <item x="354"/>
        <item x="356"/>
        <item x="357"/>
        <item x="358"/>
        <item x="359"/>
        <item x="360"/>
        <item x="361"/>
        <item x="362"/>
        <item x="363"/>
        <item x="364"/>
        <item x="365"/>
        <item x="366"/>
        <item x="367"/>
        <item x="369"/>
        <item x="370"/>
        <item x="373"/>
        <item x="374"/>
        <item x="375"/>
        <item x="376"/>
        <item x="377"/>
        <item x="378"/>
        <item x="381"/>
        <item x="382"/>
        <item x="385"/>
        <item x="10"/>
        <item x="386"/>
        <item x="387"/>
        <item x="388"/>
        <item x="389"/>
        <item x="391"/>
        <item x="393"/>
        <item x="394"/>
        <item x="395"/>
        <item x="396"/>
        <item x="397"/>
        <item x="398"/>
        <item x="400"/>
        <item x="403"/>
        <item x="404"/>
        <item x="405"/>
        <item x="406"/>
        <item x="407"/>
        <item x="408"/>
        <item x="409"/>
        <item x="411"/>
        <item x="412"/>
        <item x="21"/>
        <item x="416"/>
        <item x="417"/>
        <item x="33"/>
        <item x="418"/>
        <item x="419"/>
        <item x="420"/>
        <item x="421"/>
        <item x="422"/>
        <item x="423"/>
        <item x="424"/>
        <item x="425"/>
        <item x="426"/>
        <item x="428"/>
        <item x="429"/>
        <item x="430"/>
        <item x="431"/>
        <item x="432"/>
        <item x="6"/>
        <item x="435"/>
        <item x="436"/>
        <item x="437"/>
        <item x="438"/>
        <item x="439"/>
        <item x="440"/>
        <item x="442"/>
        <item x="443"/>
        <item x="444"/>
        <item x="445"/>
        <item x="446"/>
        <item x="447"/>
        <item x="448"/>
        <item x="449"/>
        <item x="19"/>
        <item x="451"/>
        <item x="452"/>
        <item x="454"/>
        <item x="455"/>
        <item x="457"/>
        <item x="458"/>
        <item x="459"/>
        <item x="460"/>
        <item x="461"/>
        <item x="462"/>
        <item x="464"/>
        <item x="465"/>
        <item x="466"/>
        <item x="468"/>
        <item x="469"/>
        <item x="470"/>
        <item x="471"/>
        <item x="473"/>
        <item x="474"/>
        <item x="475"/>
        <item x="477"/>
        <item x="478"/>
        <item x="479"/>
        <item x="481"/>
        <item x="482"/>
        <item x="485"/>
        <item x="486"/>
        <item x="487"/>
        <item x="488"/>
        <item x="489"/>
        <item x="490"/>
        <item x="491"/>
        <item x="492"/>
        <item x="493"/>
        <item x="494"/>
        <item x="496"/>
        <item x="498"/>
        <item x="501"/>
        <item x="503"/>
        <item x="504"/>
        <item x="505"/>
        <item x="506"/>
        <item x="507"/>
        <item x="508"/>
        <item x="509"/>
        <item x="515"/>
        <item x="517"/>
        <item x="518"/>
        <item x="519"/>
        <item x="521"/>
        <item x="523"/>
        <item x="527"/>
        <item x="528"/>
        <item x="529"/>
        <item x="530"/>
        <item x="532"/>
        <item x="534"/>
        <item x="536"/>
        <item x="537"/>
        <item x="538"/>
        <item x="539"/>
        <item x="540"/>
        <item x="541"/>
        <item x="544"/>
        <item x="545"/>
        <item x="546"/>
        <item x="547"/>
        <item x="3"/>
        <item x="548"/>
        <item x="549"/>
        <item x="550"/>
        <item x="551"/>
        <item x="552"/>
        <item x="553"/>
        <item x="555"/>
        <item x="11"/>
        <item x="556"/>
        <item x="557"/>
        <item x="558"/>
        <item x="559"/>
        <item x="560"/>
        <item x="4"/>
        <item x="562"/>
        <item x="563"/>
        <item x="564"/>
        <item x="565"/>
        <item x="566"/>
        <item x="567"/>
        <item x="568"/>
        <item x="571"/>
        <item x="572"/>
        <item x="574"/>
        <item x="575"/>
        <item x="577"/>
        <item x="578"/>
        <item x="579"/>
        <item x="580"/>
        <item x="581"/>
        <item x="582"/>
        <item x="583"/>
        <item x="584"/>
        <item x="585"/>
        <item x="587"/>
        <item x="0"/>
        <item x="589"/>
        <item x="590"/>
        <item x="592"/>
        <item x="594"/>
        <item x="596"/>
        <item x="598"/>
        <item x="599"/>
        <item x="600"/>
        <item x="601"/>
        <item x="604"/>
        <item x="605"/>
        <item x="607"/>
        <item x="608"/>
        <item x="609"/>
        <item x="611"/>
        <item x="613"/>
        <item x="614"/>
        <item x="615"/>
        <item x="616"/>
        <item x="617"/>
        <item x="618"/>
        <item x="619"/>
        <item x="621"/>
        <item x="622"/>
        <item x="623"/>
        <item x="624"/>
        <item x="625"/>
        <item x="626"/>
        <item x="628"/>
        <item x="630"/>
        <item x="633"/>
        <item x="640"/>
        <item x="641"/>
        <item x="642"/>
        <item x="643"/>
        <item x="644"/>
        <item x="645"/>
        <item x="646"/>
        <item x="648"/>
        <item x="649"/>
        <item x="650"/>
        <item x="652"/>
        <item x="653"/>
        <item x="655"/>
        <item x="656"/>
        <item x="657"/>
        <item x="658"/>
        <item x="662"/>
        <item x="663"/>
        <item x="664"/>
        <item x="665"/>
        <item x="666"/>
        <item x="668"/>
        <item x="669"/>
        <item x="670"/>
        <item x="672"/>
        <item x="673"/>
        <item x="675"/>
        <item x="676"/>
        <item x="677"/>
        <item x="678"/>
        <item x="681"/>
        <item x="682"/>
        <item x="683"/>
        <item x="684"/>
        <item x="685"/>
        <item x="688"/>
        <item x="689"/>
        <item x="690"/>
        <item x="22"/>
        <item x="691"/>
        <item x="692"/>
        <item x="693"/>
        <item x="694"/>
        <item x="695"/>
        <item x="697"/>
        <item x="698"/>
        <item x="699"/>
        <item x="700"/>
        <item x="701"/>
        <item x="702"/>
        <item x="703"/>
        <item x="704"/>
        <item x="707"/>
        <item x="709"/>
        <item x="713"/>
        <item x="715"/>
        <item x="717"/>
        <item x="718"/>
        <item x="720"/>
        <item x="721"/>
        <item x="722"/>
        <item x="723"/>
        <item x="724"/>
        <item x="726"/>
        <item x="727"/>
        <item x="729"/>
        <item x="731"/>
        <item x="732"/>
        <item x="733"/>
        <item x="735"/>
        <item x="736"/>
        <item x="737"/>
        <item x="738"/>
        <item x="740"/>
        <item x="741"/>
        <item x="742"/>
        <item x="743"/>
        <item x="745"/>
        <item x="746"/>
        <item x="747"/>
        <item x="749"/>
        <item x="751"/>
        <item x="752"/>
        <item x="754"/>
        <item x="756"/>
        <item x="758"/>
        <item x="759"/>
        <item x="24"/>
        <item x="760"/>
        <item x="762"/>
        <item x="763"/>
        <item x="764"/>
        <item x="765"/>
        <item x="766"/>
        <item x="767"/>
        <item x="768"/>
        <item x="770"/>
        <item x="773"/>
        <item x="774"/>
        <item x="775"/>
        <item x="776"/>
        <item x="777"/>
        <item x="778"/>
        <item x="780"/>
        <item x="781"/>
        <item x="782"/>
        <item x="784"/>
        <item x="785"/>
        <item x="787"/>
        <item x="788"/>
        <item x="789"/>
        <item x="790"/>
        <item x="791"/>
        <item x="792"/>
        <item x="793"/>
        <item x="794"/>
        <item x="795"/>
        <item x="796"/>
        <item x="797"/>
        <item x="798"/>
        <item x="799"/>
        <item x="800"/>
        <item x="801"/>
        <item x="802"/>
        <item x="803"/>
        <item x="804"/>
        <item x="807"/>
        <item x="808"/>
        <item x="809"/>
        <item x="810"/>
        <item x="811"/>
        <item x="9"/>
        <item x="813"/>
        <item x="815"/>
        <item x="817"/>
        <item x="819"/>
        <item x="820"/>
        <item x="821"/>
        <item x="822"/>
        <item x="823"/>
        <item x="34"/>
        <item x="825"/>
        <item x="826"/>
        <item x="827"/>
        <item x="828"/>
        <item x="829"/>
        <item x="830"/>
        <item x="831"/>
        <item x="832"/>
        <item x="833"/>
        <item x="835"/>
        <item x="836"/>
        <item x="837"/>
        <item x="838"/>
        <item x="840"/>
        <item x="842"/>
        <item x="843"/>
        <item x="844"/>
        <item x="846"/>
        <item x="848"/>
        <item x="850"/>
        <item x="851"/>
        <item x="852"/>
        <item x="853"/>
        <item x="855"/>
        <item x="856"/>
        <item x="857"/>
        <item x="858"/>
        <item x="8"/>
        <item x="859"/>
        <item x="861"/>
        <item x="862"/>
        <item x="863"/>
        <item x="865"/>
        <item x="867"/>
        <item x="869"/>
        <item x="870"/>
        <item x="871"/>
        <item x="872"/>
        <item x="875"/>
        <item x="876"/>
        <item x="877"/>
        <item x="878"/>
        <item x="879"/>
        <item x="880"/>
        <item x="881"/>
        <item x="882"/>
        <item x="883"/>
        <item x="884"/>
        <item x="887"/>
        <item x="888"/>
        <item x="889"/>
        <item x="890"/>
        <item x="892"/>
        <item x="893"/>
        <item x="28"/>
        <item x="895"/>
        <item x="901"/>
        <item x="902"/>
        <item x="903"/>
        <item x="904"/>
        <item x="905"/>
        <item x="907"/>
        <item x="908"/>
        <item x="910"/>
        <item x="912"/>
        <item x="913"/>
        <item x="915"/>
        <item x="917"/>
        <item x="919"/>
        <item x="920"/>
        <item x="921"/>
        <item x="922"/>
        <item x="923"/>
        <item x="924"/>
        <item x="925"/>
        <item x="926"/>
        <item x="927"/>
        <item x="930"/>
        <item x="931"/>
        <item x="932"/>
        <item x="934"/>
        <item x="936"/>
        <item x="938"/>
        <item x="939"/>
        <item x="940"/>
        <item x="942"/>
        <item x="26"/>
        <item x="943"/>
        <item x="944"/>
        <item x="945"/>
        <item x="946"/>
        <item x="947"/>
        <item x="949"/>
        <item x="950"/>
        <item x="951"/>
        <item x="952"/>
        <item x="954"/>
        <item x="955"/>
        <item x="956"/>
        <item x="958"/>
        <item x="960"/>
        <item x="962"/>
        <item x="29"/>
        <item x="963"/>
        <item x="964"/>
        <item x="966"/>
        <item x="967"/>
        <item x="5"/>
        <item x="970"/>
        <item x="972"/>
        <item x="973"/>
        <item x="975"/>
        <item x="976"/>
        <item x="978"/>
        <item x="980"/>
        <item x="981"/>
        <item x="982"/>
        <item x="984"/>
        <item x="987"/>
        <item x="989"/>
        <item x="991"/>
        <item x="992"/>
        <item x="14"/>
        <item x="994"/>
        <item x="995"/>
        <item x="996"/>
        <item x="998"/>
        <item x="999"/>
        <item x="1000"/>
        <item x="1002"/>
        <item x="1003"/>
        <item x="1004"/>
        <item x="1005"/>
        <item x="1008"/>
        <item x="1009"/>
        <item x="1010"/>
        <item x="1012"/>
        <item x="1013"/>
        <item x="1014"/>
        <item x="1015"/>
        <item x="1016"/>
        <item x="1017"/>
        <item x="1019"/>
        <item x="1022"/>
        <item x="1024"/>
        <item x="1025"/>
        <item x="1026"/>
        <item x="1027"/>
        <item x="1028"/>
        <item x="1029"/>
        <item x="1030"/>
        <item x="1031"/>
        <item x="1032"/>
        <item x="1033"/>
        <item x="814"/>
        <item x="771"/>
        <item x="849"/>
        <item x="965"/>
        <item x="520"/>
        <item x="637"/>
        <item x="680"/>
        <item x="873"/>
        <item x="899"/>
        <item x="570"/>
        <item x="845"/>
        <item x="402"/>
        <item x="710"/>
        <item x="638"/>
        <item x="660"/>
        <item x="914"/>
        <item x="453"/>
        <item x="232"/>
        <item x="786"/>
        <item x="379"/>
        <item x="456"/>
        <item x="906"/>
        <item x="55"/>
        <item x="450"/>
        <item x="1023"/>
        <item x="755"/>
        <item x="659"/>
        <item x="886"/>
        <item x="911"/>
        <item x="535"/>
        <item x="311"/>
        <item x="282"/>
        <item x="1020"/>
        <item x="586"/>
        <item x="935"/>
        <item x="783"/>
        <item x="142"/>
        <item x="94"/>
        <item x="147"/>
        <item x="896"/>
        <item x="81"/>
        <item x="977"/>
        <item x="49"/>
        <item x="576"/>
        <item x="1018"/>
        <item x="629"/>
        <item x="467"/>
        <item x="1001"/>
        <item x="1007"/>
        <item x="84"/>
        <item x="60"/>
        <item x="153"/>
        <item x="739"/>
        <item x="156"/>
        <item x="612"/>
        <item x="399"/>
        <item x="137"/>
        <item x="522"/>
        <item x="891"/>
        <item x="125"/>
        <item x="661"/>
        <item x="484"/>
        <item x="176"/>
        <item x="686"/>
        <item x="990"/>
        <item x="719"/>
        <item x="271"/>
        <item x="355"/>
        <item x="651"/>
        <item x="620"/>
        <item x="134"/>
        <item x="472"/>
        <item x="287"/>
        <item x="246"/>
        <item x="383"/>
        <item x="343"/>
        <item x="62"/>
        <item x="512"/>
        <item x="531"/>
        <item x="118"/>
        <item x="165"/>
        <item x="414"/>
        <item x="511"/>
        <item x="349"/>
        <item x="993"/>
        <item x="948"/>
        <item x="121"/>
        <item x="463"/>
        <item x="561"/>
        <item x="918"/>
        <item x="168"/>
        <item x="639"/>
        <item x="63"/>
        <item x="524"/>
        <item x="384"/>
        <item x="667"/>
        <item x="96"/>
        <item x="199"/>
        <item x="593"/>
        <item x="1011"/>
        <item x="533"/>
        <item x="969"/>
        <item x="711"/>
        <item x="35"/>
        <item x="708"/>
        <item x="215"/>
        <item x="325"/>
        <item x="128"/>
        <item x="322"/>
        <item x="679"/>
        <item x="52"/>
        <item x="674"/>
        <item x="203"/>
        <item x="476"/>
        <item x="218"/>
        <item x="513"/>
        <item x="78"/>
        <item x="812"/>
        <item x="347"/>
        <item x="933"/>
        <item x="868"/>
        <item x="753"/>
        <item x="543"/>
        <item x="839"/>
        <item x="597"/>
        <item x="602"/>
        <item x="131"/>
        <item x="262"/>
        <item x="227"/>
        <item x="371"/>
        <item x="591"/>
        <item x="898"/>
        <item x="242"/>
        <item x="885"/>
        <item x="805"/>
        <item x="847"/>
        <item x="997"/>
        <item x="1"/>
        <item x="909"/>
        <item x="223"/>
        <item x="51"/>
        <item x="130"/>
        <item x="1021"/>
        <item x="968"/>
        <item x="247"/>
        <item x="267"/>
        <item x="410"/>
        <item x="860"/>
        <item x="352"/>
        <item x="303"/>
        <item x="647"/>
        <item x="957"/>
        <item x="816"/>
        <item x="1006"/>
        <item x="499"/>
        <item x="979"/>
        <item x="961"/>
        <item x="988"/>
        <item x="276"/>
        <item x="635"/>
        <item x="937"/>
        <item x="542"/>
        <item x="900"/>
        <item x="289"/>
        <item x="705"/>
        <item x="874"/>
        <item x="120"/>
        <item x="750"/>
        <item x="434"/>
        <item x="769"/>
        <item x="372"/>
        <item x="237"/>
        <item x="302"/>
        <item x="144"/>
        <item x="897"/>
        <item x="502"/>
        <item x="48"/>
        <item x="525"/>
        <item x="929"/>
        <item x="495"/>
        <item x="392"/>
        <item x="634"/>
        <item x="301"/>
        <item x="324"/>
        <item x="500"/>
        <item x="588"/>
        <item x="195"/>
        <item x="136"/>
        <item x="779"/>
        <item x="854"/>
        <item x="603"/>
        <item x="380"/>
        <item x="243"/>
        <item x="631"/>
        <item x="569"/>
        <item x="916"/>
        <item x="941"/>
        <item x="93"/>
        <item x="712"/>
        <item x="92"/>
        <item x="256"/>
        <item x="169"/>
        <item x="983"/>
        <item x="104"/>
        <item x="308"/>
        <item x="350"/>
        <item x="824"/>
        <item x="687"/>
        <item x="806"/>
        <item x="595"/>
        <item x="171"/>
        <item x="339"/>
        <item x="12"/>
        <item x="341"/>
        <item x="167"/>
        <item x="761"/>
        <item x="894"/>
        <item x="627"/>
        <item x="315"/>
        <item x="526"/>
        <item x="76"/>
        <item x="294"/>
        <item x="268"/>
        <item x="368"/>
        <item x="480"/>
        <item x="346"/>
        <item x="636"/>
        <item x="441"/>
        <item x="818"/>
        <item x="297"/>
        <item x="834"/>
        <item x="181"/>
        <item x="734"/>
        <item x="510"/>
        <item x="305"/>
        <item x="757"/>
        <item x="841"/>
        <item x="554"/>
        <item x="40"/>
        <item x="985"/>
        <item x="610"/>
        <item x="654"/>
        <item x="101"/>
        <item x="152"/>
        <item x="337"/>
        <item x="206"/>
        <item x="953"/>
        <item x="864"/>
        <item x="959"/>
        <item x="433"/>
        <item x="716"/>
        <item x="928"/>
        <item x="730"/>
        <item x="986"/>
        <item x="390"/>
        <item x="514"/>
        <item x="427"/>
        <item x="323"/>
        <item x="497"/>
        <item x="725"/>
        <item x="671"/>
        <item x="714"/>
        <item x="573"/>
        <item x="706"/>
        <item x="401"/>
        <item x="173"/>
        <item x="483"/>
        <item x="696"/>
        <item x="866"/>
        <item x="971"/>
        <item x="103"/>
        <item x="277"/>
        <item x="748"/>
        <item x="413"/>
        <item x="353"/>
        <item x="632"/>
        <item x="728"/>
        <item x="316"/>
        <item x="772"/>
        <item x="606"/>
        <item x="415"/>
        <item x="974"/>
        <item x="516"/>
        <item x="46"/>
        <item x="744"/>
        <item t="default"/>
      </items>
    </pivotField>
    <pivotField showAll="0"/>
    <pivotField axis="axisPage" multipleItemSelectionAllowed="1" showAll="0">
      <items count="11">
        <item h="1" x="2"/>
        <item h="1" x="3"/>
        <item h="1" x="0"/>
        <item h="1" x="9"/>
        <item h="1" x="7"/>
        <item h="1" x="5"/>
        <item h="1" x="1"/>
        <item h="1" x="8"/>
        <item x="4"/>
        <item h="1" x="6"/>
        <item t="default"/>
      </items>
    </pivotField>
    <pivotField showAll="0"/>
    <pivotField showAll="0"/>
    <pivotField showAll="0"/>
    <pivotField showAll="0"/>
    <pivotField numFmtId="166" showAll="0"/>
    <pivotField numFmtId="166" showAll="0"/>
    <pivotField showAll="0"/>
    <pivotField showAll="0"/>
    <pivotField numFmtId="14" showAll="0">
      <items count="63">
        <item x="42"/>
        <item x="45"/>
        <item x="48"/>
        <item x="0"/>
        <item x="5"/>
        <item x="29"/>
        <item x="10"/>
        <item x="55"/>
        <item x="21"/>
        <item x="44"/>
        <item x="16"/>
        <item x="57"/>
        <item x="17"/>
        <item x="41"/>
        <item x="31"/>
        <item x="15"/>
        <item x="12"/>
        <item x="32"/>
        <item x="14"/>
        <item x="60"/>
        <item x="34"/>
        <item x="54"/>
        <item x="9"/>
        <item x="18"/>
        <item x="58"/>
        <item x="20"/>
        <item x="6"/>
        <item x="19"/>
        <item x="46"/>
        <item x="4"/>
        <item x="40"/>
        <item x="24"/>
        <item x="30"/>
        <item x="11"/>
        <item x="7"/>
        <item x="43"/>
        <item x="61"/>
        <item x="26"/>
        <item x="1"/>
        <item x="47"/>
        <item x="22"/>
        <item x="2"/>
        <item x="39"/>
        <item x="56"/>
        <item x="23"/>
        <item x="35"/>
        <item x="52"/>
        <item x="25"/>
        <item x="51"/>
        <item x="3"/>
        <item x="28"/>
        <item x="8"/>
        <item x="59"/>
        <item x="49"/>
        <item x="13"/>
        <item x="36"/>
        <item x="37"/>
        <item x="33"/>
        <item x="53"/>
        <item x="27"/>
        <item x="50"/>
        <item x="38"/>
        <item t="default"/>
      </items>
    </pivotField>
    <pivotField showAll="0"/>
    <pivotField dataField="1" showAll="0"/>
    <pivotField showAll="0"/>
    <pivotField showAll="0"/>
    <pivotField showAll="0"/>
    <pivotField showAll="0"/>
    <pivotField showAll="0" defaultSubtotal="0"/>
    <pivotField showAll="0" defaultSubtotal="0"/>
    <pivotField showAll="0" defaultSubtotal="0">
      <items count="18">
        <item x="0"/>
        <item x="1"/>
        <item x="2"/>
        <item x="3"/>
        <item x="4"/>
        <item x="5"/>
        <item x="6"/>
        <item x="7"/>
        <item x="8"/>
        <item x="9"/>
        <item x="10"/>
        <item x="11"/>
        <item x="12"/>
        <item x="13"/>
        <item x="14"/>
        <item x="15"/>
        <item x="16"/>
        <item x="17"/>
      </items>
    </pivotField>
  </pivotFields>
  <rowFields count="1">
    <field x="0"/>
  </rowFields>
  <rowItems count="272">
    <i>
      <x v="9"/>
    </i>
    <i>
      <x v="14"/>
    </i>
    <i>
      <x v="19"/>
    </i>
    <i>
      <x v="20"/>
    </i>
    <i>
      <x v="21"/>
    </i>
    <i>
      <x v="24"/>
    </i>
    <i>
      <x v="27"/>
    </i>
    <i>
      <x v="31"/>
    </i>
    <i>
      <x v="33"/>
    </i>
    <i>
      <x v="41"/>
    </i>
    <i>
      <x v="44"/>
    </i>
    <i>
      <x v="45"/>
    </i>
    <i>
      <x v="47"/>
    </i>
    <i>
      <x v="49"/>
    </i>
    <i>
      <x v="50"/>
    </i>
    <i>
      <x v="56"/>
    </i>
    <i>
      <x v="57"/>
    </i>
    <i>
      <x v="58"/>
    </i>
    <i>
      <x v="59"/>
    </i>
    <i>
      <x v="60"/>
    </i>
    <i>
      <x v="63"/>
    </i>
    <i>
      <x v="64"/>
    </i>
    <i>
      <x v="67"/>
    </i>
    <i>
      <x v="69"/>
    </i>
    <i>
      <x v="70"/>
    </i>
    <i>
      <x v="71"/>
    </i>
    <i>
      <x v="73"/>
    </i>
    <i>
      <x v="75"/>
    </i>
    <i>
      <x v="76"/>
    </i>
    <i>
      <x v="78"/>
    </i>
    <i>
      <x v="86"/>
    </i>
    <i>
      <x v="90"/>
    </i>
    <i>
      <x v="91"/>
    </i>
    <i>
      <x v="95"/>
    </i>
    <i>
      <x v="96"/>
    </i>
    <i>
      <x v="100"/>
    </i>
    <i>
      <x v="105"/>
    </i>
    <i>
      <x v="107"/>
    </i>
    <i>
      <x v="108"/>
    </i>
    <i>
      <x v="112"/>
    </i>
    <i>
      <x v="113"/>
    </i>
    <i>
      <x v="114"/>
    </i>
    <i>
      <x v="116"/>
    </i>
    <i>
      <x v="121"/>
    </i>
    <i>
      <x v="128"/>
    </i>
    <i>
      <x v="130"/>
    </i>
    <i>
      <x v="133"/>
    </i>
    <i>
      <x v="135"/>
    </i>
    <i>
      <x v="157"/>
    </i>
    <i>
      <x v="159"/>
    </i>
    <i>
      <x v="164"/>
    </i>
    <i>
      <x v="179"/>
    </i>
    <i>
      <x v="180"/>
    </i>
    <i>
      <x v="181"/>
    </i>
    <i>
      <x v="182"/>
    </i>
    <i>
      <x v="186"/>
    </i>
    <i>
      <x v="188"/>
    </i>
    <i>
      <x v="193"/>
    </i>
    <i>
      <x v="197"/>
    </i>
    <i>
      <x v="198"/>
    </i>
    <i>
      <x v="205"/>
    </i>
    <i>
      <x v="206"/>
    </i>
    <i>
      <x v="207"/>
    </i>
    <i>
      <x v="209"/>
    </i>
    <i>
      <x v="212"/>
    </i>
    <i>
      <x v="215"/>
    </i>
    <i>
      <x v="216"/>
    </i>
    <i>
      <x v="220"/>
    </i>
    <i>
      <x v="222"/>
    </i>
    <i>
      <x v="226"/>
    </i>
    <i>
      <x v="227"/>
    </i>
    <i>
      <x v="230"/>
    </i>
    <i>
      <x v="232"/>
    </i>
    <i>
      <x v="233"/>
    </i>
    <i>
      <x v="234"/>
    </i>
    <i>
      <x v="244"/>
    </i>
    <i>
      <x v="247"/>
    </i>
    <i>
      <x v="251"/>
    </i>
    <i>
      <x v="252"/>
    </i>
    <i>
      <x v="253"/>
    </i>
    <i>
      <x v="254"/>
    </i>
    <i>
      <x v="255"/>
    </i>
    <i>
      <x v="256"/>
    </i>
    <i>
      <x v="261"/>
    </i>
    <i>
      <x v="266"/>
    </i>
    <i>
      <x v="271"/>
    </i>
    <i>
      <x v="273"/>
    </i>
    <i>
      <x v="279"/>
    </i>
    <i>
      <x v="285"/>
    </i>
    <i>
      <x v="286"/>
    </i>
    <i>
      <x v="287"/>
    </i>
    <i>
      <x v="292"/>
    </i>
    <i>
      <x v="294"/>
    </i>
    <i>
      <x v="297"/>
    </i>
    <i>
      <x v="298"/>
    </i>
    <i>
      <x v="301"/>
    </i>
    <i>
      <x v="309"/>
    </i>
    <i>
      <x v="310"/>
    </i>
    <i>
      <x v="311"/>
    </i>
    <i>
      <x v="316"/>
    </i>
    <i>
      <x v="318"/>
    </i>
    <i>
      <x v="319"/>
    </i>
    <i>
      <x v="320"/>
    </i>
    <i>
      <x v="321"/>
    </i>
    <i>
      <x v="326"/>
    </i>
    <i>
      <x v="329"/>
    </i>
    <i>
      <x v="338"/>
    </i>
    <i>
      <x v="342"/>
    </i>
    <i>
      <x v="352"/>
    </i>
    <i>
      <x v="354"/>
    </i>
    <i>
      <x v="356"/>
    </i>
    <i>
      <x v="357"/>
    </i>
    <i>
      <x v="363"/>
    </i>
    <i>
      <x v="367"/>
    </i>
    <i>
      <x v="369"/>
    </i>
    <i>
      <x v="380"/>
    </i>
    <i>
      <x v="383"/>
    </i>
    <i>
      <x v="387"/>
    </i>
    <i>
      <x v="391"/>
    </i>
    <i>
      <x v="401"/>
    </i>
    <i>
      <x v="403"/>
    </i>
    <i>
      <x v="425"/>
    </i>
    <i>
      <x v="430"/>
    </i>
    <i>
      <x v="432"/>
    </i>
    <i>
      <x v="433"/>
    </i>
    <i>
      <x v="435"/>
    </i>
    <i>
      <x v="453"/>
    </i>
    <i>
      <x v="455"/>
    </i>
    <i>
      <x v="456"/>
    </i>
    <i>
      <x v="466"/>
    </i>
    <i>
      <x v="468"/>
    </i>
    <i>
      <x v="471"/>
    </i>
    <i>
      <x v="475"/>
    </i>
    <i>
      <x v="477"/>
    </i>
    <i>
      <x v="482"/>
    </i>
    <i>
      <x v="489"/>
    </i>
    <i>
      <x v="504"/>
    </i>
    <i>
      <x v="506"/>
    </i>
    <i>
      <x v="509"/>
    </i>
    <i>
      <x v="511"/>
    </i>
    <i>
      <x v="515"/>
    </i>
    <i>
      <x v="519"/>
    </i>
    <i>
      <x v="520"/>
    </i>
    <i>
      <x v="522"/>
    </i>
    <i>
      <x v="523"/>
    </i>
    <i>
      <x v="525"/>
    </i>
    <i>
      <x v="528"/>
    </i>
    <i>
      <x v="530"/>
    </i>
    <i>
      <x v="536"/>
    </i>
    <i>
      <x v="539"/>
    </i>
    <i>
      <x v="542"/>
    </i>
    <i>
      <x v="545"/>
    </i>
    <i>
      <x v="548"/>
    </i>
    <i>
      <x v="556"/>
    </i>
    <i>
      <x v="562"/>
    </i>
    <i>
      <x v="564"/>
    </i>
    <i>
      <x v="565"/>
    </i>
    <i>
      <x v="568"/>
    </i>
    <i>
      <x v="573"/>
    </i>
    <i>
      <x v="574"/>
    </i>
    <i>
      <x v="575"/>
    </i>
    <i>
      <x v="576"/>
    </i>
    <i>
      <x v="577"/>
    </i>
    <i>
      <x v="578"/>
    </i>
    <i>
      <x v="579"/>
    </i>
    <i>
      <x v="581"/>
    </i>
    <i>
      <x v="586"/>
    </i>
    <i>
      <x v="589"/>
    </i>
    <i>
      <x v="590"/>
    </i>
    <i>
      <x v="593"/>
    </i>
    <i>
      <x v="594"/>
    </i>
    <i>
      <x v="595"/>
    </i>
    <i>
      <x v="596"/>
    </i>
    <i>
      <x v="600"/>
    </i>
    <i>
      <x v="605"/>
    </i>
    <i>
      <x v="606"/>
    </i>
    <i>
      <x v="609"/>
    </i>
    <i>
      <x v="610"/>
    </i>
    <i>
      <x v="612"/>
    </i>
    <i>
      <x v="623"/>
    </i>
    <i>
      <x v="626"/>
    </i>
    <i>
      <x v="634"/>
    </i>
    <i>
      <x v="637"/>
    </i>
    <i>
      <x v="638"/>
    </i>
    <i>
      <x v="640"/>
    </i>
    <i>
      <x v="653"/>
    </i>
    <i>
      <x v="655"/>
    </i>
    <i>
      <x v="661"/>
    </i>
    <i>
      <x v="662"/>
    </i>
    <i>
      <x v="669"/>
    </i>
    <i>
      <x v="671"/>
    </i>
    <i>
      <x v="672"/>
    </i>
    <i>
      <x v="673"/>
    </i>
    <i>
      <x v="686"/>
    </i>
    <i>
      <x v="689"/>
    </i>
    <i>
      <x v="696"/>
    </i>
    <i>
      <x v="702"/>
    </i>
    <i>
      <x v="703"/>
    </i>
    <i>
      <x v="708"/>
    </i>
    <i>
      <x v="713"/>
    </i>
    <i>
      <x v="720"/>
    </i>
    <i>
      <x v="744"/>
    </i>
    <i>
      <x v="750"/>
    </i>
    <i>
      <x v="755"/>
    </i>
    <i>
      <x v="763"/>
    </i>
    <i>
      <x v="769"/>
    </i>
    <i>
      <x v="778"/>
    </i>
    <i>
      <x v="779"/>
    </i>
    <i>
      <x v="782"/>
    </i>
    <i>
      <x v="784"/>
    </i>
    <i>
      <x v="792"/>
    </i>
    <i>
      <x v="795"/>
    </i>
    <i>
      <x v="798"/>
    </i>
    <i>
      <x v="800"/>
    </i>
    <i>
      <x v="802"/>
    </i>
    <i>
      <x v="803"/>
    </i>
    <i>
      <x v="805"/>
    </i>
    <i>
      <x v="808"/>
    </i>
    <i>
      <x v="812"/>
    </i>
    <i>
      <x v="814"/>
    </i>
    <i>
      <x v="819"/>
    </i>
    <i>
      <x v="823"/>
    </i>
    <i>
      <x v="824"/>
    </i>
    <i>
      <x v="826"/>
    </i>
    <i>
      <x v="836"/>
    </i>
    <i>
      <x v="839"/>
    </i>
    <i>
      <x v="842"/>
    </i>
    <i>
      <x v="851"/>
    </i>
    <i>
      <x v="852"/>
    </i>
    <i>
      <x v="860"/>
    </i>
    <i>
      <x v="863"/>
    </i>
    <i>
      <x v="867"/>
    </i>
    <i>
      <x v="868"/>
    </i>
    <i>
      <x v="869"/>
    </i>
    <i>
      <x v="871"/>
    </i>
    <i>
      <x v="872"/>
    </i>
    <i>
      <x v="873"/>
    </i>
    <i>
      <x v="878"/>
    </i>
    <i>
      <x v="879"/>
    </i>
    <i>
      <x v="890"/>
    </i>
    <i>
      <x v="896"/>
    </i>
    <i>
      <x v="898"/>
    </i>
    <i>
      <x v="908"/>
    </i>
    <i>
      <x v="910"/>
    </i>
    <i>
      <x v="914"/>
    </i>
    <i>
      <x v="917"/>
    </i>
    <i>
      <x v="920"/>
    </i>
    <i>
      <x v="922"/>
    </i>
    <i>
      <x v="930"/>
    </i>
    <i>
      <x v="932"/>
    </i>
    <i>
      <x v="933"/>
    </i>
    <i>
      <x v="934"/>
    </i>
    <i>
      <x v="935"/>
    </i>
    <i>
      <x v="937"/>
    </i>
    <i>
      <x v="941"/>
    </i>
    <i>
      <x v="944"/>
    </i>
    <i>
      <x v="948"/>
    </i>
    <i>
      <x v="960"/>
    </i>
    <i>
      <x v="971"/>
    </i>
    <i>
      <x v="972"/>
    </i>
    <i>
      <x v="980"/>
    </i>
    <i>
      <x v="984"/>
    </i>
    <i>
      <x v="991"/>
    </i>
    <i>
      <x v="995"/>
    </i>
    <i>
      <x v="1004"/>
    </i>
    <i>
      <x v="1012"/>
    </i>
    <i>
      <x v="1019"/>
    </i>
    <i>
      <x v="1022"/>
    </i>
    <i>
      <x v="1023"/>
    </i>
    <i>
      <x v="1024"/>
    </i>
    <i>
      <x v="1026"/>
    </i>
    <i t="grand">
      <x/>
    </i>
  </rowItems>
  <colItems count="1">
    <i/>
  </colItems>
  <pageFields count="1">
    <pageField fld="2" hier="-1"/>
  </pageFields>
  <dataFields count="1">
    <dataField name="Sum of Patents"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DA28712-67E4-A649-91E7-3A08D581C750}"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G13" firstHeaderRow="0" firstDataRow="1" firstDataCol="1"/>
  <pivotFields count="21">
    <pivotField showAll="0"/>
    <pivotField showAll="0"/>
    <pivotField axis="axisRow" showAll="0">
      <items count="11">
        <item x="2"/>
        <item x="3"/>
        <item x="0"/>
        <item x="9"/>
        <item x="7"/>
        <item x="5"/>
        <item x="1"/>
        <item x="8"/>
        <item x="4"/>
        <item x="6"/>
        <item t="default"/>
      </items>
    </pivotField>
    <pivotField showAll="0"/>
    <pivotField showAll="0"/>
    <pivotField showAll="0"/>
    <pivotField showAll="0"/>
    <pivotField dataField="1" numFmtId="166" showAll="0"/>
    <pivotField dataField="1" numFmtId="166" showAll="0"/>
    <pivotField showAll="0"/>
    <pivotField showAll="0"/>
    <pivotField numFmtId="14" showAll="0">
      <items count="63">
        <item x="42"/>
        <item x="45"/>
        <item x="48"/>
        <item x="0"/>
        <item x="5"/>
        <item x="29"/>
        <item x="10"/>
        <item x="55"/>
        <item x="21"/>
        <item x="44"/>
        <item x="16"/>
        <item x="57"/>
        <item x="17"/>
        <item x="41"/>
        <item x="31"/>
        <item x="15"/>
        <item x="12"/>
        <item x="32"/>
        <item x="14"/>
        <item x="60"/>
        <item x="34"/>
        <item x="54"/>
        <item x="9"/>
        <item x="18"/>
        <item x="58"/>
        <item x="20"/>
        <item x="6"/>
        <item x="19"/>
        <item x="46"/>
        <item x="4"/>
        <item x="40"/>
        <item x="24"/>
        <item x="30"/>
        <item x="11"/>
        <item x="7"/>
        <item x="43"/>
        <item x="61"/>
        <item x="26"/>
        <item x="1"/>
        <item x="47"/>
        <item x="22"/>
        <item x="2"/>
        <item x="39"/>
        <item x="56"/>
        <item x="23"/>
        <item x="35"/>
        <item x="52"/>
        <item x="25"/>
        <item x="51"/>
        <item x="3"/>
        <item x="28"/>
        <item x="8"/>
        <item x="59"/>
        <item x="49"/>
        <item x="13"/>
        <item x="36"/>
        <item x="37"/>
        <item x="33"/>
        <item x="53"/>
        <item x="27"/>
        <item x="50"/>
        <item x="38"/>
        <item t="default"/>
      </items>
    </pivotField>
    <pivotField showAll="0"/>
    <pivotField showAll="0"/>
    <pivotField showAll="0"/>
    <pivotField showAll="0"/>
    <pivotField showAll="0"/>
    <pivotField showAll="0"/>
    <pivotField showAll="0" defaultSubtotal="0"/>
    <pivotField showAll="0" defaultSubtotal="0"/>
    <pivotField showAll="0" defaultSubtotal="0">
      <items count="18">
        <item x="0"/>
        <item x="1"/>
        <item x="2"/>
        <item x="3"/>
        <item x="4"/>
        <item x="5"/>
        <item x="6"/>
        <item x="7"/>
        <item x="8"/>
        <item x="9"/>
        <item x="10"/>
        <item x="11"/>
        <item x="12"/>
        <item x="13"/>
        <item x="14"/>
        <item x="15"/>
        <item x="16"/>
        <item x="17"/>
      </items>
    </pivotField>
  </pivotFields>
  <rowFields count="1">
    <field x="2"/>
  </rowFields>
  <rowItems count="11">
    <i>
      <x/>
    </i>
    <i>
      <x v="1"/>
    </i>
    <i>
      <x v="2"/>
    </i>
    <i>
      <x v="3"/>
    </i>
    <i>
      <x v="4"/>
    </i>
    <i>
      <x v="5"/>
    </i>
    <i>
      <x v="6"/>
    </i>
    <i>
      <x v="7"/>
    </i>
    <i>
      <x v="8"/>
    </i>
    <i>
      <x v="9"/>
    </i>
    <i t="grand">
      <x/>
    </i>
  </rowItems>
  <colFields count="1">
    <field x="-2"/>
  </colFields>
  <colItems count="2">
    <i>
      <x/>
    </i>
    <i i="1">
      <x v="1"/>
    </i>
  </colItems>
  <dataFields count="2">
    <dataField name="Sum of CIHR_Equipment" fld="8" baseField="0" baseItem="0" numFmtId="166"/>
    <dataField name="Sum of CIHR_Contribution" fld="7"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508BE91-7FBA-F64F-B689-BB00A83CC512}"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W2:X66" firstHeaderRow="1" firstDataRow="1" firstDataCol="1"/>
  <pivotFields count="21">
    <pivotField dataField="1" showAll="0"/>
    <pivotField showAll="0"/>
    <pivotField showAll="0"/>
    <pivotField axis="axisRow" showAll="0">
      <items count="64">
        <item x="30"/>
        <item x="48"/>
        <item x="41"/>
        <item x="16"/>
        <item x="5"/>
        <item x="19"/>
        <item x="14"/>
        <item x="36"/>
        <item x="31"/>
        <item x="6"/>
        <item x="27"/>
        <item x="9"/>
        <item x="53"/>
        <item x="0"/>
        <item x="4"/>
        <item x="60"/>
        <item x="39"/>
        <item x="54"/>
        <item x="22"/>
        <item x="29"/>
        <item x="11"/>
        <item x="15"/>
        <item x="46"/>
        <item x="21"/>
        <item x="12"/>
        <item x="50"/>
        <item x="23"/>
        <item x="28"/>
        <item x="18"/>
        <item x="13"/>
        <item x="2"/>
        <item x="34"/>
        <item x="3"/>
        <item x="7"/>
        <item x="8"/>
        <item x="20"/>
        <item x="49"/>
        <item x="26"/>
        <item x="35"/>
        <item x="42"/>
        <item x="45"/>
        <item x="1"/>
        <item x="52"/>
        <item x="10"/>
        <item x="51"/>
        <item x="37"/>
        <item x="47"/>
        <item x="32"/>
        <item x="59"/>
        <item x="38"/>
        <item x="55"/>
        <item x="33"/>
        <item x="61"/>
        <item x="58"/>
        <item x="24"/>
        <item x="62"/>
        <item x="40"/>
        <item x="56"/>
        <item x="25"/>
        <item x="57"/>
        <item x="43"/>
        <item x="17"/>
        <item x="44"/>
        <item t="default"/>
      </items>
    </pivotField>
    <pivotField showAll="0"/>
    <pivotField showAll="0"/>
    <pivotField showAll="0"/>
    <pivotField numFmtId="166" showAll="0"/>
    <pivotField numFmtId="166" showAll="0"/>
    <pivotField showAll="0"/>
    <pivotField showAll="0"/>
    <pivotField numFmtId="14" showAll="0">
      <items count="63">
        <item x="42"/>
        <item x="45"/>
        <item x="48"/>
        <item x="0"/>
        <item x="5"/>
        <item x="29"/>
        <item x="10"/>
        <item x="55"/>
        <item x="21"/>
        <item x="44"/>
        <item x="16"/>
        <item x="57"/>
        <item x="17"/>
        <item x="41"/>
        <item x="31"/>
        <item x="15"/>
        <item x="12"/>
        <item x="32"/>
        <item x="14"/>
        <item x="60"/>
        <item x="34"/>
        <item x="54"/>
        <item x="9"/>
        <item x="18"/>
        <item x="58"/>
        <item x="20"/>
        <item x="6"/>
        <item x="19"/>
        <item x="46"/>
        <item x="4"/>
        <item x="40"/>
        <item x="24"/>
        <item x="30"/>
        <item x="11"/>
        <item x="7"/>
        <item x="43"/>
        <item x="61"/>
        <item x="26"/>
        <item x="1"/>
        <item x="47"/>
        <item x="22"/>
        <item x="2"/>
        <item x="39"/>
        <item x="56"/>
        <item x="23"/>
        <item x="35"/>
        <item x="52"/>
        <item x="25"/>
        <item x="51"/>
        <item x="3"/>
        <item x="28"/>
        <item x="8"/>
        <item x="59"/>
        <item x="49"/>
        <item x="13"/>
        <item x="36"/>
        <item x="37"/>
        <item x="33"/>
        <item x="53"/>
        <item x="27"/>
        <item x="50"/>
        <item x="38"/>
        <item t="default"/>
      </items>
    </pivotField>
    <pivotField showAll="0"/>
    <pivotField showAll="0"/>
    <pivotField showAll="0"/>
    <pivotField showAll="0"/>
    <pivotField showAll="0"/>
    <pivotField showAll="0"/>
    <pivotField showAll="0" defaultSubtotal="0"/>
    <pivotField showAll="0" defaultSubtotal="0"/>
    <pivotField showAll="0" defaultSubtotal="0">
      <items count="18">
        <item x="0"/>
        <item x="1"/>
        <item x="2"/>
        <item x="3"/>
        <item x="4"/>
        <item x="5"/>
        <item x="6"/>
        <item x="7"/>
        <item x="8"/>
        <item x="9"/>
        <item x="10"/>
        <item x="11"/>
        <item x="12"/>
        <item x="13"/>
        <item x="14"/>
        <item x="15"/>
        <item x="16"/>
        <item x="17"/>
      </items>
    </pivotField>
  </pivotFields>
  <rowFields count="1">
    <field x="3"/>
  </rowFields>
  <rowItems count="6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t="grand">
      <x/>
    </i>
  </rowItems>
  <colItems count="1">
    <i/>
  </colItems>
  <dataFields count="1">
    <dataField name="Count of Nam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7C806A4-D633-5A40-B6C5-00CE67B9981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B13" firstHeaderRow="1" firstDataRow="1" firstDataCol="1"/>
  <pivotFields count="21">
    <pivotField dataField="1" showAll="0"/>
    <pivotField showAll="0"/>
    <pivotField axis="axisRow" showAll="0">
      <items count="11">
        <item x="2"/>
        <item x="3"/>
        <item x="0"/>
        <item x="9"/>
        <item x="7"/>
        <item x="5"/>
        <item x="1"/>
        <item x="8"/>
        <item x="4"/>
        <item x="6"/>
        <item t="default"/>
      </items>
    </pivotField>
    <pivotField showAll="0"/>
    <pivotField showAll="0"/>
    <pivotField showAll="0"/>
    <pivotField showAll="0"/>
    <pivotField numFmtId="166" showAll="0"/>
    <pivotField numFmtId="166" showAll="0"/>
    <pivotField showAll="0"/>
    <pivotField showAll="0"/>
    <pivotField numFmtId="14" showAll="0">
      <items count="63">
        <item x="42"/>
        <item x="45"/>
        <item x="48"/>
        <item x="0"/>
        <item x="5"/>
        <item x="29"/>
        <item x="10"/>
        <item x="55"/>
        <item x="21"/>
        <item x="44"/>
        <item x="16"/>
        <item x="57"/>
        <item x="17"/>
        <item x="41"/>
        <item x="31"/>
        <item x="15"/>
        <item x="12"/>
        <item x="32"/>
        <item x="14"/>
        <item x="60"/>
        <item x="34"/>
        <item x="54"/>
        <item x="9"/>
        <item x="18"/>
        <item x="58"/>
        <item x="20"/>
        <item x="6"/>
        <item x="19"/>
        <item x="46"/>
        <item x="4"/>
        <item x="40"/>
        <item x="24"/>
        <item x="30"/>
        <item x="11"/>
        <item x="7"/>
        <item x="43"/>
        <item x="61"/>
        <item x="26"/>
        <item x="1"/>
        <item x="47"/>
        <item x="22"/>
        <item x="2"/>
        <item x="39"/>
        <item x="56"/>
        <item x="23"/>
        <item x="35"/>
        <item x="52"/>
        <item x="25"/>
        <item x="51"/>
        <item x="3"/>
        <item x="28"/>
        <item x="8"/>
        <item x="59"/>
        <item x="49"/>
        <item x="13"/>
        <item x="36"/>
        <item x="37"/>
        <item x="33"/>
        <item x="53"/>
        <item x="27"/>
        <item x="50"/>
        <item x="38"/>
        <item t="default"/>
      </items>
    </pivotField>
    <pivotField showAll="0"/>
    <pivotField showAll="0"/>
    <pivotField showAll="0"/>
    <pivotField showAll="0"/>
    <pivotField showAll="0"/>
    <pivotField showAll="0"/>
    <pivotField showAll="0" defaultSubtotal="0"/>
    <pivotField showAll="0" defaultSubtotal="0"/>
    <pivotField showAll="0" defaultSubtotal="0">
      <items count="18">
        <item x="0"/>
        <item x="1"/>
        <item x="2"/>
        <item x="3"/>
        <item x="4"/>
        <item x="5"/>
        <item x="6"/>
        <item x="7"/>
        <item x="8"/>
        <item x="9"/>
        <item x="10"/>
        <item x="11"/>
        <item x="12"/>
        <item x="13"/>
        <item x="14"/>
        <item x="15"/>
        <item x="16"/>
        <item x="17"/>
      </items>
    </pivotField>
  </pivotFields>
  <rowFields count="1">
    <field x="2"/>
  </rowFields>
  <rowItems count="11">
    <i>
      <x/>
    </i>
    <i>
      <x v="1"/>
    </i>
    <i>
      <x v="2"/>
    </i>
    <i>
      <x v="3"/>
    </i>
    <i>
      <x v="4"/>
    </i>
    <i>
      <x v="5"/>
    </i>
    <i>
      <x v="6"/>
    </i>
    <i>
      <x v="7"/>
    </i>
    <i>
      <x v="8"/>
    </i>
    <i>
      <x v="9"/>
    </i>
    <i t="grand">
      <x/>
    </i>
  </rowItems>
  <colItems count="1">
    <i/>
  </colItems>
  <dataFields count="1">
    <dataField name="Count of Nam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299C855-1D44-DB4C-87F4-EACD29878B06}"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5:G29" firstHeaderRow="0" firstDataRow="1" firstDataCol="1"/>
  <pivotFields count="21">
    <pivotField showAll="0"/>
    <pivotField showAll="0"/>
    <pivotField showAll="0"/>
    <pivotField showAll="0"/>
    <pivotField showAll="0"/>
    <pivotField showAll="0"/>
    <pivotField showAll="0"/>
    <pivotField dataField="1" numFmtId="166" showAll="0"/>
    <pivotField dataField="1" numFmtId="166" showAll="0"/>
    <pivotField showAll="0"/>
    <pivotField axis="axisRow" showAll="0">
      <items count="14">
        <item x="6"/>
        <item x="0"/>
        <item x="3"/>
        <item x="8"/>
        <item x="2"/>
        <item x="11"/>
        <item x="7"/>
        <item x="12"/>
        <item x="1"/>
        <item x="5"/>
        <item x="4"/>
        <item x="9"/>
        <item x="10"/>
        <item t="default"/>
      </items>
    </pivotField>
    <pivotField numFmtId="14" showAll="0">
      <items count="63">
        <item x="42"/>
        <item x="45"/>
        <item x="48"/>
        <item x="0"/>
        <item x="5"/>
        <item x="29"/>
        <item x="10"/>
        <item x="55"/>
        <item x="21"/>
        <item x="44"/>
        <item x="16"/>
        <item x="57"/>
        <item x="17"/>
        <item x="41"/>
        <item x="31"/>
        <item x="15"/>
        <item x="12"/>
        <item x="32"/>
        <item x="14"/>
        <item x="60"/>
        <item x="34"/>
        <item x="54"/>
        <item x="9"/>
        <item x="18"/>
        <item x="58"/>
        <item x="20"/>
        <item x="6"/>
        <item x="19"/>
        <item x="46"/>
        <item x="4"/>
        <item x="40"/>
        <item x="24"/>
        <item x="30"/>
        <item x="11"/>
        <item x="7"/>
        <item x="43"/>
        <item x="61"/>
        <item x="26"/>
        <item x="1"/>
        <item x="47"/>
        <item x="22"/>
        <item x="2"/>
        <item x="39"/>
        <item x="56"/>
        <item x="23"/>
        <item x="35"/>
        <item x="52"/>
        <item x="25"/>
        <item x="51"/>
        <item x="3"/>
        <item x="28"/>
        <item x="8"/>
        <item x="59"/>
        <item x="49"/>
        <item x="13"/>
        <item x="36"/>
        <item x="37"/>
        <item x="33"/>
        <item x="53"/>
        <item x="27"/>
        <item x="50"/>
        <item x="38"/>
        <item t="default"/>
      </items>
    </pivotField>
    <pivotField showAll="0"/>
    <pivotField showAll="0"/>
    <pivotField showAll="0"/>
    <pivotField showAll="0"/>
    <pivotField showAll="0"/>
    <pivotField showAll="0"/>
    <pivotField showAll="0" defaultSubtotal="0"/>
    <pivotField showAll="0" defaultSubtotal="0"/>
    <pivotField showAll="0" defaultSubtotal="0">
      <items count="18">
        <item x="0"/>
        <item x="1"/>
        <item x="2"/>
        <item x="3"/>
        <item x="4"/>
        <item x="5"/>
        <item x="6"/>
        <item x="7"/>
        <item x="8"/>
        <item x="9"/>
        <item x="10"/>
        <item x="11"/>
        <item x="12"/>
        <item x="13"/>
        <item x="14"/>
        <item x="15"/>
        <item x="16"/>
        <item x="17"/>
      </items>
    </pivotField>
  </pivotFields>
  <rowFields count="1">
    <field x="10"/>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CIHR_Equipment" fld="8" baseField="0" baseItem="0" numFmtId="166"/>
    <dataField name="Sum of CIHR_Contribution" fld="7"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65D7EE4-8B31-BC4F-B5BF-599ABCFDBEDF}"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K2:L19" firstHeaderRow="1" firstDataRow="1" firstDataCol="1"/>
  <pivotFields count="21">
    <pivotField dataField="1" showAll="0"/>
    <pivotField showAll="0"/>
    <pivotField showAll="0"/>
    <pivotField showAll="0"/>
    <pivotField showAll="0"/>
    <pivotField showAll="0"/>
    <pivotField showAll="0"/>
    <pivotField numFmtId="6" showAll="0"/>
    <pivotField numFmtId="6" showAll="0"/>
    <pivotField showAll="0"/>
    <pivotField showAll="0"/>
    <pivotField numFmtId="14" showAll="0">
      <items count="63">
        <item x="42"/>
        <item x="45"/>
        <item x="48"/>
        <item x="0"/>
        <item x="5"/>
        <item x="29"/>
        <item x="10"/>
        <item x="55"/>
        <item x="21"/>
        <item x="44"/>
        <item x="16"/>
        <item x="57"/>
        <item x="17"/>
        <item x="31"/>
        <item x="15"/>
        <item x="12"/>
        <item x="32"/>
        <item x="14"/>
        <item x="34"/>
        <item x="54"/>
        <item x="9"/>
        <item x="18"/>
        <item x="58"/>
        <item x="20"/>
        <item x="6"/>
        <item x="19"/>
        <item x="24"/>
        <item x="30"/>
        <item x="11"/>
        <item x="7"/>
        <item x="61"/>
        <item x="26"/>
        <item x="1"/>
        <item x="47"/>
        <item x="22"/>
        <item x="2"/>
        <item x="39"/>
        <item x="56"/>
        <item x="23"/>
        <item x="35"/>
        <item x="52"/>
        <item x="25"/>
        <item x="51"/>
        <item x="3"/>
        <item x="28"/>
        <item x="8"/>
        <item x="49"/>
        <item x="13"/>
        <item x="37"/>
        <item x="33"/>
        <item x="53"/>
        <item x="50"/>
        <item x="38"/>
        <item x="60"/>
        <item x="46"/>
        <item x="4"/>
        <item x="36"/>
        <item x="27"/>
        <item x="41"/>
        <item x="43"/>
        <item x="40"/>
        <item x="59"/>
        <item t="default"/>
      </items>
    </pivotField>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1"/>
        <item sd="0" x="2"/>
        <item sd="0" x="3"/>
        <item sd="0" x="4"/>
        <item sd="0" x="5"/>
        <item x="0"/>
        <item t="default"/>
      </items>
    </pivotField>
    <pivotField axis="axisRow" showAll="0">
      <items count="19">
        <item sd="0" x="1"/>
        <item sd="0" x="2"/>
        <item sd="0" x="3"/>
        <item sd="0" x="4"/>
        <item sd="0" x="5"/>
        <item sd="0" x="6"/>
        <item sd="0" x="7"/>
        <item sd="0" x="8"/>
        <item sd="0" x="9"/>
        <item sd="0" x="10"/>
        <item sd="0" x="11"/>
        <item sd="0" x="12"/>
        <item sd="0" x="13"/>
        <item sd="0" x="14"/>
        <item sd="0" x="15"/>
        <item sd="0" x="16"/>
        <item sd="0" x="17"/>
        <item x="0"/>
        <item t="default"/>
      </items>
    </pivotField>
  </pivotFields>
  <rowFields count="1">
    <field x="20"/>
  </rowFields>
  <rowItems count="17">
    <i>
      <x/>
    </i>
    <i>
      <x v="1"/>
    </i>
    <i>
      <x v="2"/>
    </i>
    <i>
      <x v="3"/>
    </i>
    <i>
      <x v="4"/>
    </i>
    <i>
      <x v="5"/>
    </i>
    <i>
      <x v="6"/>
    </i>
    <i>
      <x v="7"/>
    </i>
    <i>
      <x v="8"/>
    </i>
    <i>
      <x v="9"/>
    </i>
    <i>
      <x v="10"/>
    </i>
    <i>
      <x v="11"/>
    </i>
    <i>
      <x v="12"/>
    </i>
    <i>
      <x v="13"/>
    </i>
    <i>
      <x v="14"/>
    </i>
    <i>
      <x v="15"/>
    </i>
    <i t="grand">
      <x/>
    </i>
  </rowItems>
  <colItems count="1">
    <i/>
  </colItems>
  <dataFields count="1">
    <dataField name="Count of Nam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084D4EB-229A-2849-885F-48252B0DF32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2:F46" firstHeaderRow="1" firstDataRow="1" firstDataCol="1"/>
  <pivotFields count="21">
    <pivotField showAll="0"/>
    <pivotField showAll="0"/>
    <pivotField showAll="0"/>
    <pivotField showAll="0"/>
    <pivotField showAll="0"/>
    <pivotField showAll="0"/>
    <pivotField showAll="0"/>
    <pivotField numFmtId="166" showAll="0"/>
    <pivotField numFmtId="166" showAll="0"/>
    <pivotField showAll="0"/>
    <pivotField axis="axisRow" showAll="0">
      <items count="14">
        <item x="6"/>
        <item x="0"/>
        <item x="3"/>
        <item x="8"/>
        <item x="2"/>
        <item x="11"/>
        <item x="7"/>
        <item x="12"/>
        <item x="1"/>
        <item x="5"/>
        <item x="4"/>
        <item x="9"/>
        <item x="10"/>
        <item t="default"/>
      </items>
    </pivotField>
    <pivotField numFmtId="14" showAll="0">
      <items count="63">
        <item x="42"/>
        <item x="45"/>
        <item x="48"/>
        <item x="0"/>
        <item x="5"/>
        <item x="29"/>
        <item x="10"/>
        <item x="55"/>
        <item x="21"/>
        <item x="44"/>
        <item x="16"/>
        <item x="57"/>
        <item x="17"/>
        <item x="41"/>
        <item x="31"/>
        <item x="15"/>
        <item x="12"/>
        <item x="32"/>
        <item x="14"/>
        <item x="60"/>
        <item x="34"/>
        <item x="54"/>
        <item x="9"/>
        <item x="18"/>
        <item x="58"/>
        <item x="20"/>
        <item x="6"/>
        <item x="19"/>
        <item x="46"/>
        <item x="4"/>
        <item x="40"/>
        <item x="24"/>
        <item x="30"/>
        <item x="11"/>
        <item x="7"/>
        <item x="43"/>
        <item x="61"/>
        <item x="26"/>
        <item x="1"/>
        <item x="47"/>
        <item x="22"/>
        <item x="2"/>
        <item x="39"/>
        <item x="56"/>
        <item x="23"/>
        <item x="35"/>
        <item x="52"/>
        <item x="25"/>
        <item x="51"/>
        <item x="3"/>
        <item x="28"/>
        <item x="8"/>
        <item x="59"/>
        <item x="49"/>
        <item x="13"/>
        <item x="36"/>
        <item x="37"/>
        <item x="33"/>
        <item x="53"/>
        <item x="27"/>
        <item x="50"/>
        <item x="38"/>
        <item t="default"/>
      </items>
    </pivotField>
    <pivotField showAll="0"/>
    <pivotField dataField="1" showAll="0"/>
    <pivotField showAll="0"/>
    <pivotField showAll="0"/>
    <pivotField showAll="0"/>
    <pivotField showAll="0"/>
    <pivotField showAll="0" defaultSubtotal="0"/>
    <pivotField showAll="0" defaultSubtotal="0"/>
    <pivotField showAll="0" defaultSubtotal="0">
      <items count="18">
        <item x="0"/>
        <item x="1"/>
        <item x="2"/>
        <item x="3"/>
        <item x="4"/>
        <item x="5"/>
        <item x="6"/>
        <item x="7"/>
        <item x="8"/>
        <item x="9"/>
        <item x="10"/>
        <item x="11"/>
        <item x="12"/>
        <item x="13"/>
        <item x="14"/>
        <item x="15"/>
        <item x="16"/>
        <item x="17"/>
      </items>
    </pivotField>
  </pivotFields>
  <rowFields count="1">
    <field x="10"/>
  </rowFields>
  <rowItems count="14">
    <i>
      <x/>
    </i>
    <i>
      <x v="1"/>
    </i>
    <i>
      <x v="2"/>
    </i>
    <i>
      <x v="3"/>
    </i>
    <i>
      <x v="4"/>
    </i>
    <i>
      <x v="5"/>
    </i>
    <i>
      <x v="6"/>
    </i>
    <i>
      <x v="7"/>
    </i>
    <i>
      <x v="8"/>
    </i>
    <i>
      <x v="9"/>
    </i>
    <i>
      <x v="10"/>
    </i>
    <i>
      <x v="11"/>
    </i>
    <i>
      <x v="12"/>
    </i>
    <i t="grand">
      <x/>
    </i>
  </rowItems>
  <colItems count="1">
    <i/>
  </colItems>
  <dataFields count="1">
    <dataField name="Sum of Patents"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549ED0D-8CDF-4940-8646-06C83FC1E3BF}"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2:C1087" firstHeaderRow="0" firstDataRow="1" firstDataCol="1"/>
  <pivotFields count="21">
    <pivotField axis="axisRow" showAll="0">
      <items count="1035">
        <item x="36"/>
        <item x="37"/>
        <item x="38"/>
        <item x="39"/>
        <item x="41"/>
        <item x="42"/>
        <item x="43"/>
        <item x="44"/>
        <item x="45"/>
        <item x="47"/>
        <item x="50"/>
        <item x="53"/>
        <item x="54"/>
        <item x="56"/>
        <item x="57"/>
        <item x="58"/>
        <item x="59"/>
        <item x="61"/>
        <item x="13"/>
        <item x="64"/>
        <item x="65"/>
        <item x="66"/>
        <item x="67"/>
        <item x="68"/>
        <item x="69"/>
        <item x="70"/>
        <item x="71"/>
        <item x="72"/>
        <item x="73"/>
        <item x="74"/>
        <item x="75"/>
        <item x="77"/>
        <item x="79"/>
        <item x="80"/>
        <item x="82"/>
        <item x="83"/>
        <item x="85"/>
        <item x="86"/>
        <item x="18"/>
        <item x="87"/>
        <item x="88"/>
        <item x="89"/>
        <item x="90"/>
        <item x="91"/>
        <item x="95"/>
        <item x="97"/>
        <item x="98"/>
        <item x="99"/>
        <item x="100"/>
        <item x="102"/>
        <item x="105"/>
        <item x="30"/>
        <item x="106"/>
        <item x="107"/>
        <item x="108"/>
        <item x="109"/>
        <item x="110"/>
        <item x="111"/>
        <item x="112"/>
        <item x="113"/>
        <item x="114"/>
        <item x="115"/>
        <item x="116"/>
        <item x="117"/>
        <item x="119"/>
        <item x="122"/>
        <item x="123"/>
        <item x="124"/>
        <item x="126"/>
        <item x="127"/>
        <item x="31"/>
        <item x="129"/>
        <item x="132"/>
        <item x="133"/>
        <item x="135"/>
        <item x="138"/>
        <item x="139"/>
        <item x="140"/>
        <item x="141"/>
        <item x="143"/>
        <item x="27"/>
        <item x="145"/>
        <item x="146"/>
        <item x="148"/>
        <item x="149"/>
        <item x="150"/>
        <item x="151"/>
        <item x="154"/>
        <item x="155"/>
        <item x="157"/>
        <item x="158"/>
        <item x="159"/>
        <item x="160"/>
        <item x="161"/>
        <item x="162"/>
        <item x="20"/>
        <item x="163"/>
        <item x="164"/>
        <item x="166"/>
        <item x="170"/>
        <item x="172"/>
        <item x="174"/>
        <item x="175"/>
        <item x="177"/>
        <item x="178"/>
        <item x="179"/>
        <item x="180"/>
        <item x="182"/>
        <item x="183"/>
        <item x="184"/>
        <item x="185"/>
        <item x="186"/>
        <item x="187"/>
        <item x="188"/>
        <item x="189"/>
        <item x="190"/>
        <item x="191"/>
        <item x="192"/>
        <item x="193"/>
        <item x="194"/>
        <item x="196"/>
        <item x="197"/>
        <item x="198"/>
        <item x="200"/>
        <item x="201"/>
        <item x="202"/>
        <item x="204"/>
        <item x="205"/>
        <item x="207"/>
        <item x="208"/>
        <item x="209"/>
        <item x="210"/>
        <item x="211"/>
        <item x="212"/>
        <item x="213"/>
        <item x="214"/>
        <item x="216"/>
        <item x="217"/>
        <item x="219"/>
        <item x="220"/>
        <item x="221"/>
        <item x="222"/>
        <item x="17"/>
        <item x="224"/>
        <item x="225"/>
        <item x="226"/>
        <item x="228"/>
        <item x="16"/>
        <item x="229"/>
        <item x="230"/>
        <item x="231"/>
        <item x="233"/>
        <item x="234"/>
        <item x="235"/>
        <item x="2"/>
        <item x="236"/>
        <item x="238"/>
        <item x="239"/>
        <item x="15"/>
        <item x="240"/>
        <item x="241"/>
        <item x="244"/>
        <item x="245"/>
        <item x="248"/>
        <item x="249"/>
        <item x="250"/>
        <item x="251"/>
        <item x="252"/>
        <item x="253"/>
        <item x="254"/>
        <item x="255"/>
        <item x="257"/>
        <item x="258"/>
        <item x="259"/>
        <item x="260"/>
        <item x="261"/>
        <item x="263"/>
        <item x="264"/>
        <item x="265"/>
        <item x="266"/>
        <item x="269"/>
        <item x="270"/>
        <item x="272"/>
        <item x="273"/>
        <item x="23"/>
        <item x="25"/>
        <item x="274"/>
        <item x="275"/>
        <item x="278"/>
        <item x="279"/>
        <item x="280"/>
        <item x="281"/>
        <item x="283"/>
        <item x="284"/>
        <item x="285"/>
        <item x="286"/>
        <item x="288"/>
        <item x="290"/>
        <item x="291"/>
        <item x="292"/>
        <item x="293"/>
        <item x="32"/>
        <item x="295"/>
        <item x="296"/>
        <item x="298"/>
        <item x="299"/>
        <item x="300"/>
        <item x="304"/>
        <item x="306"/>
        <item x="307"/>
        <item x="309"/>
        <item x="310"/>
        <item x="312"/>
        <item x="313"/>
        <item x="314"/>
        <item x="317"/>
        <item x="318"/>
        <item x="319"/>
        <item x="320"/>
        <item x="321"/>
        <item x="326"/>
        <item x="327"/>
        <item x="328"/>
        <item x="329"/>
        <item x="330"/>
        <item x="331"/>
        <item x="332"/>
        <item x="333"/>
        <item x="7"/>
        <item x="334"/>
        <item x="335"/>
        <item x="336"/>
        <item x="338"/>
        <item x="340"/>
        <item x="342"/>
        <item x="344"/>
        <item x="345"/>
        <item x="348"/>
        <item x="351"/>
        <item x="354"/>
        <item x="356"/>
        <item x="357"/>
        <item x="358"/>
        <item x="359"/>
        <item x="360"/>
        <item x="361"/>
        <item x="362"/>
        <item x="363"/>
        <item x="364"/>
        <item x="365"/>
        <item x="366"/>
        <item x="367"/>
        <item x="369"/>
        <item x="370"/>
        <item x="373"/>
        <item x="374"/>
        <item x="375"/>
        <item x="376"/>
        <item x="377"/>
        <item x="378"/>
        <item x="381"/>
        <item x="382"/>
        <item x="385"/>
        <item x="10"/>
        <item x="386"/>
        <item x="387"/>
        <item x="388"/>
        <item x="389"/>
        <item x="391"/>
        <item x="393"/>
        <item x="394"/>
        <item x="395"/>
        <item x="396"/>
        <item x="397"/>
        <item x="398"/>
        <item x="400"/>
        <item x="403"/>
        <item x="404"/>
        <item x="405"/>
        <item x="406"/>
        <item x="407"/>
        <item x="408"/>
        <item x="409"/>
        <item x="411"/>
        <item x="412"/>
        <item x="21"/>
        <item x="416"/>
        <item x="417"/>
        <item x="33"/>
        <item x="418"/>
        <item x="419"/>
        <item x="420"/>
        <item x="421"/>
        <item x="422"/>
        <item x="423"/>
        <item x="424"/>
        <item x="425"/>
        <item x="426"/>
        <item x="428"/>
        <item x="429"/>
        <item x="430"/>
        <item x="431"/>
        <item x="432"/>
        <item x="6"/>
        <item x="435"/>
        <item x="436"/>
        <item x="437"/>
        <item x="438"/>
        <item x="439"/>
        <item x="440"/>
        <item x="442"/>
        <item x="443"/>
        <item x="444"/>
        <item x="445"/>
        <item x="446"/>
        <item x="447"/>
        <item x="448"/>
        <item x="449"/>
        <item x="19"/>
        <item x="451"/>
        <item x="452"/>
        <item x="454"/>
        <item x="455"/>
        <item x="457"/>
        <item x="458"/>
        <item x="459"/>
        <item x="460"/>
        <item x="461"/>
        <item x="462"/>
        <item x="464"/>
        <item x="465"/>
        <item x="466"/>
        <item x="468"/>
        <item x="469"/>
        <item x="470"/>
        <item x="471"/>
        <item x="473"/>
        <item x="474"/>
        <item x="475"/>
        <item x="477"/>
        <item x="478"/>
        <item x="479"/>
        <item x="481"/>
        <item x="482"/>
        <item x="485"/>
        <item x="486"/>
        <item x="487"/>
        <item x="488"/>
        <item x="489"/>
        <item x="490"/>
        <item x="491"/>
        <item x="492"/>
        <item x="493"/>
        <item x="494"/>
        <item x="496"/>
        <item x="498"/>
        <item x="501"/>
        <item x="503"/>
        <item x="504"/>
        <item x="505"/>
        <item x="506"/>
        <item x="507"/>
        <item x="508"/>
        <item x="509"/>
        <item x="515"/>
        <item x="517"/>
        <item x="518"/>
        <item x="519"/>
        <item x="521"/>
        <item x="523"/>
        <item x="527"/>
        <item x="528"/>
        <item x="529"/>
        <item x="530"/>
        <item x="532"/>
        <item x="534"/>
        <item x="536"/>
        <item x="537"/>
        <item x="538"/>
        <item x="539"/>
        <item x="540"/>
        <item x="541"/>
        <item x="544"/>
        <item x="545"/>
        <item x="546"/>
        <item x="547"/>
        <item x="3"/>
        <item x="548"/>
        <item x="549"/>
        <item x="550"/>
        <item x="551"/>
        <item x="552"/>
        <item x="553"/>
        <item x="555"/>
        <item x="11"/>
        <item x="556"/>
        <item x="557"/>
        <item x="558"/>
        <item x="559"/>
        <item x="560"/>
        <item x="4"/>
        <item x="562"/>
        <item x="563"/>
        <item x="564"/>
        <item x="565"/>
        <item x="566"/>
        <item x="567"/>
        <item x="568"/>
        <item x="571"/>
        <item x="572"/>
        <item x="574"/>
        <item x="575"/>
        <item x="577"/>
        <item x="578"/>
        <item x="579"/>
        <item x="580"/>
        <item x="581"/>
        <item x="582"/>
        <item x="583"/>
        <item x="584"/>
        <item x="585"/>
        <item x="587"/>
        <item x="0"/>
        <item x="589"/>
        <item x="590"/>
        <item x="592"/>
        <item x="594"/>
        <item x="596"/>
        <item x="598"/>
        <item x="599"/>
        <item x="600"/>
        <item x="601"/>
        <item x="604"/>
        <item x="605"/>
        <item x="607"/>
        <item x="608"/>
        <item x="609"/>
        <item x="611"/>
        <item x="613"/>
        <item x="614"/>
        <item x="615"/>
        <item x="616"/>
        <item x="617"/>
        <item x="618"/>
        <item x="619"/>
        <item x="621"/>
        <item x="622"/>
        <item x="623"/>
        <item x="624"/>
        <item x="625"/>
        <item x="626"/>
        <item x="628"/>
        <item x="630"/>
        <item x="633"/>
        <item x="640"/>
        <item x="641"/>
        <item x="642"/>
        <item x="643"/>
        <item x="644"/>
        <item x="645"/>
        <item x="646"/>
        <item x="648"/>
        <item x="649"/>
        <item x="650"/>
        <item x="652"/>
        <item x="653"/>
        <item x="655"/>
        <item x="656"/>
        <item x="657"/>
        <item x="658"/>
        <item x="662"/>
        <item x="663"/>
        <item x="664"/>
        <item x="665"/>
        <item x="666"/>
        <item x="668"/>
        <item x="669"/>
        <item x="670"/>
        <item x="672"/>
        <item x="673"/>
        <item x="675"/>
        <item x="676"/>
        <item x="677"/>
        <item x="678"/>
        <item x="681"/>
        <item x="682"/>
        <item x="683"/>
        <item x="684"/>
        <item x="685"/>
        <item x="688"/>
        <item x="689"/>
        <item x="690"/>
        <item x="22"/>
        <item x="691"/>
        <item x="692"/>
        <item x="693"/>
        <item x="694"/>
        <item x="695"/>
        <item x="697"/>
        <item x="698"/>
        <item x="699"/>
        <item x="700"/>
        <item x="701"/>
        <item x="702"/>
        <item x="703"/>
        <item x="704"/>
        <item x="707"/>
        <item x="709"/>
        <item x="713"/>
        <item x="715"/>
        <item x="717"/>
        <item x="718"/>
        <item x="720"/>
        <item x="721"/>
        <item x="722"/>
        <item x="723"/>
        <item x="724"/>
        <item x="726"/>
        <item x="727"/>
        <item x="729"/>
        <item x="731"/>
        <item x="732"/>
        <item x="733"/>
        <item x="735"/>
        <item x="736"/>
        <item x="737"/>
        <item x="738"/>
        <item x="740"/>
        <item x="741"/>
        <item x="742"/>
        <item x="743"/>
        <item x="745"/>
        <item x="746"/>
        <item x="747"/>
        <item x="749"/>
        <item x="751"/>
        <item x="752"/>
        <item x="754"/>
        <item x="756"/>
        <item x="758"/>
        <item x="759"/>
        <item x="24"/>
        <item x="760"/>
        <item x="762"/>
        <item x="763"/>
        <item x="764"/>
        <item x="765"/>
        <item x="766"/>
        <item x="767"/>
        <item x="768"/>
        <item x="770"/>
        <item x="773"/>
        <item x="774"/>
        <item x="775"/>
        <item x="776"/>
        <item x="777"/>
        <item x="778"/>
        <item x="780"/>
        <item x="781"/>
        <item x="782"/>
        <item x="784"/>
        <item x="785"/>
        <item x="787"/>
        <item x="788"/>
        <item x="789"/>
        <item x="790"/>
        <item x="791"/>
        <item x="792"/>
        <item x="793"/>
        <item x="794"/>
        <item x="795"/>
        <item x="796"/>
        <item x="797"/>
        <item x="798"/>
        <item x="799"/>
        <item x="800"/>
        <item x="801"/>
        <item x="802"/>
        <item x="803"/>
        <item x="804"/>
        <item x="807"/>
        <item x="808"/>
        <item x="809"/>
        <item x="810"/>
        <item x="811"/>
        <item x="9"/>
        <item x="813"/>
        <item x="815"/>
        <item x="817"/>
        <item x="819"/>
        <item x="820"/>
        <item x="821"/>
        <item x="822"/>
        <item x="823"/>
        <item x="34"/>
        <item x="825"/>
        <item x="826"/>
        <item x="827"/>
        <item x="828"/>
        <item x="829"/>
        <item x="830"/>
        <item x="831"/>
        <item x="832"/>
        <item x="833"/>
        <item x="835"/>
        <item x="836"/>
        <item x="837"/>
        <item x="838"/>
        <item x="840"/>
        <item x="842"/>
        <item x="843"/>
        <item x="844"/>
        <item x="846"/>
        <item x="848"/>
        <item x="850"/>
        <item x="851"/>
        <item x="852"/>
        <item x="853"/>
        <item x="855"/>
        <item x="856"/>
        <item x="857"/>
        <item x="858"/>
        <item x="8"/>
        <item x="859"/>
        <item x="861"/>
        <item x="862"/>
        <item x="863"/>
        <item x="865"/>
        <item x="867"/>
        <item x="869"/>
        <item x="870"/>
        <item x="871"/>
        <item x="872"/>
        <item x="875"/>
        <item x="876"/>
        <item x="877"/>
        <item x="878"/>
        <item x="879"/>
        <item x="880"/>
        <item x="881"/>
        <item x="882"/>
        <item x="883"/>
        <item x="884"/>
        <item x="887"/>
        <item x="888"/>
        <item x="889"/>
        <item x="890"/>
        <item x="892"/>
        <item x="893"/>
        <item x="28"/>
        <item x="895"/>
        <item x="901"/>
        <item x="902"/>
        <item x="903"/>
        <item x="904"/>
        <item x="905"/>
        <item x="907"/>
        <item x="908"/>
        <item x="910"/>
        <item x="912"/>
        <item x="913"/>
        <item x="915"/>
        <item x="917"/>
        <item x="919"/>
        <item x="920"/>
        <item x="921"/>
        <item x="922"/>
        <item x="923"/>
        <item x="924"/>
        <item x="925"/>
        <item x="926"/>
        <item x="927"/>
        <item x="930"/>
        <item x="931"/>
        <item x="932"/>
        <item x="934"/>
        <item x="936"/>
        <item x="938"/>
        <item x="939"/>
        <item x="940"/>
        <item x="942"/>
        <item x="26"/>
        <item x="943"/>
        <item x="944"/>
        <item x="945"/>
        <item x="946"/>
        <item x="947"/>
        <item x="949"/>
        <item x="950"/>
        <item x="951"/>
        <item x="952"/>
        <item x="954"/>
        <item x="955"/>
        <item x="956"/>
        <item x="958"/>
        <item x="960"/>
        <item x="962"/>
        <item x="29"/>
        <item x="963"/>
        <item x="964"/>
        <item x="966"/>
        <item x="967"/>
        <item x="5"/>
        <item x="970"/>
        <item x="972"/>
        <item x="973"/>
        <item x="975"/>
        <item x="976"/>
        <item x="978"/>
        <item x="980"/>
        <item x="981"/>
        <item x="982"/>
        <item x="984"/>
        <item x="987"/>
        <item x="989"/>
        <item x="991"/>
        <item x="992"/>
        <item x="14"/>
        <item x="994"/>
        <item x="995"/>
        <item x="996"/>
        <item x="998"/>
        <item x="999"/>
        <item x="1000"/>
        <item x="1002"/>
        <item x="1003"/>
        <item x="1004"/>
        <item x="1005"/>
        <item x="1008"/>
        <item x="1009"/>
        <item x="1010"/>
        <item x="1012"/>
        <item x="1013"/>
        <item x="1014"/>
        <item x="1015"/>
        <item x="1016"/>
        <item x="1017"/>
        <item x="1019"/>
        <item x="1022"/>
        <item x="1024"/>
        <item x="1025"/>
        <item x="1026"/>
        <item x="1027"/>
        <item x="1028"/>
        <item x="1029"/>
        <item x="1030"/>
        <item x="1031"/>
        <item x="1032"/>
        <item x="1033"/>
        <item x="814"/>
        <item x="771"/>
        <item x="849"/>
        <item x="965"/>
        <item x="520"/>
        <item x="637"/>
        <item x="680"/>
        <item x="873"/>
        <item x="899"/>
        <item x="570"/>
        <item x="845"/>
        <item x="402"/>
        <item x="710"/>
        <item x="638"/>
        <item x="660"/>
        <item x="914"/>
        <item x="453"/>
        <item x="232"/>
        <item x="786"/>
        <item x="379"/>
        <item x="456"/>
        <item x="906"/>
        <item x="55"/>
        <item x="450"/>
        <item x="1023"/>
        <item x="755"/>
        <item x="659"/>
        <item x="886"/>
        <item x="911"/>
        <item x="535"/>
        <item x="311"/>
        <item x="282"/>
        <item x="1020"/>
        <item x="586"/>
        <item x="935"/>
        <item x="783"/>
        <item x="142"/>
        <item x="94"/>
        <item x="147"/>
        <item x="896"/>
        <item x="81"/>
        <item x="977"/>
        <item x="49"/>
        <item x="576"/>
        <item x="1018"/>
        <item x="629"/>
        <item x="467"/>
        <item x="1001"/>
        <item x="1007"/>
        <item x="84"/>
        <item x="60"/>
        <item x="153"/>
        <item x="739"/>
        <item x="156"/>
        <item x="612"/>
        <item x="399"/>
        <item x="137"/>
        <item x="522"/>
        <item x="891"/>
        <item x="125"/>
        <item x="661"/>
        <item x="484"/>
        <item x="176"/>
        <item x="686"/>
        <item x="990"/>
        <item x="719"/>
        <item x="271"/>
        <item x="355"/>
        <item x="651"/>
        <item x="620"/>
        <item x="134"/>
        <item x="472"/>
        <item x="287"/>
        <item x="246"/>
        <item x="383"/>
        <item x="343"/>
        <item x="62"/>
        <item x="512"/>
        <item x="531"/>
        <item x="118"/>
        <item x="165"/>
        <item x="414"/>
        <item x="511"/>
        <item x="349"/>
        <item x="993"/>
        <item x="948"/>
        <item x="121"/>
        <item x="463"/>
        <item x="561"/>
        <item x="918"/>
        <item x="168"/>
        <item x="639"/>
        <item x="63"/>
        <item x="524"/>
        <item x="384"/>
        <item x="667"/>
        <item x="96"/>
        <item x="199"/>
        <item x="593"/>
        <item x="1011"/>
        <item x="533"/>
        <item x="969"/>
        <item x="711"/>
        <item x="35"/>
        <item x="708"/>
        <item x="215"/>
        <item x="325"/>
        <item x="128"/>
        <item x="322"/>
        <item x="679"/>
        <item x="52"/>
        <item x="674"/>
        <item x="203"/>
        <item x="476"/>
        <item x="218"/>
        <item x="513"/>
        <item x="78"/>
        <item x="812"/>
        <item x="347"/>
        <item x="933"/>
        <item x="868"/>
        <item x="753"/>
        <item x="543"/>
        <item x="839"/>
        <item x="597"/>
        <item x="602"/>
        <item x="131"/>
        <item x="262"/>
        <item x="227"/>
        <item x="371"/>
        <item x="591"/>
        <item x="898"/>
        <item x="242"/>
        <item x="885"/>
        <item x="805"/>
        <item x="847"/>
        <item x="997"/>
        <item x="1"/>
        <item x="909"/>
        <item x="223"/>
        <item x="51"/>
        <item x="130"/>
        <item x="1021"/>
        <item x="968"/>
        <item x="247"/>
        <item x="267"/>
        <item x="410"/>
        <item x="860"/>
        <item x="352"/>
        <item x="303"/>
        <item x="647"/>
        <item x="957"/>
        <item x="816"/>
        <item x="1006"/>
        <item x="499"/>
        <item x="979"/>
        <item x="961"/>
        <item x="988"/>
        <item x="276"/>
        <item x="635"/>
        <item x="937"/>
        <item x="542"/>
        <item x="900"/>
        <item x="289"/>
        <item x="705"/>
        <item x="874"/>
        <item x="120"/>
        <item x="750"/>
        <item x="434"/>
        <item x="769"/>
        <item x="372"/>
        <item x="237"/>
        <item x="302"/>
        <item x="144"/>
        <item x="897"/>
        <item x="502"/>
        <item x="48"/>
        <item x="525"/>
        <item x="929"/>
        <item x="495"/>
        <item x="392"/>
        <item x="634"/>
        <item x="301"/>
        <item x="324"/>
        <item x="500"/>
        <item x="588"/>
        <item x="195"/>
        <item x="136"/>
        <item x="779"/>
        <item x="854"/>
        <item x="603"/>
        <item x="380"/>
        <item x="243"/>
        <item x="631"/>
        <item x="569"/>
        <item x="916"/>
        <item x="941"/>
        <item x="93"/>
        <item x="712"/>
        <item x="92"/>
        <item x="256"/>
        <item x="169"/>
        <item x="983"/>
        <item x="104"/>
        <item x="308"/>
        <item x="350"/>
        <item x="824"/>
        <item x="687"/>
        <item x="806"/>
        <item x="595"/>
        <item x="171"/>
        <item x="339"/>
        <item x="12"/>
        <item x="341"/>
        <item x="167"/>
        <item x="761"/>
        <item x="894"/>
        <item x="627"/>
        <item x="315"/>
        <item x="526"/>
        <item x="76"/>
        <item x="294"/>
        <item x="268"/>
        <item x="368"/>
        <item x="480"/>
        <item x="346"/>
        <item x="636"/>
        <item x="441"/>
        <item x="818"/>
        <item x="297"/>
        <item x="834"/>
        <item x="181"/>
        <item x="734"/>
        <item x="510"/>
        <item x="305"/>
        <item x="757"/>
        <item x="841"/>
        <item x="554"/>
        <item x="40"/>
        <item x="985"/>
        <item x="610"/>
        <item x="654"/>
        <item x="101"/>
        <item x="152"/>
        <item x="337"/>
        <item x="206"/>
        <item x="953"/>
        <item x="864"/>
        <item x="959"/>
        <item x="433"/>
        <item x="716"/>
        <item x="928"/>
        <item x="730"/>
        <item x="986"/>
        <item x="390"/>
        <item x="514"/>
        <item x="427"/>
        <item x="323"/>
        <item x="497"/>
        <item x="725"/>
        <item x="671"/>
        <item x="714"/>
        <item x="573"/>
        <item x="706"/>
        <item x="401"/>
        <item x="173"/>
        <item x="483"/>
        <item x="696"/>
        <item x="866"/>
        <item x="971"/>
        <item x="103"/>
        <item x="277"/>
        <item x="748"/>
        <item x="413"/>
        <item x="353"/>
        <item x="632"/>
        <item x="728"/>
        <item x="316"/>
        <item x="772"/>
        <item x="606"/>
        <item x="415"/>
        <item x="974"/>
        <item x="516"/>
        <item x="46"/>
        <item x="744"/>
        <item t="default"/>
      </items>
    </pivotField>
    <pivotField showAll="0"/>
    <pivotField showAll="0"/>
    <pivotField showAll="0"/>
    <pivotField showAll="0"/>
    <pivotField showAll="0"/>
    <pivotField showAll="0"/>
    <pivotField numFmtId="166" showAll="0"/>
    <pivotField numFmtId="166" showAll="0"/>
    <pivotField showAll="0"/>
    <pivotField showAll="0"/>
    <pivotField numFmtId="14" showAll="0">
      <items count="63">
        <item x="42"/>
        <item x="45"/>
        <item x="48"/>
        <item x="0"/>
        <item x="5"/>
        <item x="29"/>
        <item x="10"/>
        <item x="55"/>
        <item x="21"/>
        <item x="44"/>
        <item x="16"/>
        <item x="57"/>
        <item x="17"/>
        <item x="41"/>
        <item x="31"/>
        <item x="15"/>
        <item x="12"/>
        <item x="32"/>
        <item x="14"/>
        <item x="60"/>
        <item x="34"/>
        <item x="54"/>
        <item x="9"/>
        <item x="18"/>
        <item x="58"/>
        <item x="20"/>
        <item x="6"/>
        <item x="19"/>
        <item x="46"/>
        <item x="4"/>
        <item x="40"/>
        <item x="24"/>
        <item x="30"/>
        <item x="11"/>
        <item x="7"/>
        <item x="43"/>
        <item x="61"/>
        <item x="26"/>
        <item x="1"/>
        <item x="47"/>
        <item x="22"/>
        <item x="2"/>
        <item x="39"/>
        <item x="56"/>
        <item x="23"/>
        <item x="35"/>
        <item x="52"/>
        <item x="25"/>
        <item x="51"/>
        <item x="3"/>
        <item x="28"/>
        <item x="8"/>
        <item x="59"/>
        <item x="49"/>
        <item x="13"/>
        <item x="36"/>
        <item x="37"/>
        <item x="33"/>
        <item x="53"/>
        <item x="27"/>
        <item x="50"/>
        <item x="38"/>
        <item t="default"/>
      </items>
    </pivotField>
    <pivotField showAll="0"/>
    <pivotField dataField="1" showAll="0"/>
    <pivotField showAll="0"/>
    <pivotField dataField="1" showAll="0"/>
    <pivotField showAll="0"/>
    <pivotField showAll="0"/>
    <pivotField showAll="0" defaultSubtotal="0"/>
    <pivotField showAll="0" defaultSubtotal="0"/>
    <pivotField showAll="0" defaultSubtotal="0">
      <items count="18">
        <item x="0"/>
        <item x="1"/>
        <item x="2"/>
        <item x="3"/>
        <item x="4"/>
        <item x="5"/>
        <item x="6"/>
        <item x="7"/>
        <item x="8"/>
        <item x="9"/>
        <item x="10"/>
        <item x="11"/>
        <item x="12"/>
        <item x="13"/>
        <item x="14"/>
        <item x="15"/>
        <item x="16"/>
        <item x="17"/>
      </items>
    </pivotField>
  </pivotFields>
  <rowFields count="1">
    <field x="0"/>
  </rowFields>
  <rowItems count="103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t="grand">
      <x/>
    </i>
  </rowItems>
  <colFields count="1">
    <field x="-2"/>
  </colFields>
  <colItems count="2">
    <i>
      <x/>
    </i>
    <i i="1">
      <x v="1"/>
    </i>
  </colItems>
  <dataFields count="2">
    <dataField name="Sum of Patents" fld="13" baseField="0" baseItem="0"/>
    <dataField name="Sum of companies_count"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EE9E7B2-3A5E-724F-82FC-2B4E2AD6FA42}"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2:O30" firstHeaderRow="1" firstDataRow="1" firstDataCol="1"/>
  <pivotFields count="21">
    <pivotField dataField="1" showAll="0"/>
    <pivotField showAll="0"/>
    <pivotField showAll="0"/>
    <pivotField showAll="0"/>
    <pivotField showAll="0"/>
    <pivotField axis="axisRow" showAll="0">
      <items count="28">
        <item x="20"/>
        <item x="9"/>
        <item x="10"/>
        <item x="0"/>
        <item x="3"/>
        <item x="5"/>
        <item x="1"/>
        <item x="24"/>
        <item x="8"/>
        <item x="16"/>
        <item x="12"/>
        <item x="2"/>
        <item x="21"/>
        <item x="26"/>
        <item x="22"/>
        <item x="15"/>
        <item x="23"/>
        <item x="4"/>
        <item x="7"/>
        <item x="6"/>
        <item x="13"/>
        <item x="18"/>
        <item x="11"/>
        <item x="17"/>
        <item x="19"/>
        <item x="25"/>
        <item x="14"/>
        <item t="default"/>
      </items>
    </pivotField>
    <pivotField showAll="0"/>
    <pivotField numFmtId="166" showAll="0"/>
    <pivotField numFmtId="166" showAll="0"/>
    <pivotField showAll="0"/>
    <pivotField showAll="0"/>
    <pivotField numFmtId="14" showAll="0">
      <items count="63">
        <item x="42"/>
        <item x="45"/>
        <item x="48"/>
        <item x="0"/>
        <item x="5"/>
        <item x="29"/>
        <item x="10"/>
        <item x="55"/>
        <item x="21"/>
        <item x="44"/>
        <item x="16"/>
        <item x="57"/>
        <item x="17"/>
        <item x="41"/>
        <item x="31"/>
        <item x="15"/>
        <item x="12"/>
        <item x="32"/>
        <item x="14"/>
        <item x="60"/>
        <item x="34"/>
        <item x="54"/>
        <item x="9"/>
        <item x="18"/>
        <item x="58"/>
        <item x="20"/>
        <item x="6"/>
        <item x="19"/>
        <item x="46"/>
        <item x="4"/>
        <item x="40"/>
        <item x="24"/>
        <item x="30"/>
        <item x="11"/>
        <item x="7"/>
        <item x="43"/>
        <item x="61"/>
        <item x="26"/>
        <item x="1"/>
        <item x="47"/>
        <item x="22"/>
        <item x="2"/>
        <item x="39"/>
        <item x="56"/>
        <item x="23"/>
        <item x="35"/>
        <item x="52"/>
        <item x="25"/>
        <item x="51"/>
        <item x="3"/>
        <item x="28"/>
        <item x="8"/>
        <item x="59"/>
        <item x="49"/>
        <item x="13"/>
        <item x="36"/>
        <item x="37"/>
        <item x="33"/>
        <item x="53"/>
        <item x="27"/>
        <item x="50"/>
        <item x="38"/>
        <item t="default"/>
      </items>
    </pivotField>
    <pivotField showAll="0"/>
    <pivotField showAll="0"/>
    <pivotField showAll="0"/>
    <pivotField showAll="0"/>
    <pivotField showAll="0"/>
    <pivotField showAll="0"/>
    <pivotField showAll="0" defaultSubtotal="0"/>
    <pivotField showAll="0" defaultSubtotal="0"/>
    <pivotField showAll="0" defaultSubtotal="0">
      <items count="18">
        <item x="0"/>
        <item x="1"/>
        <item x="2"/>
        <item x="3"/>
        <item x="4"/>
        <item x="5"/>
        <item x="6"/>
        <item x="7"/>
        <item x="8"/>
        <item x="9"/>
        <item x="10"/>
        <item x="11"/>
        <item x="12"/>
        <item x="13"/>
        <item x="14"/>
        <item x="15"/>
        <item x="16"/>
        <item x="17"/>
      </items>
    </pivotField>
  </pivotFields>
  <rowFields count="1">
    <field x="5"/>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Items count="1">
    <i/>
  </colItems>
  <dataFields count="1">
    <dataField name="Count of Nam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A351B-8643-4238-9317-2891B4DBB908}">
  <sheetPr filterMode="1"/>
  <dimension ref="A1:R1755"/>
  <sheetViews>
    <sheetView topLeftCell="L1" workbookViewId="0">
      <selection activeCell="V335" sqref="V335"/>
    </sheetView>
  </sheetViews>
  <sheetFormatPr defaultColWidth="10.625" defaultRowHeight="15.75" x14ac:dyDescent="0.25"/>
  <cols>
    <col min="6" max="6" width="16.375" customWidth="1"/>
    <col min="7" max="7" width="12.125" customWidth="1"/>
    <col min="8" max="9" width="11.5" style="15" customWidth="1"/>
    <col min="10" max="10" width="10.375" customWidth="1"/>
    <col min="12" max="12" width="11.5" style="2" customWidth="1"/>
    <col min="13" max="13" width="15.125" customWidth="1"/>
  </cols>
  <sheetData>
    <row r="1" spans="1:18" x14ac:dyDescent="0.25">
      <c r="A1" t="s">
        <v>0</v>
      </c>
      <c r="B1" t="s">
        <v>1</v>
      </c>
      <c r="C1" t="s">
        <v>4901</v>
      </c>
      <c r="D1" t="s">
        <v>3</v>
      </c>
      <c r="E1" t="s">
        <v>4</v>
      </c>
      <c r="F1" t="s">
        <v>5</v>
      </c>
      <c r="G1" t="s">
        <v>6</v>
      </c>
      <c r="H1" s="15" t="s">
        <v>7</v>
      </c>
      <c r="I1" s="15" t="s">
        <v>8</v>
      </c>
      <c r="J1" t="s">
        <v>4902</v>
      </c>
      <c r="K1" t="s">
        <v>9</v>
      </c>
      <c r="L1" s="2" t="s">
        <v>10</v>
      </c>
      <c r="M1" t="s">
        <v>12</v>
      </c>
      <c r="N1" t="s">
        <v>11</v>
      </c>
      <c r="O1" t="s">
        <v>4805</v>
      </c>
      <c r="P1" t="s">
        <v>4806</v>
      </c>
      <c r="Q1" t="s">
        <v>4807</v>
      </c>
      <c r="R1" t="s">
        <v>0</v>
      </c>
    </row>
    <row r="2" spans="1:18" hidden="1" x14ac:dyDescent="0.25">
      <c r="A2" t="s">
        <v>4023</v>
      </c>
      <c r="B2" t="s">
        <v>47</v>
      </c>
      <c r="C2" t="s">
        <v>48</v>
      </c>
      <c r="D2" t="s">
        <v>4024</v>
      </c>
      <c r="E2" t="s">
        <v>4025</v>
      </c>
      <c r="F2" t="s">
        <v>140</v>
      </c>
      <c r="G2" t="s">
        <v>4026</v>
      </c>
      <c r="H2" s="15">
        <v>68228</v>
      </c>
      <c r="I2" s="15">
        <v>0</v>
      </c>
      <c r="J2" t="s">
        <v>44</v>
      </c>
      <c r="K2" t="s">
        <v>28</v>
      </c>
      <c r="L2" s="2">
        <v>39814</v>
      </c>
      <c r="M2" t="s">
        <v>4027</v>
      </c>
      <c r="N2">
        <v>0</v>
      </c>
      <c r="O2" t="s">
        <v>4903</v>
      </c>
      <c r="P2">
        <v>0</v>
      </c>
      <c r="Q2" t="s">
        <v>4903</v>
      </c>
      <c r="R2" t="s">
        <v>4023</v>
      </c>
    </row>
    <row r="3" spans="1:18" hidden="1" x14ac:dyDescent="0.25">
      <c r="A3" t="s">
        <v>328</v>
      </c>
      <c r="B3" t="s">
        <v>315</v>
      </c>
      <c r="C3" t="s">
        <v>39</v>
      </c>
      <c r="D3" t="s">
        <v>1075</v>
      </c>
      <c r="E3" t="s">
        <v>1076</v>
      </c>
      <c r="F3" t="s">
        <v>18</v>
      </c>
      <c r="G3" t="s">
        <v>2247</v>
      </c>
      <c r="H3" s="15">
        <v>100000</v>
      </c>
      <c r="I3" s="15">
        <v>0</v>
      </c>
      <c r="J3" t="s">
        <v>44</v>
      </c>
      <c r="K3" t="s">
        <v>116</v>
      </c>
      <c r="L3" s="2">
        <v>39814</v>
      </c>
      <c r="M3" t="s">
        <v>2248</v>
      </c>
      <c r="N3">
        <v>0</v>
      </c>
      <c r="O3" t="s">
        <v>4903</v>
      </c>
      <c r="P3">
        <v>0</v>
      </c>
      <c r="Q3" t="s">
        <v>4903</v>
      </c>
      <c r="R3" t="s">
        <v>328</v>
      </c>
    </row>
    <row r="4" spans="1:18" hidden="1" x14ac:dyDescent="0.25">
      <c r="A4" t="s">
        <v>835</v>
      </c>
      <c r="B4" t="s">
        <v>14</v>
      </c>
      <c r="C4" t="s">
        <v>15</v>
      </c>
      <c r="D4" t="s">
        <v>108</v>
      </c>
      <c r="E4" t="s">
        <v>363</v>
      </c>
      <c r="F4" t="s">
        <v>152</v>
      </c>
      <c r="G4" t="s">
        <v>836</v>
      </c>
      <c r="H4" s="15">
        <v>100000</v>
      </c>
      <c r="I4" s="15">
        <v>0</v>
      </c>
      <c r="J4" t="s">
        <v>44</v>
      </c>
      <c r="K4" t="s">
        <v>28</v>
      </c>
      <c r="L4" s="2">
        <v>39814</v>
      </c>
      <c r="M4" t="s">
        <v>837</v>
      </c>
      <c r="N4">
        <v>0</v>
      </c>
      <c r="O4" t="s">
        <v>4903</v>
      </c>
      <c r="P4">
        <v>0</v>
      </c>
      <c r="Q4" t="s">
        <v>4903</v>
      </c>
      <c r="R4" t="s">
        <v>835</v>
      </c>
    </row>
    <row r="5" spans="1:18" hidden="1" x14ac:dyDescent="0.25">
      <c r="A5" t="s">
        <v>46</v>
      </c>
      <c r="B5" t="s">
        <v>47</v>
      </c>
      <c r="C5" t="s">
        <v>48</v>
      </c>
      <c r="D5" t="s">
        <v>108</v>
      </c>
      <c r="E5" t="s">
        <v>363</v>
      </c>
      <c r="F5" t="s">
        <v>18</v>
      </c>
      <c r="G5" t="s">
        <v>4021</v>
      </c>
      <c r="H5" s="15">
        <v>100000</v>
      </c>
      <c r="I5" s="15">
        <v>0</v>
      </c>
      <c r="J5" t="s">
        <v>44</v>
      </c>
      <c r="K5" t="s">
        <v>28</v>
      </c>
      <c r="L5" s="2">
        <v>39814</v>
      </c>
      <c r="M5" t="s">
        <v>4022</v>
      </c>
      <c r="N5">
        <v>0</v>
      </c>
      <c r="O5" t="s">
        <v>4903</v>
      </c>
      <c r="P5">
        <v>0</v>
      </c>
      <c r="Q5" t="s">
        <v>4903</v>
      </c>
      <c r="R5" t="s">
        <v>46</v>
      </c>
    </row>
    <row r="6" spans="1:18" hidden="1" x14ac:dyDescent="0.25">
      <c r="A6" t="s">
        <v>1074</v>
      </c>
      <c r="B6" t="s">
        <v>47</v>
      </c>
      <c r="C6" t="s">
        <v>48</v>
      </c>
      <c r="D6" t="s">
        <v>1075</v>
      </c>
      <c r="E6" t="s">
        <v>1076</v>
      </c>
      <c r="F6" t="s">
        <v>152</v>
      </c>
      <c r="G6" t="s">
        <v>1077</v>
      </c>
      <c r="H6" s="15">
        <v>84507</v>
      </c>
      <c r="I6" s="15">
        <v>0</v>
      </c>
      <c r="J6" t="s">
        <v>44</v>
      </c>
      <c r="K6" t="s">
        <v>65</v>
      </c>
      <c r="L6" s="2">
        <v>39814</v>
      </c>
      <c r="M6" t="s">
        <v>1078</v>
      </c>
      <c r="N6">
        <v>0</v>
      </c>
      <c r="O6" t="s">
        <v>4903</v>
      </c>
      <c r="P6">
        <v>0</v>
      </c>
      <c r="Q6" t="s">
        <v>4903</v>
      </c>
      <c r="R6" t="s">
        <v>1074</v>
      </c>
    </row>
    <row r="7" spans="1:18" hidden="1" x14ac:dyDescent="0.25">
      <c r="A7" t="s">
        <v>4311</v>
      </c>
      <c r="B7" t="s">
        <v>4312</v>
      </c>
      <c r="C7" t="s">
        <v>865</v>
      </c>
      <c r="D7" t="s">
        <v>4024</v>
      </c>
      <c r="E7" t="s">
        <v>4025</v>
      </c>
      <c r="F7" t="s">
        <v>18</v>
      </c>
      <c r="G7" t="s">
        <v>4313</v>
      </c>
      <c r="H7" s="15">
        <v>100000</v>
      </c>
      <c r="I7" s="15">
        <v>0</v>
      </c>
      <c r="J7" t="s">
        <v>44</v>
      </c>
      <c r="K7" t="s">
        <v>116</v>
      </c>
      <c r="L7" s="2">
        <v>39814</v>
      </c>
      <c r="M7" t="s">
        <v>4314</v>
      </c>
      <c r="N7">
        <v>0</v>
      </c>
      <c r="O7" t="s">
        <v>4903</v>
      </c>
      <c r="P7">
        <v>0</v>
      </c>
      <c r="Q7" t="s">
        <v>4903</v>
      </c>
      <c r="R7" t="s">
        <v>4311</v>
      </c>
    </row>
    <row r="8" spans="1:18" hidden="1" x14ac:dyDescent="0.25">
      <c r="A8" t="s">
        <v>362</v>
      </c>
      <c r="B8" t="s">
        <v>103</v>
      </c>
      <c r="C8" t="s">
        <v>15</v>
      </c>
      <c r="D8" t="s">
        <v>108</v>
      </c>
      <c r="E8" t="s">
        <v>363</v>
      </c>
      <c r="F8" t="s">
        <v>140</v>
      </c>
      <c r="G8" t="s">
        <v>364</v>
      </c>
      <c r="H8" s="15">
        <v>100000</v>
      </c>
      <c r="I8" s="15">
        <v>0</v>
      </c>
      <c r="J8" t="s">
        <v>44</v>
      </c>
      <c r="K8" t="s">
        <v>28</v>
      </c>
      <c r="L8" s="2">
        <v>39814</v>
      </c>
      <c r="M8" t="s">
        <v>365</v>
      </c>
      <c r="N8">
        <v>0</v>
      </c>
      <c r="O8" t="s">
        <v>4903</v>
      </c>
      <c r="P8">
        <v>0</v>
      </c>
      <c r="Q8" t="s">
        <v>4903</v>
      </c>
      <c r="R8" t="s">
        <v>362</v>
      </c>
    </row>
    <row r="9" spans="1:18" hidden="1" x14ac:dyDescent="0.25">
      <c r="A9" t="s">
        <v>644</v>
      </c>
      <c r="B9" t="s">
        <v>244</v>
      </c>
      <c r="C9" t="s">
        <v>39</v>
      </c>
      <c r="D9" t="s">
        <v>647</v>
      </c>
      <c r="E9" t="s">
        <v>648</v>
      </c>
      <c r="F9" t="s">
        <v>34</v>
      </c>
      <c r="G9" t="s">
        <v>645</v>
      </c>
      <c r="H9" s="15">
        <v>81155</v>
      </c>
      <c r="I9" s="15">
        <v>0</v>
      </c>
      <c r="J9" t="s">
        <v>44</v>
      </c>
      <c r="K9" t="s">
        <v>326</v>
      </c>
      <c r="L9" s="2">
        <v>39814</v>
      </c>
      <c r="M9" t="s">
        <v>646</v>
      </c>
      <c r="N9">
        <v>0</v>
      </c>
      <c r="O9" t="s">
        <v>4903</v>
      </c>
      <c r="P9">
        <v>0</v>
      </c>
      <c r="Q9" t="s">
        <v>4903</v>
      </c>
      <c r="R9" t="s">
        <v>644</v>
      </c>
    </row>
    <row r="10" spans="1:18" hidden="1" x14ac:dyDescent="0.25">
      <c r="A10" t="s">
        <v>1082</v>
      </c>
      <c r="B10" t="s">
        <v>61</v>
      </c>
      <c r="C10" t="s">
        <v>62</v>
      </c>
      <c r="D10" t="s">
        <v>710</v>
      </c>
      <c r="E10" t="s">
        <v>1083</v>
      </c>
      <c r="F10" t="s">
        <v>18</v>
      </c>
      <c r="G10" t="s">
        <v>1084</v>
      </c>
      <c r="H10" s="15">
        <v>73019</v>
      </c>
      <c r="I10" s="15">
        <v>0</v>
      </c>
      <c r="J10" t="s">
        <v>44</v>
      </c>
      <c r="K10" t="s">
        <v>65</v>
      </c>
      <c r="L10" s="2">
        <v>39814</v>
      </c>
      <c r="M10" t="s">
        <v>1085</v>
      </c>
      <c r="N10">
        <v>0</v>
      </c>
      <c r="O10" t="s">
        <v>4903</v>
      </c>
      <c r="P10">
        <v>0</v>
      </c>
      <c r="Q10" t="s">
        <v>4903</v>
      </c>
      <c r="R10" t="s">
        <v>1082</v>
      </c>
    </row>
    <row r="11" spans="1:18" hidden="1" x14ac:dyDescent="0.25">
      <c r="A11" t="s">
        <v>2465</v>
      </c>
      <c r="B11" t="s">
        <v>406</v>
      </c>
      <c r="C11" t="s">
        <v>62</v>
      </c>
      <c r="D11" t="s">
        <v>120</v>
      </c>
      <c r="E11" t="s">
        <v>1202</v>
      </c>
      <c r="F11" t="s">
        <v>122</v>
      </c>
      <c r="G11" t="s">
        <v>2466</v>
      </c>
      <c r="H11" s="15">
        <v>90600</v>
      </c>
      <c r="I11" s="15">
        <v>0</v>
      </c>
      <c r="J11" t="s">
        <v>44</v>
      </c>
      <c r="K11" t="s">
        <v>57</v>
      </c>
      <c r="L11" s="2">
        <v>39845</v>
      </c>
      <c r="M11" t="s">
        <v>2467</v>
      </c>
      <c r="N11">
        <v>0</v>
      </c>
      <c r="O11" t="s">
        <v>4903</v>
      </c>
      <c r="P11">
        <v>0</v>
      </c>
      <c r="Q11" t="s">
        <v>4903</v>
      </c>
      <c r="R11" t="s">
        <v>2465</v>
      </c>
    </row>
    <row r="12" spans="1:18" hidden="1" x14ac:dyDescent="0.25">
      <c r="A12" t="s">
        <v>2431</v>
      </c>
      <c r="B12" t="s">
        <v>47</v>
      </c>
      <c r="C12" t="s">
        <v>48</v>
      </c>
      <c r="D12" t="s">
        <v>120</v>
      </c>
      <c r="E12" t="s">
        <v>1202</v>
      </c>
      <c r="F12" t="s">
        <v>122</v>
      </c>
      <c r="G12" t="s">
        <v>2432</v>
      </c>
      <c r="H12" s="15">
        <v>73000</v>
      </c>
      <c r="I12" s="15">
        <v>25000</v>
      </c>
      <c r="J12" t="s">
        <v>44</v>
      </c>
      <c r="K12" t="s">
        <v>57</v>
      </c>
      <c r="L12" s="2">
        <v>39845</v>
      </c>
      <c r="M12" t="s">
        <v>2433</v>
      </c>
      <c r="N12">
        <v>1</v>
      </c>
      <c r="O12" t="s">
        <v>4903</v>
      </c>
      <c r="P12">
        <v>0</v>
      </c>
      <c r="Q12" t="s">
        <v>4903</v>
      </c>
      <c r="R12" t="s">
        <v>2431</v>
      </c>
    </row>
    <row r="13" spans="1:18" hidden="1" x14ac:dyDescent="0.25">
      <c r="A13" t="s">
        <v>2367</v>
      </c>
      <c r="B13" t="s">
        <v>84</v>
      </c>
      <c r="C13" t="s">
        <v>15</v>
      </c>
      <c r="D13" t="s">
        <v>120</v>
      </c>
      <c r="E13" t="s">
        <v>1202</v>
      </c>
      <c r="F13" t="s">
        <v>122</v>
      </c>
      <c r="G13" t="s">
        <v>2368</v>
      </c>
      <c r="H13" s="15">
        <v>89450</v>
      </c>
      <c r="I13" s="15">
        <v>0</v>
      </c>
      <c r="J13" t="s">
        <v>44</v>
      </c>
      <c r="K13" t="s">
        <v>57</v>
      </c>
      <c r="L13" s="2">
        <v>39845</v>
      </c>
      <c r="M13" t="s">
        <v>2369</v>
      </c>
      <c r="N13">
        <v>0</v>
      </c>
      <c r="O13" t="s">
        <v>4903</v>
      </c>
      <c r="P13">
        <v>0</v>
      </c>
      <c r="Q13" t="s">
        <v>4903</v>
      </c>
      <c r="R13" t="s">
        <v>2367</v>
      </c>
    </row>
    <row r="14" spans="1:18" hidden="1" x14ac:dyDescent="0.25">
      <c r="A14" t="s">
        <v>1201</v>
      </c>
      <c r="B14" t="s">
        <v>14</v>
      </c>
      <c r="C14" t="s">
        <v>15</v>
      </c>
      <c r="D14" t="s">
        <v>120</v>
      </c>
      <c r="E14" t="s">
        <v>1202</v>
      </c>
      <c r="F14" t="s">
        <v>122</v>
      </c>
      <c r="G14" t="s">
        <v>1203</v>
      </c>
      <c r="H14" s="15">
        <v>90400</v>
      </c>
      <c r="I14" s="15">
        <v>0</v>
      </c>
      <c r="J14" t="s">
        <v>44</v>
      </c>
      <c r="K14" t="s">
        <v>57</v>
      </c>
      <c r="L14" s="2">
        <v>39845</v>
      </c>
      <c r="M14" t="s">
        <v>1204</v>
      </c>
      <c r="N14">
        <v>0</v>
      </c>
      <c r="O14" t="s">
        <v>4903</v>
      </c>
      <c r="P14">
        <v>0</v>
      </c>
      <c r="Q14" t="s">
        <v>4903</v>
      </c>
      <c r="R14" t="s">
        <v>1201</v>
      </c>
    </row>
    <row r="15" spans="1:18" hidden="1" x14ac:dyDescent="0.25">
      <c r="A15" t="s">
        <v>1495</v>
      </c>
      <c r="B15" t="s">
        <v>84</v>
      </c>
      <c r="C15" t="s">
        <v>15</v>
      </c>
      <c r="D15" t="s">
        <v>120</v>
      </c>
      <c r="E15" t="s">
        <v>1202</v>
      </c>
      <c r="F15" t="s">
        <v>122</v>
      </c>
      <c r="G15" t="s">
        <v>1496</v>
      </c>
      <c r="H15" s="15">
        <v>99519</v>
      </c>
      <c r="I15" s="15">
        <v>0</v>
      </c>
      <c r="J15" t="s">
        <v>44</v>
      </c>
      <c r="K15" t="s">
        <v>57</v>
      </c>
      <c r="L15" s="2">
        <v>39845</v>
      </c>
      <c r="M15" t="s">
        <v>1497</v>
      </c>
      <c r="N15">
        <v>1</v>
      </c>
      <c r="O15" t="s">
        <v>4903</v>
      </c>
      <c r="P15">
        <v>0</v>
      </c>
      <c r="Q15" t="s">
        <v>4903</v>
      </c>
      <c r="R15" t="s">
        <v>1495</v>
      </c>
    </row>
    <row r="16" spans="1:18" hidden="1" x14ac:dyDescent="0.25">
      <c r="A16" t="s">
        <v>1197</v>
      </c>
      <c r="B16" t="s">
        <v>47</v>
      </c>
      <c r="C16" t="s">
        <v>48</v>
      </c>
      <c r="D16" t="s">
        <v>32</v>
      </c>
      <c r="E16" t="s">
        <v>694</v>
      </c>
      <c r="F16" t="s">
        <v>152</v>
      </c>
      <c r="G16" t="s">
        <v>2547</v>
      </c>
      <c r="H16" s="15">
        <v>100000</v>
      </c>
      <c r="I16" s="15">
        <v>0</v>
      </c>
      <c r="J16" t="s">
        <v>44</v>
      </c>
      <c r="K16" t="s">
        <v>28</v>
      </c>
      <c r="L16" s="2">
        <v>39873</v>
      </c>
      <c r="M16" t="s">
        <v>2548</v>
      </c>
      <c r="N16">
        <v>6</v>
      </c>
      <c r="O16" t="s">
        <v>4903</v>
      </c>
      <c r="P16">
        <v>0</v>
      </c>
      <c r="Q16" t="s">
        <v>4903</v>
      </c>
      <c r="R16" t="s">
        <v>1197</v>
      </c>
    </row>
    <row r="17" spans="1:18" hidden="1" x14ac:dyDescent="0.25">
      <c r="A17" t="s">
        <v>1992</v>
      </c>
      <c r="B17" t="s">
        <v>478</v>
      </c>
      <c r="C17" t="s">
        <v>15</v>
      </c>
      <c r="D17" t="s">
        <v>32</v>
      </c>
      <c r="E17" t="s">
        <v>694</v>
      </c>
      <c r="F17" t="s">
        <v>140</v>
      </c>
      <c r="G17" t="s">
        <v>1993</v>
      </c>
      <c r="H17" s="15">
        <v>100000</v>
      </c>
      <c r="I17" s="15">
        <v>0</v>
      </c>
      <c r="J17" t="s">
        <v>44</v>
      </c>
      <c r="K17" t="s">
        <v>28</v>
      </c>
      <c r="L17" s="2">
        <v>39873</v>
      </c>
      <c r="M17" t="s">
        <v>1994</v>
      </c>
      <c r="N17">
        <v>0</v>
      </c>
      <c r="O17" t="s">
        <v>4903</v>
      </c>
      <c r="P17">
        <v>0</v>
      </c>
      <c r="Q17" t="s">
        <v>4903</v>
      </c>
      <c r="R17" t="s">
        <v>1992</v>
      </c>
    </row>
    <row r="18" spans="1:18" hidden="1" x14ac:dyDescent="0.25">
      <c r="A18" t="s">
        <v>346</v>
      </c>
      <c r="B18" t="s">
        <v>315</v>
      </c>
      <c r="C18" t="s">
        <v>39</v>
      </c>
      <c r="D18" t="s">
        <v>32</v>
      </c>
      <c r="E18" t="s">
        <v>694</v>
      </c>
      <c r="F18" t="s">
        <v>140</v>
      </c>
      <c r="G18" t="s">
        <v>4433</v>
      </c>
      <c r="H18" s="15">
        <v>94265</v>
      </c>
      <c r="I18" s="15">
        <v>0</v>
      </c>
      <c r="J18" t="s">
        <v>44</v>
      </c>
      <c r="K18" t="s">
        <v>28</v>
      </c>
      <c r="L18" s="2">
        <v>39873</v>
      </c>
      <c r="M18" t="s">
        <v>4434</v>
      </c>
      <c r="N18">
        <v>0</v>
      </c>
      <c r="O18" t="s">
        <v>4903</v>
      </c>
      <c r="P18">
        <v>0</v>
      </c>
      <c r="Q18" t="s">
        <v>4903</v>
      </c>
      <c r="R18" t="s">
        <v>346</v>
      </c>
    </row>
    <row r="19" spans="1:18" hidden="1" x14ac:dyDescent="0.25">
      <c r="A19" t="s">
        <v>841</v>
      </c>
      <c r="B19" t="s">
        <v>500</v>
      </c>
      <c r="C19" t="s">
        <v>501</v>
      </c>
      <c r="D19" t="s">
        <v>166</v>
      </c>
      <c r="E19" t="s">
        <v>167</v>
      </c>
      <c r="F19" t="s">
        <v>168</v>
      </c>
      <c r="G19" t="s">
        <v>2057</v>
      </c>
      <c r="H19" s="15">
        <v>100000</v>
      </c>
      <c r="I19" s="15">
        <v>0</v>
      </c>
      <c r="J19" t="s">
        <v>44</v>
      </c>
      <c r="K19" t="s">
        <v>134</v>
      </c>
      <c r="L19" s="2">
        <v>39873</v>
      </c>
      <c r="M19" t="s">
        <v>2058</v>
      </c>
      <c r="N19">
        <v>0</v>
      </c>
      <c r="O19" t="s">
        <v>4903</v>
      </c>
      <c r="P19">
        <v>0</v>
      </c>
      <c r="Q19" t="s">
        <v>4903</v>
      </c>
      <c r="R19" t="s">
        <v>841</v>
      </c>
    </row>
    <row r="20" spans="1:18" hidden="1" x14ac:dyDescent="0.25">
      <c r="A20" t="s">
        <v>1575</v>
      </c>
      <c r="B20" t="s">
        <v>688</v>
      </c>
      <c r="C20" t="s">
        <v>39</v>
      </c>
      <c r="D20" t="s">
        <v>166</v>
      </c>
      <c r="E20" t="s">
        <v>167</v>
      </c>
      <c r="F20" t="s">
        <v>168</v>
      </c>
      <c r="G20" t="s">
        <v>1576</v>
      </c>
      <c r="H20" s="15">
        <v>100000</v>
      </c>
      <c r="I20" s="15">
        <v>0</v>
      </c>
      <c r="J20" t="s">
        <v>44</v>
      </c>
      <c r="K20" t="s">
        <v>134</v>
      </c>
      <c r="L20" s="2">
        <v>39873</v>
      </c>
      <c r="M20" t="s">
        <v>1577</v>
      </c>
      <c r="N20">
        <v>0</v>
      </c>
      <c r="O20" t="s">
        <v>4903</v>
      </c>
      <c r="P20">
        <v>0</v>
      </c>
      <c r="Q20" t="s">
        <v>4903</v>
      </c>
      <c r="R20" t="s">
        <v>1575</v>
      </c>
    </row>
    <row r="21" spans="1:18" hidden="1" x14ac:dyDescent="0.25">
      <c r="A21" t="s">
        <v>2940</v>
      </c>
      <c r="B21" t="s">
        <v>47</v>
      </c>
      <c r="C21" t="s">
        <v>48</v>
      </c>
      <c r="D21" t="s">
        <v>32</v>
      </c>
      <c r="E21" t="s">
        <v>694</v>
      </c>
      <c r="F21" t="s">
        <v>140</v>
      </c>
      <c r="G21" t="s">
        <v>2941</v>
      </c>
      <c r="H21" s="15">
        <v>100000</v>
      </c>
      <c r="I21" s="15">
        <v>0</v>
      </c>
      <c r="J21" t="s">
        <v>44</v>
      </c>
      <c r="K21" t="s">
        <v>28</v>
      </c>
      <c r="L21" s="2">
        <v>39873</v>
      </c>
      <c r="M21" t="s">
        <v>2942</v>
      </c>
      <c r="N21">
        <v>0</v>
      </c>
      <c r="O21" t="s">
        <v>4903</v>
      </c>
      <c r="P21">
        <v>0</v>
      </c>
      <c r="Q21" t="s">
        <v>4903</v>
      </c>
      <c r="R21" t="s">
        <v>2940</v>
      </c>
    </row>
    <row r="22" spans="1:18" hidden="1" x14ac:dyDescent="0.25">
      <c r="A22" t="s">
        <v>493</v>
      </c>
      <c r="B22" t="s">
        <v>126</v>
      </c>
      <c r="C22" t="s">
        <v>39</v>
      </c>
      <c r="D22" t="s">
        <v>166</v>
      </c>
      <c r="E22" t="s">
        <v>167</v>
      </c>
      <c r="F22" t="s">
        <v>168</v>
      </c>
      <c r="G22" t="s">
        <v>3587</v>
      </c>
      <c r="H22" s="15">
        <v>100000</v>
      </c>
      <c r="I22" s="15">
        <v>0</v>
      </c>
      <c r="J22" t="s">
        <v>44</v>
      </c>
      <c r="K22" t="s">
        <v>134</v>
      </c>
      <c r="L22" s="2">
        <v>39873</v>
      </c>
      <c r="M22" t="s">
        <v>3588</v>
      </c>
      <c r="N22">
        <v>1</v>
      </c>
      <c r="O22" t="s">
        <v>4903</v>
      </c>
      <c r="P22">
        <v>0</v>
      </c>
      <c r="Q22" t="s">
        <v>4903</v>
      </c>
      <c r="R22" t="s">
        <v>493</v>
      </c>
    </row>
    <row r="23" spans="1:18" hidden="1" x14ac:dyDescent="0.25">
      <c r="A23" t="s">
        <v>265</v>
      </c>
      <c r="B23" t="s">
        <v>103</v>
      </c>
      <c r="C23" t="s">
        <v>15</v>
      </c>
      <c r="D23" t="s">
        <v>32</v>
      </c>
      <c r="E23" t="s">
        <v>694</v>
      </c>
      <c r="F23" t="s">
        <v>152</v>
      </c>
      <c r="G23" t="s">
        <v>1261</v>
      </c>
      <c r="H23" s="15">
        <v>89919</v>
      </c>
      <c r="I23" s="15">
        <v>0</v>
      </c>
      <c r="J23" t="s">
        <v>44</v>
      </c>
      <c r="K23" t="s">
        <v>28</v>
      </c>
      <c r="L23" s="2">
        <v>39873</v>
      </c>
      <c r="M23" t="s">
        <v>1262</v>
      </c>
      <c r="N23">
        <v>0</v>
      </c>
      <c r="O23" t="s">
        <v>4903</v>
      </c>
      <c r="P23">
        <v>0</v>
      </c>
      <c r="Q23" t="s">
        <v>4903</v>
      </c>
      <c r="R23" t="s">
        <v>265</v>
      </c>
    </row>
    <row r="24" spans="1:18" hidden="1" x14ac:dyDescent="0.25">
      <c r="A24" t="s">
        <v>1217</v>
      </c>
      <c r="B24" t="s">
        <v>103</v>
      </c>
      <c r="C24" t="s">
        <v>15</v>
      </c>
      <c r="D24" t="s">
        <v>32</v>
      </c>
      <c r="E24" t="s">
        <v>694</v>
      </c>
      <c r="F24" t="s">
        <v>152</v>
      </c>
      <c r="G24" t="s">
        <v>1218</v>
      </c>
      <c r="H24" s="15">
        <v>100000</v>
      </c>
      <c r="I24" s="15">
        <v>0</v>
      </c>
      <c r="J24" t="s">
        <v>44</v>
      </c>
      <c r="K24" t="s">
        <v>28</v>
      </c>
      <c r="L24" s="2">
        <v>39873</v>
      </c>
      <c r="M24" t="s">
        <v>1219</v>
      </c>
      <c r="N24">
        <v>0</v>
      </c>
      <c r="O24" t="s">
        <v>4903</v>
      </c>
      <c r="P24">
        <v>0</v>
      </c>
      <c r="Q24" t="s">
        <v>4903</v>
      </c>
      <c r="R24" t="s">
        <v>1217</v>
      </c>
    </row>
    <row r="25" spans="1:18" hidden="1" x14ac:dyDescent="0.25">
      <c r="A25" t="s">
        <v>799</v>
      </c>
      <c r="B25" t="s">
        <v>14</v>
      </c>
      <c r="C25" t="s">
        <v>15</v>
      </c>
      <c r="D25" t="s">
        <v>32</v>
      </c>
      <c r="E25" t="s">
        <v>694</v>
      </c>
      <c r="F25" t="s">
        <v>152</v>
      </c>
      <c r="G25" t="s">
        <v>2144</v>
      </c>
      <c r="H25" s="15">
        <v>100000</v>
      </c>
      <c r="I25" s="15">
        <v>0</v>
      </c>
      <c r="J25" t="s">
        <v>44</v>
      </c>
      <c r="K25" t="s">
        <v>28</v>
      </c>
      <c r="L25" s="2">
        <v>39873</v>
      </c>
      <c r="M25" t="s">
        <v>2145</v>
      </c>
      <c r="N25">
        <v>0</v>
      </c>
      <c r="O25" t="s">
        <v>4903</v>
      </c>
      <c r="P25">
        <v>0</v>
      </c>
      <c r="Q25" t="s">
        <v>4903</v>
      </c>
      <c r="R25" t="s">
        <v>799</v>
      </c>
    </row>
    <row r="26" spans="1:18" hidden="1" x14ac:dyDescent="0.25">
      <c r="A26" t="s">
        <v>693</v>
      </c>
      <c r="B26" t="s">
        <v>47</v>
      </c>
      <c r="C26" t="s">
        <v>48</v>
      </c>
      <c r="D26" t="s">
        <v>32</v>
      </c>
      <c r="E26" t="s">
        <v>694</v>
      </c>
      <c r="F26" t="s">
        <v>140</v>
      </c>
      <c r="G26" t="s">
        <v>695</v>
      </c>
      <c r="H26" s="15">
        <v>100000</v>
      </c>
      <c r="I26" s="15">
        <v>0</v>
      </c>
      <c r="J26" t="s">
        <v>44</v>
      </c>
      <c r="K26" t="s">
        <v>28</v>
      </c>
      <c r="L26" s="2">
        <v>39873</v>
      </c>
      <c r="M26" t="s">
        <v>696</v>
      </c>
      <c r="N26">
        <v>0</v>
      </c>
      <c r="O26" t="s">
        <v>4903</v>
      </c>
      <c r="P26">
        <v>0</v>
      </c>
      <c r="Q26" t="s">
        <v>4903</v>
      </c>
      <c r="R26" t="s">
        <v>693</v>
      </c>
    </row>
    <row r="27" spans="1:18" hidden="1" x14ac:dyDescent="0.25">
      <c r="A27" t="s">
        <v>1911</v>
      </c>
      <c r="B27" t="s">
        <v>1912</v>
      </c>
      <c r="C27" t="s">
        <v>15</v>
      </c>
      <c r="D27" t="s">
        <v>32</v>
      </c>
      <c r="E27" t="s">
        <v>694</v>
      </c>
      <c r="F27" t="s">
        <v>140</v>
      </c>
      <c r="G27" t="s">
        <v>1913</v>
      </c>
      <c r="H27" s="15">
        <v>100000</v>
      </c>
      <c r="I27" s="15">
        <v>0</v>
      </c>
      <c r="J27" t="s">
        <v>44</v>
      </c>
      <c r="K27" t="s">
        <v>28</v>
      </c>
      <c r="L27" s="2">
        <v>39873</v>
      </c>
      <c r="M27" t="s">
        <v>1914</v>
      </c>
      <c r="N27">
        <v>0</v>
      </c>
      <c r="O27" t="s">
        <v>4903</v>
      </c>
      <c r="P27">
        <v>0</v>
      </c>
      <c r="Q27" t="s">
        <v>4903</v>
      </c>
      <c r="R27" t="s">
        <v>1911</v>
      </c>
    </row>
    <row r="28" spans="1:18" hidden="1" x14ac:dyDescent="0.25">
      <c r="A28" t="s">
        <v>1939</v>
      </c>
      <c r="B28" t="s">
        <v>103</v>
      </c>
      <c r="C28" t="s">
        <v>15</v>
      </c>
      <c r="D28" t="s">
        <v>166</v>
      </c>
      <c r="E28" t="s">
        <v>167</v>
      </c>
      <c r="F28" t="s">
        <v>168</v>
      </c>
      <c r="G28" t="s">
        <v>1940</v>
      </c>
      <c r="H28" s="15">
        <v>100000</v>
      </c>
      <c r="I28" s="15">
        <v>0</v>
      </c>
      <c r="J28" t="s">
        <v>44</v>
      </c>
      <c r="K28" t="s">
        <v>134</v>
      </c>
      <c r="L28" s="2">
        <v>39873</v>
      </c>
      <c r="M28" t="s">
        <v>1941</v>
      </c>
      <c r="N28">
        <v>0</v>
      </c>
      <c r="O28" t="s">
        <v>4903</v>
      </c>
      <c r="P28">
        <v>0</v>
      </c>
      <c r="Q28" t="s">
        <v>4903</v>
      </c>
      <c r="R28" t="s">
        <v>1939</v>
      </c>
    </row>
    <row r="29" spans="1:18" hidden="1" x14ac:dyDescent="0.25">
      <c r="A29" t="s">
        <v>165</v>
      </c>
      <c r="B29" t="s">
        <v>126</v>
      </c>
      <c r="C29" t="s">
        <v>39</v>
      </c>
      <c r="D29" t="s">
        <v>166</v>
      </c>
      <c r="E29" t="s">
        <v>167</v>
      </c>
      <c r="F29" t="s">
        <v>168</v>
      </c>
      <c r="G29" t="s">
        <v>169</v>
      </c>
      <c r="H29" s="15">
        <v>100000</v>
      </c>
      <c r="I29" s="15">
        <v>0</v>
      </c>
      <c r="J29" t="s">
        <v>44</v>
      </c>
      <c r="K29" t="s">
        <v>134</v>
      </c>
      <c r="L29" s="2">
        <v>39873</v>
      </c>
      <c r="M29" t="s">
        <v>170</v>
      </c>
      <c r="N29">
        <v>5</v>
      </c>
      <c r="O29" t="s">
        <v>4903</v>
      </c>
      <c r="P29">
        <v>0</v>
      </c>
      <c r="Q29" t="s">
        <v>4903</v>
      </c>
      <c r="R29" t="s">
        <v>165</v>
      </c>
    </row>
    <row r="30" spans="1:18" x14ac:dyDescent="0.25">
      <c r="A30" t="s">
        <v>2716</v>
      </c>
      <c r="B30" t="s">
        <v>520</v>
      </c>
      <c r="C30" t="s">
        <v>521</v>
      </c>
      <c r="D30" t="s">
        <v>32</v>
      </c>
      <c r="E30" t="s">
        <v>33</v>
      </c>
      <c r="F30" t="s">
        <v>152</v>
      </c>
      <c r="G30" t="s">
        <v>2717</v>
      </c>
      <c r="H30" s="15">
        <v>388829</v>
      </c>
      <c r="I30" s="15">
        <v>0</v>
      </c>
      <c r="J30" t="s">
        <v>89</v>
      </c>
      <c r="K30" t="s">
        <v>28</v>
      </c>
      <c r="L30" s="2">
        <v>39904</v>
      </c>
      <c r="M30" t="s">
        <v>2718</v>
      </c>
      <c r="N30">
        <v>6</v>
      </c>
      <c r="O30" t="s">
        <v>4819</v>
      </c>
      <c r="P30">
        <v>1</v>
      </c>
      <c r="Q30" t="s">
        <v>4809</v>
      </c>
      <c r="R30" t="s">
        <v>2716</v>
      </c>
    </row>
    <row r="31" spans="1:18" hidden="1" x14ac:dyDescent="0.25">
      <c r="A31" t="s">
        <v>1547</v>
      </c>
      <c r="B31" t="s">
        <v>478</v>
      </c>
      <c r="C31" t="s">
        <v>15</v>
      </c>
      <c r="D31" t="s">
        <v>32</v>
      </c>
      <c r="E31" t="s">
        <v>33</v>
      </c>
      <c r="F31" t="s">
        <v>140</v>
      </c>
      <c r="G31" t="s">
        <v>1548</v>
      </c>
      <c r="H31" s="15">
        <v>866726</v>
      </c>
      <c r="I31" s="15">
        <v>0</v>
      </c>
      <c r="J31" t="s">
        <v>20</v>
      </c>
      <c r="K31" t="s">
        <v>28</v>
      </c>
      <c r="L31" s="2">
        <v>39904</v>
      </c>
      <c r="M31" t="s">
        <v>1549</v>
      </c>
      <c r="N31">
        <v>0</v>
      </c>
      <c r="O31" t="s">
        <v>4903</v>
      </c>
      <c r="P31">
        <v>0</v>
      </c>
      <c r="Q31" t="s">
        <v>4903</v>
      </c>
      <c r="R31" t="s">
        <v>1547</v>
      </c>
    </row>
    <row r="32" spans="1:18" hidden="1" x14ac:dyDescent="0.25">
      <c r="A32" t="s">
        <v>1454</v>
      </c>
      <c r="B32" t="s">
        <v>406</v>
      </c>
      <c r="C32" t="s">
        <v>62</v>
      </c>
      <c r="D32" t="s">
        <v>32</v>
      </c>
      <c r="E32" t="s">
        <v>33</v>
      </c>
      <c r="F32" t="s">
        <v>34</v>
      </c>
      <c r="G32" t="s">
        <v>3646</v>
      </c>
      <c r="H32" s="15">
        <v>733595</v>
      </c>
      <c r="I32" s="15">
        <v>0</v>
      </c>
      <c r="J32" t="s">
        <v>20</v>
      </c>
      <c r="K32" t="s">
        <v>116</v>
      </c>
      <c r="L32" s="2">
        <v>39904</v>
      </c>
      <c r="M32" t="s">
        <v>3647</v>
      </c>
      <c r="N32">
        <v>0</v>
      </c>
      <c r="O32" t="s">
        <v>4903</v>
      </c>
      <c r="P32">
        <v>0</v>
      </c>
      <c r="Q32" t="s">
        <v>4903</v>
      </c>
      <c r="R32" t="s">
        <v>1454</v>
      </c>
    </row>
    <row r="33" spans="1:18" hidden="1" x14ac:dyDescent="0.25">
      <c r="A33" t="s">
        <v>812</v>
      </c>
      <c r="B33" t="s">
        <v>119</v>
      </c>
      <c r="C33" t="s">
        <v>39</v>
      </c>
      <c r="D33" t="s">
        <v>32</v>
      </c>
      <c r="E33" t="s">
        <v>33</v>
      </c>
      <c r="F33" t="s">
        <v>18</v>
      </c>
      <c r="G33" t="s">
        <v>813</v>
      </c>
      <c r="H33" s="15">
        <v>321624</v>
      </c>
      <c r="I33" s="15">
        <v>0</v>
      </c>
      <c r="J33" t="s">
        <v>89</v>
      </c>
      <c r="K33" t="s">
        <v>65</v>
      </c>
      <c r="L33" s="2">
        <v>39904</v>
      </c>
      <c r="M33" t="s">
        <v>814</v>
      </c>
      <c r="N33">
        <v>1</v>
      </c>
      <c r="O33" t="s">
        <v>4903</v>
      </c>
      <c r="P33">
        <v>0</v>
      </c>
      <c r="Q33" t="s">
        <v>4903</v>
      </c>
      <c r="R33" t="s">
        <v>812</v>
      </c>
    </row>
    <row r="34" spans="1:18" hidden="1" x14ac:dyDescent="0.25">
      <c r="A34" t="s">
        <v>2578</v>
      </c>
      <c r="B34" t="s">
        <v>350</v>
      </c>
      <c r="C34" t="s">
        <v>39</v>
      </c>
      <c r="D34" t="s">
        <v>32</v>
      </c>
      <c r="E34" t="s">
        <v>33</v>
      </c>
      <c r="F34" t="s">
        <v>18</v>
      </c>
      <c r="G34" t="s">
        <v>2579</v>
      </c>
      <c r="H34" s="15">
        <v>388428</v>
      </c>
      <c r="I34" s="15">
        <v>0</v>
      </c>
      <c r="J34" t="s">
        <v>89</v>
      </c>
      <c r="K34" t="s">
        <v>65</v>
      </c>
      <c r="L34" s="2">
        <v>39904</v>
      </c>
      <c r="M34" t="s">
        <v>2580</v>
      </c>
      <c r="N34">
        <v>0</v>
      </c>
      <c r="O34" t="s">
        <v>4903</v>
      </c>
      <c r="P34">
        <v>0</v>
      </c>
      <c r="Q34" t="s">
        <v>4903</v>
      </c>
      <c r="R34" t="s">
        <v>2578</v>
      </c>
    </row>
    <row r="35" spans="1:18" hidden="1" x14ac:dyDescent="0.25">
      <c r="A35" t="s">
        <v>769</v>
      </c>
      <c r="B35" t="s">
        <v>119</v>
      </c>
      <c r="C35" t="s">
        <v>39</v>
      </c>
      <c r="D35" t="s">
        <v>581</v>
      </c>
      <c r="E35" t="s">
        <v>770</v>
      </c>
      <c r="F35" t="s">
        <v>98</v>
      </c>
      <c r="G35" t="s">
        <v>771</v>
      </c>
      <c r="H35" s="15">
        <v>427933</v>
      </c>
      <c r="I35" s="15">
        <v>7000</v>
      </c>
      <c r="J35" t="s">
        <v>455</v>
      </c>
      <c r="K35" t="s">
        <v>21</v>
      </c>
      <c r="L35" s="2">
        <v>39904</v>
      </c>
      <c r="M35" t="s">
        <v>772</v>
      </c>
      <c r="N35">
        <v>0</v>
      </c>
      <c r="O35" t="s">
        <v>4903</v>
      </c>
      <c r="P35">
        <v>0</v>
      </c>
      <c r="Q35" t="s">
        <v>4903</v>
      </c>
      <c r="R35" t="s">
        <v>769</v>
      </c>
    </row>
    <row r="36" spans="1:18" hidden="1" x14ac:dyDescent="0.25">
      <c r="A36" t="s">
        <v>3253</v>
      </c>
      <c r="B36" t="s">
        <v>190</v>
      </c>
      <c r="C36" t="s">
        <v>15</v>
      </c>
      <c r="D36" t="s">
        <v>3254</v>
      </c>
      <c r="E36" t="s">
        <v>3255</v>
      </c>
      <c r="F36" t="s">
        <v>98</v>
      </c>
      <c r="G36" t="s">
        <v>3256</v>
      </c>
      <c r="H36" s="15">
        <v>54351</v>
      </c>
      <c r="I36" s="15">
        <v>0</v>
      </c>
      <c r="J36" t="s">
        <v>455</v>
      </c>
      <c r="K36" t="s">
        <v>100</v>
      </c>
      <c r="L36" s="2">
        <v>39904</v>
      </c>
      <c r="M36" t="s">
        <v>3257</v>
      </c>
      <c r="N36">
        <v>0</v>
      </c>
      <c r="O36" t="s">
        <v>4903</v>
      </c>
      <c r="P36">
        <v>0</v>
      </c>
      <c r="Q36" t="s">
        <v>4903</v>
      </c>
      <c r="R36" t="s">
        <v>3253</v>
      </c>
    </row>
    <row r="37" spans="1:18" hidden="1" x14ac:dyDescent="0.25">
      <c r="A37" t="s">
        <v>83</v>
      </c>
      <c r="B37" t="s">
        <v>84</v>
      </c>
      <c r="C37" t="s">
        <v>15</v>
      </c>
      <c r="D37" t="s">
        <v>32</v>
      </c>
      <c r="E37" t="s">
        <v>33</v>
      </c>
      <c r="F37" t="s">
        <v>18</v>
      </c>
      <c r="G37" t="s">
        <v>577</v>
      </c>
      <c r="H37" s="15">
        <v>419013</v>
      </c>
      <c r="I37" s="15">
        <v>0</v>
      </c>
      <c r="J37" t="s">
        <v>154</v>
      </c>
      <c r="K37" t="s">
        <v>28</v>
      </c>
      <c r="L37" s="2">
        <v>39904</v>
      </c>
      <c r="M37" t="s">
        <v>578</v>
      </c>
      <c r="N37">
        <v>0</v>
      </c>
      <c r="O37" t="s">
        <v>4903</v>
      </c>
      <c r="P37">
        <v>0</v>
      </c>
      <c r="Q37" t="s">
        <v>4903</v>
      </c>
      <c r="R37" t="s">
        <v>83</v>
      </c>
    </row>
    <row r="38" spans="1:18" hidden="1" x14ac:dyDescent="0.25">
      <c r="A38" t="s">
        <v>793</v>
      </c>
      <c r="B38" t="s">
        <v>119</v>
      </c>
      <c r="C38" t="s">
        <v>39</v>
      </c>
      <c r="D38" t="s">
        <v>32</v>
      </c>
      <c r="E38" t="s">
        <v>33</v>
      </c>
      <c r="F38" t="s">
        <v>140</v>
      </c>
      <c r="G38" t="s">
        <v>794</v>
      </c>
      <c r="H38" s="15">
        <v>313083</v>
      </c>
      <c r="I38" s="15">
        <v>0</v>
      </c>
      <c r="J38" t="s">
        <v>89</v>
      </c>
      <c r="K38" t="s">
        <v>28</v>
      </c>
      <c r="L38" s="2">
        <v>39904</v>
      </c>
      <c r="M38" t="s">
        <v>795</v>
      </c>
      <c r="N38">
        <v>0</v>
      </c>
      <c r="O38" t="s">
        <v>4903</v>
      </c>
      <c r="P38">
        <v>0</v>
      </c>
      <c r="Q38" t="s">
        <v>4903</v>
      </c>
      <c r="R38" t="s">
        <v>793</v>
      </c>
    </row>
    <row r="39" spans="1:18" hidden="1" x14ac:dyDescent="0.25">
      <c r="A39" t="s">
        <v>1255</v>
      </c>
      <c r="B39" t="s">
        <v>14</v>
      </c>
      <c r="C39" t="s">
        <v>15</v>
      </c>
      <c r="D39" t="s">
        <v>32</v>
      </c>
      <c r="E39" t="s">
        <v>33</v>
      </c>
      <c r="F39" t="s">
        <v>152</v>
      </c>
      <c r="G39" t="s">
        <v>3571</v>
      </c>
      <c r="H39" s="15">
        <v>347478</v>
      </c>
      <c r="I39" s="15">
        <v>0</v>
      </c>
      <c r="J39" t="s">
        <v>89</v>
      </c>
      <c r="K39" t="s">
        <v>28</v>
      </c>
      <c r="L39" s="2">
        <v>39904</v>
      </c>
      <c r="M39" t="s">
        <v>3572</v>
      </c>
      <c r="N39">
        <v>0</v>
      </c>
      <c r="O39" t="s">
        <v>4903</v>
      </c>
      <c r="P39">
        <v>0</v>
      </c>
      <c r="Q39" t="s">
        <v>4903</v>
      </c>
      <c r="R39" t="s">
        <v>1255</v>
      </c>
    </row>
    <row r="40" spans="1:18" hidden="1" x14ac:dyDescent="0.25">
      <c r="A40" t="s">
        <v>3413</v>
      </c>
      <c r="B40" t="s">
        <v>47</v>
      </c>
      <c r="C40" t="s">
        <v>48</v>
      </c>
      <c r="D40" t="s">
        <v>32</v>
      </c>
      <c r="E40" t="s">
        <v>33</v>
      </c>
      <c r="F40" t="s">
        <v>140</v>
      </c>
      <c r="G40" t="s">
        <v>3414</v>
      </c>
      <c r="H40" s="15">
        <v>433402</v>
      </c>
      <c r="I40" s="15">
        <v>0</v>
      </c>
      <c r="J40" t="s">
        <v>89</v>
      </c>
      <c r="K40" t="s">
        <v>28</v>
      </c>
      <c r="L40" s="2">
        <v>39904</v>
      </c>
      <c r="M40" t="s">
        <v>3415</v>
      </c>
      <c r="N40">
        <v>1</v>
      </c>
      <c r="O40" t="s">
        <v>4903</v>
      </c>
      <c r="P40">
        <v>0</v>
      </c>
      <c r="Q40" t="s">
        <v>4903</v>
      </c>
      <c r="R40" t="s">
        <v>3413</v>
      </c>
    </row>
    <row r="41" spans="1:18" hidden="1" x14ac:dyDescent="0.25">
      <c r="A41" t="s">
        <v>30</v>
      </c>
      <c r="B41" t="s">
        <v>31</v>
      </c>
      <c r="C41" t="s">
        <v>15</v>
      </c>
      <c r="D41" t="s">
        <v>32</v>
      </c>
      <c r="E41" t="s">
        <v>33</v>
      </c>
      <c r="F41" t="s">
        <v>34</v>
      </c>
      <c r="G41" t="s">
        <v>35</v>
      </c>
      <c r="H41" s="15">
        <v>631813</v>
      </c>
      <c r="I41" s="15">
        <v>0</v>
      </c>
      <c r="J41" t="s">
        <v>20</v>
      </c>
      <c r="K41" t="s">
        <v>28</v>
      </c>
      <c r="L41" s="2">
        <v>39904</v>
      </c>
      <c r="M41" t="s">
        <v>36</v>
      </c>
      <c r="N41">
        <v>7</v>
      </c>
      <c r="O41" t="s">
        <v>4903</v>
      </c>
      <c r="P41">
        <v>0</v>
      </c>
      <c r="Q41" t="s">
        <v>4903</v>
      </c>
      <c r="R41" t="s">
        <v>30</v>
      </c>
    </row>
    <row r="42" spans="1:18" hidden="1" x14ac:dyDescent="0.25">
      <c r="A42" t="s">
        <v>3283</v>
      </c>
      <c r="B42" t="s">
        <v>126</v>
      </c>
      <c r="C42" t="s">
        <v>39</v>
      </c>
      <c r="D42" t="s">
        <v>32</v>
      </c>
      <c r="E42" t="s">
        <v>33</v>
      </c>
      <c r="F42" t="s">
        <v>152</v>
      </c>
      <c r="G42" t="s">
        <v>3284</v>
      </c>
      <c r="H42" s="15">
        <v>322690</v>
      </c>
      <c r="I42" s="15">
        <v>0</v>
      </c>
      <c r="J42" t="s">
        <v>89</v>
      </c>
      <c r="K42" t="s">
        <v>28</v>
      </c>
      <c r="L42" s="2">
        <v>39904</v>
      </c>
      <c r="M42" t="s">
        <v>3285</v>
      </c>
      <c r="N42">
        <v>1</v>
      </c>
      <c r="O42" t="s">
        <v>4903</v>
      </c>
      <c r="P42">
        <v>0</v>
      </c>
      <c r="Q42" t="s">
        <v>4903</v>
      </c>
      <c r="R42" t="s">
        <v>3283</v>
      </c>
    </row>
    <row r="43" spans="1:18" hidden="1" x14ac:dyDescent="0.25">
      <c r="A43" t="s">
        <v>2740</v>
      </c>
      <c r="B43" t="s">
        <v>190</v>
      </c>
      <c r="C43" t="s">
        <v>15</v>
      </c>
      <c r="D43" t="s">
        <v>32</v>
      </c>
      <c r="E43" t="s">
        <v>33</v>
      </c>
      <c r="F43" t="s">
        <v>140</v>
      </c>
      <c r="G43" t="s">
        <v>3105</v>
      </c>
      <c r="H43" s="15">
        <v>529669</v>
      </c>
      <c r="I43" s="15">
        <v>0</v>
      </c>
      <c r="J43" t="s">
        <v>89</v>
      </c>
      <c r="K43" t="s">
        <v>28</v>
      </c>
      <c r="L43" s="2">
        <v>39904</v>
      </c>
      <c r="M43" t="s">
        <v>3106</v>
      </c>
      <c r="N43">
        <v>0</v>
      </c>
      <c r="O43" t="s">
        <v>4903</v>
      </c>
      <c r="P43">
        <v>0</v>
      </c>
      <c r="Q43" t="s">
        <v>4903</v>
      </c>
      <c r="R43" t="s">
        <v>2740</v>
      </c>
    </row>
    <row r="44" spans="1:18" hidden="1" x14ac:dyDescent="0.25">
      <c r="A44" t="s">
        <v>2075</v>
      </c>
      <c r="B44" t="s">
        <v>47</v>
      </c>
      <c r="C44" t="s">
        <v>48</v>
      </c>
      <c r="D44" t="s">
        <v>581</v>
      </c>
      <c r="E44" t="s">
        <v>770</v>
      </c>
      <c r="F44" t="s">
        <v>98</v>
      </c>
      <c r="G44" t="s">
        <v>2332</v>
      </c>
      <c r="H44" s="15">
        <v>690659</v>
      </c>
      <c r="I44" s="15">
        <v>0</v>
      </c>
      <c r="J44" t="s">
        <v>89</v>
      </c>
      <c r="K44" t="s">
        <v>134</v>
      </c>
      <c r="L44" s="2">
        <v>39904</v>
      </c>
      <c r="M44" t="s">
        <v>2333</v>
      </c>
      <c r="N44">
        <v>0</v>
      </c>
      <c r="O44" t="s">
        <v>4903</v>
      </c>
      <c r="P44">
        <v>0</v>
      </c>
      <c r="Q44" t="s">
        <v>4903</v>
      </c>
      <c r="R44" t="s">
        <v>2075</v>
      </c>
    </row>
    <row r="45" spans="1:18" hidden="1" x14ac:dyDescent="0.25">
      <c r="A45" t="s">
        <v>998</v>
      </c>
      <c r="B45" t="s">
        <v>31</v>
      </c>
      <c r="C45" t="s">
        <v>15</v>
      </c>
      <c r="D45" t="s">
        <v>32</v>
      </c>
      <c r="E45" t="s">
        <v>33</v>
      </c>
      <c r="F45" t="s">
        <v>18</v>
      </c>
      <c r="G45" t="s">
        <v>999</v>
      </c>
      <c r="H45" s="15">
        <v>386369</v>
      </c>
      <c r="I45" s="15">
        <v>0</v>
      </c>
      <c r="J45" t="s">
        <v>154</v>
      </c>
      <c r="K45" t="s">
        <v>65</v>
      </c>
      <c r="L45" s="2">
        <v>39904</v>
      </c>
      <c r="M45" t="s">
        <v>1000</v>
      </c>
      <c r="N45">
        <v>1</v>
      </c>
      <c r="O45" t="s">
        <v>4903</v>
      </c>
      <c r="P45">
        <v>0</v>
      </c>
      <c r="Q45" t="s">
        <v>4903</v>
      </c>
      <c r="R45" t="s">
        <v>998</v>
      </c>
    </row>
    <row r="46" spans="1:18" hidden="1" x14ac:dyDescent="0.25">
      <c r="A46" t="s">
        <v>4762</v>
      </c>
      <c r="B46" t="s">
        <v>406</v>
      </c>
      <c r="C46" t="s">
        <v>62</v>
      </c>
      <c r="D46" t="s">
        <v>32</v>
      </c>
      <c r="E46" t="s">
        <v>33</v>
      </c>
      <c r="F46" t="s">
        <v>18</v>
      </c>
      <c r="G46" t="s">
        <v>4763</v>
      </c>
      <c r="H46" s="15">
        <v>254422</v>
      </c>
      <c r="I46" s="15">
        <v>0</v>
      </c>
      <c r="J46" t="s">
        <v>89</v>
      </c>
      <c r="K46" t="s">
        <v>65</v>
      </c>
      <c r="L46" s="2">
        <v>39904</v>
      </c>
      <c r="M46" t="s">
        <v>4764</v>
      </c>
      <c r="N46">
        <v>1</v>
      </c>
      <c r="O46" t="s">
        <v>4903</v>
      </c>
      <c r="P46">
        <v>0</v>
      </c>
      <c r="Q46" t="s">
        <v>4903</v>
      </c>
      <c r="R46" t="s">
        <v>4762</v>
      </c>
    </row>
    <row r="47" spans="1:18" hidden="1" x14ac:dyDescent="0.25">
      <c r="A47" t="s">
        <v>2483</v>
      </c>
      <c r="B47" t="s">
        <v>315</v>
      </c>
      <c r="C47" t="s">
        <v>39</v>
      </c>
      <c r="D47" t="s">
        <v>32</v>
      </c>
      <c r="E47" t="s">
        <v>33</v>
      </c>
      <c r="F47" t="s">
        <v>152</v>
      </c>
      <c r="G47" t="s">
        <v>3885</v>
      </c>
      <c r="H47" s="15">
        <v>533730</v>
      </c>
      <c r="I47" s="15">
        <v>0</v>
      </c>
      <c r="J47" t="s">
        <v>154</v>
      </c>
      <c r="K47" t="s">
        <v>28</v>
      </c>
      <c r="L47" s="2">
        <v>39904</v>
      </c>
      <c r="M47" t="s">
        <v>3886</v>
      </c>
      <c r="N47">
        <v>0</v>
      </c>
      <c r="O47" t="s">
        <v>4903</v>
      </c>
      <c r="P47">
        <v>0</v>
      </c>
      <c r="Q47" t="s">
        <v>4903</v>
      </c>
      <c r="R47" t="s">
        <v>2483</v>
      </c>
    </row>
    <row r="48" spans="1:18" hidden="1" x14ac:dyDescent="0.25">
      <c r="A48" t="s">
        <v>175</v>
      </c>
      <c r="B48" t="s">
        <v>14</v>
      </c>
      <c r="C48" t="s">
        <v>15</v>
      </c>
      <c r="D48" t="s">
        <v>32</v>
      </c>
      <c r="E48" t="s">
        <v>33</v>
      </c>
      <c r="F48" t="s">
        <v>140</v>
      </c>
      <c r="G48" t="s">
        <v>2918</v>
      </c>
      <c r="H48" s="15">
        <v>383699</v>
      </c>
      <c r="I48" s="15">
        <v>0</v>
      </c>
      <c r="J48" t="s">
        <v>89</v>
      </c>
      <c r="K48" t="s">
        <v>28</v>
      </c>
      <c r="L48" s="2">
        <v>39904</v>
      </c>
      <c r="M48" t="s">
        <v>2919</v>
      </c>
      <c r="N48">
        <v>2</v>
      </c>
      <c r="O48" t="s">
        <v>4903</v>
      </c>
      <c r="P48">
        <v>0</v>
      </c>
      <c r="Q48" t="s">
        <v>4903</v>
      </c>
      <c r="R48" t="s">
        <v>175</v>
      </c>
    </row>
    <row r="49" spans="1:18" hidden="1" x14ac:dyDescent="0.25">
      <c r="A49" t="s">
        <v>2059</v>
      </c>
      <c r="B49" t="s">
        <v>315</v>
      </c>
      <c r="C49" t="s">
        <v>39</v>
      </c>
      <c r="D49" t="s">
        <v>32</v>
      </c>
      <c r="E49" t="s">
        <v>33</v>
      </c>
      <c r="F49" t="s">
        <v>34</v>
      </c>
      <c r="G49" t="s">
        <v>2060</v>
      </c>
      <c r="H49" s="15">
        <v>393809</v>
      </c>
      <c r="I49" s="15">
        <v>0</v>
      </c>
      <c r="J49" t="s">
        <v>154</v>
      </c>
      <c r="K49" t="s">
        <v>116</v>
      </c>
      <c r="L49" s="2">
        <v>39904</v>
      </c>
      <c r="M49" t="s">
        <v>2061</v>
      </c>
      <c r="N49">
        <v>0</v>
      </c>
      <c r="O49" t="s">
        <v>4903</v>
      </c>
      <c r="P49">
        <v>0</v>
      </c>
      <c r="Q49" t="s">
        <v>4903</v>
      </c>
      <c r="R49" t="s">
        <v>2059</v>
      </c>
    </row>
    <row r="50" spans="1:18" hidden="1" x14ac:dyDescent="0.25">
      <c r="A50" t="s">
        <v>555</v>
      </c>
      <c r="B50" t="s">
        <v>676</v>
      </c>
      <c r="C50" t="s">
        <v>39</v>
      </c>
      <c r="D50" t="s">
        <v>32</v>
      </c>
      <c r="E50" t="s">
        <v>33</v>
      </c>
      <c r="F50" t="s">
        <v>34</v>
      </c>
      <c r="G50" t="s">
        <v>3382</v>
      </c>
      <c r="H50" s="15">
        <v>306240</v>
      </c>
      <c r="I50" s="15">
        <v>0</v>
      </c>
      <c r="J50" t="s">
        <v>89</v>
      </c>
      <c r="K50" t="s">
        <v>28</v>
      </c>
      <c r="L50" s="2">
        <v>39904</v>
      </c>
      <c r="M50" t="s">
        <v>3383</v>
      </c>
      <c r="N50">
        <v>0</v>
      </c>
      <c r="O50" t="s">
        <v>4903</v>
      </c>
      <c r="P50">
        <v>0</v>
      </c>
      <c r="Q50" t="s">
        <v>4903</v>
      </c>
      <c r="R50" t="s">
        <v>555</v>
      </c>
    </row>
    <row r="51" spans="1:18" hidden="1" x14ac:dyDescent="0.25">
      <c r="A51" t="s">
        <v>755</v>
      </c>
      <c r="B51" t="s">
        <v>14</v>
      </c>
      <c r="C51" t="s">
        <v>15</v>
      </c>
      <c r="D51" t="s">
        <v>32</v>
      </c>
      <c r="E51" t="s">
        <v>33</v>
      </c>
      <c r="F51" t="s">
        <v>34</v>
      </c>
      <c r="G51" t="s">
        <v>1162</v>
      </c>
      <c r="H51" s="15">
        <v>451912</v>
      </c>
      <c r="I51" s="15">
        <v>0</v>
      </c>
      <c r="J51" t="s">
        <v>154</v>
      </c>
      <c r="K51" t="s">
        <v>28</v>
      </c>
      <c r="L51" s="2">
        <v>39904</v>
      </c>
      <c r="M51" t="s">
        <v>1163</v>
      </c>
      <c r="N51">
        <v>3</v>
      </c>
      <c r="O51" t="s">
        <v>4903</v>
      </c>
      <c r="P51">
        <v>0</v>
      </c>
      <c r="Q51" t="s">
        <v>4903</v>
      </c>
      <c r="R51" t="s">
        <v>755</v>
      </c>
    </row>
    <row r="52" spans="1:18" hidden="1" x14ac:dyDescent="0.25">
      <c r="A52" t="s">
        <v>1882</v>
      </c>
      <c r="B52" t="s">
        <v>244</v>
      </c>
      <c r="C52" t="s">
        <v>39</v>
      </c>
      <c r="D52" t="s">
        <v>32</v>
      </c>
      <c r="E52" t="s">
        <v>33</v>
      </c>
      <c r="F52" t="s">
        <v>140</v>
      </c>
      <c r="G52" t="s">
        <v>2756</v>
      </c>
      <c r="H52" s="15">
        <v>851780</v>
      </c>
      <c r="I52" s="15">
        <v>0</v>
      </c>
      <c r="J52" t="s">
        <v>20</v>
      </c>
      <c r="K52" t="s">
        <v>28</v>
      </c>
      <c r="L52" s="2">
        <v>39904</v>
      </c>
      <c r="M52" t="s">
        <v>2757</v>
      </c>
      <c r="N52">
        <v>0</v>
      </c>
      <c r="O52" t="s">
        <v>4903</v>
      </c>
      <c r="P52">
        <v>0</v>
      </c>
      <c r="Q52" t="s">
        <v>4903</v>
      </c>
      <c r="R52" t="s">
        <v>1882</v>
      </c>
    </row>
    <row r="53" spans="1:18" hidden="1" x14ac:dyDescent="0.25">
      <c r="A53" t="s">
        <v>1906</v>
      </c>
      <c r="B53" t="s">
        <v>47</v>
      </c>
      <c r="C53" t="s">
        <v>48</v>
      </c>
      <c r="D53" t="s">
        <v>32</v>
      </c>
      <c r="E53" t="s">
        <v>33</v>
      </c>
      <c r="F53" t="s">
        <v>152</v>
      </c>
      <c r="G53" t="s">
        <v>2122</v>
      </c>
      <c r="H53" s="15">
        <v>560232</v>
      </c>
      <c r="I53" s="15">
        <v>0</v>
      </c>
      <c r="J53" t="s">
        <v>154</v>
      </c>
      <c r="K53" t="s">
        <v>28</v>
      </c>
      <c r="L53" s="2">
        <v>39904</v>
      </c>
      <c r="M53" t="s">
        <v>2123</v>
      </c>
      <c r="N53">
        <v>0</v>
      </c>
      <c r="O53" t="s">
        <v>4903</v>
      </c>
      <c r="P53">
        <v>0</v>
      </c>
      <c r="Q53" t="s">
        <v>4903</v>
      </c>
      <c r="R53" t="s">
        <v>1906</v>
      </c>
    </row>
    <row r="54" spans="1:18" hidden="1" x14ac:dyDescent="0.25">
      <c r="A54" t="s">
        <v>1016</v>
      </c>
      <c r="B54" t="s">
        <v>47</v>
      </c>
      <c r="C54" t="s">
        <v>48</v>
      </c>
      <c r="D54" t="s">
        <v>32</v>
      </c>
      <c r="E54" t="s">
        <v>33</v>
      </c>
      <c r="F54" t="s">
        <v>140</v>
      </c>
      <c r="G54" t="s">
        <v>3338</v>
      </c>
      <c r="H54" s="15">
        <v>645690</v>
      </c>
      <c r="I54" s="15">
        <v>0</v>
      </c>
      <c r="J54" t="s">
        <v>20</v>
      </c>
      <c r="K54" t="s">
        <v>28</v>
      </c>
      <c r="L54" s="2">
        <v>39904</v>
      </c>
      <c r="M54" t="s">
        <v>3339</v>
      </c>
      <c r="N54">
        <v>0</v>
      </c>
      <c r="O54" t="s">
        <v>4903</v>
      </c>
      <c r="P54">
        <v>0</v>
      </c>
      <c r="Q54" t="s">
        <v>4903</v>
      </c>
      <c r="R54" t="s">
        <v>1016</v>
      </c>
    </row>
    <row r="55" spans="1:18" hidden="1" x14ac:dyDescent="0.25">
      <c r="A55" t="s">
        <v>528</v>
      </c>
      <c r="B55" t="s">
        <v>47</v>
      </c>
      <c r="C55" t="s">
        <v>48</v>
      </c>
      <c r="D55" t="s">
        <v>32</v>
      </c>
      <c r="E55" t="s">
        <v>33</v>
      </c>
      <c r="F55" t="s">
        <v>140</v>
      </c>
      <c r="G55" t="s">
        <v>4401</v>
      </c>
      <c r="H55" s="15">
        <v>367857</v>
      </c>
      <c r="I55" s="15">
        <v>0</v>
      </c>
      <c r="J55" t="s">
        <v>89</v>
      </c>
      <c r="K55" t="s">
        <v>28</v>
      </c>
      <c r="L55" s="2">
        <v>39904</v>
      </c>
      <c r="M55" t="s">
        <v>4402</v>
      </c>
      <c r="N55">
        <v>0</v>
      </c>
      <c r="O55" t="s">
        <v>4903</v>
      </c>
      <c r="P55">
        <v>0</v>
      </c>
      <c r="Q55" t="s">
        <v>4903</v>
      </c>
      <c r="R55" t="s">
        <v>528</v>
      </c>
    </row>
    <row r="56" spans="1:18" hidden="1" x14ac:dyDescent="0.25">
      <c r="A56" t="s">
        <v>4394</v>
      </c>
      <c r="B56" t="s">
        <v>489</v>
      </c>
      <c r="C56" t="s">
        <v>39</v>
      </c>
      <c r="D56" t="s">
        <v>32</v>
      </c>
      <c r="E56" t="s">
        <v>33</v>
      </c>
      <c r="F56" t="s">
        <v>152</v>
      </c>
      <c r="G56" t="s">
        <v>4397</v>
      </c>
      <c r="H56" s="15">
        <v>355206</v>
      </c>
      <c r="I56" s="15">
        <v>0</v>
      </c>
      <c r="J56" t="s">
        <v>89</v>
      </c>
      <c r="K56" t="s">
        <v>28</v>
      </c>
      <c r="L56" s="2">
        <v>39904</v>
      </c>
      <c r="M56" t="s">
        <v>4396</v>
      </c>
      <c r="N56">
        <v>0</v>
      </c>
      <c r="O56" t="s">
        <v>4903</v>
      </c>
      <c r="P56">
        <v>0</v>
      </c>
      <c r="Q56" t="s">
        <v>4903</v>
      </c>
      <c r="R56" t="s">
        <v>4394</v>
      </c>
    </row>
    <row r="57" spans="1:18" hidden="1" x14ac:dyDescent="0.25">
      <c r="A57" t="s">
        <v>2524</v>
      </c>
      <c r="B57" t="s">
        <v>2525</v>
      </c>
      <c r="C57" t="s">
        <v>62</v>
      </c>
      <c r="D57" t="s">
        <v>32</v>
      </c>
      <c r="E57" t="s">
        <v>33</v>
      </c>
      <c r="F57" t="s">
        <v>34</v>
      </c>
      <c r="G57" t="s">
        <v>2526</v>
      </c>
      <c r="H57" s="15">
        <v>263007</v>
      </c>
      <c r="I57" s="15">
        <v>0</v>
      </c>
      <c r="J57" t="s">
        <v>89</v>
      </c>
      <c r="K57" t="s">
        <v>28</v>
      </c>
      <c r="L57" s="2">
        <v>39904</v>
      </c>
      <c r="M57" t="s">
        <v>2527</v>
      </c>
      <c r="N57">
        <v>3</v>
      </c>
      <c r="O57" t="s">
        <v>4903</v>
      </c>
      <c r="P57">
        <v>0</v>
      </c>
      <c r="Q57" t="s">
        <v>4903</v>
      </c>
      <c r="R57" t="s">
        <v>2524</v>
      </c>
    </row>
    <row r="58" spans="1:18" hidden="1" x14ac:dyDescent="0.25">
      <c r="A58" t="s">
        <v>552</v>
      </c>
      <c r="B58" t="s">
        <v>244</v>
      </c>
      <c r="C58" t="s">
        <v>39</v>
      </c>
      <c r="D58" t="s">
        <v>32</v>
      </c>
      <c r="E58" t="s">
        <v>33</v>
      </c>
      <c r="F58" t="s">
        <v>152</v>
      </c>
      <c r="G58" t="s">
        <v>553</v>
      </c>
      <c r="H58" s="15">
        <v>877100</v>
      </c>
      <c r="I58" s="15">
        <v>0</v>
      </c>
      <c r="J58" t="s">
        <v>20</v>
      </c>
      <c r="K58" t="s">
        <v>28</v>
      </c>
      <c r="L58" s="2">
        <v>39904</v>
      </c>
      <c r="M58" t="s">
        <v>554</v>
      </c>
      <c r="N58">
        <v>0</v>
      </c>
      <c r="O58" t="s">
        <v>4903</v>
      </c>
      <c r="P58">
        <v>0</v>
      </c>
      <c r="Q58" t="s">
        <v>4903</v>
      </c>
      <c r="R58" t="s">
        <v>552</v>
      </c>
    </row>
    <row r="59" spans="1:18" hidden="1" x14ac:dyDescent="0.25">
      <c r="A59" t="s">
        <v>2539</v>
      </c>
      <c r="B59" t="s">
        <v>38</v>
      </c>
      <c r="C59" t="s">
        <v>39</v>
      </c>
      <c r="D59" t="s">
        <v>32</v>
      </c>
      <c r="E59" t="s">
        <v>33</v>
      </c>
      <c r="F59" t="s">
        <v>140</v>
      </c>
      <c r="G59" t="s">
        <v>3792</v>
      </c>
      <c r="H59" s="15">
        <v>410877</v>
      </c>
      <c r="I59" s="15">
        <v>0</v>
      </c>
      <c r="J59" t="s">
        <v>89</v>
      </c>
      <c r="K59" t="s">
        <v>57</v>
      </c>
      <c r="L59" s="2">
        <v>39904</v>
      </c>
      <c r="M59" t="s">
        <v>3793</v>
      </c>
      <c r="N59">
        <v>0</v>
      </c>
      <c r="O59" t="s">
        <v>4903</v>
      </c>
      <c r="P59">
        <v>0</v>
      </c>
      <c r="Q59" t="s">
        <v>4903</v>
      </c>
      <c r="R59" t="s">
        <v>2539</v>
      </c>
    </row>
    <row r="60" spans="1:18" hidden="1" x14ac:dyDescent="0.25">
      <c r="A60" t="s">
        <v>1686</v>
      </c>
      <c r="B60" t="s">
        <v>635</v>
      </c>
      <c r="C60" t="s">
        <v>39</v>
      </c>
      <c r="D60" t="s">
        <v>274</v>
      </c>
      <c r="E60" t="s">
        <v>1689</v>
      </c>
      <c r="F60" t="s">
        <v>98</v>
      </c>
      <c r="G60" t="s">
        <v>1690</v>
      </c>
      <c r="H60" s="15">
        <v>120845</v>
      </c>
      <c r="I60" s="15">
        <v>0</v>
      </c>
      <c r="J60" t="s">
        <v>89</v>
      </c>
      <c r="K60" t="s">
        <v>21</v>
      </c>
      <c r="L60" s="2">
        <v>39904</v>
      </c>
      <c r="M60" t="s">
        <v>1691</v>
      </c>
      <c r="N60">
        <v>2</v>
      </c>
      <c r="O60" t="s">
        <v>4903</v>
      </c>
      <c r="P60">
        <v>0</v>
      </c>
      <c r="Q60" t="s">
        <v>4903</v>
      </c>
      <c r="R60" t="s">
        <v>1686</v>
      </c>
    </row>
    <row r="61" spans="1:18" hidden="1" x14ac:dyDescent="0.25">
      <c r="A61" t="s">
        <v>2342</v>
      </c>
      <c r="B61" t="s">
        <v>24</v>
      </c>
      <c r="C61" t="s">
        <v>15</v>
      </c>
      <c r="D61" t="s">
        <v>32</v>
      </c>
      <c r="E61" t="s">
        <v>33</v>
      </c>
      <c r="F61" t="s">
        <v>152</v>
      </c>
      <c r="G61" t="s">
        <v>2798</v>
      </c>
      <c r="H61" s="15">
        <v>380709</v>
      </c>
      <c r="I61" s="15">
        <v>0</v>
      </c>
      <c r="J61" t="s">
        <v>89</v>
      </c>
      <c r="K61" t="s">
        <v>28</v>
      </c>
      <c r="L61" s="2">
        <v>39904</v>
      </c>
      <c r="M61" t="s">
        <v>2799</v>
      </c>
      <c r="N61">
        <v>0</v>
      </c>
      <c r="O61" t="s">
        <v>4903</v>
      </c>
      <c r="P61">
        <v>0</v>
      </c>
      <c r="Q61" t="s">
        <v>4903</v>
      </c>
      <c r="R61" t="s">
        <v>2342</v>
      </c>
    </row>
    <row r="62" spans="1:18" hidden="1" x14ac:dyDescent="0.25">
      <c r="A62" t="s">
        <v>715</v>
      </c>
      <c r="B62" t="s">
        <v>24</v>
      </c>
      <c r="C62" t="s">
        <v>15</v>
      </c>
      <c r="D62" t="s">
        <v>32</v>
      </c>
      <c r="E62" t="s">
        <v>33</v>
      </c>
      <c r="F62" t="s">
        <v>34</v>
      </c>
      <c r="G62" t="s">
        <v>716</v>
      </c>
      <c r="H62" s="15">
        <v>276264</v>
      </c>
      <c r="I62" s="15">
        <v>0</v>
      </c>
      <c r="J62" t="s">
        <v>89</v>
      </c>
      <c r="K62" t="s">
        <v>116</v>
      </c>
      <c r="L62" s="2">
        <v>39904</v>
      </c>
      <c r="M62" t="s">
        <v>717</v>
      </c>
      <c r="N62">
        <v>0</v>
      </c>
      <c r="O62" t="s">
        <v>4903</v>
      </c>
      <c r="P62">
        <v>0</v>
      </c>
      <c r="Q62" t="s">
        <v>4903</v>
      </c>
      <c r="R62" t="s">
        <v>715</v>
      </c>
    </row>
    <row r="63" spans="1:18" hidden="1" x14ac:dyDescent="0.25">
      <c r="A63" t="s">
        <v>137</v>
      </c>
      <c r="B63" t="s">
        <v>47</v>
      </c>
      <c r="C63" t="s">
        <v>48</v>
      </c>
      <c r="D63" t="s">
        <v>32</v>
      </c>
      <c r="E63" t="s">
        <v>33</v>
      </c>
      <c r="F63" t="s">
        <v>140</v>
      </c>
      <c r="G63" t="s">
        <v>2146</v>
      </c>
      <c r="H63" s="15">
        <v>541348</v>
      </c>
      <c r="I63" s="15">
        <v>0</v>
      </c>
      <c r="J63" t="s">
        <v>154</v>
      </c>
      <c r="K63" t="s">
        <v>28</v>
      </c>
      <c r="L63" s="2">
        <v>39904</v>
      </c>
      <c r="M63" t="s">
        <v>2147</v>
      </c>
      <c r="N63">
        <v>0</v>
      </c>
      <c r="O63" t="s">
        <v>4903</v>
      </c>
      <c r="P63">
        <v>0</v>
      </c>
      <c r="Q63" t="s">
        <v>4903</v>
      </c>
      <c r="R63" t="s">
        <v>137</v>
      </c>
    </row>
    <row r="64" spans="1:18" hidden="1" x14ac:dyDescent="0.25">
      <c r="A64" t="s">
        <v>2649</v>
      </c>
      <c r="B64" t="s">
        <v>24</v>
      </c>
      <c r="C64" t="s">
        <v>15</v>
      </c>
      <c r="D64" t="s">
        <v>32</v>
      </c>
      <c r="E64" t="s">
        <v>33</v>
      </c>
      <c r="F64" t="s">
        <v>34</v>
      </c>
      <c r="G64" t="s">
        <v>2650</v>
      </c>
      <c r="H64" s="15">
        <v>830540</v>
      </c>
      <c r="I64" s="15">
        <v>0</v>
      </c>
      <c r="J64" t="s">
        <v>20</v>
      </c>
      <c r="K64" t="s">
        <v>21</v>
      </c>
      <c r="L64" s="2">
        <v>39904</v>
      </c>
      <c r="M64" t="s">
        <v>2651</v>
      </c>
      <c r="N64">
        <v>11</v>
      </c>
      <c r="O64" t="s">
        <v>4903</v>
      </c>
      <c r="P64">
        <v>0</v>
      </c>
      <c r="Q64" t="s">
        <v>4903</v>
      </c>
      <c r="R64" t="s">
        <v>2649</v>
      </c>
    </row>
    <row r="65" spans="1:18" hidden="1" x14ac:dyDescent="0.25">
      <c r="A65" t="s">
        <v>2937</v>
      </c>
      <c r="B65" t="s">
        <v>333</v>
      </c>
      <c r="C65" t="s">
        <v>334</v>
      </c>
      <c r="D65" t="s">
        <v>32</v>
      </c>
      <c r="E65" t="s">
        <v>33</v>
      </c>
      <c r="F65" t="s">
        <v>152</v>
      </c>
      <c r="G65" t="s">
        <v>2938</v>
      </c>
      <c r="H65" s="15">
        <v>492133</v>
      </c>
      <c r="I65" s="15">
        <v>0</v>
      </c>
      <c r="J65" t="s">
        <v>154</v>
      </c>
      <c r="K65" t="s">
        <v>28</v>
      </c>
      <c r="L65" s="2">
        <v>39904</v>
      </c>
      <c r="M65" t="s">
        <v>2939</v>
      </c>
      <c r="N65">
        <v>1</v>
      </c>
      <c r="O65" t="s">
        <v>4903</v>
      </c>
      <c r="P65">
        <v>0</v>
      </c>
      <c r="Q65" t="s">
        <v>4903</v>
      </c>
      <c r="R65" t="s">
        <v>2937</v>
      </c>
    </row>
    <row r="66" spans="1:18" x14ac:dyDescent="0.25">
      <c r="A66" t="s">
        <v>2009</v>
      </c>
      <c r="B66" t="s">
        <v>14</v>
      </c>
      <c r="C66" t="s">
        <v>15</v>
      </c>
      <c r="D66" t="s">
        <v>16</v>
      </c>
      <c r="E66" t="s">
        <v>215</v>
      </c>
      <c r="F66" t="s">
        <v>26</v>
      </c>
      <c r="G66" t="s">
        <v>2638</v>
      </c>
      <c r="H66" s="15">
        <v>995264</v>
      </c>
      <c r="I66" s="15">
        <v>0</v>
      </c>
      <c r="J66" t="s">
        <v>154</v>
      </c>
      <c r="K66" t="s">
        <v>28</v>
      </c>
      <c r="L66" s="2">
        <v>43739</v>
      </c>
      <c r="M66" t="s">
        <v>2639</v>
      </c>
      <c r="N66">
        <v>6</v>
      </c>
      <c r="O66" t="s">
        <v>4831</v>
      </c>
      <c r="P66">
        <v>1</v>
      </c>
      <c r="Q66" t="s">
        <v>4809</v>
      </c>
      <c r="R66" t="s">
        <v>2009</v>
      </c>
    </row>
    <row r="67" spans="1:18" x14ac:dyDescent="0.25">
      <c r="A67" t="s">
        <v>1569</v>
      </c>
      <c r="B67" t="s">
        <v>14</v>
      </c>
      <c r="C67" t="s">
        <v>15</v>
      </c>
      <c r="D67" t="s">
        <v>16</v>
      </c>
      <c r="E67" t="s">
        <v>215</v>
      </c>
      <c r="F67" t="s">
        <v>152</v>
      </c>
      <c r="G67" t="s">
        <v>4753</v>
      </c>
      <c r="H67" s="15">
        <v>868276</v>
      </c>
      <c r="I67" s="15">
        <v>0</v>
      </c>
      <c r="J67" t="s">
        <v>20</v>
      </c>
      <c r="K67" t="s">
        <v>28</v>
      </c>
      <c r="L67" s="2">
        <v>43739</v>
      </c>
      <c r="M67" t="s">
        <v>4754</v>
      </c>
      <c r="N67">
        <v>7</v>
      </c>
      <c r="O67" t="s">
        <v>4831</v>
      </c>
      <c r="P67">
        <v>1</v>
      </c>
      <c r="Q67" t="s">
        <v>4809</v>
      </c>
      <c r="R67" t="s">
        <v>1569</v>
      </c>
    </row>
    <row r="68" spans="1:18" x14ac:dyDescent="0.25">
      <c r="A68" t="s">
        <v>3696</v>
      </c>
      <c r="B68" t="s">
        <v>406</v>
      </c>
      <c r="C68" t="s">
        <v>62</v>
      </c>
      <c r="D68" t="s">
        <v>842</v>
      </c>
      <c r="E68" t="s">
        <v>843</v>
      </c>
      <c r="F68" t="s">
        <v>844</v>
      </c>
      <c r="G68" t="s">
        <v>3697</v>
      </c>
      <c r="H68" s="15">
        <v>4175000</v>
      </c>
      <c r="I68" s="15">
        <v>0</v>
      </c>
      <c r="J68" t="s">
        <v>44</v>
      </c>
      <c r="K68" t="s">
        <v>134</v>
      </c>
      <c r="L68" s="2">
        <v>43983</v>
      </c>
      <c r="M68" t="s">
        <v>3698</v>
      </c>
      <c r="N68">
        <v>2</v>
      </c>
      <c r="O68" t="s">
        <v>4834</v>
      </c>
      <c r="P68">
        <v>1</v>
      </c>
      <c r="Q68" t="s">
        <v>4809</v>
      </c>
      <c r="R68" t="s">
        <v>3696</v>
      </c>
    </row>
    <row r="69" spans="1:18" x14ac:dyDescent="0.25">
      <c r="A69" t="s">
        <v>3102</v>
      </c>
      <c r="B69" t="s">
        <v>47</v>
      </c>
      <c r="C69" t="s">
        <v>48</v>
      </c>
      <c r="D69" t="s">
        <v>16</v>
      </c>
      <c r="E69" t="s">
        <v>25</v>
      </c>
      <c r="F69" t="s">
        <v>42</v>
      </c>
      <c r="G69" t="s">
        <v>3103</v>
      </c>
      <c r="H69" s="15">
        <v>523260</v>
      </c>
      <c r="I69" s="15">
        <v>0</v>
      </c>
      <c r="J69" t="s">
        <v>89</v>
      </c>
      <c r="K69" t="s">
        <v>28</v>
      </c>
      <c r="L69" s="2">
        <v>44835</v>
      </c>
      <c r="M69" t="s">
        <v>3104</v>
      </c>
      <c r="N69">
        <v>4</v>
      </c>
      <c r="O69" t="s">
        <v>4824</v>
      </c>
      <c r="P69">
        <v>1</v>
      </c>
      <c r="Q69" t="s">
        <v>4809</v>
      </c>
      <c r="R69" t="s">
        <v>3102</v>
      </c>
    </row>
    <row r="70" spans="1:18" hidden="1" x14ac:dyDescent="0.25">
      <c r="A70" t="s">
        <v>916</v>
      </c>
      <c r="B70" t="s">
        <v>84</v>
      </c>
      <c r="C70" t="s">
        <v>15</v>
      </c>
      <c r="D70" t="s">
        <v>32</v>
      </c>
      <c r="E70" t="s">
        <v>279</v>
      </c>
      <c r="F70" t="s">
        <v>18</v>
      </c>
      <c r="G70" t="s">
        <v>3517</v>
      </c>
      <c r="H70" s="15">
        <v>293444</v>
      </c>
      <c r="I70" s="15">
        <v>0</v>
      </c>
      <c r="J70" t="s">
        <v>89</v>
      </c>
      <c r="K70" t="s">
        <v>116</v>
      </c>
      <c r="L70" s="2">
        <v>40087</v>
      </c>
      <c r="M70" t="s">
        <v>3518</v>
      </c>
      <c r="N70">
        <v>1</v>
      </c>
      <c r="O70" t="s">
        <v>4903</v>
      </c>
      <c r="P70">
        <v>0</v>
      </c>
      <c r="Q70" t="s">
        <v>4903</v>
      </c>
      <c r="R70" t="s">
        <v>916</v>
      </c>
    </row>
    <row r="71" spans="1:18" hidden="1" x14ac:dyDescent="0.25">
      <c r="A71" t="s">
        <v>3033</v>
      </c>
      <c r="B71" t="s">
        <v>77</v>
      </c>
      <c r="C71" t="s">
        <v>15</v>
      </c>
      <c r="D71" t="s">
        <v>120</v>
      </c>
      <c r="E71" t="s">
        <v>121</v>
      </c>
      <c r="F71" t="s">
        <v>122</v>
      </c>
      <c r="G71" t="s">
        <v>3034</v>
      </c>
      <c r="H71" s="15">
        <v>300000</v>
      </c>
      <c r="I71" s="15">
        <v>0</v>
      </c>
      <c r="J71" t="s">
        <v>89</v>
      </c>
      <c r="K71" t="s">
        <v>57</v>
      </c>
      <c r="L71" s="2">
        <v>40087</v>
      </c>
      <c r="M71" t="s">
        <v>3035</v>
      </c>
      <c r="N71">
        <v>0</v>
      </c>
      <c r="O71" t="s">
        <v>4903</v>
      </c>
      <c r="P71">
        <v>0</v>
      </c>
      <c r="Q71" t="s">
        <v>4903</v>
      </c>
      <c r="R71" t="s">
        <v>3033</v>
      </c>
    </row>
    <row r="72" spans="1:18" hidden="1" x14ac:dyDescent="0.25">
      <c r="A72" t="s">
        <v>634</v>
      </c>
      <c r="B72" t="s">
        <v>635</v>
      </c>
      <c r="C72" t="s">
        <v>39</v>
      </c>
      <c r="D72" t="s">
        <v>32</v>
      </c>
      <c r="E72" t="s">
        <v>279</v>
      </c>
      <c r="F72" t="s">
        <v>152</v>
      </c>
      <c r="G72" t="s">
        <v>636</v>
      </c>
      <c r="H72" s="15">
        <v>612420</v>
      </c>
      <c r="I72" s="15">
        <v>0</v>
      </c>
      <c r="J72" t="s">
        <v>20</v>
      </c>
      <c r="K72" t="s">
        <v>28</v>
      </c>
      <c r="L72" s="2">
        <v>40087</v>
      </c>
      <c r="M72" t="s">
        <v>637</v>
      </c>
      <c r="N72">
        <v>0</v>
      </c>
      <c r="O72" t="s">
        <v>4903</v>
      </c>
      <c r="P72">
        <v>0</v>
      </c>
      <c r="Q72" t="s">
        <v>4903</v>
      </c>
      <c r="R72" t="s">
        <v>634</v>
      </c>
    </row>
    <row r="73" spans="1:18" hidden="1" x14ac:dyDescent="0.25">
      <c r="A73" t="s">
        <v>579</v>
      </c>
      <c r="B73" t="s">
        <v>580</v>
      </c>
      <c r="C73" t="s">
        <v>15</v>
      </c>
      <c r="D73" t="s">
        <v>581</v>
      </c>
      <c r="E73" t="s">
        <v>582</v>
      </c>
      <c r="F73" t="s">
        <v>98</v>
      </c>
      <c r="G73" t="s">
        <v>583</v>
      </c>
      <c r="H73" s="15">
        <v>37500</v>
      </c>
      <c r="I73" s="15">
        <v>0</v>
      </c>
      <c r="J73" t="s">
        <v>89</v>
      </c>
      <c r="K73" t="s">
        <v>28</v>
      </c>
      <c r="L73" s="2">
        <v>40087</v>
      </c>
      <c r="M73" t="s">
        <v>584</v>
      </c>
      <c r="N73">
        <v>0</v>
      </c>
      <c r="O73" t="s">
        <v>4903</v>
      </c>
      <c r="P73">
        <v>0</v>
      </c>
      <c r="Q73" t="s">
        <v>4903</v>
      </c>
      <c r="R73" t="s">
        <v>579</v>
      </c>
    </row>
    <row r="74" spans="1:18" hidden="1" x14ac:dyDescent="0.25">
      <c r="A74" t="s">
        <v>897</v>
      </c>
      <c r="B74" t="s">
        <v>898</v>
      </c>
      <c r="C74" t="s">
        <v>39</v>
      </c>
      <c r="D74" t="s">
        <v>647</v>
      </c>
      <c r="E74" t="s">
        <v>901</v>
      </c>
      <c r="F74" t="s">
        <v>18</v>
      </c>
      <c r="G74" t="s">
        <v>902</v>
      </c>
      <c r="H74" s="15">
        <v>100000</v>
      </c>
      <c r="I74" s="15">
        <v>0</v>
      </c>
      <c r="J74" t="s">
        <v>44</v>
      </c>
      <c r="K74" t="s">
        <v>326</v>
      </c>
      <c r="L74" s="2">
        <v>40087</v>
      </c>
      <c r="M74" t="s">
        <v>903</v>
      </c>
      <c r="N74">
        <v>1</v>
      </c>
      <c r="O74" t="s">
        <v>4903</v>
      </c>
      <c r="P74">
        <v>0</v>
      </c>
      <c r="Q74" t="s">
        <v>4903</v>
      </c>
      <c r="R74" t="s">
        <v>897</v>
      </c>
    </row>
    <row r="75" spans="1:18" hidden="1" x14ac:dyDescent="0.25">
      <c r="A75" t="s">
        <v>2465</v>
      </c>
      <c r="B75" t="s">
        <v>406</v>
      </c>
      <c r="C75" t="s">
        <v>62</v>
      </c>
      <c r="D75" t="s">
        <v>120</v>
      </c>
      <c r="E75" t="s">
        <v>121</v>
      </c>
      <c r="F75" t="s">
        <v>122</v>
      </c>
      <c r="G75" t="s">
        <v>3083</v>
      </c>
      <c r="H75" s="15">
        <v>259225</v>
      </c>
      <c r="I75" s="15">
        <v>0</v>
      </c>
      <c r="J75" t="s">
        <v>89</v>
      </c>
      <c r="K75" t="s">
        <v>57</v>
      </c>
      <c r="L75" s="2">
        <v>40087</v>
      </c>
      <c r="M75" t="s">
        <v>3084</v>
      </c>
      <c r="N75">
        <v>5</v>
      </c>
      <c r="O75" t="s">
        <v>4903</v>
      </c>
      <c r="P75">
        <v>0</v>
      </c>
      <c r="Q75" t="s">
        <v>4903</v>
      </c>
      <c r="R75" t="s">
        <v>2465</v>
      </c>
    </row>
    <row r="76" spans="1:18" hidden="1" x14ac:dyDescent="0.25">
      <c r="A76" t="s">
        <v>118</v>
      </c>
      <c r="B76" t="s">
        <v>119</v>
      </c>
      <c r="C76" t="s">
        <v>39</v>
      </c>
      <c r="D76" t="s">
        <v>120</v>
      </c>
      <c r="E76" t="s">
        <v>121</v>
      </c>
      <c r="F76" t="s">
        <v>122</v>
      </c>
      <c r="G76" t="s">
        <v>123</v>
      </c>
      <c r="H76" s="15">
        <v>297750</v>
      </c>
      <c r="I76" s="15">
        <v>0</v>
      </c>
      <c r="J76" t="s">
        <v>89</v>
      </c>
      <c r="K76" t="s">
        <v>57</v>
      </c>
      <c r="L76" s="2">
        <v>40087</v>
      </c>
      <c r="M76" t="s">
        <v>124</v>
      </c>
      <c r="N76">
        <v>0</v>
      </c>
      <c r="O76" t="s">
        <v>4903</v>
      </c>
      <c r="P76">
        <v>0</v>
      </c>
      <c r="Q76" t="s">
        <v>4903</v>
      </c>
      <c r="R76" t="s">
        <v>118</v>
      </c>
    </row>
    <row r="77" spans="1:18" hidden="1" x14ac:dyDescent="0.25">
      <c r="A77" t="s">
        <v>328</v>
      </c>
      <c r="B77" t="s">
        <v>315</v>
      </c>
      <c r="C77" t="s">
        <v>39</v>
      </c>
      <c r="D77" t="s">
        <v>32</v>
      </c>
      <c r="E77" t="s">
        <v>279</v>
      </c>
      <c r="F77" t="s">
        <v>18</v>
      </c>
      <c r="G77" t="s">
        <v>2249</v>
      </c>
      <c r="H77" s="15">
        <v>503702</v>
      </c>
      <c r="I77" s="15">
        <v>0</v>
      </c>
      <c r="J77" t="s">
        <v>89</v>
      </c>
      <c r="K77" t="s">
        <v>65</v>
      </c>
      <c r="L77" s="2">
        <v>40087</v>
      </c>
      <c r="M77" t="s">
        <v>2250</v>
      </c>
      <c r="N77">
        <v>0</v>
      </c>
      <c r="O77" t="s">
        <v>4903</v>
      </c>
      <c r="P77">
        <v>0</v>
      </c>
      <c r="Q77" t="s">
        <v>4903</v>
      </c>
      <c r="R77" t="s">
        <v>328</v>
      </c>
    </row>
    <row r="78" spans="1:18" hidden="1" x14ac:dyDescent="0.25">
      <c r="A78" t="s">
        <v>3222</v>
      </c>
      <c r="B78" t="s">
        <v>520</v>
      </c>
      <c r="C78" t="s">
        <v>521</v>
      </c>
      <c r="D78" t="s">
        <v>3223</v>
      </c>
      <c r="E78" t="s">
        <v>3224</v>
      </c>
      <c r="F78" t="s">
        <v>152</v>
      </c>
      <c r="G78" t="s">
        <v>3225</v>
      </c>
      <c r="H78" s="15">
        <v>100000</v>
      </c>
      <c r="I78" s="15">
        <v>0</v>
      </c>
      <c r="J78" t="s">
        <v>455</v>
      </c>
      <c r="K78" t="s">
        <v>28</v>
      </c>
      <c r="L78" s="2">
        <v>40087</v>
      </c>
      <c r="M78" t="s">
        <v>3226</v>
      </c>
      <c r="N78">
        <v>0</v>
      </c>
      <c r="O78" t="s">
        <v>4903</v>
      </c>
      <c r="P78">
        <v>0</v>
      </c>
      <c r="Q78" t="s">
        <v>4903</v>
      </c>
      <c r="R78" t="s">
        <v>3222</v>
      </c>
    </row>
    <row r="79" spans="1:18" hidden="1" x14ac:dyDescent="0.25">
      <c r="A79" t="s">
        <v>3665</v>
      </c>
      <c r="B79" t="s">
        <v>14</v>
      </c>
      <c r="C79" t="s">
        <v>15</v>
      </c>
      <c r="D79" t="s">
        <v>581</v>
      </c>
      <c r="E79" t="s">
        <v>582</v>
      </c>
      <c r="F79" t="s">
        <v>98</v>
      </c>
      <c r="G79" t="s">
        <v>3666</v>
      </c>
      <c r="H79" s="15">
        <v>357495</v>
      </c>
      <c r="I79" s="15">
        <v>0</v>
      </c>
      <c r="J79" t="s">
        <v>89</v>
      </c>
      <c r="K79" t="s">
        <v>28</v>
      </c>
      <c r="L79" s="2">
        <v>40087</v>
      </c>
      <c r="M79" t="s">
        <v>3667</v>
      </c>
      <c r="N79">
        <v>0</v>
      </c>
      <c r="O79" t="s">
        <v>4903</v>
      </c>
      <c r="P79">
        <v>0</v>
      </c>
      <c r="Q79" t="s">
        <v>4903</v>
      </c>
      <c r="R79" t="s">
        <v>3665</v>
      </c>
    </row>
    <row r="80" spans="1:18" hidden="1" x14ac:dyDescent="0.25">
      <c r="A80" t="s">
        <v>1068</v>
      </c>
      <c r="B80" t="s">
        <v>103</v>
      </c>
      <c r="C80" t="s">
        <v>15</v>
      </c>
      <c r="D80" t="s">
        <v>32</v>
      </c>
      <c r="E80" t="s">
        <v>279</v>
      </c>
      <c r="F80" t="s">
        <v>34</v>
      </c>
      <c r="G80" t="s">
        <v>1069</v>
      </c>
      <c r="H80" s="15">
        <v>467247</v>
      </c>
      <c r="I80" s="15">
        <v>0</v>
      </c>
      <c r="J80" t="s">
        <v>89</v>
      </c>
      <c r="K80" t="s">
        <v>21</v>
      </c>
      <c r="L80" s="2">
        <v>40087</v>
      </c>
      <c r="M80" t="s">
        <v>1070</v>
      </c>
      <c r="N80">
        <v>0</v>
      </c>
      <c r="O80" t="s">
        <v>4903</v>
      </c>
      <c r="P80">
        <v>0</v>
      </c>
      <c r="Q80" t="s">
        <v>4903</v>
      </c>
      <c r="R80" t="s">
        <v>1068</v>
      </c>
    </row>
    <row r="81" spans="1:18" hidden="1" x14ac:dyDescent="0.25">
      <c r="A81" t="s">
        <v>1992</v>
      </c>
      <c r="B81" t="s">
        <v>478</v>
      </c>
      <c r="C81" t="s">
        <v>15</v>
      </c>
      <c r="D81" t="s">
        <v>32</v>
      </c>
      <c r="E81" t="s">
        <v>279</v>
      </c>
      <c r="F81" t="s">
        <v>140</v>
      </c>
      <c r="G81" t="s">
        <v>1993</v>
      </c>
      <c r="H81" s="15">
        <v>599728</v>
      </c>
      <c r="I81" s="15">
        <v>0</v>
      </c>
      <c r="J81" t="s">
        <v>89</v>
      </c>
      <c r="K81" t="s">
        <v>28</v>
      </c>
      <c r="L81" s="2">
        <v>40087</v>
      </c>
      <c r="M81" t="s">
        <v>1994</v>
      </c>
      <c r="N81">
        <v>0</v>
      </c>
      <c r="O81" t="s">
        <v>4903</v>
      </c>
      <c r="P81">
        <v>0</v>
      </c>
      <c r="Q81" t="s">
        <v>4903</v>
      </c>
      <c r="R81" t="s">
        <v>1992</v>
      </c>
    </row>
    <row r="82" spans="1:18" hidden="1" x14ac:dyDescent="0.25">
      <c r="A82" t="s">
        <v>278</v>
      </c>
      <c r="B82" t="s">
        <v>244</v>
      </c>
      <c r="C82" t="s">
        <v>39</v>
      </c>
      <c r="D82" t="s">
        <v>32</v>
      </c>
      <c r="E82" t="s">
        <v>279</v>
      </c>
      <c r="F82" t="s">
        <v>140</v>
      </c>
      <c r="G82" t="s">
        <v>280</v>
      </c>
      <c r="H82" s="15">
        <v>1147574</v>
      </c>
      <c r="I82" s="15">
        <v>0</v>
      </c>
      <c r="J82" t="s">
        <v>20</v>
      </c>
      <c r="K82" t="s">
        <v>28</v>
      </c>
      <c r="L82" s="2">
        <v>40087</v>
      </c>
      <c r="M82" t="s">
        <v>281</v>
      </c>
      <c r="N82">
        <v>8</v>
      </c>
      <c r="O82" t="s">
        <v>4903</v>
      </c>
      <c r="P82">
        <v>0</v>
      </c>
      <c r="Q82" t="s">
        <v>4903</v>
      </c>
      <c r="R82" t="s">
        <v>278</v>
      </c>
    </row>
    <row r="83" spans="1:18" hidden="1" x14ac:dyDescent="0.25">
      <c r="A83" t="s">
        <v>3058</v>
      </c>
      <c r="B83" t="s">
        <v>315</v>
      </c>
      <c r="C83" t="s">
        <v>39</v>
      </c>
      <c r="D83" t="s">
        <v>32</v>
      </c>
      <c r="E83" t="s">
        <v>279</v>
      </c>
      <c r="F83" t="s">
        <v>18</v>
      </c>
      <c r="G83" t="s">
        <v>3059</v>
      </c>
      <c r="H83" s="15">
        <v>370776</v>
      </c>
      <c r="I83" s="15">
        <v>0</v>
      </c>
      <c r="J83" t="s">
        <v>154</v>
      </c>
      <c r="K83" t="s">
        <v>116</v>
      </c>
      <c r="L83" s="2">
        <v>40087</v>
      </c>
      <c r="M83" t="s">
        <v>3060</v>
      </c>
      <c r="N83">
        <v>0</v>
      </c>
      <c r="O83" t="s">
        <v>4903</v>
      </c>
      <c r="P83">
        <v>0</v>
      </c>
      <c r="Q83" t="s">
        <v>4903</v>
      </c>
      <c r="R83" t="s">
        <v>3058</v>
      </c>
    </row>
    <row r="84" spans="1:18" hidden="1" x14ac:dyDescent="0.25">
      <c r="A84" t="s">
        <v>2075</v>
      </c>
      <c r="B84" t="s">
        <v>47</v>
      </c>
      <c r="C84" t="s">
        <v>48</v>
      </c>
      <c r="D84" t="s">
        <v>581</v>
      </c>
      <c r="E84" t="s">
        <v>582</v>
      </c>
      <c r="F84" t="s">
        <v>98</v>
      </c>
      <c r="G84" t="s">
        <v>2076</v>
      </c>
      <c r="H84" s="15">
        <v>63000</v>
      </c>
      <c r="I84" s="15">
        <v>0</v>
      </c>
      <c r="J84" t="s">
        <v>2077</v>
      </c>
      <c r="K84" t="s">
        <v>134</v>
      </c>
      <c r="L84" s="2">
        <v>40087</v>
      </c>
      <c r="M84" t="s">
        <v>2078</v>
      </c>
      <c r="N84">
        <v>1</v>
      </c>
      <c r="O84" t="s">
        <v>4903</v>
      </c>
      <c r="P84">
        <v>0</v>
      </c>
      <c r="Q84" t="s">
        <v>4903</v>
      </c>
      <c r="R84" t="s">
        <v>2075</v>
      </c>
    </row>
    <row r="85" spans="1:18" hidden="1" x14ac:dyDescent="0.25">
      <c r="A85" t="s">
        <v>1744</v>
      </c>
      <c r="B85" t="s">
        <v>47</v>
      </c>
      <c r="C85" t="s">
        <v>48</v>
      </c>
      <c r="D85" t="s">
        <v>335</v>
      </c>
      <c r="E85" t="s">
        <v>336</v>
      </c>
      <c r="F85" t="s">
        <v>337</v>
      </c>
      <c r="G85" t="s">
        <v>2298</v>
      </c>
      <c r="H85" s="15">
        <v>100000</v>
      </c>
      <c r="I85" s="15">
        <v>0</v>
      </c>
      <c r="J85" t="s">
        <v>44</v>
      </c>
      <c r="K85" t="s">
        <v>134</v>
      </c>
      <c r="L85" s="2">
        <v>40087</v>
      </c>
      <c r="M85" t="s">
        <v>2299</v>
      </c>
      <c r="N85">
        <v>0</v>
      </c>
      <c r="O85" t="s">
        <v>4903</v>
      </c>
      <c r="P85">
        <v>0</v>
      </c>
      <c r="Q85" t="s">
        <v>4903</v>
      </c>
      <c r="R85" t="s">
        <v>1744</v>
      </c>
    </row>
    <row r="86" spans="1:18" hidden="1" x14ac:dyDescent="0.25">
      <c r="A86" t="s">
        <v>928</v>
      </c>
      <c r="B86" t="s">
        <v>47</v>
      </c>
      <c r="C86" t="s">
        <v>48</v>
      </c>
      <c r="D86" t="s">
        <v>32</v>
      </c>
      <c r="E86" t="s">
        <v>279</v>
      </c>
      <c r="F86" t="s">
        <v>140</v>
      </c>
      <c r="G86" t="s">
        <v>929</v>
      </c>
      <c r="H86" s="15">
        <v>538998</v>
      </c>
      <c r="I86" s="15">
        <v>0</v>
      </c>
      <c r="J86" t="s">
        <v>154</v>
      </c>
      <c r="K86" t="s">
        <v>28</v>
      </c>
      <c r="L86" s="2">
        <v>40087</v>
      </c>
      <c r="M86" t="s">
        <v>930</v>
      </c>
      <c r="N86">
        <v>3</v>
      </c>
      <c r="O86" t="s">
        <v>4903</v>
      </c>
      <c r="P86">
        <v>0</v>
      </c>
      <c r="Q86" t="s">
        <v>4903</v>
      </c>
      <c r="R86" t="s">
        <v>928</v>
      </c>
    </row>
    <row r="87" spans="1:18" hidden="1" x14ac:dyDescent="0.25">
      <c r="A87" t="s">
        <v>2771</v>
      </c>
      <c r="B87" t="s">
        <v>190</v>
      </c>
      <c r="C87" t="s">
        <v>15</v>
      </c>
      <c r="D87" t="s">
        <v>274</v>
      </c>
      <c r="E87" t="s">
        <v>2772</v>
      </c>
      <c r="F87" t="s">
        <v>98</v>
      </c>
      <c r="G87" t="s">
        <v>2773</v>
      </c>
      <c r="H87" s="15">
        <v>84359</v>
      </c>
      <c r="I87" s="15">
        <v>5000</v>
      </c>
      <c r="J87" t="s">
        <v>44</v>
      </c>
      <c r="K87" t="s">
        <v>326</v>
      </c>
      <c r="L87" s="2">
        <v>40087</v>
      </c>
      <c r="M87" t="s">
        <v>2774</v>
      </c>
      <c r="N87">
        <v>0</v>
      </c>
      <c r="O87" t="s">
        <v>4903</v>
      </c>
      <c r="P87">
        <v>0</v>
      </c>
      <c r="Q87" t="s">
        <v>4903</v>
      </c>
      <c r="R87" t="s">
        <v>2771</v>
      </c>
    </row>
    <row r="88" spans="1:18" hidden="1" x14ac:dyDescent="0.25">
      <c r="A88" t="s">
        <v>3067</v>
      </c>
      <c r="B88" t="s">
        <v>161</v>
      </c>
      <c r="C88" t="s">
        <v>39</v>
      </c>
      <c r="D88" t="s">
        <v>120</v>
      </c>
      <c r="E88" t="s">
        <v>121</v>
      </c>
      <c r="F88" t="s">
        <v>122</v>
      </c>
      <c r="G88" t="s">
        <v>3068</v>
      </c>
      <c r="H88" s="15">
        <v>300000</v>
      </c>
      <c r="I88" s="15">
        <v>0</v>
      </c>
      <c r="J88" t="s">
        <v>89</v>
      </c>
      <c r="K88" t="s">
        <v>57</v>
      </c>
      <c r="L88" s="2">
        <v>40087</v>
      </c>
      <c r="M88" t="s">
        <v>3069</v>
      </c>
      <c r="N88">
        <v>5</v>
      </c>
      <c r="O88" t="s">
        <v>4903</v>
      </c>
      <c r="P88">
        <v>0</v>
      </c>
      <c r="Q88" t="s">
        <v>4903</v>
      </c>
      <c r="R88" t="s">
        <v>3067</v>
      </c>
    </row>
    <row r="89" spans="1:18" hidden="1" x14ac:dyDescent="0.25">
      <c r="A89" t="s">
        <v>2131</v>
      </c>
      <c r="B89" t="s">
        <v>14</v>
      </c>
      <c r="C89" t="s">
        <v>15</v>
      </c>
      <c r="D89" t="s">
        <v>335</v>
      </c>
      <c r="E89" t="s">
        <v>336</v>
      </c>
      <c r="F89" t="s">
        <v>337</v>
      </c>
      <c r="G89" t="s">
        <v>2132</v>
      </c>
      <c r="H89" s="15">
        <v>99250</v>
      </c>
      <c r="I89" s="15">
        <v>0</v>
      </c>
      <c r="J89" t="s">
        <v>44</v>
      </c>
      <c r="K89" t="s">
        <v>134</v>
      </c>
      <c r="L89" s="2">
        <v>40087</v>
      </c>
      <c r="M89" t="s">
        <v>2133</v>
      </c>
      <c r="N89">
        <v>0</v>
      </c>
      <c r="O89" t="s">
        <v>4903</v>
      </c>
      <c r="P89">
        <v>0</v>
      </c>
      <c r="Q89" t="s">
        <v>4903</v>
      </c>
      <c r="R89" t="s">
        <v>2131</v>
      </c>
    </row>
    <row r="90" spans="1:18" hidden="1" x14ac:dyDescent="0.25">
      <c r="A90" t="s">
        <v>2861</v>
      </c>
      <c r="B90" t="s">
        <v>47</v>
      </c>
      <c r="C90" t="s">
        <v>48</v>
      </c>
      <c r="D90" t="s">
        <v>32</v>
      </c>
      <c r="E90" t="s">
        <v>279</v>
      </c>
      <c r="F90" t="s">
        <v>18</v>
      </c>
      <c r="G90" t="s">
        <v>2862</v>
      </c>
      <c r="H90" s="15">
        <v>385110</v>
      </c>
      <c r="I90" s="15">
        <v>0</v>
      </c>
      <c r="J90" t="s">
        <v>89</v>
      </c>
      <c r="K90" t="s">
        <v>21</v>
      </c>
      <c r="L90" s="2">
        <v>40087</v>
      </c>
      <c r="M90" t="s">
        <v>2863</v>
      </c>
      <c r="N90">
        <v>0</v>
      </c>
      <c r="O90" t="s">
        <v>4903</v>
      </c>
      <c r="P90">
        <v>0</v>
      </c>
      <c r="Q90" t="s">
        <v>4903</v>
      </c>
      <c r="R90" t="s">
        <v>2861</v>
      </c>
    </row>
    <row r="91" spans="1:18" hidden="1" x14ac:dyDescent="0.25">
      <c r="A91" t="s">
        <v>838</v>
      </c>
      <c r="B91" t="s">
        <v>136</v>
      </c>
      <c r="C91" t="s">
        <v>15</v>
      </c>
      <c r="D91" t="s">
        <v>32</v>
      </c>
      <c r="E91" t="s">
        <v>279</v>
      </c>
      <c r="F91" t="s">
        <v>34</v>
      </c>
      <c r="G91" t="s">
        <v>2828</v>
      </c>
      <c r="H91" s="15">
        <v>427592</v>
      </c>
      <c r="I91" s="15">
        <v>0</v>
      </c>
      <c r="J91" t="s">
        <v>89</v>
      </c>
      <c r="K91" t="s">
        <v>28</v>
      </c>
      <c r="L91" s="2">
        <v>40087</v>
      </c>
      <c r="M91" t="s">
        <v>2829</v>
      </c>
      <c r="N91">
        <v>9</v>
      </c>
      <c r="O91" t="s">
        <v>4903</v>
      </c>
      <c r="P91">
        <v>0</v>
      </c>
      <c r="Q91" t="s">
        <v>4903</v>
      </c>
      <c r="R91" t="s">
        <v>838</v>
      </c>
    </row>
    <row r="92" spans="1:18" hidden="1" x14ac:dyDescent="0.25">
      <c r="A92" t="s">
        <v>4739</v>
      </c>
      <c r="B92" t="s">
        <v>47</v>
      </c>
      <c r="C92" t="s">
        <v>48</v>
      </c>
      <c r="D92" t="s">
        <v>335</v>
      </c>
      <c r="E92" t="s">
        <v>336</v>
      </c>
      <c r="F92" t="s">
        <v>337</v>
      </c>
      <c r="G92" t="s">
        <v>4740</v>
      </c>
      <c r="H92" s="15">
        <v>100000</v>
      </c>
      <c r="I92" s="15">
        <v>0</v>
      </c>
      <c r="J92" t="s">
        <v>44</v>
      </c>
      <c r="K92" t="s">
        <v>134</v>
      </c>
      <c r="L92" s="2">
        <v>40087</v>
      </c>
      <c r="M92" t="s">
        <v>4741</v>
      </c>
      <c r="N92">
        <v>0</v>
      </c>
      <c r="O92" t="s">
        <v>4903</v>
      </c>
      <c r="P92">
        <v>0</v>
      </c>
      <c r="Q92" t="s">
        <v>4903</v>
      </c>
      <c r="R92" t="s">
        <v>4739</v>
      </c>
    </row>
    <row r="93" spans="1:18" hidden="1" x14ac:dyDescent="0.25">
      <c r="A93" t="s">
        <v>2940</v>
      </c>
      <c r="B93" t="s">
        <v>47</v>
      </c>
      <c r="C93" t="s">
        <v>48</v>
      </c>
      <c r="D93" t="s">
        <v>32</v>
      </c>
      <c r="E93" t="s">
        <v>279</v>
      </c>
      <c r="F93" t="s">
        <v>140</v>
      </c>
      <c r="G93" t="s">
        <v>2941</v>
      </c>
      <c r="H93" s="15">
        <v>431680</v>
      </c>
      <c r="I93" s="15">
        <v>0</v>
      </c>
      <c r="J93" t="s">
        <v>89</v>
      </c>
      <c r="K93" t="s">
        <v>28</v>
      </c>
      <c r="L93" s="2">
        <v>40087</v>
      </c>
      <c r="M93" t="s">
        <v>2942</v>
      </c>
      <c r="N93">
        <v>0</v>
      </c>
      <c r="O93" t="s">
        <v>4903</v>
      </c>
      <c r="P93">
        <v>0</v>
      </c>
      <c r="Q93" t="s">
        <v>4903</v>
      </c>
      <c r="R93" t="s">
        <v>2940</v>
      </c>
    </row>
    <row r="94" spans="1:18" hidden="1" x14ac:dyDescent="0.25">
      <c r="A94" t="s">
        <v>1114</v>
      </c>
      <c r="B94" t="s">
        <v>635</v>
      </c>
      <c r="C94" t="s">
        <v>39</v>
      </c>
      <c r="D94" t="s">
        <v>335</v>
      </c>
      <c r="E94" t="s">
        <v>336</v>
      </c>
      <c r="F94" t="s">
        <v>337</v>
      </c>
      <c r="G94" t="s">
        <v>1115</v>
      </c>
      <c r="H94" s="15">
        <v>100000</v>
      </c>
      <c r="I94" s="15">
        <v>0</v>
      </c>
      <c r="J94" t="s">
        <v>44</v>
      </c>
      <c r="K94" t="s">
        <v>134</v>
      </c>
      <c r="L94" s="2">
        <v>40087</v>
      </c>
      <c r="M94" t="s">
        <v>1116</v>
      </c>
      <c r="N94">
        <v>2</v>
      </c>
      <c r="O94" t="s">
        <v>4903</v>
      </c>
      <c r="P94">
        <v>0</v>
      </c>
      <c r="Q94" t="s">
        <v>4903</v>
      </c>
      <c r="R94" t="s">
        <v>1114</v>
      </c>
    </row>
    <row r="95" spans="1:18" hidden="1" x14ac:dyDescent="0.25">
      <c r="A95" t="s">
        <v>2549</v>
      </c>
      <c r="B95" t="s">
        <v>725</v>
      </c>
      <c r="C95" t="s">
        <v>726</v>
      </c>
      <c r="D95" t="s">
        <v>32</v>
      </c>
      <c r="E95" t="s">
        <v>279</v>
      </c>
      <c r="F95" t="s">
        <v>152</v>
      </c>
      <c r="G95" t="s">
        <v>2550</v>
      </c>
      <c r="H95" s="15">
        <v>648339</v>
      </c>
      <c r="I95" s="15">
        <v>0</v>
      </c>
      <c r="J95" t="s">
        <v>20</v>
      </c>
      <c r="K95" t="s">
        <v>28</v>
      </c>
      <c r="L95" s="2">
        <v>40087</v>
      </c>
      <c r="M95" t="s">
        <v>2551</v>
      </c>
      <c r="N95">
        <v>0</v>
      </c>
      <c r="O95" t="s">
        <v>4903</v>
      </c>
      <c r="P95">
        <v>0</v>
      </c>
      <c r="Q95" t="s">
        <v>4903</v>
      </c>
      <c r="R95" t="s">
        <v>2549</v>
      </c>
    </row>
    <row r="96" spans="1:18" hidden="1" x14ac:dyDescent="0.25">
      <c r="A96" t="s">
        <v>2901</v>
      </c>
      <c r="B96" t="s">
        <v>47</v>
      </c>
      <c r="C96" t="s">
        <v>48</v>
      </c>
      <c r="D96" t="s">
        <v>32</v>
      </c>
      <c r="E96" t="s">
        <v>279</v>
      </c>
      <c r="F96" t="s">
        <v>18</v>
      </c>
      <c r="G96" t="s">
        <v>2902</v>
      </c>
      <c r="H96" s="15">
        <v>544236</v>
      </c>
      <c r="I96" s="15">
        <v>0</v>
      </c>
      <c r="J96" t="s">
        <v>20</v>
      </c>
      <c r="K96" t="s">
        <v>65</v>
      </c>
      <c r="L96" s="2">
        <v>40087</v>
      </c>
      <c r="M96" t="s">
        <v>2903</v>
      </c>
      <c r="N96">
        <v>0</v>
      </c>
      <c r="O96" t="s">
        <v>4903</v>
      </c>
      <c r="P96">
        <v>0</v>
      </c>
      <c r="Q96" t="s">
        <v>4903</v>
      </c>
      <c r="R96" t="s">
        <v>2901</v>
      </c>
    </row>
    <row r="97" spans="1:18" hidden="1" x14ac:dyDescent="0.25">
      <c r="A97" t="s">
        <v>265</v>
      </c>
      <c r="B97" t="s">
        <v>103</v>
      </c>
      <c r="C97" t="s">
        <v>15</v>
      </c>
      <c r="D97" t="s">
        <v>32</v>
      </c>
      <c r="E97" t="s">
        <v>279</v>
      </c>
      <c r="F97" t="s">
        <v>152</v>
      </c>
      <c r="G97" t="s">
        <v>1261</v>
      </c>
      <c r="H97" s="15">
        <v>616690</v>
      </c>
      <c r="I97" s="15">
        <v>0</v>
      </c>
      <c r="J97" t="s">
        <v>20</v>
      </c>
      <c r="K97" t="s">
        <v>28</v>
      </c>
      <c r="L97" s="2">
        <v>40087</v>
      </c>
      <c r="M97" t="s">
        <v>1262</v>
      </c>
      <c r="N97">
        <v>0</v>
      </c>
      <c r="O97" t="s">
        <v>4903</v>
      </c>
      <c r="P97">
        <v>0</v>
      </c>
      <c r="Q97" t="s">
        <v>4903</v>
      </c>
      <c r="R97" t="s">
        <v>265</v>
      </c>
    </row>
    <row r="98" spans="1:18" hidden="1" x14ac:dyDescent="0.25">
      <c r="A98" t="s">
        <v>755</v>
      </c>
      <c r="B98" t="s">
        <v>14</v>
      </c>
      <c r="C98" t="s">
        <v>15</v>
      </c>
      <c r="D98" t="s">
        <v>32</v>
      </c>
      <c r="E98" t="s">
        <v>279</v>
      </c>
      <c r="F98" t="s">
        <v>34</v>
      </c>
      <c r="G98" t="s">
        <v>756</v>
      </c>
      <c r="H98" s="15">
        <v>661302</v>
      </c>
      <c r="I98" s="15">
        <v>0</v>
      </c>
      <c r="J98" t="s">
        <v>20</v>
      </c>
      <c r="K98" t="s">
        <v>28</v>
      </c>
      <c r="L98" s="2">
        <v>40087</v>
      </c>
      <c r="M98" t="s">
        <v>757</v>
      </c>
      <c r="N98">
        <v>0</v>
      </c>
      <c r="O98" t="s">
        <v>4903</v>
      </c>
      <c r="P98">
        <v>0</v>
      </c>
      <c r="Q98" t="s">
        <v>4903</v>
      </c>
      <c r="R98" t="s">
        <v>755</v>
      </c>
    </row>
    <row r="99" spans="1:18" hidden="1" x14ac:dyDescent="0.25">
      <c r="A99" t="s">
        <v>4064</v>
      </c>
      <c r="B99" t="s">
        <v>126</v>
      </c>
      <c r="C99" t="s">
        <v>39</v>
      </c>
      <c r="D99" t="s">
        <v>32</v>
      </c>
      <c r="E99" t="s">
        <v>279</v>
      </c>
      <c r="F99" t="s">
        <v>140</v>
      </c>
      <c r="G99" t="s">
        <v>4065</v>
      </c>
      <c r="H99" s="15">
        <v>773023</v>
      </c>
      <c r="I99" s="15">
        <v>0</v>
      </c>
      <c r="J99" t="s">
        <v>20</v>
      </c>
      <c r="K99" t="s">
        <v>28</v>
      </c>
      <c r="L99" s="2">
        <v>40087</v>
      </c>
      <c r="M99" t="s">
        <v>4066</v>
      </c>
      <c r="N99">
        <v>1</v>
      </c>
      <c r="O99" t="s">
        <v>4903</v>
      </c>
      <c r="P99">
        <v>0</v>
      </c>
      <c r="Q99" t="s">
        <v>4903</v>
      </c>
      <c r="R99" t="s">
        <v>4064</v>
      </c>
    </row>
    <row r="100" spans="1:18" hidden="1" x14ac:dyDescent="0.25">
      <c r="A100" t="s">
        <v>589</v>
      </c>
      <c r="B100" t="s">
        <v>520</v>
      </c>
      <c r="C100" t="s">
        <v>521</v>
      </c>
      <c r="D100" t="s">
        <v>335</v>
      </c>
      <c r="E100" t="s">
        <v>336</v>
      </c>
      <c r="F100" t="s">
        <v>337</v>
      </c>
      <c r="G100" t="s">
        <v>590</v>
      </c>
      <c r="H100" s="15">
        <v>100000</v>
      </c>
      <c r="I100" s="15">
        <v>0</v>
      </c>
      <c r="J100" t="s">
        <v>44</v>
      </c>
      <c r="K100" t="s">
        <v>134</v>
      </c>
      <c r="L100" s="2">
        <v>40087</v>
      </c>
      <c r="M100" t="s">
        <v>591</v>
      </c>
      <c r="N100">
        <v>1</v>
      </c>
      <c r="O100" t="s">
        <v>4903</v>
      </c>
      <c r="P100">
        <v>0</v>
      </c>
      <c r="Q100" t="s">
        <v>4903</v>
      </c>
      <c r="R100" t="s">
        <v>589</v>
      </c>
    </row>
    <row r="101" spans="1:18" hidden="1" x14ac:dyDescent="0.25">
      <c r="A101" t="s">
        <v>379</v>
      </c>
      <c r="B101" t="s">
        <v>77</v>
      </c>
      <c r="C101" t="s">
        <v>15</v>
      </c>
      <c r="D101" t="s">
        <v>32</v>
      </c>
      <c r="E101" t="s">
        <v>279</v>
      </c>
      <c r="F101" t="s">
        <v>34</v>
      </c>
      <c r="G101" t="s">
        <v>2972</v>
      </c>
      <c r="H101" s="15">
        <v>233833</v>
      </c>
      <c r="I101" s="15">
        <v>0</v>
      </c>
      <c r="J101" t="s">
        <v>89</v>
      </c>
      <c r="K101" t="s">
        <v>21</v>
      </c>
      <c r="L101" s="2">
        <v>40087</v>
      </c>
      <c r="M101" t="s">
        <v>2973</v>
      </c>
      <c r="N101">
        <v>0</v>
      </c>
      <c r="O101" t="s">
        <v>4903</v>
      </c>
      <c r="P101">
        <v>0</v>
      </c>
      <c r="Q101" t="s">
        <v>4903</v>
      </c>
      <c r="R101" t="s">
        <v>379</v>
      </c>
    </row>
    <row r="102" spans="1:18" hidden="1" x14ac:dyDescent="0.25">
      <c r="A102" t="s">
        <v>1242</v>
      </c>
      <c r="B102" t="s">
        <v>77</v>
      </c>
      <c r="C102" t="s">
        <v>15</v>
      </c>
      <c r="D102" t="s">
        <v>32</v>
      </c>
      <c r="E102" t="s">
        <v>279</v>
      </c>
      <c r="F102" t="s">
        <v>152</v>
      </c>
      <c r="G102" t="s">
        <v>1594</v>
      </c>
      <c r="H102" s="15">
        <v>769785</v>
      </c>
      <c r="I102" s="15">
        <v>0</v>
      </c>
      <c r="J102" t="s">
        <v>154</v>
      </c>
      <c r="K102" t="s">
        <v>28</v>
      </c>
      <c r="L102" s="2">
        <v>40087</v>
      </c>
      <c r="M102" t="s">
        <v>1595</v>
      </c>
      <c r="N102">
        <v>0</v>
      </c>
      <c r="O102" t="s">
        <v>4903</v>
      </c>
      <c r="P102">
        <v>0</v>
      </c>
      <c r="Q102" t="s">
        <v>4903</v>
      </c>
      <c r="R102" t="s">
        <v>1242</v>
      </c>
    </row>
    <row r="103" spans="1:18" hidden="1" x14ac:dyDescent="0.25">
      <c r="A103" t="s">
        <v>1065</v>
      </c>
      <c r="B103" t="s">
        <v>14</v>
      </c>
      <c r="C103" t="s">
        <v>15</v>
      </c>
      <c r="D103" t="s">
        <v>32</v>
      </c>
      <c r="E103" t="s">
        <v>279</v>
      </c>
      <c r="F103" t="s">
        <v>140</v>
      </c>
      <c r="G103" t="s">
        <v>1596</v>
      </c>
      <c r="H103" s="15">
        <v>391824</v>
      </c>
      <c r="I103" s="15">
        <v>0</v>
      </c>
      <c r="J103" t="s">
        <v>89</v>
      </c>
      <c r="K103" t="s">
        <v>28</v>
      </c>
      <c r="L103" s="2">
        <v>40087</v>
      </c>
      <c r="M103" t="s">
        <v>1597</v>
      </c>
      <c r="N103">
        <v>2</v>
      </c>
      <c r="O103" t="s">
        <v>4903</v>
      </c>
      <c r="P103">
        <v>0</v>
      </c>
      <c r="Q103" t="s">
        <v>4903</v>
      </c>
      <c r="R103" t="s">
        <v>1065</v>
      </c>
    </row>
    <row r="104" spans="1:18" hidden="1" x14ac:dyDescent="0.25">
      <c r="A104" t="s">
        <v>649</v>
      </c>
      <c r="B104" t="s">
        <v>520</v>
      </c>
      <c r="C104" t="s">
        <v>521</v>
      </c>
      <c r="D104" t="s">
        <v>32</v>
      </c>
      <c r="E104" t="s">
        <v>279</v>
      </c>
      <c r="F104" t="s">
        <v>140</v>
      </c>
      <c r="G104" t="s">
        <v>650</v>
      </c>
      <c r="H104" s="15">
        <v>729830</v>
      </c>
      <c r="I104" s="15">
        <v>0</v>
      </c>
      <c r="J104" t="s">
        <v>20</v>
      </c>
      <c r="K104" t="s">
        <v>28</v>
      </c>
      <c r="L104" s="2">
        <v>40087</v>
      </c>
      <c r="M104" t="s">
        <v>651</v>
      </c>
      <c r="N104">
        <v>1</v>
      </c>
      <c r="O104" t="s">
        <v>4903</v>
      </c>
      <c r="P104">
        <v>0</v>
      </c>
      <c r="Q104" t="s">
        <v>4903</v>
      </c>
      <c r="R104" t="s">
        <v>649</v>
      </c>
    </row>
    <row r="105" spans="1:18" hidden="1" x14ac:dyDescent="0.25">
      <c r="A105" t="s">
        <v>1097</v>
      </c>
      <c r="B105" t="s">
        <v>1227</v>
      </c>
      <c r="C105" t="s">
        <v>48</v>
      </c>
      <c r="D105" t="s">
        <v>32</v>
      </c>
      <c r="E105" t="s">
        <v>279</v>
      </c>
      <c r="F105" t="s">
        <v>152</v>
      </c>
      <c r="G105" t="s">
        <v>4590</v>
      </c>
      <c r="H105" s="15">
        <v>421287</v>
      </c>
      <c r="I105" s="15">
        <v>0</v>
      </c>
      <c r="J105" t="s">
        <v>89</v>
      </c>
      <c r="K105" t="s">
        <v>28</v>
      </c>
      <c r="L105" s="2">
        <v>40087</v>
      </c>
      <c r="M105" t="s">
        <v>4591</v>
      </c>
      <c r="N105">
        <v>1</v>
      </c>
      <c r="O105" t="s">
        <v>4903</v>
      </c>
      <c r="P105">
        <v>0</v>
      </c>
      <c r="Q105" t="s">
        <v>4903</v>
      </c>
      <c r="R105" t="s">
        <v>1097</v>
      </c>
    </row>
    <row r="106" spans="1:18" hidden="1" x14ac:dyDescent="0.25">
      <c r="A106" t="s">
        <v>631</v>
      </c>
      <c r="B106" t="s">
        <v>315</v>
      </c>
      <c r="C106" t="s">
        <v>39</v>
      </c>
      <c r="D106" t="s">
        <v>32</v>
      </c>
      <c r="E106" t="s">
        <v>279</v>
      </c>
      <c r="F106" t="s">
        <v>152</v>
      </c>
      <c r="G106" t="s">
        <v>4552</v>
      </c>
      <c r="H106" s="15">
        <v>699673</v>
      </c>
      <c r="I106" s="15">
        <v>0</v>
      </c>
      <c r="J106" t="s">
        <v>20</v>
      </c>
      <c r="K106" t="s">
        <v>28</v>
      </c>
      <c r="L106" s="2">
        <v>40087</v>
      </c>
      <c r="M106" t="s">
        <v>4553</v>
      </c>
      <c r="N106">
        <v>1</v>
      </c>
      <c r="O106" t="s">
        <v>4903</v>
      </c>
      <c r="P106">
        <v>0</v>
      </c>
      <c r="Q106" t="s">
        <v>4903</v>
      </c>
      <c r="R106" t="s">
        <v>631</v>
      </c>
    </row>
    <row r="107" spans="1:18" hidden="1" x14ac:dyDescent="0.25">
      <c r="A107" t="s">
        <v>1563</v>
      </c>
      <c r="B107" t="s">
        <v>84</v>
      </c>
      <c r="C107" t="s">
        <v>15</v>
      </c>
      <c r="D107" t="s">
        <v>335</v>
      </c>
      <c r="E107" t="s">
        <v>336</v>
      </c>
      <c r="F107" t="s">
        <v>337</v>
      </c>
      <c r="G107" t="s">
        <v>1564</v>
      </c>
      <c r="H107" s="15">
        <v>99252</v>
      </c>
      <c r="I107" s="15">
        <v>0</v>
      </c>
      <c r="J107" t="s">
        <v>44</v>
      </c>
      <c r="K107" t="s">
        <v>134</v>
      </c>
      <c r="L107" s="2">
        <v>40087</v>
      </c>
      <c r="M107" t="s">
        <v>1565</v>
      </c>
      <c r="N107">
        <v>3</v>
      </c>
      <c r="O107" t="s">
        <v>4903</v>
      </c>
      <c r="P107">
        <v>0</v>
      </c>
      <c r="Q107" t="s">
        <v>4903</v>
      </c>
      <c r="R107" t="s">
        <v>1563</v>
      </c>
    </row>
    <row r="108" spans="1:18" hidden="1" x14ac:dyDescent="0.25">
      <c r="A108" t="s">
        <v>2295</v>
      </c>
      <c r="B108" t="s">
        <v>426</v>
      </c>
      <c r="C108" t="s">
        <v>48</v>
      </c>
      <c r="D108" t="s">
        <v>335</v>
      </c>
      <c r="E108" t="s">
        <v>336</v>
      </c>
      <c r="F108" t="s">
        <v>337</v>
      </c>
      <c r="G108" t="s">
        <v>2296</v>
      </c>
      <c r="H108" s="15">
        <v>99242</v>
      </c>
      <c r="I108" s="15">
        <v>0</v>
      </c>
      <c r="J108" t="s">
        <v>44</v>
      </c>
      <c r="K108" t="s">
        <v>134</v>
      </c>
      <c r="L108" s="2">
        <v>40087</v>
      </c>
      <c r="M108" t="s">
        <v>2297</v>
      </c>
      <c r="N108">
        <v>0</v>
      </c>
      <c r="O108" t="s">
        <v>4903</v>
      </c>
      <c r="P108">
        <v>0</v>
      </c>
      <c r="Q108" t="s">
        <v>4903</v>
      </c>
      <c r="R108" t="s">
        <v>2295</v>
      </c>
    </row>
    <row r="109" spans="1:18" hidden="1" x14ac:dyDescent="0.25">
      <c r="A109" t="s">
        <v>2109</v>
      </c>
      <c r="B109" t="s">
        <v>31</v>
      </c>
      <c r="C109" t="s">
        <v>15</v>
      </c>
      <c r="D109" t="s">
        <v>32</v>
      </c>
      <c r="E109" t="s">
        <v>279</v>
      </c>
      <c r="F109" t="s">
        <v>34</v>
      </c>
      <c r="G109" t="s">
        <v>2110</v>
      </c>
      <c r="H109" s="15">
        <v>359119</v>
      </c>
      <c r="I109" s="15">
        <v>0</v>
      </c>
      <c r="J109" t="s">
        <v>89</v>
      </c>
      <c r="K109" t="s">
        <v>21</v>
      </c>
      <c r="L109" s="2">
        <v>40087</v>
      </c>
      <c r="M109" t="s">
        <v>2111</v>
      </c>
      <c r="N109">
        <v>0</v>
      </c>
      <c r="O109" t="s">
        <v>4903</v>
      </c>
      <c r="P109">
        <v>0</v>
      </c>
      <c r="Q109" t="s">
        <v>4903</v>
      </c>
      <c r="R109" t="s">
        <v>2109</v>
      </c>
    </row>
    <row r="110" spans="1:18" hidden="1" x14ac:dyDescent="0.25">
      <c r="A110" t="s">
        <v>359</v>
      </c>
      <c r="B110" t="s">
        <v>315</v>
      </c>
      <c r="C110" t="s">
        <v>39</v>
      </c>
      <c r="D110" t="s">
        <v>32</v>
      </c>
      <c r="E110" t="s">
        <v>279</v>
      </c>
      <c r="F110" t="s">
        <v>18</v>
      </c>
      <c r="G110" t="s">
        <v>360</v>
      </c>
      <c r="H110" s="15">
        <v>180000</v>
      </c>
      <c r="I110" s="15">
        <v>0</v>
      </c>
      <c r="J110" t="s">
        <v>89</v>
      </c>
      <c r="K110" t="s">
        <v>116</v>
      </c>
      <c r="L110" s="2">
        <v>40087</v>
      </c>
      <c r="M110" t="s">
        <v>361</v>
      </c>
      <c r="N110">
        <v>0</v>
      </c>
      <c r="O110" t="s">
        <v>4903</v>
      </c>
      <c r="P110">
        <v>0</v>
      </c>
      <c r="Q110" t="s">
        <v>4903</v>
      </c>
      <c r="R110" t="s">
        <v>359</v>
      </c>
    </row>
    <row r="111" spans="1:18" hidden="1" x14ac:dyDescent="0.25">
      <c r="A111" t="s">
        <v>4549</v>
      </c>
      <c r="B111" t="s">
        <v>315</v>
      </c>
      <c r="C111" t="s">
        <v>39</v>
      </c>
      <c r="D111" t="s">
        <v>120</v>
      </c>
      <c r="E111" t="s">
        <v>121</v>
      </c>
      <c r="F111" t="s">
        <v>122</v>
      </c>
      <c r="G111" t="s">
        <v>4550</v>
      </c>
      <c r="H111" s="15">
        <v>298212</v>
      </c>
      <c r="I111" s="15">
        <v>0</v>
      </c>
      <c r="J111" t="s">
        <v>89</v>
      </c>
      <c r="K111" t="s">
        <v>116</v>
      </c>
      <c r="L111" s="2">
        <v>40087</v>
      </c>
      <c r="M111" t="s">
        <v>4551</v>
      </c>
      <c r="N111">
        <v>0</v>
      </c>
      <c r="O111" t="s">
        <v>4903</v>
      </c>
      <c r="P111">
        <v>0</v>
      </c>
      <c r="Q111" t="s">
        <v>4903</v>
      </c>
      <c r="R111" t="s">
        <v>4549</v>
      </c>
    </row>
    <row r="112" spans="1:18" hidden="1" x14ac:dyDescent="0.25">
      <c r="A112" t="s">
        <v>644</v>
      </c>
      <c r="B112" t="s">
        <v>244</v>
      </c>
      <c r="C112" t="s">
        <v>39</v>
      </c>
      <c r="D112" t="s">
        <v>32</v>
      </c>
      <c r="E112" t="s">
        <v>279</v>
      </c>
      <c r="F112" t="s">
        <v>34</v>
      </c>
      <c r="G112" t="s">
        <v>645</v>
      </c>
      <c r="H112" s="15">
        <v>238386</v>
      </c>
      <c r="I112" s="15">
        <v>0</v>
      </c>
      <c r="J112" t="s">
        <v>89</v>
      </c>
      <c r="K112" t="s">
        <v>326</v>
      </c>
      <c r="L112" s="2">
        <v>40087</v>
      </c>
      <c r="M112" t="s">
        <v>646</v>
      </c>
      <c r="N112">
        <v>0</v>
      </c>
      <c r="O112" t="s">
        <v>4903</v>
      </c>
      <c r="P112">
        <v>0</v>
      </c>
      <c r="Q112" t="s">
        <v>4903</v>
      </c>
      <c r="R112" t="s">
        <v>644</v>
      </c>
    </row>
    <row r="113" spans="1:18" hidden="1" x14ac:dyDescent="0.25">
      <c r="A113" t="s">
        <v>693</v>
      </c>
      <c r="B113" t="s">
        <v>47</v>
      </c>
      <c r="C113" t="s">
        <v>48</v>
      </c>
      <c r="D113" t="s">
        <v>32</v>
      </c>
      <c r="E113" t="s">
        <v>279</v>
      </c>
      <c r="F113" t="s">
        <v>140</v>
      </c>
      <c r="G113" t="s">
        <v>695</v>
      </c>
      <c r="H113" s="15">
        <v>972275</v>
      </c>
      <c r="I113" s="15">
        <v>0</v>
      </c>
      <c r="J113" t="s">
        <v>20</v>
      </c>
      <c r="K113" t="s">
        <v>28</v>
      </c>
      <c r="L113" s="2">
        <v>40087</v>
      </c>
      <c r="M113" t="s">
        <v>696</v>
      </c>
      <c r="N113">
        <v>0</v>
      </c>
      <c r="O113" t="s">
        <v>4903</v>
      </c>
      <c r="P113">
        <v>0</v>
      </c>
      <c r="Q113" t="s">
        <v>4903</v>
      </c>
      <c r="R113" t="s">
        <v>693</v>
      </c>
    </row>
    <row r="114" spans="1:18" hidden="1" x14ac:dyDescent="0.25">
      <c r="A114" t="s">
        <v>1638</v>
      </c>
      <c r="B114" t="s">
        <v>161</v>
      </c>
      <c r="C114" t="s">
        <v>39</v>
      </c>
      <c r="D114" t="s">
        <v>335</v>
      </c>
      <c r="E114" t="s">
        <v>336</v>
      </c>
      <c r="F114" t="s">
        <v>337</v>
      </c>
      <c r="G114" t="s">
        <v>1639</v>
      </c>
      <c r="H114" s="15">
        <v>98222</v>
      </c>
      <c r="I114" s="15">
        <v>0</v>
      </c>
      <c r="J114" t="s">
        <v>44</v>
      </c>
      <c r="K114" t="s">
        <v>134</v>
      </c>
      <c r="L114" s="2">
        <v>40087</v>
      </c>
      <c r="M114" t="s">
        <v>1640</v>
      </c>
      <c r="N114">
        <v>1</v>
      </c>
      <c r="O114" t="s">
        <v>4903</v>
      </c>
      <c r="P114">
        <v>0</v>
      </c>
      <c r="Q114" t="s">
        <v>4903</v>
      </c>
      <c r="R114" t="s">
        <v>1638</v>
      </c>
    </row>
    <row r="115" spans="1:18" hidden="1" x14ac:dyDescent="0.25">
      <c r="A115" t="s">
        <v>1911</v>
      </c>
      <c r="B115" t="s">
        <v>1912</v>
      </c>
      <c r="C115" t="s">
        <v>15</v>
      </c>
      <c r="D115" t="s">
        <v>32</v>
      </c>
      <c r="E115" t="s">
        <v>279</v>
      </c>
      <c r="F115" t="s">
        <v>140</v>
      </c>
      <c r="G115" t="s">
        <v>1913</v>
      </c>
      <c r="H115" s="15">
        <v>385416</v>
      </c>
      <c r="I115" s="15">
        <v>0</v>
      </c>
      <c r="J115" t="s">
        <v>89</v>
      </c>
      <c r="K115" t="s">
        <v>28</v>
      </c>
      <c r="L115" s="2">
        <v>40087</v>
      </c>
      <c r="M115" t="s">
        <v>1914</v>
      </c>
      <c r="N115">
        <v>0</v>
      </c>
      <c r="O115" t="s">
        <v>4903</v>
      </c>
      <c r="P115">
        <v>0</v>
      </c>
      <c r="Q115" t="s">
        <v>4903</v>
      </c>
      <c r="R115" t="s">
        <v>1911</v>
      </c>
    </row>
    <row r="116" spans="1:18" hidden="1" x14ac:dyDescent="0.25">
      <c r="A116" t="s">
        <v>4514</v>
      </c>
      <c r="B116" t="s">
        <v>47</v>
      </c>
      <c r="C116" t="s">
        <v>48</v>
      </c>
      <c r="D116" t="s">
        <v>335</v>
      </c>
      <c r="E116" t="s">
        <v>336</v>
      </c>
      <c r="F116" t="s">
        <v>337</v>
      </c>
      <c r="G116" t="s">
        <v>4515</v>
      </c>
      <c r="H116" s="15">
        <v>100000</v>
      </c>
      <c r="I116" s="15">
        <v>0</v>
      </c>
      <c r="J116" t="s">
        <v>44</v>
      </c>
      <c r="K116" t="s">
        <v>134</v>
      </c>
      <c r="L116" s="2">
        <v>40087</v>
      </c>
      <c r="M116" t="s">
        <v>4516</v>
      </c>
      <c r="N116">
        <v>0</v>
      </c>
      <c r="O116" t="s">
        <v>4903</v>
      </c>
      <c r="P116">
        <v>0</v>
      </c>
      <c r="Q116" t="s">
        <v>4903</v>
      </c>
      <c r="R116" t="s">
        <v>4514</v>
      </c>
    </row>
    <row r="117" spans="1:18" hidden="1" x14ac:dyDescent="0.25">
      <c r="A117" t="s">
        <v>1019</v>
      </c>
      <c r="B117" t="s">
        <v>1020</v>
      </c>
      <c r="C117" t="s">
        <v>15</v>
      </c>
      <c r="D117" t="s">
        <v>32</v>
      </c>
      <c r="E117" t="s">
        <v>279</v>
      </c>
      <c r="F117" t="s">
        <v>34</v>
      </c>
      <c r="G117" t="s">
        <v>1021</v>
      </c>
      <c r="H117" s="15">
        <v>215912</v>
      </c>
      <c r="I117" s="15">
        <v>0</v>
      </c>
      <c r="J117" t="s">
        <v>89</v>
      </c>
      <c r="K117" t="s">
        <v>21</v>
      </c>
      <c r="L117" s="2">
        <v>40087</v>
      </c>
      <c r="M117" t="s">
        <v>1022</v>
      </c>
      <c r="N117">
        <v>0</v>
      </c>
      <c r="O117" t="s">
        <v>4903</v>
      </c>
      <c r="P117">
        <v>0</v>
      </c>
      <c r="Q117" t="s">
        <v>4903</v>
      </c>
      <c r="R117" t="s">
        <v>1019</v>
      </c>
    </row>
    <row r="118" spans="1:18" hidden="1" x14ac:dyDescent="0.25">
      <c r="A118" t="s">
        <v>1495</v>
      </c>
      <c r="B118" t="s">
        <v>84</v>
      </c>
      <c r="C118" t="s">
        <v>15</v>
      </c>
      <c r="D118" t="s">
        <v>120</v>
      </c>
      <c r="E118" t="s">
        <v>121</v>
      </c>
      <c r="F118" t="s">
        <v>122</v>
      </c>
      <c r="G118" t="s">
        <v>1498</v>
      </c>
      <c r="H118" s="15">
        <v>298557</v>
      </c>
      <c r="I118" s="15">
        <v>0</v>
      </c>
      <c r="J118" t="s">
        <v>89</v>
      </c>
      <c r="K118" t="s">
        <v>57</v>
      </c>
      <c r="L118" s="2">
        <v>40087</v>
      </c>
      <c r="M118" t="s">
        <v>1497</v>
      </c>
      <c r="N118">
        <v>0</v>
      </c>
      <c r="O118" t="s">
        <v>4903</v>
      </c>
      <c r="P118">
        <v>0</v>
      </c>
      <c r="Q118" t="s">
        <v>4903</v>
      </c>
      <c r="R118" t="s">
        <v>1495</v>
      </c>
    </row>
    <row r="119" spans="1:18" hidden="1" x14ac:dyDescent="0.25">
      <c r="A119" t="s">
        <v>4479</v>
      </c>
      <c r="B119" t="s">
        <v>315</v>
      </c>
      <c r="C119" t="s">
        <v>39</v>
      </c>
      <c r="D119" t="s">
        <v>581</v>
      </c>
      <c r="E119" t="s">
        <v>582</v>
      </c>
      <c r="F119" t="s">
        <v>98</v>
      </c>
      <c r="G119" t="s">
        <v>4480</v>
      </c>
      <c r="H119" s="15">
        <v>480000</v>
      </c>
      <c r="I119" s="15">
        <v>0</v>
      </c>
      <c r="J119" t="s">
        <v>455</v>
      </c>
      <c r="K119" t="s">
        <v>21</v>
      </c>
      <c r="L119" s="2">
        <v>40087</v>
      </c>
      <c r="M119" t="s">
        <v>4481</v>
      </c>
      <c r="N119">
        <v>5</v>
      </c>
      <c r="O119" t="s">
        <v>4903</v>
      </c>
      <c r="P119">
        <v>0</v>
      </c>
      <c r="Q119" t="s">
        <v>4903</v>
      </c>
      <c r="R119" t="s">
        <v>4479</v>
      </c>
    </row>
    <row r="120" spans="1:18" hidden="1" x14ac:dyDescent="0.25">
      <c r="A120" t="s">
        <v>460</v>
      </c>
      <c r="B120" t="s">
        <v>119</v>
      </c>
      <c r="C120" t="s">
        <v>39</v>
      </c>
      <c r="D120" t="s">
        <v>108</v>
      </c>
      <c r="E120" t="s">
        <v>461</v>
      </c>
      <c r="F120" t="s">
        <v>140</v>
      </c>
      <c r="G120" t="s">
        <v>462</v>
      </c>
      <c r="H120" s="15">
        <v>100000</v>
      </c>
      <c r="I120" s="15">
        <v>0</v>
      </c>
      <c r="J120" t="s">
        <v>44</v>
      </c>
      <c r="K120" t="s">
        <v>28</v>
      </c>
      <c r="L120" s="2">
        <v>40087</v>
      </c>
      <c r="M120" t="s">
        <v>463</v>
      </c>
      <c r="N120">
        <v>0</v>
      </c>
      <c r="O120" t="s">
        <v>4903</v>
      </c>
      <c r="P120">
        <v>0</v>
      </c>
      <c r="Q120" t="s">
        <v>4903</v>
      </c>
      <c r="R120" t="s">
        <v>460</v>
      </c>
    </row>
    <row r="121" spans="1:18" hidden="1" x14ac:dyDescent="0.25">
      <c r="A121" t="s">
        <v>4405</v>
      </c>
      <c r="B121" t="s">
        <v>190</v>
      </c>
      <c r="C121" t="s">
        <v>15</v>
      </c>
      <c r="D121" t="s">
        <v>32</v>
      </c>
      <c r="E121" t="s">
        <v>279</v>
      </c>
      <c r="F121" t="s">
        <v>140</v>
      </c>
      <c r="G121" t="s">
        <v>4406</v>
      </c>
      <c r="H121" s="15">
        <v>397897</v>
      </c>
      <c r="I121" s="15">
        <v>0</v>
      </c>
      <c r="J121" t="s">
        <v>89</v>
      </c>
      <c r="K121" t="s">
        <v>28</v>
      </c>
      <c r="L121" s="2">
        <v>40087</v>
      </c>
      <c r="M121" t="s">
        <v>4407</v>
      </c>
      <c r="N121">
        <v>0</v>
      </c>
      <c r="O121" t="s">
        <v>4903</v>
      </c>
      <c r="P121">
        <v>0</v>
      </c>
      <c r="Q121" t="s">
        <v>4903</v>
      </c>
      <c r="R121" t="s">
        <v>4405</v>
      </c>
    </row>
    <row r="122" spans="1:18" hidden="1" x14ac:dyDescent="0.25">
      <c r="A122" t="s">
        <v>405</v>
      </c>
      <c r="B122" t="s">
        <v>406</v>
      </c>
      <c r="C122" t="s">
        <v>62</v>
      </c>
      <c r="D122" t="s">
        <v>581</v>
      </c>
      <c r="E122" t="s">
        <v>582</v>
      </c>
      <c r="F122" t="s">
        <v>98</v>
      </c>
      <c r="G122" t="s">
        <v>4052</v>
      </c>
      <c r="H122" s="15">
        <v>175000</v>
      </c>
      <c r="I122" s="15">
        <v>0</v>
      </c>
      <c r="J122" t="s">
        <v>455</v>
      </c>
      <c r="K122" t="s">
        <v>134</v>
      </c>
      <c r="L122" s="2">
        <v>40087</v>
      </c>
      <c r="M122" t="s">
        <v>4053</v>
      </c>
      <c r="N122">
        <v>1</v>
      </c>
      <c r="O122" t="s">
        <v>4903</v>
      </c>
      <c r="P122">
        <v>0</v>
      </c>
      <c r="Q122" t="s">
        <v>4903</v>
      </c>
      <c r="R122" t="s">
        <v>405</v>
      </c>
    </row>
    <row r="123" spans="1:18" hidden="1" x14ac:dyDescent="0.25">
      <c r="A123" t="s">
        <v>1460</v>
      </c>
      <c r="B123" t="s">
        <v>1461</v>
      </c>
      <c r="C123" t="s">
        <v>726</v>
      </c>
      <c r="D123" t="s">
        <v>335</v>
      </c>
      <c r="E123" t="s">
        <v>336</v>
      </c>
      <c r="F123" t="s">
        <v>337</v>
      </c>
      <c r="G123" t="s">
        <v>1462</v>
      </c>
      <c r="H123" s="15">
        <v>99252</v>
      </c>
      <c r="I123" s="15">
        <v>0</v>
      </c>
      <c r="J123" t="s">
        <v>44</v>
      </c>
      <c r="K123" t="s">
        <v>134</v>
      </c>
      <c r="L123" s="2">
        <v>40087</v>
      </c>
      <c r="M123" t="s">
        <v>1463</v>
      </c>
      <c r="N123">
        <v>0</v>
      </c>
      <c r="O123" t="s">
        <v>4903</v>
      </c>
      <c r="P123">
        <v>0</v>
      </c>
      <c r="Q123" t="s">
        <v>4903</v>
      </c>
      <c r="R123" t="s">
        <v>1460</v>
      </c>
    </row>
    <row r="124" spans="1:18" hidden="1" x14ac:dyDescent="0.25">
      <c r="A124" t="s">
        <v>91</v>
      </c>
      <c r="B124" t="s">
        <v>47</v>
      </c>
      <c r="C124" t="s">
        <v>48</v>
      </c>
      <c r="D124" t="s">
        <v>32</v>
      </c>
      <c r="E124" t="s">
        <v>279</v>
      </c>
      <c r="F124" t="s">
        <v>18</v>
      </c>
      <c r="G124" t="s">
        <v>2738</v>
      </c>
      <c r="H124" s="15">
        <v>511717</v>
      </c>
      <c r="I124" s="15">
        <v>0</v>
      </c>
      <c r="J124" t="s">
        <v>154</v>
      </c>
      <c r="K124" t="s">
        <v>65</v>
      </c>
      <c r="L124" s="2">
        <v>40087</v>
      </c>
      <c r="M124" t="s">
        <v>2739</v>
      </c>
      <c r="N124">
        <v>0</v>
      </c>
      <c r="O124" t="s">
        <v>4903</v>
      </c>
      <c r="P124">
        <v>0</v>
      </c>
      <c r="Q124" t="s">
        <v>4903</v>
      </c>
      <c r="R124" t="s">
        <v>91</v>
      </c>
    </row>
    <row r="125" spans="1:18" hidden="1" x14ac:dyDescent="0.25">
      <c r="A125" t="s">
        <v>356</v>
      </c>
      <c r="B125" t="s">
        <v>14</v>
      </c>
      <c r="C125" t="s">
        <v>15</v>
      </c>
      <c r="D125" t="s">
        <v>32</v>
      </c>
      <c r="E125" t="s">
        <v>279</v>
      </c>
      <c r="F125" t="s">
        <v>152</v>
      </c>
      <c r="G125" t="s">
        <v>357</v>
      </c>
      <c r="H125" s="15">
        <v>845046</v>
      </c>
      <c r="I125" s="15">
        <v>0</v>
      </c>
      <c r="J125" t="s">
        <v>20</v>
      </c>
      <c r="K125" t="s">
        <v>28</v>
      </c>
      <c r="L125" s="2">
        <v>40087</v>
      </c>
      <c r="M125" t="s">
        <v>358</v>
      </c>
      <c r="N125">
        <v>0</v>
      </c>
      <c r="O125" t="s">
        <v>4903</v>
      </c>
      <c r="P125">
        <v>0</v>
      </c>
      <c r="Q125" t="s">
        <v>4903</v>
      </c>
      <c r="R125" t="s">
        <v>356</v>
      </c>
    </row>
    <row r="126" spans="1:18" hidden="1" x14ac:dyDescent="0.25">
      <c r="A126" t="s">
        <v>2925</v>
      </c>
      <c r="B126" t="s">
        <v>406</v>
      </c>
      <c r="C126" t="s">
        <v>62</v>
      </c>
      <c r="D126" t="s">
        <v>32</v>
      </c>
      <c r="E126" t="s">
        <v>279</v>
      </c>
      <c r="F126" t="s">
        <v>34</v>
      </c>
      <c r="G126" t="s">
        <v>2926</v>
      </c>
      <c r="H126" s="15">
        <v>321076</v>
      </c>
      <c r="I126" s="15">
        <v>0</v>
      </c>
      <c r="J126" t="s">
        <v>89</v>
      </c>
      <c r="K126" t="s">
        <v>28</v>
      </c>
      <c r="L126" s="2">
        <v>40087</v>
      </c>
      <c r="M126" t="s">
        <v>2927</v>
      </c>
      <c r="N126">
        <v>0</v>
      </c>
      <c r="O126" t="s">
        <v>4903</v>
      </c>
      <c r="P126">
        <v>0</v>
      </c>
      <c r="Q126" t="s">
        <v>4903</v>
      </c>
      <c r="R126" t="s">
        <v>2925</v>
      </c>
    </row>
    <row r="127" spans="1:18" hidden="1" x14ac:dyDescent="0.25">
      <c r="A127" t="s">
        <v>332</v>
      </c>
      <c r="B127" t="s">
        <v>333</v>
      </c>
      <c r="C127" t="s">
        <v>334</v>
      </c>
      <c r="D127" t="s">
        <v>335</v>
      </c>
      <c r="E127" t="s">
        <v>336</v>
      </c>
      <c r="F127" t="s">
        <v>337</v>
      </c>
      <c r="G127" t="s">
        <v>338</v>
      </c>
      <c r="H127" s="15">
        <v>89482</v>
      </c>
      <c r="I127" s="15">
        <v>0</v>
      </c>
      <c r="J127" t="s">
        <v>44</v>
      </c>
      <c r="K127" t="s">
        <v>134</v>
      </c>
      <c r="L127" s="2">
        <v>40087</v>
      </c>
      <c r="M127" t="s">
        <v>339</v>
      </c>
      <c r="N127">
        <v>0</v>
      </c>
      <c r="O127" t="s">
        <v>4903</v>
      </c>
      <c r="P127">
        <v>0</v>
      </c>
      <c r="Q127" t="s">
        <v>4903</v>
      </c>
      <c r="R127" t="s">
        <v>332</v>
      </c>
    </row>
    <row r="128" spans="1:18" hidden="1" x14ac:dyDescent="0.25">
      <c r="A128" t="s">
        <v>4049</v>
      </c>
      <c r="B128" t="s">
        <v>478</v>
      </c>
      <c r="C128" t="s">
        <v>15</v>
      </c>
      <c r="D128" t="s">
        <v>32</v>
      </c>
      <c r="E128" t="s">
        <v>279</v>
      </c>
      <c r="F128" t="s">
        <v>152</v>
      </c>
      <c r="G128" t="s">
        <v>4050</v>
      </c>
      <c r="H128" s="15">
        <v>694200</v>
      </c>
      <c r="I128" s="15">
        <v>0</v>
      </c>
      <c r="J128" t="s">
        <v>20</v>
      </c>
      <c r="K128" t="s">
        <v>28</v>
      </c>
      <c r="L128" s="2">
        <v>40087</v>
      </c>
      <c r="M128" t="s">
        <v>4051</v>
      </c>
      <c r="N128">
        <v>0</v>
      </c>
      <c r="O128" t="s">
        <v>4903</v>
      </c>
      <c r="P128">
        <v>0</v>
      </c>
      <c r="Q128" t="s">
        <v>4903</v>
      </c>
      <c r="R128" t="s">
        <v>4049</v>
      </c>
    </row>
    <row r="129" spans="1:18" hidden="1" x14ac:dyDescent="0.25">
      <c r="A129" t="s">
        <v>2536</v>
      </c>
      <c r="B129" t="s">
        <v>244</v>
      </c>
      <c r="C129" t="s">
        <v>39</v>
      </c>
      <c r="D129" t="s">
        <v>49</v>
      </c>
      <c r="E129" t="s">
        <v>50</v>
      </c>
      <c r="F129" t="s">
        <v>140</v>
      </c>
      <c r="G129" t="s">
        <v>2896</v>
      </c>
      <c r="H129" s="15">
        <v>100000</v>
      </c>
      <c r="I129" s="15">
        <v>0</v>
      </c>
      <c r="J129" t="s">
        <v>44</v>
      </c>
      <c r="K129" t="s">
        <v>28</v>
      </c>
      <c r="L129" s="2">
        <v>40238</v>
      </c>
      <c r="M129" t="s">
        <v>2538</v>
      </c>
      <c r="N129">
        <v>0</v>
      </c>
      <c r="O129" t="s">
        <v>4903</v>
      </c>
      <c r="P129">
        <v>0</v>
      </c>
      <c r="Q129" t="s">
        <v>4903</v>
      </c>
      <c r="R129" t="s">
        <v>2536</v>
      </c>
    </row>
    <row r="130" spans="1:18" hidden="1" x14ac:dyDescent="0.25">
      <c r="A130" t="s">
        <v>2706</v>
      </c>
      <c r="B130" t="s">
        <v>47</v>
      </c>
      <c r="C130" t="s">
        <v>48</v>
      </c>
      <c r="D130" t="s">
        <v>49</v>
      </c>
      <c r="E130" t="s">
        <v>50</v>
      </c>
      <c r="F130" t="s">
        <v>152</v>
      </c>
      <c r="G130" t="s">
        <v>2707</v>
      </c>
      <c r="H130" s="15">
        <v>100000</v>
      </c>
      <c r="I130" s="15">
        <v>0</v>
      </c>
      <c r="J130" t="s">
        <v>44</v>
      </c>
      <c r="K130" t="s">
        <v>28</v>
      </c>
      <c r="L130" s="2">
        <v>40238</v>
      </c>
      <c r="M130" t="s">
        <v>2708</v>
      </c>
      <c r="N130">
        <v>0</v>
      </c>
      <c r="O130" t="s">
        <v>4903</v>
      </c>
      <c r="P130">
        <v>0</v>
      </c>
      <c r="Q130" t="s">
        <v>4903</v>
      </c>
      <c r="R130" t="s">
        <v>2706</v>
      </c>
    </row>
    <row r="131" spans="1:18" hidden="1" x14ac:dyDescent="0.25">
      <c r="A131" t="s">
        <v>46</v>
      </c>
      <c r="B131" t="s">
        <v>47</v>
      </c>
      <c r="C131" t="s">
        <v>48</v>
      </c>
      <c r="D131" t="s">
        <v>49</v>
      </c>
      <c r="E131" t="s">
        <v>50</v>
      </c>
      <c r="F131" t="s">
        <v>18</v>
      </c>
      <c r="G131" t="s">
        <v>51</v>
      </c>
      <c r="H131" s="15">
        <v>100000</v>
      </c>
      <c r="I131" s="15">
        <v>0</v>
      </c>
      <c r="J131" t="s">
        <v>44</v>
      </c>
      <c r="K131" t="s">
        <v>28</v>
      </c>
      <c r="L131" s="2">
        <v>40238</v>
      </c>
      <c r="M131" t="s">
        <v>52</v>
      </c>
      <c r="N131">
        <v>1</v>
      </c>
      <c r="O131" t="s">
        <v>4903</v>
      </c>
      <c r="P131">
        <v>0</v>
      </c>
      <c r="Q131" t="s">
        <v>4903</v>
      </c>
      <c r="R131" t="s">
        <v>46</v>
      </c>
    </row>
    <row r="132" spans="1:18" x14ac:dyDescent="0.25">
      <c r="A132" t="s">
        <v>3811</v>
      </c>
      <c r="B132" t="s">
        <v>119</v>
      </c>
      <c r="C132" t="s">
        <v>39</v>
      </c>
      <c r="D132" t="s">
        <v>96</v>
      </c>
      <c r="E132" t="s">
        <v>536</v>
      </c>
      <c r="F132" t="s">
        <v>98</v>
      </c>
      <c r="G132" t="s">
        <v>3812</v>
      </c>
      <c r="H132" s="15">
        <v>200000</v>
      </c>
      <c r="I132" s="15">
        <v>0</v>
      </c>
      <c r="J132" t="s">
        <v>455</v>
      </c>
      <c r="K132" t="s">
        <v>134</v>
      </c>
      <c r="L132" s="2">
        <v>42461</v>
      </c>
      <c r="M132" t="s">
        <v>3813</v>
      </c>
      <c r="N132">
        <v>3</v>
      </c>
      <c r="O132" t="s">
        <v>4811</v>
      </c>
      <c r="P132">
        <v>1</v>
      </c>
      <c r="Q132" t="s">
        <v>4809</v>
      </c>
      <c r="R132" t="s">
        <v>3811</v>
      </c>
    </row>
    <row r="133" spans="1:18" x14ac:dyDescent="0.25">
      <c r="A133" t="s">
        <v>1263</v>
      </c>
      <c r="B133" t="s">
        <v>47</v>
      </c>
      <c r="C133" t="s">
        <v>48</v>
      </c>
      <c r="D133" t="s">
        <v>32</v>
      </c>
      <c r="E133" t="s">
        <v>279</v>
      </c>
      <c r="F133" t="s">
        <v>152</v>
      </c>
      <c r="G133" t="s">
        <v>3758</v>
      </c>
      <c r="H133" s="15">
        <v>480608</v>
      </c>
      <c r="I133" s="15">
        <v>0</v>
      </c>
      <c r="J133" t="s">
        <v>154</v>
      </c>
      <c r="K133" t="s">
        <v>28</v>
      </c>
      <c r="L133" s="2">
        <v>40087</v>
      </c>
      <c r="M133" t="s">
        <v>3759</v>
      </c>
      <c r="N133">
        <v>10</v>
      </c>
      <c r="O133" t="s">
        <v>4859</v>
      </c>
      <c r="P133">
        <v>1</v>
      </c>
      <c r="Q133" t="s">
        <v>4809</v>
      </c>
      <c r="R133" t="s">
        <v>1263</v>
      </c>
    </row>
    <row r="134" spans="1:18" hidden="1" x14ac:dyDescent="0.25">
      <c r="A134" t="s">
        <v>252</v>
      </c>
      <c r="B134" t="s">
        <v>103</v>
      </c>
      <c r="C134" t="s">
        <v>15</v>
      </c>
      <c r="D134" t="s">
        <v>581</v>
      </c>
      <c r="E134" t="s">
        <v>2873</v>
      </c>
      <c r="F134" t="s">
        <v>98</v>
      </c>
      <c r="G134" t="s">
        <v>3825</v>
      </c>
      <c r="H134" s="15">
        <v>152932</v>
      </c>
      <c r="I134" s="15">
        <v>0</v>
      </c>
      <c r="J134" t="s">
        <v>89</v>
      </c>
      <c r="K134" t="s">
        <v>21</v>
      </c>
      <c r="L134" s="2">
        <v>40269</v>
      </c>
      <c r="M134" t="s">
        <v>3826</v>
      </c>
      <c r="N134">
        <v>0</v>
      </c>
      <c r="O134" t="s">
        <v>4903</v>
      </c>
      <c r="P134">
        <v>0</v>
      </c>
      <c r="Q134" t="s">
        <v>4903</v>
      </c>
      <c r="R134" t="s">
        <v>252</v>
      </c>
    </row>
    <row r="135" spans="1:18" hidden="1" x14ac:dyDescent="0.25">
      <c r="A135" t="s">
        <v>2225</v>
      </c>
      <c r="B135" t="s">
        <v>1461</v>
      </c>
      <c r="C135" t="s">
        <v>726</v>
      </c>
      <c r="D135" t="s">
        <v>32</v>
      </c>
      <c r="E135" t="s">
        <v>191</v>
      </c>
      <c r="F135" t="s">
        <v>152</v>
      </c>
      <c r="G135" t="s">
        <v>4779</v>
      </c>
      <c r="H135" s="15">
        <v>295157</v>
      </c>
      <c r="I135" s="15">
        <v>0</v>
      </c>
      <c r="J135" t="s">
        <v>89</v>
      </c>
      <c r="K135" t="s">
        <v>28</v>
      </c>
      <c r="L135" s="2">
        <v>40269</v>
      </c>
      <c r="M135" t="s">
        <v>4780</v>
      </c>
      <c r="N135">
        <v>0</v>
      </c>
      <c r="O135" t="s">
        <v>4903</v>
      </c>
      <c r="P135">
        <v>0</v>
      </c>
      <c r="Q135" t="s">
        <v>4903</v>
      </c>
      <c r="R135" t="s">
        <v>2225</v>
      </c>
    </row>
    <row r="136" spans="1:18" hidden="1" x14ac:dyDescent="0.25">
      <c r="A136" t="s">
        <v>1032</v>
      </c>
      <c r="B136" t="s">
        <v>676</v>
      </c>
      <c r="C136" t="s">
        <v>39</v>
      </c>
      <c r="D136" t="s">
        <v>108</v>
      </c>
      <c r="E136" t="s">
        <v>1033</v>
      </c>
      <c r="F136" t="s">
        <v>140</v>
      </c>
      <c r="G136" t="s">
        <v>1034</v>
      </c>
      <c r="H136" s="15">
        <v>100000</v>
      </c>
      <c r="I136" s="15">
        <v>0</v>
      </c>
      <c r="J136" t="s">
        <v>44</v>
      </c>
      <c r="K136" t="s">
        <v>28</v>
      </c>
      <c r="L136" s="2">
        <v>40269</v>
      </c>
      <c r="M136" t="s">
        <v>1035</v>
      </c>
      <c r="N136">
        <v>0</v>
      </c>
      <c r="O136" t="s">
        <v>4903</v>
      </c>
      <c r="P136">
        <v>0</v>
      </c>
      <c r="Q136" t="s">
        <v>4903</v>
      </c>
      <c r="R136" t="s">
        <v>1032</v>
      </c>
    </row>
    <row r="137" spans="1:18" hidden="1" x14ac:dyDescent="0.25">
      <c r="A137" t="s">
        <v>3787</v>
      </c>
      <c r="B137" t="s">
        <v>315</v>
      </c>
      <c r="C137" t="s">
        <v>39</v>
      </c>
      <c r="D137" t="s">
        <v>32</v>
      </c>
      <c r="E137" t="s">
        <v>191</v>
      </c>
      <c r="F137" t="s">
        <v>140</v>
      </c>
      <c r="G137" t="s">
        <v>3893</v>
      </c>
      <c r="H137" s="15">
        <v>622074</v>
      </c>
      <c r="I137" s="15">
        <v>0</v>
      </c>
      <c r="J137" t="s">
        <v>20</v>
      </c>
      <c r="K137" t="s">
        <v>28</v>
      </c>
      <c r="L137" s="2">
        <v>40269</v>
      </c>
      <c r="M137" t="s">
        <v>3894</v>
      </c>
      <c r="N137">
        <v>1</v>
      </c>
      <c r="O137" t="s">
        <v>4903</v>
      </c>
      <c r="P137">
        <v>0</v>
      </c>
      <c r="Q137" t="s">
        <v>4903</v>
      </c>
      <c r="R137" t="s">
        <v>3787</v>
      </c>
    </row>
    <row r="138" spans="1:18" hidden="1" x14ac:dyDescent="0.25">
      <c r="A138" t="s">
        <v>3760</v>
      </c>
      <c r="B138" t="s">
        <v>47</v>
      </c>
      <c r="C138" t="s">
        <v>48</v>
      </c>
      <c r="D138" t="s">
        <v>32</v>
      </c>
      <c r="E138" t="s">
        <v>191</v>
      </c>
      <c r="F138" t="s">
        <v>18</v>
      </c>
      <c r="G138" t="s">
        <v>3761</v>
      </c>
      <c r="H138" s="15">
        <v>685810</v>
      </c>
      <c r="I138" s="15">
        <v>0</v>
      </c>
      <c r="J138" t="s">
        <v>20</v>
      </c>
      <c r="K138" t="s">
        <v>65</v>
      </c>
      <c r="L138" s="2">
        <v>40269</v>
      </c>
      <c r="M138" t="s">
        <v>3762</v>
      </c>
      <c r="N138">
        <v>0</v>
      </c>
      <c r="O138" t="s">
        <v>4903</v>
      </c>
      <c r="P138">
        <v>0</v>
      </c>
      <c r="Q138" t="s">
        <v>4903</v>
      </c>
      <c r="R138" t="s">
        <v>3760</v>
      </c>
    </row>
    <row r="139" spans="1:18" hidden="1" x14ac:dyDescent="0.25">
      <c r="A139" t="s">
        <v>1277</v>
      </c>
      <c r="B139" t="s">
        <v>126</v>
      </c>
      <c r="C139" t="s">
        <v>39</v>
      </c>
      <c r="D139" t="s">
        <v>274</v>
      </c>
      <c r="E139" t="s">
        <v>2558</v>
      </c>
      <c r="F139" t="s">
        <v>98</v>
      </c>
      <c r="G139" t="s">
        <v>2559</v>
      </c>
      <c r="H139" s="15">
        <v>70000</v>
      </c>
      <c r="I139" s="15">
        <v>0</v>
      </c>
      <c r="J139" t="s">
        <v>154</v>
      </c>
      <c r="K139" t="s">
        <v>116</v>
      </c>
      <c r="L139" s="2">
        <v>40269</v>
      </c>
      <c r="M139" t="s">
        <v>2560</v>
      </c>
      <c r="N139">
        <v>0</v>
      </c>
      <c r="O139" t="s">
        <v>4903</v>
      </c>
      <c r="P139">
        <v>0</v>
      </c>
      <c r="Q139" t="s">
        <v>4903</v>
      </c>
      <c r="R139" t="s">
        <v>1277</v>
      </c>
    </row>
    <row r="140" spans="1:18" hidden="1" x14ac:dyDescent="0.25">
      <c r="A140" t="s">
        <v>189</v>
      </c>
      <c r="B140" t="s">
        <v>190</v>
      </c>
      <c r="C140" t="s">
        <v>15</v>
      </c>
      <c r="D140" t="s">
        <v>32</v>
      </c>
      <c r="E140" t="s">
        <v>191</v>
      </c>
      <c r="F140" t="s">
        <v>140</v>
      </c>
      <c r="G140" t="s">
        <v>192</v>
      </c>
      <c r="H140" s="15">
        <v>487301</v>
      </c>
      <c r="I140" s="15">
        <v>0</v>
      </c>
      <c r="J140" t="s">
        <v>154</v>
      </c>
      <c r="K140" t="s">
        <v>28</v>
      </c>
      <c r="L140" s="2">
        <v>40269</v>
      </c>
      <c r="M140" t="s">
        <v>193</v>
      </c>
      <c r="N140">
        <v>0</v>
      </c>
      <c r="O140" t="s">
        <v>4903</v>
      </c>
      <c r="P140">
        <v>0</v>
      </c>
      <c r="Q140" t="s">
        <v>4903</v>
      </c>
      <c r="R140" t="s">
        <v>189</v>
      </c>
    </row>
    <row r="141" spans="1:18" hidden="1" x14ac:dyDescent="0.25">
      <c r="A141" t="s">
        <v>285</v>
      </c>
      <c r="B141" t="s">
        <v>31</v>
      </c>
      <c r="C141" t="s">
        <v>15</v>
      </c>
      <c r="D141" t="s">
        <v>32</v>
      </c>
      <c r="E141" t="s">
        <v>191</v>
      </c>
      <c r="F141" t="s">
        <v>34</v>
      </c>
      <c r="G141" t="s">
        <v>286</v>
      </c>
      <c r="H141" s="15">
        <v>642828</v>
      </c>
      <c r="I141" s="15">
        <v>0</v>
      </c>
      <c r="J141" t="s">
        <v>20</v>
      </c>
      <c r="K141" t="s">
        <v>21</v>
      </c>
      <c r="L141" s="2">
        <v>40269</v>
      </c>
      <c r="M141" t="s">
        <v>287</v>
      </c>
      <c r="N141">
        <v>0</v>
      </c>
      <c r="O141" t="s">
        <v>4903</v>
      </c>
      <c r="P141">
        <v>0</v>
      </c>
      <c r="Q141" t="s">
        <v>4903</v>
      </c>
      <c r="R141" t="s">
        <v>285</v>
      </c>
    </row>
    <row r="142" spans="1:18" hidden="1" x14ac:dyDescent="0.25">
      <c r="A142" t="s">
        <v>1042</v>
      </c>
      <c r="B142" t="s">
        <v>350</v>
      </c>
      <c r="C142" t="s">
        <v>39</v>
      </c>
      <c r="D142" t="s">
        <v>32</v>
      </c>
      <c r="E142" t="s">
        <v>191</v>
      </c>
      <c r="F142" t="s">
        <v>18</v>
      </c>
      <c r="G142" t="s">
        <v>1043</v>
      </c>
      <c r="H142" s="15">
        <v>860972</v>
      </c>
      <c r="I142" s="15">
        <v>0</v>
      </c>
      <c r="J142" t="s">
        <v>20</v>
      </c>
      <c r="K142" t="s">
        <v>116</v>
      </c>
      <c r="L142" s="2">
        <v>40269</v>
      </c>
      <c r="M142" t="s">
        <v>1044</v>
      </c>
      <c r="N142">
        <v>0</v>
      </c>
      <c r="O142" t="s">
        <v>4903</v>
      </c>
      <c r="P142">
        <v>0</v>
      </c>
      <c r="Q142" t="s">
        <v>4903</v>
      </c>
      <c r="R142" t="s">
        <v>1042</v>
      </c>
    </row>
    <row r="143" spans="1:18" hidden="1" x14ac:dyDescent="0.25">
      <c r="A143" t="s">
        <v>3247</v>
      </c>
      <c r="B143" t="s">
        <v>635</v>
      </c>
      <c r="C143" t="s">
        <v>39</v>
      </c>
      <c r="D143" t="s">
        <v>32</v>
      </c>
      <c r="E143" t="s">
        <v>191</v>
      </c>
      <c r="F143" t="s">
        <v>152</v>
      </c>
      <c r="G143" t="s">
        <v>3248</v>
      </c>
      <c r="H143" s="15">
        <v>346936</v>
      </c>
      <c r="I143" s="15">
        <v>0</v>
      </c>
      <c r="J143" t="s">
        <v>89</v>
      </c>
      <c r="K143" t="s">
        <v>28</v>
      </c>
      <c r="L143" s="2">
        <v>40269</v>
      </c>
      <c r="M143" t="s">
        <v>3249</v>
      </c>
      <c r="N143">
        <v>0</v>
      </c>
      <c r="O143" t="s">
        <v>4903</v>
      </c>
      <c r="P143">
        <v>0</v>
      </c>
      <c r="Q143" t="s">
        <v>4903</v>
      </c>
      <c r="R143" t="s">
        <v>3247</v>
      </c>
    </row>
    <row r="144" spans="1:18" hidden="1" x14ac:dyDescent="0.25">
      <c r="A144" t="s">
        <v>1966</v>
      </c>
      <c r="B144" t="s">
        <v>77</v>
      </c>
      <c r="C144" t="s">
        <v>15</v>
      </c>
      <c r="D144" t="s">
        <v>32</v>
      </c>
      <c r="E144" t="s">
        <v>191</v>
      </c>
      <c r="F144" t="s">
        <v>152</v>
      </c>
      <c r="G144" t="s">
        <v>1967</v>
      </c>
      <c r="H144" s="15">
        <v>808632</v>
      </c>
      <c r="I144" s="15">
        <v>0</v>
      </c>
      <c r="J144" t="s">
        <v>20</v>
      </c>
      <c r="K144" t="s">
        <v>28</v>
      </c>
      <c r="L144" s="2">
        <v>40269</v>
      </c>
      <c r="M144" t="s">
        <v>1968</v>
      </c>
      <c r="N144">
        <v>0</v>
      </c>
      <c r="O144" t="s">
        <v>4903</v>
      </c>
      <c r="P144">
        <v>0</v>
      </c>
      <c r="Q144" t="s">
        <v>4903</v>
      </c>
      <c r="R144" t="s">
        <v>1966</v>
      </c>
    </row>
    <row r="145" spans="1:18" hidden="1" x14ac:dyDescent="0.25">
      <c r="A145" t="s">
        <v>4315</v>
      </c>
      <c r="B145" t="s">
        <v>77</v>
      </c>
      <c r="C145" t="s">
        <v>15</v>
      </c>
      <c r="D145" t="s">
        <v>32</v>
      </c>
      <c r="E145" t="s">
        <v>191</v>
      </c>
      <c r="F145" t="s">
        <v>34</v>
      </c>
      <c r="G145" t="s">
        <v>4316</v>
      </c>
      <c r="H145" s="15">
        <v>347223</v>
      </c>
      <c r="I145" s="15">
        <v>0</v>
      </c>
      <c r="J145" t="s">
        <v>89</v>
      </c>
      <c r="K145" t="s">
        <v>21</v>
      </c>
      <c r="L145" s="2">
        <v>40269</v>
      </c>
      <c r="M145" t="s">
        <v>4317</v>
      </c>
      <c r="N145">
        <v>0</v>
      </c>
      <c r="O145" t="s">
        <v>4903</v>
      </c>
      <c r="P145">
        <v>0</v>
      </c>
      <c r="Q145" t="s">
        <v>4903</v>
      </c>
      <c r="R145" t="s">
        <v>4315</v>
      </c>
    </row>
    <row r="146" spans="1:18" hidden="1" x14ac:dyDescent="0.25">
      <c r="A146" t="s">
        <v>2124</v>
      </c>
      <c r="B146" t="s">
        <v>14</v>
      </c>
      <c r="C146" t="s">
        <v>15</v>
      </c>
      <c r="D146" t="s">
        <v>32</v>
      </c>
      <c r="E146" t="s">
        <v>191</v>
      </c>
      <c r="F146" t="s">
        <v>140</v>
      </c>
      <c r="G146" t="s">
        <v>2125</v>
      </c>
      <c r="H146" s="15">
        <v>599314</v>
      </c>
      <c r="I146" s="15">
        <v>0</v>
      </c>
      <c r="J146" t="s">
        <v>154</v>
      </c>
      <c r="K146" t="s">
        <v>28</v>
      </c>
      <c r="L146" s="2">
        <v>40269</v>
      </c>
      <c r="M146" t="s">
        <v>2126</v>
      </c>
      <c r="N146">
        <v>0</v>
      </c>
      <c r="O146" t="s">
        <v>4903</v>
      </c>
      <c r="P146">
        <v>0</v>
      </c>
      <c r="Q146" t="s">
        <v>4903</v>
      </c>
      <c r="R146" t="s">
        <v>2124</v>
      </c>
    </row>
    <row r="147" spans="1:18" hidden="1" x14ac:dyDescent="0.25">
      <c r="A147" t="s">
        <v>1157</v>
      </c>
      <c r="B147" t="s">
        <v>77</v>
      </c>
      <c r="C147" t="s">
        <v>15</v>
      </c>
      <c r="D147" t="s">
        <v>32</v>
      </c>
      <c r="E147" t="s">
        <v>191</v>
      </c>
      <c r="F147" t="s">
        <v>140</v>
      </c>
      <c r="G147" t="s">
        <v>1545</v>
      </c>
      <c r="H147" s="15">
        <v>515320</v>
      </c>
      <c r="I147" s="15">
        <v>0</v>
      </c>
      <c r="J147" t="s">
        <v>154</v>
      </c>
      <c r="K147" t="s">
        <v>28</v>
      </c>
      <c r="L147" s="2">
        <v>40269</v>
      </c>
      <c r="M147" t="s">
        <v>1546</v>
      </c>
      <c r="N147">
        <v>0</v>
      </c>
      <c r="O147" t="s">
        <v>4903</v>
      </c>
      <c r="P147">
        <v>0</v>
      </c>
      <c r="Q147" t="s">
        <v>4903</v>
      </c>
      <c r="R147" t="s">
        <v>1157</v>
      </c>
    </row>
    <row r="148" spans="1:18" hidden="1" x14ac:dyDescent="0.25">
      <c r="A148" t="s">
        <v>1712</v>
      </c>
      <c r="B148" t="s">
        <v>14</v>
      </c>
      <c r="C148" t="s">
        <v>15</v>
      </c>
      <c r="D148" t="s">
        <v>32</v>
      </c>
      <c r="E148" t="s">
        <v>191</v>
      </c>
      <c r="F148" t="s">
        <v>34</v>
      </c>
      <c r="G148" t="s">
        <v>1713</v>
      </c>
      <c r="H148" s="15">
        <v>559353</v>
      </c>
      <c r="I148" s="15">
        <v>0</v>
      </c>
      <c r="J148" t="s">
        <v>20</v>
      </c>
      <c r="K148" t="s">
        <v>28</v>
      </c>
      <c r="L148" s="2">
        <v>40269</v>
      </c>
      <c r="M148" t="s">
        <v>1714</v>
      </c>
      <c r="N148">
        <v>1</v>
      </c>
      <c r="O148" t="s">
        <v>4903</v>
      </c>
      <c r="P148">
        <v>0</v>
      </c>
      <c r="Q148" t="s">
        <v>4903</v>
      </c>
      <c r="R148" t="s">
        <v>1712</v>
      </c>
    </row>
    <row r="149" spans="1:18" hidden="1" x14ac:dyDescent="0.25">
      <c r="A149" t="s">
        <v>825</v>
      </c>
      <c r="B149" t="s">
        <v>61</v>
      </c>
      <c r="C149" t="s">
        <v>62</v>
      </c>
      <c r="D149" t="s">
        <v>32</v>
      </c>
      <c r="E149" t="s">
        <v>191</v>
      </c>
      <c r="F149" t="s">
        <v>152</v>
      </c>
      <c r="G149" t="s">
        <v>826</v>
      </c>
      <c r="H149" s="15">
        <v>384114</v>
      </c>
      <c r="I149" s="15">
        <v>0</v>
      </c>
      <c r="J149" t="s">
        <v>89</v>
      </c>
      <c r="K149" t="s">
        <v>28</v>
      </c>
      <c r="L149" s="2">
        <v>40269</v>
      </c>
      <c r="M149" t="s">
        <v>827</v>
      </c>
      <c r="N149">
        <v>0</v>
      </c>
      <c r="O149" t="s">
        <v>4903</v>
      </c>
      <c r="P149">
        <v>0</v>
      </c>
      <c r="Q149" t="s">
        <v>4903</v>
      </c>
      <c r="R149" t="s">
        <v>825</v>
      </c>
    </row>
    <row r="150" spans="1:18" hidden="1" x14ac:dyDescent="0.25">
      <c r="A150" t="s">
        <v>835</v>
      </c>
      <c r="B150" t="s">
        <v>14</v>
      </c>
      <c r="C150" t="s">
        <v>15</v>
      </c>
      <c r="D150" t="s">
        <v>32</v>
      </c>
      <c r="E150" t="s">
        <v>191</v>
      </c>
      <c r="F150" t="s">
        <v>152</v>
      </c>
      <c r="G150" t="s">
        <v>3841</v>
      </c>
      <c r="H150" s="15">
        <v>325560</v>
      </c>
      <c r="I150" s="15">
        <v>0</v>
      </c>
      <c r="J150" t="s">
        <v>89</v>
      </c>
      <c r="K150" t="s">
        <v>28</v>
      </c>
      <c r="L150" s="2">
        <v>40269</v>
      </c>
      <c r="M150" t="s">
        <v>3842</v>
      </c>
      <c r="N150">
        <v>0</v>
      </c>
      <c r="O150" t="s">
        <v>4903</v>
      </c>
      <c r="P150">
        <v>0</v>
      </c>
      <c r="Q150" t="s">
        <v>4903</v>
      </c>
      <c r="R150" t="s">
        <v>835</v>
      </c>
    </row>
    <row r="151" spans="1:18" hidden="1" x14ac:dyDescent="0.25">
      <c r="A151" t="s">
        <v>951</v>
      </c>
      <c r="B151" t="s">
        <v>315</v>
      </c>
      <c r="C151" t="s">
        <v>39</v>
      </c>
      <c r="D151" t="s">
        <v>32</v>
      </c>
      <c r="E151" t="s">
        <v>191</v>
      </c>
      <c r="F151" t="s">
        <v>140</v>
      </c>
      <c r="G151" t="s">
        <v>952</v>
      </c>
      <c r="H151" s="15">
        <v>506268</v>
      </c>
      <c r="I151" s="15">
        <v>0</v>
      </c>
      <c r="J151" t="s">
        <v>154</v>
      </c>
      <c r="K151" t="s">
        <v>65</v>
      </c>
      <c r="L151" s="2">
        <v>40269</v>
      </c>
      <c r="M151" t="s">
        <v>953</v>
      </c>
      <c r="N151">
        <v>0</v>
      </c>
      <c r="O151" t="s">
        <v>4903</v>
      </c>
      <c r="P151">
        <v>0</v>
      </c>
      <c r="Q151" t="s">
        <v>4903</v>
      </c>
      <c r="R151" t="s">
        <v>951</v>
      </c>
    </row>
    <row r="152" spans="1:18" hidden="1" x14ac:dyDescent="0.25">
      <c r="A152" t="s">
        <v>3109</v>
      </c>
      <c r="B152" t="s">
        <v>38</v>
      </c>
      <c r="C152" t="s">
        <v>39</v>
      </c>
      <c r="D152" t="s">
        <v>32</v>
      </c>
      <c r="E152" t="s">
        <v>191</v>
      </c>
      <c r="F152" t="s">
        <v>18</v>
      </c>
      <c r="G152" t="s">
        <v>3110</v>
      </c>
      <c r="H152" s="15">
        <v>241512</v>
      </c>
      <c r="I152" s="15">
        <v>0</v>
      </c>
      <c r="J152" t="s">
        <v>89</v>
      </c>
      <c r="K152" t="s">
        <v>65</v>
      </c>
      <c r="L152" s="2">
        <v>40269</v>
      </c>
      <c r="M152" t="s">
        <v>3111</v>
      </c>
      <c r="N152">
        <v>1</v>
      </c>
      <c r="O152" t="s">
        <v>4903</v>
      </c>
      <c r="P152">
        <v>0</v>
      </c>
      <c r="Q152" t="s">
        <v>4903</v>
      </c>
      <c r="R152" t="s">
        <v>3109</v>
      </c>
    </row>
    <row r="153" spans="1:18" hidden="1" x14ac:dyDescent="0.25">
      <c r="A153" t="s">
        <v>755</v>
      </c>
      <c r="B153" t="s">
        <v>14</v>
      </c>
      <c r="C153" t="s">
        <v>15</v>
      </c>
      <c r="D153" t="s">
        <v>32</v>
      </c>
      <c r="E153" t="s">
        <v>191</v>
      </c>
      <c r="F153" t="s">
        <v>18</v>
      </c>
      <c r="G153" t="s">
        <v>2585</v>
      </c>
      <c r="H153" s="15">
        <v>373708</v>
      </c>
      <c r="I153" s="15">
        <v>0</v>
      </c>
      <c r="J153" t="s">
        <v>154</v>
      </c>
      <c r="K153" t="s">
        <v>28</v>
      </c>
      <c r="L153" s="2">
        <v>40269</v>
      </c>
      <c r="M153" t="s">
        <v>2586</v>
      </c>
      <c r="N153">
        <v>0</v>
      </c>
      <c r="O153" t="s">
        <v>4903</v>
      </c>
      <c r="P153">
        <v>0</v>
      </c>
      <c r="Q153" t="s">
        <v>4903</v>
      </c>
      <c r="R153" t="s">
        <v>755</v>
      </c>
    </row>
    <row r="154" spans="1:18" hidden="1" x14ac:dyDescent="0.25">
      <c r="A154" t="s">
        <v>1550</v>
      </c>
      <c r="B154" t="s">
        <v>14</v>
      </c>
      <c r="C154" t="s">
        <v>15</v>
      </c>
      <c r="D154" t="s">
        <v>32</v>
      </c>
      <c r="E154" t="s">
        <v>191</v>
      </c>
      <c r="F154" t="s">
        <v>152</v>
      </c>
      <c r="G154" t="s">
        <v>3997</v>
      </c>
      <c r="H154" s="15">
        <v>422554</v>
      </c>
      <c r="I154" s="15">
        <v>0</v>
      </c>
      <c r="J154" t="s">
        <v>89</v>
      </c>
      <c r="K154" t="s">
        <v>28</v>
      </c>
      <c r="L154" s="2">
        <v>40269</v>
      </c>
      <c r="M154" t="s">
        <v>3998</v>
      </c>
      <c r="N154">
        <v>3</v>
      </c>
      <c r="O154" t="s">
        <v>4903</v>
      </c>
      <c r="P154">
        <v>0</v>
      </c>
      <c r="Q154" t="s">
        <v>4903</v>
      </c>
      <c r="R154" t="s">
        <v>1550</v>
      </c>
    </row>
    <row r="155" spans="1:18" hidden="1" x14ac:dyDescent="0.25">
      <c r="A155" t="s">
        <v>1464</v>
      </c>
      <c r="B155" t="s">
        <v>113</v>
      </c>
      <c r="C155" t="s">
        <v>15</v>
      </c>
      <c r="D155" t="s">
        <v>32</v>
      </c>
      <c r="E155" t="s">
        <v>191</v>
      </c>
      <c r="F155" t="s">
        <v>34</v>
      </c>
      <c r="G155" t="s">
        <v>2950</v>
      </c>
      <c r="H155" s="15">
        <v>662867</v>
      </c>
      <c r="I155" s="15">
        <v>0</v>
      </c>
      <c r="J155" t="s">
        <v>20</v>
      </c>
      <c r="K155" t="s">
        <v>28</v>
      </c>
      <c r="L155" s="2">
        <v>40269</v>
      </c>
      <c r="M155" t="s">
        <v>2951</v>
      </c>
      <c r="N155">
        <v>3</v>
      </c>
      <c r="O155" t="s">
        <v>4903</v>
      </c>
      <c r="P155">
        <v>0</v>
      </c>
      <c r="Q155" t="s">
        <v>4903</v>
      </c>
      <c r="R155" t="s">
        <v>1464</v>
      </c>
    </row>
    <row r="156" spans="1:18" hidden="1" x14ac:dyDescent="0.25">
      <c r="A156" t="s">
        <v>1958</v>
      </c>
      <c r="B156" t="s">
        <v>126</v>
      </c>
      <c r="C156" t="s">
        <v>39</v>
      </c>
      <c r="D156" t="s">
        <v>32</v>
      </c>
      <c r="E156" t="s">
        <v>191</v>
      </c>
      <c r="F156" t="s">
        <v>152</v>
      </c>
      <c r="G156" t="s">
        <v>2970</v>
      </c>
      <c r="H156" s="15">
        <v>821551</v>
      </c>
      <c r="I156" s="15">
        <v>0</v>
      </c>
      <c r="J156" t="s">
        <v>20</v>
      </c>
      <c r="K156" t="s">
        <v>57</v>
      </c>
      <c r="L156" s="2">
        <v>40269</v>
      </c>
      <c r="M156" t="s">
        <v>2971</v>
      </c>
      <c r="N156">
        <v>0</v>
      </c>
      <c r="O156" t="s">
        <v>4903</v>
      </c>
      <c r="P156">
        <v>0</v>
      </c>
      <c r="Q156" t="s">
        <v>4903</v>
      </c>
      <c r="R156" t="s">
        <v>1958</v>
      </c>
    </row>
    <row r="157" spans="1:18" hidden="1" x14ac:dyDescent="0.25">
      <c r="A157" t="s">
        <v>1016</v>
      </c>
      <c r="B157" t="s">
        <v>47</v>
      </c>
      <c r="C157" t="s">
        <v>48</v>
      </c>
      <c r="D157" t="s">
        <v>32</v>
      </c>
      <c r="E157" t="s">
        <v>191</v>
      </c>
      <c r="F157" t="s">
        <v>140</v>
      </c>
      <c r="G157" t="s">
        <v>1017</v>
      </c>
      <c r="H157" s="15">
        <v>693965</v>
      </c>
      <c r="I157" s="15">
        <v>0</v>
      </c>
      <c r="J157" t="s">
        <v>20</v>
      </c>
      <c r="K157" t="s">
        <v>28</v>
      </c>
      <c r="L157" s="2">
        <v>40269</v>
      </c>
      <c r="M157" t="s">
        <v>1018</v>
      </c>
      <c r="N157">
        <v>0</v>
      </c>
      <c r="O157" t="s">
        <v>4903</v>
      </c>
      <c r="P157">
        <v>0</v>
      </c>
      <c r="Q157" t="s">
        <v>4903</v>
      </c>
      <c r="R157" t="s">
        <v>1016</v>
      </c>
    </row>
    <row r="158" spans="1:18" hidden="1" x14ac:dyDescent="0.25">
      <c r="A158" t="s">
        <v>1950</v>
      </c>
      <c r="B158" t="s">
        <v>315</v>
      </c>
      <c r="C158" t="s">
        <v>39</v>
      </c>
      <c r="D158" t="s">
        <v>32</v>
      </c>
      <c r="E158" t="s">
        <v>191</v>
      </c>
      <c r="F158" t="s">
        <v>34</v>
      </c>
      <c r="G158" t="s">
        <v>3644</v>
      </c>
      <c r="H158" s="15">
        <v>805242</v>
      </c>
      <c r="I158" s="15">
        <v>0</v>
      </c>
      <c r="J158" t="s">
        <v>20</v>
      </c>
      <c r="K158" t="s">
        <v>116</v>
      </c>
      <c r="L158" s="2">
        <v>40269</v>
      </c>
      <c r="M158" t="s">
        <v>3645</v>
      </c>
      <c r="N158">
        <v>0</v>
      </c>
      <c r="O158" t="s">
        <v>4903</v>
      </c>
      <c r="P158">
        <v>0</v>
      </c>
      <c r="Q158" t="s">
        <v>4903</v>
      </c>
      <c r="R158" t="s">
        <v>1950</v>
      </c>
    </row>
    <row r="159" spans="1:18" hidden="1" x14ac:dyDescent="0.25">
      <c r="A159" t="s">
        <v>954</v>
      </c>
      <c r="B159" t="s">
        <v>119</v>
      </c>
      <c r="C159" t="s">
        <v>39</v>
      </c>
      <c r="D159" t="s">
        <v>32</v>
      </c>
      <c r="E159" t="s">
        <v>191</v>
      </c>
      <c r="F159" t="s">
        <v>140</v>
      </c>
      <c r="G159" t="s">
        <v>4505</v>
      </c>
      <c r="H159" s="15">
        <v>744120</v>
      </c>
      <c r="I159" s="15">
        <v>0</v>
      </c>
      <c r="J159" t="s">
        <v>20</v>
      </c>
      <c r="K159" t="s">
        <v>28</v>
      </c>
      <c r="L159" s="2">
        <v>40269</v>
      </c>
      <c r="M159" t="s">
        <v>4506</v>
      </c>
      <c r="N159">
        <v>0</v>
      </c>
      <c r="O159" t="s">
        <v>4903</v>
      </c>
      <c r="P159">
        <v>0</v>
      </c>
      <c r="Q159" t="s">
        <v>4903</v>
      </c>
      <c r="R159" t="s">
        <v>954</v>
      </c>
    </row>
    <row r="160" spans="1:18" hidden="1" x14ac:dyDescent="0.25">
      <c r="A160" t="s">
        <v>2176</v>
      </c>
      <c r="B160" t="s">
        <v>14</v>
      </c>
      <c r="C160" t="s">
        <v>15</v>
      </c>
      <c r="D160" t="s">
        <v>32</v>
      </c>
      <c r="E160" t="s">
        <v>191</v>
      </c>
      <c r="F160" t="s">
        <v>152</v>
      </c>
      <c r="G160" t="s">
        <v>2177</v>
      </c>
      <c r="H160" s="15">
        <v>346950</v>
      </c>
      <c r="I160" s="15">
        <v>0</v>
      </c>
      <c r="J160" t="s">
        <v>89</v>
      </c>
      <c r="K160" t="s">
        <v>28</v>
      </c>
      <c r="L160" s="2">
        <v>40269</v>
      </c>
      <c r="M160" t="s">
        <v>2178</v>
      </c>
      <c r="N160">
        <v>0</v>
      </c>
      <c r="O160" t="s">
        <v>4903</v>
      </c>
      <c r="P160">
        <v>0</v>
      </c>
      <c r="Q160" t="s">
        <v>4903</v>
      </c>
      <c r="R160" t="s">
        <v>2176</v>
      </c>
    </row>
    <row r="161" spans="1:18" hidden="1" x14ac:dyDescent="0.25">
      <c r="A161" t="s">
        <v>1769</v>
      </c>
      <c r="B161" t="s">
        <v>77</v>
      </c>
      <c r="C161" t="s">
        <v>15</v>
      </c>
      <c r="D161" t="s">
        <v>32</v>
      </c>
      <c r="E161" t="s">
        <v>191</v>
      </c>
      <c r="F161" t="s">
        <v>152</v>
      </c>
      <c r="G161" t="s">
        <v>2948</v>
      </c>
      <c r="H161" s="15">
        <v>797005</v>
      </c>
      <c r="I161" s="15">
        <v>0</v>
      </c>
      <c r="J161" t="s">
        <v>20</v>
      </c>
      <c r="K161" t="s">
        <v>28</v>
      </c>
      <c r="L161" s="2">
        <v>40269</v>
      </c>
      <c r="M161" t="s">
        <v>2949</v>
      </c>
      <c r="N161">
        <v>0</v>
      </c>
      <c r="O161" t="s">
        <v>4903</v>
      </c>
      <c r="P161">
        <v>0</v>
      </c>
      <c r="Q161" t="s">
        <v>4903</v>
      </c>
      <c r="R161" t="s">
        <v>1769</v>
      </c>
    </row>
    <row r="162" spans="1:18" hidden="1" x14ac:dyDescent="0.25">
      <c r="A162" t="s">
        <v>805</v>
      </c>
      <c r="B162" t="s">
        <v>31</v>
      </c>
      <c r="C162" t="s">
        <v>15</v>
      </c>
      <c r="D162" t="s">
        <v>108</v>
      </c>
      <c r="E162" t="s">
        <v>1033</v>
      </c>
      <c r="F162" t="s">
        <v>152</v>
      </c>
      <c r="G162" t="s">
        <v>2746</v>
      </c>
      <c r="H162" s="15">
        <v>100000</v>
      </c>
      <c r="I162" s="15">
        <v>0</v>
      </c>
      <c r="J162" t="s">
        <v>44</v>
      </c>
      <c r="K162" t="s">
        <v>28</v>
      </c>
      <c r="L162" s="2">
        <v>40269</v>
      </c>
      <c r="M162" t="s">
        <v>2747</v>
      </c>
      <c r="N162">
        <v>0</v>
      </c>
      <c r="O162" t="s">
        <v>4903</v>
      </c>
      <c r="P162">
        <v>0</v>
      </c>
      <c r="Q162" t="s">
        <v>4903</v>
      </c>
      <c r="R162" t="s">
        <v>805</v>
      </c>
    </row>
    <row r="163" spans="1:18" hidden="1" x14ac:dyDescent="0.25">
      <c r="A163" t="s">
        <v>2956</v>
      </c>
      <c r="B163" t="s">
        <v>119</v>
      </c>
      <c r="C163" t="s">
        <v>39</v>
      </c>
      <c r="D163" t="s">
        <v>32</v>
      </c>
      <c r="E163" t="s">
        <v>191</v>
      </c>
      <c r="F163" t="s">
        <v>34</v>
      </c>
      <c r="G163" t="s">
        <v>2957</v>
      </c>
      <c r="H163" s="15">
        <v>300000</v>
      </c>
      <c r="I163" s="15">
        <v>0</v>
      </c>
      <c r="J163" t="s">
        <v>20</v>
      </c>
      <c r="K163" t="s">
        <v>28</v>
      </c>
      <c r="L163" s="2">
        <v>40269</v>
      </c>
      <c r="M163" t="s">
        <v>2958</v>
      </c>
      <c r="N163">
        <v>2</v>
      </c>
      <c r="O163" t="s">
        <v>4903</v>
      </c>
      <c r="P163">
        <v>0</v>
      </c>
      <c r="Q163" t="s">
        <v>4903</v>
      </c>
      <c r="R163" t="s">
        <v>2956</v>
      </c>
    </row>
    <row r="164" spans="1:18" hidden="1" x14ac:dyDescent="0.25">
      <c r="A164" t="s">
        <v>2872</v>
      </c>
      <c r="B164" t="s">
        <v>350</v>
      </c>
      <c r="C164" t="s">
        <v>39</v>
      </c>
      <c r="D164" t="s">
        <v>581</v>
      </c>
      <c r="E164" t="s">
        <v>2873</v>
      </c>
      <c r="F164" t="s">
        <v>98</v>
      </c>
      <c r="G164" t="s">
        <v>2874</v>
      </c>
      <c r="H164" s="15">
        <v>42500</v>
      </c>
      <c r="I164" s="15">
        <v>0</v>
      </c>
      <c r="J164" t="s">
        <v>455</v>
      </c>
      <c r="K164" t="s">
        <v>21</v>
      </c>
      <c r="L164" s="2">
        <v>40269</v>
      </c>
      <c r="M164" t="s">
        <v>2875</v>
      </c>
      <c r="N164">
        <v>0</v>
      </c>
      <c r="O164" t="s">
        <v>4903</v>
      </c>
      <c r="P164">
        <v>0</v>
      </c>
      <c r="Q164" t="s">
        <v>4903</v>
      </c>
      <c r="R164" t="s">
        <v>2872</v>
      </c>
    </row>
    <row r="165" spans="1:18" hidden="1" x14ac:dyDescent="0.25">
      <c r="A165" t="s">
        <v>4437</v>
      </c>
      <c r="B165" t="s">
        <v>315</v>
      </c>
      <c r="C165" t="s">
        <v>39</v>
      </c>
      <c r="D165" t="s">
        <v>108</v>
      </c>
      <c r="E165" t="s">
        <v>1033</v>
      </c>
      <c r="F165" t="s">
        <v>152</v>
      </c>
      <c r="G165" t="s">
        <v>4438</v>
      </c>
      <c r="H165" s="15">
        <v>100000</v>
      </c>
      <c r="I165" s="15">
        <v>0</v>
      </c>
      <c r="J165" t="s">
        <v>44</v>
      </c>
      <c r="K165" t="s">
        <v>28</v>
      </c>
      <c r="L165" s="2">
        <v>40269</v>
      </c>
      <c r="M165" t="s">
        <v>4439</v>
      </c>
      <c r="N165">
        <v>0</v>
      </c>
      <c r="O165" t="s">
        <v>4903</v>
      </c>
      <c r="P165">
        <v>0</v>
      </c>
      <c r="Q165" t="s">
        <v>4903</v>
      </c>
      <c r="R165" t="s">
        <v>4437</v>
      </c>
    </row>
    <row r="166" spans="1:18" hidden="1" x14ac:dyDescent="0.25">
      <c r="A166" t="s">
        <v>4430</v>
      </c>
      <c r="B166" t="s">
        <v>47</v>
      </c>
      <c r="C166" t="s">
        <v>48</v>
      </c>
      <c r="D166" t="s">
        <v>32</v>
      </c>
      <c r="E166" t="s">
        <v>191</v>
      </c>
      <c r="F166" t="s">
        <v>140</v>
      </c>
      <c r="G166" t="s">
        <v>4431</v>
      </c>
      <c r="H166" s="15">
        <v>1030027</v>
      </c>
      <c r="I166" s="15">
        <v>0</v>
      </c>
      <c r="J166" t="s">
        <v>20</v>
      </c>
      <c r="K166" t="s">
        <v>28</v>
      </c>
      <c r="L166" s="2">
        <v>40269</v>
      </c>
      <c r="M166" t="s">
        <v>4432</v>
      </c>
      <c r="N166">
        <v>4</v>
      </c>
      <c r="O166" t="s">
        <v>4903</v>
      </c>
      <c r="P166">
        <v>0</v>
      </c>
      <c r="Q166" t="s">
        <v>4903</v>
      </c>
      <c r="R166" t="s">
        <v>4430</v>
      </c>
    </row>
    <row r="167" spans="1:18" hidden="1" x14ac:dyDescent="0.25">
      <c r="A167" t="s">
        <v>1588</v>
      </c>
      <c r="B167" t="s">
        <v>14</v>
      </c>
      <c r="C167" t="s">
        <v>15</v>
      </c>
      <c r="D167" t="s">
        <v>32</v>
      </c>
      <c r="E167" t="s">
        <v>191</v>
      </c>
      <c r="F167" t="s">
        <v>140</v>
      </c>
      <c r="G167" t="s">
        <v>1589</v>
      </c>
      <c r="H167" s="15">
        <v>379994</v>
      </c>
      <c r="I167" s="15">
        <v>0</v>
      </c>
      <c r="J167" t="s">
        <v>89</v>
      </c>
      <c r="K167" t="s">
        <v>28</v>
      </c>
      <c r="L167" s="2">
        <v>40269</v>
      </c>
      <c r="M167" t="s">
        <v>1590</v>
      </c>
      <c r="N167">
        <v>0</v>
      </c>
      <c r="O167" t="s">
        <v>4903</v>
      </c>
      <c r="P167">
        <v>0</v>
      </c>
      <c r="Q167" t="s">
        <v>4903</v>
      </c>
      <c r="R167" t="s">
        <v>1588</v>
      </c>
    </row>
    <row r="168" spans="1:18" hidden="1" x14ac:dyDescent="0.25">
      <c r="A168" t="s">
        <v>3866</v>
      </c>
      <c r="B168" t="s">
        <v>77</v>
      </c>
      <c r="C168" t="s">
        <v>15</v>
      </c>
      <c r="D168" t="s">
        <v>32</v>
      </c>
      <c r="E168" t="s">
        <v>191</v>
      </c>
      <c r="F168" t="s">
        <v>140</v>
      </c>
      <c r="G168" t="s">
        <v>3867</v>
      </c>
      <c r="H168" s="15">
        <v>540219</v>
      </c>
      <c r="I168" s="15">
        <v>0</v>
      </c>
      <c r="J168" t="s">
        <v>89</v>
      </c>
      <c r="K168" t="s">
        <v>28</v>
      </c>
      <c r="L168" s="2">
        <v>40269</v>
      </c>
      <c r="M168" t="s">
        <v>3868</v>
      </c>
      <c r="N168">
        <v>0</v>
      </c>
      <c r="O168" t="s">
        <v>4903</v>
      </c>
      <c r="P168">
        <v>0</v>
      </c>
      <c r="Q168" t="s">
        <v>4903</v>
      </c>
      <c r="R168" t="s">
        <v>3866</v>
      </c>
    </row>
    <row r="169" spans="1:18" hidden="1" x14ac:dyDescent="0.25">
      <c r="A169" t="s">
        <v>460</v>
      </c>
      <c r="B169" t="s">
        <v>119</v>
      </c>
      <c r="C169" t="s">
        <v>39</v>
      </c>
      <c r="D169" t="s">
        <v>32</v>
      </c>
      <c r="E169" t="s">
        <v>191</v>
      </c>
      <c r="F169" t="s">
        <v>140</v>
      </c>
      <c r="G169" t="s">
        <v>1662</v>
      </c>
      <c r="H169" s="15">
        <v>404578</v>
      </c>
      <c r="I169" s="15">
        <v>0</v>
      </c>
      <c r="J169" t="s">
        <v>89</v>
      </c>
      <c r="K169" t="s">
        <v>28</v>
      </c>
      <c r="L169" s="2">
        <v>40269</v>
      </c>
      <c r="M169" t="s">
        <v>1663</v>
      </c>
      <c r="N169">
        <v>0</v>
      </c>
      <c r="O169" t="s">
        <v>4903</v>
      </c>
      <c r="P169">
        <v>0</v>
      </c>
      <c r="Q169" t="s">
        <v>4903</v>
      </c>
      <c r="R169" t="s">
        <v>460</v>
      </c>
    </row>
    <row r="170" spans="1:18" hidden="1" x14ac:dyDescent="0.25">
      <c r="A170" t="s">
        <v>137</v>
      </c>
      <c r="B170" t="s">
        <v>47</v>
      </c>
      <c r="C170" t="s">
        <v>48</v>
      </c>
      <c r="D170" t="s">
        <v>32</v>
      </c>
      <c r="E170" t="s">
        <v>191</v>
      </c>
      <c r="F170" t="s">
        <v>140</v>
      </c>
      <c r="G170" t="s">
        <v>3602</v>
      </c>
      <c r="H170" s="15">
        <v>363690</v>
      </c>
      <c r="I170" s="15">
        <v>0</v>
      </c>
      <c r="J170" t="s">
        <v>89</v>
      </c>
      <c r="K170" t="s">
        <v>28</v>
      </c>
      <c r="L170" s="2">
        <v>40269</v>
      </c>
      <c r="M170" t="s">
        <v>3603</v>
      </c>
      <c r="N170">
        <v>0</v>
      </c>
      <c r="O170" t="s">
        <v>4903</v>
      </c>
      <c r="P170">
        <v>0</v>
      </c>
      <c r="Q170" t="s">
        <v>4903</v>
      </c>
      <c r="R170" t="s">
        <v>137</v>
      </c>
    </row>
    <row r="171" spans="1:18" hidden="1" x14ac:dyDescent="0.25">
      <c r="A171" t="s">
        <v>3811</v>
      </c>
      <c r="B171" t="s">
        <v>119</v>
      </c>
      <c r="C171" t="s">
        <v>39</v>
      </c>
      <c r="D171" t="s">
        <v>274</v>
      </c>
      <c r="E171" t="s">
        <v>2558</v>
      </c>
      <c r="F171" t="s">
        <v>98</v>
      </c>
      <c r="G171" t="s">
        <v>4357</v>
      </c>
      <c r="H171" s="15">
        <v>300000</v>
      </c>
      <c r="I171" s="15">
        <v>0</v>
      </c>
      <c r="J171" t="s">
        <v>455</v>
      </c>
      <c r="K171" t="s">
        <v>134</v>
      </c>
      <c r="L171" s="2">
        <v>40269</v>
      </c>
      <c r="M171" t="s">
        <v>4358</v>
      </c>
      <c r="N171">
        <v>0</v>
      </c>
      <c r="O171" t="s">
        <v>4903</v>
      </c>
      <c r="P171">
        <v>0</v>
      </c>
      <c r="Q171" t="s">
        <v>4903</v>
      </c>
      <c r="R171" t="s">
        <v>3811</v>
      </c>
    </row>
    <row r="172" spans="1:18" hidden="1" x14ac:dyDescent="0.25">
      <c r="A172" t="s">
        <v>3455</v>
      </c>
      <c r="B172" t="s">
        <v>406</v>
      </c>
      <c r="C172" t="s">
        <v>62</v>
      </c>
      <c r="D172" t="s">
        <v>32</v>
      </c>
      <c r="E172" t="s">
        <v>191</v>
      </c>
      <c r="F172" t="s">
        <v>152</v>
      </c>
      <c r="G172" t="s">
        <v>3456</v>
      </c>
      <c r="H172" s="15">
        <v>531872</v>
      </c>
      <c r="I172" s="15">
        <v>0</v>
      </c>
      <c r="J172" t="s">
        <v>154</v>
      </c>
      <c r="K172" t="s">
        <v>28</v>
      </c>
      <c r="L172" s="2">
        <v>40269</v>
      </c>
      <c r="M172" t="s">
        <v>3457</v>
      </c>
      <c r="N172">
        <v>0</v>
      </c>
      <c r="O172" t="s">
        <v>4903</v>
      </c>
      <c r="P172">
        <v>0</v>
      </c>
      <c r="Q172" t="s">
        <v>4903</v>
      </c>
      <c r="R172" t="s">
        <v>3455</v>
      </c>
    </row>
    <row r="173" spans="1:18" hidden="1" x14ac:dyDescent="0.25">
      <c r="A173" t="s">
        <v>2262</v>
      </c>
      <c r="B173" t="s">
        <v>406</v>
      </c>
      <c r="C173" t="s">
        <v>62</v>
      </c>
      <c r="D173" t="s">
        <v>32</v>
      </c>
      <c r="E173" t="s">
        <v>191</v>
      </c>
      <c r="F173" t="s">
        <v>34</v>
      </c>
      <c r="G173" t="s">
        <v>3650</v>
      </c>
      <c r="H173" s="15">
        <v>664475</v>
      </c>
      <c r="I173" s="15">
        <v>0</v>
      </c>
      <c r="J173" t="s">
        <v>20</v>
      </c>
      <c r="K173" t="s">
        <v>116</v>
      </c>
      <c r="L173" s="2">
        <v>40269</v>
      </c>
      <c r="M173" t="s">
        <v>3651</v>
      </c>
      <c r="N173">
        <v>0</v>
      </c>
      <c r="O173" t="s">
        <v>4903</v>
      </c>
      <c r="P173">
        <v>0</v>
      </c>
      <c r="Q173" t="s">
        <v>4903</v>
      </c>
      <c r="R173" t="s">
        <v>2262</v>
      </c>
    </row>
    <row r="174" spans="1:18" hidden="1" x14ac:dyDescent="0.25">
      <c r="A174" t="s">
        <v>393</v>
      </c>
      <c r="B174" t="s">
        <v>47</v>
      </c>
      <c r="C174" t="s">
        <v>48</v>
      </c>
      <c r="D174" t="s">
        <v>32</v>
      </c>
      <c r="E174" t="s">
        <v>191</v>
      </c>
      <c r="F174" t="s">
        <v>34</v>
      </c>
      <c r="G174" t="s">
        <v>2786</v>
      </c>
      <c r="H174" s="15">
        <v>293915</v>
      </c>
      <c r="I174" s="15">
        <v>0</v>
      </c>
      <c r="J174" t="s">
        <v>89</v>
      </c>
      <c r="K174" t="s">
        <v>28</v>
      </c>
      <c r="L174" s="2">
        <v>40269</v>
      </c>
      <c r="M174" t="s">
        <v>2787</v>
      </c>
      <c r="N174">
        <v>2</v>
      </c>
      <c r="O174" t="s">
        <v>4903</v>
      </c>
      <c r="P174">
        <v>0</v>
      </c>
      <c r="Q174" t="s">
        <v>4903</v>
      </c>
      <c r="R174" t="s">
        <v>393</v>
      </c>
    </row>
    <row r="175" spans="1:18" hidden="1" x14ac:dyDescent="0.25">
      <c r="A175" t="s">
        <v>4442</v>
      </c>
      <c r="B175" t="s">
        <v>47</v>
      </c>
      <c r="C175" t="s">
        <v>48</v>
      </c>
      <c r="D175" t="s">
        <v>108</v>
      </c>
      <c r="E175" t="s">
        <v>529</v>
      </c>
      <c r="F175" t="s">
        <v>152</v>
      </c>
      <c r="G175" t="s">
        <v>4443</v>
      </c>
      <c r="H175" s="15">
        <v>100000</v>
      </c>
      <c r="I175" s="15">
        <v>0</v>
      </c>
      <c r="J175" t="s">
        <v>44</v>
      </c>
      <c r="K175" t="s">
        <v>28</v>
      </c>
      <c r="L175" s="2">
        <v>40422</v>
      </c>
      <c r="M175" t="s">
        <v>4444</v>
      </c>
      <c r="N175">
        <v>0</v>
      </c>
      <c r="O175" t="s">
        <v>4903</v>
      </c>
      <c r="P175">
        <v>0</v>
      </c>
      <c r="Q175" t="s">
        <v>4903</v>
      </c>
      <c r="R175" t="s">
        <v>4442</v>
      </c>
    </row>
    <row r="176" spans="1:18" hidden="1" x14ac:dyDescent="0.25">
      <c r="A176" t="s">
        <v>528</v>
      </c>
      <c r="B176" t="s">
        <v>47</v>
      </c>
      <c r="C176" t="s">
        <v>48</v>
      </c>
      <c r="D176" t="s">
        <v>108</v>
      </c>
      <c r="E176" t="s">
        <v>529</v>
      </c>
      <c r="F176" t="s">
        <v>140</v>
      </c>
      <c r="G176" t="s">
        <v>530</v>
      </c>
      <c r="H176" s="15">
        <v>100000</v>
      </c>
      <c r="I176" s="15">
        <v>0</v>
      </c>
      <c r="J176" t="s">
        <v>44</v>
      </c>
      <c r="K176" t="s">
        <v>28</v>
      </c>
      <c r="L176" s="2">
        <v>40422</v>
      </c>
      <c r="M176" t="s">
        <v>531</v>
      </c>
      <c r="N176">
        <v>0</v>
      </c>
      <c r="O176" t="s">
        <v>4903</v>
      </c>
      <c r="P176">
        <v>0</v>
      </c>
      <c r="Q176" t="s">
        <v>4903</v>
      </c>
      <c r="R176" t="s">
        <v>528</v>
      </c>
    </row>
    <row r="177" spans="1:18" hidden="1" x14ac:dyDescent="0.25">
      <c r="A177" t="s">
        <v>758</v>
      </c>
      <c r="B177" t="s">
        <v>77</v>
      </c>
      <c r="C177" t="s">
        <v>15</v>
      </c>
      <c r="D177" t="s">
        <v>581</v>
      </c>
      <c r="E177" t="s">
        <v>1813</v>
      </c>
      <c r="F177" t="s">
        <v>98</v>
      </c>
      <c r="G177" t="s">
        <v>1814</v>
      </c>
      <c r="H177" s="15">
        <v>66196</v>
      </c>
      <c r="I177" s="15">
        <v>0</v>
      </c>
      <c r="J177" t="s">
        <v>44</v>
      </c>
      <c r="K177" t="s">
        <v>74</v>
      </c>
      <c r="L177" s="2">
        <v>40452</v>
      </c>
      <c r="M177" t="s">
        <v>1815</v>
      </c>
      <c r="N177">
        <v>0</v>
      </c>
      <c r="O177" t="s">
        <v>4903</v>
      </c>
      <c r="P177">
        <v>0</v>
      </c>
      <c r="Q177" t="s">
        <v>4903</v>
      </c>
      <c r="R177" t="s">
        <v>758</v>
      </c>
    </row>
    <row r="178" spans="1:18" hidden="1" x14ac:dyDescent="0.25">
      <c r="A178" t="s">
        <v>2536</v>
      </c>
      <c r="B178" t="s">
        <v>244</v>
      </c>
      <c r="C178" t="s">
        <v>39</v>
      </c>
      <c r="D178" t="s">
        <v>689</v>
      </c>
      <c r="E178" t="s">
        <v>1936</v>
      </c>
      <c r="F178" t="s">
        <v>26</v>
      </c>
      <c r="G178" t="s">
        <v>2537</v>
      </c>
      <c r="H178" s="15">
        <v>740235</v>
      </c>
      <c r="I178" s="15">
        <v>0</v>
      </c>
      <c r="J178" t="s">
        <v>20</v>
      </c>
      <c r="K178" t="s">
        <v>28</v>
      </c>
      <c r="L178" s="2">
        <v>40452</v>
      </c>
      <c r="M178" t="s">
        <v>2538</v>
      </c>
      <c r="N178">
        <v>0</v>
      </c>
      <c r="O178" t="s">
        <v>4903</v>
      </c>
      <c r="P178">
        <v>0</v>
      </c>
      <c r="Q178" t="s">
        <v>4903</v>
      </c>
      <c r="R178" t="s">
        <v>2536</v>
      </c>
    </row>
    <row r="179" spans="1:18" hidden="1" x14ac:dyDescent="0.25">
      <c r="A179" t="s">
        <v>3467</v>
      </c>
      <c r="B179" t="s">
        <v>61</v>
      </c>
      <c r="C179" t="s">
        <v>62</v>
      </c>
      <c r="D179" t="s">
        <v>274</v>
      </c>
      <c r="E179" t="s">
        <v>3468</v>
      </c>
      <c r="F179" t="s">
        <v>98</v>
      </c>
      <c r="G179" t="s">
        <v>3469</v>
      </c>
      <c r="H179" s="15">
        <v>162672</v>
      </c>
      <c r="I179" s="15">
        <v>0</v>
      </c>
      <c r="J179" t="s">
        <v>89</v>
      </c>
      <c r="K179" t="s">
        <v>134</v>
      </c>
      <c r="L179" s="2">
        <v>40452</v>
      </c>
      <c r="M179" t="s">
        <v>3470</v>
      </c>
      <c r="N179">
        <v>0</v>
      </c>
      <c r="O179" t="s">
        <v>4903</v>
      </c>
      <c r="P179">
        <v>0</v>
      </c>
      <c r="Q179" t="s">
        <v>4903</v>
      </c>
      <c r="R179" t="s">
        <v>3467</v>
      </c>
    </row>
    <row r="180" spans="1:18" hidden="1" x14ac:dyDescent="0.25">
      <c r="A180" t="s">
        <v>2213</v>
      </c>
      <c r="B180" t="s">
        <v>47</v>
      </c>
      <c r="C180" t="s">
        <v>48</v>
      </c>
      <c r="D180" t="s">
        <v>32</v>
      </c>
      <c r="E180" t="s">
        <v>63</v>
      </c>
      <c r="F180" t="s">
        <v>26</v>
      </c>
      <c r="G180" t="s">
        <v>2214</v>
      </c>
      <c r="H180" s="15">
        <v>774156</v>
      </c>
      <c r="I180" s="15">
        <v>0</v>
      </c>
      <c r="J180" t="s">
        <v>20</v>
      </c>
      <c r="K180" t="s">
        <v>28</v>
      </c>
      <c r="L180" s="2">
        <v>40452</v>
      </c>
      <c r="M180" t="s">
        <v>2215</v>
      </c>
      <c r="N180">
        <v>0</v>
      </c>
      <c r="O180" t="s">
        <v>4903</v>
      </c>
      <c r="P180">
        <v>0</v>
      </c>
      <c r="Q180" t="s">
        <v>4903</v>
      </c>
      <c r="R180" t="s">
        <v>2213</v>
      </c>
    </row>
    <row r="181" spans="1:18" hidden="1" x14ac:dyDescent="0.25">
      <c r="A181" t="s">
        <v>2664</v>
      </c>
      <c r="B181" t="s">
        <v>31</v>
      </c>
      <c r="C181" t="s">
        <v>15</v>
      </c>
      <c r="D181" t="s">
        <v>32</v>
      </c>
      <c r="E181" t="s">
        <v>2665</v>
      </c>
      <c r="F181" t="s">
        <v>34</v>
      </c>
      <c r="G181" t="s">
        <v>2666</v>
      </c>
      <c r="H181" s="15">
        <v>96414</v>
      </c>
      <c r="I181" s="15">
        <v>0</v>
      </c>
      <c r="J181" t="s">
        <v>44</v>
      </c>
      <c r="K181" t="s">
        <v>100</v>
      </c>
      <c r="L181" s="2">
        <v>40452</v>
      </c>
      <c r="M181" t="s">
        <v>2667</v>
      </c>
      <c r="N181">
        <v>0</v>
      </c>
      <c r="O181" t="s">
        <v>4903</v>
      </c>
      <c r="P181">
        <v>0</v>
      </c>
      <c r="Q181" t="s">
        <v>4903</v>
      </c>
      <c r="R181" t="s">
        <v>2664</v>
      </c>
    </row>
    <row r="182" spans="1:18" hidden="1" x14ac:dyDescent="0.25">
      <c r="A182" t="s">
        <v>2664</v>
      </c>
      <c r="B182" t="s">
        <v>31</v>
      </c>
      <c r="C182" t="s">
        <v>15</v>
      </c>
      <c r="D182" t="s">
        <v>32</v>
      </c>
      <c r="E182" t="s">
        <v>63</v>
      </c>
      <c r="F182" t="s">
        <v>34</v>
      </c>
      <c r="G182" t="s">
        <v>2666</v>
      </c>
      <c r="H182" s="15">
        <v>449243</v>
      </c>
      <c r="I182" s="15">
        <v>0</v>
      </c>
      <c r="J182" t="s">
        <v>154</v>
      </c>
      <c r="K182" t="s">
        <v>100</v>
      </c>
      <c r="L182" s="2">
        <v>40452</v>
      </c>
      <c r="M182" t="s">
        <v>2667</v>
      </c>
      <c r="N182">
        <v>0</v>
      </c>
      <c r="O182" t="s">
        <v>4903</v>
      </c>
      <c r="P182">
        <v>0</v>
      </c>
      <c r="Q182" t="s">
        <v>4903</v>
      </c>
      <c r="R182" t="s">
        <v>2664</v>
      </c>
    </row>
    <row r="183" spans="1:18" hidden="1" x14ac:dyDescent="0.25">
      <c r="A183" t="s">
        <v>464</v>
      </c>
      <c r="B183" t="s">
        <v>126</v>
      </c>
      <c r="C183" t="s">
        <v>39</v>
      </c>
      <c r="D183" t="s">
        <v>32</v>
      </c>
      <c r="E183" t="s">
        <v>63</v>
      </c>
      <c r="F183" t="s">
        <v>34</v>
      </c>
      <c r="G183" t="s">
        <v>465</v>
      </c>
      <c r="H183" s="15">
        <v>275233</v>
      </c>
      <c r="I183" s="15">
        <v>0</v>
      </c>
      <c r="J183" t="s">
        <v>89</v>
      </c>
      <c r="K183" t="s">
        <v>28</v>
      </c>
      <c r="L183" s="2">
        <v>40452</v>
      </c>
      <c r="M183" t="s">
        <v>466</v>
      </c>
      <c r="N183">
        <v>0</v>
      </c>
      <c r="O183" t="s">
        <v>4903</v>
      </c>
      <c r="P183">
        <v>0</v>
      </c>
      <c r="Q183" t="s">
        <v>4903</v>
      </c>
      <c r="R183" t="s">
        <v>464</v>
      </c>
    </row>
    <row r="184" spans="1:18" hidden="1" x14ac:dyDescent="0.25">
      <c r="A184" t="s">
        <v>2654</v>
      </c>
      <c r="B184" t="s">
        <v>315</v>
      </c>
      <c r="C184" t="s">
        <v>39</v>
      </c>
      <c r="D184" t="s">
        <v>32</v>
      </c>
      <c r="E184" t="s">
        <v>63</v>
      </c>
      <c r="F184" t="s">
        <v>34</v>
      </c>
      <c r="G184" t="s">
        <v>2655</v>
      </c>
      <c r="H184" s="15">
        <v>704014</v>
      </c>
      <c r="I184" s="15">
        <v>0</v>
      </c>
      <c r="J184" t="s">
        <v>20</v>
      </c>
      <c r="K184" t="s">
        <v>116</v>
      </c>
      <c r="L184" s="2">
        <v>40452</v>
      </c>
      <c r="M184" t="s">
        <v>2656</v>
      </c>
      <c r="N184">
        <v>0</v>
      </c>
      <c r="O184" t="s">
        <v>4903</v>
      </c>
      <c r="P184">
        <v>0</v>
      </c>
      <c r="Q184" t="s">
        <v>4903</v>
      </c>
      <c r="R184" t="s">
        <v>2654</v>
      </c>
    </row>
    <row r="185" spans="1:18" hidden="1" x14ac:dyDescent="0.25">
      <c r="A185" t="s">
        <v>3365</v>
      </c>
      <c r="B185" t="s">
        <v>350</v>
      </c>
      <c r="C185" t="s">
        <v>39</v>
      </c>
      <c r="D185" t="s">
        <v>32</v>
      </c>
      <c r="E185" t="s">
        <v>63</v>
      </c>
      <c r="F185" t="s">
        <v>18</v>
      </c>
      <c r="G185" t="s">
        <v>3366</v>
      </c>
      <c r="H185" s="15">
        <v>447139</v>
      </c>
      <c r="I185" s="15">
        <v>0</v>
      </c>
      <c r="J185" t="s">
        <v>89</v>
      </c>
      <c r="K185" t="s">
        <v>65</v>
      </c>
      <c r="L185" s="2">
        <v>40452</v>
      </c>
      <c r="M185" t="s">
        <v>3367</v>
      </c>
      <c r="N185">
        <v>0</v>
      </c>
      <c r="O185" t="s">
        <v>4903</v>
      </c>
      <c r="P185">
        <v>0</v>
      </c>
      <c r="Q185" t="s">
        <v>4903</v>
      </c>
      <c r="R185" t="s">
        <v>3365</v>
      </c>
    </row>
    <row r="186" spans="1:18" hidden="1" x14ac:dyDescent="0.25">
      <c r="A186" t="s">
        <v>171</v>
      </c>
      <c r="B186" t="s">
        <v>47</v>
      </c>
      <c r="C186" t="s">
        <v>48</v>
      </c>
      <c r="D186" t="s">
        <v>120</v>
      </c>
      <c r="E186" t="s">
        <v>172</v>
      </c>
      <c r="F186" t="s">
        <v>122</v>
      </c>
      <c r="G186" t="s">
        <v>173</v>
      </c>
      <c r="H186" s="15">
        <v>300000</v>
      </c>
      <c r="I186" s="15">
        <v>0</v>
      </c>
      <c r="J186" t="s">
        <v>89</v>
      </c>
      <c r="K186" t="s">
        <v>57</v>
      </c>
      <c r="L186" s="2">
        <v>40452</v>
      </c>
      <c r="M186" t="s">
        <v>174</v>
      </c>
      <c r="N186">
        <v>0</v>
      </c>
      <c r="O186" t="s">
        <v>4903</v>
      </c>
      <c r="P186">
        <v>0</v>
      </c>
      <c r="Q186" t="s">
        <v>4903</v>
      </c>
      <c r="R186" t="s">
        <v>171</v>
      </c>
    </row>
    <row r="187" spans="1:18" hidden="1" x14ac:dyDescent="0.25">
      <c r="A187" t="s">
        <v>60</v>
      </c>
      <c r="B187" t="s">
        <v>61</v>
      </c>
      <c r="C187" t="s">
        <v>62</v>
      </c>
      <c r="D187" t="s">
        <v>32</v>
      </c>
      <c r="E187" t="s">
        <v>63</v>
      </c>
      <c r="F187" t="s">
        <v>18</v>
      </c>
      <c r="G187" t="s">
        <v>64</v>
      </c>
      <c r="H187" s="15">
        <v>629550</v>
      </c>
      <c r="I187" s="15">
        <v>0</v>
      </c>
      <c r="J187" t="s">
        <v>20</v>
      </c>
      <c r="K187" t="s">
        <v>65</v>
      </c>
      <c r="L187" s="2">
        <v>40452</v>
      </c>
      <c r="M187" t="s">
        <v>66</v>
      </c>
      <c r="N187">
        <v>0</v>
      </c>
      <c r="O187" t="s">
        <v>4903</v>
      </c>
      <c r="P187">
        <v>0</v>
      </c>
      <c r="Q187" t="s">
        <v>4903</v>
      </c>
      <c r="R187" t="s">
        <v>60</v>
      </c>
    </row>
    <row r="188" spans="1:18" hidden="1" x14ac:dyDescent="0.25">
      <c r="A188" t="s">
        <v>4468</v>
      </c>
      <c r="B188" t="s">
        <v>289</v>
      </c>
      <c r="C188" t="s">
        <v>15</v>
      </c>
      <c r="D188" t="s">
        <v>32</v>
      </c>
      <c r="E188" t="s">
        <v>63</v>
      </c>
      <c r="F188" t="s">
        <v>140</v>
      </c>
      <c r="G188" t="s">
        <v>4469</v>
      </c>
      <c r="H188" s="15">
        <v>816176</v>
      </c>
      <c r="I188" s="15">
        <v>0</v>
      </c>
      <c r="J188" t="s">
        <v>154</v>
      </c>
      <c r="K188" t="s">
        <v>28</v>
      </c>
      <c r="L188" s="2">
        <v>40452</v>
      </c>
      <c r="M188" t="s">
        <v>4470</v>
      </c>
      <c r="N188">
        <v>0</v>
      </c>
      <c r="O188" t="s">
        <v>4903</v>
      </c>
      <c r="P188">
        <v>0</v>
      </c>
      <c r="Q188" t="s">
        <v>4903</v>
      </c>
      <c r="R188" t="s">
        <v>4468</v>
      </c>
    </row>
    <row r="189" spans="1:18" hidden="1" x14ac:dyDescent="0.25">
      <c r="A189" t="s">
        <v>1354</v>
      </c>
      <c r="B189" t="s">
        <v>1020</v>
      </c>
      <c r="C189" t="s">
        <v>15</v>
      </c>
      <c r="D189" t="s">
        <v>32</v>
      </c>
      <c r="E189" t="s">
        <v>63</v>
      </c>
      <c r="F189" t="s">
        <v>34</v>
      </c>
      <c r="G189" t="s">
        <v>1355</v>
      </c>
      <c r="H189" s="15">
        <v>557990</v>
      </c>
      <c r="I189" s="15">
        <v>0</v>
      </c>
      <c r="J189" t="s">
        <v>20</v>
      </c>
      <c r="K189" t="s">
        <v>28</v>
      </c>
      <c r="L189" s="2">
        <v>40452</v>
      </c>
      <c r="M189" t="s">
        <v>1356</v>
      </c>
      <c r="N189">
        <v>0</v>
      </c>
      <c r="O189" t="s">
        <v>4903</v>
      </c>
      <c r="P189">
        <v>0</v>
      </c>
      <c r="Q189" t="s">
        <v>4903</v>
      </c>
      <c r="R189" t="s">
        <v>1354</v>
      </c>
    </row>
    <row r="190" spans="1:18" hidden="1" x14ac:dyDescent="0.25">
      <c r="A190" t="s">
        <v>1944</v>
      </c>
      <c r="B190" t="s">
        <v>478</v>
      </c>
      <c r="C190" t="s">
        <v>15</v>
      </c>
      <c r="D190" t="s">
        <v>32</v>
      </c>
      <c r="E190" t="s">
        <v>63</v>
      </c>
      <c r="F190" t="s">
        <v>152</v>
      </c>
      <c r="G190" t="s">
        <v>1945</v>
      </c>
      <c r="H190" s="15">
        <v>858940</v>
      </c>
      <c r="I190" s="15">
        <v>0</v>
      </c>
      <c r="J190" t="s">
        <v>20</v>
      </c>
      <c r="K190" t="s">
        <v>57</v>
      </c>
      <c r="L190" s="2">
        <v>40452</v>
      </c>
      <c r="M190" t="s">
        <v>1946</v>
      </c>
      <c r="N190">
        <v>0</v>
      </c>
      <c r="O190" t="s">
        <v>4903</v>
      </c>
      <c r="P190">
        <v>0</v>
      </c>
      <c r="Q190" t="s">
        <v>4903</v>
      </c>
      <c r="R190" t="s">
        <v>1944</v>
      </c>
    </row>
    <row r="191" spans="1:18" hidden="1" x14ac:dyDescent="0.25">
      <c r="A191" t="s">
        <v>2706</v>
      </c>
      <c r="B191" t="s">
        <v>47</v>
      </c>
      <c r="C191" t="s">
        <v>48</v>
      </c>
      <c r="D191" t="s">
        <v>32</v>
      </c>
      <c r="E191" t="s">
        <v>63</v>
      </c>
      <c r="F191" t="s">
        <v>152</v>
      </c>
      <c r="G191" t="s">
        <v>2707</v>
      </c>
      <c r="H191" s="15">
        <v>665920</v>
      </c>
      <c r="I191" s="15">
        <v>0</v>
      </c>
      <c r="J191" t="s">
        <v>20</v>
      </c>
      <c r="K191" t="s">
        <v>28</v>
      </c>
      <c r="L191" s="2">
        <v>40452</v>
      </c>
      <c r="M191" t="s">
        <v>2708</v>
      </c>
      <c r="N191">
        <v>0</v>
      </c>
      <c r="O191" t="s">
        <v>4903</v>
      </c>
      <c r="P191">
        <v>0</v>
      </c>
      <c r="Q191" t="s">
        <v>4903</v>
      </c>
      <c r="R191" t="s">
        <v>2706</v>
      </c>
    </row>
    <row r="192" spans="1:18" hidden="1" x14ac:dyDescent="0.25">
      <c r="A192" t="s">
        <v>2282</v>
      </c>
      <c r="B192" t="s">
        <v>61</v>
      </c>
      <c r="C192" t="s">
        <v>62</v>
      </c>
      <c r="D192" t="s">
        <v>32</v>
      </c>
      <c r="E192" t="s">
        <v>63</v>
      </c>
      <c r="F192" t="s">
        <v>34</v>
      </c>
      <c r="G192" t="s">
        <v>2283</v>
      </c>
      <c r="H192" s="15">
        <v>815081</v>
      </c>
      <c r="I192" s="15">
        <v>0</v>
      </c>
      <c r="J192" t="s">
        <v>20</v>
      </c>
      <c r="K192" t="s">
        <v>21</v>
      </c>
      <c r="L192" s="2">
        <v>40452</v>
      </c>
      <c r="M192" t="s">
        <v>2284</v>
      </c>
      <c r="N192">
        <v>0</v>
      </c>
      <c r="O192" t="s">
        <v>4903</v>
      </c>
      <c r="P192">
        <v>0</v>
      </c>
      <c r="Q192" t="s">
        <v>4903</v>
      </c>
      <c r="R192" t="s">
        <v>2282</v>
      </c>
    </row>
    <row r="193" spans="1:18" hidden="1" x14ac:dyDescent="0.25">
      <c r="A193" t="s">
        <v>1629</v>
      </c>
      <c r="B193" t="s">
        <v>635</v>
      </c>
      <c r="C193" t="s">
        <v>39</v>
      </c>
      <c r="D193" t="s">
        <v>32</v>
      </c>
      <c r="E193" t="s">
        <v>63</v>
      </c>
      <c r="F193" t="s">
        <v>34</v>
      </c>
      <c r="G193" t="s">
        <v>1630</v>
      </c>
      <c r="H193" s="15">
        <v>358987</v>
      </c>
      <c r="I193" s="15">
        <v>0</v>
      </c>
      <c r="J193" t="s">
        <v>20</v>
      </c>
      <c r="K193" t="s">
        <v>21</v>
      </c>
      <c r="L193" s="2">
        <v>40452</v>
      </c>
      <c r="M193" t="s">
        <v>1631</v>
      </c>
      <c r="N193">
        <v>0</v>
      </c>
      <c r="O193" t="s">
        <v>4903</v>
      </c>
      <c r="P193">
        <v>0</v>
      </c>
      <c r="Q193" t="s">
        <v>4903</v>
      </c>
      <c r="R193" t="s">
        <v>1629</v>
      </c>
    </row>
    <row r="194" spans="1:18" hidden="1" x14ac:dyDescent="0.25">
      <c r="A194" t="s">
        <v>1089</v>
      </c>
      <c r="B194" t="s">
        <v>47</v>
      </c>
      <c r="C194" t="s">
        <v>48</v>
      </c>
      <c r="D194" t="s">
        <v>32</v>
      </c>
      <c r="E194" t="s">
        <v>63</v>
      </c>
      <c r="F194" t="s">
        <v>140</v>
      </c>
      <c r="G194" t="s">
        <v>1090</v>
      </c>
      <c r="H194" s="15">
        <v>484436</v>
      </c>
      <c r="I194" s="15">
        <v>0</v>
      </c>
      <c r="J194" t="s">
        <v>154</v>
      </c>
      <c r="K194" t="s">
        <v>28</v>
      </c>
      <c r="L194" s="2">
        <v>40452</v>
      </c>
      <c r="M194" t="s">
        <v>1091</v>
      </c>
      <c r="N194">
        <v>0</v>
      </c>
      <c r="O194" t="s">
        <v>4903</v>
      </c>
      <c r="P194">
        <v>0</v>
      </c>
      <c r="Q194" t="s">
        <v>4903</v>
      </c>
      <c r="R194" t="s">
        <v>1089</v>
      </c>
    </row>
    <row r="195" spans="1:18" hidden="1" x14ac:dyDescent="0.25">
      <c r="A195" t="s">
        <v>4413</v>
      </c>
      <c r="B195" t="s">
        <v>333</v>
      </c>
      <c r="C195" t="s">
        <v>334</v>
      </c>
      <c r="D195" t="s">
        <v>32</v>
      </c>
      <c r="E195" t="s">
        <v>63</v>
      </c>
      <c r="F195" t="s">
        <v>152</v>
      </c>
      <c r="G195" t="s">
        <v>4414</v>
      </c>
      <c r="H195" s="15">
        <v>444907</v>
      </c>
      <c r="I195" s="15">
        <v>0</v>
      </c>
      <c r="J195" t="s">
        <v>154</v>
      </c>
      <c r="K195" t="s">
        <v>28</v>
      </c>
      <c r="L195" s="2">
        <v>40452</v>
      </c>
      <c r="M195" t="s">
        <v>4415</v>
      </c>
      <c r="N195">
        <v>0</v>
      </c>
      <c r="O195" t="s">
        <v>4903</v>
      </c>
      <c r="P195">
        <v>0</v>
      </c>
      <c r="Q195" t="s">
        <v>4903</v>
      </c>
      <c r="R195" t="s">
        <v>4413</v>
      </c>
    </row>
    <row r="196" spans="1:18" hidden="1" x14ac:dyDescent="0.25">
      <c r="A196" t="s">
        <v>858</v>
      </c>
      <c r="B196" t="s">
        <v>14</v>
      </c>
      <c r="C196" t="s">
        <v>15</v>
      </c>
      <c r="D196" t="s">
        <v>32</v>
      </c>
      <c r="E196" t="s">
        <v>63</v>
      </c>
      <c r="F196" t="s">
        <v>26</v>
      </c>
      <c r="G196" t="s">
        <v>859</v>
      </c>
      <c r="H196" s="15">
        <v>599397</v>
      </c>
      <c r="I196" s="15">
        <v>0</v>
      </c>
      <c r="J196" t="s">
        <v>20</v>
      </c>
      <c r="K196" t="s">
        <v>28</v>
      </c>
      <c r="L196" s="2">
        <v>40452</v>
      </c>
      <c r="M196" t="s">
        <v>860</v>
      </c>
      <c r="N196">
        <v>1</v>
      </c>
      <c r="O196" t="s">
        <v>4903</v>
      </c>
      <c r="P196">
        <v>0</v>
      </c>
      <c r="Q196" t="s">
        <v>4903</v>
      </c>
      <c r="R196" t="s">
        <v>858</v>
      </c>
    </row>
    <row r="197" spans="1:18" hidden="1" x14ac:dyDescent="0.25">
      <c r="A197" t="s">
        <v>762</v>
      </c>
      <c r="B197" t="s">
        <v>190</v>
      </c>
      <c r="C197" t="s">
        <v>15</v>
      </c>
      <c r="D197" t="s">
        <v>32</v>
      </c>
      <c r="E197" t="s">
        <v>63</v>
      </c>
      <c r="F197" t="s">
        <v>152</v>
      </c>
      <c r="G197" t="s">
        <v>1979</v>
      </c>
      <c r="H197" s="15">
        <v>734701</v>
      </c>
      <c r="I197" s="15">
        <v>0</v>
      </c>
      <c r="J197" t="s">
        <v>20</v>
      </c>
      <c r="K197" t="s">
        <v>28</v>
      </c>
      <c r="L197" s="2">
        <v>40452</v>
      </c>
      <c r="M197" t="s">
        <v>1980</v>
      </c>
      <c r="N197">
        <v>0</v>
      </c>
      <c r="O197" t="s">
        <v>4903</v>
      </c>
      <c r="P197">
        <v>0</v>
      </c>
      <c r="Q197" t="s">
        <v>4903</v>
      </c>
      <c r="R197" t="s">
        <v>762</v>
      </c>
    </row>
    <row r="198" spans="1:18" hidden="1" x14ac:dyDescent="0.25">
      <c r="A198" t="s">
        <v>928</v>
      </c>
      <c r="B198" t="s">
        <v>47</v>
      </c>
      <c r="C198" t="s">
        <v>48</v>
      </c>
      <c r="D198" t="s">
        <v>32</v>
      </c>
      <c r="E198" t="s">
        <v>63</v>
      </c>
      <c r="F198" t="s">
        <v>140</v>
      </c>
      <c r="G198" t="s">
        <v>3016</v>
      </c>
      <c r="H198" s="15">
        <v>541640</v>
      </c>
      <c r="I198" s="15">
        <v>0</v>
      </c>
      <c r="J198" t="s">
        <v>154</v>
      </c>
      <c r="K198" t="s">
        <v>28</v>
      </c>
      <c r="L198" s="2">
        <v>40452</v>
      </c>
      <c r="M198" t="s">
        <v>3017</v>
      </c>
      <c r="N198">
        <v>3</v>
      </c>
      <c r="O198" t="s">
        <v>4903</v>
      </c>
      <c r="P198">
        <v>0</v>
      </c>
      <c r="Q198" t="s">
        <v>4903</v>
      </c>
      <c r="R198" t="s">
        <v>928</v>
      </c>
    </row>
    <row r="199" spans="1:18" hidden="1" x14ac:dyDescent="0.25">
      <c r="A199" t="s">
        <v>3880</v>
      </c>
      <c r="B199" t="s">
        <v>676</v>
      </c>
      <c r="C199" t="s">
        <v>39</v>
      </c>
      <c r="D199" t="s">
        <v>32</v>
      </c>
      <c r="E199" t="s">
        <v>63</v>
      </c>
      <c r="F199" t="s">
        <v>152</v>
      </c>
      <c r="G199" t="s">
        <v>4585</v>
      </c>
      <c r="H199" s="15">
        <v>343654</v>
      </c>
      <c r="I199" s="15">
        <v>0</v>
      </c>
      <c r="J199" t="s">
        <v>89</v>
      </c>
      <c r="K199" t="s">
        <v>28</v>
      </c>
      <c r="L199" s="2">
        <v>40452</v>
      </c>
      <c r="M199" t="s">
        <v>4586</v>
      </c>
      <c r="N199">
        <v>0</v>
      </c>
      <c r="O199" t="s">
        <v>4903</v>
      </c>
      <c r="P199">
        <v>0</v>
      </c>
      <c r="Q199" t="s">
        <v>4903</v>
      </c>
      <c r="R199" t="s">
        <v>3880</v>
      </c>
    </row>
    <row r="200" spans="1:18" hidden="1" x14ac:dyDescent="0.25">
      <c r="A200" t="s">
        <v>1263</v>
      </c>
      <c r="B200" t="s">
        <v>47</v>
      </c>
      <c r="C200" t="s">
        <v>48</v>
      </c>
      <c r="D200" t="s">
        <v>120</v>
      </c>
      <c r="E200" t="s">
        <v>172</v>
      </c>
      <c r="F200" t="s">
        <v>122</v>
      </c>
      <c r="G200" t="s">
        <v>1816</v>
      </c>
      <c r="H200" s="15">
        <v>300000</v>
      </c>
      <c r="I200" s="15">
        <v>0</v>
      </c>
      <c r="J200" t="s">
        <v>89</v>
      </c>
      <c r="K200" t="s">
        <v>57</v>
      </c>
      <c r="L200" s="2">
        <v>40452</v>
      </c>
      <c r="M200" t="s">
        <v>1817</v>
      </c>
      <c r="N200">
        <v>1</v>
      </c>
      <c r="O200" t="s">
        <v>4903</v>
      </c>
      <c r="P200">
        <v>0</v>
      </c>
      <c r="Q200" t="s">
        <v>4903</v>
      </c>
      <c r="R200" t="s">
        <v>1263</v>
      </c>
    </row>
    <row r="201" spans="1:18" hidden="1" x14ac:dyDescent="0.25">
      <c r="A201" t="s">
        <v>3755</v>
      </c>
      <c r="B201" t="s">
        <v>315</v>
      </c>
      <c r="C201" t="s">
        <v>39</v>
      </c>
      <c r="D201" t="s">
        <v>120</v>
      </c>
      <c r="E201" t="s">
        <v>172</v>
      </c>
      <c r="F201" t="s">
        <v>122</v>
      </c>
      <c r="G201" t="s">
        <v>3756</v>
      </c>
      <c r="H201" s="15">
        <v>191400</v>
      </c>
      <c r="I201" s="15">
        <v>0</v>
      </c>
      <c r="J201" t="s">
        <v>455</v>
      </c>
      <c r="K201" t="s">
        <v>326</v>
      </c>
      <c r="L201" s="2">
        <v>40452</v>
      </c>
      <c r="M201" t="s">
        <v>3757</v>
      </c>
      <c r="N201">
        <v>0</v>
      </c>
      <c r="O201" t="s">
        <v>4903</v>
      </c>
      <c r="P201">
        <v>0</v>
      </c>
      <c r="Q201" t="s">
        <v>4903</v>
      </c>
      <c r="R201" t="s">
        <v>3755</v>
      </c>
    </row>
    <row r="202" spans="1:18" hidden="1" x14ac:dyDescent="0.25">
      <c r="A202" t="s">
        <v>2048</v>
      </c>
      <c r="B202" t="s">
        <v>31</v>
      </c>
      <c r="C202" t="s">
        <v>15</v>
      </c>
      <c r="D202" t="s">
        <v>32</v>
      </c>
      <c r="E202" t="s">
        <v>63</v>
      </c>
      <c r="F202" t="s">
        <v>18</v>
      </c>
      <c r="G202" t="s">
        <v>2049</v>
      </c>
      <c r="H202" s="15">
        <v>307002</v>
      </c>
      <c r="I202" s="15">
        <v>0</v>
      </c>
      <c r="J202" t="s">
        <v>154</v>
      </c>
      <c r="K202" t="s">
        <v>65</v>
      </c>
      <c r="L202" s="2">
        <v>40452</v>
      </c>
      <c r="M202" t="s">
        <v>2050</v>
      </c>
      <c r="N202">
        <v>0</v>
      </c>
      <c r="O202" t="s">
        <v>4903</v>
      </c>
      <c r="P202">
        <v>0</v>
      </c>
      <c r="Q202" t="s">
        <v>4903</v>
      </c>
      <c r="R202" t="s">
        <v>2048</v>
      </c>
    </row>
    <row r="203" spans="1:18" hidden="1" x14ac:dyDescent="0.25">
      <c r="A203" t="s">
        <v>1984</v>
      </c>
      <c r="B203" t="s">
        <v>38</v>
      </c>
      <c r="C203" t="s">
        <v>39</v>
      </c>
      <c r="D203" t="s">
        <v>32</v>
      </c>
      <c r="E203" t="s">
        <v>63</v>
      </c>
      <c r="F203" t="s">
        <v>26</v>
      </c>
      <c r="G203" t="s">
        <v>1985</v>
      </c>
      <c r="H203" s="15">
        <v>295728</v>
      </c>
      <c r="I203" s="15">
        <v>0</v>
      </c>
      <c r="J203" t="s">
        <v>89</v>
      </c>
      <c r="K203" t="s">
        <v>28</v>
      </c>
      <c r="L203" s="2">
        <v>40452</v>
      </c>
      <c r="M203" t="s">
        <v>1986</v>
      </c>
      <c r="N203">
        <v>0</v>
      </c>
      <c r="O203" t="s">
        <v>4903</v>
      </c>
      <c r="P203">
        <v>0</v>
      </c>
      <c r="Q203" t="s">
        <v>4903</v>
      </c>
      <c r="R203" t="s">
        <v>1984</v>
      </c>
    </row>
    <row r="204" spans="1:18" hidden="1" x14ac:dyDescent="0.25">
      <c r="A204" t="s">
        <v>3109</v>
      </c>
      <c r="B204" t="s">
        <v>38</v>
      </c>
      <c r="C204" t="s">
        <v>39</v>
      </c>
      <c r="D204" t="s">
        <v>32</v>
      </c>
      <c r="E204" t="s">
        <v>63</v>
      </c>
      <c r="F204" t="s">
        <v>18</v>
      </c>
      <c r="G204" t="s">
        <v>4530</v>
      </c>
      <c r="H204" s="15">
        <v>184598</v>
      </c>
      <c r="I204" s="15">
        <v>0</v>
      </c>
      <c r="J204" t="s">
        <v>89</v>
      </c>
      <c r="K204" t="s">
        <v>65</v>
      </c>
      <c r="L204" s="2">
        <v>40452</v>
      </c>
      <c r="M204" t="s">
        <v>4531</v>
      </c>
      <c r="N204">
        <v>0</v>
      </c>
      <c r="O204" t="s">
        <v>4903</v>
      </c>
      <c r="P204">
        <v>0</v>
      </c>
      <c r="Q204" t="s">
        <v>4903</v>
      </c>
      <c r="R204" t="s">
        <v>3109</v>
      </c>
    </row>
    <row r="205" spans="1:18" hidden="1" x14ac:dyDescent="0.25">
      <c r="A205" t="s">
        <v>1174</v>
      </c>
      <c r="B205" t="s">
        <v>47</v>
      </c>
      <c r="C205" t="s">
        <v>48</v>
      </c>
      <c r="D205" t="s">
        <v>710</v>
      </c>
      <c r="E205" t="s">
        <v>1175</v>
      </c>
      <c r="F205" t="s">
        <v>34</v>
      </c>
      <c r="G205" t="s">
        <v>1176</v>
      </c>
      <c r="H205" s="15">
        <v>85212</v>
      </c>
      <c r="I205" s="15">
        <v>0</v>
      </c>
      <c r="J205" t="s">
        <v>44</v>
      </c>
      <c r="K205" t="s">
        <v>28</v>
      </c>
      <c r="L205" s="2">
        <v>40452</v>
      </c>
      <c r="M205" t="s">
        <v>1177</v>
      </c>
      <c r="N205">
        <v>0</v>
      </c>
      <c r="O205" t="s">
        <v>4903</v>
      </c>
      <c r="P205">
        <v>0</v>
      </c>
      <c r="Q205" t="s">
        <v>4903</v>
      </c>
      <c r="R205" t="s">
        <v>1174</v>
      </c>
    </row>
    <row r="206" spans="1:18" hidden="1" x14ac:dyDescent="0.25">
      <c r="A206" t="s">
        <v>1094</v>
      </c>
      <c r="B206" t="s">
        <v>77</v>
      </c>
      <c r="C206" t="s">
        <v>15</v>
      </c>
      <c r="D206" t="s">
        <v>32</v>
      </c>
      <c r="E206" t="s">
        <v>63</v>
      </c>
      <c r="F206" t="s">
        <v>34</v>
      </c>
      <c r="G206" t="s">
        <v>4767</v>
      </c>
      <c r="H206" s="15">
        <v>761924</v>
      </c>
      <c r="I206" s="15">
        <v>0</v>
      </c>
      <c r="J206" t="s">
        <v>20</v>
      </c>
      <c r="K206" t="s">
        <v>57</v>
      </c>
      <c r="L206" s="2">
        <v>40452</v>
      </c>
      <c r="M206" t="s">
        <v>4768</v>
      </c>
      <c r="N206">
        <v>0</v>
      </c>
      <c r="O206" t="s">
        <v>4903</v>
      </c>
      <c r="P206">
        <v>0</v>
      </c>
      <c r="Q206" t="s">
        <v>4903</v>
      </c>
      <c r="R206" t="s">
        <v>1094</v>
      </c>
    </row>
    <row r="207" spans="1:18" hidden="1" x14ac:dyDescent="0.25">
      <c r="A207" t="s">
        <v>1635</v>
      </c>
      <c r="B207" t="s">
        <v>1888</v>
      </c>
      <c r="C207" t="s">
        <v>39</v>
      </c>
      <c r="D207" t="s">
        <v>120</v>
      </c>
      <c r="E207" t="s">
        <v>172</v>
      </c>
      <c r="F207" t="s">
        <v>122</v>
      </c>
      <c r="G207" t="s">
        <v>1889</v>
      </c>
      <c r="H207" s="15">
        <v>276850</v>
      </c>
      <c r="I207" s="15">
        <v>0</v>
      </c>
      <c r="J207" t="s">
        <v>89</v>
      </c>
      <c r="K207" t="s">
        <v>28</v>
      </c>
      <c r="L207" s="2">
        <v>40452</v>
      </c>
      <c r="M207" t="s">
        <v>1890</v>
      </c>
      <c r="N207">
        <v>0</v>
      </c>
      <c r="O207" t="s">
        <v>4903</v>
      </c>
      <c r="P207">
        <v>0</v>
      </c>
      <c r="Q207" t="s">
        <v>4903</v>
      </c>
      <c r="R207" t="s">
        <v>1635</v>
      </c>
    </row>
    <row r="208" spans="1:18" hidden="1" x14ac:dyDescent="0.25">
      <c r="A208" t="s">
        <v>4297</v>
      </c>
      <c r="B208" t="s">
        <v>333</v>
      </c>
      <c r="C208" t="s">
        <v>334</v>
      </c>
      <c r="D208" t="s">
        <v>689</v>
      </c>
      <c r="E208" t="s">
        <v>1936</v>
      </c>
      <c r="F208" t="s">
        <v>140</v>
      </c>
      <c r="G208" t="s">
        <v>4298</v>
      </c>
      <c r="H208" s="15">
        <v>270471</v>
      </c>
      <c r="I208" s="15">
        <v>0</v>
      </c>
      <c r="J208" t="s">
        <v>89</v>
      </c>
      <c r="K208" t="s">
        <v>28</v>
      </c>
      <c r="L208" s="2">
        <v>40452</v>
      </c>
      <c r="M208" t="s">
        <v>4299</v>
      </c>
      <c r="N208">
        <v>0</v>
      </c>
      <c r="O208" t="s">
        <v>4903</v>
      </c>
      <c r="P208">
        <v>0</v>
      </c>
      <c r="Q208" t="s">
        <v>4903</v>
      </c>
      <c r="R208" t="s">
        <v>4297</v>
      </c>
    </row>
    <row r="209" spans="1:18" hidden="1" x14ac:dyDescent="0.25">
      <c r="A209" t="s">
        <v>2198</v>
      </c>
      <c r="B209" t="s">
        <v>14</v>
      </c>
      <c r="C209" t="s">
        <v>15</v>
      </c>
      <c r="D209" t="s">
        <v>32</v>
      </c>
      <c r="E209" t="s">
        <v>63</v>
      </c>
      <c r="F209" t="s">
        <v>152</v>
      </c>
      <c r="G209" t="s">
        <v>4447</v>
      </c>
      <c r="H209" s="15">
        <v>851814</v>
      </c>
      <c r="I209" s="15">
        <v>0</v>
      </c>
      <c r="J209" t="s">
        <v>20</v>
      </c>
      <c r="K209" t="s">
        <v>28</v>
      </c>
      <c r="L209" s="2">
        <v>40452</v>
      </c>
      <c r="M209" t="s">
        <v>4448</v>
      </c>
      <c r="N209">
        <v>0</v>
      </c>
      <c r="O209" t="s">
        <v>4903</v>
      </c>
      <c r="P209">
        <v>0</v>
      </c>
      <c r="Q209" t="s">
        <v>4903</v>
      </c>
      <c r="R209" t="s">
        <v>2198</v>
      </c>
    </row>
    <row r="210" spans="1:18" hidden="1" x14ac:dyDescent="0.25">
      <c r="A210" t="s">
        <v>1242</v>
      </c>
      <c r="B210" t="s">
        <v>77</v>
      </c>
      <c r="C210" t="s">
        <v>15</v>
      </c>
      <c r="D210" t="s">
        <v>32</v>
      </c>
      <c r="E210" t="s">
        <v>63</v>
      </c>
      <c r="F210" t="s">
        <v>140</v>
      </c>
      <c r="G210" t="s">
        <v>2912</v>
      </c>
      <c r="H210" s="15">
        <v>748696</v>
      </c>
      <c r="I210" s="15">
        <v>0</v>
      </c>
      <c r="J210" t="s">
        <v>20</v>
      </c>
      <c r="K210" t="s">
        <v>28</v>
      </c>
      <c r="L210" s="2">
        <v>40452</v>
      </c>
      <c r="M210" t="s">
        <v>2913</v>
      </c>
      <c r="N210">
        <v>0</v>
      </c>
      <c r="O210" t="s">
        <v>4903</v>
      </c>
      <c r="P210">
        <v>0</v>
      </c>
      <c r="Q210" t="s">
        <v>4903</v>
      </c>
      <c r="R210" t="s">
        <v>1242</v>
      </c>
    </row>
    <row r="211" spans="1:18" hidden="1" x14ac:dyDescent="0.25">
      <c r="A211" t="s">
        <v>441</v>
      </c>
      <c r="B211" t="s">
        <v>77</v>
      </c>
      <c r="C211" t="s">
        <v>15</v>
      </c>
      <c r="D211" t="s">
        <v>32</v>
      </c>
      <c r="E211" t="s">
        <v>63</v>
      </c>
      <c r="F211" t="s">
        <v>152</v>
      </c>
      <c r="G211" t="s">
        <v>1915</v>
      </c>
      <c r="H211" s="15">
        <v>654230</v>
      </c>
      <c r="I211" s="15">
        <v>0</v>
      </c>
      <c r="J211" t="s">
        <v>20</v>
      </c>
      <c r="K211" t="s">
        <v>28</v>
      </c>
      <c r="L211" s="2">
        <v>40452</v>
      </c>
      <c r="M211" t="s">
        <v>1916</v>
      </c>
      <c r="N211">
        <v>0</v>
      </c>
      <c r="O211" t="s">
        <v>4903</v>
      </c>
      <c r="P211">
        <v>0</v>
      </c>
      <c r="Q211" t="s">
        <v>4903</v>
      </c>
      <c r="R211" t="s">
        <v>441</v>
      </c>
    </row>
    <row r="212" spans="1:18" hidden="1" x14ac:dyDescent="0.25">
      <c r="A212" t="s">
        <v>2555</v>
      </c>
      <c r="B212" t="s">
        <v>923</v>
      </c>
      <c r="C212" t="s">
        <v>15</v>
      </c>
      <c r="D212" t="s">
        <v>32</v>
      </c>
      <c r="E212" t="s">
        <v>63</v>
      </c>
      <c r="F212" t="s">
        <v>140</v>
      </c>
      <c r="G212" t="s">
        <v>2556</v>
      </c>
      <c r="H212" s="15">
        <v>453972</v>
      </c>
      <c r="I212" s="15">
        <v>0</v>
      </c>
      <c r="J212" t="s">
        <v>154</v>
      </c>
      <c r="K212" t="s">
        <v>28</v>
      </c>
      <c r="L212" s="2">
        <v>40452</v>
      </c>
      <c r="M212" t="s">
        <v>2557</v>
      </c>
      <c r="N212">
        <v>0</v>
      </c>
      <c r="O212" t="s">
        <v>4903</v>
      </c>
      <c r="P212">
        <v>0</v>
      </c>
      <c r="Q212" t="s">
        <v>4903</v>
      </c>
      <c r="R212" t="s">
        <v>2555</v>
      </c>
    </row>
    <row r="213" spans="1:18" hidden="1" x14ac:dyDescent="0.25">
      <c r="A213" t="s">
        <v>3999</v>
      </c>
      <c r="B213" t="s">
        <v>47</v>
      </c>
      <c r="C213" t="s">
        <v>48</v>
      </c>
      <c r="D213" t="s">
        <v>32</v>
      </c>
      <c r="E213" t="s">
        <v>63</v>
      </c>
      <c r="F213" t="s">
        <v>26</v>
      </c>
      <c r="G213" t="s">
        <v>4000</v>
      </c>
      <c r="H213" s="15">
        <v>390802</v>
      </c>
      <c r="I213" s="15">
        <v>0</v>
      </c>
      <c r="J213" t="s">
        <v>89</v>
      </c>
      <c r="K213" t="s">
        <v>28</v>
      </c>
      <c r="L213" s="2">
        <v>40452</v>
      </c>
      <c r="M213" t="s">
        <v>4001</v>
      </c>
      <c r="N213">
        <v>0</v>
      </c>
      <c r="O213" t="s">
        <v>4903</v>
      </c>
      <c r="P213">
        <v>0</v>
      </c>
      <c r="Q213" t="s">
        <v>4903</v>
      </c>
      <c r="R213" t="s">
        <v>3999</v>
      </c>
    </row>
    <row r="214" spans="1:18" hidden="1" x14ac:dyDescent="0.25">
      <c r="A214" t="s">
        <v>1097</v>
      </c>
      <c r="B214" t="s">
        <v>47</v>
      </c>
      <c r="C214" t="s">
        <v>48</v>
      </c>
      <c r="D214" t="s">
        <v>32</v>
      </c>
      <c r="E214" t="s">
        <v>63</v>
      </c>
      <c r="F214" t="s">
        <v>152</v>
      </c>
      <c r="G214" t="s">
        <v>4526</v>
      </c>
      <c r="H214" s="15">
        <v>671932</v>
      </c>
      <c r="I214" s="15">
        <v>0</v>
      </c>
      <c r="J214" t="s">
        <v>20</v>
      </c>
      <c r="K214" t="s">
        <v>28</v>
      </c>
      <c r="L214" s="2">
        <v>40452</v>
      </c>
      <c r="M214" t="s">
        <v>4527</v>
      </c>
      <c r="N214">
        <v>1</v>
      </c>
      <c r="O214" t="s">
        <v>4903</v>
      </c>
      <c r="P214">
        <v>0</v>
      </c>
      <c r="Q214" t="s">
        <v>4903</v>
      </c>
      <c r="R214" t="s">
        <v>1097</v>
      </c>
    </row>
    <row r="215" spans="1:18" hidden="1" x14ac:dyDescent="0.25">
      <c r="A215" t="s">
        <v>1062</v>
      </c>
      <c r="B215" t="s">
        <v>47</v>
      </c>
      <c r="C215" t="s">
        <v>48</v>
      </c>
      <c r="D215" t="s">
        <v>32</v>
      </c>
      <c r="E215" t="s">
        <v>63</v>
      </c>
      <c r="F215" t="s">
        <v>26</v>
      </c>
      <c r="G215" t="s">
        <v>1063</v>
      </c>
      <c r="H215" s="15">
        <v>289885</v>
      </c>
      <c r="I215" s="15">
        <v>0</v>
      </c>
      <c r="J215" t="s">
        <v>89</v>
      </c>
      <c r="K215" t="s">
        <v>28</v>
      </c>
      <c r="L215" s="2">
        <v>40452</v>
      </c>
      <c r="M215" t="s">
        <v>1064</v>
      </c>
      <c r="N215">
        <v>0</v>
      </c>
      <c r="O215" t="s">
        <v>4903</v>
      </c>
      <c r="P215">
        <v>0</v>
      </c>
      <c r="Q215" t="s">
        <v>4903</v>
      </c>
      <c r="R215" t="s">
        <v>1062</v>
      </c>
    </row>
    <row r="216" spans="1:18" hidden="1" x14ac:dyDescent="0.25">
      <c r="A216" t="s">
        <v>1346</v>
      </c>
      <c r="B216" t="s">
        <v>289</v>
      </c>
      <c r="C216" t="s">
        <v>15</v>
      </c>
      <c r="D216" t="s">
        <v>120</v>
      </c>
      <c r="E216" t="s">
        <v>172</v>
      </c>
      <c r="F216" t="s">
        <v>122</v>
      </c>
      <c r="G216" t="s">
        <v>1347</v>
      </c>
      <c r="H216" s="15">
        <v>200000</v>
      </c>
      <c r="I216" s="15">
        <v>0</v>
      </c>
      <c r="J216" t="s">
        <v>455</v>
      </c>
      <c r="K216" t="s">
        <v>65</v>
      </c>
      <c r="L216" s="2">
        <v>40452</v>
      </c>
      <c r="M216" t="s">
        <v>1348</v>
      </c>
      <c r="N216">
        <v>0</v>
      </c>
      <c r="O216" t="s">
        <v>4903</v>
      </c>
      <c r="P216">
        <v>0</v>
      </c>
      <c r="Q216" t="s">
        <v>4903</v>
      </c>
      <c r="R216" t="s">
        <v>1346</v>
      </c>
    </row>
    <row r="217" spans="1:18" hidden="1" x14ac:dyDescent="0.25">
      <c r="A217" t="s">
        <v>2855</v>
      </c>
      <c r="B217" t="s">
        <v>315</v>
      </c>
      <c r="C217" t="s">
        <v>39</v>
      </c>
      <c r="D217" t="s">
        <v>32</v>
      </c>
      <c r="E217" t="s">
        <v>63</v>
      </c>
      <c r="F217" t="s">
        <v>26</v>
      </c>
      <c r="G217" t="s">
        <v>2856</v>
      </c>
      <c r="H217" s="15">
        <v>797054</v>
      </c>
      <c r="I217" s="15">
        <v>0</v>
      </c>
      <c r="J217" t="s">
        <v>20</v>
      </c>
      <c r="K217" t="s">
        <v>28</v>
      </c>
      <c r="L217" s="2">
        <v>40452</v>
      </c>
      <c r="M217" t="s">
        <v>2857</v>
      </c>
      <c r="N217">
        <v>2</v>
      </c>
      <c r="O217" t="s">
        <v>4903</v>
      </c>
      <c r="P217">
        <v>0</v>
      </c>
      <c r="Q217" t="s">
        <v>4903</v>
      </c>
      <c r="R217" t="s">
        <v>2855</v>
      </c>
    </row>
    <row r="218" spans="1:18" hidden="1" x14ac:dyDescent="0.25">
      <c r="A218" t="s">
        <v>429</v>
      </c>
      <c r="B218" t="s">
        <v>47</v>
      </c>
      <c r="C218" t="s">
        <v>48</v>
      </c>
      <c r="D218" t="s">
        <v>32</v>
      </c>
      <c r="E218" t="s">
        <v>63</v>
      </c>
      <c r="F218" t="s">
        <v>152</v>
      </c>
      <c r="G218" t="s">
        <v>889</v>
      </c>
      <c r="H218" s="15">
        <v>357800</v>
      </c>
      <c r="I218" s="15">
        <v>0</v>
      </c>
      <c r="J218" t="s">
        <v>154</v>
      </c>
      <c r="K218" t="s">
        <v>28</v>
      </c>
      <c r="L218" s="2">
        <v>40452</v>
      </c>
      <c r="M218" t="s">
        <v>890</v>
      </c>
      <c r="N218">
        <v>0</v>
      </c>
      <c r="O218" t="s">
        <v>4903</v>
      </c>
      <c r="P218">
        <v>0</v>
      </c>
      <c r="Q218" t="s">
        <v>4903</v>
      </c>
      <c r="R218" t="s">
        <v>429</v>
      </c>
    </row>
    <row r="219" spans="1:18" hidden="1" x14ac:dyDescent="0.25">
      <c r="A219" t="s">
        <v>2544</v>
      </c>
      <c r="B219" t="s">
        <v>676</v>
      </c>
      <c r="C219" t="s">
        <v>39</v>
      </c>
      <c r="D219" t="s">
        <v>32</v>
      </c>
      <c r="E219" t="s">
        <v>63</v>
      </c>
      <c r="F219" t="s">
        <v>34</v>
      </c>
      <c r="G219" t="s">
        <v>2545</v>
      </c>
      <c r="H219" s="15">
        <v>753239</v>
      </c>
      <c r="I219" s="15">
        <v>0</v>
      </c>
      <c r="J219" t="s">
        <v>20</v>
      </c>
      <c r="K219" t="s">
        <v>28</v>
      </c>
      <c r="L219" s="2">
        <v>40452</v>
      </c>
      <c r="M219" t="s">
        <v>2546</v>
      </c>
      <c r="N219">
        <v>0</v>
      </c>
      <c r="O219" t="s">
        <v>4903</v>
      </c>
      <c r="P219">
        <v>0</v>
      </c>
      <c r="Q219" t="s">
        <v>4903</v>
      </c>
      <c r="R219" t="s">
        <v>2544</v>
      </c>
    </row>
    <row r="220" spans="1:18" hidden="1" x14ac:dyDescent="0.25">
      <c r="A220" t="s">
        <v>1520</v>
      </c>
      <c r="B220" t="s">
        <v>614</v>
      </c>
      <c r="C220" t="s">
        <v>39</v>
      </c>
      <c r="D220" t="s">
        <v>32</v>
      </c>
      <c r="E220" t="s">
        <v>63</v>
      </c>
      <c r="F220" t="s">
        <v>140</v>
      </c>
      <c r="G220" t="s">
        <v>1521</v>
      </c>
      <c r="H220" s="15">
        <v>445569</v>
      </c>
      <c r="I220" s="15">
        <v>0</v>
      </c>
      <c r="J220" t="s">
        <v>89</v>
      </c>
      <c r="K220" t="s">
        <v>28</v>
      </c>
      <c r="L220" s="2">
        <v>40452</v>
      </c>
      <c r="M220" t="s">
        <v>1522</v>
      </c>
      <c r="N220">
        <v>1</v>
      </c>
      <c r="O220" t="s">
        <v>4903</v>
      </c>
      <c r="P220">
        <v>0</v>
      </c>
      <c r="Q220" t="s">
        <v>4903</v>
      </c>
      <c r="R220" t="s">
        <v>1520</v>
      </c>
    </row>
    <row r="221" spans="1:18" hidden="1" x14ac:dyDescent="0.25">
      <c r="A221" t="s">
        <v>4424</v>
      </c>
      <c r="B221" t="s">
        <v>676</v>
      </c>
      <c r="C221" t="s">
        <v>39</v>
      </c>
      <c r="D221" t="s">
        <v>32</v>
      </c>
      <c r="E221" t="s">
        <v>63</v>
      </c>
      <c r="F221" t="s">
        <v>140</v>
      </c>
      <c r="G221" t="s">
        <v>4425</v>
      </c>
      <c r="H221" s="15">
        <v>657991</v>
      </c>
      <c r="I221" s="15">
        <v>0</v>
      </c>
      <c r="J221" t="s">
        <v>20</v>
      </c>
      <c r="K221" t="s">
        <v>28</v>
      </c>
      <c r="L221" s="2">
        <v>40452</v>
      </c>
      <c r="M221" t="s">
        <v>4426</v>
      </c>
      <c r="N221">
        <v>0</v>
      </c>
      <c r="O221" t="s">
        <v>4903</v>
      </c>
      <c r="P221">
        <v>0</v>
      </c>
      <c r="Q221" t="s">
        <v>4903</v>
      </c>
      <c r="R221" t="s">
        <v>4424</v>
      </c>
    </row>
    <row r="222" spans="1:18" hidden="1" x14ac:dyDescent="0.25">
      <c r="A222" t="s">
        <v>4283</v>
      </c>
      <c r="B222" t="s">
        <v>635</v>
      </c>
      <c r="C222" t="s">
        <v>39</v>
      </c>
      <c r="D222" t="s">
        <v>274</v>
      </c>
      <c r="E222" t="s">
        <v>3468</v>
      </c>
      <c r="F222" t="s">
        <v>98</v>
      </c>
      <c r="G222" t="s">
        <v>4284</v>
      </c>
      <c r="H222" s="15">
        <v>1454272</v>
      </c>
      <c r="I222" s="15">
        <v>0</v>
      </c>
      <c r="J222" t="s">
        <v>89</v>
      </c>
      <c r="K222" t="s">
        <v>21</v>
      </c>
      <c r="L222" s="2">
        <v>40452</v>
      </c>
      <c r="M222" t="s">
        <v>4285</v>
      </c>
      <c r="N222">
        <v>0</v>
      </c>
      <c r="O222" t="s">
        <v>4903</v>
      </c>
      <c r="P222">
        <v>0</v>
      </c>
      <c r="Q222" t="s">
        <v>4903</v>
      </c>
      <c r="R222" t="s">
        <v>4283</v>
      </c>
    </row>
    <row r="223" spans="1:18" hidden="1" x14ac:dyDescent="0.25">
      <c r="A223" t="s">
        <v>2539</v>
      </c>
      <c r="B223" t="s">
        <v>38</v>
      </c>
      <c r="C223" t="s">
        <v>39</v>
      </c>
      <c r="D223" t="s">
        <v>32</v>
      </c>
      <c r="E223" t="s">
        <v>63</v>
      </c>
      <c r="F223" t="s">
        <v>26</v>
      </c>
      <c r="G223" t="s">
        <v>2540</v>
      </c>
      <c r="H223" s="15">
        <v>647040</v>
      </c>
      <c r="I223" s="15">
        <v>0</v>
      </c>
      <c r="J223" t="s">
        <v>20</v>
      </c>
      <c r="K223" t="s">
        <v>57</v>
      </c>
      <c r="L223" s="2">
        <v>40452</v>
      </c>
      <c r="M223" t="s">
        <v>2541</v>
      </c>
      <c r="N223">
        <v>0</v>
      </c>
      <c r="O223" t="s">
        <v>4903</v>
      </c>
      <c r="P223">
        <v>0</v>
      </c>
      <c r="Q223" t="s">
        <v>4903</v>
      </c>
      <c r="R223" t="s">
        <v>2539</v>
      </c>
    </row>
    <row r="224" spans="1:18" hidden="1" x14ac:dyDescent="0.25">
      <c r="A224" t="s">
        <v>1935</v>
      </c>
      <c r="B224" t="s">
        <v>14</v>
      </c>
      <c r="C224" t="s">
        <v>15</v>
      </c>
      <c r="D224" t="s">
        <v>689</v>
      </c>
      <c r="E224" t="s">
        <v>1936</v>
      </c>
      <c r="F224" t="s">
        <v>152</v>
      </c>
      <c r="G224" t="s">
        <v>1937</v>
      </c>
      <c r="H224" s="15">
        <v>481140</v>
      </c>
      <c r="I224" s="15">
        <v>0</v>
      </c>
      <c r="J224" t="s">
        <v>154</v>
      </c>
      <c r="K224" t="s">
        <v>28</v>
      </c>
      <c r="L224" s="2">
        <v>40452</v>
      </c>
      <c r="M224" t="s">
        <v>1938</v>
      </c>
      <c r="N224">
        <v>0</v>
      </c>
      <c r="O224" t="s">
        <v>4903</v>
      </c>
      <c r="P224">
        <v>0</v>
      </c>
      <c r="Q224" t="s">
        <v>4903</v>
      </c>
      <c r="R224" t="s">
        <v>1935</v>
      </c>
    </row>
    <row r="225" spans="1:18" hidden="1" x14ac:dyDescent="0.25">
      <c r="A225" t="s">
        <v>2268</v>
      </c>
      <c r="B225" t="s">
        <v>406</v>
      </c>
      <c r="C225" t="s">
        <v>62</v>
      </c>
      <c r="D225" t="s">
        <v>32</v>
      </c>
      <c r="E225" t="s">
        <v>63</v>
      </c>
      <c r="F225" t="s">
        <v>34</v>
      </c>
      <c r="G225" t="s">
        <v>2287</v>
      </c>
      <c r="H225" s="15">
        <v>281098</v>
      </c>
      <c r="I225" s="15">
        <v>0</v>
      </c>
      <c r="J225" t="s">
        <v>89</v>
      </c>
      <c r="K225" t="s">
        <v>21</v>
      </c>
      <c r="L225" s="2">
        <v>40452</v>
      </c>
      <c r="M225" t="s">
        <v>2288</v>
      </c>
      <c r="N225">
        <v>1</v>
      </c>
      <c r="O225" t="s">
        <v>4903</v>
      </c>
      <c r="P225">
        <v>0</v>
      </c>
      <c r="Q225" t="s">
        <v>4903</v>
      </c>
      <c r="R225" t="s">
        <v>2268</v>
      </c>
    </row>
    <row r="226" spans="1:18" hidden="1" x14ac:dyDescent="0.25">
      <c r="A226" t="s">
        <v>1509</v>
      </c>
      <c r="B226" t="s">
        <v>47</v>
      </c>
      <c r="C226" t="s">
        <v>48</v>
      </c>
      <c r="D226" t="s">
        <v>32</v>
      </c>
      <c r="E226" t="s">
        <v>63</v>
      </c>
      <c r="F226" t="s">
        <v>18</v>
      </c>
      <c r="G226" t="s">
        <v>2289</v>
      </c>
      <c r="H226" s="15">
        <v>676920</v>
      </c>
      <c r="I226" s="15">
        <v>0</v>
      </c>
      <c r="J226" t="s">
        <v>20</v>
      </c>
      <c r="K226" t="s">
        <v>65</v>
      </c>
      <c r="L226" s="2">
        <v>40452</v>
      </c>
      <c r="M226" t="s">
        <v>2290</v>
      </c>
      <c r="N226">
        <v>2</v>
      </c>
      <c r="O226" t="s">
        <v>4903</v>
      </c>
      <c r="P226">
        <v>0</v>
      </c>
      <c r="Q226" t="s">
        <v>4903</v>
      </c>
      <c r="R226" t="s">
        <v>1509</v>
      </c>
    </row>
    <row r="227" spans="1:18" hidden="1" x14ac:dyDescent="0.25">
      <c r="A227" t="s">
        <v>802</v>
      </c>
      <c r="B227" t="s">
        <v>126</v>
      </c>
      <c r="C227" t="s">
        <v>39</v>
      </c>
      <c r="D227" t="s">
        <v>32</v>
      </c>
      <c r="E227" t="s">
        <v>63</v>
      </c>
      <c r="F227" t="s">
        <v>18</v>
      </c>
      <c r="G227" t="s">
        <v>803</v>
      </c>
      <c r="H227" s="15">
        <v>459471</v>
      </c>
      <c r="I227" s="15">
        <v>0</v>
      </c>
      <c r="J227" t="s">
        <v>20</v>
      </c>
      <c r="K227" t="s">
        <v>65</v>
      </c>
      <c r="L227" s="2">
        <v>40452</v>
      </c>
      <c r="M227" t="s">
        <v>804</v>
      </c>
      <c r="N227">
        <v>0</v>
      </c>
      <c r="O227" t="s">
        <v>4903</v>
      </c>
      <c r="P227">
        <v>0</v>
      </c>
      <c r="Q227" t="s">
        <v>4903</v>
      </c>
      <c r="R227" t="s">
        <v>802</v>
      </c>
    </row>
    <row r="228" spans="1:18" hidden="1" x14ac:dyDescent="0.25">
      <c r="A228" t="s">
        <v>897</v>
      </c>
      <c r="B228" t="s">
        <v>898</v>
      </c>
      <c r="C228" t="s">
        <v>39</v>
      </c>
      <c r="D228" t="s">
        <v>710</v>
      </c>
      <c r="E228" t="s">
        <v>1700</v>
      </c>
      <c r="F228" t="s">
        <v>18</v>
      </c>
      <c r="G228" t="s">
        <v>2719</v>
      </c>
      <c r="H228" s="15">
        <v>100000</v>
      </c>
      <c r="I228" s="15">
        <v>0</v>
      </c>
      <c r="J228" t="s">
        <v>44</v>
      </c>
      <c r="K228" t="s">
        <v>65</v>
      </c>
      <c r="L228" s="2">
        <v>40603</v>
      </c>
      <c r="M228" t="s">
        <v>2720</v>
      </c>
      <c r="N228">
        <v>0</v>
      </c>
      <c r="O228" t="s">
        <v>4903</v>
      </c>
      <c r="P228">
        <v>0</v>
      </c>
      <c r="Q228" t="s">
        <v>4903</v>
      </c>
      <c r="R228" t="s">
        <v>897</v>
      </c>
    </row>
    <row r="229" spans="1:18" hidden="1" x14ac:dyDescent="0.25">
      <c r="A229" t="s">
        <v>1697</v>
      </c>
      <c r="B229" t="s">
        <v>190</v>
      </c>
      <c r="C229" t="s">
        <v>15</v>
      </c>
      <c r="D229" t="s">
        <v>710</v>
      </c>
      <c r="E229" t="s">
        <v>1700</v>
      </c>
      <c r="F229" t="s">
        <v>18</v>
      </c>
      <c r="G229" t="s">
        <v>1698</v>
      </c>
      <c r="H229" s="15">
        <v>99346</v>
      </c>
      <c r="I229" s="15">
        <v>0</v>
      </c>
      <c r="J229" t="s">
        <v>44</v>
      </c>
      <c r="K229" t="s">
        <v>65</v>
      </c>
      <c r="L229" s="2">
        <v>40603</v>
      </c>
      <c r="M229" t="s">
        <v>1699</v>
      </c>
      <c r="N229">
        <v>0</v>
      </c>
      <c r="O229" t="s">
        <v>4903</v>
      </c>
      <c r="P229">
        <v>0</v>
      </c>
      <c r="Q229" t="s">
        <v>4903</v>
      </c>
      <c r="R229" t="s">
        <v>1697</v>
      </c>
    </row>
    <row r="230" spans="1:18" hidden="1" x14ac:dyDescent="0.25">
      <c r="A230" t="s">
        <v>1550</v>
      </c>
      <c r="B230" t="s">
        <v>14</v>
      </c>
      <c r="C230" t="s">
        <v>15</v>
      </c>
      <c r="D230" t="s">
        <v>108</v>
      </c>
      <c r="E230" t="s">
        <v>412</v>
      </c>
      <c r="F230" t="s">
        <v>26</v>
      </c>
      <c r="G230" t="s">
        <v>2821</v>
      </c>
      <c r="H230" s="15">
        <v>100000</v>
      </c>
      <c r="I230" s="15">
        <v>0</v>
      </c>
      <c r="J230" t="s">
        <v>44</v>
      </c>
      <c r="K230" t="s">
        <v>28</v>
      </c>
      <c r="L230" s="2">
        <v>40603</v>
      </c>
      <c r="M230" t="s">
        <v>2822</v>
      </c>
      <c r="N230">
        <v>0</v>
      </c>
      <c r="O230" t="s">
        <v>4903</v>
      </c>
      <c r="P230">
        <v>0</v>
      </c>
      <c r="Q230" t="s">
        <v>4903</v>
      </c>
      <c r="R230" t="s">
        <v>1550</v>
      </c>
    </row>
    <row r="231" spans="1:18" hidden="1" x14ac:dyDescent="0.25">
      <c r="A231" t="s">
        <v>3912</v>
      </c>
      <c r="B231" t="s">
        <v>14</v>
      </c>
      <c r="C231" t="s">
        <v>15</v>
      </c>
      <c r="D231" t="s">
        <v>108</v>
      </c>
      <c r="E231" t="s">
        <v>412</v>
      </c>
      <c r="F231" t="s">
        <v>152</v>
      </c>
      <c r="G231" t="s">
        <v>3913</v>
      </c>
      <c r="H231" s="15">
        <v>100000</v>
      </c>
      <c r="I231" s="15">
        <v>0</v>
      </c>
      <c r="J231" t="s">
        <v>44</v>
      </c>
      <c r="K231" t="s">
        <v>28</v>
      </c>
      <c r="L231" s="2">
        <v>40603</v>
      </c>
      <c r="M231" t="s">
        <v>3914</v>
      </c>
      <c r="N231">
        <v>0</v>
      </c>
      <c r="O231" t="s">
        <v>4903</v>
      </c>
      <c r="P231">
        <v>0</v>
      </c>
      <c r="Q231" t="s">
        <v>4903</v>
      </c>
      <c r="R231" t="s">
        <v>3912</v>
      </c>
    </row>
    <row r="232" spans="1:18" hidden="1" x14ac:dyDescent="0.25">
      <c r="A232" t="s">
        <v>2159</v>
      </c>
      <c r="B232" t="s">
        <v>500</v>
      </c>
      <c r="C232" t="s">
        <v>501</v>
      </c>
      <c r="D232" t="s">
        <v>502</v>
      </c>
      <c r="E232" t="s">
        <v>2160</v>
      </c>
      <c r="F232" t="s">
        <v>140</v>
      </c>
      <c r="G232" t="s">
        <v>2161</v>
      </c>
      <c r="H232" s="15">
        <v>114190</v>
      </c>
      <c r="I232" s="15">
        <v>0</v>
      </c>
      <c r="J232" t="s">
        <v>491</v>
      </c>
      <c r="K232" t="s">
        <v>28</v>
      </c>
      <c r="L232" s="2">
        <v>40603</v>
      </c>
      <c r="M232" t="s">
        <v>2162</v>
      </c>
      <c r="N232">
        <v>0</v>
      </c>
      <c r="O232" t="s">
        <v>4903</v>
      </c>
      <c r="P232">
        <v>0</v>
      </c>
      <c r="Q232" t="s">
        <v>4903</v>
      </c>
      <c r="R232" t="s">
        <v>2159</v>
      </c>
    </row>
    <row r="233" spans="1:18" hidden="1" x14ac:dyDescent="0.25">
      <c r="A233" t="s">
        <v>409</v>
      </c>
      <c r="B233" t="s">
        <v>190</v>
      </c>
      <c r="C233" t="s">
        <v>15</v>
      </c>
      <c r="D233" t="s">
        <v>108</v>
      </c>
      <c r="E233" t="s">
        <v>412</v>
      </c>
      <c r="F233" t="s">
        <v>34</v>
      </c>
      <c r="G233" t="s">
        <v>410</v>
      </c>
      <c r="H233" s="15">
        <v>60388</v>
      </c>
      <c r="I233" s="15">
        <v>0</v>
      </c>
      <c r="J233" t="s">
        <v>44</v>
      </c>
      <c r="K233" t="s">
        <v>28</v>
      </c>
      <c r="L233" s="2">
        <v>40603</v>
      </c>
      <c r="M233" t="s">
        <v>411</v>
      </c>
      <c r="N233">
        <v>0</v>
      </c>
      <c r="O233" t="s">
        <v>4903</v>
      </c>
      <c r="P233">
        <v>0</v>
      </c>
      <c r="Q233" t="s">
        <v>4903</v>
      </c>
      <c r="R233" t="s">
        <v>409</v>
      </c>
    </row>
    <row r="234" spans="1:18" x14ac:dyDescent="0.25">
      <c r="A234" t="s">
        <v>1263</v>
      </c>
      <c r="B234" t="s">
        <v>47</v>
      </c>
      <c r="C234" t="s">
        <v>48</v>
      </c>
      <c r="D234" t="s">
        <v>96</v>
      </c>
      <c r="E234" t="s">
        <v>871</v>
      </c>
      <c r="F234" t="s">
        <v>98</v>
      </c>
      <c r="G234" t="s">
        <v>1264</v>
      </c>
      <c r="H234" s="15">
        <v>750000</v>
      </c>
      <c r="I234" s="15">
        <v>0</v>
      </c>
      <c r="J234" t="s">
        <v>89</v>
      </c>
      <c r="K234" t="s">
        <v>134</v>
      </c>
      <c r="L234" s="2">
        <v>42095</v>
      </c>
      <c r="M234" t="s">
        <v>1265</v>
      </c>
      <c r="N234">
        <v>12</v>
      </c>
      <c r="O234" t="s">
        <v>4829</v>
      </c>
      <c r="P234">
        <v>1</v>
      </c>
      <c r="Q234" t="s">
        <v>4809</v>
      </c>
      <c r="R234" t="s">
        <v>1263</v>
      </c>
    </row>
    <row r="235" spans="1:18" x14ac:dyDescent="0.25">
      <c r="A235" t="s">
        <v>4103</v>
      </c>
      <c r="B235" t="s">
        <v>14</v>
      </c>
      <c r="C235" t="s">
        <v>15</v>
      </c>
      <c r="D235" t="s">
        <v>108</v>
      </c>
      <c r="E235" t="s">
        <v>461</v>
      </c>
      <c r="F235" t="s">
        <v>152</v>
      </c>
      <c r="G235" t="s">
        <v>4104</v>
      </c>
      <c r="H235" s="15">
        <v>100000</v>
      </c>
      <c r="I235" s="15">
        <v>0</v>
      </c>
      <c r="J235" t="s">
        <v>44</v>
      </c>
      <c r="K235" t="s">
        <v>28</v>
      </c>
      <c r="L235" s="2">
        <v>40087</v>
      </c>
      <c r="M235" t="s">
        <v>4105</v>
      </c>
      <c r="N235">
        <v>1</v>
      </c>
      <c r="O235" t="s">
        <v>4810</v>
      </c>
      <c r="P235">
        <v>1</v>
      </c>
      <c r="Q235" t="s">
        <v>4809</v>
      </c>
      <c r="R235" t="s">
        <v>4103</v>
      </c>
    </row>
    <row r="236" spans="1:18" x14ac:dyDescent="0.25">
      <c r="A236" t="s">
        <v>1747</v>
      </c>
      <c r="B236" t="s">
        <v>84</v>
      </c>
      <c r="C236" t="s">
        <v>15</v>
      </c>
      <c r="D236" t="s">
        <v>16</v>
      </c>
      <c r="E236" t="s">
        <v>199</v>
      </c>
      <c r="F236" t="s">
        <v>140</v>
      </c>
      <c r="G236" t="s">
        <v>1748</v>
      </c>
      <c r="H236" s="15">
        <v>623476</v>
      </c>
      <c r="I236" s="15">
        <v>0</v>
      </c>
      <c r="J236" t="s">
        <v>20</v>
      </c>
      <c r="K236" t="s">
        <v>28</v>
      </c>
      <c r="L236" s="2">
        <v>43374</v>
      </c>
      <c r="M236" t="s">
        <v>1749</v>
      </c>
      <c r="N236">
        <v>5</v>
      </c>
      <c r="O236" t="s">
        <v>4825</v>
      </c>
      <c r="P236">
        <v>1</v>
      </c>
      <c r="Q236" t="s">
        <v>4809</v>
      </c>
      <c r="R236" t="s">
        <v>1747</v>
      </c>
    </row>
    <row r="237" spans="1:18" hidden="1" x14ac:dyDescent="0.25">
      <c r="A237" t="s">
        <v>1641</v>
      </c>
      <c r="B237" t="s">
        <v>315</v>
      </c>
      <c r="C237" t="s">
        <v>39</v>
      </c>
      <c r="D237" t="s">
        <v>581</v>
      </c>
      <c r="E237" t="s">
        <v>773</v>
      </c>
      <c r="F237" t="s">
        <v>98</v>
      </c>
      <c r="G237" t="s">
        <v>1642</v>
      </c>
      <c r="H237" s="15">
        <v>178125</v>
      </c>
      <c r="I237" s="15">
        <v>0</v>
      </c>
      <c r="J237" t="s">
        <v>89</v>
      </c>
      <c r="K237" t="s">
        <v>116</v>
      </c>
      <c r="L237" s="2">
        <v>40634</v>
      </c>
      <c r="M237" t="s">
        <v>1643</v>
      </c>
      <c r="N237">
        <v>0</v>
      </c>
      <c r="O237" t="s">
        <v>4903</v>
      </c>
      <c r="P237">
        <v>0</v>
      </c>
      <c r="Q237" t="s">
        <v>4903</v>
      </c>
      <c r="R237" t="s">
        <v>1641</v>
      </c>
    </row>
    <row r="238" spans="1:18" hidden="1" x14ac:dyDescent="0.25">
      <c r="A238" t="s">
        <v>3877</v>
      </c>
      <c r="B238" t="s">
        <v>244</v>
      </c>
      <c r="C238" t="s">
        <v>39</v>
      </c>
      <c r="D238" t="s">
        <v>32</v>
      </c>
      <c r="E238" t="s">
        <v>595</v>
      </c>
      <c r="F238" t="s">
        <v>18</v>
      </c>
      <c r="G238" t="s">
        <v>4503</v>
      </c>
      <c r="H238" s="15">
        <v>328001</v>
      </c>
      <c r="I238" s="15">
        <v>0</v>
      </c>
      <c r="J238" t="s">
        <v>89</v>
      </c>
      <c r="K238" t="s">
        <v>65</v>
      </c>
      <c r="L238" s="2">
        <v>40634</v>
      </c>
      <c r="M238" t="s">
        <v>4504</v>
      </c>
      <c r="N238">
        <v>1</v>
      </c>
      <c r="O238" t="s">
        <v>4903</v>
      </c>
      <c r="P238">
        <v>0</v>
      </c>
      <c r="Q238" t="s">
        <v>4903</v>
      </c>
      <c r="R238" t="s">
        <v>3877</v>
      </c>
    </row>
    <row r="239" spans="1:18" hidden="1" x14ac:dyDescent="0.25">
      <c r="A239" t="s">
        <v>2451</v>
      </c>
      <c r="B239" t="s">
        <v>24</v>
      </c>
      <c r="C239" t="s">
        <v>15</v>
      </c>
      <c r="D239" t="s">
        <v>32</v>
      </c>
      <c r="E239" t="s">
        <v>595</v>
      </c>
      <c r="F239" t="s">
        <v>26</v>
      </c>
      <c r="G239" t="s">
        <v>2452</v>
      </c>
      <c r="H239" s="15">
        <v>696385</v>
      </c>
      <c r="I239" s="15">
        <v>0</v>
      </c>
      <c r="J239" t="s">
        <v>20</v>
      </c>
      <c r="K239" t="s">
        <v>28</v>
      </c>
      <c r="L239" s="2">
        <v>40634</v>
      </c>
      <c r="M239" t="s">
        <v>2453</v>
      </c>
      <c r="N239">
        <v>0</v>
      </c>
      <c r="O239" t="s">
        <v>4903</v>
      </c>
      <c r="P239">
        <v>0</v>
      </c>
      <c r="Q239" t="s">
        <v>4903</v>
      </c>
      <c r="R239" t="s">
        <v>2451</v>
      </c>
    </row>
    <row r="240" spans="1:18" hidden="1" x14ac:dyDescent="0.25">
      <c r="A240" t="s">
        <v>769</v>
      </c>
      <c r="B240" t="s">
        <v>119</v>
      </c>
      <c r="C240" t="s">
        <v>39</v>
      </c>
      <c r="D240" t="s">
        <v>581</v>
      </c>
      <c r="E240" t="s">
        <v>773</v>
      </c>
      <c r="F240" t="s">
        <v>98</v>
      </c>
      <c r="G240" t="s">
        <v>771</v>
      </c>
      <c r="H240" s="15">
        <v>1051344</v>
      </c>
      <c r="I240" s="15">
        <v>57500</v>
      </c>
      <c r="J240" t="s">
        <v>491</v>
      </c>
      <c r="K240" t="s">
        <v>21</v>
      </c>
      <c r="L240" s="2">
        <v>40634</v>
      </c>
      <c r="M240" t="s">
        <v>772</v>
      </c>
      <c r="N240">
        <v>0</v>
      </c>
      <c r="O240" t="s">
        <v>4903</v>
      </c>
      <c r="P240">
        <v>0</v>
      </c>
      <c r="Q240" t="s">
        <v>4903</v>
      </c>
      <c r="R240" t="s">
        <v>769</v>
      </c>
    </row>
    <row r="241" spans="1:18" hidden="1" x14ac:dyDescent="0.25">
      <c r="A241" t="s">
        <v>328</v>
      </c>
      <c r="B241" t="s">
        <v>315</v>
      </c>
      <c r="C241" t="s">
        <v>39</v>
      </c>
      <c r="D241" t="s">
        <v>32</v>
      </c>
      <c r="E241" t="s">
        <v>595</v>
      </c>
      <c r="F241" t="s">
        <v>34</v>
      </c>
      <c r="G241" t="s">
        <v>1298</v>
      </c>
      <c r="H241" s="15">
        <v>383741</v>
      </c>
      <c r="I241" s="15">
        <v>0</v>
      </c>
      <c r="J241" t="s">
        <v>89</v>
      </c>
      <c r="K241" t="s">
        <v>116</v>
      </c>
      <c r="L241" s="2">
        <v>40634</v>
      </c>
      <c r="M241" t="s">
        <v>1299</v>
      </c>
      <c r="N241">
        <v>1</v>
      </c>
      <c r="O241" t="s">
        <v>4903</v>
      </c>
      <c r="P241">
        <v>0</v>
      </c>
      <c r="Q241" t="s">
        <v>4903</v>
      </c>
      <c r="R241" t="s">
        <v>328</v>
      </c>
    </row>
    <row r="242" spans="1:18" hidden="1" x14ac:dyDescent="0.25">
      <c r="A242" t="s">
        <v>2446</v>
      </c>
      <c r="B242" t="s">
        <v>31</v>
      </c>
      <c r="C242" t="s">
        <v>15</v>
      </c>
      <c r="D242" t="s">
        <v>32</v>
      </c>
      <c r="E242" t="s">
        <v>595</v>
      </c>
      <c r="F242" t="s">
        <v>152</v>
      </c>
      <c r="G242" t="s">
        <v>2447</v>
      </c>
      <c r="H242" s="15">
        <v>703280</v>
      </c>
      <c r="I242" s="15">
        <v>0</v>
      </c>
      <c r="J242" t="s">
        <v>20</v>
      </c>
      <c r="K242" t="s">
        <v>65</v>
      </c>
      <c r="L242" s="2">
        <v>40634</v>
      </c>
      <c r="M242" t="s">
        <v>2448</v>
      </c>
      <c r="N242">
        <v>0</v>
      </c>
      <c r="O242" t="s">
        <v>4903</v>
      </c>
      <c r="P242">
        <v>0</v>
      </c>
      <c r="Q242" t="s">
        <v>4903</v>
      </c>
      <c r="R242" t="s">
        <v>2446</v>
      </c>
    </row>
    <row r="243" spans="1:18" hidden="1" x14ac:dyDescent="0.25">
      <c r="A243" t="s">
        <v>2758</v>
      </c>
      <c r="B243" t="s">
        <v>161</v>
      </c>
      <c r="C243" t="s">
        <v>39</v>
      </c>
      <c r="D243" t="s">
        <v>32</v>
      </c>
      <c r="E243" t="s">
        <v>595</v>
      </c>
      <c r="F243" t="s">
        <v>152</v>
      </c>
      <c r="G243" t="s">
        <v>2759</v>
      </c>
      <c r="H243" s="15">
        <v>791460</v>
      </c>
      <c r="I243" s="15">
        <v>0</v>
      </c>
      <c r="J243" t="s">
        <v>20</v>
      </c>
      <c r="K243" t="s">
        <v>28</v>
      </c>
      <c r="L243" s="2">
        <v>40634</v>
      </c>
      <c r="M243" t="s">
        <v>2760</v>
      </c>
      <c r="N243">
        <v>0</v>
      </c>
      <c r="O243" t="s">
        <v>4903</v>
      </c>
      <c r="P243">
        <v>0</v>
      </c>
      <c r="Q243" t="s">
        <v>4903</v>
      </c>
      <c r="R243" t="s">
        <v>2758</v>
      </c>
    </row>
    <row r="244" spans="1:18" hidden="1" x14ac:dyDescent="0.25">
      <c r="A244" t="s">
        <v>1703</v>
      </c>
      <c r="B244" t="s">
        <v>350</v>
      </c>
      <c r="C244" t="s">
        <v>39</v>
      </c>
      <c r="D244" t="s">
        <v>32</v>
      </c>
      <c r="E244" t="s">
        <v>595</v>
      </c>
      <c r="F244" t="s">
        <v>18</v>
      </c>
      <c r="G244" t="s">
        <v>4492</v>
      </c>
      <c r="H244" s="15">
        <v>692633</v>
      </c>
      <c r="I244" s="15">
        <v>0</v>
      </c>
      <c r="J244" t="s">
        <v>20</v>
      </c>
      <c r="K244" t="s">
        <v>65</v>
      </c>
      <c r="L244" s="2">
        <v>40634</v>
      </c>
      <c r="M244" t="s">
        <v>4493</v>
      </c>
      <c r="N244">
        <v>0</v>
      </c>
      <c r="O244" t="s">
        <v>4903</v>
      </c>
      <c r="P244">
        <v>0</v>
      </c>
      <c r="Q244" t="s">
        <v>4903</v>
      </c>
      <c r="R244" t="s">
        <v>1703</v>
      </c>
    </row>
    <row r="245" spans="1:18" hidden="1" x14ac:dyDescent="0.25">
      <c r="A245" t="s">
        <v>1989</v>
      </c>
      <c r="B245" t="s">
        <v>47</v>
      </c>
      <c r="C245" t="s">
        <v>48</v>
      </c>
      <c r="D245" t="s">
        <v>32</v>
      </c>
      <c r="E245" t="s">
        <v>595</v>
      </c>
      <c r="F245" t="s">
        <v>26</v>
      </c>
      <c r="G245" t="s">
        <v>1990</v>
      </c>
      <c r="H245" s="15">
        <v>368667</v>
      </c>
      <c r="I245" s="15">
        <v>0</v>
      </c>
      <c r="J245" t="s">
        <v>89</v>
      </c>
      <c r="K245" t="s">
        <v>28</v>
      </c>
      <c r="L245" s="2">
        <v>40634</v>
      </c>
      <c r="M245" t="s">
        <v>1991</v>
      </c>
      <c r="N245">
        <v>1</v>
      </c>
      <c r="O245" t="s">
        <v>4903</v>
      </c>
      <c r="P245">
        <v>0</v>
      </c>
      <c r="Q245" t="s">
        <v>4903</v>
      </c>
      <c r="R245" t="s">
        <v>1989</v>
      </c>
    </row>
    <row r="246" spans="1:18" hidden="1" x14ac:dyDescent="0.25">
      <c r="A246" t="s">
        <v>4654</v>
      </c>
      <c r="B246" t="s">
        <v>126</v>
      </c>
      <c r="C246" t="s">
        <v>39</v>
      </c>
      <c r="D246" t="s">
        <v>32</v>
      </c>
      <c r="E246" t="s">
        <v>595</v>
      </c>
      <c r="F246" t="s">
        <v>26</v>
      </c>
      <c r="G246" t="s">
        <v>4655</v>
      </c>
      <c r="H246" s="15">
        <v>452248</v>
      </c>
      <c r="I246" s="15">
        <v>0</v>
      </c>
      <c r="J246" t="s">
        <v>154</v>
      </c>
      <c r="K246" t="s">
        <v>28</v>
      </c>
      <c r="L246" s="2">
        <v>40634</v>
      </c>
      <c r="M246" t="s">
        <v>4656</v>
      </c>
      <c r="N246">
        <v>0</v>
      </c>
      <c r="O246" t="s">
        <v>4903</v>
      </c>
      <c r="P246">
        <v>0</v>
      </c>
      <c r="Q246" t="s">
        <v>4903</v>
      </c>
      <c r="R246" t="s">
        <v>4654</v>
      </c>
    </row>
    <row r="247" spans="1:18" hidden="1" x14ac:dyDescent="0.25">
      <c r="A247" t="s">
        <v>904</v>
      </c>
      <c r="B247" t="s">
        <v>61</v>
      </c>
      <c r="C247" t="s">
        <v>62</v>
      </c>
      <c r="D247" t="s">
        <v>32</v>
      </c>
      <c r="E247" t="s">
        <v>595</v>
      </c>
      <c r="F247" t="s">
        <v>18</v>
      </c>
      <c r="G247" t="s">
        <v>905</v>
      </c>
      <c r="H247" s="15">
        <v>528435</v>
      </c>
      <c r="I247" s="15">
        <v>0</v>
      </c>
      <c r="J247" t="s">
        <v>20</v>
      </c>
      <c r="K247" t="s">
        <v>65</v>
      </c>
      <c r="L247" s="2">
        <v>40634</v>
      </c>
      <c r="M247" t="s">
        <v>906</v>
      </c>
      <c r="N247">
        <v>0</v>
      </c>
      <c r="O247" t="s">
        <v>4903</v>
      </c>
      <c r="P247">
        <v>0</v>
      </c>
      <c r="Q247" t="s">
        <v>4903</v>
      </c>
      <c r="R247" t="s">
        <v>904</v>
      </c>
    </row>
    <row r="248" spans="1:18" hidden="1" x14ac:dyDescent="0.25">
      <c r="A248" t="s">
        <v>969</v>
      </c>
      <c r="B248" t="s">
        <v>31</v>
      </c>
      <c r="C248" t="s">
        <v>15</v>
      </c>
      <c r="D248" t="s">
        <v>32</v>
      </c>
      <c r="E248" t="s">
        <v>595</v>
      </c>
      <c r="F248" t="s">
        <v>34</v>
      </c>
      <c r="G248" t="s">
        <v>3984</v>
      </c>
      <c r="H248" s="15">
        <v>752848</v>
      </c>
      <c r="I248" s="15">
        <v>0</v>
      </c>
      <c r="J248" t="s">
        <v>20</v>
      </c>
      <c r="K248" t="s">
        <v>65</v>
      </c>
      <c r="L248" s="2">
        <v>40634</v>
      </c>
      <c r="M248" t="s">
        <v>3985</v>
      </c>
      <c r="N248">
        <v>1</v>
      </c>
      <c r="O248" t="s">
        <v>4903</v>
      </c>
      <c r="P248">
        <v>0</v>
      </c>
      <c r="Q248" t="s">
        <v>4903</v>
      </c>
      <c r="R248" t="s">
        <v>969</v>
      </c>
    </row>
    <row r="249" spans="1:18" hidden="1" x14ac:dyDescent="0.25">
      <c r="A249" t="s">
        <v>1674</v>
      </c>
      <c r="B249" t="s">
        <v>47</v>
      </c>
      <c r="C249" t="s">
        <v>48</v>
      </c>
      <c r="D249" t="s">
        <v>32</v>
      </c>
      <c r="E249" t="s">
        <v>595</v>
      </c>
      <c r="F249" t="s">
        <v>34</v>
      </c>
      <c r="G249" t="s">
        <v>2068</v>
      </c>
      <c r="H249" s="15">
        <v>266164</v>
      </c>
      <c r="I249" s="15">
        <v>0</v>
      </c>
      <c r="J249" t="s">
        <v>89</v>
      </c>
      <c r="K249" t="s">
        <v>28</v>
      </c>
      <c r="L249" s="2">
        <v>40634</v>
      </c>
      <c r="M249" t="s">
        <v>2069</v>
      </c>
      <c r="N249">
        <v>2</v>
      </c>
      <c r="O249" t="s">
        <v>4903</v>
      </c>
      <c r="P249">
        <v>0</v>
      </c>
      <c r="Q249" t="s">
        <v>4903</v>
      </c>
      <c r="R249" t="s">
        <v>1674</v>
      </c>
    </row>
    <row r="250" spans="1:18" hidden="1" x14ac:dyDescent="0.25">
      <c r="A250" t="s">
        <v>4442</v>
      </c>
      <c r="B250" t="s">
        <v>47</v>
      </c>
      <c r="C250" t="s">
        <v>48</v>
      </c>
      <c r="D250" t="s">
        <v>32</v>
      </c>
      <c r="E250" t="s">
        <v>595</v>
      </c>
      <c r="F250" t="s">
        <v>152</v>
      </c>
      <c r="G250" t="s">
        <v>4443</v>
      </c>
      <c r="H250" s="15">
        <v>746213</v>
      </c>
      <c r="I250" s="15">
        <v>0</v>
      </c>
      <c r="J250" t="s">
        <v>20</v>
      </c>
      <c r="K250" t="s">
        <v>28</v>
      </c>
      <c r="L250" s="2">
        <v>40634</v>
      </c>
      <c r="M250" t="s">
        <v>4444</v>
      </c>
      <c r="N250">
        <v>0</v>
      </c>
      <c r="O250" t="s">
        <v>4903</v>
      </c>
      <c r="P250">
        <v>0</v>
      </c>
      <c r="Q250" t="s">
        <v>4903</v>
      </c>
      <c r="R250" t="s">
        <v>4442</v>
      </c>
    </row>
    <row r="251" spans="1:18" hidden="1" x14ac:dyDescent="0.25">
      <c r="A251" t="s">
        <v>288</v>
      </c>
      <c r="B251" t="s">
        <v>289</v>
      </c>
      <c r="C251" t="s">
        <v>15</v>
      </c>
      <c r="D251" t="s">
        <v>32</v>
      </c>
      <c r="E251" t="s">
        <v>595</v>
      </c>
      <c r="F251" t="s">
        <v>140</v>
      </c>
      <c r="G251" t="s">
        <v>1841</v>
      </c>
      <c r="H251" s="15">
        <v>326658</v>
      </c>
      <c r="I251" s="15">
        <v>0</v>
      </c>
      <c r="J251" t="s">
        <v>89</v>
      </c>
      <c r="K251" t="s">
        <v>28</v>
      </c>
      <c r="L251" s="2">
        <v>40634</v>
      </c>
      <c r="M251" t="s">
        <v>1842</v>
      </c>
      <c r="N251">
        <v>0</v>
      </c>
      <c r="O251" t="s">
        <v>4903</v>
      </c>
      <c r="P251">
        <v>0</v>
      </c>
      <c r="Q251" t="s">
        <v>4903</v>
      </c>
      <c r="R251" t="s">
        <v>288</v>
      </c>
    </row>
    <row r="252" spans="1:18" hidden="1" x14ac:dyDescent="0.25">
      <c r="A252" t="s">
        <v>1470</v>
      </c>
      <c r="B252" t="s">
        <v>3190</v>
      </c>
      <c r="C252" t="s">
        <v>15</v>
      </c>
      <c r="D252" t="s">
        <v>32</v>
      </c>
      <c r="E252" t="s">
        <v>595</v>
      </c>
      <c r="F252" t="s">
        <v>18</v>
      </c>
      <c r="G252" t="s">
        <v>3191</v>
      </c>
      <c r="H252" s="15">
        <v>120364</v>
      </c>
      <c r="I252" s="15">
        <v>0</v>
      </c>
      <c r="J252" t="s">
        <v>455</v>
      </c>
      <c r="K252" t="s">
        <v>65</v>
      </c>
      <c r="L252" s="2">
        <v>40634</v>
      </c>
      <c r="M252" t="s">
        <v>3192</v>
      </c>
      <c r="N252">
        <v>0</v>
      </c>
      <c r="O252" t="s">
        <v>4903</v>
      </c>
      <c r="P252">
        <v>0</v>
      </c>
      <c r="Q252" t="s">
        <v>4903</v>
      </c>
      <c r="R252" t="s">
        <v>1470</v>
      </c>
    </row>
    <row r="253" spans="1:18" hidden="1" x14ac:dyDescent="0.25">
      <c r="A253" t="s">
        <v>1958</v>
      </c>
      <c r="B253" t="s">
        <v>126</v>
      </c>
      <c r="C253" t="s">
        <v>39</v>
      </c>
      <c r="D253" t="s">
        <v>32</v>
      </c>
      <c r="E253" t="s">
        <v>595</v>
      </c>
      <c r="F253" t="s">
        <v>152</v>
      </c>
      <c r="G253" t="s">
        <v>1959</v>
      </c>
      <c r="H253" s="15">
        <v>742371</v>
      </c>
      <c r="I253" s="15">
        <v>0</v>
      </c>
      <c r="J253" t="s">
        <v>20</v>
      </c>
      <c r="K253" t="s">
        <v>57</v>
      </c>
      <c r="L253" s="2">
        <v>40634</v>
      </c>
      <c r="M253" t="s">
        <v>1960</v>
      </c>
      <c r="N253">
        <v>0</v>
      </c>
      <c r="O253" t="s">
        <v>4903</v>
      </c>
      <c r="P253">
        <v>0</v>
      </c>
      <c r="Q253" t="s">
        <v>4903</v>
      </c>
      <c r="R253" t="s">
        <v>1958</v>
      </c>
    </row>
    <row r="254" spans="1:18" hidden="1" x14ac:dyDescent="0.25">
      <c r="A254" t="s">
        <v>652</v>
      </c>
      <c r="B254" t="s">
        <v>31</v>
      </c>
      <c r="C254" t="s">
        <v>15</v>
      </c>
      <c r="D254" t="s">
        <v>32</v>
      </c>
      <c r="E254" t="s">
        <v>595</v>
      </c>
      <c r="F254" t="s">
        <v>34</v>
      </c>
      <c r="G254" t="s">
        <v>4605</v>
      </c>
      <c r="H254" s="15">
        <v>912635</v>
      </c>
      <c r="I254" s="15">
        <v>0</v>
      </c>
      <c r="J254" t="s">
        <v>20</v>
      </c>
      <c r="K254" t="s">
        <v>116</v>
      </c>
      <c r="L254" s="2">
        <v>40634</v>
      </c>
      <c r="M254" t="s">
        <v>4606</v>
      </c>
      <c r="N254">
        <v>0</v>
      </c>
      <c r="O254" t="s">
        <v>4903</v>
      </c>
      <c r="P254">
        <v>0</v>
      </c>
      <c r="Q254" t="s">
        <v>4903</v>
      </c>
      <c r="R254" t="s">
        <v>652</v>
      </c>
    </row>
    <row r="255" spans="1:18" hidden="1" x14ac:dyDescent="0.25">
      <c r="A255" t="s">
        <v>1605</v>
      </c>
      <c r="B255" t="s">
        <v>688</v>
      </c>
      <c r="C255" t="s">
        <v>39</v>
      </c>
      <c r="D255" t="s">
        <v>32</v>
      </c>
      <c r="E255" t="s">
        <v>595</v>
      </c>
      <c r="F255" t="s">
        <v>152</v>
      </c>
      <c r="G255" t="s">
        <v>1606</v>
      </c>
      <c r="H255" s="15">
        <v>339678</v>
      </c>
      <c r="I255" s="15">
        <v>0</v>
      </c>
      <c r="J255" t="s">
        <v>89</v>
      </c>
      <c r="K255" t="s">
        <v>28</v>
      </c>
      <c r="L255" s="2">
        <v>40634</v>
      </c>
      <c r="M255" t="s">
        <v>1607</v>
      </c>
      <c r="N255">
        <v>1</v>
      </c>
      <c r="O255" t="s">
        <v>4903</v>
      </c>
      <c r="P255">
        <v>0</v>
      </c>
      <c r="Q255" t="s">
        <v>4903</v>
      </c>
      <c r="R255" t="s">
        <v>1605</v>
      </c>
    </row>
    <row r="256" spans="1:18" hidden="1" x14ac:dyDescent="0.25">
      <c r="A256" t="s">
        <v>1830</v>
      </c>
      <c r="B256" t="s">
        <v>47</v>
      </c>
      <c r="C256" t="s">
        <v>48</v>
      </c>
      <c r="D256" t="s">
        <v>32</v>
      </c>
      <c r="E256" t="s">
        <v>595</v>
      </c>
      <c r="F256" t="s">
        <v>26</v>
      </c>
      <c r="G256" t="s">
        <v>1831</v>
      </c>
      <c r="H256" s="15">
        <v>405657</v>
      </c>
      <c r="I256" s="15">
        <v>0</v>
      </c>
      <c r="J256" t="s">
        <v>89</v>
      </c>
      <c r="K256" t="s">
        <v>28</v>
      </c>
      <c r="L256" s="2">
        <v>40634</v>
      </c>
      <c r="M256" t="s">
        <v>1832</v>
      </c>
      <c r="N256">
        <v>0</v>
      </c>
      <c r="O256" t="s">
        <v>4903</v>
      </c>
      <c r="P256">
        <v>0</v>
      </c>
      <c r="Q256" t="s">
        <v>4903</v>
      </c>
      <c r="R256" t="s">
        <v>1830</v>
      </c>
    </row>
    <row r="257" spans="1:18" hidden="1" x14ac:dyDescent="0.25">
      <c r="A257" t="s">
        <v>3452</v>
      </c>
      <c r="B257" t="s">
        <v>47</v>
      </c>
      <c r="C257" t="s">
        <v>48</v>
      </c>
      <c r="D257" t="s">
        <v>32</v>
      </c>
      <c r="E257" t="s">
        <v>595</v>
      </c>
      <c r="F257" t="s">
        <v>140</v>
      </c>
      <c r="G257" t="s">
        <v>3616</v>
      </c>
      <c r="H257" s="15">
        <v>890620</v>
      </c>
      <c r="I257" s="15">
        <v>0</v>
      </c>
      <c r="J257" t="s">
        <v>20</v>
      </c>
      <c r="K257" t="s">
        <v>28</v>
      </c>
      <c r="L257" s="2">
        <v>40634</v>
      </c>
      <c r="M257" t="s">
        <v>3617</v>
      </c>
      <c r="N257">
        <v>0</v>
      </c>
      <c r="O257" t="s">
        <v>4903</v>
      </c>
      <c r="P257">
        <v>0</v>
      </c>
      <c r="Q257" t="s">
        <v>4903</v>
      </c>
      <c r="R257" t="s">
        <v>3452</v>
      </c>
    </row>
    <row r="258" spans="1:18" hidden="1" x14ac:dyDescent="0.25">
      <c r="A258" t="s">
        <v>3848</v>
      </c>
      <c r="B258" t="s">
        <v>119</v>
      </c>
      <c r="C258" t="s">
        <v>39</v>
      </c>
      <c r="D258" t="s">
        <v>274</v>
      </c>
      <c r="E258" t="s">
        <v>3234</v>
      </c>
      <c r="F258" t="s">
        <v>98</v>
      </c>
      <c r="G258" t="s">
        <v>3856</v>
      </c>
      <c r="H258" s="15">
        <v>60000</v>
      </c>
      <c r="I258" s="15">
        <v>0</v>
      </c>
      <c r="J258" t="s">
        <v>455</v>
      </c>
      <c r="K258" t="s">
        <v>65</v>
      </c>
      <c r="L258" s="2">
        <v>40634</v>
      </c>
      <c r="M258" t="s">
        <v>3857</v>
      </c>
      <c r="N258">
        <v>0</v>
      </c>
      <c r="O258" t="s">
        <v>4903</v>
      </c>
      <c r="P258">
        <v>0</v>
      </c>
      <c r="Q258" t="s">
        <v>4903</v>
      </c>
      <c r="R258" t="s">
        <v>3848</v>
      </c>
    </row>
    <row r="259" spans="1:18" hidden="1" x14ac:dyDescent="0.25">
      <c r="A259" t="s">
        <v>2620</v>
      </c>
      <c r="B259" t="s">
        <v>24</v>
      </c>
      <c r="C259" t="s">
        <v>15</v>
      </c>
      <c r="D259" t="s">
        <v>32</v>
      </c>
      <c r="E259" t="s">
        <v>595</v>
      </c>
      <c r="F259" t="s">
        <v>140</v>
      </c>
      <c r="G259" t="s">
        <v>2621</v>
      </c>
      <c r="H259" s="15">
        <v>130322</v>
      </c>
      <c r="I259" s="15">
        <v>0</v>
      </c>
      <c r="J259" t="s">
        <v>89</v>
      </c>
      <c r="K259" t="s">
        <v>28</v>
      </c>
      <c r="L259" s="2">
        <v>40634</v>
      </c>
      <c r="M259" t="s">
        <v>2622</v>
      </c>
      <c r="N259">
        <v>0</v>
      </c>
      <c r="O259" t="s">
        <v>4903</v>
      </c>
      <c r="P259">
        <v>0</v>
      </c>
      <c r="Q259" t="s">
        <v>4903</v>
      </c>
      <c r="R259" t="s">
        <v>2620</v>
      </c>
    </row>
    <row r="260" spans="1:18" hidden="1" x14ac:dyDescent="0.25">
      <c r="A260" t="s">
        <v>954</v>
      </c>
      <c r="B260" t="s">
        <v>119</v>
      </c>
      <c r="C260" t="s">
        <v>39</v>
      </c>
      <c r="D260" t="s">
        <v>32</v>
      </c>
      <c r="E260" t="s">
        <v>595</v>
      </c>
      <c r="F260" t="s">
        <v>26</v>
      </c>
      <c r="G260" t="s">
        <v>3243</v>
      </c>
      <c r="H260" s="15">
        <v>774560</v>
      </c>
      <c r="I260" s="15">
        <v>0</v>
      </c>
      <c r="J260" t="s">
        <v>20</v>
      </c>
      <c r="K260" t="s">
        <v>28</v>
      </c>
      <c r="L260" s="2">
        <v>40634</v>
      </c>
      <c r="M260" t="s">
        <v>3244</v>
      </c>
      <c r="N260">
        <v>4</v>
      </c>
      <c r="O260" t="s">
        <v>4903</v>
      </c>
      <c r="P260">
        <v>0</v>
      </c>
      <c r="Q260" t="s">
        <v>4903</v>
      </c>
      <c r="R260" t="s">
        <v>954</v>
      </c>
    </row>
    <row r="261" spans="1:18" hidden="1" x14ac:dyDescent="0.25">
      <c r="A261" t="s">
        <v>433</v>
      </c>
      <c r="B261" t="s">
        <v>84</v>
      </c>
      <c r="C261" t="s">
        <v>15</v>
      </c>
      <c r="D261" t="s">
        <v>32</v>
      </c>
      <c r="E261" t="s">
        <v>595</v>
      </c>
      <c r="F261" t="s">
        <v>152</v>
      </c>
      <c r="G261" t="s">
        <v>791</v>
      </c>
      <c r="H261" s="15">
        <v>372204</v>
      </c>
      <c r="I261" s="15">
        <v>0</v>
      </c>
      <c r="J261" t="s">
        <v>89</v>
      </c>
      <c r="K261" t="s">
        <v>28</v>
      </c>
      <c r="L261" s="2">
        <v>40634</v>
      </c>
      <c r="M261" t="s">
        <v>792</v>
      </c>
      <c r="N261">
        <v>0</v>
      </c>
      <c r="O261" t="s">
        <v>4903</v>
      </c>
      <c r="P261">
        <v>0</v>
      </c>
      <c r="Q261" t="s">
        <v>4903</v>
      </c>
      <c r="R261" t="s">
        <v>433</v>
      </c>
    </row>
    <row r="262" spans="1:18" hidden="1" x14ac:dyDescent="0.25">
      <c r="A262" t="s">
        <v>304</v>
      </c>
      <c r="B262" t="s">
        <v>47</v>
      </c>
      <c r="C262" t="s">
        <v>48</v>
      </c>
      <c r="D262" t="s">
        <v>32</v>
      </c>
      <c r="E262" t="s">
        <v>595</v>
      </c>
      <c r="F262" t="s">
        <v>26</v>
      </c>
      <c r="G262" t="s">
        <v>2374</v>
      </c>
      <c r="H262" s="15">
        <v>685781</v>
      </c>
      <c r="I262" s="15">
        <v>0</v>
      </c>
      <c r="J262" t="s">
        <v>20</v>
      </c>
      <c r="K262" t="s">
        <v>28</v>
      </c>
      <c r="L262" s="2">
        <v>40634</v>
      </c>
      <c r="M262" t="s">
        <v>2375</v>
      </c>
      <c r="N262">
        <v>4</v>
      </c>
      <c r="O262" t="s">
        <v>4903</v>
      </c>
      <c r="P262">
        <v>0</v>
      </c>
      <c r="Q262" t="s">
        <v>4903</v>
      </c>
      <c r="R262" t="s">
        <v>304</v>
      </c>
    </row>
    <row r="263" spans="1:18" hidden="1" x14ac:dyDescent="0.25">
      <c r="A263" t="s">
        <v>848</v>
      </c>
      <c r="B263" t="s">
        <v>47</v>
      </c>
      <c r="C263" t="s">
        <v>48</v>
      </c>
      <c r="D263" t="s">
        <v>32</v>
      </c>
      <c r="E263" t="s">
        <v>595</v>
      </c>
      <c r="F263" t="s">
        <v>140</v>
      </c>
      <c r="G263" t="s">
        <v>849</v>
      </c>
      <c r="H263" s="15">
        <v>498929</v>
      </c>
      <c r="I263" s="15">
        <v>0</v>
      </c>
      <c r="J263" t="s">
        <v>89</v>
      </c>
      <c r="K263" t="s">
        <v>28</v>
      </c>
      <c r="L263" s="2">
        <v>40634</v>
      </c>
      <c r="M263" t="s">
        <v>850</v>
      </c>
      <c r="N263">
        <v>0</v>
      </c>
      <c r="O263" t="s">
        <v>4903</v>
      </c>
      <c r="P263">
        <v>0</v>
      </c>
      <c r="Q263" t="s">
        <v>4903</v>
      </c>
      <c r="R263" t="s">
        <v>848</v>
      </c>
    </row>
    <row r="264" spans="1:18" hidden="1" x14ac:dyDescent="0.25">
      <c r="A264" t="s">
        <v>1154</v>
      </c>
      <c r="B264" t="s">
        <v>84</v>
      </c>
      <c r="C264" t="s">
        <v>15</v>
      </c>
      <c r="D264" t="s">
        <v>32</v>
      </c>
      <c r="E264" t="s">
        <v>595</v>
      </c>
      <c r="F264" t="s">
        <v>18</v>
      </c>
      <c r="G264" t="s">
        <v>2954</v>
      </c>
      <c r="H264" s="15">
        <v>379080</v>
      </c>
      <c r="I264" s="15">
        <v>0</v>
      </c>
      <c r="J264" t="s">
        <v>89</v>
      </c>
      <c r="K264" t="s">
        <v>21</v>
      </c>
      <c r="L264" s="2">
        <v>40634</v>
      </c>
      <c r="M264" t="s">
        <v>2955</v>
      </c>
      <c r="N264">
        <v>0</v>
      </c>
      <c r="O264" t="s">
        <v>4903</v>
      </c>
      <c r="P264">
        <v>0</v>
      </c>
      <c r="Q264" t="s">
        <v>4903</v>
      </c>
      <c r="R264" t="s">
        <v>1154</v>
      </c>
    </row>
    <row r="265" spans="1:18" hidden="1" x14ac:dyDescent="0.25">
      <c r="A265" t="s">
        <v>1929</v>
      </c>
      <c r="B265" t="s">
        <v>31</v>
      </c>
      <c r="C265" t="s">
        <v>15</v>
      </c>
      <c r="D265" t="s">
        <v>32</v>
      </c>
      <c r="E265" t="s">
        <v>595</v>
      </c>
      <c r="F265" t="s">
        <v>34</v>
      </c>
      <c r="G265" t="s">
        <v>1930</v>
      </c>
      <c r="H265" s="15">
        <v>367905</v>
      </c>
      <c r="I265" s="15">
        <v>0</v>
      </c>
      <c r="J265" t="s">
        <v>89</v>
      </c>
      <c r="K265" t="s">
        <v>21</v>
      </c>
      <c r="L265" s="2">
        <v>40634</v>
      </c>
      <c r="M265" t="s">
        <v>1931</v>
      </c>
      <c r="N265">
        <v>0</v>
      </c>
      <c r="O265" t="s">
        <v>4903</v>
      </c>
      <c r="P265">
        <v>0</v>
      </c>
      <c r="Q265" t="s">
        <v>4903</v>
      </c>
      <c r="R265" t="s">
        <v>1929</v>
      </c>
    </row>
    <row r="266" spans="1:18" hidden="1" x14ac:dyDescent="0.25">
      <c r="A266" t="s">
        <v>3432</v>
      </c>
      <c r="B266" t="s">
        <v>520</v>
      </c>
      <c r="C266" t="s">
        <v>521</v>
      </c>
      <c r="D266" t="s">
        <v>32</v>
      </c>
      <c r="E266" t="s">
        <v>595</v>
      </c>
      <c r="F266" t="s">
        <v>34</v>
      </c>
      <c r="G266" t="s">
        <v>3433</v>
      </c>
      <c r="H266" s="15">
        <v>289018</v>
      </c>
      <c r="I266" s="15">
        <v>0</v>
      </c>
      <c r="J266" t="s">
        <v>89</v>
      </c>
      <c r="K266" t="s">
        <v>201</v>
      </c>
      <c r="L266" s="2">
        <v>40634</v>
      </c>
      <c r="M266" t="s">
        <v>3434</v>
      </c>
      <c r="N266">
        <v>0</v>
      </c>
      <c r="O266" t="s">
        <v>4903</v>
      </c>
      <c r="P266">
        <v>0</v>
      </c>
      <c r="Q266" t="s">
        <v>4903</v>
      </c>
      <c r="R266" t="s">
        <v>3432</v>
      </c>
    </row>
    <row r="267" spans="1:18" hidden="1" x14ac:dyDescent="0.25">
      <c r="A267" t="s">
        <v>752</v>
      </c>
      <c r="B267" t="s">
        <v>84</v>
      </c>
      <c r="C267" t="s">
        <v>15</v>
      </c>
      <c r="D267" t="s">
        <v>32</v>
      </c>
      <c r="E267" t="s">
        <v>595</v>
      </c>
      <c r="F267" t="s">
        <v>18</v>
      </c>
      <c r="G267" t="s">
        <v>3450</v>
      </c>
      <c r="H267" s="15">
        <v>586822</v>
      </c>
      <c r="I267" s="15">
        <v>0</v>
      </c>
      <c r="J267" t="s">
        <v>154</v>
      </c>
      <c r="K267" t="s">
        <v>28</v>
      </c>
      <c r="L267" s="2">
        <v>40634</v>
      </c>
      <c r="M267" t="s">
        <v>3451</v>
      </c>
      <c r="N267">
        <v>0</v>
      </c>
      <c r="O267" t="s">
        <v>4903</v>
      </c>
      <c r="P267">
        <v>0</v>
      </c>
      <c r="Q267" t="s">
        <v>4903</v>
      </c>
      <c r="R267" t="s">
        <v>752</v>
      </c>
    </row>
    <row r="268" spans="1:18" hidden="1" x14ac:dyDescent="0.25">
      <c r="A268" t="s">
        <v>1747</v>
      </c>
      <c r="B268" t="s">
        <v>84</v>
      </c>
      <c r="C268" t="s">
        <v>15</v>
      </c>
      <c r="D268" t="s">
        <v>32</v>
      </c>
      <c r="E268" t="s">
        <v>595</v>
      </c>
      <c r="F268" t="s">
        <v>140</v>
      </c>
      <c r="G268" t="s">
        <v>4011</v>
      </c>
      <c r="H268" s="15">
        <v>485957</v>
      </c>
      <c r="I268" s="15">
        <v>0</v>
      </c>
      <c r="J268" t="s">
        <v>89</v>
      </c>
      <c r="K268" t="s">
        <v>28</v>
      </c>
      <c r="L268" s="2">
        <v>40634</v>
      </c>
      <c r="M268" t="s">
        <v>4012</v>
      </c>
      <c r="N268">
        <v>0</v>
      </c>
      <c r="O268" t="s">
        <v>4903</v>
      </c>
      <c r="P268">
        <v>0</v>
      </c>
      <c r="Q268" t="s">
        <v>4903</v>
      </c>
      <c r="R268" t="s">
        <v>1747</v>
      </c>
    </row>
    <row r="269" spans="1:18" hidden="1" x14ac:dyDescent="0.25">
      <c r="A269" t="s">
        <v>382</v>
      </c>
      <c r="B269" t="s">
        <v>77</v>
      </c>
      <c r="C269" t="s">
        <v>15</v>
      </c>
      <c r="D269" t="s">
        <v>32</v>
      </c>
      <c r="E269" t="s">
        <v>595</v>
      </c>
      <c r="F269" t="s">
        <v>34</v>
      </c>
      <c r="G269" t="s">
        <v>3063</v>
      </c>
      <c r="H269" s="15">
        <v>793339</v>
      </c>
      <c r="I269" s="15">
        <v>0</v>
      </c>
      <c r="J269" t="s">
        <v>20</v>
      </c>
      <c r="K269" t="s">
        <v>116</v>
      </c>
      <c r="L269" s="2">
        <v>40634</v>
      </c>
      <c r="M269" t="s">
        <v>3064</v>
      </c>
      <c r="N269">
        <v>0</v>
      </c>
      <c r="O269" t="s">
        <v>4903</v>
      </c>
      <c r="P269">
        <v>0</v>
      </c>
      <c r="Q269" t="s">
        <v>4903</v>
      </c>
      <c r="R269" t="s">
        <v>382</v>
      </c>
    </row>
    <row r="270" spans="1:18" hidden="1" x14ac:dyDescent="0.25">
      <c r="A270" t="s">
        <v>679</v>
      </c>
      <c r="B270" t="s">
        <v>77</v>
      </c>
      <c r="C270" t="s">
        <v>15</v>
      </c>
      <c r="D270" t="s">
        <v>32</v>
      </c>
      <c r="E270" t="s">
        <v>595</v>
      </c>
      <c r="F270" t="s">
        <v>140</v>
      </c>
      <c r="G270" t="s">
        <v>3519</v>
      </c>
      <c r="H270" s="15">
        <v>757479</v>
      </c>
      <c r="I270" s="15">
        <v>0</v>
      </c>
      <c r="J270" t="s">
        <v>20</v>
      </c>
      <c r="K270" t="s">
        <v>28</v>
      </c>
      <c r="L270" s="2">
        <v>40634</v>
      </c>
      <c r="M270" t="s">
        <v>3520</v>
      </c>
      <c r="N270">
        <v>0</v>
      </c>
      <c r="O270" t="s">
        <v>4903</v>
      </c>
      <c r="P270">
        <v>0</v>
      </c>
      <c r="Q270" t="s">
        <v>4903</v>
      </c>
      <c r="R270" t="s">
        <v>679</v>
      </c>
    </row>
    <row r="271" spans="1:18" hidden="1" x14ac:dyDescent="0.25">
      <c r="A271" t="s">
        <v>594</v>
      </c>
      <c r="B271" t="s">
        <v>471</v>
      </c>
      <c r="C271" t="s">
        <v>15</v>
      </c>
      <c r="D271" t="s">
        <v>32</v>
      </c>
      <c r="E271" t="s">
        <v>595</v>
      </c>
      <c r="F271" t="s">
        <v>18</v>
      </c>
      <c r="G271" t="s">
        <v>596</v>
      </c>
      <c r="H271" s="15">
        <v>866864</v>
      </c>
      <c r="I271" s="15">
        <v>0</v>
      </c>
      <c r="J271" t="s">
        <v>20</v>
      </c>
      <c r="K271" t="s">
        <v>65</v>
      </c>
      <c r="L271" s="2">
        <v>40634</v>
      </c>
      <c r="M271" t="s">
        <v>597</v>
      </c>
      <c r="N271">
        <v>0</v>
      </c>
      <c r="O271" t="s">
        <v>4903</v>
      </c>
      <c r="P271">
        <v>0</v>
      </c>
      <c r="Q271" t="s">
        <v>4903</v>
      </c>
      <c r="R271" t="s">
        <v>594</v>
      </c>
    </row>
    <row r="272" spans="1:18" hidden="1" x14ac:dyDescent="0.25">
      <c r="A272" t="s">
        <v>3233</v>
      </c>
      <c r="B272" t="s">
        <v>406</v>
      </c>
      <c r="C272" t="s">
        <v>62</v>
      </c>
      <c r="D272" t="s">
        <v>274</v>
      </c>
      <c r="E272" t="s">
        <v>3234</v>
      </c>
      <c r="F272" t="s">
        <v>98</v>
      </c>
      <c r="G272" t="s">
        <v>3235</v>
      </c>
      <c r="H272" s="15">
        <v>131484</v>
      </c>
      <c r="I272" s="15">
        <v>0</v>
      </c>
      <c r="J272" t="s">
        <v>89</v>
      </c>
      <c r="K272" t="s">
        <v>326</v>
      </c>
      <c r="L272" s="2">
        <v>40634</v>
      </c>
      <c r="M272" t="s">
        <v>3236</v>
      </c>
      <c r="N272">
        <v>0</v>
      </c>
      <c r="O272" t="s">
        <v>4903</v>
      </c>
      <c r="P272">
        <v>0</v>
      </c>
      <c r="Q272" t="s">
        <v>4903</v>
      </c>
      <c r="R272" t="s">
        <v>3233</v>
      </c>
    </row>
    <row r="273" spans="1:18" hidden="1" x14ac:dyDescent="0.25">
      <c r="A273" t="s">
        <v>777</v>
      </c>
      <c r="B273" t="s">
        <v>244</v>
      </c>
      <c r="C273" t="s">
        <v>39</v>
      </c>
      <c r="D273" t="s">
        <v>32</v>
      </c>
      <c r="E273" t="s">
        <v>595</v>
      </c>
      <c r="F273" t="s">
        <v>26</v>
      </c>
      <c r="G273" t="s">
        <v>2766</v>
      </c>
      <c r="H273" s="15">
        <v>681336</v>
      </c>
      <c r="I273" s="15">
        <v>0</v>
      </c>
      <c r="J273" t="s">
        <v>20</v>
      </c>
      <c r="K273" t="s">
        <v>28</v>
      </c>
      <c r="L273" s="2">
        <v>40634</v>
      </c>
      <c r="M273" t="s">
        <v>2767</v>
      </c>
      <c r="N273">
        <v>0</v>
      </c>
      <c r="O273" t="s">
        <v>4903</v>
      </c>
      <c r="P273">
        <v>0</v>
      </c>
      <c r="Q273" t="s">
        <v>4903</v>
      </c>
      <c r="R273" t="s">
        <v>777</v>
      </c>
    </row>
    <row r="274" spans="1:18" hidden="1" x14ac:dyDescent="0.25">
      <c r="A274" t="s">
        <v>3261</v>
      </c>
      <c r="B274" t="s">
        <v>136</v>
      </c>
      <c r="C274" t="s">
        <v>15</v>
      </c>
      <c r="D274" t="s">
        <v>32</v>
      </c>
      <c r="E274" t="s">
        <v>595</v>
      </c>
      <c r="F274" t="s">
        <v>34</v>
      </c>
      <c r="G274" t="s">
        <v>3262</v>
      </c>
      <c r="H274" s="15">
        <v>379765</v>
      </c>
      <c r="I274" s="15">
        <v>0</v>
      </c>
      <c r="J274" t="s">
        <v>89</v>
      </c>
      <c r="K274" t="s">
        <v>21</v>
      </c>
      <c r="L274" s="2">
        <v>40634</v>
      </c>
      <c r="M274" t="s">
        <v>3263</v>
      </c>
      <c r="N274">
        <v>3</v>
      </c>
      <c r="O274" t="s">
        <v>4903</v>
      </c>
      <c r="P274">
        <v>0</v>
      </c>
      <c r="Q274" t="s">
        <v>4903</v>
      </c>
      <c r="R274" t="s">
        <v>3261</v>
      </c>
    </row>
    <row r="275" spans="1:18" hidden="1" x14ac:dyDescent="0.25">
      <c r="A275" t="s">
        <v>3853</v>
      </c>
      <c r="B275" t="s">
        <v>126</v>
      </c>
      <c r="C275" t="s">
        <v>39</v>
      </c>
      <c r="D275" t="s">
        <v>32</v>
      </c>
      <c r="E275" t="s">
        <v>63</v>
      </c>
      <c r="F275" t="s">
        <v>152</v>
      </c>
      <c r="G275" t="s">
        <v>3854</v>
      </c>
      <c r="H275" s="15">
        <v>421824</v>
      </c>
      <c r="I275" s="15">
        <v>0</v>
      </c>
      <c r="J275" t="s">
        <v>89</v>
      </c>
      <c r="K275" t="s">
        <v>28</v>
      </c>
      <c r="L275" s="2">
        <v>40725</v>
      </c>
      <c r="M275" t="s">
        <v>3855</v>
      </c>
      <c r="N275">
        <v>0</v>
      </c>
      <c r="O275" t="s">
        <v>4903</v>
      </c>
      <c r="P275">
        <v>0</v>
      </c>
      <c r="Q275" t="s">
        <v>4903</v>
      </c>
      <c r="R275" t="s">
        <v>3853</v>
      </c>
    </row>
    <row r="276" spans="1:18" x14ac:dyDescent="0.25">
      <c r="A276" t="s">
        <v>848</v>
      </c>
      <c r="B276" t="s">
        <v>47</v>
      </c>
      <c r="C276" t="s">
        <v>48</v>
      </c>
      <c r="D276" t="s">
        <v>32</v>
      </c>
      <c r="E276" t="s">
        <v>279</v>
      </c>
      <c r="F276" t="s">
        <v>152</v>
      </c>
      <c r="G276" t="s">
        <v>4162</v>
      </c>
      <c r="H276" s="15">
        <v>362448</v>
      </c>
      <c r="I276" s="15">
        <v>0</v>
      </c>
      <c r="J276" t="s">
        <v>89</v>
      </c>
      <c r="K276" t="s">
        <v>28</v>
      </c>
      <c r="L276" s="2">
        <v>40087</v>
      </c>
      <c r="M276" t="s">
        <v>4163</v>
      </c>
      <c r="N276">
        <v>7</v>
      </c>
      <c r="O276" t="s">
        <v>4818</v>
      </c>
      <c r="P276">
        <v>1</v>
      </c>
      <c r="Q276" t="s">
        <v>4809</v>
      </c>
      <c r="R276" t="s">
        <v>848</v>
      </c>
    </row>
    <row r="277" spans="1:18" hidden="1" x14ac:dyDescent="0.25">
      <c r="A277" t="s">
        <v>607</v>
      </c>
      <c r="B277" t="s">
        <v>47</v>
      </c>
      <c r="C277" t="s">
        <v>48</v>
      </c>
      <c r="D277" t="s">
        <v>32</v>
      </c>
      <c r="E277" t="s">
        <v>282</v>
      </c>
      <c r="F277" t="s">
        <v>34</v>
      </c>
      <c r="G277" t="s">
        <v>3050</v>
      </c>
      <c r="H277" s="15">
        <v>449365</v>
      </c>
      <c r="I277" s="15">
        <v>0</v>
      </c>
      <c r="J277" t="s">
        <v>154</v>
      </c>
      <c r="K277" t="s">
        <v>65</v>
      </c>
      <c r="L277" s="2">
        <v>40817</v>
      </c>
      <c r="M277" t="s">
        <v>3051</v>
      </c>
      <c r="N277">
        <v>1</v>
      </c>
      <c r="O277" t="s">
        <v>4903</v>
      </c>
      <c r="P277">
        <v>0</v>
      </c>
      <c r="Q277" t="s">
        <v>4903</v>
      </c>
      <c r="R277" t="s">
        <v>607</v>
      </c>
    </row>
    <row r="278" spans="1:18" hidden="1" x14ac:dyDescent="0.25">
      <c r="A278" t="s">
        <v>3240</v>
      </c>
      <c r="B278" t="s">
        <v>103</v>
      </c>
      <c r="C278" t="s">
        <v>15</v>
      </c>
      <c r="D278" t="s">
        <v>32</v>
      </c>
      <c r="E278" t="s">
        <v>282</v>
      </c>
      <c r="F278" t="s">
        <v>34</v>
      </c>
      <c r="G278" t="s">
        <v>3241</v>
      </c>
      <c r="H278" s="15">
        <v>657828</v>
      </c>
      <c r="I278" s="15">
        <v>0</v>
      </c>
      <c r="J278" t="s">
        <v>20</v>
      </c>
      <c r="K278" t="s">
        <v>65</v>
      </c>
      <c r="L278" s="2">
        <v>40817</v>
      </c>
      <c r="M278" t="s">
        <v>3242</v>
      </c>
      <c r="N278">
        <v>0</v>
      </c>
      <c r="O278" t="s">
        <v>4903</v>
      </c>
      <c r="P278">
        <v>0</v>
      </c>
      <c r="Q278" t="s">
        <v>4903</v>
      </c>
      <c r="R278" t="s">
        <v>3240</v>
      </c>
    </row>
    <row r="279" spans="1:18" hidden="1" x14ac:dyDescent="0.25">
      <c r="A279" t="s">
        <v>758</v>
      </c>
      <c r="B279" t="s">
        <v>77</v>
      </c>
      <c r="C279" t="s">
        <v>15</v>
      </c>
      <c r="D279" t="s">
        <v>581</v>
      </c>
      <c r="E279" t="s">
        <v>759</v>
      </c>
      <c r="F279" t="s">
        <v>98</v>
      </c>
      <c r="G279" t="s">
        <v>760</v>
      </c>
      <c r="H279" s="15">
        <v>66667</v>
      </c>
      <c r="I279" s="15">
        <v>0</v>
      </c>
      <c r="J279" t="s">
        <v>44</v>
      </c>
      <c r="K279" t="s">
        <v>74</v>
      </c>
      <c r="L279" s="2">
        <v>40817</v>
      </c>
      <c r="M279" t="s">
        <v>761</v>
      </c>
      <c r="N279">
        <v>0</v>
      </c>
      <c r="O279" t="s">
        <v>4903</v>
      </c>
      <c r="P279">
        <v>0</v>
      </c>
      <c r="Q279" t="s">
        <v>4903</v>
      </c>
      <c r="R279" t="s">
        <v>758</v>
      </c>
    </row>
    <row r="280" spans="1:18" hidden="1" x14ac:dyDescent="0.25">
      <c r="A280" t="s">
        <v>2225</v>
      </c>
      <c r="B280" t="s">
        <v>1461</v>
      </c>
      <c r="C280" t="s">
        <v>726</v>
      </c>
      <c r="D280" t="s">
        <v>2928</v>
      </c>
      <c r="E280" t="s">
        <v>2929</v>
      </c>
      <c r="F280" t="s">
        <v>140</v>
      </c>
      <c r="G280" t="s">
        <v>2930</v>
      </c>
      <c r="H280" s="15">
        <v>168452</v>
      </c>
      <c r="I280" s="15">
        <v>0</v>
      </c>
      <c r="J280" t="s">
        <v>89</v>
      </c>
      <c r="K280" t="s">
        <v>28</v>
      </c>
      <c r="L280" s="2">
        <v>40817</v>
      </c>
      <c r="M280" t="s">
        <v>2931</v>
      </c>
      <c r="N280">
        <v>0</v>
      </c>
      <c r="O280" t="s">
        <v>4903</v>
      </c>
      <c r="P280">
        <v>0</v>
      </c>
      <c r="Q280" t="s">
        <v>4903</v>
      </c>
      <c r="R280" t="s">
        <v>2225</v>
      </c>
    </row>
    <row r="281" spans="1:18" hidden="1" x14ac:dyDescent="0.25">
      <c r="A281" t="s">
        <v>3021</v>
      </c>
      <c r="B281" t="s">
        <v>24</v>
      </c>
      <c r="C281" t="s">
        <v>15</v>
      </c>
      <c r="D281" t="s">
        <v>108</v>
      </c>
      <c r="E281" t="s">
        <v>3022</v>
      </c>
      <c r="F281" t="s">
        <v>152</v>
      </c>
      <c r="G281" t="s">
        <v>3023</v>
      </c>
      <c r="H281" s="15">
        <v>100000</v>
      </c>
      <c r="I281" s="15">
        <v>0</v>
      </c>
      <c r="J281" t="s">
        <v>44</v>
      </c>
      <c r="K281" t="s">
        <v>28</v>
      </c>
      <c r="L281" s="2">
        <v>40817</v>
      </c>
      <c r="M281" t="s">
        <v>3024</v>
      </c>
      <c r="N281">
        <v>0</v>
      </c>
      <c r="O281" t="s">
        <v>4903</v>
      </c>
      <c r="P281">
        <v>0</v>
      </c>
      <c r="Q281" t="s">
        <v>4903</v>
      </c>
      <c r="R281" t="s">
        <v>3021</v>
      </c>
    </row>
    <row r="282" spans="1:18" hidden="1" x14ac:dyDescent="0.25">
      <c r="A282" t="s">
        <v>3476</v>
      </c>
      <c r="B282" t="s">
        <v>580</v>
      </c>
      <c r="C282" t="s">
        <v>15</v>
      </c>
      <c r="D282" t="s">
        <v>274</v>
      </c>
      <c r="E282" t="s">
        <v>275</v>
      </c>
      <c r="F282" t="s">
        <v>98</v>
      </c>
      <c r="G282" t="s">
        <v>3477</v>
      </c>
      <c r="H282" s="15">
        <v>85000</v>
      </c>
      <c r="I282" s="15">
        <v>0</v>
      </c>
      <c r="J282" t="s">
        <v>89</v>
      </c>
      <c r="K282" t="s">
        <v>201</v>
      </c>
      <c r="L282" s="2">
        <v>40817</v>
      </c>
      <c r="M282" t="s">
        <v>3478</v>
      </c>
      <c r="N282">
        <v>0</v>
      </c>
      <c r="O282" t="s">
        <v>4903</v>
      </c>
      <c r="P282">
        <v>0</v>
      </c>
      <c r="Q282" t="s">
        <v>4903</v>
      </c>
      <c r="R282" t="s">
        <v>3476</v>
      </c>
    </row>
    <row r="283" spans="1:18" hidden="1" x14ac:dyDescent="0.25">
      <c r="A283" t="s">
        <v>897</v>
      </c>
      <c r="B283" t="s">
        <v>898</v>
      </c>
      <c r="C283" t="s">
        <v>39</v>
      </c>
      <c r="D283" t="s">
        <v>274</v>
      </c>
      <c r="E283" t="s">
        <v>275</v>
      </c>
      <c r="F283" t="s">
        <v>98</v>
      </c>
      <c r="G283" t="s">
        <v>1971</v>
      </c>
      <c r="H283" s="15">
        <v>521739</v>
      </c>
      <c r="I283" s="15">
        <v>0</v>
      </c>
      <c r="J283" t="s">
        <v>89</v>
      </c>
      <c r="K283" t="s">
        <v>326</v>
      </c>
      <c r="L283" s="2">
        <v>40817</v>
      </c>
      <c r="M283" t="s">
        <v>1972</v>
      </c>
      <c r="N283">
        <v>0</v>
      </c>
      <c r="O283" t="s">
        <v>4903</v>
      </c>
      <c r="P283">
        <v>0</v>
      </c>
      <c r="Q283" t="s">
        <v>4903</v>
      </c>
      <c r="R283" t="s">
        <v>897</v>
      </c>
    </row>
    <row r="284" spans="1:18" hidden="1" x14ac:dyDescent="0.25">
      <c r="A284" t="s">
        <v>897</v>
      </c>
      <c r="B284" t="s">
        <v>898</v>
      </c>
      <c r="C284" t="s">
        <v>39</v>
      </c>
      <c r="D284" t="s">
        <v>32</v>
      </c>
      <c r="E284" t="s">
        <v>282</v>
      </c>
      <c r="F284" t="s">
        <v>18</v>
      </c>
      <c r="G284" t="s">
        <v>2719</v>
      </c>
      <c r="H284" s="15">
        <v>558505</v>
      </c>
      <c r="I284" s="15">
        <v>0</v>
      </c>
      <c r="J284" t="s">
        <v>20</v>
      </c>
      <c r="K284" t="s">
        <v>65</v>
      </c>
      <c r="L284" s="2">
        <v>40817</v>
      </c>
      <c r="M284" t="s">
        <v>2720</v>
      </c>
      <c r="N284">
        <v>0</v>
      </c>
      <c r="O284" t="s">
        <v>4903</v>
      </c>
      <c r="P284">
        <v>0</v>
      </c>
      <c r="Q284" t="s">
        <v>4903</v>
      </c>
      <c r="R284" t="s">
        <v>897</v>
      </c>
    </row>
    <row r="285" spans="1:18" hidden="1" x14ac:dyDescent="0.25">
      <c r="A285" t="s">
        <v>1692</v>
      </c>
      <c r="B285" t="s">
        <v>31</v>
      </c>
      <c r="C285" t="s">
        <v>15</v>
      </c>
      <c r="D285" t="s">
        <v>32</v>
      </c>
      <c r="E285" t="s">
        <v>282</v>
      </c>
      <c r="F285" t="s">
        <v>34</v>
      </c>
      <c r="G285" t="s">
        <v>1693</v>
      </c>
      <c r="H285" s="15">
        <v>329049</v>
      </c>
      <c r="I285" s="15">
        <v>0</v>
      </c>
      <c r="J285" t="s">
        <v>89</v>
      </c>
      <c r="K285" t="s">
        <v>21</v>
      </c>
      <c r="L285" s="2">
        <v>40817</v>
      </c>
      <c r="M285" t="s">
        <v>1694</v>
      </c>
      <c r="N285">
        <v>0</v>
      </c>
      <c r="O285" t="s">
        <v>4903</v>
      </c>
      <c r="P285">
        <v>0</v>
      </c>
      <c r="Q285" t="s">
        <v>4903</v>
      </c>
      <c r="R285" t="s">
        <v>1692</v>
      </c>
    </row>
    <row r="286" spans="1:18" hidden="1" x14ac:dyDescent="0.25">
      <c r="A286" t="s">
        <v>272</v>
      </c>
      <c r="B286" t="s">
        <v>273</v>
      </c>
      <c r="C286" t="s">
        <v>15</v>
      </c>
      <c r="D286" t="s">
        <v>274</v>
      </c>
      <c r="E286" t="s">
        <v>275</v>
      </c>
      <c r="F286" t="s">
        <v>98</v>
      </c>
      <c r="G286" t="s">
        <v>276</v>
      </c>
      <c r="H286" s="15">
        <v>107757</v>
      </c>
      <c r="I286" s="15">
        <v>0</v>
      </c>
      <c r="J286" t="s">
        <v>154</v>
      </c>
      <c r="K286" t="s">
        <v>100</v>
      </c>
      <c r="L286" s="2">
        <v>40817</v>
      </c>
      <c r="M286" t="s">
        <v>277</v>
      </c>
      <c r="N286">
        <v>0</v>
      </c>
      <c r="O286" t="s">
        <v>4903</v>
      </c>
      <c r="P286">
        <v>0</v>
      </c>
      <c r="Q286" t="s">
        <v>4903</v>
      </c>
      <c r="R286" t="s">
        <v>272</v>
      </c>
    </row>
    <row r="287" spans="1:18" hidden="1" x14ac:dyDescent="0.25">
      <c r="A287" t="s">
        <v>851</v>
      </c>
      <c r="B287" t="s">
        <v>725</v>
      </c>
      <c r="C287" t="s">
        <v>726</v>
      </c>
      <c r="D287" t="s">
        <v>32</v>
      </c>
      <c r="E287" t="s">
        <v>282</v>
      </c>
      <c r="F287" t="s">
        <v>152</v>
      </c>
      <c r="G287" t="s">
        <v>4377</v>
      </c>
      <c r="H287" s="15">
        <v>756990</v>
      </c>
      <c r="I287" s="15">
        <v>0</v>
      </c>
      <c r="J287" t="s">
        <v>20</v>
      </c>
      <c r="K287" t="s">
        <v>28</v>
      </c>
      <c r="L287" s="2">
        <v>40817</v>
      </c>
      <c r="M287" t="s">
        <v>4378</v>
      </c>
      <c r="N287">
        <v>0</v>
      </c>
      <c r="O287" t="s">
        <v>4903</v>
      </c>
      <c r="P287">
        <v>0</v>
      </c>
      <c r="Q287" t="s">
        <v>4903</v>
      </c>
      <c r="R287" t="s">
        <v>851</v>
      </c>
    </row>
    <row r="288" spans="1:18" hidden="1" x14ac:dyDescent="0.25">
      <c r="A288" t="s">
        <v>1534</v>
      </c>
      <c r="B288" t="s">
        <v>31</v>
      </c>
      <c r="C288" t="s">
        <v>15</v>
      </c>
      <c r="D288" t="s">
        <v>32</v>
      </c>
      <c r="E288" t="s">
        <v>282</v>
      </c>
      <c r="F288" t="s">
        <v>152</v>
      </c>
      <c r="G288" t="s">
        <v>1535</v>
      </c>
      <c r="H288" s="15">
        <v>434192</v>
      </c>
      <c r="I288" s="15">
        <v>0</v>
      </c>
      <c r="J288" t="s">
        <v>89</v>
      </c>
      <c r="K288" t="s">
        <v>28</v>
      </c>
      <c r="L288" s="2">
        <v>40817</v>
      </c>
      <c r="M288" t="s">
        <v>1536</v>
      </c>
      <c r="N288">
        <v>0</v>
      </c>
      <c r="O288" t="s">
        <v>4903</v>
      </c>
      <c r="P288">
        <v>0</v>
      </c>
      <c r="Q288" t="s">
        <v>4903</v>
      </c>
      <c r="R288" t="s">
        <v>1534</v>
      </c>
    </row>
    <row r="289" spans="1:18" hidden="1" x14ac:dyDescent="0.25">
      <c r="A289" t="s">
        <v>402</v>
      </c>
      <c r="B289" t="s">
        <v>31</v>
      </c>
      <c r="C289" t="s">
        <v>15</v>
      </c>
      <c r="D289" t="s">
        <v>32</v>
      </c>
      <c r="E289" t="s">
        <v>282</v>
      </c>
      <c r="F289" t="s">
        <v>34</v>
      </c>
      <c r="G289" t="s">
        <v>403</v>
      </c>
      <c r="H289" s="15">
        <v>822596</v>
      </c>
      <c r="I289" s="15">
        <v>0</v>
      </c>
      <c r="J289" t="s">
        <v>20</v>
      </c>
      <c r="K289" t="s">
        <v>21</v>
      </c>
      <c r="L289" s="2">
        <v>40817</v>
      </c>
      <c r="M289" t="s">
        <v>404</v>
      </c>
      <c r="N289">
        <v>3</v>
      </c>
      <c r="O289" t="s">
        <v>4903</v>
      </c>
      <c r="P289">
        <v>0</v>
      </c>
      <c r="Q289" t="s">
        <v>4903</v>
      </c>
      <c r="R289" t="s">
        <v>402</v>
      </c>
    </row>
    <row r="290" spans="1:18" hidden="1" x14ac:dyDescent="0.25">
      <c r="A290" t="s">
        <v>2097</v>
      </c>
      <c r="B290" t="s">
        <v>119</v>
      </c>
      <c r="C290" t="s">
        <v>39</v>
      </c>
      <c r="D290" t="s">
        <v>32</v>
      </c>
      <c r="E290" t="s">
        <v>282</v>
      </c>
      <c r="F290" t="s">
        <v>34</v>
      </c>
      <c r="G290" t="s">
        <v>2853</v>
      </c>
      <c r="H290" s="15">
        <v>678951</v>
      </c>
      <c r="I290" s="15">
        <v>0</v>
      </c>
      <c r="J290" t="s">
        <v>20</v>
      </c>
      <c r="K290" t="s">
        <v>28</v>
      </c>
      <c r="L290" s="2">
        <v>40817</v>
      </c>
      <c r="M290" t="s">
        <v>2854</v>
      </c>
      <c r="N290">
        <v>0</v>
      </c>
      <c r="O290" t="s">
        <v>4903</v>
      </c>
      <c r="P290">
        <v>0</v>
      </c>
      <c r="Q290" t="s">
        <v>4903</v>
      </c>
      <c r="R290" t="s">
        <v>2097</v>
      </c>
    </row>
    <row r="291" spans="1:18" hidden="1" x14ac:dyDescent="0.25">
      <c r="A291" t="s">
        <v>346</v>
      </c>
      <c r="B291" t="s">
        <v>315</v>
      </c>
      <c r="C291" t="s">
        <v>39</v>
      </c>
      <c r="D291" t="s">
        <v>32</v>
      </c>
      <c r="E291" t="s">
        <v>282</v>
      </c>
      <c r="F291" t="s">
        <v>26</v>
      </c>
      <c r="G291" t="s">
        <v>347</v>
      </c>
      <c r="H291" s="15">
        <v>497573</v>
      </c>
      <c r="I291" s="15">
        <v>0</v>
      </c>
      <c r="J291" t="s">
        <v>154</v>
      </c>
      <c r="K291" t="s">
        <v>28</v>
      </c>
      <c r="L291" s="2">
        <v>40817</v>
      </c>
      <c r="M291" t="s">
        <v>348</v>
      </c>
      <c r="N291">
        <v>0</v>
      </c>
      <c r="O291" t="s">
        <v>4903</v>
      </c>
      <c r="P291">
        <v>0</v>
      </c>
      <c r="Q291" t="s">
        <v>4903</v>
      </c>
      <c r="R291" t="s">
        <v>346</v>
      </c>
    </row>
    <row r="292" spans="1:18" hidden="1" x14ac:dyDescent="0.25">
      <c r="A292" t="s">
        <v>1442</v>
      </c>
      <c r="B292" t="s">
        <v>31</v>
      </c>
      <c r="C292" t="s">
        <v>15</v>
      </c>
      <c r="D292" t="s">
        <v>32</v>
      </c>
      <c r="E292" t="s">
        <v>282</v>
      </c>
      <c r="F292" t="s">
        <v>18</v>
      </c>
      <c r="G292" t="s">
        <v>2702</v>
      </c>
      <c r="H292" s="15">
        <v>335902</v>
      </c>
      <c r="I292" s="15">
        <v>0</v>
      </c>
      <c r="J292" t="s">
        <v>89</v>
      </c>
      <c r="K292" t="s">
        <v>65</v>
      </c>
      <c r="L292" s="2">
        <v>40817</v>
      </c>
      <c r="M292" t="s">
        <v>2703</v>
      </c>
      <c r="N292">
        <v>0</v>
      </c>
      <c r="O292" t="s">
        <v>4903</v>
      </c>
      <c r="P292">
        <v>0</v>
      </c>
      <c r="Q292" t="s">
        <v>4903</v>
      </c>
      <c r="R292" t="s">
        <v>1442</v>
      </c>
    </row>
    <row r="293" spans="1:18" hidden="1" x14ac:dyDescent="0.25">
      <c r="A293" t="s">
        <v>2806</v>
      </c>
      <c r="B293" t="s">
        <v>84</v>
      </c>
      <c r="C293" t="s">
        <v>15</v>
      </c>
      <c r="D293" t="s">
        <v>581</v>
      </c>
      <c r="E293" t="s">
        <v>759</v>
      </c>
      <c r="F293" t="s">
        <v>98</v>
      </c>
      <c r="G293" t="s">
        <v>2807</v>
      </c>
      <c r="H293" s="15">
        <v>193701</v>
      </c>
      <c r="I293" s="15">
        <v>4785</v>
      </c>
      <c r="J293" t="s">
        <v>89</v>
      </c>
      <c r="K293" t="s">
        <v>116</v>
      </c>
      <c r="L293" s="2">
        <v>40817</v>
      </c>
      <c r="M293" t="s">
        <v>2808</v>
      </c>
      <c r="N293">
        <v>0</v>
      </c>
      <c r="O293" t="s">
        <v>4903</v>
      </c>
      <c r="P293">
        <v>0</v>
      </c>
      <c r="Q293" t="s">
        <v>4903</v>
      </c>
      <c r="R293" t="s">
        <v>2806</v>
      </c>
    </row>
    <row r="294" spans="1:18" hidden="1" x14ac:dyDescent="0.25">
      <c r="A294" t="s">
        <v>1137</v>
      </c>
      <c r="B294" t="s">
        <v>77</v>
      </c>
      <c r="C294" t="s">
        <v>15</v>
      </c>
      <c r="D294" t="s">
        <v>32</v>
      </c>
      <c r="E294" t="s">
        <v>282</v>
      </c>
      <c r="F294" t="s">
        <v>140</v>
      </c>
      <c r="G294" t="s">
        <v>4197</v>
      </c>
      <c r="H294" s="15">
        <v>581429</v>
      </c>
      <c r="I294" s="15">
        <v>0</v>
      </c>
      <c r="J294" t="s">
        <v>154</v>
      </c>
      <c r="K294" t="s">
        <v>28</v>
      </c>
      <c r="L294" s="2">
        <v>40817</v>
      </c>
      <c r="M294" t="s">
        <v>4198</v>
      </c>
      <c r="N294">
        <v>0</v>
      </c>
      <c r="O294" t="s">
        <v>4903</v>
      </c>
      <c r="P294">
        <v>0</v>
      </c>
      <c r="Q294" t="s">
        <v>4903</v>
      </c>
      <c r="R294" t="s">
        <v>1137</v>
      </c>
    </row>
    <row r="295" spans="1:18" hidden="1" x14ac:dyDescent="0.25">
      <c r="A295" t="s">
        <v>2138</v>
      </c>
      <c r="B295" t="s">
        <v>119</v>
      </c>
      <c r="C295" t="s">
        <v>39</v>
      </c>
      <c r="D295" t="s">
        <v>32</v>
      </c>
      <c r="E295" t="s">
        <v>282</v>
      </c>
      <c r="F295" t="s">
        <v>26</v>
      </c>
      <c r="G295" t="s">
        <v>2139</v>
      </c>
      <c r="H295" s="15">
        <v>707975</v>
      </c>
      <c r="I295" s="15">
        <v>0</v>
      </c>
      <c r="J295" t="s">
        <v>20</v>
      </c>
      <c r="K295" t="s">
        <v>28</v>
      </c>
      <c r="L295" s="2">
        <v>40817</v>
      </c>
      <c r="M295" t="s">
        <v>2140</v>
      </c>
      <c r="N295">
        <v>1</v>
      </c>
      <c r="O295" t="s">
        <v>4903</v>
      </c>
      <c r="P295">
        <v>0</v>
      </c>
      <c r="Q295" t="s">
        <v>4903</v>
      </c>
      <c r="R295" t="s">
        <v>2138</v>
      </c>
    </row>
    <row r="296" spans="1:18" hidden="1" x14ac:dyDescent="0.25">
      <c r="A296" t="s">
        <v>3678</v>
      </c>
      <c r="B296" t="s">
        <v>1020</v>
      </c>
      <c r="C296" t="s">
        <v>15</v>
      </c>
      <c r="D296" t="s">
        <v>274</v>
      </c>
      <c r="E296" t="s">
        <v>275</v>
      </c>
      <c r="F296" t="s">
        <v>98</v>
      </c>
      <c r="G296" t="s">
        <v>3679</v>
      </c>
      <c r="H296" s="15">
        <v>24591</v>
      </c>
      <c r="I296" s="15">
        <v>1303</v>
      </c>
      <c r="J296" t="s">
        <v>44</v>
      </c>
      <c r="K296" t="s">
        <v>326</v>
      </c>
      <c r="L296" s="2">
        <v>40817</v>
      </c>
      <c r="M296" t="s">
        <v>3680</v>
      </c>
      <c r="N296">
        <v>0</v>
      </c>
      <c r="O296" t="s">
        <v>4903</v>
      </c>
      <c r="P296">
        <v>0</v>
      </c>
      <c r="Q296" t="s">
        <v>4903</v>
      </c>
      <c r="R296" t="s">
        <v>3678</v>
      </c>
    </row>
    <row r="297" spans="1:18" hidden="1" x14ac:dyDescent="0.25">
      <c r="A297" t="s">
        <v>477</v>
      </c>
      <c r="B297" t="s">
        <v>478</v>
      </c>
      <c r="C297" t="s">
        <v>15</v>
      </c>
      <c r="D297" t="s">
        <v>32</v>
      </c>
      <c r="E297" t="s">
        <v>282</v>
      </c>
      <c r="F297" t="s">
        <v>18</v>
      </c>
      <c r="G297" t="s">
        <v>1799</v>
      </c>
      <c r="H297" s="15">
        <v>459432</v>
      </c>
      <c r="I297" s="15">
        <v>0</v>
      </c>
      <c r="J297" t="s">
        <v>89</v>
      </c>
      <c r="K297" t="s">
        <v>65</v>
      </c>
      <c r="L297" s="2">
        <v>40817</v>
      </c>
      <c r="M297" t="s">
        <v>1800</v>
      </c>
      <c r="N297">
        <v>2</v>
      </c>
      <c r="O297" t="s">
        <v>4903</v>
      </c>
      <c r="P297">
        <v>0</v>
      </c>
      <c r="Q297" t="s">
        <v>4903</v>
      </c>
      <c r="R297" t="s">
        <v>477</v>
      </c>
    </row>
    <row r="298" spans="1:18" hidden="1" x14ac:dyDescent="0.25">
      <c r="A298" t="s">
        <v>175</v>
      </c>
      <c r="B298" t="s">
        <v>14</v>
      </c>
      <c r="C298" t="s">
        <v>15</v>
      </c>
      <c r="D298" t="s">
        <v>32</v>
      </c>
      <c r="E298" t="s">
        <v>282</v>
      </c>
      <c r="F298" t="s">
        <v>26</v>
      </c>
      <c r="G298" t="s">
        <v>283</v>
      </c>
      <c r="H298" s="15">
        <v>437079</v>
      </c>
      <c r="I298" s="15">
        <v>0</v>
      </c>
      <c r="J298" t="s">
        <v>89</v>
      </c>
      <c r="K298" t="s">
        <v>28</v>
      </c>
      <c r="L298" s="2">
        <v>40817</v>
      </c>
      <c r="M298" t="s">
        <v>284</v>
      </c>
      <c r="N298">
        <v>1</v>
      </c>
      <c r="O298" t="s">
        <v>4903</v>
      </c>
      <c r="P298">
        <v>0</v>
      </c>
      <c r="Q298" t="s">
        <v>4903</v>
      </c>
      <c r="R298" t="s">
        <v>175</v>
      </c>
    </row>
    <row r="299" spans="1:18" hidden="1" x14ac:dyDescent="0.25">
      <c r="A299" t="s">
        <v>2990</v>
      </c>
      <c r="B299" t="s">
        <v>47</v>
      </c>
      <c r="C299" t="s">
        <v>48</v>
      </c>
      <c r="D299" t="s">
        <v>32</v>
      </c>
      <c r="E299" t="s">
        <v>282</v>
      </c>
      <c r="F299" t="s">
        <v>34</v>
      </c>
      <c r="G299" t="s">
        <v>2991</v>
      </c>
      <c r="H299" s="15">
        <v>627332</v>
      </c>
      <c r="I299" s="15">
        <v>0</v>
      </c>
      <c r="J299" t="s">
        <v>20</v>
      </c>
      <c r="K299" t="s">
        <v>28</v>
      </c>
      <c r="L299" s="2">
        <v>40817</v>
      </c>
      <c r="M299" t="s">
        <v>2992</v>
      </c>
      <c r="N299">
        <v>0</v>
      </c>
      <c r="O299" t="s">
        <v>4903</v>
      </c>
      <c r="P299">
        <v>0</v>
      </c>
      <c r="Q299" t="s">
        <v>4903</v>
      </c>
      <c r="R299" t="s">
        <v>2990</v>
      </c>
    </row>
    <row r="300" spans="1:18" hidden="1" x14ac:dyDescent="0.25">
      <c r="A300" t="s">
        <v>3201</v>
      </c>
      <c r="B300" t="s">
        <v>84</v>
      </c>
      <c r="C300" t="s">
        <v>15</v>
      </c>
      <c r="D300" t="s">
        <v>32</v>
      </c>
      <c r="E300" t="s">
        <v>282</v>
      </c>
      <c r="F300" t="s">
        <v>18</v>
      </c>
      <c r="G300" t="s">
        <v>3202</v>
      </c>
      <c r="H300" s="15">
        <v>276484</v>
      </c>
      <c r="I300" s="15">
        <v>0</v>
      </c>
      <c r="J300" t="s">
        <v>89</v>
      </c>
      <c r="K300" t="s">
        <v>326</v>
      </c>
      <c r="L300" s="2">
        <v>40817</v>
      </c>
      <c r="M300" t="s">
        <v>3203</v>
      </c>
      <c r="N300">
        <v>6</v>
      </c>
      <c r="O300" t="s">
        <v>4903</v>
      </c>
      <c r="P300">
        <v>0</v>
      </c>
      <c r="Q300" t="s">
        <v>4903</v>
      </c>
      <c r="R300" t="s">
        <v>3201</v>
      </c>
    </row>
    <row r="301" spans="1:18" hidden="1" x14ac:dyDescent="0.25">
      <c r="A301" t="s">
        <v>3634</v>
      </c>
      <c r="B301" t="s">
        <v>1020</v>
      </c>
      <c r="C301" t="s">
        <v>15</v>
      </c>
      <c r="D301" t="s">
        <v>32</v>
      </c>
      <c r="E301" t="s">
        <v>282</v>
      </c>
      <c r="F301" t="s">
        <v>34</v>
      </c>
      <c r="G301" t="s">
        <v>3635</v>
      </c>
      <c r="H301" s="15">
        <v>456711</v>
      </c>
      <c r="I301" s="15">
        <v>0</v>
      </c>
      <c r="J301" t="s">
        <v>154</v>
      </c>
      <c r="K301" t="s">
        <v>21</v>
      </c>
      <c r="L301" s="2">
        <v>40817</v>
      </c>
      <c r="M301" t="s">
        <v>3636</v>
      </c>
      <c r="N301">
        <v>3</v>
      </c>
      <c r="O301" t="s">
        <v>4903</v>
      </c>
      <c r="P301">
        <v>0</v>
      </c>
      <c r="Q301" t="s">
        <v>4903</v>
      </c>
      <c r="R301" t="s">
        <v>3634</v>
      </c>
    </row>
    <row r="302" spans="1:18" hidden="1" x14ac:dyDescent="0.25">
      <c r="A302" t="s">
        <v>1835</v>
      </c>
      <c r="B302" t="s">
        <v>190</v>
      </c>
      <c r="C302" t="s">
        <v>15</v>
      </c>
      <c r="D302" t="s">
        <v>581</v>
      </c>
      <c r="E302" t="s">
        <v>759</v>
      </c>
      <c r="F302" t="s">
        <v>98</v>
      </c>
      <c r="G302" t="s">
        <v>1837</v>
      </c>
      <c r="H302" s="15">
        <v>360000</v>
      </c>
      <c r="I302" s="15">
        <v>0</v>
      </c>
      <c r="J302" t="s">
        <v>89</v>
      </c>
      <c r="K302" t="s">
        <v>21</v>
      </c>
      <c r="L302" s="2">
        <v>40817</v>
      </c>
      <c r="M302" t="s">
        <v>1838</v>
      </c>
      <c r="N302">
        <v>0</v>
      </c>
      <c r="O302" t="s">
        <v>4903</v>
      </c>
      <c r="P302">
        <v>0</v>
      </c>
      <c r="Q302" t="s">
        <v>4903</v>
      </c>
      <c r="R302" t="s">
        <v>1835</v>
      </c>
    </row>
    <row r="303" spans="1:18" hidden="1" x14ac:dyDescent="0.25">
      <c r="A303" t="s">
        <v>1242</v>
      </c>
      <c r="B303" t="s">
        <v>77</v>
      </c>
      <c r="C303" t="s">
        <v>15</v>
      </c>
      <c r="D303" t="s">
        <v>32</v>
      </c>
      <c r="E303" t="s">
        <v>282</v>
      </c>
      <c r="F303" t="s">
        <v>140</v>
      </c>
      <c r="G303" t="s">
        <v>4235</v>
      </c>
      <c r="H303" s="15">
        <v>295309</v>
      </c>
      <c r="I303" s="15">
        <v>0</v>
      </c>
      <c r="J303" t="s">
        <v>89</v>
      </c>
      <c r="K303" t="s">
        <v>28</v>
      </c>
      <c r="L303" s="2">
        <v>40817</v>
      </c>
      <c r="M303" t="s">
        <v>4236</v>
      </c>
      <c r="N303">
        <v>0</v>
      </c>
      <c r="O303" t="s">
        <v>4903</v>
      </c>
      <c r="P303">
        <v>0</v>
      </c>
      <c r="Q303" t="s">
        <v>4903</v>
      </c>
      <c r="R303" t="s">
        <v>1242</v>
      </c>
    </row>
    <row r="304" spans="1:18" hidden="1" x14ac:dyDescent="0.25">
      <c r="A304" t="s">
        <v>610</v>
      </c>
      <c r="B304" t="s">
        <v>24</v>
      </c>
      <c r="C304" t="s">
        <v>15</v>
      </c>
      <c r="D304" t="s">
        <v>32</v>
      </c>
      <c r="E304" t="s">
        <v>282</v>
      </c>
      <c r="F304" t="s">
        <v>34</v>
      </c>
      <c r="G304" t="s">
        <v>611</v>
      </c>
      <c r="H304" s="15">
        <v>198878</v>
      </c>
      <c r="I304" s="15">
        <v>0</v>
      </c>
      <c r="J304" t="s">
        <v>89</v>
      </c>
      <c r="K304" t="s">
        <v>28</v>
      </c>
      <c r="L304" s="2">
        <v>40817</v>
      </c>
      <c r="M304" t="s">
        <v>612</v>
      </c>
      <c r="N304">
        <v>0</v>
      </c>
      <c r="O304" t="s">
        <v>4903</v>
      </c>
      <c r="P304">
        <v>0</v>
      </c>
      <c r="Q304" t="s">
        <v>4903</v>
      </c>
      <c r="R304" t="s">
        <v>610</v>
      </c>
    </row>
    <row r="305" spans="1:18" hidden="1" x14ac:dyDescent="0.25">
      <c r="A305" t="s">
        <v>2932</v>
      </c>
      <c r="B305" t="s">
        <v>119</v>
      </c>
      <c r="C305" t="s">
        <v>39</v>
      </c>
      <c r="D305" t="s">
        <v>274</v>
      </c>
      <c r="E305" t="s">
        <v>275</v>
      </c>
      <c r="F305" t="s">
        <v>98</v>
      </c>
      <c r="G305" t="s">
        <v>2933</v>
      </c>
      <c r="H305" s="15">
        <v>165000</v>
      </c>
      <c r="I305" s="15">
        <v>0</v>
      </c>
      <c r="J305" t="s">
        <v>89</v>
      </c>
      <c r="K305" t="s">
        <v>21</v>
      </c>
      <c r="L305" s="2">
        <v>40817</v>
      </c>
      <c r="M305" t="s">
        <v>2934</v>
      </c>
      <c r="N305">
        <v>0</v>
      </c>
      <c r="O305" t="s">
        <v>4903</v>
      </c>
      <c r="P305">
        <v>0</v>
      </c>
      <c r="Q305" t="s">
        <v>4903</v>
      </c>
      <c r="R305" t="s">
        <v>2932</v>
      </c>
    </row>
    <row r="306" spans="1:18" hidden="1" x14ac:dyDescent="0.25">
      <c r="A306" t="s">
        <v>1882</v>
      </c>
      <c r="B306" t="s">
        <v>244</v>
      </c>
      <c r="C306" t="s">
        <v>39</v>
      </c>
      <c r="D306" t="s">
        <v>32</v>
      </c>
      <c r="E306" t="s">
        <v>282</v>
      </c>
      <c r="F306" t="s">
        <v>140</v>
      </c>
      <c r="G306" t="s">
        <v>4228</v>
      </c>
      <c r="H306" s="15">
        <v>425282</v>
      </c>
      <c r="I306" s="15">
        <v>0</v>
      </c>
      <c r="J306" t="s">
        <v>89</v>
      </c>
      <c r="K306" t="s">
        <v>28</v>
      </c>
      <c r="L306" s="2">
        <v>40817</v>
      </c>
      <c r="M306" t="s">
        <v>4229</v>
      </c>
      <c r="N306">
        <v>0</v>
      </c>
      <c r="O306" t="s">
        <v>4903</v>
      </c>
      <c r="P306">
        <v>0</v>
      </c>
      <c r="Q306" t="s">
        <v>4903</v>
      </c>
      <c r="R306" t="s">
        <v>1882</v>
      </c>
    </row>
    <row r="307" spans="1:18" hidden="1" x14ac:dyDescent="0.25">
      <c r="A307" t="s">
        <v>1605</v>
      </c>
      <c r="B307" t="s">
        <v>688</v>
      </c>
      <c r="C307" t="s">
        <v>39</v>
      </c>
      <c r="D307" t="s">
        <v>32</v>
      </c>
      <c r="E307" t="s">
        <v>282</v>
      </c>
      <c r="F307" t="s">
        <v>152</v>
      </c>
      <c r="G307" t="s">
        <v>1925</v>
      </c>
      <c r="H307" s="15">
        <v>706460</v>
      </c>
      <c r="I307" s="15">
        <v>0</v>
      </c>
      <c r="J307" t="s">
        <v>20</v>
      </c>
      <c r="K307" t="s">
        <v>28</v>
      </c>
      <c r="L307" s="2">
        <v>40817</v>
      </c>
      <c r="M307" t="s">
        <v>1926</v>
      </c>
      <c r="N307">
        <v>0</v>
      </c>
      <c r="O307" t="s">
        <v>4903</v>
      </c>
      <c r="P307">
        <v>0</v>
      </c>
      <c r="Q307" t="s">
        <v>4903</v>
      </c>
      <c r="R307" t="s">
        <v>1605</v>
      </c>
    </row>
    <row r="308" spans="1:18" hidden="1" x14ac:dyDescent="0.25">
      <c r="A308" t="s">
        <v>4075</v>
      </c>
      <c r="B308" t="s">
        <v>61</v>
      </c>
      <c r="C308" t="s">
        <v>62</v>
      </c>
      <c r="D308" t="s">
        <v>32</v>
      </c>
      <c r="E308" t="s">
        <v>282</v>
      </c>
      <c r="F308" t="s">
        <v>152</v>
      </c>
      <c r="G308" t="s">
        <v>4076</v>
      </c>
      <c r="H308" s="15">
        <v>272532</v>
      </c>
      <c r="I308" s="15">
        <v>0</v>
      </c>
      <c r="J308" t="s">
        <v>89</v>
      </c>
      <c r="K308" t="s">
        <v>28</v>
      </c>
      <c r="L308" s="2">
        <v>40817</v>
      </c>
      <c r="M308" t="s">
        <v>4077</v>
      </c>
      <c r="N308">
        <v>0</v>
      </c>
      <c r="O308" t="s">
        <v>4903</v>
      </c>
      <c r="P308">
        <v>0</v>
      </c>
      <c r="Q308" t="s">
        <v>4903</v>
      </c>
      <c r="R308" t="s">
        <v>4075</v>
      </c>
    </row>
    <row r="309" spans="1:18" hidden="1" x14ac:dyDescent="0.25">
      <c r="A309" t="s">
        <v>4489</v>
      </c>
      <c r="B309" t="s">
        <v>923</v>
      </c>
      <c r="C309" t="s">
        <v>15</v>
      </c>
      <c r="D309" t="s">
        <v>32</v>
      </c>
      <c r="E309" t="s">
        <v>282</v>
      </c>
      <c r="F309" t="s">
        <v>140</v>
      </c>
      <c r="G309" t="s">
        <v>4490</v>
      </c>
      <c r="H309" s="15">
        <v>549816</v>
      </c>
      <c r="I309" s="15">
        <v>0</v>
      </c>
      <c r="J309" t="s">
        <v>20</v>
      </c>
      <c r="K309" t="s">
        <v>28</v>
      </c>
      <c r="L309" s="2">
        <v>40817</v>
      </c>
      <c r="M309" t="s">
        <v>4491</v>
      </c>
      <c r="N309">
        <v>0</v>
      </c>
      <c r="O309" t="s">
        <v>4903</v>
      </c>
      <c r="P309">
        <v>0</v>
      </c>
      <c r="Q309" t="s">
        <v>4903</v>
      </c>
      <c r="R309" t="s">
        <v>4489</v>
      </c>
    </row>
    <row r="310" spans="1:18" hidden="1" x14ac:dyDescent="0.25">
      <c r="A310" t="s">
        <v>4649</v>
      </c>
      <c r="B310" t="s">
        <v>676</v>
      </c>
      <c r="C310" t="s">
        <v>39</v>
      </c>
      <c r="D310" t="s">
        <v>32</v>
      </c>
      <c r="E310" t="s">
        <v>282</v>
      </c>
      <c r="F310" t="s">
        <v>140</v>
      </c>
      <c r="G310" t="s">
        <v>4650</v>
      </c>
      <c r="H310" s="15">
        <v>338166</v>
      </c>
      <c r="I310" s="15">
        <v>0</v>
      </c>
      <c r="J310" t="s">
        <v>89</v>
      </c>
      <c r="K310" t="s">
        <v>28</v>
      </c>
      <c r="L310" s="2">
        <v>40817</v>
      </c>
      <c r="M310" t="s">
        <v>4651</v>
      </c>
      <c r="N310">
        <v>0</v>
      </c>
      <c r="O310" t="s">
        <v>4903</v>
      </c>
      <c r="P310">
        <v>0</v>
      </c>
      <c r="Q310" t="s">
        <v>4903</v>
      </c>
      <c r="R310" t="s">
        <v>4649</v>
      </c>
    </row>
    <row r="311" spans="1:18" hidden="1" x14ac:dyDescent="0.25">
      <c r="A311" t="s">
        <v>3185</v>
      </c>
      <c r="B311" t="s">
        <v>126</v>
      </c>
      <c r="C311" t="s">
        <v>39</v>
      </c>
      <c r="D311" t="s">
        <v>581</v>
      </c>
      <c r="E311" t="s">
        <v>759</v>
      </c>
      <c r="F311" t="s">
        <v>98</v>
      </c>
      <c r="G311" t="s">
        <v>3186</v>
      </c>
      <c r="H311" s="15">
        <v>571200</v>
      </c>
      <c r="I311" s="15">
        <v>0</v>
      </c>
      <c r="J311" t="s">
        <v>20</v>
      </c>
      <c r="K311" t="s">
        <v>116</v>
      </c>
      <c r="L311" s="2">
        <v>40817</v>
      </c>
      <c r="M311" t="s">
        <v>3187</v>
      </c>
      <c r="N311">
        <v>0</v>
      </c>
      <c r="O311" t="s">
        <v>4903</v>
      </c>
      <c r="P311">
        <v>0</v>
      </c>
      <c r="Q311" t="s">
        <v>4903</v>
      </c>
      <c r="R311" t="s">
        <v>3185</v>
      </c>
    </row>
    <row r="312" spans="1:18" hidden="1" x14ac:dyDescent="0.25">
      <c r="A312" t="s">
        <v>2761</v>
      </c>
      <c r="B312" t="s">
        <v>635</v>
      </c>
      <c r="C312" t="s">
        <v>39</v>
      </c>
      <c r="D312" t="s">
        <v>32</v>
      </c>
      <c r="E312" t="s">
        <v>282</v>
      </c>
      <c r="F312" t="s">
        <v>152</v>
      </c>
      <c r="G312" t="s">
        <v>2762</v>
      </c>
      <c r="H312" s="15">
        <v>606634</v>
      </c>
      <c r="I312" s="15">
        <v>0</v>
      </c>
      <c r="J312" t="s">
        <v>20</v>
      </c>
      <c r="K312" t="s">
        <v>28</v>
      </c>
      <c r="L312" s="2">
        <v>40817</v>
      </c>
      <c r="M312" t="s">
        <v>2763</v>
      </c>
      <c r="N312">
        <v>3</v>
      </c>
      <c r="O312" t="s">
        <v>4903</v>
      </c>
      <c r="P312">
        <v>0</v>
      </c>
      <c r="Q312" t="s">
        <v>4903</v>
      </c>
      <c r="R312" t="s">
        <v>2761</v>
      </c>
    </row>
    <row r="313" spans="1:18" hidden="1" x14ac:dyDescent="0.25">
      <c r="A313" t="s">
        <v>524</v>
      </c>
      <c r="B313" t="s">
        <v>525</v>
      </c>
      <c r="C313" t="s">
        <v>39</v>
      </c>
      <c r="D313" t="s">
        <v>32</v>
      </c>
      <c r="E313" t="s">
        <v>282</v>
      </c>
      <c r="F313" t="s">
        <v>140</v>
      </c>
      <c r="G313" t="s">
        <v>526</v>
      </c>
      <c r="H313" s="15">
        <v>345661</v>
      </c>
      <c r="I313" s="15">
        <v>0</v>
      </c>
      <c r="J313" t="s">
        <v>89</v>
      </c>
      <c r="K313" t="s">
        <v>322</v>
      </c>
      <c r="L313" s="2">
        <v>40817</v>
      </c>
      <c r="M313" t="s">
        <v>527</v>
      </c>
      <c r="N313">
        <v>0</v>
      </c>
      <c r="O313" t="s">
        <v>4903</v>
      </c>
      <c r="P313">
        <v>0</v>
      </c>
      <c r="Q313" t="s">
        <v>4903</v>
      </c>
      <c r="R313" t="s">
        <v>524</v>
      </c>
    </row>
    <row r="314" spans="1:18" hidden="1" x14ac:dyDescent="0.25">
      <c r="A314" t="s">
        <v>805</v>
      </c>
      <c r="B314" t="s">
        <v>31</v>
      </c>
      <c r="C314" t="s">
        <v>15</v>
      </c>
      <c r="D314" t="s">
        <v>32</v>
      </c>
      <c r="E314" t="s">
        <v>282</v>
      </c>
      <c r="F314" t="s">
        <v>152</v>
      </c>
      <c r="G314" t="s">
        <v>868</v>
      </c>
      <c r="H314" s="15">
        <v>335472</v>
      </c>
      <c r="I314" s="15">
        <v>0</v>
      </c>
      <c r="J314" t="s">
        <v>89</v>
      </c>
      <c r="K314" t="s">
        <v>28</v>
      </c>
      <c r="L314" s="2">
        <v>40817</v>
      </c>
      <c r="M314" t="s">
        <v>869</v>
      </c>
      <c r="N314">
        <v>0</v>
      </c>
      <c r="O314" t="s">
        <v>4903</v>
      </c>
      <c r="P314">
        <v>0</v>
      </c>
      <c r="Q314" t="s">
        <v>4903</v>
      </c>
      <c r="R314" t="s">
        <v>805</v>
      </c>
    </row>
    <row r="315" spans="1:18" hidden="1" x14ac:dyDescent="0.25">
      <c r="A315" t="s">
        <v>409</v>
      </c>
      <c r="B315" t="s">
        <v>190</v>
      </c>
      <c r="C315" t="s">
        <v>15</v>
      </c>
      <c r="D315" t="s">
        <v>32</v>
      </c>
      <c r="E315" t="s">
        <v>282</v>
      </c>
      <c r="F315" t="s">
        <v>34</v>
      </c>
      <c r="G315" t="s">
        <v>410</v>
      </c>
      <c r="H315" s="15">
        <v>369252</v>
      </c>
      <c r="I315" s="15">
        <v>0</v>
      </c>
      <c r="J315" t="s">
        <v>20</v>
      </c>
      <c r="K315" t="s">
        <v>28</v>
      </c>
      <c r="L315" s="2">
        <v>40817</v>
      </c>
      <c r="M315" t="s">
        <v>411</v>
      </c>
      <c r="N315">
        <v>0</v>
      </c>
      <c r="O315" t="s">
        <v>4903</v>
      </c>
      <c r="P315">
        <v>0</v>
      </c>
      <c r="Q315" t="s">
        <v>4903</v>
      </c>
      <c r="R315" t="s">
        <v>409</v>
      </c>
    </row>
    <row r="316" spans="1:18" hidden="1" x14ac:dyDescent="0.25">
      <c r="A316" t="s">
        <v>2864</v>
      </c>
      <c r="B316" t="s">
        <v>84</v>
      </c>
      <c r="C316" t="s">
        <v>15</v>
      </c>
      <c r="D316" t="s">
        <v>32</v>
      </c>
      <c r="E316" t="s">
        <v>282</v>
      </c>
      <c r="F316" t="s">
        <v>18</v>
      </c>
      <c r="G316" t="s">
        <v>2865</v>
      </c>
      <c r="H316" s="15">
        <v>346262</v>
      </c>
      <c r="I316" s="15">
        <v>0</v>
      </c>
      <c r="J316" t="s">
        <v>89</v>
      </c>
      <c r="K316" t="s">
        <v>326</v>
      </c>
      <c r="L316" s="2">
        <v>40817</v>
      </c>
      <c r="M316" t="s">
        <v>2866</v>
      </c>
      <c r="N316">
        <v>1</v>
      </c>
      <c r="O316" t="s">
        <v>4903</v>
      </c>
      <c r="P316">
        <v>0</v>
      </c>
      <c r="Q316" t="s">
        <v>4903</v>
      </c>
      <c r="R316" t="s">
        <v>2864</v>
      </c>
    </row>
    <row r="317" spans="1:18" hidden="1" x14ac:dyDescent="0.25">
      <c r="A317" t="s">
        <v>1998</v>
      </c>
      <c r="B317" t="s">
        <v>47</v>
      </c>
      <c r="C317" t="s">
        <v>48</v>
      </c>
      <c r="D317" t="s">
        <v>32</v>
      </c>
      <c r="E317" t="s">
        <v>282</v>
      </c>
      <c r="F317" t="s">
        <v>26</v>
      </c>
      <c r="G317" t="s">
        <v>1999</v>
      </c>
      <c r="H317" s="15">
        <v>563330</v>
      </c>
      <c r="I317" s="15">
        <v>0</v>
      </c>
      <c r="J317" t="s">
        <v>154</v>
      </c>
      <c r="K317" t="s">
        <v>28</v>
      </c>
      <c r="L317" s="2">
        <v>40817</v>
      </c>
      <c r="M317" t="s">
        <v>2000</v>
      </c>
      <c r="N317">
        <v>4</v>
      </c>
      <c r="O317" t="s">
        <v>4903</v>
      </c>
      <c r="P317">
        <v>0</v>
      </c>
      <c r="Q317" t="s">
        <v>4903</v>
      </c>
      <c r="R317" t="s">
        <v>1998</v>
      </c>
    </row>
    <row r="318" spans="1:18" hidden="1" x14ac:dyDescent="0.25">
      <c r="A318" t="s">
        <v>1686</v>
      </c>
      <c r="B318" t="s">
        <v>635</v>
      </c>
      <c r="C318" t="s">
        <v>39</v>
      </c>
      <c r="D318" t="s">
        <v>32</v>
      </c>
      <c r="E318" t="s">
        <v>282</v>
      </c>
      <c r="F318" t="s">
        <v>34</v>
      </c>
      <c r="G318" t="s">
        <v>2952</v>
      </c>
      <c r="H318" s="15">
        <v>631588</v>
      </c>
      <c r="I318" s="15">
        <v>0</v>
      </c>
      <c r="J318" t="s">
        <v>154</v>
      </c>
      <c r="K318" t="s">
        <v>21</v>
      </c>
      <c r="L318" s="2">
        <v>40817</v>
      </c>
      <c r="M318" t="s">
        <v>2953</v>
      </c>
      <c r="N318">
        <v>0</v>
      </c>
      <c r="O318" t="s">
        <v>4903</v>
      </c>
      <c r="P318">
        <v>0</v>
      </c>
      <c r="Q318" t="s">
        <v>4903</v>
      </c>
      <c r="R318" t="s">
        <v>1686</v>
      </c>
    </row>
    <row r="319" spans="1:18" hidden="1" x14ac:dyDescent="0.25">
      <c r="A319" t="s">
        <v>1102</v>
      </c>
      <c r="B319" t="s">
        <v>635</v>
      </c>
      <c r="C319" t="s">
        <v>39</v>
      </c>
      <c r="D319" t="s">
        <v>32</v>
      </c>
      <c r="E319" t="s">
        <v>282</v>
      </c>
      <c r="F319" t="s">
        <v>26</v>
      </c>
      <c r="G319" t="s">
        <v>3802</v>
      </c>
      <c r="H319" s="15">
        <v>497491</v>
      </c>
      <c r="I319" s="15">
        <v>0</v>
      </c>
      <c r="J319" t="s">
        <v>154</v>
      </c>
      <c r="K319" t="s">
        <v>28</v>
      </c>
      <c r="L319" s="2">
        <v>40817</v>
      </c>
      <c r="M319" t="s">
        <v>3803</v>
      </c>
      <c r="N319">
        <v>0</v>
      </c>
      <c r="O319" t="s">
        <v>4903</v>
      </c>
      <c r="P319">
        <v>0</v>
      </c>
      <c r="Q319" t="s">
        <v>4903</v>
      </c>
      <c r="R319" t="s">
        <v>1102</v>
      </c>
    </row>
    <row r="320" spans="1:18" hidden="1" x14ac:dyDescent="0.25">
      <c r="A320" t="s">
        <v>4255</v>
      </c>
      <c r="B320" t="s">
        <v>315</v>
      </c>
      <c r="C320" t="s">
        <v>39</v>
      </c>
      <c r="D320" t="s">
        <v>32</v>
      </c>
      <c r="E320" t="s">
        <v>282</v>
      </c>
      <c r="F320" t="s">
        <v>26</v>
      </c>
      <c r="G320" t="s">
        <v>4597</v>
      </c>
      <c r="H320" s="15">
        <v>377699</v>
      </c>
      <c r="I320" s="15">
        <v>0</v>
      </c>
      <c r="J320" t="s">
        <v>89</v>
      </c>
      <c r="K320" t="s">
        <v>28</v>
      </c>
      <c r="L320" s="2">
        <v>40817</v>
      </c>
      <c r="M320" t="s">
        <v>4598</v>
      </c>
      <c r="N320">
        <v>0</v>
      </c>
      <c r="O320" t="s">
        <v>4903</v>
      </c>
      <c r="P320">
        <v>0</v>
      </c>
      <c r="Q320" t="s">
        <v>4903</v>
      </c>
      <c r="R320" t="s">
        <v>4255</v>
      </c>
    </row>
    <row r="321" spans="1:18" hidden="1" x14ac:dyDescent="0.25">
      <c r="A321" t="s">
        <v>1539</v>
      </c>
      <c r="B321" t="s">
        <v>14</v>
      </c>
      <c r="C321" t="s">
        <v>15</v>
      </c>
      <c r="D321" t="s">
        <v>32</v>
      </c>
      <c r="E321" t="s">
        <v>282</v>
      </c>
      <c r="F321" t="s">
        <v>140</v>
      </c>
      <c r="G321" t="s">
        <v>3907</v>
      </c>
      <c r="H321" s="15">
        <v>812446</v>
      </c>
      <c r="I321" s="15">
        <v>0</v>
      </c>
      <c r="J321" t="s">
        <v>20</v>
      </c>
      <c r="K321" t="s">
        <v>28</v>
      </c>
      <c r="L321" s="2">
        <v>40817</v>
      </c>
      <c r="M321" t="s">
        <v>3908</v>
      </c>
      <c r="N321">
        <v>0</v>
      </c>
      <c r="O321" t="s">
        <v>4903</v>
      </c>
      <c r="P321">
        <v>0</v>
      </c>
      <c r="Q321" t="s">
        <v>4903</v>
      </c>
      <c r="R321" t="s">
        <v>1539</v>
      </c>
    </row>
    <row r="322" spans="1:18" hidden="1" x14ac:dyDescent="0.25">
      <c r="A322" t="s">
        <v>3455</v>
      </c>
      <c r="B322" t="s">
        <v>406</v>
      </c>
      <c r="C322" t="s">
        <v>62</v>
      </c>
      <c r="D322" t="s">
        <v>32</v>
      </c>
      <c r="E322" t="s">
        <v>282</v>
      </c>
      <c r="F322" t="s">
        <v>152</v>
      </c>
      <c r="G322" t="s">
        <v>3501</v>
      </c>
      <c r="H322" s="15">
        <v>357058</v>
      </c>
      <c r="I322" s="15">
        <v>0</v>
      </c>
      <c r="J322" t="s">
        <v>89</v>
      </c>
      <c r="K322" t="s">
        <v>28</v>
      </c>
      <c r="L322" s="2">
        <v>40817</v>
      </c>
      <c r="M322" t="s">
        <v>3502</v>
      </c>
      <c r="N322">
        <v>0</v>
      </c>
      <c r="O322" t="s">
        <v>4903</v>
      </c>
      <c r="P322">
        <v>0</v>
      </c>
      <c r="Q322" t="s">
        <v>4903</v>
      </c>
      <c r="R322" t="s">
        <v>3455</v>
      </c>
    </row>
    <row r="323" spans="1:18" hidden="1" x14ac:dyDescent="0.25">
      <c r="A323" t="s">
        <v>746</v>
      </c>
      <c r="B323" t="s">
        <v>478</v>
      </c>
      <c r="C323" t="s">
        <v>15</v>
      </c>
      <c r="D323" t="s">
        <v>32</v>
      </c>
      <c r="E323" t="s">
        <v>282</v>
      </c>
      <c r="F323" t="s">
        <v>18</v>
      </c>
      <c r="G323" t="s">
        <v>1731</v>
      </c>
      <c r="H323" s="15">
        <v>230350</v>
      </c>
      <c r="I323" s="15">
        <v>0</v>
      </c>
      <c r="J323" t="s">
        <v>89</v>
      </c>
      <c r="K323" t="s">
        <v>65</v>
      </c>
      <c r="L323" s="2">
        <v>40817</v>
      </c>
      <c r="M323" t="s">
        <v>1732</v>
      </c>
      <c r="N323">
        <v>1</v>
      </c>
      <c r="O323" t="s">
        <v>4903</v>
      </c>
      <c r="P323">
        <v>0</v>
      </c>
      <c r="Q323" t="s">
        <v>4903</v>
      </c>
      <c r="R323" t="s">
        <v>746</v>
      </c>
    </row>
    <row r="324" spans="1:18" hidden="1" x14ac:dyDescent="0.25">
      <c r="A324" t="s">
        <v>311</v>
      </c>
      <c r="B324" t="s">
        <v>47</v>
      </c>
      <c r="C324" t="s">
        <v>48</v>
      </c>
      <c r="D324" t="s">
        <v>32</v>
      </c>
      <c r="E324" t="s">
        <v>282</v>
      </c>
      <c r="F324" t="s">
        <v>26</v>
      </c>
      <c r="G324" t="s">
        <v>312</v>
      </c>
      <c r="H324" s="15">
        <v>340314</v>
      </c>
      <c r="I324" s="15">
        <v>0</v>
      </c>
      <c r="J324" t="s">
        <v>89</v>
      </c>
      <c r="K324" t="s">
        <v>65</v>
      </c>
      <c r="L324" s="2">
        <v>40817</v>
      </c>
      <c r="M324" t="s">
        <v>313</v>
      </c>
      <c r="N324">
        <v>2</v>
      </c>
      <c r="O324" t="s">
        <v>4903</v>
      </c>
      <c r="P324">
        <v>0</v>
      </c>
      <c r="Q324" t="s">
        <v>4903</v>
      </c>
      <c r="R324" t="s">
        <v>311</v>
      </c>
    </row>
    <row r="325" spans="1:18" hidden="1" x14ac:dyDescent="0.25">
      <c r="A325" t="s">
        <v>982</v>
      </c>
      <c r="B325" t="s">
        <v>320</v>
      </c>
      <c r="C325" t="s">
        <v>39</v>
      </c>
      <c r="D325" t="s">
        <v>983</v>
      </c>
      <c r="E325" t="s">
        <v>984</v>
      </c>
      <c r="F325" t="s">
        <v>985</v>
      </c>
      <c r="G325" t="s">
        <v>986</v>
      </c>
      <c r="H325" s="15">
        <v>140000</v>
      </c>
      <c r="I325" s="15">
        <v>60000</v>
      </c>
      <c r="J325" t="s">
        <v>455</v>
      </c>
      <c r="K325" t="s">
        <v>100</v>
      </c>
      <c r="L325" s="2">
        <v>40940</v>
      </c>
      <c r="M325" t="s">
        <v>987</v>
      </c>
      <c r="N325">
        <v>0</v>
      </c>
      <c r="O325" t="s">
        <v>4903</v>
      </c>
      <c r="P325">
        <v>0</v>
      </c>
      <c r="Q325" t="s">
        <v>4903</v>
      </c>
      <c r="R325" t="s">
        <v>982</v>
      </c>
    </row>
    <row r="326" spans="1:18" hidden="1" x14ac:dyDescent="0.25">
      <c r="A326" t="s">
        <v>2231</v>
      </c>
      <c r="B326" t="s">
        <v>315</v>
      </c>
      <c r="C326" t="s">
        <v>39</v>
      </c>
      <c r="D326" t="s">
        <v>983</v>
      </c>
      <c r="E326" t="s">
        <v>984</v>
      </c>
      <c r="F326" t="s">
        <v>985</v>
      </c>
      <c r="G326" t="s">
        <v>2232</v>
      </c>
      <c r="H326" s="15">
        <v>190662</v>
      </c>
      <c r="I326" s="15">
        <v>3000</v>
      </c>
      <c r="J326" t="s">
        <v>455</v>
      </c>
      <c r="K326" t="s">
        <v>201</v>
      </c>
      <c r="L326" s="2">
        <v>40940</v>
      </c>
      <c r="M326" t="s">
        <v>2233</v>
      </c>
      <c r="N326">
        <v>0</v>
      </c>
      <c r="O326" t="s">
        <v>4903</v>
      </c>
      <c r="P326">
        <v>0</v>
      </c>
      <c r="Q326" t="s">
        <v>4903</v>
      </c>
      <c r="R326" t="s">
        <v>2231</v>
      </c>
    </row>
    <row r="327" spans="1:18" hidden="1" x14ac:dyDescent="0.25">
      <c r="A327" t="s">
        <v>3162</v>
      </c>
      <c r="B327" t="s">
        <v>614</v>
      </c>
      <c r="C327" t="s">
        <v>39</v>
      </c>
      <c r="D327" t="s">
        <v>983</v>
      </c>
      <c r="E327" t="s">
        <v>984</v>
      </c>
      <c r="F327" t="s">
        <v>985</v>
      </c>
      <c r="G327" t="s">
        <v>3163</v>
      </c>
      <c r="H327" s="15">
        <v>193482</v>
      </c>
      <c r="I327" s="15">
        <v>0</v>
      </c>
      <c r="J327" t="s">
        <v>89</v>
      </c>
      <c r="K327" t="s">
        <v>100</v>
      </c>
      <c r="L327" s="2">
        <v>40940</v>
      </c>
      <c r="M327" t="s">
        <v>3164</v>
      </c>
      <c r="N327">
        <v>0</v>
      </c>
      <c r="O327" t="s">
        <v>4903</v>
      </c>
      <c r="P327">
        <v>0</v>
      </c>
      <c r="Q327" t="s">
        <v>4903</v>
      </c>
      <c r="R327" t="s">
        <v>3162</v>
      </c>
    </row>
    <row r="328" spans="1:18" hidden="1" x14ac:dyDescent="0.25">
      <c r="A328" t="s">
        <v>562</v>
      </c>
      <c r="B328" t="s">
        <v>190</v>
      </c>
      <c r="C328" t="s">
        <v>15</v>
      </c>
      <c r="D328" t="s">
        <v>710</v>
      </c>
      <c r="E328" t="s">
        <v>711</v>
      </c>
      <c r="F328" t="s">
        <v>18</v>
      </c>
      <c r="G328" t="s">
        <v>708</v>
      </c>
      <c r="H328" s="15">
        <v>100000</v>
      </c>
      <c r="I328" s="15">
        <v>0</v>
      </c>
      <c r="J328" t="s">
        <v>44</v>
      </c>
      <c r="K328" t="s">
        <v>65</v>
      </c>
      <c r="L328" s="2">
        <v>40969</v>
      </c>
      <c r="M328" t="s">
        <v>709</v>
      </c>
      <c r="N328">
        <v>0</v>
      </c>
      <c r="O328" t="s">
        <v>4903</v>
      </c>
      <c r="P328">
        <v>0</v>
      </c>
      <c r="Q328" t="s">
        <v>4903</v>
      </c>
      <c r="R328" t="s">
        <v>562</v>
      </c>
    </row>
    <row r="329" spans="1:18" hidden="1" x14ac:dyDescent="0.25">
      <c r="A329" t="s">
        <v>2117</v>
      </c>
      <c r="B329" t="s">
        <v>47</v>
      </c>
      <c r="C329" t="s">
        <v>48</v>
      </c>
      <c r="D329" t="s">
        <v>689</v>
      </c>
      <c r="E329" t="s">
        <v>3593</v>
      </c>
      <c r="F329" t="s">
        <v>152</v>
      </c>
      <c r="G329" t="s">
        <v>3591</v>
      </c>
      <c r="H329" s="15">
        <v>100000</v>
      </c>
      <c r="I329" s="15">
        <v>0</v>
      </c>
      <c r="J329" t="s">
        <v>44</v>
      </c>
      <c r="K329" t="s">
        <v>28</v>
      </c>
      <c r="L329" s="2">
        <v>40969</v>
      </c>
      <c r="M329" t="s">
        <v>3592</v>
      </c>
      <c r="N329">
        <v>0</v>
      </c>
      <c r="O329" t="s">
        <v>4903</v>
      </c>
      <c r="P329">
        <v>0</v>
      </c>
      <c r="Q329" t="s">
        <v>4903</v>
      </c>
      <c r="R329" t="s">
        <v>2117</v>
      </c>
    </row>
    <row r="330" spans="1:18" hidden="1" x14ac:dyDescent="0.25">
      <c r="A330" t="s">
        <v>4057</v>
      </c>
      <c r="B330" t="s">
        <v>676</v>
      </c>
      <c r="C330" t="s">
        <v>39</v>
      </c>
      <c r="D330" t="s">
        <v>108</v>
      </c>
      <c r="E330" t="s">
        <v>109</v>
      </c>
      <c r="F330" t="s">
        <v>152</v>
      </c>
      <c r="G330" t="s">
        <v>4060</v>
      </c>
      <c r="H330" s="15">
        <v>100000</v>
      </c>
      <c r="I330" s="15">
        <v>0</v>
      </c>
      <c r="J330" t="s">
        <v>44</v>
      </c>
      <c r="K330" t="s">
        <v>28</v>
      </c>
      <c r="L330" s="2">
        <v>40969</v>
      </c>
      <c r="M330" t="s">
        <v>4061</v>
      </c>
      <c r="N330">
        <v>0</v>
      </c>
      <c r="O330" t="s">
        <v>4903</v>
      </c>
      <c r="P330">
        <v>0</v>
      </c>
      <c r="Q330" t="s">
        <v>4903</v>
      </c>
      <c r="R330" t="s">
        <v>4057</v>
      </c>
    </row>
    <row r="331" spans="1:18" hidden="1" x14ac:dyDescent="0.25">
      <c r="A331" t="s">
        <v>107</v>
      </c>
      <c r="B331" t="s">
        <v>14</v>
      </c>
      <c r="C331" t="s">
        <v>15</v>
      </c>
      <c r="D331" t="s">
        <v>108</v>
      </c>
      <c r="E331" t="s">
        <v>109</v>
      </c>
      <c r="F331" t="s">
        <v>34</v>
      </c>
      <c r="G331" t="s">
        <v>110</v>
      </c>
      <c r="H331" s="15">
        <v>100000</v>
      </c>
      <c r="I331" s="15">
        <v>0</v>
      </c>
      <c r="J331" t="s">
        <v>44</v>
      </c>
      <c r="K331" t="s">
        <v>28</v>
      </c>
      <c r="L331" s="2">
        <v>40969</v>
      </c>
      <c r="M331" t="s">
        <v>111</v>
      </c>
      <c r="N331">
        <v>0</v>
      </c>
      <c r="O331" t="s">
        <v>4903</v>
      </c>
      <c r="P331">
        <v>0</v>
      </c>
      <c r="Q331" t="s">
        <v>4903</v>
      </c>
      <c r="R331" t="s">
        <v>107</v>
      </c>
    </row>
    <row r="332" spans="1:18" hidden="1" x14ac:dyDescent="0.25">
      <c r="A332" t="s">
        <v>2492</v>
      </c>
      <c r="B332" t="s">
        <v>61</v>
      </c>
      <c r="C332" t="s">
        <v>62</v>
      </c>
      <c r="D332" t="s">
        <v>710</v>
      </c>
      <c r="E332" t="s">
        <v>711</v>
      </c>
      <c r="F332" t="s">
        <v>18</v>
      </c>
      <c r="G332" t="s">
        <v>2493</v>
      </c>
      <c r="H332" s="15">
        <v>100000</v>
      </c>
      <c r="I332" s="15">
        <v>0</v>
      </c>
      <c r="J332" t="s">
        <v>44</v>
      </c>
      <c r="K332" t="s">
        <v>65</v>
      </c>
      <c r="L332" s="2">
        <v>40969</v>
      </c>
      <c r="M332" t="s">
        <v>2494</v>
      </c>
      <c r="N332">
        <v>0</v>
      </c>
      <c r="O332" t="s">
        <v>4903</v>
      </c>
      <c r="P332">
        <v>0</v>
      </c>
      <c r="Q332" t="s">
        <v>4903</v>
      </c>
      <c r="R332" t="s">
        <v>2492</v>
      </c>
    </row>
    <row r="333" spans="1:18" hidden="1" x14ac:dyDescent="0.25">
      <c r="A333" t="s">
        <v>1894</v>
      </c>
      <c r="B333" t="s">
        <v>315</v>
      </c>
      <c r="C333" t="s">
        <v>39</v>
      </c>
      <c r="D333" t="s">
        <v>108</v>
      </c>
      <c r="E333" t="s">
        <v>109</v>
      </c>
      <c r="F333" t="s">
        <v>152</v>
      </c>
      <c r="G333" t="s">
        <v>3763</v>
      </c>
      <c r="H333" s="15">
        <v>100000</v>
      </c>
      <c r="I333" s="15">
        <v>0</v>
      </c>
      <c r="J333" t="s">
        <v>44</v>
      </c>
      <c r="K333" t="s">
        <v>28</v>
      </c>
      <c r="L333" s="2">
        <v>40969</v>
      </c>
      <c r="M333" t="s">
        <v>3764</v>
      </c>
      <c r="N333">
        <v>0</v>
      </c>
      <c r="O333" t="s">
        <v>4903</v>
      </c>
      <c r="P333">
        <v>0</v>
      </c>
      <c r="Q333" t="s">
        <v>4903</v>
      </c>
      <c r="R333" t="s">
        <v>1894</v>
      </c>
    </row>
    <row r="334" spans="1:18" x14ac:dyDescent="0.25">
      <c r="A334" t="s">
        <v>324</v>
      </c>
      <c r="B334" t="s">
        <v>113</v>
      </c>
      <c r="C334" t="s">
        <v>15</v>
      </c>
      <c r="D334" t="s">
        <v>16</v>
      </c>
      <c r="E334" t="s">
        <v>373</v>
      </c>
      <c r="F334" t="s">
        <v>34</v>
      </c>
      <c r="G334" t="s">
        <v>3097</v>
      </c>
      <c r="H334" s="15">
        <v>654076</v>
      </c>
      <c r="I334" s="15">
        <v>0</v>
      </c>
      <c r="J334" t="s">
        <v>154</v>
      </c>
      <c r="K334" t="s">
        <v>28</v>
      </c>
      <c r="L334" s="2">
        <v>45017</v>
      </c>
      <c r="M334" t="s">
        <v>3098</v>
      </c>
      <c r="N334">
        <v>3</v>
      </c>
      <c r="O334" t="s">
        <v>4827</v>
      </c>
      <c r="P334">
        <v>1</v>
      </c>
      <c r="Q334" t="s">
        <v>4809</v>
      </c>
      <c r="R334" t="s">
        <v>324</v>
      </c>
    </row>
    <row r="335" spans="1:18" x14ac:dyDescent="0.25">
      <c r="A335" t="s">
        <v>265</v>
      </c>
      <c r="B335" t="s">
        <v>103</v>
      </c>
      <c r="C335" t="s">
        <v>15</v>
      </c>
      <c r="D335" t="s">
        <v>120</v>
      </c>
      <c r="E335" t="s">
        <v>121</v>
      </c>
      <c r="F335" t="s">
        <v>122</v>
      </c>
      <c r="G335" t="s">
        <v>783</v>
      </c>
      <c r="H335" s="15">
        <v>292815</v>
      </c>
      <c r="I335" s="15">
        <v>0</v>
      </c>
      <c r="J335" t="s">
        <v>89</v>
      </c>
      <c r="K335" t="s">
        <v>57</v>
      </c>
      <c r="L335" s="2">
        <v>40087</v>
      </c>
      <c r="M335" t="s">
        <v>784</v>
      </c>
      <c r="N335">
        <v>14</v>
      </c>
      <c r="O335" t="s">
        <v>4813</v>
      </c>
      <c r="P335">
        <v>1</v>
      </c>
      <c r="Q335" t="s">
        <v>4809</v>
      </c>
      <c r="R335" t="s">
        <v>265</v>
      </c>
    </row>
    <row r="336" spans="1:18" hidden="1" x14ac:dyDescent="0.25">
      <c r="A336" t="s">
        <v>2724</v>
      </c>
      <c r="B336" t="s">
        <v>47</v>
      </c>
      <c r="C336" t="s">
        <v>48</v>
      </c>
      <c r="D336" t="s">
        <v>32</v>
      </c>
      <c r="E336" t="s">
        <v>269</v>
      </c>
      <c r="F336" t="s">
        <v>140</v>
      </c>
      <c r="G336" t="s">
        <v>3474</v>
      </c>
      <c r="H336" s="15">
        <v>588895</v>
      </c>
      <c r="I336" s="15">
        <v>0</v>
      </c>
      <c r="J336" t="s">
        <v>154</v>
      </c>
      <c r="K336" t="s">
        <v>28</v>
      </c>
      <c r="L336" s="2">
        <v>41000</v>
      </c>
      <c r="M336" t="s">
        <v>3475</v>
      </c>
      <c r="N336">
        <v>0</v>
      </c>
      <c r="O336" t="s">
        <v>4903</v>
      </c>
      <c r="P336">
        <v>0</v>
      </c>
      <c r="Q336" t="s">
        <v>4903</v>
      </c>
      <c r="R336" t="s">
        <v>2724</v>
      </c>
    </row>
    <row r="337" spans="1:18" hidden="1" x14ac:dyDescent="0.25">
      <c r="A337" t="s">
        <v>3919</v>
      </c>
      <c r="B337" t="s">
        <v>406</v>
      </c>
      <c r="C337" t="s">
        <v>62</v>
      </c>
      <c r="D337" t="s">
        <v>32</v>
      </c>
      <c r="E337" t="s">
        <v>269</v>
      </c>
      <c r="F337" t="s">
        <v>152</v>
      </c>
      <c r="G337" t="s">
        <v>3920</v>
      </c>
      <c r="H337" s="15">
        <v>135206</v>
      </c>
      <c r="I337" s="15">
        <v>0</v>
      </c>
      <c r="J337" t="s">
        <v>455</v>
      </c>
      <c r="K337" t="s">
        <v>28</v>
      </c>
      <c r="L337" s="2">
        <v>41000</v>
      </c>
      <c r="M337" t="s">
        <v>3921</v>
      </c>
      <c r="N337">
        <v>0</v>
      </c>
      <c r="O337" t="s">
        <v>4903</v>
      </c>
      <c r="P337">
        <v>0</v>
      </c>
      <c r="Q337" t="s">
        <v>4903</v>
      </c>
      <c r="R337" t="s">
        <v>3919</v>
      </c>
    </row>
    <row r="338" spans="1:18" hidden="1" x14ac:dyDescent="0.25">
      <c r="A338" t="s">
        <v>796</v>
      </c>
      <c r="B338" t="s">
        <v>315</v>
      </c>
      <c r="C338" t="s">
        <v>39</v>
      </c>
      <c r="D338" t="s">
        <v>32</v>
      </c>
      <c r="E338" t="s">
        <v>269</v>
      </c>
      <c r="F338" t="s">
        <v>26</v>
      </c>
      <c r="G338" t="s">
        <v>797</v>
      </c>
      <c r="H338" s="15">
        <v>834100</v>
      </c>
      <c r="I338" s="15">
        <v>0</v>
      </c>
      <c r="J338" t="s">
        <v>20</v>
      </c>
      <c r="K338" t="s">
        <v>28</v>
      </c>
      <c r="L338" s="2">
        <v>41000</v>
      </c>
      <c r="M338" t="s">
        <v>798</v>
      </c>
      <c r="N338">
        <v>0</v>
      </c>
      <c r="O338" t="s">
        <v>4903</v>
      </c>
      <c r="P338">
        <v>0</v>
      </c>
      <c r="Q338" t="s">
        <v>4903</v>
      </c>
      <c r="R338" t="s">
        <v>796</v>
      </c>
    </row>
    <row r="339" spans="1:18" hidden="1" x14ac:dyDescent="0.25">
      <c r="A339" t="s">
        <v>2578</v>
      </c>
      <c r="B339" t="s">
        <v>350</v>
      </c>
      <c r="C339" t="s">
        <v>39</v>
      </c>
      <c r="D339" t="s">
        <v>32</v>
      </c>
      <c r="E339" t="s">
        <v>269</v>
      </c>
      <c r="F339" t="s">
        <v>18</v>
      </c>
      <c r="G339" t="s">
        <v>3720</v>
      </c>
      <c r="H339" s="15">
        <v>727135</v>
      </c>
      <c r="I339" s="15">
        <v>0</v>
      </c>
      <c r="J339" t="s">
        <v>20</v>
      </c>
      <c r="K339" t="s">
        <v>65</v>
      </c>
      <c r="L339" s="2">
        <v>41000</v>
      </c>
      <c r="M339" t="s">
        <v>3721</v>
      </c>
      <c r="N339">
        <v>0</v>
      </c>
      <c r="O339" t="s">
        <v>4903</v>
      </c>
      <c r="P339">
        <v>0</v>
      </c>
      <c r="Q339" t="s">
        <v>4903</v>
      </c>
      <c r="R339" t="s">
        <v>2578</v>
      </c>
    </row>
    <row r="340" spans="1:18" hidden="1" x14ac:dyDescent="0.25">
      <c r="A340" t="s">
        <v>340</v>
      </c>
      <c r="B340" t="s">
        <v>24</v>
      </c>
      <c r="C340" t="s">
        <v>15</v>
      </c>
      <c r="D340" t="s">
        <v>32</v>
      </c>
      <c r="E340" t="s">
        <v>269</v>
      </c>
      <c r="F340" t="s">
        <v>34</v>
      </c>
      <c r="G340" t="s">
        <v>341</v>
      </c>
      <c r="H340" s="15">
        <v>360706</v>
      </c>
      <c r="I340" s="15">
        <v>0</v>
      </c>
      <c r="J340" t="s">
        <v>154</v>
      </c>
      <c r="K340" t="s">
        <v>28</v>
      </c>
      <c r="L340" s="2">
        <v>41000</v>
      </c>
      <c r="M340" t="s">
        <v>342</v>
      </c>
      <c r="N340">
        <v>0</v>
      </c>
      <c r="O340" t="s">
        <v>4903</v>
      </c>
      <c r="P340">
        <v>0</v>
      </c>
      <c r="Q340" t="s">
        <v>4903</v>
      </c>
      <c r="R340" t="s">
        <v>340</v>
      </c>
    </row>
    <row r="341" spans="1:18" hidden="1" x14ac:dyDescent="0.25">
      <c r="A341" t="s">
        <v>2457</v>
      </c>
      <c r="B341" t="s">
        <v>47</v>
      </c>
      <c r="C341" t="s">
        <v>48</v>
      </c>
      <c r="D341" t="s">
        <v>32</v>
      </c>
      <c r="E341" t="s">
        <v>269</v>
      </c>
      <c r="F341" t="s">
        <v>140</v>
      </c>
      <c r="G341" t="s">
        <v>3342</v>
      </c>
      <c r="H341" s="15">
        <v>567625</v>
      </c>
      <c r="I341" s="15">
        <v>0</v>
      </c>
      <c r="J341" t="s">
        <v>20</v>
      </c>
      <c r="K341" t="s">
        <v>28</v>
      </c>
      <c r="L341" s="2">
        <v>41000</v>
      </c>
      <c r="M341" t="s">
        <v>3343</v>
      </c>
      <c r="N341">
        <v>0</v>
      </c>
      <c r="O341" t="s">
        <v>4903</v>
      </c>
      <c r="P341">
        <v>0</v>
      </c>
      <c r="Q341" t="s">
        <v>4903</v>
      </c>
      <c r="R341" t="s">
        <v>2457</v>
      </c>
    </row>
    <row r="342" spans="1:18" hidden="1" x14ac:dyDescent="0.25">
      <c r="A342" t="s">
        <v>3909</v>
      </c>
      <c r="B342" t="s">
        <v>190</v>
      </c>
      <c r="C342" t="s">
        <v>15</v>
      </c>
      <c r="D342" t="s">
        <v>32</v>
      </c>
      <c r="E342" t="s">
        <v>269</v>
      </c>
      <c r="F342" t="s">
        <v>140</v>
      </c>
      <c r="G342" t="s">
        <v>3910</v>
      </c>
      <c r="H342" s="15">
        <v>706058</v>
      </c>
      <c r="I342" s="15">
        <v>0</v>
      </c>
      <c r="J342" t="s">
        <v>20</v>
      </c>
      <c r="K342" t="s">
        <v>28</v>
      </c>
      <c r="L342" s="2">
        <v>41000</v>
      </c>
      <c r="M342" t="s">
        <v>3911</v>
      </c>
      <c r="N342">
        <v>0</v>
      </c>
      <c r="O342" t="s">
        <v>4903</v>
      </c>
      <c r="P342">
        <v>0</v>
      </c>
      <c r="Q342" t="s">
        <v>4903</v>
      </c>
      <c r="R342" t="s">
        <v>3909</v>
      </c>
    </row>
    <row r="343" spans="1:18" hidden="1" x14ac:dyDescent="0.25">
      <c r="A343" t="s">
        <v>913</v>
      </c>
      <c r="B343" t="s">
        <v>14</v>
      </c>
      <c r="C343" t="s">
        <v>15</v>
      </c>
      <c r="D343" t="s">
        <v>32</v>
      </c>
      <c r="E343" t="s">
        <v>269</v>
      </c>
      <c r="F343" t="s">
        <v>26</v>
      </c>
      <c r="G343" t="s">
        <v>4532</v>
      </c>
      <c r="H343" s="15">
        <v>403829</v>
      </c>
      <c r="I343" s="15">
        <v>0</v>
      </c>
      <c r="J343" t="s">
        <v>89</v>
      </c>
      <c r="K343" t="s">
        <v>28</v>
      </c>
      <c r="L343" s="2">
        <v>41000</v>
      </c>
      <c r="M343" t="s">
        <v>4533</v>
      </c>
      <c r="N343">
        <v>0</v>
      </c>
      <c r="O343" t="s">
        <v>4903</v>
      </c>
      <c r="P343">
        <v>0</v>
      </c>
      <c r="Q343" t="s">
        <v>4903</v>
      </c>
      <c r="R343" t="s">
        <v>913</v>
      </c>
    </row>
    <row r="344" spans="1:18" hidden="1" x14ac:dyDescent="0.25">
      <c r="A344" t="s">
        <v>1697</v>
      </c>
      <c r="B344" t="s">
        <v>190</v>
      </c>
      <c r="C344" t="s">
        <v>15</v>
      </c>
      <c r="D344" t="s">
        <v>32</v>
      </c>
      <c r="E344" t="s">
        <v>269</v>
      </c>
      <c r="F344" t="s">
        <v>18</v>
      </c>
      <c r="G344" t="s">
        <v>1698</v>
      </c>
      <c r="H344" s="15">
        <v>423928</v>
      </c>
      <c r="I344" s="15">
        <v>0</v>
      </c>
      <c r="J344" t="s">
        <v>154</v>
      </c>
      <c r="K344" t="s">
        <v>65</v>
      </c>
      <c r="L344" s="2">
        <v>41000</v>
      </c>
      <c r="M344" t="s">
        <v>1699</v>
      </c>
      <c r="N344">
        <v>0</v>
      </c>
      <c r="O344" t="s">
        <v>4903</v>
      </c>
      <c r="P344">
        <v>0</v>
      </c>
      <c r="Q344" t="s">
        <v>4903</v>
      </c>
      <c r="R344" t="s">
        <v>1697</v>
      </c>
    </row>
    <row r="345" spans="1:18" hidden="1" x14ac:dyDescent="0.25">
      <c r="A345" t="s">
        <v>907</v>
      </c>
      <c r="B345" t="s">
        <v>61</v>
      </c>
      <c r="C345" t="s">
        <v>62</v>
      </c>
      <c r="D345" t="s">
        <v>32</v>
      </c>
      <c r="E345" t="s">
        <v>269</v>
      </c>
      <c r="F345" t="s">
        <v>152</v>
      </c>
      <c r="G345" t="s">
        <v>908</v>
      </c>
      <c r="H345" s="15">
        <v>758975</v>
      </c>
      <c r="I345" s="15">
        <v>0</v>
      </c>
      <c r="J345" t="s">
        <v>20</v>
      </c>
      <c r="K345" t="s">
        <v>28</v>
      </c>
      <c r="L345" s="2">
        <v>41000</v>
      </c>
      <c r="M345" t="s">
        <v>909</v>
      </c>
      <c r="N345">
        <v>0</v>
      </c>
      <c r="O345" t="s">
        <v>4903</v>
      </c>
      <c r="P345">
        <v>0</v>
      </c>
      <c r="Q345" t="s">
        <v>4903</v>
      </c>
      <c r="R345" t="s">
        <v>907</v>
      </c>
    </row>
    <row r="346" spans="1:18" hidden="1" x14ac:dyDescent="0.25">
      <c r="A346" t="s">
        <v>2740</v>
      </c>
      <c r="B346" t="s">
        <v>190</v>
      </c>
      <c r="C346" t="s">
        <v>15</v>
      </c>
      <c r="D346" t="s">
        <v>32</v>
      </c>
      <c r="E346" t="s">
        <v>269</v>
      </c>
      <c r="F346" t="s">
        <v>140</v>
      </c>
      <c r="G346" t="s">
        <v>2741</v>
      </c>
      <c r="H346" s="15">
        <v>443733</v>
      </c>
      <c r="I346" s="15">
        <v>0</v>
      </c>
      <c r="J346" t="s">
        <v>89</v>
      </c>
      <c r="K346" t="s">
        <v>28</v>
      </c>
      <c r="L346" s="2">
        <v>41000</v>
      </c>
      <c r="M346" t="s">
        <v>2742</v>
      </c>
      <c r="N346">
        <v>0</v>
      </c>
      <c r="O346" t="s">
        <v>4903</v>
      </c>
      <c r="P346">
        <v>0</v>
      </c>
      <c r="Q346" t="s">
        <v>4903</v>
      </c>
      <c r="R346" t="s">
        <v>2740</v>
      </c>
    </row>
    <row r="347" spans="1:18" hidden="1" x14ac:dyDescent="0.25">
      <c r="A347" t="s">
        <v>3670</v>
      </c>
      <c r="B347" t="s">
        <v>614</v>
      </c>
      <c r="C347" t="s">
        <v>39</v>
      </c>
      <c r="D347" t="s">
        <v>32</v>
      </c>
      <c r="E347" t="s">
        <v>269</v>
      </c>
      <c r="F347" t="s">
        <v>152</v>
      </c>
      <c r="G347" t="s">
        <v>3671</v>
      </c>
      <c r="H347" s="15">
        <v>710710</v>
      </c>
      <c r="I347" s="15">
        <v>0</v>
      </c>
      <c r="J347" t="s">
        <v>20</v>
      </c>
      <c r="K347" t="s">
        <v>28</v>
      </c>
      <c r="L347" s="2">
        <v>41000</v>
      </c>
      <c r="M347" t="s">
        <v>3672</v>
      </c>
      <c r="N347">
        <v>2</v>
      </c>
      <c r="O347" t="s">
        <v>4903</v>
      </c>
      <c r="P347">
        <v>0</v>
      </c>
      <c r="Q347" t="s">
        <v>4903</v>
      </c>
      <c r="R347" t="s">
        <v>3670</v>
      </c>
    </row>
    <row r="348" spans="1:18" hidden="1" x14ac:dyDescent="0.25">
      <c r="A348" t="s">
        <v>1157</v>
      </c>
      <c r="B348" t="s">
        <v>77</v>
      </c>
      <c r="C348" t="s">
        <v>15</v>
      </c>
      <c r="D348" t="s">
        <v>32</v>
      </c>
      <c r="E348" t="s">
        <v>269</v>
      </c>
      <c r="F348" t="s">
        <v>26</v>
      </c>
      <c r="G348" t="s">
        <v>4260</v>
      </c>
      <c r="H348" s="15">
        <v>762872</v>
      </c>
      <c r="I348" s="15">
        <v>0</v>
      </c>
      <c r="J348" t="s">
        <v>20</v>
      </c>
      <c r="K348" t="s">
        <v>28</v>
      </c>
      <c r="L348" s="2">
        <v>41000</v>
      </c>
      <c r="M348" t="s">
        <v>4261</v>
      </c>
      <c r="N348">
        <v>0</v>
      </c>
      <c r="O348" t="s">
        <v>4903</v>
      </c>
      <c r="P348">
        <v>0</v>
      </c>
      <c r="Q348" t="s">
        <v>4903</v>
      </c>
      <c r="R348" t="s">
        <v>1157</v>
      </c>
    </row>
    <row r="349" spans="1:18" hidden="1" x14ac:dyDescent="0.25">
      <c r="A349" t="s">
        <v>1897</v>
      </c>
      <c r="B349" t="s">
        <v>24</v>
      </c>
      <c r="C349" t="s">
        <v>15</v>
      </c>
      <c r="D349" t="s">
        <v>32</v>
      </c>
      <c r="E349" t="s">
        <v>269</v>
      </c>
      <c r="F349" t="s">
        <v>34</v>
      </c>
      <c r="G349" t="s">
        <v>2531</v>
      </c>
      <c r="H349" s="15">
        <v>803100</v>
      </c>
      <c r="I349" s="15">
        <v>0</v>
      </c>
      <c r="J349" t="s">
        <v>20</v>
      </c>
      <c r="K349" t="s">
        <v>116</v>
      </c>
      <c r="L349" s="2">
        <v>41000</v>
      </c>
      <c r="M349" t="s">
        <v>2532</v>
      </c>
      <c r="N349">
        <v>9</v>
      </c>
      <c r="O349" t="s">
        <v>4903</v>
      </c>
      <c r="P349">
        <v>0</v>
      </c>
      <c r="Q349" t="s">
        <v>4903</v>
      </c>
      <c r="R349" t="s">
        <v>1897</v>
      </c>
    </row>
    <row r="350" spans="1:18" hidden="1" x14ac:dyDescent="0.25">
      <c r="A350" t="s">
        <v>185</v>
      </c>
      <c r="B350" t="s">
        <v>47</v>
      </c>
      <c r="C350" t="s">
        <v>48</v>
      </c>
      <c r="D350" t="s">
        <v>32</v>
      </c>
      <c r="E350" t="s">
        <v>269</v>
      </c>
      <c r="F350" t="s">
        <v>140</v>
      </c>
      <c r="G350" t="s">
        <v>2946</v>
      </c>
      <c r="H350" s="15">
        <v>636768</v>
      </c>
      <c r="I350" s="15">
        <v>0</v>
      </c>
      <c r="J350" t="s">
        <v>154</v>
      </c>
      <c r="K350" t="s">
        <v>28</v>
      </c>
      <c r="L350" s="2">
        <v>41000</v>
      </c>
      <c r="M350" t="s">
        <v>2947</v>
      </c>
      <c r="N350">
        <v>0</v>
      </c>
      <c r="O350" t="s">
        <v>4903</v>
      </c>
      <c r="P350">
        <v>0</v>
      </c>
      <c r="Q350" t="s">
        <v>4903</v>
      </c>
      <c r="R350" t="s">
        <v>185</v>
      </c>
    </row>
    <row r="351" spans="1:18" hidden="1" x14ac:dyDescent="0.25">
      <c r="A351" t="s">
        <v>1258</v>
      </c>
      <c r="B351" t="s">
        <v>1227</v>
      </c>
      <c r="C351" t="s">
        <v>48</v>
      </c>
      <c r="D351" t="s">
        <v>32</v>
      </c>
      <c r="E351" t="s">
        <v>269</v>
      </c>
      <c r="F351" t="s">
        <v>34</v>
      </c>
      <c r="G351" t="s">
        <v>1259</v>
      </c>
      <c r="H351" s="15">
        <v>523965</v>
      </c>
      <c r="I351" s="15">
        <v>0</v>
      </c>
      <c r="J351" t="s">
        <v>20</v>
      </c>
      <c r="K351" t="s">
        <v>28</v>
      </c>
      <c r="L351" s="2">
        <v>41000</v>
      </c>
      <c r="M351" t="s">
        <v>1260</v>
      </c>
      <c r="N351">
        <v>0</v>
      </c>
      <c r="O351" t="s">
        <v>4903</v>
      </c>
      <c r="P351">
        <v>0</v>
      </c>
      <c r="Q351" t="s">
        <v>4903</v>
      </c>
      <c r="R351" t="s">
        <v>1258</v>
      </c>
    </row>
    <row r="352" spans="1:18" hidden="1" x14ac:dyDescent="0.25">
      <c r="A352" t="s">
        <v>258</v>
      </c>
      <c r="B352" t="s">
        <v>103</v>
      </c>
      <c r="C352" t="s">
        <v>15</v>
      </c>
      <c r="D352" t="s">
        <v>96</v>
      </c>
      <c r="E352" t="s">
        <v>249</v>
      </c>
      <c r="F352" t="s">
        <v>98</v>
      </c>
      <c r="G352" t="s">
        <v>259</v>
      </c>
      <c r="H352" s="15">
        <v>796316</v>
      </c>
      <c r="I352" s="15">
        <v>0</v>
      </c>
      <c r="J352" t="s">
        <v>260</v>
      </c>
      <c r="K352" t="s">
        <v>21</v>
      </c>
      <c r="L352" s="2">
        <v>41000</v>
      </c>
      <c r="M352" t="s">
        <v>261</v>
      </c>
      <c r="N352">
        <v>0</v>
      </c>
      <c r="O352" t="s">
        <v>4903</v>
      </c>
      <c r="P352">
        <v>0</v>
      </c>
      <c r="Q352" t="s">
        <v>4903</v>
      </c>
      <c r="R352" t="s">
        <v>258</v>
      </c>
    </row>
    <row r="353" spans="1:18" hidden="1" x14ac:dyDescent="0.25">
      <c r="A353" t="s">
        <v>2316</v>
      </c>
      <c r="B353" t="s">
        <v>119</v>
      </c>
      <c r="C353" t="s">
        <v>39</v>
      </c>
      <c r="D353" t="s">
        <v>32</v>
      </c>
      <c r="E353" t="s">
        <v>269</v>
      </c>
      <c r="F353" t="s">
        <v>140</v>
      </c>
      <c r="G353" t="s">
        <v>2444</v>
      </c>
      <c r="H353" s="15">
        <v>549872</v>
      </c>
      <c r="I353" s="15">
        <v>0</v>
      </c>
      <c r="J353" t="s">
        <v>154</v>
      </c>
      <c r="K353" t="s">
        <v>28</v>
      </c>
      <c r="L353" s="2">
        <v>41000</v>
      </c>
      <c r="M353" t="s">
        <v>2445</v>
      </c>
      <c r="N353">
        <v>0</v>
      </c>
      <c r="O353" t="s">
        <v>4903</v>
      </c>
      <c r="P353">
        <v>0</v>
      </c>
      <c r="Q353" t="s">
        <v>4903</v>
      </c>
      <c r="R353" t="s">
        <v>2316</v>
      </c>
    </row>
    <row r="354" spans="1:18" hidden="1" x14ac:dyDescent="0.25">
      <c r="A354" t="s">
        <v>496</v>
      </c>
      <c r="B354" t="s">
        <v>84</v>
      </c>
      <c r="C354" t="s">
        <v>15</v>
      </c>
      <c r="D354" t="s">
        <v>32</v>
      </c>
      <c r="E354" t="s">
        <v>269</v>
      </c>
      <c r="F354" t="s">
        <v>140</v>
      </c>
      <c r="G354" t="s">
        <v>2837</v>
      </c>
      <c r="H354" s="15">
        <v>514560</v>
      </c>
      <c r="I354" s="15">
        <v>0</v>
      </c>
      <c r="J354" t="s">
        <v>154</v>
      </c>
      <c r="K354" t="s">
        <v>28</v>
      </c>
      <c r="L354" s="2">
        <v>41000</v>
      </c>
      <c r="M354" t="s">
        <v>2838</v>
      </c>
      <c r="N354">
        <v>0</v>
      </c>
      <c r="O354" t="s">
        <v>4903</v>
      </c>
      <c r="P354">
        <v>0</v>
      </c>
      <c r="Q354" t="s">
        <v>4903</v>
      </c>
      <c r="R354" t="s">
        <v>496</v>
      </c>
    </row>
    <row r="355" spans="1:18" hidden="1" x14ac:dyDescent="0.25">
      <c r="A355" t="s">
        <v>2635</v>
      </c>
      <c r="B355" t="s">
        <v>24</v>
      </c>
      <c r="C355" t="s">
        <v>15</v>
      </c>
      <c r="D355" t="s">
        <v>32</v>
      </c>
      <c r="E355" t="s">
        <v>269</v>
      </c>
      <c r="F355" t="s">
        <v>26</v>
      </c>
      <c r="G355" t="s">
        <v>4572</v>
      </c>
      <c r="H355" s="15">
        <v>781655</v>
      </c>
      <c r="I355" s="15">
        <v>0</v>
      </c>
      <c r="J355" t="s">
        <v>20</v>
      </c>
      <c r="K355" t="s">
        <v>28</v>
      </c>
      <c r="L355" s="2">
        <v>41000</v>
      </c>
      <c r="M355" t="s">
        <v>4573</v>
      </c>
      <c r="N355">
        <v>0</v>
      </c>
      <c r="O355" t="s">
        <v>4903</v>
      </c>
      <c r="P355">
        <v>0</v>
      </c>
      <c r="Q355" t="s">
        <v>4903</v>
      </c>
      <c r="R355" t="s">
        <v>2635</v>
      </c>
    </row>
    <row r="356" spans="1:18" hidden="1" x14ac:dyDescent="0.25">
      <c r="A356" t="s">
        <v>4286</v>
      </c>
      <c r="B356" t="s">
        <v>485</v>
      </c>
      <c r="C356" t="s">
        <v>15</v>
      </c>
      <c r="D356" t="s">
        <v>4287</v>
      </c>
      <c r="E356" t="s">
        <v>4288</v>
      </c>
      <c r="F356" t="s">
        <v>26</v>
      </c>
      <c r="G356" t="s">
        <v>4289</v>
      </c>
      <c r="H356" s="15">
        <v>100000</v>
      </c>
      <c r="I356" s="15">
        <v>0</v>
      </c>
      <c r="J356" t="s">
        <v>44</v>
      </c>
      <c r="K356" t="s">
        <v>28</v>
      </c>
      <c r="L356" s="2">
        <v>41000</v>
      </c>
      <c r="M356" t="s">
        <v>4290</v>
      </c>
      <c r="N356">
        <v>0</v>
      </c>
      <c r="O356" t="s">
        <v>4903</v>
      </c>
      <c r="P356">
        <v>0</v>
      </c>
      <c r="Q356" t="s">
        <v>4903</v>
      </c>
      <c r="R356" t="s">
        <v>4286</v>
      </c>
    </row>
    <row r="357" spans="1:18" hidden="1" x14ac:dyDescent="0.25">
      <c r="A357" t="s">
        <v>1677</v>
      </c>
      <c r="B357" t="s">
        <v>315</v>
      </c>
      <c r="C357" t="s">
        <v>39</v>
      </c>
      <c r="D357" t="s">
        <v>32</v>
      </c>
      <c r="E357" t="s">
        <v>269</v>
      </c>
      <c r="F357" t="s">
        <v>18</v>
      </c>
      <c r="G357" t="s">
        <v>1678</v>
      </c>
      <c r="H357" s="15">
        <v>433200</v>
      </c>
      <c r="I357" s="15">
        <v>0</v>
      </c>
      <c r="J357" t="s">
        <v>154</v>
      </c>
      <c r="K357" t="s">
        <v>21</v>
      </c>
      <c r="L357" s="2">
        <v>41000</v>
      </c>
      <c r="M357" t="s">
        <v>1679</v>
      </c>
      <c r="N357">
        <v>0</v>
      </c>
      <c r="O357" t="s">
        <v>4903</v>
      </c>
      <c r="P357">
        <v>0</v>
      </c>
      <c r="Q357" t="s">
        <v>4903</v>
      </c>
      <c r="R357" t="s">
        <v>1677</v>
      </c>
    </row>
    <row r="358" spans="1:18" hidden="1" x14ac:dyDescent="0.25">
      <c r="A358" t="s">
        <v>638</v>
      </c>
      <c r="B358" t="s">
        <v>47</v>
      </c>
      <c r="C358" t="s">
        <v>48</v>
      </c>
      <c r="D358" t="s">
        <v>32</v>
      </c>
      <c r="E358" t="s">
        <v>269</v>
      </c>
      <c r="F358" t="s">
        <v>18</v>
      </c>
      <c r="G358" t="s">
        <v>2813</v>
      </c>
      <c r="H358" s="15">
        <v>318353</v>
      </c>
      <c r="I358" s="15">
        <v>0</v>
      </c>
      <c r="J358" t="s">
        <v>89</v>
      </c>
      <c r="K358" t="s">
        <v>21</v>
      </c>
      <c r="L358" s="2">
        <v>41000</v>
      </c>
      <c r="M358" t="s">
        <v>2814</v>
      </c>
      <c r="N358">
        <v>0</v>
      </c>
      <c r="O358" t="s">
        <v>4903</v>
      </c>
      <c r="P358">
        <v>0</v>
      </c>
      <c r="Q358" t="s">
        <v>4903</v>
      </c>
      <c r="R358" t="s">
        <v>638</v>
      </c>
    </row>
    <row r="359" spans="1:18" hidden="1" x14ac:dyDescent="0.25">
      <c r="A359" t="s">
        <v>1906</v>
      </c>
      <c r="B359" t="s">
        <v>47</v>
      </c>
      <c r="C359" t="s">
        <v>48</v>
      </c>
      <c r="D359" t="s">
        <v>32</v>
      </c>
      <c r="E359" t="s">
        <v>269</v>
      </c>
      <c r="F359" t="s">
        <v>152</v>
      </c>
      <c r="G359" t="s">
        <v>2809</v>
      </c>
      <c r="H359" s="15">
        <v>662588</v>
      </c>
      <c r="I359" s="15">
        <v>0</v>
      </c>
      <c r="J359" t="s">
        <v>154</v>
      </c>
      <c r="K359" t="s">
        <v>28</v>
      </c>
      <c r="L359" s="2">
        <v>41000</v>
      </c>
      <c r="M359" t="s">
        <v>2810</v>
      </c>
      <c r="N359">
        <v>0</v>
      </c>
      <c r="O359" t="s">
        <v>4903</v>
      </c>
      <c r="P359">
        <v>0</v>
      </c>
      <c r="Q359" t="s">
        <v>4903</v>
      </c>
      <c r="R359" t="s">
        <v>1906</v>
      </c>
    </row>
    <row r="360" spans="1:18" hidden="1" x14ac:dyDescent="0.25">
      <c r="A360" t="s">
        <v>1065</v>
      </c>
      <c r="B360" t="s">
        <v>14</v>
      </c>
      <c r="C360" t="s">
        <v>15</v>
      </c>
      <c r="D360" t="s">
        <v>32</v>
      </c>
      <c r="E360" t="s">
        <v>269</v>
      </c>
      <c r="F360" t="s">
        <v>26</v>
      </c>
      <c r="G360" t="s">
        <v>1066</v>
      </c>
      <c r="H360" s="15">
        <v>361800</v>
      </c>
      <c r="I360" s="15">
        <v>0</v>
      </c>
      <c r="J360" t="s">
        <v>89</v>
      </c>
      <c r="K360" t="s">
        <v>28</v>
      </c>
      <c r="L360" s="2">
        <v>41000</v>
      </c>
      <c r="M360" t="s">
        <v>1067</v>
      </c>
      <c r="N360">
        <v>0</v>
      </c>
      <c r="O360" t="s">
        <v>4903</v>
      </c>
      <c r="P360">
        <v>0</v>
      </c>
      <c r="Q360" t="s">
        <v>4903</v>
      </c>
      <c r="R360" t="s">
        <v>1065</v>
      </c>
    </row>
    <row r="361" spans="1:18" hidden="1" x14ac:dyDescent="0.25">
      <c r="A361" t="s">
        <v>3994</v>
      </c>
      <c r="B361" t="s">
        <v>244</v>
      </c>
      <c r="C361" t="s">
        <v>39</v>
      </c>
      <c r="D361" t="s">
        <v>32</v>
      </c>
      <c r="E361" t="s">
        <v>269</v>
      </c>
      <c r="F361" t="s">
        <v>18</v>
      </c>
      <c r="G361" t="s">
        <v>4322</v>
      </c>
      <c r="H361" s="15">
        <v>454098</v>
      </c>
      <c r="I361" s="15">
        <v>0</v>
      </c>
      <c r="J361" t="s">
        <v>154</v>
      </c>
      <c r="K361" t="s">
        <v>65</v>
      </c>
      <c r="L361" s="2">
        <v>41000</v>
      </c>
      <c r="M361" t="s">
        <v>4323</v>
      </c>
      <c r="N361">
        <v>1</v>
      </c>
      <c r="O361" t="s">
        <v>4903</v>
      </c>
      <c r="P361">
        <v>0</v>
      </c>
      <c r="Q361" t="s">
        <v>4903</v>
      </c>
      <c r="R361" t="s">
        <v>3994</v>
      </c>
    </row>
    <row r="362" spans="1:18" hidden="1" x14ac:dyDescent="0.25">
      <c r="A362" t="s">
        <v>1981</v>
      </c>
      <c r="B362" t="s">
        <v>77</v>
      </c>
      <c r="C362" t="s">
        <v>15</v>
      </c>
      <c r="D362" t="s">
        <v>32</v>
      </c>
      <c r="E362" t="s">
        <v>269</v>
      </c>
      <c r="F362" t="s">
        <v>34</v>
      </c>
      <c r="G362" t="s">
        <v>3061</v>
      </c>
      <c r="H362" s="15">
        <v>705269</v>
      </c>
      <c r="I362" s="15">
        <v>0</v>
      </c>
      <c r="J362" t="s">
        <v>20</v>
      </c>
      <c r="K362" t="s">
        <v>28</v>
      </c>
      <c r="L362" s="2">
        <v>41000</v>
      </c>
      <c r="M362" t="s">
        <v>3062</v>
      </c>
      <c r="N362">
        <v>0</v>
      </c>
      <c r="O362" t="s">
        <v>4903</v>
      </c>
      <c r="P362">
        <v>0</v>
      </c>
      <c r="Q362" t="s">
        <v>4903</v>
      </c>
      <c r="R362" t="s">
        <v>1981</v>
      </c>
    </row>
    <row r="363" spans="1:18" hidden="1" x14ac:dyDescent="0.25">
      <c r="A363" t="s">
        <v>2907</v>
      </c>
      <c r="B363" t="s">
        <v>84</v>
      </c>
      <c r="C363" t="s">
        <v>15</v>
      </c>
      <c r="D363" t="s">
        <v>32</v>
      </c>
      <c r="E363" t="s">
        <v>269</v>
      </c>
      <c r="F363" t="s">
        <v>140</v>
      </c>
      <c r="G363" t="s">
        <v>2910</v>
      </c>
      <c r="H363" s="15">
        <v>782020</v>
      </c>
      <c r="I363" s="15">
        <v>0</v>
      </c>
      <c r="J363" t="s">
        <v>20</v>
      </c>
      <c r="K363" t="s">
        <v>28</v>
      </c>
      <c r="L363" s="2">
        <v>41000</v>
      </c>
      <c r="M363" t="s">
        <v>2911</v>
      </c>
      <c r="N363">
        <v>0</v>
      </c>
      <c r="O363" t="s">
        <v>4903</v>
      </c>
      <c r="P363">
        <v>0</v>
      </c>
      <c r="Q363" t="s">
        <v>4903</v>
      </c>
      <c r="R363" t="s">
        <v>2907</v>
      </c>
    </row>
    <row r="364" spans="1:18" hidden="1" x14ac:dyDescent="0.25">
      <c r="A364" t="s">
        <v>2254</v>
      </c>
      <c r="B364" t="s">
        <v>31</v>
      </c>
      <c r="C364" t="s">
        <v>15</v>
      </c>
      <c r="D364" t="s">
        <v>32</v>
      </c>
      <c r="E364" t="s">
        <v>269</v>
      </c>
      <c r="F364" t="s">
        <v>34</v>
      </c>
      <c r="G364" t="s">
        <v>2255</v>
      </c>
      <c r="H364" s="15">
        <v>711980</v>
      </c>
      <c r="I364" s="15">
        <v>0</v>
      </c>
      <c r="J364" t="s">
        <v>20</v>
      </c>
      <c r="K364" t="s">
        <v>21</v>
      </c>
      <c r="L364" s="2">
        <v>41000</v>
      </c>
      <c r="M364" t="s">
        <v>2256</v>
      </c>
      <c r="N364">
        <v>0</v>
      </c>
      <c r="O364" t="s">
        <v>4903</v>
      </c>
      <c r="P364">
        <v>0</v>
      </c>
      <c r="Q364" t="s">
        <v>4903</v>
      </c>
      <c r="R364" t="s">
        <v>2254</v>
      </c>
    </row>
    <row r="365" spans="1:18" hidden="1" x14ac:dyDescent="0.25">
      <c r="A365" t="s">
        <v>1950</v>
      </c>
      <c r="B365" t="s">
        <v>315</v>
      </c>
      <c r="C365" t="s">
        <v>39</v>
      </c>
      <c r="D365" t="s">
        <v>32</v>
      </c>
      <c r="E365" t="s">
        <v>269</v>
      </c>
      <c r="F365" t="s">
        <v>34</v>
      </c>
      <c r="G365" t="s">
        <v>1951</v>
      </c>
      <c r="H365" s="15">
        <v>829562</v>
      </c>
      <c r="I365" s="15">
        <v>0</v>
      </c>
      <c r="J365" t="s">
        <v>20</v>
      </c>
      <c r="K365" t="s">
        <v>116</v>
      </c>
      <c r="L365" s="2">
        <v>41000</v>
      </c>
      <c r="M365" t="s">
        <v>1952</v>
      </c>
      <c r="N365">
        <v>0</v>
      </c>
      <c r="O365" t="s">
        <v>4903</v>
      </c>
      <c r="P365">
        <v>0</v>
      </c>
      <c r="Q365" t="s">
        <v>4903</v>
      </c>
      <c r="R365" t="s">
        <v>1950</v>
      </c>
    </row>
    <row r="366" spans="1:18" hidden="1" x14ac:dyDescent="0.25">
      <c r="A366" t="s">
        <v>3890</v>
      </c>
      <c r="B366" t="s">
        <v>31</v>
      </c>
      <c r="C366" t="s">
        <v>15</v>
      </c>
      <c r="D366" t="s">
        <v>32</v>
      </c>
      <c r="E366" t="s">
        <v>269</v>
      </c>
      <c r="F366" t="s">
        <v>26</v>
      </c>
      <c r="G366" t="s">
        <v>3891</v>
      </c>
      <c r="H366" s="15">
        <v>739830</v>
      </c>
      <c r="I366" s="15">
        <v>0</v>
      </c>
      <c r="J366" t="s">
        <v>20</v>
      </c>
      <c r="K366" t="s">
        <v>28</v>
      </c>
      <c r="L366" s="2">
        <v>41000</v>
      </c>
      <c r="M366" t="s">
        <v>3892</v>
      </c>
      <c r="N366">
        <v>1</v>
      </c>
      <c r="O366" t="s">
        <v>4903</v>
      </c>
      <c r="P366">
        <v>0</v>
      </c>
      <c r="Q366" t="s">
        <v>4903</v>
      </c>
      <c r="R366" t="s">
        <v>3890</v>
      </c>
    </row>
    <row r="367" spans="1:18" hidden="1" x14ac:dyDescent="0.25">
      <c r="A367" t="s">
        <v>4394</v>
      </c>
      <c r="B367" t="s">
        <v>489</v>
      </c>
      <c r="C367" t="s">
        <v>39</v>
      </c>
      <c r="D367" t="s">
        <v>32</v>
      </c>
      <c r="E367" t="s">
        <v>269</v>
      </c>
      <c r="F367" t="s">
        <v>152</v>
      </c>
      <c r="G367" t="s">
        <v>4395</v>
      </c>
      <c r="H367" s="15">
        <v>622134</v>
      </c>
      <c r="I367" s="15">
        <v>0</v>
      </c>
      <c r="J367" t="s">
        <v>20</v>
      </c>
      <c r="K367" t="s">
        <v>28</v>
      </c>
      <c r="L367" s="2">
        <v>41000</v>
      </c>
      <c r="M367" t="s">
        <v>4396</v>
      </c>
      <c r="N367">
        <v>0</v>
      </c>
      <c r="O367" t="s">
        <v>4903</v>
      </c>
      <c r="P367">
        <v>0</v>
      </c>
      <c r="Q367" t="s">
        <v>4903</v>
      </c>
      <c r="R367" t="s">
        <v>4394</v>
      </c>
    </row>
    <row r="368" spans="1:18" hidden="1" x14ac:dyDescent="0.25">
      <c r="A368" t="s">
        <v>552</v>
      </c>
      <c r="B368" t="s">
        <v>244</v>
      </c>
      <c r="C368" t="s">
        <v>39</v>
      </c>
      <c r="D368" t="s">
        <v>32</v>
      </c>
      <c r="E368" t="s">
        <v>269</v>
      </c>
      <c r="F368" t="s">
        <v>152</v>
      </c>
      <c r="G368" t="s">
        <v>4420</v>
      </c>
      <c r="H368" s="15">
        <v>873345</v>
      </c>
      <c r="I368" s="15">
        <v>0</v>
      </c>
      <c r="J368" t="s">
        <v>20</v>
      </c>
      <c r="K368" t="s">
        <v>28</v>
      </c>
      <c r="L368" s="2">
        <v>41000</v>
      </c>
      <c r="M368" t="s">
        <v>4421</v>
      </c>
      <c r="N368">
        <v>0</v>
      </c>
      <c r="O368" t="s">
        <v>4903</v>
      </c>
      <c r="P368">
        <v>0</v>
      </c>
      <c r="Q368" t="s">
        <v>4903</v>
      </c>
      <c r="R368" t="s">
        <v>552</v>
      </c>
    </row>
    <row r="369" spans="1:18" hidden="1" x14ac:dyDescent="0.25">
      <c r="A369" t="s">
        <v>919</v>
      </c>
      <c r="B369" t="s">
        <v>315</v>
      </c>
      <c r="C369" t="s">
        <v>39</v>
      </c>
      <c r="D369" t="s">
        <v>32</v>
      </c>
      <c r="E369" t="s">
        <v>269</v>
      </c>
      <c r="F369" t="s">
        <v>26</v>
      </c>
      <c r="G369" t="s">
        <v>2020</v>
      </c>
      <c r="H369" s="15">
        <v>729830</v>
      </c>
      <c r="I369" s="15">
        <v>0</v>
      </c>
      <c r="J369" t="s">
        <v>20</v>
      </c>
      <c r="K369" t="s">
        <v>28</v>
      </c>
      <c r="L369" s="2">
        <v>41000</v>
      </c>
      <c r="M369" t="s">
        <v>2021</v>
      </c>
      <c r="N369">
        <v>0</v>
      </c>
      <c r="O369" t="s">
        <v>4903</v>
      </c>
      <c r="P369">
        <v>0</v>
      </c>
      <c r="Q369" t="s">
        <v>4903</v>
      </c>
      <c r="R369" t="s">
        <v>919</v>
      </c>
    </row>
    <row r="370" spans="1:18" hidden="1" x14ac:dyDescent="0.25">
      <c r="A370" t="s">
        <v>3765</v>
      </c>
      <c r="B370" t="s">
        <v>47</v>
      </c>
      <c r="C370" t="s">
        <v>48</v>
      </c>
      <c r="D370" t="s">
        <v>32</v>
      </c>
      <c r="E370" t="s">
        <v>269</v>
      </c>
      <c r="F370" t="s">
        <v>152</v>
      </c>
      <c r="G370" t="s">
        <v>3766</v>
      </c>
      <c r="H370" s="15">
        <v>409800</v>
      </c>
      <c r="I370" s="15">
        <v>0</v>
      </c>
      <c r="J370" t="s">
        <v>89</v>
      </c>
      <c r="K370" t="s">
        <v>28</v>
      </c>
      <c r="L370" s="2">
        <v>41000</v>
      </c>
      <c r="M370" t="s">
        <v>3767</v>
      </c>
      <c r="N370">
        <v>0</v>
      </c>
      <c r="O370" t="s">
        <v>4903</v>
      </c>
      <c r="P370">
        <v>0</v>
      </c>
      <c r="Q370" t="s">
        <v>4903</v>
      </c>
      <c r="R370" t="s">
        <v>3765</v>
      </c>
    </row>
    <row r="371" spans="1:18" hidden="1" x14ac:dyDescent="0.25">
      <c r="A371" t="s">
        <v>1019</v>
      </c>
      <c r="B371" t="s">
        <v>1020</v>
      </c>
      <c r="C371" t="s">
        <v>15</v>
      </c>
      <c r="D371" t="s">
        <v>32</v>
      </c>
      <c r="E371" t="s">
        <v>269</v>
      </c>
      <c r="F371" t="s">
        <v>34</v>
      </c>
      <c r="G371" t="s">
        <v>1352</v>
      </c>
      <c r="H371" s="15">
        <v>451668</v>
      </c>
      <c r="I371" s="15">
        <v>0</v>
      </c>
      <c r="J371" t="s">
        <v>154</v>
      </c>
      <c r="K371" t="s">
        <v>116</v>
      </c>
      <c r="L371" s="2">
        <v>41000</v>
      </c>
      <c r="M371" t="s">
        <v>1353</v>
      </c>
      <c r="N371">
        <v>0</v>
      </c>
      <c r="O371" t="s">
        <v>4903</v>
      </c>
      <c r="P371">
        <v>0</v>
      </c>
      <c r="Q371" t="s">
        <v>4903</v>
      </c>
      <c r="R371" t="s">
        <v>1019</v>
      </c>
    </row>
    <row r="372" spans="1:18" hidden="1" x14ac:dyDescent="0.25">
      <c r="A372" t="s">
        <v>1588</v>
      </c>
      <c r="B372" t="s">
        <v>14</v>
      </c>
      <c r="C372" t="s">
        <v>15</v>
      </c>
      <c r="D372" t="s">
        <v>32</v>
      </c>
      <c r="E372" t="s">
        <v>269</v>
      </c>
      <c r="F372" t="s">
        <v>140</v>
      </c>
      <c r="G372" t="s">
        <v>3390</v>
      </c>
      <c r="H372" s="15">
        <v>297244</v>
      </c>
      <c r="I372" s="15">
        <v>0</v>
      </c>
      <c r="J372" t="s">
        <v>89</v>
      </c>
      <c r="K372" t="s">
        <v>28</v>
      </c>
      <c r="L372" s="2">
        <v>41000</v>
      </c>
      <c r="M372" t="s">
        <v>3391</v>
      </c>
      <c r="N372">
        <v>0</v>
      </c>
      <c r="O372" t="s">
        <v>4903</v>
      </c>
      <c r="P372">
        <v>0</v>
      </c>
      <c r="Q372" t="s">
        <v>4903</v>
      </c>
      <c r="R372" t="s">
        <v>1588</v>
      </c>
    </row>
    <row r="373" spans="1:18" hidden="1" x14ac:dyDescent="0.25">
      <c r="A373" t="s">
        <v>248</v>
      </c>
      <c r="B373" t="s">
        <v>103</v>
      </c>
      <c r="C373" t="s">
        <v>15</v>
      </c>
      <c r="D373" t="s">
        <v>96</v>
      </c>
      <c r="E373" t="s">
        <v>249</v>
      </c>
      <c r="F373" t="s">
        <v>98</v>
      </c>
      <c r="G373" t="s">
        <v>250</v>
      </c>
      <c r="H373" s="15">
        <v>810452</v>
      </c>
      <c r="I373" s="15">
        <v>0</v>
      </c>
      <c r="J373" t="s">
        <v>20</v>
      </c>
      <c r="K373" t="s">
        <v>21</v>
      </c>
      <c r="L373" s="2">
        <v>41000</v>
      </c>
      <c r="M373" t="s">
        <v>251</v>
      </c>
      <c r="N373">
        <v>0</v>
      </c>
      <c r="O373" t="s">
        <v>4903</v>
      </c>
      <c r="P373">
        <v>0</v>
      </c>
      <c r="Q373" t="s">
        <v>4903</v>
      </c>
      <c r="R373" t="s">
        <v>248</v>
      </c>
    </row>
    <row r="374" spans="1:18" hidden="1" x14ac:dyDescent="0.25">
      <c r="A374" t="s">
        <v>268</v>
      </c>
      <c r="B374" t="s">
        <v>14</v>
      </c>
      <c r="C374" t="s">
        <v>15</v>
      </c>
      <c r="D374" t="s">
        <v>32</v>
      </c>
      <c r="E374" t="s">
        <v>269</v>
      </c>
      <c r="F374" t="s">
        <v>26</v>
      </c>
      <c r="G374" t="s">
        <v>270</v>
      </c>
      <c r="H374" s="15">
        <v>361800</v>
      </c>
      <c r="I374" s="15">
        <v>0</v>
      </c>
      <c r="J374" t="s">
        <v>89</v>
      </c>
      <c r="K374" t="s">
        <v>28</v>
      </c>
      <c r="L374" s="2">
        <v>41000</v>
      </c>
      <c r="M374" t="s">
        <v>271</v>
      </c>
      <c r="N374">
        <v>1</v>
      </c>
      <c r="O374" t="s">
        <v>4903</v>
      </c>
      <c r="P374">
        <v>0</v>
      </c>
      <c r="Q374" t="s">
        <v>4903</v>
      </c>
      <c r="R374" t="s">
        <v>268</v>
      </c>
    </row>
    <row r="375" spans="1:18" hidden="1" x14ac:dyDescent="0.25">
      <c r="A375" t="s">
        <v>1205</v>
      </c>
      <c r="B375" t="s">
        <v>406</v>
      </c>
      <c r="C375" t="s">
        <v>62</v>
      </c>
      <c r="D375" t="s">
        <v>32</v>
      </c>
      <c r="E375" t="s">
        <v>269</v>
      </c>
      <c r="F375" t="s">
        <v>18</v>
      </c>
      <c r="G375" t="s">
        <v>1206</v>
      </c>
      <c r="H375" s="15">
        <v>513029</v>
      </c>
      <c r="I375" s="15">
        <v>0</v>
      </c>
      <c r="J375" t="s">
        <v>154</v>
      </c>
      <c r="K375" t="s">
        <v>65</v>
      </c>
      <c r="L375" s="2">
        <v>41000</v>
      </c>
      <c r="M375" t="s">
        <v>1207</v>
      </c>
      <c r="N375">
        <v>1</v>
      </c>
      <c r="O375" t="s">
        <v>4903</v>
      </c>
      <c r="P375">
        <v>0</v>
      </c>
      <c r="Q375" t="s">
        <v>4903</v>
      </c>
      <c r="R375" t="s">
        <v>1205</v>
      </c>
    </row>
    <row r="376" spans="1:18" hidden="1" x14ac:dyDescent="0.25">
      <c r="A376" t="s">
        <v>137</v>
      </c>
      <c r="B376" t="s">
        <v>47</v>
      </c>
      <c r="C376" t="s">
        <v>48</v>
      </c>
      <c r="D376" t="s">
        <v>96</v>
      </c>
      <c r="E376" t="s">
        <v>249</v>
      </c>
      <c r="F376" t="s">
        <v>98</v>
      </c>
      <c r="G376" t="s">
        <v>3091</v>
      </c>
      <c r="H376" s="15">
        <v>375000</v>
      </c>
      <c r="I376" s="15">
        <v>0</v>
      </c>
      <c r="J376" t="s">
        <v>89</v>
      </c>
      <c r="K376" t="s">
        <v>28</v>
      </c>
      <c r="L376" s="2">
        <v>41000</v>
      </c>
      <c r="M376" t="s">
        <v>3092</v>
      </c>
      <c r="N376">
        <v>3</v>
      </c>
      <c r="O376" t="s">
        <v>4903</v>
      </c>
      <c r="P376">
        <v>0</v>
      </c>
      <c r="Q376" t="s">
        <v>4903</v>
      </c>
      <c r="R376" t="s">
        <v>137</v>
      </c>
    </row>
    <row r="377" spans="1:18" hidden="1" x14ac:dyDescent="0.25">
      <c r="A377" t="s">
        <v>621</v>
      </c>
      <c r="B377" t="s">
        <v>103</v>
      </c>
      <c r="C377" t="s">
        <v>15</v>
      </c>
      <c r="D377" t="s">
        <v>32</v>
      </c>
      <c r="E377" t="s">
        <v>269</v>
      </c>
      <c r="F377" t="s">
        <v>152</v>
      </c>
      <c r="G377" t="s">
        <v>622</v>
      </c>
      <c r="H377" s="15">
        <v>339130</v>
      </c>
      <c r="I377" s="15">
        <v>0</v>
      </c>
      <c r="J377" t="s">
        <v>455</v>
      </c>
      <c r="K377" t="s">
        <v>28</v>
      </c>
      <c r="L377" s="2">
        <v>41000</v>
      </c>
      <c r="M377" t="s">
        <v>623</v>
      </c>
      <c r="N377">
        <v>0</v>
      </c>
      <c r="O377" t="s">
        <v>4903</v>
      </c>
      <c r="P377">
        <v>0</v>
      </c>
      <c r="Q377" t="s">
        <v>4903</v>
      </c>
      <c r="R377" t="s">
        <v>621</v>
      </c>
    </row>
    <row r="378" spans="1:18" hidden="1" x14ac:dyDescent="0.25">
      <c r="A378" t="s">
        <v>4408</v>
      </c>
      <c r="B378" t="s">
        <v>580</v>
      </c>
      <c r="C378" t="s">
        <v>15</v>
      </c>
      <c r="D378" t="s">
        <v>32</v>
      </c>
      <c r="E378" t="s">
        <v>269</v>
      </c>
      <c r="F378" t="s">
        <v>140</v>
      </c>
      <c r="G378" t="s">
        <v>4409</v>
      </c>
      <c r="H378" s="15">
        <v>493169</v>
      </c>
      <c r="I378" s="15">
        <v>0</v>
      </c>
      <c r="J378" t="s">
        <v>89</v>
      </c>
      <c r="K378" t="s">
        <v>28</v>
      </c>
      <c r="L378" s="2">
        <v>41000</v>
      </c>
      <c r="M378" t="s">
        <v>4410</v>
      </c>
      <c r="N378">
        <v>1</v>
      </c>
      <c r="O378" t="s">
        <v>4903</v>
      </c>
      <c r="P378">
        <v>0</v>
      </c>
      <c r="Q378" t="s">
        <v>4903</v>
      </c>
      <c r="R378" t="s">
        <v>4408</v>
      </c>
    </row>
    <row r="379" spans="1:18" hidden="1" x14ac:dyDescent="0.25">
      <c r="A379" t="s">
        <v>1808</v>
      </c>
      <c r="B379" t="s">
        <v>14</v>
      </c>
      <c r="C379" t="s">
        <v>15</v>
      </c>
      <c r="D379" t="s">
        <v>32</v>
      </c>
      <c r="E379" t="s">
        <v>269</v>
      </c>
      <c r="F379" t="s">
        <v>26</v>
      </c>
      <c r="G379" t="s">
        <v>3843</v>
      </c>
      <c r="H379" s="15">
        <v>385251</v>
      </c>
      <c r="I379" s="15">
        <v>0</v>
      </c>
      <c r="J379" t="s">
        <v>89</v>
      </c>
      <c r="K379" t="s">
        <v>28</v>
      </c>
      <c r="L379" s="2">
        <v>41000</v>
      </c>
      <c r="M379" t="s">
        <v>3844</v>
      </c>
      <c r="N379">
        <v>0</v>
      </c>
      <c r="O379" t="s">
        <v>4903</v>
      </c>
      <c r="P379">
        <v>0</v>
      </c>
      <c r="Q379" t="s">
        <v>4903</v>
      </c>
      <c r="R379" t="s">
        <v>1808</v>
      </c>
    </row>
    <row r="380" spans="1:18" hidden="1" x14ac:dyDescent="0.25">
      <c r="A380" t="s">
        <v>1478</v>
      </c>
      <c r="B380" t="s">
        <v>14</v>
      </c>
      <c r="C380" t="s">
        <v>15</v>
      </c>
      <c r="D380" t="s">
        <v>32</v>
      </c>
      <c r="E380" t="s">
        <v>269</v>
      </c>
      <c r="F380" t="s">
        <v>26</v>
      </c>
      <c r="G380" t="s">
        <v>1479</v>
      </c>
      <c r="H380" s="15">
        <v>785005</v>
      </c>
      <c r="I380" s="15">
        <v>0</v>
      </c>
      <c r="J380" t="s">
        <v>20</v>
      </c>
      <c r="K380" t="s">
        <v>28</v>
      </c>
      <c r="L380" s="2">
        <v>41000</v>
      </c>
      <c r="M380" t="s">
        <v>1480</v>
      </c>
      <c r="N380">
        <v>8</v>
      </c>
      <c r="O380" t="s">
        <v>4903</v>
      </c>
      <c r="P380">
        <v>0</v>
      </c>
      <c r="Q380" t="s">
        <v>4903</v>
      </c>
      <c r="R380" t="s">
        <v>1478</v>
      </c>
    </row>
    <row r="381" spans="1:18" hidden="1" x14ac:dyDescent="0.25">
      <c r="A381" t="s">
        <v>2339</v>
      </c>
      <c r="B381" t="s">
        <v>14</v>
      </c>
      <c r="C381" t="s">
        <v>15</v>
      </c>
      <c r="D381" t="s">
        <v>32</v>
      </c>
      <c r="E381" t="s">
        <v>269</v>
      </c>
      <c r="F381" t="s">
        <v>152</v>
      </c>
      <c r="G381" t="s">
        <v>3463</v>
      </c>
      <c r="H381" s="15">
        <v>756699</v>
      </c>
      <c r="I381" s="15">
        <v>0</v>
      </c>
      <c r="J381" t="s">
        <v>20</v>
      </c>
      <c r="K381" t="s">
        <v>28</v>
      </c>
      <c r="L381" s="2">
        <v>41000</v>
      </c>
      <c r="M381" t="s">
        <v>3464</v>
      </c>
      <c r="N381">
        <v>6</v>
      </c>
      <c r="O381" t="s">
        <v>4903</v>
      </c>
      <c r="P381">
        <v>0</v>
      </c>
      <c r="Q381" t="s">
        <v>4903</v>
      </c>
      <c r="R381" t="s">
        <v>2339</v>
      </c>
    </row>
    <row r="382" spans="1:18" x14ac:dyDescent="0.25">
      <c r="A382" t="s">
        <v>3349</v>
      </c>
      <c r="B382" t="s">
        <v>103</v>
      </c>
      <c r="C382" t="s">
        <v>15</v>
      </c>
      <c r="D382" t="s">
        <v>85</v>
      </c>
      <c r="E382" t="s">
        <v>179</v>
      </c>
      <c r="F382" t="s">
        <v>87</v>
      </c>
      <c r="G382" t="s">
        <v>3350</v>
      </c>
      <c r="H382" s="15">
        <v>322238</v>
      </c>
      <c r="I382" s="15">
        <v>0</v>
      </c>
      <c r="J382" t="s">
        <v>89</v>
      </c>
      <c r="K382" t="s">
        <v>134</v>
      </c>
      <c r="L382" s="2">
        <v>41730</v>
      </c>
      <c r="M382" t="s">
        <v>3351</v>
      </c>
      <c r="N382">
        <v>9</v>
      </c>
      <c r="O382" t="s">
        <v>4815</v>
      </c>
      <c r="P382">
        <v>1</v>
      </c>
      <c r="Q382" t="s">
        <v>4809</v>
      </c>
      <c r="R382" t="s">
        <v>3349</v>
      </c>
    </row>
    <row r="383" spans="1:18" x14ac:dyDescent="0.25">
      <c r="A383" t="s">
        <v>1843</v>
      </c>
      <c r="B383" t="s">
        <v>47</v>
      </c>
      <c r="C383" t="s">
        <v>48</v>
      </c>
      <c r="D383" t="s">
        <v>32</v>
      </c>
      <c r="E383" t="s">
        <v>191</v>
      </c>
      <c r="F383" t="s">
        <v>18</v>
      </c>
      <c r="G383" t="s">
        <v>1844</v>
      </c>
      <c r="H383" s="15">
        <v>299186</v>
      </c>
      <c r="I383" s="15">
        <v>0</v>
      </c>
      <c r="J383" t="s">
        <v>89</v>
      </c>
      <c r="K383" t="s">
        <v>21</v>
      </c>
      <c r="L383" s="2">
        <v>40269</v>
      </c>
      <c r="M383" t="s">
        <v>1845</v>
      </c>
      <c r="N383">
        <v>1</v>
      </c>
      <c r="O383" t="s">
        <v>4814</v>
      </c>
      <c r="P383">
        <v>1</v>
      </c>
      <c r="Q383" t="s">
        <v>4809</v>
      </c>
      <c r="R383" t="s">
        <v>1843</v>
      </c>
    </row>
    <row r="384" spans="1:18" hidden="1" x14ac:dyDescent="0.25">
      <c r="A384" t="s">
        <v>883</v>
      </c>
      <c r="B384" t="s">
        <v>77</v>
      </c>
      <c r="C384" t="s">
        <v>15</v>
      </c>
      <c r="D384" t="s">
        <v>32</v>
      </c>
      <c r="E384" t="s">
        <v>370</v>
      </c>
      <c r="F384" t="s">
        <v>140</v>
      </c>
      <c r="G384" t="s">
        <v>884</v>
      </c>
      <c r="H384" s="15">
        <v>732722</v>
      </c>
      <c r="I384" s="15">
        <v>0</v>
      </c>
      <c r="J384" t="s">
        <v>20</v>
      </c>
      <c r="K384" t="s">
        <v>65</v>
      </c>
      <c r="L384" s="2">
        <v>41183</v>
      </c>
      <c r="M384" t="s">
        <v>885</v>
      </c>
      <c r="N384">
        <v>0</v>
      </c>
      <c r="O384" t="s">
        <v>4903</v>
      </c>
      <c r="P384">
        <v>0</v>
      </c>
      <c r="Q384" t="s">
        <v>4903</v>
      </c>
      <c r="R384" t="s">
        <v>883</v>
      </c>
    </row>
    <row r="385" spans="1:18" hidden="1" x14ac:dyDescent="0.25">
      <c r="A385" t="s">
        <v>3747</v>
      </c>
      <c r="B385" t="s">
        <v>244</v>
      </c>
      <c r="C385" t="s">
        <v>39</v>
      </c>
      <c r="D385" t="s">
        <v>32</v>
      </c>
      <c r="E385" t="s">
        <v>370</v>
      </c>
      <c r="F385" t="s">
        <v>152</v>
      </c>
      <c r="G385" t="s">
        <v>3748</v>
      </c>
      <c r="H385" s="15">
        <v>683860</v>
      </c>
      <c r="I385" s="15">
        <v>0</v>
      </c>
      <c r="J385" t="s">
        <v>20</v>
      </c>
      <c r="K385" t="s">
        <v>28</v>
      </c>
      <c r="L385" s="2">
        <v>41183</v>
      </c>
      <c r="M385" t="s">
        <v>3749</v>
      </c>
      <c r="N385">
        <v>0</v>
      </c>
      <c r="O385" t="s">
        <v>4903</v>
      </c>
      <c r="P385">
        <v>0</v>
      </c>
      <c r="Q385" t="s">
        <v>4903</v>
      </c>
      <c r="R385" t="s">
        <v>3747</v>
      </c>
    </row>
    <row r="386" spans="1:18" hidden="1" x14ac:dyDescent="0.25">
      <c r="A386" t="s">
        <v>4057</v>
      </c>
      <c r="B386" t="s">
        <v>676</v>
      </c>
      <c r="C386" t="s">
        <v>39</v>
      </c>
      <c r="D386" t="s">
        <v>32</v>
      </c>
      <c r="E386" t="s">
        <v>370</v>
      </c>
      <c r="F386" t="s">
        <v>152</v>
      </c>
      <c r="G386" t="s">
        <v>4058</v>
      </c>
      <c r="H386" s="15">
        <v>394992</v>
      </c>
      <c r="I386" s="15">
        <v>0</v>
      </c>
      <c r="J386" t="s">
        <v>89</v>
      </c>
      <c r="K386" t="s">
        <v>28</v>
      </c>
      <c r="L386" s="2">
        <v>41183</v>
      </c>
      <c r="M386" t="s">
        <v>4059</v>
      </c>
      <c r="N386">
        <v>0</v>
      </c>
      <c r="O386" t="s">
        <v>4903</v>
      </c>
      <c r="P386">
        <v>0</v>
      </c>
      <c r="Q386" t="s">
        <v>4903</v>
      </c>
      <c r="R386" t="s">
        <v>4057</v>
      </c>
    </row>
    <row r="387" spans="1:18" hidden="1" x14ac:dyDescent="0.25">
      <c r="A387" t="s">
        <v>2045</v>
      </c>
      <c r="B387" t="s">
        <v>688</v>
      </c>
      <c r="C387" t="s">
        <v>39</v>
      </c>
      <c r="D387" t="s">
        <v>32</v>
      </c>
      <c r="E387" t="s">
        <v>370</v>
      </c>
      <c r="F387" t="s">
        <v>140</v>
      </c>
      <c r="G387" t="s">
        <v>2046</v>
      </c>
      <c r="H387" s="15">
        <v>713954</v>
      </c>
      <c r="I387" s="15">
        <v>0</v>
      </c>
      <c r="J387" t="s">
        <v>20</v>
      </c>
      <c r="K387" t="s">
        <v>28</v>
      </c>
      <c r="L387" s="2">
        <v>41183</v>
      </c>
      <c r="M387" t="s">
        <v>2047</v>
      </c>
      <c r="N387">
        <v>0</v>
      </c>
      <c r="O387" t="s">
        <v>4903</v>
      </c>
      <c r="P387">
        <v>0</v>
      </c>
      <c r="Q387" t="s">
        <v>4903</v>
      </c>
      <c r="R387" t="s">
        <v>2045</v>
      </c>
    </row>
    <row r="388" spans="1:18" hidden="1" x14ac:dyDescent="0.25">
      <c r="A388" t="s">
        <v>1192</v>
      </c>
      <c r="B388" t="s">
        <v>635</v>
      </c>
      <c r="C388" t="s">
        <v>39</v>
      </c>
      <c r="D388" t="s">
        <v>32</v>
      </c>
      <c r="E388" t="s">
        <v>370</v>
      </c>
      <c r="F388" t="s">
        <v>34</v>
      </c>
      <c r="G388" t="s">
        <v>3419</v>
      </c>
      <c r="H388" s="15">
        <v>760348</v>
      </c>
      <c r="I388" s="15">
        <v>0</v>
      </c>
      <c r="J388" t="s">
        <v>20</v>
      </c>
      <c r="K388" t="s">
        <v>21</v>
      </c>
      <c r="L388" s="2">
        <v>41183</v>
      </c>
      <c r="M388" t="s">
        <v>3420</v>
      </c>
      <c r="N388">
        <v>1</v>
      </c>
      <c r="O388" t="s">
        <v>4903</v>
      </c>
      <c r="P388">
        <v>0</v>
      </c>
      <c r="Q388" t="s">
        <v>4903</v>
      </c>
      <c r="R388" t="s">
        <v>1192</v>
      </c>
    </row>
    <row r="389" spans="1:18" hidden="1" x14ac:dyDescent="0.25">
      <c r="A389" t="s">
        <v>2564</v>
      </c>
      <c r="B389" t="s">
        <v>47</v>
      </c>
      <c r="C389" t="s">
        <v>48</v>
      </c>
      <c r="D389" t="s">
        <v>32</v>
      </c>
      <c r="E389" t="s">
        <v>370</v>
      </c>
      <c r="F389" t="s">
        <v>18</v>
      </c>
      <c r="G389" t="s">
        <v>4534</v>
      </c>
      <c r="H389" s="15">
        <v>420848</v>
      </c>
      <c r="I389" s="15">
        <v>0</v>
      </c>
      <c r="J389" t="s">
        <v>154</v>
      </c>
      <c r="K389" t="s">
        <v>65</v>
      </c>
      <c r="L389" s="2">
        <v>41183</v>
      </c>
      <c r="M389" t="s">
        <v>4535</v>
      </c>
      <c r="N389">
        <v>0</v>
      </c>
      <c r="O389" t="s">
        <v>4903</v>
      </c>
      <c r="P389">
        <v>0</v>
      </c>
      <c r="Q389" t="s">
        <v>4903</v>
      </c>
      <c r="R389" t="s">
        <v>2564</v>
      </c>
    </row>
    <row r="390" spans="1:18" hidden="1" x14ac:dyDescent="0.25">
      <c r="A390" t="s">
        <v>1197</v>
      </c>
      <c r="B390" t="s">
        <v>47</v>
      </c>
      <c r="C390" t="s">
        <v>48</v>
      </c>
      <c r="D390" t="s">
        <v>96</v>
      </c>
      <c r="E390" t="s">
        <v>1198</v>
      </c>
      <c r="F390" t="s">
        <v>98</v>
      </c>
      <c r="G390" t="s">
        <v>1199</v>
      </c>
      <c r="H390" s="15">
        <v>700000</v>
      </c>
      <c r="I390" s="15">
        <v>0</v>
      </c>
      <c r="J390" t="s">
        <v>20</v>
      </c>
      <c r="K390" t="s">
        <v>28</v>
      </c>
      <c r="L390" s="2">
        <v>41183</v>
      </c>
      <c r="M390" t="s">
        <v>1200</v>
      </c>
      <c r="N390">
        <v>16</v>
      </c>
      <c r="O390" t="s">
        <v>4903</v>
      </c>
      <c r="P390">
        <v>0</v>
      </c>
      <c r="Q390" t="s">
        <v>4903</v>
      </c>
      <c r="R390" t="s">
        <v>1197</v>
      </c>
    </row>
    <row r="391" spans="1:18" hidden="1" x14ac:dyDescent="0.25">
      <c r="A391" t="s">
        <v>4246</v>
      </c>
      <c r="B391" t="s">
        <v>289</v>
      </c>
      <c r="C391" t="s">
        <v>15</v>
      </c>
      <c r="D391" t="s">
        <v>108</v>
      </c>
      <c r="E391" t="s">
        <v>533</v>
      </c>
      <c r="F391" t="s">
        <v>26</v>
      </c>
      <c r="G391" t="s">
        <v>4300</v>
      </c>
      <c r="H391" s="15">
        <v>100000</v>
      </c>
      <c r="I391" s="15">
        <v>0</v>
      </c>
      <c r="J391" t="s">
        <v>44</v>
      </c>
      <c r="K391" t="s">
        <v>28</v>
      </c>
      <c r="L391" s="2">
        <v>41183</v>
      </c>
      <c r="M391" t="s">
        <v>4301</v>
      </c>
      <c r="N391">
        <v>0</v>
      </c>
      <c r="O391" t="s">
        <v>4903</v>
      </c>
      <c r="P391">
        <v>0</v>
      </c>
      <c r="Q391" t="s">
        <v>4903</v>
      </c>
      <c r="R391" t="s">
        <v>4246</v>
      </c>
    </row>
    <row r="392" spans="1:18" hidden="1" x14ac:dyDescent="0.25">
      <c r="A392" t="s">
        <v>3080</v>
      </c>
      <c r="B392" t="s">
        <v>113</v>
      </c>
      <c r="C392" t="s">
        <v>15</v>
      </c>
      <c r="D392" t="s">
        <v>96</v>
      </c>
      <c r="E392" t="s">
        <v>1198</v>
      </c>
      <c r="F392" t="s">
        <v>98</v>
      </c>
      <c r="G392" t="s">
        <v>3081</v>
      </c>
      <c r="H392" s="15">
        <v>200000</v>
      </c>
      <c r="I392" s="15">
        <v>0</v>
      </c>
      <c r="J392" t="s">
        <v>455</v>
      </c>
      <c r="K392" t="s">
        <v>134</v>
      </c>
      <c r="L392" s="2">
        <v>41183</v>
      </c>
      <c r="M392" t="s">
        <v>3082</v>
      </c>
      <c r="N392">
        <v>0</v>
      </c>
      <c r="O392" t="s">
        <v>4903</v>
      </c>
      <c r="P392">
        <v>0</v>
      </c>
      <c r="Q392" t="s">
        <v>4903</v>
      </c>
      <c r="R392" t="s">
        <v>3080</v>
      </c>
    </row>
    <row r="393" spans="1:18" hidden="1" x14ac:dyDescent="0.25">
      <c r="A393" t="s">
        <v>1542</v>
      </c>
      <c r="B393" t="s">
        <v>47</v>
      </c>
      <c r="C393" t="s">
        <v>48</v>
      </c>
      <c r="D393" t="s">
        <v>96</v>
      </c>
      <c r="E393" t="s">
        <v>1198</v>
      </c>
      <c r="F393" t="s">
        <v>98</v>
      </c>
      <c r="G393" t="s">
        <v>1543</v>
      </c>
      <c r="H393" s="15">
        <v>576493</v>
      </c>
      <c r="I393" s="15">
        <v>0</v>
      </c>
      <c r="J393" t="s">
        <v>89</v>
      </c>
      <c r="K393" t="s">
        <v>134</v>
      </c>
      <c r="L393" s="2">
        <v>41183</v>
      </c>
      <c r="M393" t="s">
        <v>1544</v>
      </c>
      <c r="N393">
        <v>0</v>
      </c>
      <c r="O393" t="s">
        <v>4903</v>
      </c>
      <c r="P393">
        <v>0</v>
      </c>
      <c r="Q393" t="s">
        <v>4903</v>
      </c>
      <c r="R393" t="s">
        <v>1542</v>
      </c>
    </row>
    <row r="394" spans="1:18" hidden="1" x14ac:dyDescent="0.25">
      <c r="A394" t="s">
        <v>3230</v>
      </c>
      <c r="B394" t="s">
        <v>14</v>
      </c>
      <c r="C394" t="s">
        <v>15</v>
      </c>
      <c r="D394" t="s">
        <v>32</v>
      </c>
      <c r="E394" t="s">
        <v>370</v>
      </c>
      <c r="F394" t="s">
        <v>18</v>
      </c>
      <c r="G394" t="s">
        <v>3231</v>
      </c>
      <c r="H394" s="15">
        <v>692821</v>
      </c>
      <c r="I394" s="15">
        <v>0</v>
      </c>
      <c r="J394" t="s">
        <v>20</v>
      </c>
      <c r="K394" t="s">
        <v>116</v>
      </c>
      <c r="L394" s="2">
        <v>41183</v>
      </c>
      <c r="M394" t="s">
        <v>3232</v>
      </c>
      <c r="N394">
        <v>1</v>
      </c>
      <c r="O394" t="s">
        <v>4903</v>
      </c>
      <c r="P394">
        <v>0</v>
      </c>
      <c r="Q394" t="s">
        <v>4903</v>
      </c>
      <c r="R394" t="s">
        <v>3230</v>
      </c>
    </row>
    <row r="395" spans="1:18" hidden="1" x14ac:dyDescent="0.25">
      <c r="A395" t="s">
        <v>1525</v>
      </c>
      <c r="B395" t="s">
        <v>119</v>
      </c>
      <c r="C395" t="s">
        <v>39</v>
      </c>
      <c r="D395" t="s">
        <v>32</v>
      </c>
      <c r="E395" t="s">
        <v>370</v>
      </c>
      <c r="F395" t="s">
        <v>26</v>
      </c>
      <c r="G395" t="s">
        <v>1526</v>
      </c>
      <c r="H395" s="15">
        <v>1404691</v>
      </c>
      <c r="I395" s="15">
        <v>0</v>
      </c>
      <c r="J395" t="s">
        <v>89</v>
      </c>
      <c r="K395" t="s">
        <v>28</v>
      </c>
      <c r="L395" s="2">
        <v>41183</v>
      </c>
      <c r="M395" t="s">
        <v>1527</v>
      </c>
      <c r="N395">
        <v>2</v>
      </c>
      <c r="O395" t="s">
        <v>4903</v>
      </c>
      <c r="P395">
        <v>0</v>
      </c>
      <c r="Q395" t="s">
        <v>4903</v>
      </c>
      <c r="R395" t="s">
        <v>1525</v>
      </c>
    </row>
    <row r="396" spans="1:18" hidden="1" x14ac:dyDescent="0.25">
      <c r="A396" t="s">
        <v>4520</v>
      </c>
      <c r="B396" t="s">
        <v>47</v>
      </c>
      <c r="C396" t="s">
        <v>48</v>
      </c>
      <c r="D396" t="s">
        <v>96</v>
      </c>
      <c r="E396" t="s">
        <v>1198</v>
      </c>
      <c r="F396" t="s">
        <v>98</v>
      </c>
      <c r="G396" t="s">
        <v>4521</v>
      </c>
      <c r="H396" s="15">
        <v>471851</v>
      </c>
      <c r="I396" s="15">
        <v>0</v>
      </c>
      <c r="J396" t="s">
        <v>89</v>
      </c>
      <c r="K396" t="s">
        <v>65</v>
      </c>
      <c r="L396" s="2">
        <v>41183</v>
      </c>
      <c r="M396" t="s">
        <v>4522</v>
      </c>
      <c r="N396">
        <v>9</v>
      </c>
      <c r="O396" t="s">
        <v>4903</v>
      </c>
      <c r="P396">
        <v>0</v>
      </c>
      <c r="Q396" t="s">
        <v>4903</v>
      </c>
      <c r="R396" t="s">
        <v>4520</v>
      </c>
    </row>
    <row r="397" spans="1:18" hidden="1" x14ac:dyDescent="0.25">
      <c r="A397" t="s">
        <v>3540</v>
      </c>
      <c r="B397" t="s">
        <v>103</v>
      </c>
      <c r="C397" t="s">
        <v>15</v>
      </c>
      <c r="D397" t="s">
        <v>96</v>
      </c>
      <c r="E397" t="s">
        <v>1198</v>
      </c>
      <c r="F397" t="s">
        <v>98</v>
      </c>
      <c r="G397" t="s">
        <v>3541</v>
      </c>
      <c r="H397" s="15">
        <v>136535</v>
      </c>
      <c r="I397" s="15">
        <v>0</v>
      </c>
      <c r="J397" t="s">
        <v>89</v>
      </c>
      <c r="K397" t="s">
        <v>21</v>
      </c>
      <c r="L397" s="2">
        <v>41183</v>
      </c>
      <c r="M397" t="s">
        <v>3542</v>
      </c>
      <c r="N397">
        <v>0</v>
      </c>
      <c r="O397" t="s">
        <v>4903</v>
      </c>
      <c r="P397">
        <v>0</v>
      </c>
      <c r="Q397" t="s">
        <v>4903</v>
      </c>
      <c r="R397" t="s">
        <v>3540</v>
      </c>
    </row>
    <row r="398" spans="1:18" hidden="1" x14ac:dyDescent="0.25">
      <c r="A398" t="s">
        <v>2974</v>
      </c>
      <c r="B398" t="s">
        <v>2975</v>
      </c>
      <c r="C398" t="s">
        <v>39</v>
      </c>
      <c r="D398" t="s">
        <v>32</v>
      </c>
      <c r="E398" t="s">
        <v>370</v>
      </c>
      <c r="F398" t="s">
        <v>34</v>
      </c>
      <c r="G398" t="s">
        <v>2976</v>
      </c>
      <c r="H398" s="15">
        <v>672197</v>
      </c>
      <c r="I398" s="15">
        <v>0</v>
      </c>
      <c r="J398" t="s">
        <v>20</v>
      </c>
      <c r="K398" t="s">
        <v>116</v>
      </c>
      <c r="L398" s="2">
        <v>41183</v>
      </c>
      <c r="M398" t="s">
        <v>2977</v>
      </c>
      <c r="N398">
        <v>0</v>
      </c>
      <c r="O398" t="s">
        <v>4903</v>
      </c>
      <c r="P398">
        <v>0</v>
      </c>
      <c r="Q398" t="s">
        <v>4903</v>
      </c>
      <c r="R398" t="s">
        <v>2974</v>
      </c>
    </row>
    <row r="399" spans="1:18" hidden="1" x14ac:dyDescent="0.25">
      <c r="A399" t="s">
        <v>175</v>
      </c>
      <c r="B399" t="s">
        <v>14</v>
      </c>
      <c r="C399" t="s">
        <v>15</v>
      </c>
      <c r="D399" t="s">
        <v>32</v>
      </c>
      <c r="E399" t="s">
        <v>370</v>
      </c>
      <c r="F399" t="s">
        <v>140</v>
      </c>
      <c r="G399" t="s">
        <v>697</v>
      </c>
      <c r="H399" s="15">
        <v>346847</v>
      </c>
      <c r="I399" s="15">
        <v>0</v>
      </c>
      <c r="J399" t="s">
        <v>89</v>
      </c>
      <c r="K399" t="s">
        <v>28</v>
      </c>
      <c r="L399" s="2">
        <v>41183</v>
      </c>
      <c r="M399" t="s">
        <v>698</v>
      </c>
      <c r="N399">
        <v>0</v>
      </c>
      <c r="O399" t="s">
        <v>4903</v>
      </c>
      <c r="P399">
        <v>0</v>
      </c>
      <c r="Q399" t="s">
        <v>4903</v>
      </c>
      <c r="R399" t="s">
        <v>175</v>
      </c>
    </row>
    <row r="400" spans="1:18" hidden="1" x14ac:dyDescent="0.25">
      <c r="A400" t="s">
        <v>2940</v>
      </c>
      <c r="B400" t="s">
        <v>47</v>
      </c>
      <c r="C400" t="s">
        <v>48</v>
      </c>
      <c r="D400" t="s">
        <v>32</v>
      </c>
      <c r="E400" t="s">
        <v>370</v>
      </c>
      <c r="F400" t="s">
        <v>140</v>
      </c>
      <c r="G400" t="s">
        <v>4662</v>
      </c>
      <c r="H400" s="15">
        <v>597109</v>
      </c>
      <c r="I400" s="15">
        <v>0</v>
      </c>
      <c r="J400" t="s">
        <v>154</v>
      </c>
      <c r="K400" t="s">
        <v>28</v>
      </c>
      <c r="L400" s="2">
        <v>41183</v>
      </c>
      <c r="M400" t="s">
        <v>4663</v>
      </c>
      <c r="N400">
        <v>1</v>
      </c>
      <c r="O400" t="s">
        <v>4903</v>
      </c>
      <c r="P400">
        <v>0</v>
      </c>
      <c r="Q400" t="s">
        <v>4903</v>
      </c>
      <c r="R400" t="s">
        <v>2940</v>
      </c>
    </row>
    <row r="401" spans="1:18" hidden="1" x14ac:dyDescent="0.25">
      <c r="A401" t="s">
        <v>3776</v>
      </c>
      <c r="B401" t="s">
        <v>61</v>
      </c>
      <c r="C401" t="s">
        <v>62</v>
      </c>
      <c r="D401" t="s">
        <v>32</v>
      </c>
      <c r="E401" t="s">
        <v>370</v>
      </c>
      <c r="F401" t="s">
        <v>152</v>
      </c>
      <c r="G401" t="s">
        <v>3777</v>
      </c>
      <c r="H401" s="15">
        <v>978301</v>
      </c>
      <c r="I401" s="15">
        <v>0</v>
      </c>
      <c r="J401" t="s">
        <v>20</v>
      </c>
      <c r="K401" t="s">
        <v>28</v>
      </c>
      <c r="L401" s="2">
        <v>41183</v>
      </c>
      <c r="M401" t="s">
        <v>3778</v>
      </c>
      <c r="N401">
        <v>0</v>
      </c>
      <c r="O401" t="s">
        <v>4903</v>
      </c>
      <c r="P401">
        <v>0</v>
      </c>
      <c r="Q401" t="s">
        <v>4903</v>
      </c>
      <c r="R401" t="s">
        <v>3776</v>
      </c>
    </row>
    <row r="402" spans="1:18" hidden="1" x14ac:dyDescent="0.25">
      <c r="A402" t="s">
        <v>555</v>
      </c>
      <c r="B402" t="s">
        <v>676</v>
      </c>
      <c r="C402" t="s">
        <v>39</v>
      </c>
      <c r="D402" t="s">
        <v>32</v>
      </c>
      <c r="E402" t="s">
        <v>370</v>
      </c>
      <c r="F402" t="s">
        <v>34</v>
      </c>
      <c r="G402" t="s">
        <v>2271</v>
      </c>
      <c r="H402" s="15">
        <v>582717</v>
      </c>
      <c r="I402" s="15">
        <v>0</v>
      </c>
      <c r="J402" t="s">
        <v>20</v>
      </c>
      <c r="K402" t="s">
        <v>28</v>
      </c>
      <c r="L402" s="2">
        <v>41183</v>
      </c>
      <c r="M402" t="s">
        <v>2272</v>
      </c>
      <c r="N402">
        <v>0</v>
      </c>
      <c r="O402" t="s">
        <v>4903</v>
      </c>
      <c r="P402">
        <v>0</v>
      </c>
      <c r="Q402" t="s">
        <v>4903</v>
      </c>
      <c r="R402" t="s">
        <v>555</v>
      </c>
    </row>
    <row r="403" spans="1:18" hidden="1" x14ac:dyDescent="0.25">
      <c r="A403" t="s">
        <v>1094</v>
      </c>
      <c r="B403" t="s">
        <v>77</v>
      </c>
      <c r="C403" t="s">
        <v>15</v>
      </c>
      <c r="D403" t="s">
        <v>32</v>
      </c>
      <c r="E403" t="s">
        <v>370</v>
      </c>
      <c r="F403" t="s">
        <v>34</v>
      </c>
      <c r="G403" t="s">
        <v>1095</v>
      </c>
      <c r="H403" s="15">
        <v>779591</v>
      </c>
      <c r="I403" s="15">
        <v>0</v>
      </c>
      <c r="J403" t="s">
        <v>20</v>
      </c>
      <c r="K403" t="s">
        <v>116</v>
      </c>
      <c r="L403" s="2">
        <v>41183</v>
      </c>
      <c r="M403" t="s">
        <v>1096</v>
      </c>
      <c r="N403">
        <v>0</v>
      </c>
      <c r="O403" t="s">
        <v>4903</v>
      </c>
      <c r="P403">
        <v>0</v>
      </c>
      <c r="Q403" t="s">
        <v>4903</v>
      </c>
      <c r="R403" t="s">
        <v>1094</v>
      </c>
    </row>
    <row r="404" spans="1:18" hidden="1" x14ac:dyDescent="0.25">
      <c r="A404" t="s">
        <v>1635</v>
      </c>
      <c r="B404" t="s">
        <v>898</v>
      </c>
      <c r="C404" t="s">
        <v>39</v>
      </c>
      <c r="D404" t="s">
        <v>32</v>
      </c>
      <c r="E404" t="s">
        <v>370</v>
      </c>
      <c r="F404" t="s">
        <v>34</v>
      </c>
      <c r="G404" t="s">
        <v>1956</v>
      </c>
      <c r="H404" s="15">
        <v>424935</v>
      </c>
      <c r="I404" s="15">
        <v>0</v>
      </c>
      <c r="J404" t="s">
        <v>20</v>
      </c>
      <c r="K404" t="s">
        <v>21</v>
      </c>
      <c r="L404" s="2">
        <v>41183</v>
      </c>
      <c r="M404" t="s">
        <v>1957</v>
      </c>
      <c r="N404">
        <v>0</v>
      </c>
      <c r="O404" t="s">
        <v>4903</v>
      </c>
      <c r="P404">
        <v>0</v>
      </c>
      <c r="Q404" t="s">
        <v>4903</v>
      </c>
      <c r="R404" t="s">
        <v>1635</v>
      </c>
    </row>
    <row r="405" spans="1:18" hidden="1" x14ac:dyDescent="0.25">
      <c r="A405" t="s">
        <v>3310</v>
      </c>
      <c r="B405" t="s">
        <v>14</v>
      </c>
      <c r="C405" t="s">
        <v>15</v>
      </c>
      <c r="D405" t="s">
        <v>32</v>
      </c>
      <c r="E405" t="s">
        <v>370</v>
      </c>
      <c r="F405" t="s">
        <v>26</v>
      </c>
      <c r="G405" t="s">
        <v>4372</v>
      </c>
      <c r="H405" s="15">
        <v>390342</v>
      </c>
      <c r="I405" s="15">
        <v>0</v>
      </c>
      <c r="J405" t="s">
        <v>89</v>
      </c>
      <c r="K405" t="s">
        <v>28</v>
      </c>
      <c r="L405" s="2">
        <v>41183</v>
      </c>
      <c r="M405" t="s">
        <v>4373</v>
      </c>
      <c r="N405">
        <v>0</v>
      </c>
      <c r="O405" t="s">
        <v>4903</v>
      </c>
      <c r="P405">
        <v>0</v>
      </c>
      <c r="Q405" t="s">
        <v>4903</v>
      </c>
      <c r="R405" t="s">
        <v>3310</v>
      </c>
    </row>
    <row r="406" spans="1:18" hidden="1" x14ac:dyDescent="0.25">
      <c r="A406" t="s">
        <v>532</v>
      </c>
      <c r="B406" t="s">
        <v>161</v>
      </c>
      <c r="C406" t="s">
        <v>39</v>
      </c>
      <c r="D406" t="s">
        <v>108</v>
      </c>
      <c r="E406" t="s">
        <v>533</v>
      </c>
      <c r="F406" t="s">
        <v>140</v>
      </c>
      <c r="G406" t="s">
        <v>534</v>
      </c>
      <c r="H406" s="15">
        <v>100000</v>
      </c>
      <c r="I406" s="15">
        <v>0</v>
      </c>
      <c r="J406" t="s">
        <v>44</v>
      </c>
      <c r="K406" t="s">
        <v>28</v>
      </c>
      <c r="L406" s="2">
        <v>41183</v>
      </c>
      <c r="M406" t="s">
        <v>535</v>
      </c>
      <c r="N406">
        <v>1</v>
      </c>
      <c r="O406" t="s">
        <v>4903</v>
      </c>
      <c r="P406">
        <v>0</v>
      </c>
      <c r="Q406" t="s">
        <v>4903</v>
      </c>
      <c r="R406" t="s">
        <v>532</v>
      </c>
    </row>
    <row r="407" spans="1:18" hidden="1" x14ac:dyDescent="0.25">
      <c r="A407" t="s">
        <v>2471</v>
      </c>
      <c r="B407" t="s">
        <v>406</v>
      </c>
      <c r="C407" t="s">
        <v>62</v>
      </c>
      <c r="D407" t="s">
        <v>32</v>
      </c>
      <c r="E407" t="s">
        <v>370</v>
      </c>
      <c r="F407" t="s">
        <v>18</v>
      </c>
      <c r="G407" t="s">
        <v>3551</v>
      </c>
      <c r="H407" s="15">
        <v>459602</v>
      </c>
      <c r="I407" s="15">
        <v>0</v>
      </c>
      <c r="J407" t="s">
        <v>260</v>
      </c>
      <c r="K407" t="s">
        <v>116</v>
      </c>
      <c r="L407" s="2">
        <v>41183</v>
      </c>
      <c r="M407" t="s">
        <v>3552</v>
      </c>
      <c r="N407">
        <v>2</v>
      </c>
      <c r="O407" t="s">
        <v>4903</v>
      </c>
      <c r="P407">
        <v>0</v>
      </c>
      <c r="Q407" t="s">
        <v>4903</v>
      </c>
      <c r="R407" t="s">
        <v>2471</v>
      </c>
    </row>
    <row r="408" spans="1:18" hidden="1" x14ac:dyDescent="0.25">
      <c r="A408" t="s">
        <v>484</v>
      </c>
      <c r="B408" t="s">
        <v>485</v>
      </c>
      <c r="C408" t="s">
        <v>15</v>
      </c>
      <c r="D408" t="s">
        <v>32</v>
      </c>
      <c r="E408" t="s">
        <v>370</v>
      </c>
      <c r="F408" t="s">
        <v>152</v>
      </c>
      <c r="G408" t="s">
        <v>4318</v>
      </c>
      <c r="H408" s="15">
        <v>382243</v>
      </c>
      <c r="I408" s="15">
        <v>0</v>
      </c>
      <c r="J408" t="s">
        <v>89</v>
      </c>
      <c r="K408" t="s">
        <v>28</v>
      </c>
      <c r="L408" s="2">
        <v>41183</v>
      </c>
      <c r="M408" t="s">
        <v>4319</v>
      </c>
      <c r="N408">
        <v>0</v>
      </c>
      <c r="O408" t="s">
        <v>4903</v>
      </c>
      <c r="P408">
        <v>0</v>
      </c>
      <c r="Q408" t="s">
        <v>4903</v>
      </c>
      <c r="R408" t="s">
        <v>484</v>
      </c>
    </row>
    <row r="409" spans="1:18" hidden="1" x14ac:dyDescent="0.25">
      <c r="A409" t="s">
        <v>1929</v>
      </c>
      <c r="B409" t="s">
        <v>31</v>
      </c>
      <c r="C409" t="s">
        <v>15</v>
      </c>
      <c r="D409" t="s">
        <v>32</v>
      </c>
      <c r="E409" t="s">
        <v>370</v>
      </c>
      <c r="F409" t="s">
        <v>34</v>
      </c>
      <c r="G409" t="s">
        <v>2112</v>
      </c>
      <c r="H409" s="15">
        <v>500264</v>
      </c>
      <c r="I409" s="15">
        <v>0</v>
      </c>
      <c r="J409" t="s">
        <v>20</v>
      </c>
      <c r="K409" t="s">
        <v>21</v>
      </c>
      <c r="L409" s="2">
        <v>41183</v>
      </c>
      <c r="M409" t="s">
        <v>2113</v>
      </c>
      <c r="N409">
        <v>0</v>
      </c>
      <c r="O409" t="s">
        <v>4903</v>
      </c>
      <c r="P409">
        <v>0</v>
      </c>
      <c r="Q409" t="s">
        <v>4903</v>
      </c>
      <c r="R409" t="s">
        <v>1929</v>
      </c>
    </row>
    <row r="410" spans="1:18" hidden="1" x14ac:dyDescent="0.25">
      <c r="A410" t="s">
        <v>3447</v>
      </c>
      <c r="B410" t="s">
        <v>2815</v>
      </c>
      <c r="C410" t="s">
        <v>15</v>
      </c>
      <c r="D410" t="s">
        <v>32</v>
      </c>
      <c r="E410" t="s">
        <v>370</v>
      </c>
      <c r="F410" t="s">
        <v>18</v>
      </c>
      <c r="G410" t="s">
        <v>3448</v>
      </c>
      <c r="H410" s="15">
        <v>822276</v>
      </c>
      <c r="I410" s="15">
        <v>0</v>
      </c>
      <c r="J410" t="s">
        <v>20</v>
      </c>
      <c r="K410" t="s">
        <v>21</v>
      </c>
      <c r="L410" s="2">
        <v>41183</v>
      </c>
      <c r="M410" t="s">
        <v>3449</v>
      </c>
      <c r="N410">
        <v>9</v>
      </c>
      <c r="O410" t="s">
        <v>4903</v>
      </c>
      <c r="P410">
        <v>0</v>
      </c>
      <c r="Q410" t="s">
        <v>4903</v>
      </c>
      <c r="R410" t="s">
        <v>3447</v>
      </c>
    </row>
    <row r="411" spans="1:18" hidden="1" x14ac:dyDescent="0.25">
      <c r="A411" t="s">
        <v>1377</v>
      </c>
      <c r="B411" t="s">
        <v>119</v>
      </c>
      <c r="C411" t="s">
        <v>39</v>
      </c>
      <c r="D411" t="s">
        <v>32</v>
      </c>
      <c r="E411" t="s">
        <v>370</v>
      </c>
      <c r="F411" t="s">
        <v>26</v>
      </c>
      <c r="G411" t="s">
        <v>1378</v>
      </c>
      <c r="H411" s="15">
        <v>331788</v>
      </c>
      <c r="I411" s="15">
        <v>0</v>
      </c>
      <c r="J411" t="s">
        <v>89</v>
      </c>
      <c r="K411" t="s">
        <v>28</v>
      </c>
      <c r="L411" s="2">
        <v>41183</v>
      </c>
      <c r="M411" t="s">
        <v>1379</v>
      </c>
      <c r="N411">
        <v>1</v>
      </c>
      <c r="O411" t="s">
        <v>4903</v>
      </c>
      <c r="P411">
        <v>0</v>
      </c>
      <c r="Q411" t="s">
        <v>4903</v>
      </c>
      <c r="R411" t="s">
        <v>1377</v>
      </c>
    </row>
    <row r="412" spans="1:18" hidden="1" x14ac:dyDescent="0.25">
      <c r="A412" t="s">
        <v>752</v>
      </c>
      <c r="B412" t="s">
        <v>84</v>
      </c>
      <c r="C412" t="s">
        <v>15</v>
      </c>
      <c r="D412" t="s">
        <v>32</v>
      </c>
      <c r="E412" t="s">
        <v>370</v>
      </c>
      <c r="F412" t="s">
        <v>18</v>
      </c>
      <c r="G412" t="s">
        <v>2615</v>
      </c>
      <c r="H412" s="15">
        <v>756107</v>
      </c>
      <c r="I412" s="15">
        <v>0</v>
      </c>
      <c r="J412" t="s">
        <v>20</v>
      </c>
      <c r="K412" t="s">
        <v>116</v>
      </c>
      <c r="L412" s="2">
        <v>41183</v>
      </c>
      <c r="M412" t="s">
        <v>2616</v>
      </c>
      <c r="N412">
        <v>2</v>
      </c>
      <c r="O412" t="s">
        <v>4903</v>
      </c>
      <c r="P412">
        <v>0</v>
      </c>
      <c r="Q412" t="s">
        <v>4903</v>
      </c>
      <c r="R412" t="s">
        <v>752</v>
      </c>
    </row>
    <row r="413" spans="1:18" hidden="1" x14ac:dyDescent="0.25">
      <c r="A413" t="s">
        <v>3765</v>
      </c>
      <c r="B413" t="s">
        <v>47</v>
      </c>
      <c r="C413" t="s">
        <v>48</v>
      </c>
      <c r="D413" t="s">
        <v>32</v>
      </c>
      <c r="E413" t="s">
        <v>370</v>
      </c>
      <c r="F413" t="s">
        <v>152</v>
      </c>
      <c r="G413" t="s">
        <v>4333</v>
      </c>
      <c r="H413" s="15">
        <v>458026</v>
      </c>
      <c r="I413" s="15">
        <v>0</v>
      </c>
      <c r="J413" t="s">
        <v>89</v>
      </c>
      <c r="K413" t="s">
        <v>28</v>
      </c>
      <c r="L413" s="2">
        <v>41183</v>
      </c>
      <c r="M413" t="s">
        <v>4334</v>
      </c>
      <c r="N413">
        <v>0</v>
      </c>
      <c r="O413" t="s">
        <v>4903</v>
      </c>
      <c r="P413">
        <v>0</v>
      </c>
      <c r="Q413" t="s">
        <v>4903</v>
      </c>
      <c r="R413" t="s">
        <v>3765</v>
      </c>
    </row>
    <row r="414" spans="1:18" hidden="1" x14ac:dyDescent="0.25">
      <c r="A414" t="s">
        <v>1686</v>
      </c>
      <c r="B414" t="s">
        <v>635</v>
      </c>
      <c r="C414" t="s">
        <v>39</v>
      </c>
      <c r="D414" t="s">
        <v>96</v>
      </c>
      <c r="E414" t="s">
        <v>1198</v>
      </c>
      <c r="F414" t="s">
        <v>98</v>
      </c>
      <c r="G414" t="s">
        <v>1687</v>
      </c>
      <c r="H414" s="15">
        <v>274796</v>
      </c>
      <c r="I414" s="15">
        <v>0</v>
      </c>
      <c r="J414" t="s">
        <v>89</v>
      </c>
      <c r="K414" t="s">
        <v>21</v>
      </c>
      <c r="L414" s="2">
        <v>41183</v>
      </c>
      <c r="M414" t="s">
        <v>1688</v>
      </c>
      <c r="N414">
        <v>0</v>
      </c>
      <c r="O414" t="s">
        <v>4903</v>
      </c>
      <c r="P414">
        <v>0</v>
      </c>
      <c r="Q414" t="s">
        <v>4903</v>
      </c>
      <c r="R414" t="s">
        <v>1686</v>
      </c>
    </row>
    <row r="415" spans="1:18" hidden="1" x14ac:dyDescent="0.25">
      <c r="A415" t="s">
        <v>715</v>
      </c>
      <c r="B415" t="s">
        <v>24</v>
      </c>
      <c r="C415" t="s">
        <v>15</v>
      </c>
      <c r="D415" t="s">
        <v>32</v>
      </c>
      <c r="E415" t="s">
        <v>370</v>
      </c>
      <c r="F415" t="s">
        <v>34</v>
      </c>
      <c r="G415" t="s">
        <v>4349</v>
      </c>
      <c r="H415" s="15">
        <v>621248</v>
      </c>
      <c r="I415" s="15">
        <v>0</v>
      </c>
      <c r="J415" t="s">
        <v>20</v>
      </c>
      <c r="K415" t="s">
        <v>116</v>
      </c>
      <c r="L415" s="2">
        <v>41183</v>
      </c>
      <c r="M415" t="s">
        <v>4350</v>
      </c>
      <c r="N415">
        <v>0</v>
      </c>
      <c r="O415" t="s">
        <v>4903</v>
      </c>
      <c r="P415">
        <v>0</v>
      </c>
      <c r="Q415" t="s">
        <v>4903</v>
      </c>
      <c r="R415" t="s">
        <v>715</v>
      </c>
    </row>
    <row r="416" spans="1:18" hidden="1" x14ac:dyDescent="0.25">
      <c r="A416" t="s">
        <v>1079</v>
      </c>
      <c r="B416" t="s">
        <v>47</v>
      </c>
      <c r="C416" t="s">
        <v>48</v>
      </c>
      <c r="D416" t="s">
        <v>32</v>
      </c>
      <c r="E416" t="s">
        <v>370</v>
      </c>
      <c r="F416" t="s">
        <v>26</v>
      </c>
      <c r="G416" t="s">
        <v>3576</v>
      </c>
      <c r="H416" s="15">
        <v>502157</v>
      </c>
      <c r="I416" s="15">
        <v>0</v>
      </c>
      <c r="J416" t="s">
        <v>89</v>
      </c>
      <c r="K416" t="s">
        <v>28</v>
      </c>
      <c r="L416" s="2">
        <v>41183</v>
      </c>
      <c r="M416" t="s">
        <v>3577</v>
      </c>
      <c r="N416">
        <v>2</v>
      </c>
      <c r="O416" t="s">
        <v>4903</v>
      </c>
      <c r="P416">
        <v>0</v>
      </c>
      <c r="Q416" t="s">
        <v>4903</v>
      </c>
      <c r="R416" t="s">
        <v>1079</v>
      </c>
    </row>
    <row r="417" spans="1:18" hidden="1" x14ac:dyDescent="0.25">
      <c r="A417" t="s">
        <v>679</v>
      </c>
      <c r="B417" t="s">
        <v>77</v>
      </c>
      <c r="C417" t="s">
        <v>15</v>
      </c>
      <c r="D417" t="s">
        <v>32</v>
      </c>
      <c r="E417" t="s">
        <v>370</v>
      </c>
      <c r="F417" t="s">
        <v>140</v>
      </c>
      <c r="G417" t="s">
        <v>926</v>
      </c>
      <c r="H417" s="15">
        <v>573543</v>
      </c>
      <c r="I417" s="15">
        <v>0</v>
      </c>
      <c r="J417" t="s">
        <v>154</v>
      </c>
      <c r="K417" t="s">
        <v>28</v>
      </c>
      <c r="L417" s="2">
        <v>41183</v>
      </c>
      <c r="M417" t="s">
        <v>927</v>
      </c>
      <c r="N417">
        <v>1</v>
      </c>
      <c r="O417" t="s">
        <v>4903</v>
      </c>
      <c r="P417">
        <v>0</v>
      </c>
      <c r="Q417" t="s">
        <v>4903</v>
      </c>
      <c r="R417" t="s">
        <v>679</v>
      </c>
    </row>
    <row r="418" spans="1:18" hidden="1" x14ac:dyDescent="0.25">
      <c r="A418" t="s">
        <v>4384</v>
      </c>
      <c r="B418" t="s">
        <v>725</v>
      </c>
      <c r="C418" t="s">
        <v>726</v>
      </c>
      <c r="D418" t="s">
        <v>2928</v>
      </c>
      <c r="E418" t="s">
        <v>4385</v>
      </c>
      <c r="F418" t="s">
        <v>140</v>
      </c>
      <c r="G418" t="s">
        <v>4386</v>
      </c>
      <c r="H418" s="15">
        <v>174874</v>
      </c>
      <c r="I418" s="15">
        <v>0</v>
      </c>
      <c r="J418" t="s">
        <v>89</v>
      </c>
      <c r="K418" t="s">
        <v>28</v>
      </c>
      <c r="L418" s="2">
        <v>41183</v>
      </c>
      <c r="M418" t="s">
        <v>4387</v>
      </c>
      <c r="N418">
        <v>0</v>
      </c>
      <c r="O418" t="s">
        <v>4903</v>
      </c>
      <c r="P418">
        <v>0</v>
      </c>
      <c r="Q418" t="s">
        <v>4903</v>
      </c>
      <c r="R418" t="s">
        <v>4384</v>
      </c>
    </row>
    <row r="419" spans="1:18" hidden="1" x14ac:dyDescent="0.25">
      <c r="A419" t="s">
        <v>137</v>
      </c>
      <c r="B419" t="s">
        <v>47</v>
      </c>
      <c r="C419" t="s">
        <v>48</v>
      </c>
      <c r="D419" t="s">
        <v>32</v>
      </c>
      <c r="E419" t="s">
        <v>370</v>
      </c>
      <c r="F419" t="s">
        <v>26</v>
      </c>
      <c r="G419" t="s">
        <v>2171</v>
      </c>
      <c r="H419" s="15">
        <v>775000</v>
      </c>
      <c r="I419" s="15">
        <v>0</v>
      </c>
      <c r="J419" t="s">
        <v>154</v>
      </c>
      <c r="K419" t="s">
        <v>28</v>
      </c>
      <c r="L419" s="2">
        <v>41183</v>
      </c>
      <c r="M419" t="s">
        <v>2172</v>
      </c>
      <c r="N419">
        <v>1</v>
      </c>
      <c r="O419" t="s">
        <v>4903</v>
      </c>
      <c r="P419">
        <v>0</v>
      </c>
      <c r="Q419" t="s">
        <v>4903</v>
      </c>
      <c r="R419" t="s">
        <v>137</v>
      </c>
    </row>
    <row r="420" spans="1:18" hidden="1" x14ac:dyDescent="0.25">
      <c r="A420" t="s">
        <v>369</v>
      </c>
      <c r="B420" t="s">
        <v>47</v>
      </c>
      <c r="C420" t="s">
        <v>48</v>
      </c>
      <c r="D420" t="s">
        <v>32</v>
      </c>
      <c r="E420" t="s">
        <v>370</v>
      </c>
      <c r="F420" t="s">
        <v>26</v>
      </c>
      <c r="G420" t="s">
        <v>371</v>
      </c>
      <c r="H420" s="15">
        <v>351308</v>
      </c>
      <c r="I420" s="15">
        <v>0</v>
      </c>
      <c r="J420" t="s">
        <v>89</v>
      </c>
      <c r="K420" t="s">
        <v>28</v>
      </c>
      <c r="L420" s="2">
        <v>41183</v>
      </c>
      <c r="M420" t="s">
        <v>372</v>
      </c>
      <c r="N420">
        <v>0</v>
      </c>
      <c r="O420" t="s">
        <v>4903</v>
      </c>
      <c r="P420">
        <v>0</v>
      </c>
      <c r="Q420" t="s">
        <v>4903</v>
      </c>
      <c r="R420" t="s">
        <v>369</v>
      </c>
    </row>
    <row r="421" spans="1:18" hidden="1" x14ac:dyDescent="0.25">
      <c r="A421" t="s">
        <v>2319</v>
      </c>
      <c r="B421" t="s">
        <v>24</v>
      </c>
      <c r="C421" t="s">
        <v>15</v>
      </c>
      <c r="D421" t="s">
        <v>689</v>
      </c>
      <c r="E421" t="s">
        <v>2322</v>
      </c>
      <c r="F421" t="s">
        <v>18</v>
      </c>
      <c r="G421" t="s">
        <v>2320</v>
      </c>
      <c r="H421" s="15">
        <v>100000</v>
      </c>
      <c r="I421" s="15">
        <v>0</v>
      </c>
      <c r="J421" t="s">
        <v>44</v>
      </c>
      <c r="K421" t="s">
        <v>28</v>
      </c>
      <c r="L421" s="2">
        <v>41183</v>
      </c>
      <c r="M421" t="s">
        <v>2321</v>
      </c>
      <c r="N421">
        <v>0</v>
      </c>
      <c r="O421" t="s">
        <v>4903</v>
      </c>
      <c r="P421">
        <v>0</v>
      </c>
      <c r="Q421" t="s">
        <v>4903</v>
      </c>
      <c r="R421" t="s">
        <v>2319</v>
      </c>
    </row>
    <row r="422" spans="1:18" hidden="1" x14ac:dyDescent="0.25">
      <c r="A422" t="s">
        <v>1774</v>
      </c>
      <c r="B422" t="s">
        <v>244</v>
      </c>
      <c r="C422" t="s">
        <v>39</v>
      </c>
      <c r="D422" t="s">
        <v>32</v>
      </c>
      <c r="E422" t="s">
        <v>370</v>
      </c>
      <c r="F422" t="s">
        <v>152</v>
      </c>
      <c r="G422" t="s">
        <v>4324</v>
      </c>
      <c r="H422" s="15">
        <v>695970</v>
      </c>
      <c r="I422" s="15">
        <v>0</v>
      </c>
      <c r="J422" t="s">
        <v>20</v>
      </c>
      <c r="K422" t="s">
        <v>28</v>
      </c>
      <c r="L422" s="2">
        <v>41183</v>
      </c>
      <c r="M422" t="s">
        <v>4325</v>
      </c>
      <c r="N422">
        <v>0</v>
      </c>
      <c r="O422" t="s">
        <v>4903</v>
      </c>
      <c r="P422">
        <v>0</v>
      </c>
      <c r="Q422" t="s">
        <v>4903</v>
      </c>
      <c r="R422" t="s">
        <v>1774</v>
      </c>
    </row>
    <row r="423" spans="1:18" hidden="1" x14ac:dyDescent="0.25">
      <c r="A423" t="s">
        <v>4067</v>
      </c>
      <c r="B423" t="s">
        <v>84</v>
      </c>
      <c r="C423" t="s">
        <v>15</v>
      </c>
      <c r="D423" t="s">
        <v>32</v>
      </c>
      <c r="E423" t="s">
        <v>370</v>
      </c>
      <c r="F423" t="s">
        <v>34</v>
      </c>
      <c r="G423" t="s">
        <v>4068</v>
      </c>
      <c r="H423" s="15">
        <v>592876</v>
      </c>
      <c r="I423" s="15">
        <v>0</v>
      </c>
      <c r="J423" t="s">
        <v>20</v>
      </c>
      <c r="K423" t="s">
        <v>134</v>
      </c>
      <c r="L423" s="2">
        <v>41183</v>
      </c>
      <c r="M423" t="s">
        <v>4069</v>
      </c>
      <c r="N423">
        <v>0</v>
      </c>
      <c r="O423" t="s">
        <v>4903</v>
      </c>
      <c r="P423">
        <v>0</v>
      </c>
      <c r="Q423" t="s">
        <v>4903</v>
      </c>
      <c r="R423" t="s">
        <v>4067</v>
      </c>
    </row>
    <row r="424" spans="1:18" hidden="1" x14ac:dyDescent="0.25">
      <c r="A424" t="s">
        <v>1808</v>
      </c>
      <c r="B424" t="s">
        <v>14</v>
      </c>
      <c r="C424" t="s">
        <v>15</v>
      </c>
      <c r="D424" t="s">
        <v>32</v>
      </c>
      <c r="E424" t="s">
        <v>370</v>
      </c>
      <c r="F424" t="s">
        <v>140</v>
      </c>
      <c r="G424" t="s">
        <v>3869</v>
      </c>
      <c r="H424" s="15">
        <v>560636</v>
      </c>
      <c r="I424" s="15">
        <v>0</v>
      </c>
      <c r="J424" t="s">
        <v>154</v>
      </c>
      <c r="K424" t="s">
        <v>28</v>
      </c>
      <c r="L424" s="2">
        <v>41183</v>
      </c>
      <c r="M424" t="s">
        <v>3870</v>
      </c>
      <c r="N424">
        <v>0</v>
      </c>
      <c r="O424" t="s">
        <v>4903</v>
      </c>
      <c r="P424">
        <v>0</v>
      </c>
      <c r="Q424" t="s">
        <v>4903</v>
      </c>
      <c r="R424" t="s">
        <v>1808</v>
      </c>
    </row>
    <row r="425" spans="1:18" hidden="1" x14ac:dyDescent="0.25">
      <c r="A425" t="s">
        <v>1728</v>
      </c>
      <c r="B425" t="s">
        <v>84</v>
      </c>
      <c r="C425" t="s">
        <v>15</v>
      </c>
      <c r="D425" t="s">
        <v>32</v>
      </c>
      <c r="E425" t="s">
        <v>370</v>
      </c>
      <c r="F425" t="s">
        <v>18</v>
      </c>
      <c r="G425" t="s">
        <v>1729</v>
      </c>
      <c r="H425" s="15">
        <v>819405</v>
      </c>
      <c r="I425" s="15">
        <v>0</v>
      </c>
      <c r="J425" t="s">
        <v>20</v>
      </c>
      <c r="K425" t="s">
        <v>21</v>
      </c>
      <c r="L425" s="2">
        <v>41183</v>
      </c>
      <c r="M425" t="s">
        <v>1730</v>
      </c>
      <c r="N425">
        <v>0</v>
      </c>
      <c r="O425" t="s">
        <v>4903</v>
      </c>
      <c r="P425">
        <v>0</v>
      </c>
      <c r="Q425" t="s">
        <v>4903</v>
      </c>
      <c r="R425" t="s">
        <v>1728</v>
      </c>
    </row>
    <row r="426" spans="1:18" hidden="1" x14ac:dyDescent="0.25">
      <c r="A426" t="s">
        <v>1818</v>
      </c>
      <c r="B426" t="s">
        <v>635</v>
      </c>
      <c r="C426" t="s">
        <v>39</v>
      </c>
      <c r="D426" t="s">
        <v>130</v>
      </c>
      <c r="E426" t="s">
        <v>131</v>
      </c>
      <c r="F426" t="s">
        <v>132</v>
      </c>
      <c r="G426" t="s">
        <v>1819</v>
      </c>
      <c r="H426" s="15">
        <v>100000</v>
      </c>
      <c r="I426" s="15">
        <v>0</v>
      </c>
      <c r="J426" t="s">
        <v>44</v>
      </c>
      <c r="K426" t="s">
        <v>134</v>
      </c>
      <c r="L426" s="2">
        <v>41334</v>
      </c>
      <c r="M426" t="s">
        <v>1820</v>
      </c>
      <c r="N426">
        <v>0</v>
      </c>
      <c r="O426" t="s">
        <v>4903</v>
      </c>
      <c r="P426">
        <v>0</v>
      </c>
      <c r="Q426" t="s">
        <v>4903</v>
      </c>
      <c r="R426" t="s">
        <v>1818</v>
      </c>
    </row>
    <row r="427" spans="1:18" hidden="1" x14ac:dyDescent="0.25">
      <c r="A427" t="s">
        <v>1039</v>
      </c>
      <c r="B427" t="s">
        <v>676</v>
      </c>
      <c r="C427" t="s">
        <v>39</v>
      </c>
      <c r="D427" t="s">
        <v>130</v>
      </c>
      <c r="E427" t="s">
        <v>131</v>
      </c>
      <c r="F427" t="s">
        <v>132</v>
      </c>
      <c r="G427" t="s">
        <v>1040</v>
      </c>
      <c r="H427" s="15">
        <v>100000</v>
      </c>
      <c r="I427" s="15">
        <v>0</v>
      </c>
      <c r="J427" t="s">
        <v>44</v>
      </c>
      <c r="K427" t="s">
        <v>134</v>
      </c>
      <c r="L427" s="2">
        <v>41334</v>
      </c>
      <c r="M427" t="s">
        <v>1041</v>
      </c>
      <c r="N427">
        <v>0</v>
      </c>
      <c r="O427" t="s">
        <v>4903</v>
      </c>
      <c r="P427">
        <v>0</v>
      </c>
      <c r="Q427" t="s">
        <v>4903</v>
      </c>
      <c r="R427" t="s">
        <v>1039</v>
      </c>
    </row>
    <row r="428" spans="1:18" hidden="1" x14ac:dyDescent="0.25">
      <c r="A428" t="s">
        <v>1211</v>
      </c>
      <c r="B428" t="s">
        <v>119</v>
      </c>
      <c r="C428" t="s">
        <v>39</v>
      </c>
      <c r="D428" t="s">
        <v>130</v>
      </c>
      <c r="E428" t="s">
        <v>131</v>
      </c>
      <c r="F428" t="s">
        <v>132</v>
      </c>
      <c r="G428" t="s">
        <v>1212</v>
      </c>
      <c r="H428" s="15">
        <v>100000</v>
      </c>
      <c r="I428" s="15">
        <v>0</v>
      </c>
      <c r="J428" t="s">
        <v>44</v>
      </c>
      <c r="K428" t="s">
        <v>134</v>
      </c>
      <c r="L428" s="2">
        <v>41334</v>
      </c>
      <c r="M428" t="s">
        <v>1213</v>
      </c>
      <c r="N428">
        <v>0</v>
      </c>
      <c r="O428" t="s">
        <v>4903</v>
      </c>
      <c r="P428">
        <v>0</v>
      </c>
      <c r="Q428" t="s">
        <v>4903</v>
      </c>
      <c r="R428" t="s">
        <v>1211</v>
      </c>
    </row>
    <row r="429" spans="1:18" hidden="1" x14ac:dyDescent="0.25">
      <c r="A429" t="s">
        <v>1187</v>
      </c>
      <c r="B429" t="s">
        <v>14</v>
      </c>
      <c r="C429" t="s">
        <v>15</v>
      </c>
      <c r="D429" t="s">
        <v>512</v>
      </c>
      <c r="E429" t="s">
        <v>513</v>
      </c>
      <c r="F429" t="s">
        <v>146</v>
      </c>
      <c r="G429" t="s">
        <v>1188</v>
      </c>
      <c r="H429" s="15">
        <v>99350</v>
      </c>
      <c r="I429" s="15">
        <v>0</v>
      </c>
      <c r="J429" t="s">
        <v>44</v>
      </c>
      <c r="K429" t="s">
        <v>326</v>
      </c>
      <c r="L429" s="2">
        <v>41334</v>
      </c>
      <c r="M429" t="s">
        <v>1189</v>
      </c>
      <c r="N429">
        <v>0</v>
      </c>
      <c r="O429" t="s">
        <v>4903</v>
      </c>
      <c r="P429">
        <v>0</v>
      </c>
      <c r="Q429" t="s">
        <v>4903</v>
      </c>
      <c r="R429" t="s">
        <v>1187</v>
      </c>
    </row>
    <row r="430" spans="1:18" hidden="1" x14ac:dyDescent="0.25">
      <c r="A430" t="s">
        <v>83</v>
      </c>
      <c r="B430" t="s">
        <v>84</v>
      </c>
      <c r="C430" t="s">
        <v>15</v>
      </c>
      <c r="D430" t="s">
        <v>689</v>
      </c>
      <c r="E430" t="s">
        <v>690</v>
      </c>
      <c r="F430" t="s">
        <v>18</v>
      </c>
      <c r="G430" t="s">
        <v>1708</v>
      </c>
      <c r="H430" s="15">
        <v>100000</v>
      </c>
      <c r="I430" s="15">
        <v>0</v>
      </c>
      <c r="J430" t="s">
        <v>44</v>
      </c>
      <c r="K430" t="s">
        <v>28</v>
      </c>
      <c r="L430" s="2">
        <v>41334</v>
      </c>
      <c r="M430" t="s">
        <v>1709</v>
      </c>
      <c r="N430">
        <v>0</v>
      </c>
      <c r="O430" t="s">
        <v>4903</v>
      </c>
      <c r="P430">
        <v>0</v>
      </c>
      <c r="Q430" t="s">
        <v>4903</v>
      </c>
      <c r="R430" t="s">
        <v>83</v>
      </c>
    </row>
    <row r="431" spans="1:18" hidden="1" x14ac:dyDescent="0.25">
      <c r="A431" t="s">
        <v>1051</v>
      </c>
      <c r="B431" t="s">
        <v>406</v>
      </c>
      <c r="C431" t="s">
        <v>62</v>
      </c>
      <c r="D431" t="s">
        <v>1057</v>
      </c>
      <c r="E431" t="s">
        <v>1058</v>
      </c>
      <c r="F431" t="s">
        <v>18</v>
      </c>
      <c r="G431" t="s">
        <v>1055</v>
      </c>
      <c r="H431" s="15">
        <v>100000</v>
      </c>
      <c r="I431" s="15">
        <v>0</v>
      </c>
      <c r="J431" t="s">
        <v>44</v>
      </c>
      <c r="K431" t="s">
        <v>116</v>
      </c>
      <c r="L431" s="2">
        <v>41334</v>
      </c>
      <c r="M431" t="s">
        <v>1056</v>
      </c>
      <c r="N431">
        <v>0</v>
      </c>
      <c r="O431" t="s">
        <v>4903</v>
      </c>
      <c r="P431">
        <v>0</v>
      </c>
      <c r="Q431" t="s">
        <v>4903</v>
      </c>
      <c r="R431" t="s">
        <v>1051</v>
      </c>
    </row>
    <row r="432" spans="1:18" hidden="1" x14ac:dyDescent="0.25">
      <c r="A432" t="s">
        <v>2179</v>
      </c>
      <c r="B432" t="s">
        <v>635</v>
      </c>
      <c r="C432" t="s">
        <v>39</v>
      </c>
      <c r="D432" t="s">
        <v>130</v>
      </c>
      <c r="E432" t="s">
        <v>131</v>
      </c>
      <c r="F432" t="s">
        <v>132</v>
      </c>
      <c r="G432" t="s">
        <v>2180</v>
      </c>
      <c r="H432" s="15">
        <v>100000</v>
      </c>
      <c r="I432" s="15">
        <v>0</v>
      </c>
      <c r="J432" t="s">
        <v>44</v>
      </c>
      <c r="K432" t="s">
        <v>134</v>
      </c>
      <c r="L432" s="2">
        <v>41334</v>
      </c>
      <c r="M432" t="s">
        <v>2181</v>
      </c>
      <c r="N432">
        <v>1</v>
      </c>
      <c r="O432" t="s">
        <v>4903</v>
      </c>
      <c r="P432">
        <v>0</v>
      </c>
      <c r="Q432" t="s">
        <v>4903</v>
      </c>
      <c r="R432" t="s">
        <v>2179</v>
      </c>
    </row>
    <row r="433" spans="1:18" hidden="1" x14ac:dyDescent="0.25">
      <c r="A433" t="s">
        <v>1821</v>
      </c>
      <c r="B433" t="s">
        <v>119</v>
      </c>
      <c r="C433" t="s">
        <v>39</v>
      </c>
      <c r="D433" t="s">
        <v>512</v>
      </c>
      <c r="E433" t="s">
        <v>513</v>
      </c>
      <c r="F433" t="s">
        <v>146</v>
      </c>
      <c r="G433" t="s">
        <v>1822</v>
      </c>
      <c r="H433" s="15">
        <v>99390</v>
      </c>
      <c r="I433" s="15">
        <v>0</v>
      </c>
      <c r="J433" t="s">
        <v>44</v>
      </c>
      <c r="K433" t="s">
        <v>148</v>
      </c>
      <c r="L433" s="2">
        <v>41334</v>
      </c>
      <c r="M433" t="s">
        <v>1823</v>
      </c>
      <c r="N433">
        <v>0</v>
      </c>
      <c r="O433" t="s">
        <v>4903</v>
      </c>
      <c r="P433">
        <v>0</v>
      </c>
      <c r="Q433" t="s">
        <v>4903</v>
      </c>
      <c r="R433" t="s">
        <v>1821</v>
      </c>
    </row>
    <row r="434" spans="1:18" hidden="1" x14ac:dyDescent="0.25">
      <c r="A434" t="s">
        <v>129</v>
      </c>
      <c r="B434" t="s">
        <v>103</v>
      </c>
      <c r="C434" t="s">
        <v>15</v>
      </c>
      <c r="D434" t="s">
        <v>130</v>
      </c>
      <c r="E434" t="s">
        <v>131</v>
      </c>
      <c r="F434" t="s">
        <v>132</v>
      </c>
      <c r="G434" t="s">
        <v>133</v>
      </c>
      <c r="H434" s="15">
        <v>100000</v>
      </c>
      <c r="I434" s="15">
        <v>0</v>
      </c>
      <c r="J434" t="s">
        <v>44</v>
      </c>
      <c r="K434" t="s">
        <v>134</v>
      </c>
      <c r="L434" s="2">
        <v>41334</v>
      </c>
      <c r="M434" t="s">
        <v>135</v>
      </c>
      <c r="N434">
        <v>0</v>
      </c>
      <c r="O434" t="s">
        <v>4903</v>
      </c>
      <c r="P434">
        <v>0</v>
      </c>
      <c r="Q434" t="s">
        <v>4903</v>
      </c>
      <c r="R434" t="s">
        <v>129</v>
      </c>
    </row>
    <row r="435" spans="1:18" hidden="1" x14ac:dyDescent="0.25">
      <c r="A435" t="s">
        <v>2788</v>
      </c>
      <c r="B435" t="s">
        <v>24</v>
      </c>
      <c r="C435" t="s">
        <v>15</v>
      </c>
      <c r="D435" t="s">
        <v>512</v>
      </c>
      <c r="E435" t="s">
        <v>513</v>
      </c>
      <c r="F435" t="s">
        <v>146</v>
      </c>
      <c r="G435" t="s">
        <v>2789</v>
      </c>
      <c r="H435" s="15">
        <v>96207</v>
      </c>
      <c r="I435" s="15">
        <v>0</v>
      </c>
      <c r="J435" t="s">
        <v>44</v>
      </c>
      <c r="K435" t="s">
        <v>116</v>
      </c>
      <c r="L435" s="2">
        <v>41334</v>
      </c>
      <c r="M435" t="s">
        <v>2790</v>
      </c>
      <c r="N435">
        <v>0</v>
      </c>
      <c r="O435" t="s">
        <v>4903</v>
      </c>
      <c r="P435">
        <v>0</v>
      </c>
      <c r="Q435" t="s">
        <v>4903</v>
      </c>
      <c r="R435" t="s">
        <v>2788</v>
      </c>
    </row>
    <row r="436" spans="1:18" hidden="1" x14ac:dyDescent="0.25">
      <c r="A436" t="s">
        <v>450</v>
      </c>
      <c r="B436" t="s">
        <v>47</v>
      </c>
      <c r="C436" t="s">
        <v>48</v>
      </c>
      <c r="D436" t="s">
        <v>512</v>
      </c>
      <c r="E436" t="s">
        <v>513</v>
      </c>
      <c r="F436" t="s">
        <v>146</v>
      </c>
      <c r="G436" t="s">
        <v>514</v>
      </c>
      <c r="H436" s="15">
        <v>96661</v>
      </c>
      <c r="I436" s="15">
        <v>0</v>
      </c>
      <c r="J436" t="s">
        <v>44</v>
      </c>
      <c r="K436" t="s">
        <v>65</v>
      </c>
      <c r="L436" s="2">
        <v>41334</v>
      </c>
      <c r="M436" t="s">
        <v>515</v>
      </c>
      <c r="N436">
        <v>0</v>
      </c>
      <c r="O436" t="s">
        <v>4903</v>
      </c>
      <c r="P436">
        <v>0</v>
      </c>
      <c r="Q436" t="s">
        <v>4903</v>
      </c>
      <c r="R436" t="s">
        <v>450</v>
      </c>
    </row>
    <row r="437" spans="1:18" hidden="1" x14ac:dyDescent="0.25">
      <c r="A437" t="s">
        <v>3625</v>
      </c>
      <c r="B437" t="s">
        <v>47</v>
      </c>
      <c r="C437" t="s">
        <v>48</v>
      </c>
      <c r="D437" t="s">
        <v>512</v>
      </c>
      <c r="E437" t="s">
        <v>513</v>
      </c>
      <c r="F437" t="s">
        <v>146</v>
      </c>
      <c r="G437" t="s">
        <v>3626</v>
      </c>
      <c r="H437" s="15">
        <v>100000</v>
      </c>
      <c r="I437" s="15">
        <v>0</v>
      </c>
      <c r="J437" t="s">
        <v>44</v>
      </c>
      <c r="K437" t="s">
        <v>116</v>
      </c>
      <c r="L437" s="2">
        <v>41334</v>
      </c>
      <c r="M437" t="s">
        <v>3627</v>
      </c>
      <c r="N437">
        <v>0</v>
      </c>
      <c r="O437" t="s">
        <v>4903</v>
      </c>
      <c r="P437">
        <v>0</v>
      </c>
      <c r="Q437" t="s">
        <v>4903</v>
      </c>
      <c r="R437" t="s">
        <v>3625</v>
      </c>
    </row>
    <row r="438" spans="1:18" hidden="1" x14ac:dyDescent="0.25">
      <c r="A438" t="s">
        <v>1563</v>
      </c>
      <c r="B438" t="s">
        <v>84</v>
      </c>
      <c r="C438" t="s">
        <v>15</v>
      </c>
      <c r="D438" t="s">
        <v>130</v>
      </c>
      <c r="E438" t="s">
        <v>131</v>
      </c>
      <c r="F438" t="s">
        <v>132</v>
      </c>
      <c r="G438" t="s">
        <v>1772</v>
      </c>
      <c r="H438" s="15">
        <v>100000</v>
      </c>
      <c r="I438" s="15">
        <v>0</v>
      </c>
      <c r="J438" t="s">
        <v>44</v>
      </c>
      <c r="K438" t="s">
        <v>134</v>
      </c>
      <c r="L438" s="2">
        <v>41334</v>
      </c>
      <c r="M438" t="s">
        <v>1773</v>
      </c>
      <c r="N438">
        <v>0</v>
      </c>
      <c r="O438" t="s">
        <v>4903</v>
      </c>
      <c r="P438">
        <v>0</v>
      </c>
      <c r="Q438" t="s">
        <v>4903</v>
      </c>
      <c r="R438" t="s">
        <v>1563</v>
      </c>
    </row>
    <row r="439" spans="1:18" hidden="1" x14ac:dyDescent="0.25">
      <c r="A439" t="s">
        <v>2092</v>
      </c>
      <c r="B439" t="s">
        <v>84</v>
      </c>
      <c r="C439" t="s">
        <v>15</v>
      </c>
      <c r="D439" t="s">
        <v>130</v>
      </c>
      <c r="E439" t="s">
        <v>131</v>
      </c>
      <c r="F439" t="s">
        <v>132</v>
      </c>
      <c r="G439" t="s">
        <v>2093</v>
      </c>
      <c r="H439" s="15">
        <v>100000</v>
      </c>
      <c r="I439" s="15">
        <v>0</v>
      </c>
      <c r="J439" t="s">
        <v>44</v>
      </c>
      <c r="K439" t="s">
        <v>134</v>
      </c>
      <c r="L439" s="2">
        <v>41334</v>
      </c>
      <c r="M439" t="s">
        <v>2094</v>
      </c>
      <c r="N439">
        <v>0</v>
      </c>
      <c r="O439" t="s">
        <v>4903</v>
      </c>
      <c r="P439">
        <v>0</v>
      </c>
      <c r="Q439" t="s">
        <v>4903</v>
      </c>
      <c r="R439" t="s">
        <v>2092</v>
      </c>
    </row>
    <row r="440" spans="1:18" hidden="1" x14ac:dyDescent="0.25">
      <c r="A440" t="s">
        <v>2295</v>
      </c>
      <c r="B440" t="s">
        <v>426</v>
      </c>
      <c r="C440" t="s">
        <v>48</v>
      </c>
      <c r="D440" t="s">
        <v>130</v>
      </c>
      <c r="E440" t="s">
        <v>131</v>
      </c>
      <c r="F440" t="s">
        <v>132</v>
      </c>
      <c r="G440" t="s">
        <v>3562</v>
      </c>
      <c r="H440" s="15">
        <v>98300</v>
      </c>
      <c r="I440" s="15">
        <v>0</v>
      </c>
      <c r="J440" t="s">
        <v>44</v>
      </c>
      <c r="K440" t="s">
        <v>134</v>
      </c>
      <c r="L440" s="2">
        <v>41334</v>
      </c>
      <c r="M440" t="s">
        <v>3563</v>
      </c>
      <c r="N440">
        <v>0</v>
      </c>
      <c r="O440" t="s">
        <v>4903</v>
      </c>
      <c r="P440">
        <v>0</v>
      </c>
      <c r="Q440" t="s">
        <v>4903</v>
      </c>
      <c r="R440" t="s">
        <v>2295</v>
      </c>
    </row>
    <row r="441" spans="1:18" hidden="1" x14ac:dyDescent="0.25">
      <c r="A441" t="s">
        <v>687</v>
      </c>
      <c r="B441" t="s">
        <v>688</v>
      </c>
      <c r="C441" t="s">
        <v>39</v>
      </c>
      <c r="D441" t="s">
        <v>689</v>
      </c>
      <c r="E441" t="s">
        <v>690</v>
      </c>
      <c r="F441" t="s">
        <v>140</v>
      </c>
      <c r="G441" t="s">
        <v>691</v>
      </c>
      <c r="H441" s="15">
        <v>100000</v>
      </c>
      <c r="I441" s="15">
        <v>0</v>
      </c>
      <c r="J441" t="s">
        <v>44</v>
      </c>
      <c r="K441" t="s">
        <v>28</v>
      </c>
      <c r="L441" s="2">
        <v>41334</v>
      </c>
      <c r="M441" t="s">
        <v>692</v>
      </c>
      <c r="N441">
        <v>0</v>
      </c>
      <c r="O441" t="s">
        <v>4903</v>
      </c>
      <c r="P441">
        <v>0</v>
      </c>
      <c r="Q441" t="s">
        <v>4903</v>
      </c>
      <c r="R441" t="s">
        <v>687</v>
      </c>
    </row>
    <row r="442" spans="1:18" hidden="1" x14ac:dyDescent="0.25">
      <c r="A442" t="s">
        <v>2876</v>
      </c>
      <c r="B442" t="s">
        <v>635</v>
      </c>
      <c r="C442" t="s">
        <v>39</v>
      </c>
      <c r="D442" t="s">
        <v>130</v>
      </c>
      <c r="E442" t="s">
        <v>131</v>
      </c>
      <c r="F442" t="s">
        <v>132</v>
      </c>
      <c r="G442" t="s">
        <v>2877</v>
      </c>
      <c r="H442" s="15">
        <v>100000</v>
      </c>
      <c r="I442" s="15">
        <v>0</v>
      </c>
      <c r="J442" t="s">
        <v>44</v>
      </c>
      <c r="K442" t="s">
        <v>134</v>
      </c>
      <c r="L442" s="2">
        <v>41334</v>
      </c>
      <c r="M442" t="s">
        <v>2878</v>
      </c>
      <c r="N442">
        <v>0</v>
      </c>
      <c r="O442" t="s">
        <v>4903</v>
      </c>
      <c r="P442">
        <v>0</v>
      </c>
      <c r="Q442" t="s">
        <v>4903</v>
      </c>
      <c r="R442" t="s">
        <v>2876</v>
      </c>
    </row>
    <row r="443" spans="1:18" hidden="1" x14ac:dyDescent="0.25">
      <c r="A443" t="s">
        <v>4359</v>
      </c>
      <c r="B443" t="s">
        <v>119</v>
      </c>
      <c r="C443" t="s">
        <v>39</v>
      </c>
      <c r="D443" t="s">
        <v>130</v>
      </c>
      <c r="E443" t="s">
        <v>131</v>
      </c>
      <c r="F443" t="s">
        <v>132</v>
      </c>
      <c r="G443" t="s">
        <v>4360</v>
      </c>
      <c r="H443" s="15">
        <v>99997</v>
      </c>
      <c r="I443" s="15">
        <v>0</v>
      </c>
      <c r="J443" t="s">
        <v>44</v>
      </c>
      <c r="K443" t="s">
        <v>134</v>
      </c>
      <c r="L443" s="2">
        <v>41334</v>
      </c>
      <c r="M443" t="s">
        <v>4361</v>
      </c>
      <c r="N443">
        <v>0</v>
      </c>
      <c r="O443" t="s">
        <v>4903</v>
      </c>
      <c r="P443">
        <v>0</v>
      </c>
      <c r="Q443" t="s">
        <v>4903</v>
      </c>
      <c r="R443" t="s">
        <v>4359</v>
      </c>
    </row>
    <row r="444" spans="1:18" hidden="1" x14ac:dyDescent="0.25">
      <c r="A444" t="s">
        <v>4280</v>
      </c>
      <c r="B444" t="s">
        <v>77</v>
      </c>
      <c r="C444" t="s">
        <v>15</v>
      </c>
      <c r="D444" t="s">
        <v>512</v>
      </c>
      <c r="E444" t="s">
        <v>513</v>
      </c>
      <c r="F444" t="s">
        <v>146</v>
      </c>
      <c r="G444" t="s">
        <v>4758</v>
      </c>
      <c r="H444" s="15">
        <v>99987</v>
      </c>
      <c r="I444" s="15">
        <v>0</v>
      </c>
      <c r="J444" t="s">
        <v>44</v>
      </c>
      <c r="K444" t="s">
        <v>65</v>
      </c>
      <c r="L444" s="2">
        <v>41334</v>
      </c>
      <c r="M444" t="s">
        <v>4759</v>
      </c>
      <c r="N444">
        <v>0</v>
      </c>
      <c r="O444" t="s">
        <v>4903</v>
      </c>
      <c r="P444">
        <v>0</v>
      </c>
      <c r="Q444" t="s">
        <v>4903</v>
      </c>
      <c r="R444" t="s">
        <v>4280</v>
      </c>
    </row>
    <row r="445" spans="1:18" x14ac:dyDescent="0.25">
      <c r="A445" t="s">
        <v>2649</v>
      </c>
      <c r="B445" t="s">
        <v>24</v>
      </c>
      <c r="C445" t="s">
        <v>15</v>
      </c>
      <c r="D445" t="s">
        <v>16</v>
      </c>
      <c r="E445" t="s">
        <v>430</v>
      </c>
      <c r="F445" t="s">
        <v>34</v>
      </c>
      <c r="G445" t="s">
        <v>2963</v>
      </c>
      <c r="H445" s="15">
        <v>791775</v>
      </c>
      <c r="I445" s="15">
        <v>0</v>
      </c>
      <c r="J445" t="s">
        <v>20</v>
      </c>
      <c r="K445" t="s">
        <v>21</v>
      </c>
      <c r="L445" s="2">
        <v>43191</v>
      </c>
      <c r="M445" t="s">
        <v>2964</v>
      </c>
      <c r="N445">
        <v>2</v>
      </c>
      <c r="O445" t="s">
        <v>4830</v>
      </c>
      <c r="P445">
        <v>1</v>
      </c>
      <c r="Q445" t="s">
        <v>4809</v>
      </c>
      <c r="R445" t="s">
        <v>2649</v>
      </c>
    </row>
    <row r="446" spans="1:18" x14ac:dyDescent="0.25">
      <c r="A446" t="s">
        <v>1499</v>
      </c>
      <c r="B446" t="s">
        <v>47</v>
      </c>
      <c r="C446" t="s">
        <v>48</v>
      </c>
      <c r="D446" t="s">
        <v>32</v>
      </c>
      <c r="E446" t="s">
        <v>191</v>
      </c>
      <c r="F446" t="s">
        <v>152</v>
      </c>
      <c r="G446" t="s">
        <v>4134</v>
      </c>
      <c r="H446" s="15">
        <v>926186</v>
      </c>
      <c r="I446" s="15">
        <v>0</v>
      </c>
      <c r="J446" t="s">
        <v>20</v>
      </c>
      <c r="K446" t="s">
        <v>28</v>
      </c>
      <c r="L446" s="2">
        <v>40269</v>
      </c>
      <c r="M446" t="s">
        <v>4135</v>
      </c>
      <c r="N446">
        <v>2</v>
      </c>
      <c r="O446" t="s">
        <v>4832</v>
      </c>
      <c r="P446">
        <v>1</v>
      </c>
      <c r="Q446" t="s">
        <v>4809</v>
      </c>
      <c r="R446" t="s">
        <v>1499</v>
      </c>
    </row>
    <row r="447" spans="1:18" hidden="1" x14ac:dyDescent="0.25">
      <c r="A447" t="s">
        <v>3573</v>
      </c>
      <c r="B447" t="s">
        <v>14</v>
      </c>
      <c r="C447" t="s">
        <v>15</v>
      </c>
      <c r="D447" t="s">
        <v>32</v>
      </c>
      <c r="E447" t="s">
        <v>305</v>
      </c>
      <c r="F447" t="s">
        <v>26</v>
      </c>
      <c r="G447" t="s">
        <v>4599</v>
      </c>
      <c r="H447" s="15">
        <v>523091</v>
      </c>
      <c r="I447" s="15">
        <v>0</v>
      </c>
      <c r="J447" t="s">
        <v>154</v>
      </c>
      <c r="K447" t="s">
        <v>28</v>
      </c>
      <c r="L447" s="2">
        <v>41365</v>
      </c>
      <c r="M447" t="s">
        <v>4600</v>
      </c>
      <c r="N447">
        <v>0</v>
      </c>
      <c r="O447" t="s">
        <v>4903</v>
      </c>
      <c r="P447">
        <v>0</v>
      </c>
      <c r="Q447" t="s">
        <v>4903</v>
      </c>
      <c r="R447" t="s">
        <v>3573</v>
      </c>
    </row>
    <row r="448" spans="1:18" hidden="1" x14ac:dyDescent="0.25">
      <c r="A448" t="s">
        <v>4523</v>
      </c>
      <c r="B448" t="s">
        <v>84</v>
      </c>
      <c r="C448" t="s">
        <v>15</v>
      </c>
      <c r="D448" t="s">
        <v>96</v>
      </c>
      <c r="E448" t="s">
        <v>1554</v>
      </c>
      <c r="F448" t="s">
        <v>98</v>
      </c>
      <c r="G448" t="s">
        <v>4524</v>
      </c>
      <c r="H448" s="15">
        <v>1016046</v>
      </c>
      <c r="I448" s="15">
        <v>0</v>
      </c>
      <c r="J448" t="s">
        <v>20</v>
      </c>
      <c r="K448" t="s">
        <v>28</v>
      </c>
      <c r="L448" s="2">
        <v>41365</v>
      </c>
      <c r="M448" t="s">
        <v>4525</v>
      </c>
      <c r="N448">
        <v>0</v>
      </c>
      <c r="O448" t="s">
        <v>4903</v>
      </c>
      <c r="P448">
        <v>0</v>
      </c>
      <c r="Q448" t="s">
        <v>4903</v>
      </c>
      <c r="R448" t="s">
        <v>4523</v>
      </c>
    </row>
    <row r="449" spans="1:18" hidden="1" x14ac:dyDescent="0.25">
      <c r="A449" t="s">
        <v>749</v>
      </c>
      <c r="B449" t="s">
        <v>61</v>
      </c>
      <c r="C449" t="s">
        <v>62</v>
      </c>
      <c r="D449" t="s">
        <v>32</v>
      </c>
      <c r="E449" t="s">
        <v>305</v>
      </c>
      <c r="F449" t="s">
        <v>140</v>
      </c>
      <c r="G449" t="s">
        <v>750</v>
      </c>
      <c r="H449" s="15">
        <v>522880</v>
      </c>
      <c r="I449" s="15">
        <v>0</v>
      </c>
      <c r="J449" t="s">
        <v>154</v>
      </c>
      <c r="K449" t="s">
        <v>28</v>
      </c>
      <c r="L449" s="2">
        <v>41365</v>
      </c>
      <c r="M449" t="s">
        <v>751</v>
      </c>
      <c r="N449">
        <v>0</v>
      </c>
      <c r="O449" t="s">
        <v>4903</v>
      </c>
      <c r="P449">
        <v>0</v>
      </c>
      <c r="Q449" t="s">
        <v>4903</v>
      </c>
      <c r="R449" t="s">
        <v>749</v>
      </c>
    </row>
    <row r="450" spans="1:18" hidden="1" x14ac:dyDescent="0.25">
      <c r="A450" t="s">
        <v>3207</v>
      </c>
      <c r="B450" t="s">
        <v>244</v>
      </c>
      <c r="C450" t="s">
        <v>39</v>
      </c>
      <c r="D450" t="s">
        <v>32</v>
      </c>
      <c r="E450" t="s">
        <v>305</v>
      </c>
      <c r="F450" t="s">
        <v>140</v>
      </c>
      <c r="G450" t="s">
        <v>3208</v>
      </c>
      <c r="H450" s="15">
        <v>767780</v>
      </c>
      <c r="I450" s="15">
        <v>0</v>
      </c>
      <c r="J450" t="s">
        <v>20</v>
      </c>
      <c r="K450" t="s">
        <v>28</v>
      </c>
      <c r="L450" s="2">
        <v>41365</v>
      </c>
      <c r="M450" t="s">
        <v>3209</v>
      </c>
      <c r="N450">
        <v>0</v>
      </c>
      <c r="O450" t="s">
        <v>4903</v>
      </c>
      <c r="P450">
        <v>0</v>
      </c>
      <c r="Q450" t="s">
        <v>4903</v>
      </c>
      <c r="R450" t="s">
        <v>3207</v>
      </c>
    </row>
    <row r="451" spans="1:18" hidden="1" x14ac:dyDescent="0.25">
      <c r="A451" t="s">
        <v>2117</v>
      </c>
      <c r="B451" t="s">
        <v>47</v>
      </c>
      <c r="C451" t="s">
        <v>48</v>
      </c>
      <c r="D451" t="s">
        <v>32</v>
      </c>
      <c r="E451" t="s">
        <v>305</v>
      </c>
      <c r="F451" t="s">
        <v>152</v>
      </c>
      <c r="G451" t="s">
        <v>3591</v>
      </c>
      <c r="H451" s="15">
        <v>699413</v>
      </c>
      <c r="I451" s="15">
        <v>0</v>
      </c>
      <c r="J451" t="s">
        <v>20</v>
      </c>
      <c r="K451" t="s">
        <v>28</v>
      </c>
      <c r="L451" s="2">
        <v>41365</v>
      </c>
      <c r="M451" t="s">
        <v>3592</v>
      </c>
      <c r="N451">
        <v>0</v>
      </c>
      <c r="O451" t="s">
        <v>4903</v>
      </c>
      <c r="P451">
        <v>0</v>
      </c>
      <c r="Q451" t="s">
        <v>4903</v>
      </c>
      <c r="R451" t="s">
        <v>2117</v>
      </c>
    </row>
    <row r="452" spans="1:18" hidden="1" x14ac:dyDescent="0.25">
      <c r="A452" t="s">
        <v>2225</v>
      </c>
      <c r="B452" t="s">
        <v>1461</v>
      </c>
      <c r="C452" t="s">
        <v>726</v>
      </c>
      <c r="D452" t="s">
        <v>32</v>
      </c>
      <c r="E452" t="s">
        <v>305</v>
      </c>
      <c r="F452" t="s">
        <v>140</v>
      </c>
      <c r="G452" t="s">
        <v>3065</v>
      </c>
      <c r="H452" s="15">
        <v>565415</v>
      </c>
      <c r="I452" s="15">
        <v>0</v>
      </c>
      <c r="J452" t="s">
        <v>154</v>
      </c>
      <c r="K452" t="s">
        <v>28</v>
      </c>
      <c r="L452" s="2">
        <v>41365</v>
      </c>
      <c r="M452" t="s">
        <v>3066</v>
      </c>
      <c r="N452">
        <v>0</v>
      </c>
      <c r="O452" t="s">
        <v>4903</v>
      </c>
      <c r="P452">
        <v>0</v>
      </c>
      <c r="Q452" t="s">
        <v>4903</v>
      </c>
      <c r="R452" t="s">
        <v>2225</v>
      </c>
    </row>
    <row r="453" spans="1:18" hidden="1" x14ac:dyDescent="0.25">
      <c r="A453" t="s">
        <v>2462</v>
      </c>
      <c r="B453" t="s">
        <v>113</v>
      </c>
      <c r="C453" t="s">
        <v>15</v>
      </c>
      <c r="D453" t="s">
        <v>85</v>
      </c>
      <c r="E453" t="s">
        <v>157</v>
      </c>
      <c r="F453" t="s">
        <v>87</v>
      </c>
      <c r="G453" t="s">
        <v>2463</v>
      </c>
      <c r="H453" s="15">
        <v>314970</v>
      </c>
      <c r="I453" s="15">
        <v>0</v>
      </c>
      <c r="J453" t="s">
        <v>89</v>
      </c>
      <c r="K453" t="s">
        <v>116</v>
      </c>
      <c r="L453" s="2">
        <v>41365</v>
      </c>
      <c r="M453" t="s">
        <v>2464</v>
      </c>
      <c r="N453">
        <v>0</v>
      </c>
      <c r="O453" t="s">
        <v>4903</v>
      </c>
      <c r="P453">
        <v>0</v>
      </c>
      <c r="Q453" t="s">
        <v>4903</v>
      </c>
      <c r="R453" t="s">
        <v>2462</v>
      </c>
    </row>
    <row r="454" spans="1:18" hidden="1" x14ac:dyDescent="0.25">
      <c r="A454" t="s">
        <v>1236</v>
      </c>
      <c r="B454" t="s">
        <v>47</v>
      </c>
      <c r="C454" t="s">
        <v>48</v>
      </c>
      <c r="D454" t="s">
        <v>85</v>
      </c>
      <c r="E454" t="s">
        <v>157</v>
      </c>
      <c r="F454" t="s">
        <v>87</v>
      </c>
      <c r="G454" t="s">
        <v>1237</v>
      </c>
      <c r="H454" s="15">
        <v>211250</v>
      </c>
      <c r="I454" s="15">
        <v>0</v>
      </c>
      <c r="J454" t="s">
        <v>89</v>
      </c>
      <c r="K454" t="s">
        <v>134</v>
      </c>
      <c r="L454" s="2">
        <v>41365</v>
      </c>
      <c r="M454" t="s">
        <v>1238</v>
      </c>
      <c r="N454">
        <v>0</v>
      </c>
      <c r="O454" t="s">
        <v>4903</v>
      </c>
      <c r="P454">
        <v>0</v>
      </c>
      <c r="Q454" t="s">
        <v>4903</v>
      </c>
      <c r="R454" t="s">
        <v>1236</v>
      </c>
    </row>
    <row r="455" spans="1:18" hidden="1" x14ac:dyDescent="0.25">
      <c r="A455" t="s">
        <v>1756</v>
      </c>
      <c r="B455" t="s">
        <v>84</v>
      </c>
      <c r="C455" t="s">
        <v>15</v>
      </c>
      <c r="D455" t="s">
        <v>85</v>
      </c>
      <c r="E455" t="s">
        <v>157</v>
      </c>
      <c r="F455" t="s">
        <v>87</v>
      </c>
      <c r="G455" t="s">
        <v>1757</v>
      </c>
      <c r="H455" s="15">
        <v>220356</v>
      </c>
      <c r="I455" s="15">
        <v>0</v>
      </c>
      <c r="J455" t="s">
        <v>89</v>
      </c>
      <c r="K455" t="s">
        <v>116</v>
      </c>
      <c r="L455" s="2">
        <v>41365</v>
      </c>
      <c r="M455" t="s">
        <v>1758</v>
      </c>
      <c r="N455">
        <v>5</v>
      </c>
      <c r="O455" t="s">
        <v>4903</v>
      </c>
      <c r="P455">
        <v>0</v>
      </c>
      <c r="Q455" t="s">
        <v>4903</v>
      </c>
      <c r="R455" t="s">
        <v>1756</v>
      </c>
    </row>
    <row r="456" spans="1:18" hidden="1" x14ac:dyDescent="0.25">
      <c r="A456" t="s">
        <v>559</v>
      </c>
      <c r="B456" t="s">
        <v>47</v>
      </c>
      <c r="C456" t="s">
        <v>48</v>
      </c>
      <c r="D456" t="s">
        <v>85</v>
      </c>
      <c r="E456" t="s">
        <v>157</v>
      </c>
      <c r="F456" t="s">
        <v>87</v>
      </c>
      <c r="G456" t="s">
        <v>560</v>
      </c>
      <c r="H456" s="15">
        <v>194625</v>
      </c>
      <c r="I456" s="15">
        <v>0</v>
      </c>
      <c r="J456" t="s">
        <v>89</v>
      </c>
      <c r="K456" t="s">
        <v>116</v>
      </c>
      <c r="L456" s="2">
        <v>41365</v>
      </c>
      <c r="M456" t="s">
        <v>561</v>
      </c>
      <c r="N456">
        <v>0</v>
      </c>
      <c r="O456" t="s">
        <v>4903</v>
      </c>
      <c r="P456">
        <v>0</v>
      </c>
      <c r="Q456" t="s">
        <v>4903</v>
      </c>
      <c r="R456" t="s">
        <v>559</v>
      </c>
    </row>
    <row r="457" spans="1:18" hidden="1" x14ac:dyDescent="0.25">
      <c r="A457" t="s">
        <v>340</v>
      </c>
      <c r="B457" t="s">
        <v>24</v>
      </c>
      <c r="C457" t="s">
        <v>15</v>
      </c>
      <c r="D457" t="s">
        <v>32</v>
      </c>
      <c r="E457" t="s">
        <v>305</v>
      </c>
      <c r="F457" t="s">
        <v>34</v>
      </c>
      <c r="G457" t="s">
        <v>4611</v>
      </c>
      <c r="H457" s="15">
        <v>579409</v>
      </c>
      <c r="I457" s="15">
        <v>0</v>
      </c>
      <c r="J457" t="s">
        <v>20</v>
      </c>
      <c r="K457" t="s">
        <v>28</v>
      </c>
      <c r="L457" s="2">
        <v>41365</v>
      </c>
      <c r="M457" t="s">
        <v>4612</v>
      </c>
      <c r="N457">
        <v>1</v>
      </c>
      <c r="O457" t="s">
        <v>4903</v>
      </c>
      <c r="P457">
        <v>0</v>
      </c>
      <c r="Q457" t="s">
        <v>4903</v>
      </c>
      <c r="R457" t="s">
        <v>340</v>
      </c>
    </row>
    <row r="458" spans="1:18" hidden="1" x14ac:dyDescent="0.25">
      <c r="A458" t="s">
        <v>897</v>
      </c>
      <c r="B458" t="s">
        <v>898</v>
      </c>
      <c r="C458" t="s">
        <v>39</v>
      </c>
      <c r="D458" t="s">
        <v>85</v>
      </c>
      <c r="E458" t="s">
        <v>157</v>
      </c>
      <c r="F458" t="s">
        <v>87</v>
      </c>
      <c r="G458" t="s">
        <v>899</v>
      </c>
      <c r="H458" s="15">
        <v>339912</v>
      </c>
      <c r="I458" s="15">
        <v>0</v>
      </c>
      <c r="J458" t="s">
        <v>89</v>
      </c>
      <c r="K458" t="s">
        <v>28</v>
      </c>
      <c r="L458" s="2">
        <v>41365</v>
      </c>
      <c r="M458" t="s">
        <v>900</v>
      </c>
      <c r="N458">
        <v>4</v>
      </c>
      <c r="O458" t="s">
        <v>4903</v>
      </c>
      <c r="P458">
        <v>0</v>
      </c>
      <c r="Q458" t="s">
        <v>4903</v>
      </c>
      <c r="R458" t="s">
        <v>897</v>
      </c>
    </row>
    <row r="459" spans="1:18" hidden="1" x14ac:dyDescent="0.25">
      <c r="A459" t="s">
        <v>1277</v>
      </c>
      <c r="B459" t="s">
        <v>126</v>
      </c>
      <c r="C459" t="s">
        <v>39</v>
      </c>
      <c r="D459" t="s">
        <v>85</v>
      </c>
      <c r="E459" t="s">
        <v>157</v>
      </c>
      <c r="F459" t="s">
        <v>87</v>
      </c>
      <c r="G459" t="s">
        <v>1278</v>
      </c>
      <c r="H459" s="15">
        <v>383134</v>
      </c>
      <c r="I459" s="15">
        <v>0</v>
      </c>
      <c r="J459" t="s">
        <v>89</v>
      </c>
      <c r="K459" t="s">
        <v>116</v>
      </c>
      <c r="L459" s="2">
        <v>41365</v>
      </c>
      <c r="M459" t="s">
        <v>1279</v>
      </c>
      <c r="N459">
        <v>0</v>
      </c>
      <c r="O459" t="s">
        <v>4903</v>
      </c>
      <c r="P459">
        <v>0</v>
      </c>
      <c r="Q459" t="s">
        <v>4903</v>
      </c>
      <c r="R459" t="s">
        <v>1277</v>
      </c>
    </row>
    <row r="460" spans="1:18" hidden="1" x14ac:dyDescent="0.25">
      <c r="A460" t="s">
        <v>3319</v>
      </c>
      <c r="B460" t="s">
        <v>103</v>
      </c>
      <c r="C460" t="s">
        <v>15</v>
      </c>
      <c r="D460" t="s">
        <v>85</v>
      </c>
      <c r="E460" t="s">
        <v>157</v>
      </c>
      <c r="F460" t="s">
        <v>87</v>
      </c>
      <c r="G460" t="s">
        <v>3320</v>
      </c>
      <c r="H460" s="15">
        <v>338199</v>
      </c>
      <c r="I460" s="15">
        <v>0</v>
      </c>
      <c r="J460" t="s">
        <v>89</v>
      </c>
      <c r="K460" t="s">
        <v>134</v>
      </c>
      <c r="L460" s="2">
        <v>41365</v>
      </c>
      <c r="M460" t="s">
        <v>3321</v>
      </c>
      <c r="N460">
        <v>0</v>
      </c>
      <c r="O460" t="s">
        <v>4903</v>
      </c>
      <c r="P460">
        <v>0</v>
      </c>
      <c r="Q460" t="s">
        <v>4903</v>
      </c>
      <c r="R460" t="s">
        <v>3319</v>
      </c>
    </row>
    <row r="461" spans="1:18" hidden="1" x14ac:dyDescent="0.25">
      <c r="A461" t="s">
        <v>2684</v>
      </c>
      <c r="B461" t="s">
        <v>2685</v>
      </c>
      <c r="C461" t="s">
        <v>15</v>
      </c>
      <c r="D461" t="s">
        <v>32</v>
      </c>
      <c r="E461" t="s">
        <v>305</v>
      </c>
      <c r="F461" t="s">
        <v>34</v>
      </c>
      <c r="G461" t="s">
        <v>3406</v>
      </c>
      <c r="H461" s="15">
        <v>398027</v>
      </c>
      <c r="I461" s="15">
        <v>0</v>
      </c>
      <c r="J461" t="s">
        <v>154</v>
      </c>
      <c r="K461" t="s">
        <v>100</v>
      </c>
      <c r="L461" s="2">
        <v>41365</v>
      </c>
      <c r="M461" t="s">
        <v>3407</v>
      </c>
      <c r="N461">
        <v>0</v>
      </c>
      <c r="O461" t="s">
        <v>4903</v>
      </c>
      <c r="P461">
        <v>0</v>
      </c>
      <c r="Q461" t="s">
        <v>4903</v>
      </c>
      <c r="R461" t="s">
        <v>2684</v>
      </c>
    </row>
    <row r="462" spans="1:18" hidden="1" x14ac:dyDescent="0.25">
      <c r="A462" t="s">
        <v>1992</v>
      </c>
      <c r="B462" t="s">
        <v>478</v>
      </c>
      <c r="C462" t="s">
        <v>15</v>
      </c>
      <c r="D462" t="s">
        <v>32</v>
      </c>
      <c r="E462" t="s">
        <v>305</v>
      </c>
      <c r="F462" t="s">
        <v>140</v>
      </c>
      <c r="G462" t="s">
        <v>2427</v>
      </c>
      <c r="H462" s="15">
        <v>417240</v>
      </c>
      <c r="I462" s="15">
        <v>0</v>
      </c>
      <c r="J462" t="s">
        <v>89</v>
      </c>
      <c r="K462" t="s">
        <v>28</v>
      </c>
      <c r="L462" s="2">
        <v>41365</v>
      </c>
      <c r="M462" t="s">
        <v>2428</v>
      </c>
      <c r="N462">
        <v>1</v>
      </c>
      <c r="O462" t="s">
        <v>4903</v>
      </c>
      <c r="P462">
        <v>0</v>
      </c>
      <c r="Q462" t="s">
        <v>4903</v>
      </c>
      <c r="R462" t="s">
        <v>1992</v>
      </c>
    </row>
    <row r="463" spans="1:18" hidden="1" x14ac:dyDescent="0.25">
      <c r="A463" t="s">
        <v>481</v>
      </c>
      <c r="B463" t="s">
        <v>84</v>
      </c>
      <c r="C463" t="s">
        <v>15</v>
      </c>
      <c r="D463" t="s">
        <v>85</v>
      </c>
      <c r="E463" t="s">
        <v>157</v>
      </c>
      <c r="F463" t="s">
        <v>87</v>
      </c>
      <c r="G463" t="s">
        <v>4291</v>
      </c>
      <c r="H463" s="15">
        <v>302342</v>
      </c>
      <c r="I463" s="15">
        <v>0</v>
      </c>
      <c r="J463" t="s">
        <v>89</v>
      </c>
      <c r="K463" t="s">
        <v>28</v>
      </c>
      <c r="L463" s="2">
        <v>41365</v>
      </c>
      <c r="M463" t="s">
        <v>4292</v>
      </c>
      <c r="N463">
        <v>1</v>
      </c>
      <c r="O463" t="s">
        <v>4903</v>
      </c>
      <c r="P463">
        <v>0</v>
      </c>
      <c r="Q463" t="s">
        <v>4903</v>
      </c>
      <c r="R463" t="s">
        <v>481</v>
      </c>
    </row>
    <row r="464" spans="1:18" hidden="1" x14ac:dyDescent="0.25">
      <c r="A464" t="s">
        <v>948</v>
      </c>
      <c r="B464" t="s">
        <v>47</v>
      </c>
      <c r="C464" t="s">
        <v>48</v>
      </c>
      <c r="D464" t="s">
        <v>85</v>
      </c>
      <c r="E464" t="s">
        <v>157</v>
      </c>
      <c r="F464" t="s">
        <v>87</v>
      </c>
      <c r="G464" t="s">
        <v>949</v>
      </c>
      <c r="H464" s="15">
        <v>309194</v>
      </c>
      <c r="I464" s="15">
        <v>0</v>
      </c>
      <c r="J464" t="s">
        <v>89</v>
      </c>
      <c r="K464" t="s">
        <v>21</v>
      </c>
      <c r="L464" s="2">
        <v>41365</v>
      </c>
      <c r="M464" t="s">
        <v>950</v>
      </c>
      <c r="N464">
        <v>2</v>
      </c>
      <c r="O464" t="s">
        <v>4903</v>
      </c>
      <c r="P464">
        <v>0</v>
      </c>
      <c r="Q464" t="s">
        <v>4903</v>
      </c>
      <c r="R464" t="s">
        <v>948</v>
      </c>
    </row>
    <row r="465" spans="1:18" hidden="1" x14ac:dyDescent="0.25">
      <c r="A465" t="s">
        <v>4554</v>
      </c>
      <c r="B465" t="s">
        <v>47</v>
      </c>
      <c r="C465" t="s">
        <v>48</v>
      </c>
      <c r="D465" t="s">
        <v>85</v>
      </c>
      <c r="E465" t="s">
        <v>157</v>
      </c>
      <c r="F465" t="s">
        <v>87</v>
      </c>
      <c r="G465" t="s">
        <v>4555</v>
      </c>
      <c r="H465" s="15">
        <v>300000</v>
      </c>
      <c r="I465" s="15">
        <v>0</v>
      </c>
      <c r="J465" t="s">
        <v>89</v>
      </c>
      <c r="K465" t="s">
        <v>65</v>
      </c>
      <c r="L465" s="2">
        <v>41365</v>
      </c>
      <c r="M465" t="s">
        <v>4556</v>
      </c>
      <c r="N465">
        <v>0</v>
      </c>
      <c r="O465" t="s">
        <v>4903</v>
      </c>
      <c r="P465">
        <v>0</v>
      </c>
      <c r="Q465" t="s">
        <v>4903</v>
      </c>
      <c r="R465" t="s">
        <v>4554</v>
      </c>
    </row>
    <row r="466" spans="1:18" hidden="1" x14ac:dyDescent="0.25">
      <c r="A466" t="s">
        <v>2839</v>
      </c>
      <c r="B466" t="s">
        <v>190</v>
      </c>
      <c r="C466" t="s">
        <v>15</v>
      </c>
      <c r="D466" t="s">
        <v>85</v>
      </c>
      <c r="E466" t="s">
        <v>157</v>
      </c>
      <c r="F466" t="s">
        <v>87</v>
      </c>
      <c r="G466" t="s">
        <v>3375</v>
      </c>
      <c r="H466" s="15">
        <v>336940</v>
      </c>
      <c r="I466" s="15">
        <v>0</v>
      </c>
      <c r="J466" t="s">
        <v>89</v>
      </c>
      <c r="K466" t="s">
        <v>65</v>
      </c>
      <c r="L466" s="2">
        <v>41365</v>
      </c>
      <c r="M466" t="s">
        <v>3376</v>
      </c>
      <c r="N466">
        <v>6</v>
      </c>
      <c r="O466" t="s">
        <v>4903</v>
      </c>
      <c r="P466">
        <v>0</v>
      </c>
      <c r="Q466" t="s">
        <v>4903</v>
      </c>
      <c r="R466" t="s">
        <v>2839</v>
      </c>
    </row>
    <row r="467" spans="1:18" hidden="1" x14ac:dyDescent="0.25">
      <c r="A467" t="s">
        <v>1410</v>
      </c>
      <c r="B467" t="s">
        <v>24</v>
      </c>
      <c r="C467" t="s">
        <v>15</v>
      </c>
      <c r="D467" t="s">
        <v>32</v>
      </c>
      <c r="E467" t="s">
        <v>305</v>
      </c>
      <c r="F467" t="s">
        <v>34</v>
      </c>
      <c r="G467" t="s">
        <v>3000</v>
      </c>
      <c r="H467" s="15">
        <v>414316</v>
      </c>
      <c r="I467" s="15">
        <v>0</v>
      </c>
      <c r="J467" t="s">
        <v>89</v>
      </c>
      <c r="K467" t="s">
        <v>28</v>
      </c>
      <c r="L467" s="2">
        <v>41365</v>
      </c>
      <c r="M467" t="s">
        <v>3001</v>
      </c>
      <c r="N467">
        <v>0</v>
      </c>
      <c r="O467" t="s">
        <v>4903</v>
      </c>
      <c r="P467">
        <v>0</v>
      </c>
      <c r="Q467" t="s">
        <v>4903</v>
      </c>
      <c r="R467" t="s">
        <v>1410</v>
      </c>
    </row>
    <row r="468" spans="1:18" hidden="1" x14ac:dyDescent="0.25">
      <c r="A468" t="s">
        <v>1365</v>
      </c>
      <c r="B468" t="s">
        <v>103</v>
      </c>
      <c r="C468" t="s">
        <v>15</v>
      </c>
      <c r="D468" t="s">
        <v>85</v>
      </c>
      <c r="E468" t="s">
        <v>157</v>
      </c>
      <c r="F468" t="s">
        <v>87</v>
      </c>
      <c r="G468" t="s">
        <v>1366</v>
      </c>
      <c r="H468" s="15">
        <v>273358</v>
      </c>
      <c r="I468" s="15">
        <v>0</v>
      </c>
      <c r="J468" t="s">
        <v>89</v>
      </c>
      <c r="K468" t="s">
        <v>21</v>
      </c>
      <c r="L468" s="2">
        <v>41365</v>
      </c>
      <c r="M468" t="s">
        <v>1367</v>
      </c>
      <c r="N468">
        <v>0</v>
      </c>
      <c r="O468" t="s">
        <v>4903</v>
      </c>
      <c r="P468">
        <v>0</v>
      </c>
      <c r="Q468" t="s">
        <v>4903</v>
      </c>
      <c r="R468" t="s">
        <v>1365</v>
      </c>
    </row>
    <row r="469" spans="1:18" hidden="1" x14ac:dyDescent="0.25">
      <c r="A469" t="s">
        <v>3752</v>
      </c>
      <c r="B469" t="s">
        <v>676</v>
      </c>
      <c r="C469" t="s">
        <v>39</v>
      </c>
      <c r="D469" t="s">
        <v>32</v>
      </c>
      <c r="E469" t="s">
        <v>305</v>
      </c>
      <c r="F469" t="s">
        <v>26</v>
      </c>
      <c r="G469" t="s">
        <v>3753</v>
      </c>
      <c r="H469" s="15">
        <v>647299</v>
      </c>
      <c r="I469" s="15">
        <v>0</v>
      </c>
      <c r="J469" t="s">
        <v>20</v>
      </c>
      <c r="K469" t="s">
        <v>326</v>
      </c>
      <c r="L469" s="2">
        <v>41365</v>
      </c>
      <c r="M469" t="s">
        <v>3754</v>
      </c>
      <c r="N469">
        <v>0</v>
      </c>
      <c r="O469" t="s">
        <v>4903</v>
      </c>
      <c r="P469">
        <v>0</v>
      </c>
      <c r="Q469" t="s">
        <v>4903</v>
      </c>
      <c r="R469" t="s">
        <v>3752</v>
      </c>
    </row>
    <row r="470" spans="1:18" hidden="1" x14ac:dyDescent="0.25">
      <c r="A470" t="s">
        <v>2552</v>
      </c>
      <c r="B470" t="s">
        <v>84</v>
      </c>
      <c r="C470" t="s">
        <v>15</v>
      </c>
      <c r="D470" t="s">
        <v>85</v>
      </c>
      <c r="E470" t="s">
        <v>157</v>
      </c>
      <c r="F470" t="s">
        <v>87</v>
      </c>
      <c r="G470" t="s">
        <v>2553</v>
      </c>
      <c r="H470" s="15">
        <v>255330</v>
      </c>
      <c r="I470" s="15">
        <v>0</v>
      </c>
      <c r="J470" t="s">
        <v>89</v>
      </c>
      <c r="K470" t="s">
        <v>65</v>
      </c>
      <c r="L470" s="2">
        <v>41365</v>
      </c>
      <c r="M470" t="s">
        <v>2554</v>
      </c>
      <c r="N470">
        <v>0</v>
      </c>
      <c r="O470" t="s">
        <v>4903</v>
      </c>
      <c r="P470">
        <v>0</v>
      </c>
      <c r="Q470" t="s">
        <v>4903</v>
      </c>
      <c r="R470" t="s">
        <v>2552</v>
      </c>
    </row>
    <row r="471" spans="1:18" hidden="1" x14ac:dyDescent="0.25">
      <c r="A471" t="s">
        <v>2114</v>
      </c>
      <c r="B471" t="s">
        <v>14</v>
      </c>
      <c r="C471" t="s">
        <v>15</v>
      </c>
      <c r="D471" t="s">
        <v>32</v>
      </c>
      <c r="E471" t="s">
        <v>305</v>
      </c>
      <c r="F471" t="s">
        <v>152</v>
      </c>
      <c r="G471" t="s">
        <v>2115</v>
      </c>
      <c r="H471" s="15">
        <v>245857</v>
      </c>
      <c r="I471" s="15">
        <v>0</v>
      </c>
      <c r="J471" t="s">
        <v>89</v>
      </c>
      <c r="K471" t="s">
        <v>28</v>
      </c>
      <c r="L471" s="2">
        <v>41365</v>
      </c>
      <c r="M471" t="s">
        <v>2116</v>
      </c>
      <c r="N471">
        <v>0</v>
      </c>
      <c r="O471" t="s">
        <v>4903</v>
      </c>
      <c r="P471">
        <v>0</v>
      </c>
      <c r="Q471" t="s">
        <v>4903</v>
      </c>
      <c r="R471" t="s">
        <v>2114</v>
      </c>
    </row>
    <row r="472" spans="1:18" hidden="1" x14ac:dyDescent="0.25">
      <c r="A472" t="s">
        <v>969</v>
      </c>
      <c r="B472" t="s">
        <v>31</v>
      </c>
      <c r="C472" t="s">
        <v>15</v>
      </c>
      <c r="D472" t="s">
        <v>32</v>
      </c>
      <c r="E472" t="s">
        <v>305</v>
      </c>
      <c r="F472" t="s">
        <v>34</v>
      </c>
      <c r="G472" t="s">
        <v>3707</v>
      </c>
      <c r="H472" s="15">
        <v>649806</v>
      </c>
      <c r="I472" s="15">
        <v>0</v>
      </c>
      <c r="J472" t="s">
        <v>20</v>
      </c>
      <c r="K472" t="s">
        <v>65</v>
      </c>
      <c r="L472" s="2">
        <v>41365</v>
      </c>
      <c r="M472" t="s">
        <v>3708</v>
      </c>
      <c r="N472">
        <v>0</v>
      </c>
      <c r="O472" t="s">
        <v>4903</v>
      </c>
      <c r="P472">
        <v>0</v>
      </c>
      <c r="Q472" t="s">
        <v>4903</v>
      </c>
      <c r="R472" t="s">
        <v>969</v>
      </c>
    </row>
    <row r="473" spans="1:18" hidden="1" x14ac:dyDescent="0.25">
      <c r="A473" t="s">
        <v>2138</v>
      </c>
      <c r="B473" t="s">
        <v>119</v>
      </c>
      <c r="C473" t="s">
        <v>39</v>
      </c>
      <c r="D473" t="s">
        <v>32</v>
      </c>
      <c r="E473" t="s">
        <v>305</v>
      </c>
      <c r="F473" t="s">
        <v>26</v>
      </c>
      <c r="G473" t="s">
        <v>3851</v>
      </c>
      <c r="H473" s="15">
        <v>788500</v>
      </c>
      <c r="I473" s="15">
        <v>0</v>
      </c>
      <c r="J473" t="s">
        <v>20</v>
      </c>
      <c r="K473" t="s">
        <v>28</v>
      </c>
      <c r="L473" s="2">
        <v>41365</v>
      </c>
      <c r="M473" t="s">
        <v>3852</v>
      </c>
      <c r="N473">
        <v>0</v>
      </c>
      <c r="O473" t="s">
        <v>4903</v>
      </c>
      <c r="P473">
        <v>0</v>
      </c>
      <c r="Q473" t="s">
        <v>4903</v>
      </c>
      <c r="R473" t="s">
        <v>2138</v>
      </c>
    </row>
    <row r="474" spans="1:18" hidden="1" x14ac:dyDescent="0.25">
      <c r="A474" t="s">
        <v>2483</v>
      </c>
      <c r="B474" t="s">
        <v>315</v>
      </c>
      <c r="C474" t="s">
        <v>39</v>
      </c>
      <c r="D474" t="s">
        <v>32</v>
      </c>
      <c r="E474" t="s">
        <v>305</v>
      </c>
      <c r="F474" t="s">
        <v>152</v>
      </c>
      <c r="G474" t="s">
        <v>3782</v>
      </c>
      <c r="H474" s="15">
        <v>797450</v>
      </c>
      <c r="I474" s="15">
        <v>0</v>
      </c>
      <c r="J474" t="s">
        <v>20</v>
      </c>
      <c r="K474" t="s">
        <v>28</v>
      </c>
      <c r="L474" s="2">
        <v>41365</v>
      </c>
      <c r="M474" t="s">
        <v>3783</v>
      </c>
      <c r="N474">
        <v>1</v>
      </c>
      <c r="O474" t="s">
        <v>4903</v>
      </c>
      <c r="P474">
        <v>0</v>
      </c>
      <c r="Q474" t="s">
        <v>4903</v>
      </c>
      <c r="R474" t="s">
        <v>2483</v>
      </c>
    </row>
    <row r="475" spans="1:18" hidden="1" x14ac:dyDescent="0.25">
      <c r="A475" t="s">
        <v>733</v>
      </c>
      <c r="B475" t="s">
        <v>315</v>
      </c>
      <c r="C475" t="s">
        <v>39</v>
      </c>
      <c r="D475" t="s">
        <v>85</v>
      </c>
      <c r="E475" t="s">
        <v>157</v>
      </c>
      <c r="F475" t="s">
        <v>87</v>
      </c>
      <c r="G475" t="s">
        <v>2998</v>
      </c>
      <c r="H475" s="15">
        <v>343124</v>
      </c>
      <c r="I475" s="15">
        <v>0</v>
      </c>
      <c r="J475" t="s">
        <v>89</v>
      </c>
      <c r="K475" t="s">
        <v>28</v>
      </c>
      <c r="L475" s="2">
        <v>41365</v>
      </c>
      <c r="M475" t="s">
        <v>2999</v>
      </c>
      <c r="N475">
        <v>1</v>
      </c>
      <c r="O475" t="s">
        <v>4903</v>
      </c>
      <c r="P475">
        <v>0</v>
      </c>
      <c r="Q475" t="s">
        <v>4903</v>
      </c>
      <c r="R475" t="s">
        <v>733</v>
      </c>
    </row>
    <row r="476" spans="1:18" hidden="1" x14ac:dyDescent="0.25">
      <c r="A476" t="s">
        <v>496</v>
      </c>
      <c r="B476" t="s">
        <v>84</v>
      </c>
      <c r="C476" t="s">
        <v>15</v>
      </c>
      <c r="D476" t="s">
        <v>85</v>
      </c>
      <c r="E476" t="s">
        <v>157</v>
      </c>
      <c r="F476" t="s">
        <v>87</v>
      </c>
      <c r="G476" t="s">
        <v>3689</v>
      </c>
      <c r="H476" s="15">
        <v>282900</v>
      </c>
      <c r="I476" s="15">
        <v>0</v>
      </c>
      <c r="J476" t="s">
        <v>89</v>
      </c>
      <c r="K476" t="s">
        <v>57</v>
      </c>
      <c r="L476" s="2">
        <v>41365</v>
      </c>
      <c r="M476" t="s">
        <v>3690</v>
      </c>
      <c r="N476">
        <v>4</v>
      </c>
      <c r="O476" t="s">
        <v>4903</v>
      </c>
      <c r="P476">
        <v>0</v>
      </c>
      <c r="Q476" t="s">
        <v>4903</v>
      </c>
      <c r="R476" t="s">
        <v>496</v>
      </c>
    </row>
    <row r="477" spans="1:18" hidden="1" x14ac:dyDescent="0.25">
      <c r="A477" t="s">
        <v>1566</v>
      </c>
      <c r="B477" t="s">
        <v>14</v>
      </c>
      <c r="C477" t="s">
        <v>15</v>
      </c>
      <c r="D477" t="s">
        <v>32</v>
      </c>
      <c r="E477" t="s">
        <v>305</v>
      </c>
      <c r="F477" t="s">
        <v>140</v>
      </c>
      <c r="G477" t="s">
        <v>2914</v>
      </c>
      <c r="H477" s="15">
        <v>623520</v>
      </c>
      <c r="I477" s="15">
        <v>0</v>
      </c>
      <c r="J477" t="s">
        <v>20</v>
      </c>
      <c r="K477" t="s">
        <v>28</v>
      </c>
      <c r="L477" s="2">
        <v>41365</v>
      </c>
      <c r="M477" t="s">
        <v>2915</v>
      </c>
      <c r="N477">
        <v>0</v>
      </c>
      <c r="O477" t="s">
        <v>4903</v>
      </c>
      <c r="P477">
        <v>0</v>
      </c>
      <c r="Q477" t="s">
        <v>4903</v>
      </c>
      <c r="R477" t="s">
        <v>1566</v>
      </c>
    </row>
    <row r="478" spans="1:18" hidden="1" x14ac:dyDescent="0.25">
      <c r="A478" t="s">
        <v>3109</v>
      </c>
      <c r="B478" t="s">
        <v>38</v>
      </c>
      <c r="C478" t="s">
        <v>39</v>
      </c>
      <c r="D478" t="s">
        <v>32</v>
      </c>
      <c r="E478" t="s">
        <v>305</v>
      </c>
      <c r="F478" t="s">
        <v>18</v>
      </c>
      <c r="G478" t="s">
        <v>3112</v>
      </c>
      <c r="H478" s="15">
        <v>380000</v>
      </c>
      <c r="I478" s="15">
        <v>0</v>
      </c>
      <c r="J478" t="s">
        <v>154</v>
      </c>
      <c r="K478" t="s">
        <v>65</v>
      </c>
      <c r="L478" s="2">
        <v>41365</v>
      </c>
      <c r="M478" t="s">
        <v>3113</v>
      </c>
      <c r="N478">
        <v>1</v>
      </c>
      <c r="O478" t="s">
        <v>4903</v>
      </c>
      <c r="P478">
        <v>0</v>
      </c>
      <c r="Q478" t="s">
        <v>4903</v>
      </c>
      <c r="R478" t="s">
        <v>3109</v>
      </c>
    </row>
    <row r="479" spans="1:18" hidden="1" x14ac:dyDescent="0.25">
      <c r="A479" t="s">
        <v>2410</v>
      </c>
      <c r="B479" t="s">
        <v>2411</v>
      </c>
      <c r="C479" t="s">
        <v>39</v>
      </c>
      <c r="D479" t="s">
        <v>85</v>
      </c>
      <c r="E479" t="s">
        <v>157</v>
      </c>
      <c r="F479" t="s">
        <v>87</v>
      </c>
      <c r="G479" t="s">
        <v>2422</v>
      </c>
      <c r="H479" s="15">
        <v>305350</v>
      </c>
      <c r="I479" s="15">
        <v>0</v>
      </c>
      <c r="J479" t="s">
        <v>89</v>
      </c>
      <c r="K479" t="s">
        <v>21</v>
      </c>
      <c r="L479" s="2">
        <v>41365</v>
      </c>
      <c r="M479" t="s">
        <v>2423</v>
      </c>
      <c r="N479">
        <v>2</v>
      </c>
      <c r="O479" t="s">
        <v>4903</v>
      </c>
      <c r="P479">
        <v>0</v>
      </c>
      <c r="Q479" t="s">
        <v>4903</v>
      </c>
      <c r="R479" t="s">
        <v>2410</v>
      </c>
    </row>
    <row r="480" spans="1:18" hidden="1" x14ac:dyDescent="0.25">
      <c r="A480" t="s">
        <v>1635</v>
      </c>
      <c r="B480" t="s">
        <v>898</v>
      </c>
      <c r="C480" t="s">
        <v>39</v>
      </c>
      <c r="D480" t="s">
        <v>85</v>
      </c>
      <c r="E480" t="s">
        <v>157</v>
      </c>
      <c r="F480" t="s">
        <v>87</v>
      </c>
      <c r="G480" t="s">
        <v>1636</v>
      </c>
      <c r="H480" s="15">
        <v>189250</v>
      </c>
      <c r="I480" s="15">
        <v>0</v>
      </c>
      <c r="J480" t="s">
        <v>89</v>
      </c>
      <c r="K480" t="s">
        <v>21</v>
      </c>
      <c r="L480" s="2">
        <v>41365</v>
      </c>
      <c r="M480" t="s">
        <v>1637</v>
      </c>
      <c r="N480">
        <v>0</v>
      </c>
      <c r="O480" t="s">
        <v>4903</v>
      </c>
      <c r="P480">
        <v>0</v>
      </c>
      <c r="Q480" t="s">
        <v>4903</v>
      </c>
      <c r="R480" t="s">
        <v>1635</v>
      </c>
    </row>
    <row r="481" spans="1:18" hidden="1" x14ac:dyDescent="0.25">
      <c r="A481" t="s">
        <v>1550</v>
      </c>
      <c r="B481" t="s">
        <v>14</v>
      </c>
      <c r="C481" t="s">
        <v>15</v>
      </c>
      <c r="D481" t="s">
        <v>32</v>
      </c>
      <c r="E481" t="s">
        <v>305</v>
      </c>
      <c r="F481" t="s">
        <v>26</v>
      </c>
      <c r="G481" t="s">
        <v>1551</v>
      </c>
      <c r="H481" s="15">
        <v>457488</v>
      </c>
      <c r="I481" s="15">
        <v>0</v>
      </c>
      <c r="J481" t="s">
        <v>89</v>
      </c>
      <c r="K481" t="s">
        <v>28</v>
      </c>
      <c r="L481" s="2">
        <v>41365</v>
      </c>
      <c r="M481" t="s">
        <v>1552</v>
      </c>
      <c r="N481">
        <v>0</v>
      </c>
      <c r="O481" t="s">
        <v>4903</v>
      </c>
      <c r="P481">
        <v>0</v>
      </c>
      <c r="Q481" t="s">
        <v>4903</v>
      </c>
      <c r="R481" t="s">
        <v>1550</v>
      </c>
    </row>
    <row r="482" spans="1:18" hidden="1" x14ac:dyDescent="0.25">
      <c r="A482" t="s">
        <v>1309</v>
      </c>
      <c r="B482" t="s">
        <v>84</v>
      </c>
      <c r="C482" t="s">
        <v>15</v>
      </c>
      <c r="D482" t="s">
        <v>85</v>
      </c>
      <c r="E482" t="s">
        <v>157</v>
      </c>
      <c r="F482" t="s">
        <v>87</v>
      </c>
      <c r="G482" t="s">
        <v>2095</v>
      </c>
      <c r="H482" s="15">
        <v>404580</v>
      </c>
      <c r="I482" s="15">
        <v>0</v>
      </c>
      <c r="J482" t="s">
        <v>89</v>
      </c>
      <c r="K482" t="s">
        <v>21</v>
      </c>
      <c r="L482" s="2">
        <v>41365</v>
      </c>
      <c r="M482" t="s">
        <v>2096</v>
      </c>
      <c r="N482">
        <v>0</v>
      </c>
      <c r="O482" t="s">
        <v>4903</v>
      </c>
      <c r="P482">
        <v>0</v>
      </c>
      <c r="Q482" t="s">
        <v>4903</v>
      </c>
      <c r="R482" t="s">
        <v>1309</v>
      </c>
    </row>
    <row r="483" spans="1:18" hidden="1" x14ac:dyDescent="0.25">
      <c r="A483" t="s">
        <v>4199</v>
      </c>
      <c r="B483" t="s">
        <v>406</v>
      </c>
      <c r="C483" t="s">
        <v>62</v>
      </c>
      <c r="D483" t="s">
        <v>32</v>
      </c>
      <c r="E483" t="s">
        <v>305</v>
      </c>
      <c r="F483" t="s">
        <v>26</v>
      </c>
      <c r="G483" t="s">
        <v>4293</v>
      </c>
      <c r="H483" s="15">
        <v>642147</v>
      </c>
      <c r="I483" s="15">
        <v>0</v>
      </c>
      <c r="J483" t="s">
        <v>20</v>
      </c>
      <c r="K483" t="s">
        <v>28</v>
      </c>
      <c r="L483" s="2">
        <v>41365</v>
      </c>
      <c r="M483" t="s">
        <v>4294</v>
      </c>
      <c r="N483">
        <v>2</v>
      </c>
      <c r="O483" t="s">
        <v>4903</v>
      </c>
      <c r="P483">
        <v>0</v>
      </c>
      <c r="Q483" t="s">
        <v>4903</v>
      </c>
      <c r="R483" t="s">
        <v>4199</v>
      </c>
    </row>
    <row r="484" spans="1:18" hidden="1" x14ac:dyDescent="0.25">
      <c r="A484" t="s">
        <v>1553</v>
      </c>
      <c r="B484" t="s">
        <v>77</v>
      </c>
      <c r="C484" t="s">
        <v>15</v>
      </c>
      <c r="D484" t="s">
        <v>96</v>
      </c>
      <c r="E484" t="s">
        <v>1554</v>
      </c>
      <c r="F484" t="s">
        <v>98</v>
      </c>
      <c r="G484" t="s">
        <v>1555</v>
      </c>
      <c r="H484" s="15">
        <v>499795</v>
      </c>
      <c r="I484" s="15">
        <v>0</v>
      </c>
      <c r="J484" t="s">
        <v>20</v>
      </c>
      <c r="K484" t="s">
        <v>134</v>
      </c>
      <c r="L484" s="2">
        <v>41365</v>
      </c>
      <c r="M484" t="s">
        <v>1556</v>
      </c>
      <c r="N484">
        <v>6</v>
      </c>
      <c r="O484" t="s">
        <v>4903</v>
      </c>
      <c r="P484">
        <v>0</v>
      </c>
      <c r="Q484" t="s">
        <v>4903</v>
      </c>
      <c r="R484" t="s">
        <v>1553</v>
      </c>
    </row>
    <row r="485" spans="1:18" hidden="1" x14ac:dyDescent="0.25">
      <c r="A485" t="s">
        <v>2364</v>
      </c>
      <c r="B485" t="s">
        <v>898</v>
      </c>
      <c r="C485" t="s">
        <v>39</v>
      </c>
      <c r="D485" t="s">
        <v>85</v>
      </c>
      <c r="E485" t="s">
        <v>157</v>
      </c>
      <c r="F485" t="s">
        <v>87</v>
      </c>
      <c r="G485" t="s">
        <v>3044</v>
      </c>
      <c r="H485" s="15">
        <v>269000</v>
      </c>
      <c r="I485" s="15">
        <v>0</v>
      </c>
      <c r="J485" t="s">
        <v>89</v>
      </c>
      <c r="K485" t="s">
        <v>100</v>
      </c>
      <c r="L485" s="2">
        <v>41365</v>
      </c>
      <c r="M485" t="s">
        <v>3045</v>
      </c>
      <c r="N485">
        <v>0</v>
      </c>
      <c r="O485" t="s">
        <v>4903</v>
      </c>
      <c r="P485">
        <v>0</v>
      </c>
      <c r="Q485" t="s">
        <v>4903</v>
      </c>
      <c r="R485" t="s">
        <v>2364</v>
      </c>
    </row>
    <row r="486" spans="1:18" hidden="1" x14ac:dyDescent="0.25">
      <c r="A486" t="s">
        <v>156</v>
      </c>
      <c r="B486" t="s">
        <v>84</v>
      </c>
      <c r="C486" t="s">
        <v>15</v>
      </c>
      <c r="D486" t="s">
        <v>85</v>
      </c>
      <c r="E486" t="s">
        <v>157</v>
      </c>
      <c r="F486" t="s">
        <v>87</v>
      </c>
      <c r="G486" t="s">
        <v>158</v>
      </c>
      <c r="H486" s="15">
        <v>286788</v>
      </c>
      <c r="I486" s="15">
        <v>0</v>
      </c>
      <c r="J486" t="s">
        <v>89</v>
      </c>
      <c r="K486" t="s">
        <v>100</v>
      </c>
      <c r="L486" s="2">
        <v>41365</v>
      </c>
      <c r="M486" t="s">
        <v>159</v>
      </c>
      <c r="N486">
        <v>1</v>
      </c>
      <c r="O486" t="s">
        <v>4903</v>
      </c>
      <c r="P486">
        <v>0</v>
      </c>
      <c r="Q486" t="s">
        <v>4903</v>
      </c>
      <c r="R486" t="s">
        <v>156</v>
      </c>
    </row>
    <row r="487" spans="1:18" hidden="1" x14ac:dyDescent="0.25">
      <c r="A487" t="s">
        <v>1280</v>
      </c>
      <c r="B487" t="s">
        <v>520</v>
      </c>
      <c r="C487" t="s">
        <v>521</v>
      </c>
      <c r="D487" t="s">
        <v>85</v>
      </c>
      <c r="E487" t="s">
        <v>157</v>
      </c>
      <c r="F487" t="s">
        <v>87</v>
      </c>
      <c r="G487" t="s">
        <v>1434</v>
      </c>
      <c r="H487" s="15">
        <v>440666</v>
      </c>
      <c r="I487" s="15">
        <v>0</v>
      </c>
      <c r="J487" t="s">
        <v>89</v>
      </c>
      <c r="K487" t="s">
        <v>116</v>
      </c>
      <c r="L487" s="2">
        <v>41365</v>
      </c>
      <c r="M487" t="s">
        <v>1435</v>
      </c>
      <c r="N487">
        <v>1</v>
      </c>
      <c r="O487" t="s">
        <v>4903</v>
      </c>
      <c r="P487">
        <v>0</v>
      </c>
      <c r="Q487" t="s">
        <v>4903</v>
      </c>
      <c r="R487" t="s">
        <v>1280</v>
      </c>
    </row>
    <row r="488" spans="1:18" hidden="1" x14ac:dyDescent="0.25">
      <c r="A488" t="s">
        <v>1882</v>
      </c>
      <c r="B488" t="s">
        <v>244</v>
      </c>
      <c r="C488" t="s">
        <v>39</v>
      </c>
      <c r="D488" t="s">
        <v>32</v>
      </c>
      <c r="E488" t="s">
        <v>305</v>
      </c>
      <c r="F488" t="s">
        <v>26</v>
      </c>
      <c r="G488" t="s">
        <v>2754</v>
      </c>
      <c r="H488" s="15">
        <v>729885</v>
      </c>
      <c r="I488" s="15">
        <v>0</v>
      </c>
      <c r="J488" t="s">
        <v>20</v>
      </c>
      <c r="K488" t="s">
        <v>28</v>
      </c>
      <c r="L488" s="2">
        <v>41365</v>
      </c>
      <c r="M488" t="s">
        <v>2755</v>
      </c>
      <c r="N488">
        <v>0</v>
      </c>
      <c r="O488" t="s">
        <v>4903</v>
      </c>
      <c r="P488">
        <v>0</v>
      </c>
      <c r="Q488" t="s">
        <v>4903</v>
      </c>
      <c r="R488" t="s">
        <v>1882</v>
      </c>
    </row>
    <row r="489" spans="1:18" hidden="1" x14ac:dyDescent="0.25">
      <c r="A489" t="s">
        <v>4398</v>
      </c>
      <c r="B489" t="s">
        <v>31</v>
      </c>
      <c r="C489" t="s">
        <v>15</v>
      </c>
      <c r="D489" t="s">
        <v>32</v>
      </c>
      <c r="E489" t="s">
        <v>305</v>
      </c>
      <c r="F489" t="s">
        <v>140</v>
      </c>
      <c r="G489" t="s">
        <v>4399</v>
      </c>
      <c r="H489" s="15">
        <v>313349</v>
      </c>
      <c r="I489" s="15">
        <v>0</v>
      </c>
      <c r="J489" t="s">
        <v>89</v>
      </c>
      <c r="K489" t="s">
        <v>28</v>
      </c>
      <c r="L489" s="2">
        <v>41365</v>
      </c>
      <c r="M489" t="s">
        <v>4400</v>
      </c>
      <c r="N489">
        <v>0</v>
      </c>
      <c r="O489" t="s">
        <v>4903</v>
      </c>
      <c r="P489">
        <v>0</v>
      </c>
      <c r="Q489" t="s">
        <v>4903</v>
      </c>
      <c r="R489" t="s">
        <v>4398</v>
      </c>
    </row>
    <row r="490" spans="1:18" hidden="1" x14ac:dyDescent="0.25">
      <c r="A490" t="s">
        <v>3939</v>
      </c>
      <c r="B490" t="s">
        <v>84</v>
      </c>
      <c r="C490" t="s">
        <v>15</v>
      </c>
      <c r="D490" t="s">
        <v>85</v>
      </c>
      <c r="E490" t="s">
        <v>157</v>
      </c>
      <c r="F490" t="s">
        <v>87</v>
      </c>
      <c r="G490" t="s">
        <v>3940</v>
      </c>
      <c r="H490" s="15">
        <v>313633</v>
      </c>
      <c r="I490" s="15">
        <v>0</v>
      </c>
      <c r="J490" t="s">
        <v>89</v>
      </c>
      <c r="K490" t="s">
        <v>134</v>
      </c>
      <c r="L490" s="2">
        <v>41365</v>
      </c>
      <c r="M490" t="s">
        <v>3941</v>
      </c>
      <c r="N490">
        <v>0</v>
      </c>
      <c r="O490" t="s">
        <v>4903</v>
      </c>
      <c r="P490">
        <v>0</v>
      </c>
      <c r="Q490" t="s">
        <v>4903</v>
      </c>
      <c r="R490" t="s">
        <v>3939</v>
      </c>
    </row>
    <row r="491" spans="1:18" hidden="1" x14ac:dyDescent="0.25">
      <c r="A491" t="s">
        <v>1605</v>
      </c>
      <c r="B491" t="s">
        <v>688</v>
      </c>
      <c r="C491" t="s">
        <v>39</v>
      </c>
      <c r="D491" t="s">
        <v>32</v>
      </c>
      <c r="E491" t="s">
        <v>305</v>
      </c>
      <c r="F491" t="s">
        <v>152</v>
      </c>
      <c r="G491" t="s">
        <v>3861</v>
      </c>
      <c r="H491" s="15">
        <v>686375</v>
      </c>
      <c r="I491" s="15">
        <v>0</v>
      </c>
      <c r="J491" t="s">
        <v>20</v>
      </c>
      <c r="K491" t="s">
        <v>28</v>
      </c>
      <c r="L491" s="2">
        <v>41365</v>
      </c>
      <c r="M491" t="s">
        <v>3862</v>
      </c>
      <c r="N491">
        <v>0</v>
      </c>
      <c r="O491" t="s">
        <v>4903</v>
      </c>
      <c r="P491">
        <v>0</v>
      </c>
      <c r="Q491" t="s">
        <v>4903</v>
      </c>
      <c r="R491" t="s">
        <v>1605</v>
      </c>
    </row>
    <row r="492" spans="1:18" hidden="1" x14ac:dyDescent="0.25">
      <c r="A492" t="s">
        <v>1830</v>
      </c>
      <c r="B492" t="s">
        <v>47</v>
      </c>
      <c r="C492" t="s">
        <v>48</v>
      </c>
      <c r="D492" t="s">
        <v>32</v>
      </c>
      <c r="E492" t="s">
        <v>305</v>
      </c>
      <c r="F492" t="s">
        <v>152</v>
      </c>
      <c r="G492" t="s">
        <v>2784</v>
      </c>
      <c r="H492" s="15">
        <v>867203</v>
      </c>
      <c r="I492" s="15">
        <v>0</v>
      </c>
      <c r="J492" t="s">
        <v>20</v>
      </c>
      <c r="K492" t="s">
        <v>28</v>
      </c>
      <c r="L492" s="2">
        <v>41365</v>
      </c>
      <c r="M492" t="s">
        <v>2785</v>
      </c>
      <c r="N492">
        <v>1</v>
      </c>
      <c r="O492" t="s">
        <v>4903</v>
      </c>
      <c r="P492">
        <v>0</v>
      </c>
      <c r="Q492" t="s">
        <v>4903</v>
      </c>
      <c r="R492" t="s">
        <v>1830</v>
      </c>
    </row>
    <row r="493" spans="1:18" hidden="1" x14ac:dyDescent="0.25">
      <c r="A493" t="s">
        <v>4305</v>
      </c>
      <c r="B493" t="s">
        <v>103</v>
      </c>
      <c r="C493" t="s">
        <v>15</v>
      </c>
      <c r="D493" t="s">
        <v>85</v>
      </c>
      <c r="E493" t="s">
        <v>157</v>
      </c>
      <c r="F493" t="s">
        <v>87</v>
      </c>
      <c r="G493" t="s">
        <v>4306</v>
      </c>
      <c r="H493" s="15">
        <v>300000</v>
      </c>
      <c r="I493" s="15">
        <v>0</v>
      </c>
      <c r="J493" t="s">
        <v>89</v>
      </c>
      <c r="K493" t="s">
        <v>21</v>
      </c>
      <c r="L493" s="2">
        <v>41365</v>
      </c>
      <c r="M493" t="s">
        <v>4307</v>
      </c>
      <c r="N493">
        <v>0</v>
      </c>
      <c r="O493" t="s">
        <v>4903</v>
      </c>
      <c r="P493">
        <v>0</v>
      </c>
      <c r="Q493" t="s">
        <v>4903</v>
      </c>
      <c r="R493" t="s">
        <v>4305</v>
      </c>
    </row>
    <row r="494" spans="1:18" hidden="1" x14ac:dyDescent="0.25">
      <c r="A494" t="s">
        <v>3452</v>
      </c>
      <c r="B494" t="s">
        <v>47</v>
      </c>
      <c r="C494" t="s">
        <v>48</v>
      </c>
      <c r="D494" t="s">
        <v>85</v>
      </c>
      <c r="E494" t="s">
        <v>157</v>
      </c>
      <c r="F494" t="s">
        <v>87</v>
      </c>
      <c r="G494" t="s">
        <v>3453</v>
      </c>
      <c r="H494" s="15">
        <v>452322</v>
      </c>
      <c r="I494" s="15">
        <v>0</v>
      </c>
      <c r="J494" t="s">
        <v>89</v>
      </c>
      <c r="K494" t="s">
        <v>28</v>
      </c>
      <c r="L494" s="2">
        <v>41365</v>
      </c>
      <c r="M494" t="s">
        <v>3454</v>
      </c>
      <c r="N494">
        <v>0</v>
      </c>
      <c r="O494" t="s">
        <v>4903</v>
      </c>
      <c r="P494">
        <v>0</v>
      </c>
      <c r="Q494" t="s">
        <v>4903</v>
      </c>
      <c r="R494" t="s">
        <v>3452</v>
      </c>
    </row>
    <row r="495" spans="1:18" hidden="1" x14ac:dyDescent="0.25">
      <c r="A495" t="s">
        <v>2441</v>
      </c>
      <c r="B495" t="s">
        <v>103</v>
      </c>
      <c r="C495" t="s">
        <v>15</v>
      </c>
      <c r="D495" t="s">
        <v>96</v>
      </c>
      <c r="E495" t="s">
        <v>1554</v>
      </c>
      <c r="F495" t="s">
        <v>98</v>
      </c>
      <c r="G495" t="s">
        <v>2442</v>
      </c>
      <c r="H495" s="15">
        <v>999330</v>
      </c>
      <c r="I495" s="15">
        <v>0</v>
      </c>
      <c r="J495" t="s">
        <v>154</v>
      </c>
      <c r="K495" t="s">
        <v>326</v>
      </c>
      <c r="L495" s="2">
        <v>41365</v>
      </c>
      <c r="M495" t="s">
        <v>2443</v>
      </c>
      <c r="N495">
        <v>3</v>
      </c>
      <c r="O495" t="s">
        <v>4903</v>
      </c>
      <c r="P495">
        <v>0</v>
      </c>
      <c r="Q495" t="s">
        <v>4903</v>
      </c>
      <c r="R495" t="s">
        <v>2441</v>
      </c>
    </row>
    <row r="496" spans="1:18" hidden="1" x14ac:dyDescent="0.25">
      <c r="A496" t="s">
        <v>933</v>
      </c>
      <c r="B496" t="s">
        <v>161</v>
      </c>
      <c r="C496" t="s">
        <v>39</v>
      </c>
      <c r="D496" t="s">
        <v>85</v>
      </c>
      <c r="E496" t="s">
        <v>157</v>
      </c>
      <c r="F496" t="s">
        <v>87</v>
      </c>
      <c r="G496" t="s">
        <v>934</v>
      </c>
      <c r="H496" s="15">
        <v>328059</v>
      </c>
      <c r="I496" s="15">
        <v>0</v>
      </c>
      <c r="J496" t="s">
        <v>89</v>
      </c>
      <c r="K496" t="s">
        <v>57</v>
      </c>
      <c r="L496" s="2">
        <v>41365</v>
      </c>
      <c r="M496" t="s">
        <v>935</v>
      </c>
      <c r="N496">
        <v>0</v>
      </c>
      <c r="O496" t="s">
        <v>4903</v>
      </c>
      <c r="P496">
        <v>0</v>
      </c>
      <c r="Q496" t="s">
        <v>4903</v>
      </c>
      <c r="R496" t="s">
        <v>933</v>
      </c>
    </row>
    <row r="497" spans="1:18" hidden="1" x14ac:dyDescent="0.25">
      <c r="A497" t="s">
        <v>4682</v>
      </c>
      <c r="B497" t="s">
        <v>47</v>
      </c>
      <c r="C497" t="s">
        <v>48</v>
      </c>
      <c r="D497" t="s">
        <v>85</v>
      </c>
      <c r="E497" t="s">
        <v>157</v>
      </c>
      <c r="F497" t="s">
        <v>87</v>
      </c>
      <c r="G497" t="s">
        <v>4683</v>
      </c>
      <c r="H497" s="15">
        <v>313100</v>
      </c>
      <c r="I497" s="15">
        <v>0</v>
      </c>
      <c r="J497" t="s">
        <v>89</v>
      </c>
      <c r="K497" t="s">
        <v>21</v>
      </c>
      <c r="L497" s="2">
        <v>41365</v>
      </c>
      <c r="M497" t="s">
        <v>4684</v>
      </c>
      <c r="N497">
        <v>0</v>
      </c>
      <c r="O497" t="s">
        <v>4903</v>
      </c>
      <c r="P497">
        <v>0</v>
      </c>
      <c r="Q497" t="s">
        <v>4903</v>
      </c>
      <c r="R497" t="s">
        <v>4682</v>
      </c>
    </row>
    <row r="498" spans="1:18" hidden="1" x14ac:dyDescent="0.25">
      <c r="A498" t="s">
        <v>417</v>
      </c>
      <c r="B498" t="s">
        <v>84</v>
      </c>
      <c r="C498" t="s">
        <v>15</v>
      </c>
      <c r="D498" t="s">
        <v>85</v>
      </c>
      <c r="E498" t="s">
        <v>157</v>
      </c>
      <c r="F498" t="s">
        <v>87</v>
      </c>
      <c r="G498" t="s">
        <v>2354</v>
      </c>
      <c r="H498" s="15">
        <v>325530</v>
      </c>
      <c r="I498" s="15">
        <v>0</v>
      </c>
      <c r="J498" t="s">
        <v>89</v>
      </c>
      <c r="K498" t="s">
        <v>28</v>
      </c>
      <c r="L498" s="2">
        <v>41365</v>
      </c>
      <c r="M498" t="s">
        <v>2355</v>
      </c>
      <c r="N498">
        <v>0</v>
      </c>
      <c r="O498" t="s">
        <v>4903</v>
      </c>
      <c r="P498">
        <v>0</v>
      </c>
      <c r="Q498" t="s">
        <v>4903</v>
      </c>
      <c r="R498" t="s">
        <v>417</v>
      </c>
    </row>
    <row r="499" spans="1:18" hidden="1" x14ac:dyDescent="0.25">
      <c r="A499" t="s">
        <v>1722</v>
      </c>
      <c r="B499" t="s">
        <v>84</v>
      </c>
      <c r="C499" t="s">
        <v>15</v>
      </c>
      <c r="D499" t="s">
        <v>32</v>
      </c>
      <c r="E499" t="s">
        <v>305</v>
      </c>
      <c r="F499" t="s">
        <v>18</v>
      </c>
      <c r="G499" t="s">
        <v>1723</v>
      </c>
      <c r="H499" s="15">
        <v>523039</v>
      </c>
      <c r="I499" s="15">
        <v>0</v>
      </c>
      <c r="J499" t="s">
        <v>154</v>
      </c>
      <c r="K499" t="s">
        <v>21</v>
      </c>
      <c r="L499" s="2">
        <v>41365</v>
      </c>
      <c r="M499" t="s">
        <v>1724</v>
      </c>
      <c r="N499">
        <v>3</v>
      </c>
      <c r="O499" t="s">
        <v>4903</v>
      </c>
      <c r="P499">
        <v>0</v>
      </c>
      <c r="Q499" t="s">
        <v>4903</v>
      </c>
      <c r="R499" t="s">
        <v>1722</v>
      </c>
    </row>
    <row r="500" spans="1:18" hidden="1" x14ac:dyDescent="0.25">
      <c r="A500" t="s">
        <v>2030</v>
      </c>
      <c r="B500" t="s">
        <v>47</v>
      </c>
      <c r="C500" t="s">
        <v>48</v>
      </c>
      <c r="D500" t="s">
        <v>32</v>
      </c>
      <c r="E500" t="s">
        <v>305</v>
      </c>
      <c r="F500" t="s">
        <v>152</v>
      </c>
      <c r="G500" t="s">
        <v>2216</v>
      </c>
      <c r="H500" s="15">
        <v>582966</v>
      </c>
      <c r="I500" s="15">
        <v>0</v>
      </c>
      <c r="J500" t="s">
        <v>20</v>
      </c>
      <c r="K500" t="s">
        <v>28</v>
      </c>
      <c r="L500" s="2">
        <v>41365</v>
      </c>
      <c r="M500" t="s">
        <v>2217</v>
      </c>
      <c r="N500">
        <v>0</v>
      </c>
      <c r="O500" t="s">
        <v>4903</v>
      </c>
      <c r="P500">
        <v>0</v>
      </c>
      <c r="Q500" t="s">
        <v>4903</v>
      </c>
      <c r="R500" t="s">
        <v>2030</v>
      </c>
    </row>
    <row r="501" spans="1:18" hidden="1" x14ac:dyDescent="0.25">
      <c r="A501" t="s">
        <v>3025</v>
      </c>
      <c r="B501" t="s">
        <v>315</v>
      </c>
      <c r="C501" t="s">
        <v>39</v>
      </c>
      <c r="D501" t="s">
        <v>85</v>
      </c>
      <c r="E501" t="s">
        <v>157</v>
      </c>
      <c r="F501" t="s">
        <v>87</v>
      </c>
      <c r="G501" t="s">
        <v>3026</v>
      </c>
      <c r="H501" s="15">
        <v>219185</v>
      </c>
      <c r="I501" s="15">
        <v>0</v>
      </c>
      <c r="J501" t="s">
        <v>89</v>
      </c>
      <c r="K501" t="s">
        <v>57</v>
      </c>
      <c r="L501" s="2">
        <v>41365</v>
      </c>
      <c r="M501" t="s">
        <v>3027</v>
      </c>
      <c r="N501">
        <v>0</v>
      </c>
      <c r="O501" t="s">
        <v>4903</v>
      </c>
      <c r="P501">
        <v>0</v>
      </c>
      <c r="Q501" t="s">
        <v>4903</v>
      </c>
      <c r="R501" t="s">
        <v>3025</v>
      </c>
    </row>
    <row r="502" spans="1:18" hidden="1" x14ac:dyDescent="0.25">
      <c r="A502" t="s">
        <v>304</v>
      </c>
      <c r="B502" t="s">
        <v>47</v>
      </c>
      <c r="C502" t="s">
        <v>48</v>
      </c>
      <c r="D502" t="s">
        <v>32</v>
      </c>
      <c r="E502" t="s">
        <v>305</v>
      </c>
      <c r="F502" t="s">
        <v>140</v>
      </c>
      <c r="G502" t="s">
        <v>306</v>
      </c>
      <c r="H502" s="15">
        <v>352260</v>
      </c>
      <c r="I502" s="15">
        <v>0</v>
      </c>
      <c r="J502" t="s">
        <v>89</v>
      </c>
      <c r="K502" t="s">
        <v>28</v>
      </c>
      <c r="L502" s="2">
        <v>41365</v>
      </c>
      <c r="M502" t="s">
        <v>307</v>
      </c>
      <c r="N502">
        <v>0</v>
      </c>
      <c r="O502" t="s">
        <v>4903</v>
      </c>
      <c r="P502">
        <v>0</v>
      </c>
      <c r="Q502" t="s">
        <v>4903</v>
      </c>
      <c r="R502" t="s">
        <v>304</v>
      </c>
    </row>
    <row r="503" spans="1:18" hidden="1" x14ac:dyDescent="0.25">
      <c r="A503" t="s">
        <v>3659</v>
      </c>
      <c r="B503" t="s">
        <v>47</v>
      </c>
      <c r="C503" t="s">
        <v>48</v>
      </c>
      <c r="D503" t="s">
        <v>32</v>
      </c>
      <c r="E503" t="s">
        <v>305</v>
      </c>
      <c r="F503" t="s">
        <v>34</v>
      </c>
      <c r="G503" t="s">
        <v>4609</v>
      </c>
      <c r="H503" s="15">
        <v>434490</v>
      </c>
      <c r="I503" s="15">
        <v>0</v>
      </c>
      <c r="J503" t="s">
        <v>154</v>
      </c>
      <c r="K503" t="s">
        <v>65</v>
      </c>
      <c r="L503" s="2">
        <v>41365</v>
      </c>
      <c r="M503" t="s">
        <v>4610</v>
      </c>
      <c r="N503">
        <v>2</v>
      </c>
      <c r="O503" t="s">
        <v>4903</v>
      </c>
      <c r="P503">
        <v>0</v>
      </c>
      <c r="Q503" t="s">
        <v>4903</v>
      </c>
      <c r="R503" t="s">
        <v>3659</v>
      </c>
    </row>
    <row r="504" spans="1:18" hidden="1" x14ac:dyDescent="0.25">
      <c r="A504" t="s">
        <v>3496</v>
      </c>
      <c r="B504" t="s">
        <v>47</v>
      </c>
      <c r="C504" t="s">
        <v>48</v>
      </c>
      <c r="D504" t="s">
        <v>32</v>
      </c>
      <c r="E504" t="s">
        <v>305</v>
      </c>
      <c r="F504" t="s">
        <v>140</v>
      </c>
      <c r="G504" t="s">
        <v>3497</v>
      </c>
      <c r="H504" s="15">
        <v>754756</v>
      </c>
      <c r="I504" s="15">
        <v>0</v>
      </c>
      <c r="J504" t="s">
        <v>20</v>
      </c>
      <c r="K504" t="s">
        <v>28</v>
      </c>
      <c r="L504" s="2">
        <v>41365</v>
      </c>
      <c r="M504" t="s">
        <v>3498</v>
      </c>
      <c r="N504">
        <v>1</v>
      </c>
      <c r="O504" t="s">
        <v>4903</v>
      </c>
      <c r="P504">
        <v>0</v>
      </c>
      <c r="Q504" t="s">
        <v>4903</v>
      </c>
      <c r="R504" t="s">
        <v>3496</v>
      </c>
    </row>
    <row r="505" spans="1:18" hidden="1" x14ac:dyDescent="0.25">
      <c r="A505" t="s">
        <v>2544</v>
      </c>
      <c r="B505" t="s">
        <v>614</v>
      </c>
      <c r="C505" t="s">
        <v>39</v>
      </c>
      <c r="D505" t="s">
        <v>32</v>
      </c>
      <c r="E505" t="s">
        <v>305</v>
      </c>
      <c r="F505" t="s">
        <v>34</v>
      </c>
      <c r="G505" t="s">
        <v>3944</v>
      </c>
      <c r="H505" s="15">
        <v>670172</v>
      </c>
      <c r="I505" s="15">
        <v>0</v>
      </c>
      <c r="J505" t="s">
        <v>20</v>
      </c>
      <c r="K505" t="s">
        <v>28</v>
      </c>
      <c r="L505" s="2">
        <v>41365</v>
      </c>
      <c r="M505" t="s">
        <v>3945</v>
      </c>
      <c r="N505">
        <v>0</v>
      </c>
      <c r="O505" t="s">
        <v>4903</v>
      </c>
      <c r="P505">
        <v>0</v>
      </c>
      <c r="Q505" t="s">
        <v>4903</v>
      </c>
      <c r="R505" t="s">
        <v>2544</v>
      </c>
    </row>
    <row r="506" spans="1:18" hidden="1" x14ac:dyDescent="0.25">
      <c r="A506" t="s">
        <v>2397</v>
      </c>
      <c r="B506" t="s">
        <v>14</v>
      </c>
      <c r="C506" t="s">
        <v>15</v>
      </c>
      <c r="D506" t="s">
        <v>32</v>
      </c>
      <c r="E506" t="s">
        <v>305</v>
      </c>
      <c r="F506" t="s">
        <v>26</v>
      </c>
      <c r="G506" t="s">
        <v>2398</v>
      </c>
      <c r="H506" s="15">
        <v>714400</v>
      </c>
      <c r="I506" s="15">
        <v>0</v>
      </c>
      <c r="J506" t="s">
        <v>20</v>
      </c>
      <c r="K506" t="s">
        <v>28</v>
      </c>
      <c r="L506" s="2">
        <v>41365</v>
      </c>
      <c r="M506" t="s">
        <v>2399</v>
      </c>
      <c r="N506">
        <v>1</v>
      </c>
      <c r="O506" t="s">
        <v>4903</v>
      </c>
      <c r="P506">
        <v>0</v>
      </c>
      <c r="Q506" t="s">
        <v>4903</v>
      </c>
      <c r="R506" t="s">
        <v>2397</v>
      </c>
    </row>
    <row r="507" spans="1:18" hidden="1" x14ac:dyDescent="0.25">
      <c r="A507" t="s">
        <v>752</v>
      </c>
      <c r="B507" t="s">
        <v>84</v>
      </c>
      <c r="C507" t="s">
        <v>15</v>
      </c>
      <c r="D507" t="s">
        <v>85</v>
      </c>
      <c r="E507" t="s">
        <v>157</v>
      </c>
      <c r="F507" t="s">
        <v>87</v>
      </c>
      <c r="G507" t="s">
        <v>1195</v>
      </c>
      <c r="H507" s="15">
        <v>479799</v>
      </c>
      <c r="I507" s="15">
        <v>0</v>
      </c>
      <c r="J507" t="s">
        <v>89</v>
      </c>
      <c r="K507" t="s">
        <v>28</v>
      </c>
      <c r="L507" s="2">
        <v>41365</v>
      </c>
      <c r="M507" t="s">
        <v>1196</v>
      </c>
      <c r="N507">
        <v>5</v>
      </c>
      <c r="O507" t="s">
        <v>4903</v>
      </c>
      <c r="P507">
        <v>0</v>
      </c>
      <c r="Q507" t="s">
        <v>4903</v>
      </c>
      <c r="R507" t="s">
        <v>752</v>
      </c>
    </row>
    <row r="508" spans="1:18" hidden="1" x14ac:dyDescent="0.25">
      <c r="A508" t="s">
        <v>2492</v>
      </c>
      <c r="B508" t="s">
        <v>61</v>
      </c>
      <c r="C508" t="s">
        <v>62</v>
      </c>
      <c r="D508" t="s">
        <v>32</v>
      </c>
      <c r="E508" t="s">
        <v>305</v>
      </c>
      <c r="F508" t="s">
        <v>18</v>
      </c>
      <c r="G508" t="s">
        <v>4347</v>
      </c>
      <c r="H508" s="15">
        <v>665010</v>
      </c>
      <c r="I508" s="15">
        <v>0</v>
      </c>
      <c r="J508" t="s">
        <v>20</v>
      </c>
      <c r="K508" t="s">
        <v>65</v>
      </c>
      <c r="L508" s="2">
        <v>41365</v>
      </c>
      <c r="M508" t="s">
        <v>4348</v>
      </c>
      <c r="N508">
        <v>0</v>
      </c>
      <c r="O508" t="s">
        <v>4903</v>
      </c>
      <c r="P508">
        <v>0</v>
      </c>
      <c r="Q508" t="s">
        <v>4903</v>
      </c>
      <c r="R508" t="s">
        <v>2492</v>
      </c>
    </row>
    <row r="509" spans="1:18" hidden="1" x14ac:dyDescent="0.25">
      <c r="A509" t="s">
        <v>1591</v>
      </c>
      <c r="B509" t="s">
        <v>315</v>
      </c>
      <c r="C509" t="s">
        <v>39</v>
      </c>
      <c r="D509" t="s">
        <v>85</v>
      </c>
      <c r="E509" t="s">
        <v>157</v>
      </c>
      <c r="F509" t="s">
        <v>87</v>
      </c>
      <c r="G509" t="s">
        <v>1592</v>
      </c>
      <c r="H509" s="15">
        <v>400000</v>
      </c>
      <c r="I509" s="15">
        <v>0</v>
      </c>
      <c r="J509" t="s">
        <v>89</v>
      </c>
      <c r="K509" t="s">
        <v>28</v>
      </c>
      <c r="L509" s="2">
        <v>41365</v>
      </c>
      <c r="M509" t="s">
        <v>1593</v>
      </c>
      <c r="N509">
        <v>0</v>
      </c>
      <c r="O509" t="s">
        <v>4903</v>
      </c>
      <c r="P509">
        <v>0</v>
      </c>
      <c r="Q509" t="s">
        <v>4903</v>
      </c>
      <c r="R509" t="s">
        <v>1591</v>
      </c>
    </row>
    <row r="510" spans="1:18" hidden="1" x14ac:dyDescent="0.25">
      <c r="A510" t="s">
        <v>979</v>
      </c>
      <c r="B510" t="s">
        <v>24</v>
      </c>
      <c r="C510" t="s">
        <v>15</v>
      </c>
      <c r="D510" t="s">
        <v>32</v>
      </c>
      <c r="E510" t="s">
        <v>305</v>
      </c>
      <c r="F510" t="s">
        <v>34</v>
      </c>
      <c r="G510" t="s">
        <v>1839</v>
      </c>
      <c r="H510" s="15">
        <v>540084</v>
      </c>
      <c r="I510" s="15">
        <v>0</v>
      </c>
      <c r="J510" t="s">
        <v>154</v>
      </c>
      <c r="K510" t="s">
        <v>28</v>
      </c>
      <c r="L510" s="2">
        <v>41365</v>
      </c>
      <c r="M510" t="s">
        <v>1840</v>
      </c>
      <c r="N510">
        <v>0</v>
      </c>
      <c r="O510" t="s">
        <v>4903</v>
      </c>
      <c r="P510">
        <v>0</v>
      </c>
      <c r="Q510" t="s">
        <v>4903</v>
      </c>
      <c r="R510" t="s">
        <v>979</v>
      </c>
    </row>
    <row r="511" spans="1:18" hidden="1" x14ac:dyDescent="0.25">
      <c r="A511" t="s">
        <v>2025</v>
      </c>
      <c r="B511" t="s">
        <v>47</v>
      </c>
      <c r="C511" t="s">
        <v>48</v>
      </c>
      <c r="D511" t="s">
        <v>85</v>
      </c>
      <c r="E511" t="s">
        <v>157</v>
      </c>
      <c r="F511" t="s">
        <v>87</v>
      </c>
      <c r="G511" t="s">
        <v>3398</v>
      </c>
      <c r="H511" s="15">
        <v>172625</v>
      </c>
      <c r="I511" s="15">
        <v>0</v>
      </c>
      <c r="J511" t="s">
        <v>89</v>
      </c>
      <c r="K511" t="s">
        <v>28</v>
      </c>
      <c r="L511" s="2">
        <v>41365</v>
      </c>
      <c r="M511" t="s">
        <v>3399</v>
      </c>
      <c r="N511">
        <v>0</v>
      </c>
      <c r="O511" t="s">
        <v>4903</v>
      </c>
      <c r="P511">
        <v>0</v>
      </c>
      <c r="Q511" t="s">
        <v>4903</v>
      </c>
      <c r="R511" t="s">
        <v>2025</v>
      </c>
    </row>
    <row r="512" spans="1:18" hidden="1" x14ac:dyDescent="0.25">
      <c r="A512" t="s">
        <v>474</v>
      </c>
      <c r="B512" t="s">
        <v>406</v>
      </c>
      <c r="C512" t="s">
        <v>62</v>
      </c>
      <c r="D512" t="s">
        <v>85</v>
      </c>
      <c r="E512" t="s">
        <v>157</v>
      </c>
      <c r="F512" t="s">
        <v>87</v>
      </c>
      <c r="G512" t="s">
        <v>475</v>
      </c>
      <c r="H512" s="15">
        <v>147327</v>
      </c>
      <c r="I512" s="15">
        <v>0</v>
      </c>
      <c r="J512" t="s">
        <v>89</v>
      </c>
      <c r="K512" t="s">
        <v>28</v>
      </c>
      <c r="L512" s="2">
        <v>41365</v>
      </c>
      <c r="M512" t="s">
        <v>476</v>
      </c>
      <c r="N512">
        <v>1</v>
      </c>
      <c r="O512" t="s">
        <v>4903</v>
      </c>
      <c r="P512">
        <v>0</v>
      </c>
      <c r="Q512" t="s">
        <v>4903</v>
      </c>
      <c r="R512" t="s">
        <v>474</v>
      </c>
    </row>
    <row r="513" spans="1:18" hidden="1" x14ac:dyDescent="0.25">
      <c r="A513" t="s">
        <v>3137</v>
      </c>
      <c r="B513" t="s">
        <v>47</v>
      </c>
      <c r="C513" t="s">
        <v>48</v>
      </c>
      <c r="D513" t="s">
        <v>85</v>
      </c>
      <c r="E513" t="s">
        <v>157</v>
      </c>
      <c r="F513" t="s">
        <v>87</v>
      </c>
      <c r="G513" t="s">
        <v>3138</v>
      </c>
      <c r="H513" s="15">
        <v>206647</v>
      </c>
      <c r="I513" s="15">
        <v>0</v>
      </c>
      <c r="J513" t="s">
        <v>89</v>
      </c>
      <c r="K513" t="s">
        <v>148</v>
      </c>
      <c r="L513" s="2">
        <v>41365</v>
      </c>
      <c r="M513" t="s">
        <v>3139</v>
      </c>
      <c r="N513">
        <v>0</v>
      </c>
      <c r="O513" t="s">
        <v>4903</v>
      </c>
      <c r="P513">
        <v>0</v>
      </c>
      <c r="Q513" t="s">
        <v>4903</v>
      </c>
      <c r="R513" t="s">
        <v>3137</v>
      </c>
    </row>
    <row r="514" spans="1:18" hidden="1" x14ac:dyDescent="0.25">
      <c r="A514" t="s">
        <v>3258</v>
      </c>
      <c r="B514" t="s">
        <v>14</v>
      </c>
      <c r="C514" t="s">
        <v>15</v>
      </c>
      <c r="D514" t="s">
        <v>32</v>
      </c>
      <c r="E514" t="s">
        <v>305</v>
      </c>
      <c r="F514" t="s">
        <v>34</v>
      </c>
      <c r="G514" t="s">
        <v>3259</v>
      </c>
      <c r="H514" s="15">
        <v>500960</v>
      </c>
      <c r="I514" s="15">
        <v>0</v>
      </c>
      <c r="J514" t="s">
        <v>20</v>
      </c>
      <c r="K514" t="s">
        <v>28</v>
      </c>
      <c r="L514" s="2">
        <v>41365</v>
      </c>
      <c r="M514" t="s">
        <v>3260</v>
      </c>
      <c r="N514">
        <v>0</v>
      </c>
      <c r="O514" t="s">
        <v>4903</v>
      </c>
      <c r="P514">
        <v>0</v>
      </c>
      <c r="Q514" t="s">
        <v>4903</v>
      </c>
      <c r="R514" t="s">
        <v>3258</v>
      </c>
    </row>
    <row r="515" spans="1:18" hidden="1" x14ac:dyDescent="0.25">
      <c r="A515" t="s">
        <v>2319</v>
      </c>
      <c r="B515" t="s">
        <v>24</v>
      </c>
      <c r="C515" t="s">
        <v>15</v>
      </c>
      <c r="D515" t="s">
        <v>32</v>
      </c>
      <c r="E515" t="s">
        <v>305</v>
      </c>
      <c r="F515" t="s">
        <v>18</v>
      </c>
      <c r="G515" t="s">
        <v>2320</v>
      </c>
      <c r="H515" s="15">
        <v>720465</v>
      </c>
      <c r="I515" s="15">
        <v>0</v>
      </c>
      <c r="J515" t="s">
        <v>20</v>
      </c>
      <c r="K515" t="s">
        <v>28</v>
      </c>
      <c r="L515" s="2">
        <v>41365</v>
      </c>
      <c r="M515" t="s">
        <v>2321</v>
      </c>
      <c r="N515">
        <v>0</v>
      </c>
      <c r="O515" t="s">
        <v>4903</v>
      </c>
      <c r="P515">
        <v>0</v>
      </c>
      <c r="Q515" t="s">
        <v>4903</v>
      </c>
      <c r="R515" t="s">
        <v>2319</v>
      </c>
    </row>
    <row r="516" spans="1:18" hidden="1" x14ac:dyDescent="0.25">
      <c r="A516" t="s">
        <v>2649</v>
      </c>
      <c r="B516" t="s">
        <v>24</v>
      </c>
      <c r="C516" t="s">
        <v>15</v>
      </c>
      <c r="D516" t="s">
        <v>32</v>
      </c>
      <c r="E516" t="s">
        <v>305</v>
      </c>
      <c r="F516" t="s">
        <v>34</v>
      </c>
      <c r="G516" t="s">
        <v>2965</v>
      </c>
      <c r="H516" s="15">
        <v>562215</v>
      </c>
      <c r="I516" s="15">
        <v>0</v>
      </c>
      <c r="J516" t="s">
        <v>20</v>
      </c>
      <c r="K516" t="s">
        <v>21</v>
      </c>
      <c r="L516" s="2">
        <v>41365</v>
      </c>
      <c r="M516" t="s">
        <v>2966</v>
      </c>
      <c r="N516">
        <v>0</v>
      </c>
      <c r="O516" t="s">
        <v>4903</v>
      </c>
      <c r="P516">
        <v>0</v>
      </c>
      <c r="Q516" t="s">
        <v>4903</v>
      </c>
      <c r="R516" t="s">
        <v>2649</v>
      </c>
    </row>
    <row r="517" spans="1:18" hidden="1" x14ac:dyDescent="0.25">
      <c r="A517" t="s">
        <v>664</v>
      </c>
      <c r="B517" t="s">
        <v>103</v>
      </c>
      <c r="C517" t="s">
        <v>15</v>
      </c>
      <c r="D517" t="s">
        <v>85</v>
      </c>
      <c r="E517" t="s">
        <v>157</v>
      </c>
      <c r="F517" t="s">
        <v>87</v>
      </c>
      <c r="G517" t="s">
        <v>665</v>
      </c>
      <c r="H517" s="15">
        <v>486740</v>
      </c>
      <c r="I517" s="15">
        <v>0</v>
      </c>
      <c r="J517" t="s">
        <v>89</v>
      </c>
      <c r="K517" t="s">
        <v>134</v>
      </c>
      <c r="L517" s="2">
        <v>41365</v>
      </c>
      <c r="M517" t="s">
        <v>666</v>
      </c>
      <c r="N517">
        <v>1</v>
      </c>
      <c r="O517" t="s">
        <v>4903</v>
      </c>
      <c r="P517">
        <v>0</v>
      </c>
      <c r="Q517" t="s">
        <v>4903</v>
      </c>
      <c r="R517" t="s">
        <v>664</v>
      </c>
    </row>
    <row r="518" spans="1:18" hidden="1" x14ac:dyDescent="0.25">
      <c r="A518" t="s">
        <v>1659</v>
      </c>
      <c r="B518" t="s">
        <v>103</v>
      </c>
      <c r="C518" t="s">
        <v>15</v>
      </c>
      <c r="D518" t="s">
        <v>32</v>
      </c>
      <c r="E518" t="s">
        <v>305</v>
      </c>
      <c r="F518" t="s">
        <v>152</v>
      </c>
      <c r="G518" t="s">
        <v>1927</v>
      </c>
      <c r="H518" s="15">
        <v>813505</v>
      </c>
      <c r="I518" s="15">
        <v>0</v>
      </c>
      <c r="J518" t="s">
        <v>20</v>
      </c>
      <c r="K518" t="s">
        <v>28</v>
      </c>
      <c r="L518" s="2">
        <v>41365</v>
      </c>
      <c r="M518" t="s">
        <v>1928</v>
      </c>
      <c r="N518">
        <v>0</v>
      </c>
      <c r="O518" t="s">
        <v>4903</v>
      </c>
      <c r="P518">
        <v>0</v>
      </c>
      <c r="Q518" t="s">
        <v>4903</v>
      </c>
      <c r="R518" t="s">
        <v>1659</v>
      </c>
    </row>
    <row r="519" spans="1:18" hidden="1" x14ac:dyDescent="0.25">
      <c r="A519" t="s">
        <v>4459</v>
      </c>
      <c r="B519" t="s">
        <v>4460</v>
      </c>
      <c r="C519" t="s">
        <v>62</v>
      </c>
      <c r="D519" t="s">
        <v>512</v>
      </c>
      <c r="E519" t="s">
        <v>513</v>
      </c>
      <c r="F519" t="s">
        <v>146</v>
      </c>
      <c r="G519" t="s">
        <v>4461</v>
      </c>
      <c r="H519" s="15">
        <v>98968</v>
      </c>
      <c r="I519" s="15">
        <v>0</v>
      </c>
      <c r="J519" t="s">
        <v>44</v>
      </c>
      <c r="K519" t="s">
        <v>148</v>
      </c>
      <c r="L519" s="2">
        <v>41518</v>
      </c>
      <c r="M519" t="s">
        <v>4462</v>
      </c>
      <c r="N519">
        <v>0</v>
      </c>
      <c r="O519" t="s">
        <v>4903</v>
      </c>
      <c r="P519">
        <v>0</v>
      </c>
      <c r="Q519" t="s">
        <v>4903</v>
      </c>
      <c r="R519" t="s">
        <v>4459</v>
      </c>
    </row>
    <row r="520" spans="1:18" hidden="1" x14ac:dyDescent="0.25">
      <c r="A520" t="s">
        <v>2657</v>
      </c>
      <c r="B520" t="s">
        <v>315</v>
      </c>
      <c r="C520" t="s">
        <v>39</v>
      </c>
      <c r="D520" t="s">
        <v>32</v>
      </c>
      <c r="E520" t="s">
        <v>232</v>
      </c>
      <c r="F520" t="s">
        <v>34</v>
      </c>
      <c r="G520" t="s">
        <v>2658</v>
      </c>
      <c r="H520" s="15">
        <v>698337</v>
      </c>
      <c r="I520" s="15">
        <v>0</v>
      </c>
      <c r="J520" t="s">
        <v>20</v>
      </c>
      <c r="K520" t="s">
        <v>116</v>
      </c>
      <c r="L520" s="2">
        <v>41548</v>
      </c>
      <c r="M520" t="s">
        <v>2659</v>
      </c>
      <c r="N520">
        <v>0</v>
      </c>
      <c r="O520" t="s">
        <v>4903</v>
      </c>
      <c r="P520">
        <v>0</v>
      </c>
      <c r="Q520" t="s">
        <v>4903</v>
      </c>
      <c r="R520" t="s">
        <v>2657</v>
      </c>
    </row>
    <row r="521" spans="1:18" hidden="1" x14ac:dyDescent="0.25">
      <c r="A521" t="s">
        <v>1454</v>
      </c>
      <c r="B521" t="s">
        <v>406</v>
      </c>
      <c r="C521" t="s">
        <v>62</v>
      </c>
      <c r="D521" t="s">
        <v>351</v>
      </c>
      <c r="E521" t="s">
        <v>352</v>
      </c>
      <c r="F521" t="s">
        <v>353</v>
      </c>
      <c r="G521" t="s">
        <v>2437</v>
      </c>
      <c r="H521" s="15">
        <v>215821</v>
      </c>
      <c r="I521" s="15">
        <v>3000</v>
      </c>
      <c r="J521" t="s">
        <v>89</v>
      </c>
      <c r="K521" t="s">
        <v>100</v>
      </c>
      <c r="L521" s="2">
        <v>41548</v>
      </c>
      <c r="M521" t="s">
        <v>2438</v>
      </c>
      <c r="N521">
        <v>0</v>
      </c>
      <c r="O521" t="s">
        <v>4903</v>
      </c>
      <c r="P521">
        <v>0</v>
      </c>
      <c r="Q521" t="s">
        <v>4903</v>
      </c>
      <c r="R521" t="s">
        <v>1454</v>
      </c>
    </row>
    <row r="522" spans="1:18" hidden="1" x14ac:dyDescent="0.25">
      <c r="A522" t="s">
        <v>3858</v>
      </c>
      <c r="B522" t="s">
        <v>315</v>
      </c>
      <c r="C522" t="s">
        <v>39</v>
      </c>
      <c r="D522" t="s">
        <v>32</v>
      </c>
      <c r="E522" t="s">
        <v>232</v>
      </c>
      <c r="F522" t="s">
        <v>152</v>
      </c>
      <c r="G522" t="s">
        <v>3859</v>
      </c>
      <c r="H522" s="15">
        <v>767453</v>
      </c>
      <c r="I522" s="15">
        <v>0</v>
      </c>
      <c r="J522" t="s">
        <v>20</v>
      </c>
      <c r="K522" t="s">
        <v>28</v>
      </c>
      <c r="L522" s="2">
        <v>41548</v>
      </c>
      <c r="M522" t="s">
        <v>3860</v>
      </c>
      <c r="N522">
        <v>0</v>
      </c>
      <c r="O522" t="s">
        <v>4903</v>
      </c>
      <c r="P522">
        <v>0</v>
      </c>
      <c r="Q522" t="s">
        <v>4903</v>
      </c>
      <c r="R522" t="s">
        <v>3858</v>
      </c>
    </row>
    <row r="523" spans="1:18" hidden="1" x14ac:dyDescent="0.25">
      <c r="A523" t="s">
        <v>2519</v>
      </c>
      <c r="B523" t="s">
        <v>14</v>
      </c>
      <c r="C523" t="s">
        <v>15</v>
      </c>
      <c r="D523" t="s">
        <v>32</v>
      </c>
      <c r="E523" t="s">
        <v>232</v>
      </c>
      <c r="F523" t="s">
        <v>152</v>
      </c>
      <c r="G523" t="s">
        <v>2520</v>
      </c>
      <c r="H523" s="15">
        <v>673346</v>
      </c>
      <c r="I523" s="15">
        <v>0</v>
      </c>
      <c r="J523" t="s">
        <v>20</v>
      </c>
      <c r="K523" t="s">
        <v>28</v>
      </c>
      <c r="L523" s="2">
        <v>41548</v>
      </c>
      <c r="M523" t="s">
        <v>2521</v>
      </c>
      <c r="N523">
        <v>0</v>
      </c>
      <c r="O523" t="s">
        <v>4903</v>
      </c>
      <c r="P523">
        <v>0</v>
      </c>
      <c r="Q523" t="s">
        <v>4903</v>
      </c>
      <c r="R523" t="s">
        <v>2519</v>
      </c>
    </row>
    <row r="524" spans="1:18" hidden="1" x14ac:dyDescent="0.25">
      <c r="A524" t="s">
        <v>83</v>
      </c>
      <c r="B524" t="s">
        <v>84</v>
      </c>
      <c r="C524" t="s">
        <v>15</v>
      </c>
      <c r="D524" t="s">
        <v>32</v>
      </c>
      <c r="E524" t="s">
        <v>232</v>
      </c>
      <c r="F524" t="s">
        <v>18</v>
      </c>
      <c r="G524" t="s">
        <v>1708</v>
      </c>
      <c r="H524" s="15">
        <v>632126</v>
      </c>
      <c r="I524" s="15">
        <v>0</v>
      </c>
      <c r="J524" t="s">
        <v>20</v>
      </c>
      <c r="K524" t="s">
        <v>28</v>
      </c>
      <c r="L524" s="2">
        <v>41548</v>
      </c>
      <c r="M524" t="s">
        <v>1709</v>
      </c>
      <c r="N524">
        <v>0</v>
      </c>
      <c r="O524" t="s">
        <v>4903</v>
      </c>
      <c r="P524">
        <v>0</v>
      </c>
      <c r="Q524" t="s">
        <v>4903</v>
      </c>
      <c r="R524" t="s">
        <v>83</v>
      </c>
    </row>
    <row r="525" spans="1:18" hidden="1" x14ac:dyDescent="0.25">
      <c r="A525" t="s">
        <v>3216</v>
      </c>
      <c r="B525" t="s">
        <v>24</v>
      </c>
      <c r="C525" t="s">
        <v>15</v>
      </c>
      <c r="D525" t="s">
        <v>32</v>
      </c>
      <c r="E525" t="s">
        <v>232</v>
      </c>
      <c r="F525" t="s">
        <v>34</v>
      </c>
      <c r="G525" t="s">
        <v>3217</v>
      </c>
      <c r="H525" s="15">
        <v>706608</v>
      </c>
      <c r="I525" s="15">
        <v>0</v>
      </c>
      <c r="J525" t="s">
        <v>20</v>
      </c>
      <c r="K525" t="s">
        <v>28</v>
      </c>
      <c r="L525" s="2">
        <v>41548</v>
      </c>
      <c r="M525" t="s">
        <v>3218</v>
      </c>
      <c r="N525">
        <v>0</v>
      </c>
      <c r="O525" t="s">
        <v>4903</v>
      </c>
      <c r="P525">
        <v>0</v>
      </c>
      <c r="Q525" t="s">
        <v>4903</v>
      </c>
      <c r="R525" t="s">
        <v>3216</v>
      </c>
    </row>
    <row r="526" spans="1:18" hidden="1" x14ac:dyDescent="0.25">
      <c r="A526" t="s">
        <v>1499</v>
      </c>
      <c r="B526" t="s">
        <v>47</v>
      </c>
      <c r="C526" t="s">
        <v>48</v>
      </c>
      <c r="D526" t="s">
        <v>689</v>
      </c>
      <c r="E526" t="s">
        <v>3871</v>
      </c>
      <c r="F526" t="s">
        <v>152</v>
      </c>
      <c r="G526" t="s">
        <v>3872</v>
      </c>
      <c r="H526" s="15">
        <v>100000</v>
      </c>
      <c r="I526" s="15">
        <v>0</v>
      </c>
      <c r="J526" t="s">
        <v>44</v>
      </c>
      <c r="K526" t="s">
        <v>28</v>
      </c>
      <c r="L526" s="2">
        <v>41548</v>
      </c>
      <c r="M526" t="s">
        <v>3873</v>
      </c>
      <c r="N526">
        <v>0</v>
      </c>
      <c r="O526" t="s">
        <v>4903</v>
      </c>
      <c r="P526">
        <v>0</v>
      </c>
      <c r="Q526" t="s">
        <v>4903</v>
      </c>
      <c r="R526" t="s">
        <v>1499</v>
      </c>
    </row>
    <row r="527" spans="1:18" hidden="1" x14ac:dyDescent="0.25">
      <c r="A527" t="s">
        <v>1036</v>
      </c>
      <c r="B527" t="s">
        <v>688</v>
      </c>
      <c r="C527" t="s">
        <v>39</v>
      </c>
      <c r="D527" t="s">
        <v>32</v>
      </c>
      <c r="E527" t="s">
        <v>232</v>
      </c>
      <c r="F527" t="s">
        <v>152</v>
      </c>
      <c r="G527" t="s">
        <v>1037</v>
      </c>
      <c r="H527" s="15">
        <v>528516</v>
      </c>
      <c r="I527" s="15">
        <v>0</v>
      </c>
      <c r="J527" t="s">
        <v>154</v>
      </c>
      <c r="K527" t="s">
        <v>28</v>
      </c>
      <c r="L527" s="2">
        <v>41548</v>
      </c>
      <c r="M527" t="s">
        <v>1038</v>
      </c>
      <c r="N527">
        <v>1</v>
      </c>
      <c r="O527" t="s">
        <v>4903</v>
      </c>
      <c r="P527">
        <v>0</v>
      </c>
      <c r="Q527" t="s">
        <v>4903</v>
      </c>
      <c r="R527" t="s">
        <v>1036</v>
      </c>
    </row>
    <row r="528" spans="1:18" hidden="1" x14ac:dyDescent="0.25">
      <c r="A528" t="s">
        <v>1992</v>
      </c>
      <c r="B528" t="s">
        <v>478</v>
      </c>
      <c r="C528" t="s">
        <v>15</v>
      </c>
      <c r="D528" t="s">
        <v>96</v>
      </c>
      <c r="E528" t="s">
        <v>2292</v>
      </c>
      <c r="F528" t="s">
        <v>98</v>
      </c>
      <c r="G528" t="s">
        <v>4744</v>
      </c>
      <c r="H528" s="15">
        <v>519630</v>
      </c>
      <c r="I528" s="15">
        <v>0</v>
      </c>
      <c r="J528" t="s">
        <v>154</v>
      </c>
      <c r="K528" t="s">
        <v>28</v>
      </c>
      <c r="L528" s="2">
        <v>41548</v>
      </c>
      <c r="M528" t="s">
        <v>4745</v>
      </c>
      <c r="N528">
        <v>0</v>
      </c>
      <c r="O528" t="s">
        <v>4903</v>
      </c>
      <c r="P528">
        <v>0</v>
      </c>
      <c r="Q528" t="s">
        <v>4903</v>
      </c>
      <c r="R528" t="s">
        <v>1992</v>
      </c>
    </row>
    <row r="529" spans="1:18" hidden="1" x14ac:dyDescent="0.25">
      <c r="A529" t="s">
        <v>349</v>
      </c>
      <c r="B529" t="s">
        <v>350</v>
      </c>
      <c r="C529" t="s">
        <v>39</v>
      </c>
      <c r="D529" t="s">
        <v>351</v>
      </c>
      <c r="E529" t="s">
        <v>352</v>
      </c>
      <c r="F529" t="s">
        <v>353</v>
      </c>
      <c r="G529" t="s">
        <v>354</v>
      </c>
      <c r="H529" s="15">
        <v>212868</v>
      </c>
      <c r="I529" s="15">
        <v>10000</v>
      </c>
      <c r="J529" t="s">
        <v>89</v>
      </c>
      <c r="K529" t="s">
        <v>100</v>
      </c>
      <c r="L529" s="2">
        <v>41548</v>
      </c>
      <c r="M529" t="s">
        <v>355</v>
      </c>
      <c r="N529">
        <v>0</v>
      </c>
      <c r="O529" t="s">
        <v>4903</v>
      </c>
      <c r="P529">
        <v>0</v>
      </c>
      <c r="Q529" t="s">
        <v>4903</v>
      </c>
      <c r="R529" t="s">
        <v>349</v>
      </c>
    </row>
    <row r="530" spans="1:18" hidden="1" x14ac:dyDescent="0.25">
      <c r="A530" t="s">
        <v>366</v>
      </c>
      <c r="B530" t="s">
        <v>38</v>
      </c>
      <c r="C530" t="s">
        <v>39</v>
      </c>
      <c r="D530" t="s">
        <v>32</v>
      </c>
      <c r="E530" t="s">
        <v>232</v>
      </c>
      <c r="F530" t="s">
        <v>152</v>
      </c>
      <c r="G530" t="s">
        <v>3503</v>
      </c>
      <c r="H530" s="15">
        <v>331970</v>
      </c>
      <c r="I530" s="15">
        <v>0</v>
      </c>
      <c r="J530" t="s">
        <v>89</v>
      </c>
      <c r="K530" t="s">
        <v>28</v>
      </c>
      <c r="L530" s="2">
        <v>41548</v>
      </c>
      <c r="M530" t="s">
        <v>3504</v>
      </c>
      <c r="N530">
        <v>0</v>
      </c>
      <c r="O530" t="s">
        <v>4903</v>
      </c>
      <c r="P530">
        <v>0</v>
      </c>
      <c r="Q530" t="s">
        <v>4903</v>
      </c>
      <c r="R530" t="s">
        <v>366</v>
      </c>
    </row>
    <row r="531" spans="1:18" hidden="1" x14ac:dyDescent="0.25">
      <c r="A531" t="s">
        <v>785</v>
      </c>
      <c r="B531" t="s">
        <v>315</v>
      </c>
      <c r="C531" t="s">
        <v>39</v>
      </c>
      <c r="D531" t="s">
        <v>351</v>
      </c>
      <c r="E531" t="s">
        <v>352</v>
      </c>
      <c r="F531" t="s">
        <v>353</v>
      </c>
      <c r="G531" t="s">
        <v>786</v>
      </c>
      <c r="H531" s="15">
        <v>225000</v>
      </c>
      <c r="I531" s="15">
        <v>0</v>
      </c>
      <c r="J531" t="s">
        <v>89</v>
      </c>
      <c r="K531" t="s">
        <v>116</v>
      </c>
      <c r="L531" s="2">
        <v>41548</v>
      </c>
      <c r="M531" t="s">
        <v>787</v>
      </c>
      <c r="N531">
        <v>0</v>
      </c>
      <c r="O531" t="s">
        <v>4903</v>
      </c>
      <c r="P531">
        <v>0</v>
      </c>
      <c r="Q531" t="s">
        <v>4903</v>
      </c>
      <c r="R531" t="s">
        <v>785</v>
      </c>
    </row>
    <row r="532" spans="1:18" hidden="1" x14ac:dyDescent="0.25">
      <c r="A532" t="s">
        <v>4308</v>
      </c>
      <c r="B532" t="s">
        <v>406</v>
      </c>
      <c r="C532" t="s">
        <v>62</v>
      </c>
      <c r="D532" t="s">
        <v>32</v>
      </c>
      <c r="E532" t="s">
        <v>232</v>
      </c>
      <c r="F532" t="s">
        <v>26</v>
      </c>
      <c r="G532" t="s">
        <v>4309</v>
      </c>
      <c r="H532" s="15">
        <v>748558</v>
      </c>
      <c r="I532" s="15">
        <v>0</v>
      </c>
      <c r="J532" t="s">
        <v>20</v>
      </c>
      <c r="K532" t="s">
        <v>28</v>
      </c>
      <c r="L532" s="2">
        <v>41548</v>
      </c>
      <c r="M532" t="s">
        <v>4310</v>
      </c>
      <c r="N532">
        <v>1</v>
      </c>
      <c r="O532" t="s">
        <v>4903</v>
      </c>
      <c r="P532">
        <v>0</v>
      </c>
      <c r="Q532" t="s">
        <v>4903</v>
      </c>
      <c r="R532" t="s">
        <v>4308</v>
      </c>
    </row>
    <row r="533" spans="1:18" hidden="1" x14ac:dyDescent="0.25">
      <c r="A533" t="s">
        <v>3681</v>
      </c>
      <c r="B533" t="s">
        <v>14</v>
      </c>
      <c r="C533" t="s">
        <v>15</v>
      </c>
      <c r="D533" t="s">
        <v>96</v>
      </c>
      <c r="E533" t="s">
        <v>2292</v>
      </c>
      <c r="F533" t="s">
        <v>98</v>
      </c>
      <c r="G533" t="s">
        <v>3682</v>
      </c>
      <c r="H533" s="15">
        <v>143445</v>
      </c>
      <c r="I533" s="15">
        <v>0</v>
      </c>
      <c r="J533" t="s">
        <v>89</v>
      </c>
      <c r="K533" t="s">
        <v>326</v>
      </c>
      <c r="L533" s="2">
        <v>41548</v>
      </c>
      <c r="M533" t="s">
        <v>3683</v>
      </c>
      <c r="N533">
        <v>0</v>
      </c>
      <c r="O533" t="s">
        <v>4903</v>
      </c>
      <c r="P533">
        <v>0</v>
      </c>
      <c r="Q533" t="s">
        <v>4903</v>
      </c>
      <c r="R533" t="s">
        <v>3681</v>
      </c>
    </row>
    <row r="534" spans="1:18" hidden="1" x14ac:dyDescent="0.25">
      <c r="A534" t="s">
        <v>1436</v>
      </c>
      <c r="B534" t="s">
        <v>31</v>
      </c>
      <c r="C534" t="s">
        <v>15</v>
      </c>
      <c r="D534" t="s">
        <v>32</v>
      </c>
      <c r="E534" t="s">
        <v>232</v>
      </c>
      <c r="F534" t="s">
        <v>140</v>
      </c>
      <c r="G534" t="s">
        <v>2372</v>
      </c>
      <c r="H534" s="15">
        <v>381453</v>
      </c>
      <c r="I534" s="15">
        <v>0</v>
      </c>
      <c r="J534" t="s">
        <v>89</v>
      </c>
      <c r="K534" t="s">
        <v>28</v>
      </c>
      <c r="L534" s="2">
        <v>41548</v>
      </c>
      <c r="M534" t="s">
        <v>2373</v>
      </c>
      <c r="N534">
        <v>0</v>
      </c>
      <c r="O534" t="s">
        <v>4903</v>
      </c>
      <c r="P534">
        <v>0</v>
      </c>
      <c r="Q534" t="s">
        <v>4903</v>
      </c>
      <c r="R534" t="s">
        <v>1436</v>
      </c>
    </row>
    <row r="535" spans="1:18" hidden="1" x14ac:dyDescent="0.25">
      <c r="A535" t="s">
        <v>3845</v>
      </c>
      <c r="B535" t="s">
        <v>406</v>
      </c>
      <c r="C535" t="s">
        <v>62</v>
      </c>
      <c r="D535" t="s">
        <v>32</v>
      </c>
      <c r="E535" t="s">
        <v>232</v>
      </c>
      <c r="F535" t="s">
        <v>140</v>
      </c>
      <c r="G535" t="s">
        <v>3846</v>
      </c>
      <c r="H535" s="15">
        <v>723341</v>
      </c>
      <c r="I535" s="15">
        <v>0</v>
      </c>
      <c r="J535" t="s">
        <v>20</v>
      </c>
      <c r="K535" t="s">
        <v>28</v>
      </c>
      <c r="L535" s="2">
        <v>41548</v>
      </c>
      <c r="M535" t="s">
        <v>3847</v>
      </c>
      <c r="N535">
        <v>0</v>
      </c>
      <c r="O535" t="s">
        <v>4903</v>
      </c>
      <c r="P535">
        <v>0</v>
      </c>
      <c r="Q535" t="s">
        <v>4903</v>
      </c>
      <c r="R535" t="s">
        <v>3845</v>
      </c>
    </row>
    <row r="536" spans="1:18" hidden="1" x14ac:dyDescent="0.25">
      <c r="A536" t="s">
        <v>1647</v>
      </c>
      <c r="B536" t="s">
        <v>315</v>
      </c>
      <c r="C536" t="s">
        <v>39</v>
      </c>
      <c r="D536" t="s">
        <v>32</v>
      </c>
      <c r="E536" t="s">
        <v>232</v>
      </c>
      <c r="F536" t="s">
        <v>34</v>
      </c>
      <c r="G536" t="s">
        <v>1648</v>
      </c>
      <c r="H536" s="15">
        <v>808834</v>
      </c>
      <c r="I536" s="15">
        <v>0</v>
      </c>
      <c r="J536" t="s">
        <v>20</v>
      </c>
      <c r="K536" t="s">
        <v>116</v>
      </c>
      <c r="L536" s="2">
        <v>41548</v>
      </c>
      <c r="M536" t="s">
        <v>1649</v>
      </c>
      <c r="N536">
        <v>0</v>
      </c>
      <c r="O536" t="s">
        <v>4903</v>
      </c>
      <c r="P536">
        <v>0</v>
      </c>
      <c r="Q536" t="s">
        <v>4903</v>
      </c>
      <c r="R536" t="s">
        <v>1647</v>
      </c>
    </row>
    <row r="537" spans="1:18" hidden="1" x14ac:dyDescent="0.25">
      <c r="A537" t="s">
        <v>904</v>
      </c>
      <c r="B537" t="s">
        <v>61</v>
      </c>
      <c r="C537" t="s">
        <v>62</v>
      </c>
      <c r="D537" t="s">
        <v>32</v>
      </c>
      <c r="E537" t="s">
        <v>63</v>
      </c>
      <c r="F537" t="s">
        <v>18</v>
      </c>
      <c r="G537" t="s">
        <v>4331</v>
      </c>
      <c r="H537" s="15">
        <v>251472</v>
      </c>
      <c r="I537" s="15">
        <v>0</v>
      </c>
      <c r="J537" t="s">
        <v>89</v>
      </c>
      <c r="K537" t="s">
        <v>65</v>
      </c>
      <c r="L537" s="2">
        <v>41548</v>
      </c>
      <c r="M537" t="s">
        <v>4332</v>
      </c>
      <c r="N537">
        <v>0</v>
      </c>
      <c r="O537" t="s">
        <v>4903</v>
      </c>
      <c r="P537">
        <v>0</v>
      </c>
      <c r="Q537" t="s">
        <v>4903</v>
      </c>
      <c r="R537" t="s">
        <v>904</v>
      </c>
    </row>
    <row r="538" spans="1:18" hidden="1" x14ac:dyDescent="0.25">
      <c r="A538" t="s">
        <v>904</v>
      </c>
      <c r="B538" t="s">
        <v>61</v>
      </c>
      <c r="C538" t="s">
        <v>62</v>
      </c>
      <c r="D538" t="s">
        <v>32</v>
      </c>
      <c r="E538" t="s">
        <v>232</v>
      </c>
      <c r="F538" t="s">
        <v>18</v>
      </c>
      <c r="G538" t="s">
        <v>4331</v>
      </c>
      <c r="H538" s="15">
        <v>540050</v>
      </c>
      <c r="I538" s="15">
        <v>0</v>
      </c>
      <c r="J538" t="s">
        <v>20</v>
      </c>
      <c r="K538" t="s">
        <v>65</v>
      </c>
      <c r="L538" s="2">
        <v>41548</v>
      </c>
      <c r="M538" t="s">
        <v>4332</v>
      </c>
      <c r="N538">
        <v>0</v>
      </c>
      <c r="O538" t="s">
        <v>4903</v>
      </c>
      <c r="P538">
        <v>0</v>
      </c>
      <c r="Q538" t="s">
        <v>4903</v>
      </c>
      <c r="R538" t="s">
        <v>904</v>
      </c>
    </row>
    <row r="539" spans="1:18" hidden="1" x14ac:dyDescent="0.25">
      <c r="A539" t="s">
        <v>1611</v>
      </c>
      <c r="B539" t="s">
        <v>315</v>
      </c>
      <c r="C539" t="s">
        <v>39</v>
      </c>
      <c r="D539" t="s">
        <v>32</v>
      </c>
      <c r="E539" t="s">
        <v>232</v>
      </c>
      <c r="F539" t="s">
        <v>26</v>
      </c>
      <c r="G539" t="s">
        <v>1612</v>
      </c>
      <c r="H539" s="15">
        <v>815192</v>
      </c>
      <c r="I539" s="15">
        <v>0</v>
      </c>
      <c r="J539" t="s">
        <v>20</v>
      </c>
      <c r="K539" t="s">
        <v>28</v>
      </c>
      <c r="L539" s="2">
        <v>41548</v>
      </c>
      <c r="M539" t="s">
        <v>1613</v>
      </c>
      <c r="N539">
        <v>0</v>
      </c>
      <c r="O539" t="s">
        <v>4903</v>
      </c>
      <c r="P539">
        <v>0</v>
      </c>
      <c r="Q539" t="s">
        <v>4903</v>
      </c>
      <c r="R539" t="s">
        <v>1611</v>
      </c>
    </row>
    <row r="540" spans="1:18" hidden="1" x14ac:dyDescent="0.25">
      <c r="A540" t="s">
        <v>1712</v>
      </c>
      <c r="B540" t="s">
        <v>14</v>
      </c>
      <c r="C540" t="s">
        <v>15</v>
      </c>
      <c r="D540" t="s">
        <v>32</v>
      </c>
      <c r="E540" t="s">
        <v>232</v>
      </c>
      <c r="F540" t="s">
        <v>34</v>
      </c>
      <c r="G540" t="s">
        <v>2334</v>
      </c>
      <c r="H540" s="15">
        <v>328486</v>
      </c>
      <c r="I540" s="15">
        <v>0</v>
      </c>
      <c r="J540" t="s">
        <v>89</v>
      </c>
      <c r="K540" t="s">
        <v>28</v>
      </c>
      <c r="L540" s="2">
        <v>41548</v>
      </c>
      <c r="M540" t="s">
        <v>2335</v>
      </c>
      <c r="N540">
        <v>0</v>
      </c>
      <c r="O540" t="s">
        <v>4903</v>
      </c>
      <c r="P540">
        <v>0</v>
      </c>
      <c r="Q540" t="s">
        <v>4903</v>
      </c>
      <c r="R540" t="s">
        <v>1712</v>
      </c>
    </row>
    <row r="541" spans="1:18" hidden="1" x14ac:dyDescent="0.25">
      <c r="A541" t="s">
        <v>3292</v>
      </c>
      <c r="B541" t="s">
        <v>244</v>
      </c>
      <c r="C541" t="s">
        <v>39</v>
      </c>
      <c r="D541" t="s">
        <v>32</v>
      </c>
      <c r="E541" t="s">
        <v>232</v>
      </c>
      <c r="F541" t="s">
        <v>26</v>
      </c>
      <c r="G541" t="s">
        <v>3329</v>
      </c>
      <c r="H541" s="15">
        <v>449166</v>
      </c>
      <c r="I541" s="15">
        <v>0</v>
      </c>
      <c r="J541" t="s">
        <v>89</v>
      </c>
      <c r="K541" t="s">
        <v>28</v>
      </c>
      <c r="L541" s="2">
        <v>41548</v>
      </c>
      <c r="M541" t="s">
        <v>3330</v>
      </c>
      <c r="N541">
        <v>0</v>
      </c>
      <c r="O541" t="s">
        <v>4903</v>
      </c>
      <c r="P541">
        <v>0</v>
      </c>
      <c r="Q541" t="s">
        <v>4903</v>
      </c>
      <c r="R541" t="s">
        <v>3292</v>
      </c>
    </row>
    <row r="542" spans="1:18" hidden="1" x14ac:dyDescent="0.25">
      <c r="A542" t="s">
        <v>2291</v>
      </c>
      <c r="B542" t="s">
        <v>1888</v>
      </c>
      <c r="C542" t="s">
        <v>39</v>
      </c>
      <c r="D542" t="s">
        <v>96</v>
      </c>
      <c r="E542" t="s">
        <v>2292</v>
      </c>
      <c r="F542" t="s">
        <v>98</v>
      </c>
      <c r="G542" t="s">
        <v>2293</v>
      </c>
      <c r="H542" s="15">
        <v>211072</v>
      </c>
      <c r="I542" s="15">
        <v>0</v>
      </c>
      <c r="J542" t="s">
        <v>89</v>
      </c>
      <c r="K542" t="s">
        <v>21</v>
      </c>
      <c r="L542" s="2">
        <v>41548</v>
      </c>
      <c r="M542" t="s">
        <v>2294</v>
      </c>
      <c r="N542">
        <v>0</v>
      </c>
      <c r="O542" t="s">
        <v>4903</v>
      </c>
      <c r="P542">
        <v>0</v>
      </c>
      <c r="Q542" t="s">
        <v>4903</v>
      </c>
      <c r="R542" t="s">
        <v>2291</v>
      </c>
    </row>
    <row r="543" spans="1:18" hidden="1" x14ac:dyDescent="0.25">
      <c r="A543" t="s">
        <v>2861</v>
      </c>
      <c r="B543" t="s">
        <v>47</v>
      </c>
      <c r="C543" t="s">
        <v>48</v>
      </c>
      <c r="D543" t="s">
        <v>32</v>
      </c>
      <c r="E543" t="s">
        <v>232</v>
      </c>
      <c r="F543" t="s">
        <v>18</v>
      </c>
      <c r="G543" t="s">
        <v>3443</v>
      </c>
      <c r="H543" s="15">
        <v>610078</v>
      </c>
      <c r="I543" s="15">
        <v>0</v>
      </c>
      <c r="J543" t="s">
        <v>20</v>
      </c>
      <c r="K543" t="s">
        <v>21</v>
      </c>
      <c r="L543" s="2">
        <v>41548</v>
      </c>
      <c r="M543" t="s">
        <v>3444</v>
      </c>
      <c r="N543">
        <v>0</v>
      </c>
      <c r="O543" t="s">
        <v>4903</v>
      </c>
      <c r="P543">
        <v>0</v>
      </c>
      <c r="Q543" t="s">
        <v>4903</v>
      </c>
      <c r="R543" t="s">
        <v>2861</v>
      </c>
    </row>
    <row r="544" spans="1:18" hidden="1" x14ac:dyDescent="0.25">
      <c r="A544" t="s">
        <v>3545</v>
      </c>
      <c r="B544" t="s">
        <v>725</v>
      </c>
      <c r="C544" t="s">
        <v>726</v>
      </c>
      <c r="D544" t="s">
        <v>96</v>
      </c>
      <c r="E544" t="s">
        <v>2292</v>
      </c>
      <c r="F544" t="s">
        <v>98</v>
      </c>
      <c r="G544" t="s">
        <v>3546</v>
      </c>
      <c r="H544" s="15">
        <v>193512</v>
      </c>
      <c r="I544" s="15">
        <v>0</v>
      </c>
      <c r="J544" t="s">
        <v>455</v>
      </c>
      <c r="K544" t="s">
        <v>134</v>
      </c>
      <c r="L544" s="2">
        <v>41548</v>
      </c>
      <c r="M544" t="s">
        <v>3547</v>
      </c>
      <c r="N544">
        <v>0</v>
      </c>
      <c r="O544" t="s">
        <v>4903</v>
      </c>
      <c r="P544">
        <v>0</v>
      </c>
      <c r="Q544" t="s">
        <v>4903</v>
      </c>
      <c r="R544" t="s">
        <v>3545</v>
      </c>
    </row>
    <row r="545" spans="1:18" hidden="1" x14ac:dyDescent="0.25">
      <c r="A545" t="s">
        <v>1635</v>
      </c>
      <c r="B545" t="s">
        <v>898</v>
      </c>
      <c r="C545" t="s">
        <v>39</v>
      </c>
      <c r="D545" t="s">
        <v>32</v>
      </c>
      <c r="E545" t="s">
        <v>232</v>
      </c>
      <c r="F545" t="s">
        <v>34</v>
      </c>
      <c r="G545" t="s">
        <v>2823</v>
      </c>
      <c r="H545" s="15">
        <v>554138</v>
      </c>
      <c r="I545" s="15">
        <v>0</v>
      </c>
      <c r="J545" t="s">
        <v>20</v>
      </c>
      <c r="K545" t="s">
        <v>100</v>
      </c>
      <c r="L545" s="2">
        <v>41548</v>
      </c>
      <c r="M545" t="s">
        <v>2824</v>
      </c>
      <c r="N545">
        <v>0</v>
      </c>
      <c r="O545" t="s">
        <v>4903</v>
      </c>
      <c r="P545">
        <v>0</v>
      </c>
      <c r="Q545" t="s">
        <v>4903</v>
      </c>
      <c r="R545" t="s">
        <v>1635</v>
      </c>
    </row>
    <row r="546" spans="1:18" hidden="1" x14ac:dyDescent="0.25">
      <c r="A546" t="s">
        <v>1242</v>
      </c>
      <c r="B546" t="s">
        <v>77</v>
      </c>
      <c r="C546" t="s">
        <v>15</v>
      </c>
      <c r="D546" t="s">
        <v>32</v>
      </c>
      <c r="E546" t="s">
        <v>232</v>
      </c>
      <c r="F546" t="s">
        <v>140</v>
      </c>
      <c r="G546" t="s">
        <v>1594</v>
      </c>
      <c r="H546" s="15">
        <v>1075723</v>
      </c>
      <c r="I546" s="15">
        <v>0</v>
      </c>
      <c r="J546" t="s">
        <v>20</v>
      </c>
      <c r="K546" t="s">
        <v>28</v>
      </c>
      <c r="L546" s="2">
        <v>41548</v>
      </c>
      <c r="M546" t="s">
        <v>1595</v>
      </c>
      <c r="N546">
        <v>0</v>
      </c>
      <c r="O546" t="s">
        <v>4903</v>
      </c>
      <c r="P546">
        <v>0</v>
      </c>
      <c r="Q546" t="s">
        <v>4903</v>
      </c>
      <c r="R546" t="s">
        <v>1242</v>
      </c>
    </row>
    <row r="547" spans="1:18" hidden="1" x14ac:dyDescent="0.25">
      <c r="A547" t="s">
        <v>1122</v>
      </c>
      <c r="B547" t="s">
        <v>725</v>
      </c>
      <c r="C547" t="s">
        <v>726</v>
      </c>
      <c r="D547" t="s">
        <v>32</v>
      </c>
      <c r="E547" t="s">
        <v>232</v>
      </c>
      <c r="F547" t="s">
        <v>140</v>
      </c>
      <c r="G547" t="s">
        <v>4382</v>
      </c>
      <c r="H547" s="15">
        <v>627147</v>
      </c>
      <c r="I547" s="15">
        <v>0</v>
      </c>
      <c r="J547" t="s">
        <v>20</v>
      </c>
      <c r="K547" t="s">
        <v>28</v>
      </c>
      <c r="L547" s="2">
        <v>41548</v>
      </c>
      <c r="M547" t="s">
        <v>4383</v>
      </c>
      <c r="N547">
        <v>0</v>
      </c>
      <c r="O547" t="s">
        <v>4903</v>
      </c>
      <c r="P547">
        <v>0</v>
      </c>
      <c r="Q547" t="s">
        <v>4903</v>
      </c>
      <c r="R547" t="s">
        <v>1122</v>
      </c>
    </row>
    <row r="548" spans="1:18" hidden="1" x14ac:dyDescent="0.25">
      <c r="A548" t="s">
        <v>1470</v>
      </c>
      <c r="B548" t="s">
        <v>14</v>
      </c>
      <c r="C548" t="s">
        <v>15</v>
      </c>
      <c r="D548" t="s">
        <v>1471</v>
      </c>
      <c r="E548" t="s">
        <v>1472</v>
      </c>
      <c r="F548" t="s">
        <v>18</v>
      </c>
      <c r="G548" t="s">
        <v>1473</v>
      </c>
      <c r="H548" s="15">
        <v>100000</v>
      </c>
      <c r="I548" s="15">
        <v>0</v>
      </c>
      <c r="J548" t="s">
        <v>44</v>
      </c>
      <c r="K548" t="s">
        <v>65</v>
      </c>
      <c r="L548" s="2">
        <v>41548</v>
      </c>
      <c r="M548" t="s">
        <v>1474</v>
      </c>
      <c r="N548">
        <v>0</v>
      </c>
      <c r="O548" t="s">
        <v>4903</v>
      </c>
      <c r="P548">
        <v>0</v>
      </c>
      <c r="Q548" t="s">
        <v>4903</v>
      </c>
      <c r="R548" t="s">
        <v>1470</v>
      </c>
    </row>
    <row r="549" spans="1:18" hidden="1" x14ac:dyDescent="0.25">
      <c r="A549" t="s">
        <v>1958</v>
      </c>
      <c r="B549" t="s">
        <v>126</v>
      </c>
      <c r="C549" t="s">
        <v>39</v>
      </c>
      <c r="D549" t="s">
        <v>32</v>
      </c>
      <c r="E549" t="s">
        <v>232</v>
      </c>
      <c r="F549" t="s">
        <v>152</v>
      </c>
      <c r="G549" t="s">
        <v>2460</v>
      </c>
      <c r="H549" s="15">
        <v>514295</v>
      </c>
      <c r="I549" s="15">
        <v>0</v>
      </c>
      <c r="J549" t="s">
        <v>20</v>
      </c>
      <c r="K549" t="s">
        <v>57</v>
      </c>
      <c r="L549" s="2">
        <v>41548</v>
      </c>
      <c r="M549" t="s">
        <v>2461</v>
      </c>
      <c r="N549">
        <v>0</v>
      </c>
      <c r="O549" t="s">
        <v>4903</v>
      </c>
      <c r="P549">
        <v>0</v>
      </c>
      <c r="Q549" t="s">
        <v>4903</v>
      </c>
      <c r="R549" t="s">
        <v>1958</v>
      </c>
    </row>
    <row r="550" spans="1:18" hidden="1" x14ac:dyDescent="0.25">
      <c r="A550" t="s">
        <v>235</v>
      </c>
      <c r="B550" t="s">
        <v>14</v>
      </c>
      <c r="C550" t="s">
        <v>15</v>
      </c>
      <c r="D550" t="s">
        <v>32</v>
      </c>
      <c r="E550" t="s">
        <v>232</v>
      </c>
      <c r="F550" t="s">
        <v>34</v>
      </c>
      <c r="G550" t="s">
        <v>236</v>
      </c>
      <c r="H550" s="15">
        <v>324598</v>
      </c>
      <c r="I550" s="15">
        <v>0</v>
      </c>
      <c r="J550" t="s">
        <v>154</v>
      </c>
      <c r="K550" t="s">
        <v>100</v>
      </c>
      <c r="L550" s="2">
        <v>41548</v>
      </c>
      <c r="M550" t="s">
        <v>237</v>
      </c>
      <c r="N550">
        <v>0</v>
      </c>
      <c r="O550" t="s">
        <v>4903</v>
      </c>
      <c r="P550">
        <v>0</v>
      </c>
      <c r="Q550" t="s">
        <v>4903</v>
      </c>
      <c r="R550" t="s">
        <v>235</v>
      </c>
    </row>
    <row r="551" spans="1:18" hidden="1" x14ac:dyDescent="0.25">
      <c r="A551" t="s">
        <v>425</v>
      </c>
      <c r="B551" t="s">
        <v>426</v>
      </c>
      <c r="C551" t="s">
        <v>48</v>
      </c>
      <c r="D551" t="s">
        <v>32</v>
      </c>
      <c r="E551" t="s">
        <v>232</v>
      </c>
      <c r="F551" t="s">
        <v>152</v>
      </c>
      <c r="G551" t="s">
        <v>2502</v>
      </c>
      <c r="H551" s="15">
        <v>612722</v>
      </c>
      <c r="I551" s="15">
        <v>0</v>
      </c>
      <c r="J551" t="s">
        <v>20</v>
      </c>
      <c r="K551" t="s">
        <v>28</v>
      </c>
      <c r="L551" s="2">
        <v>41548</v>
      </c>
      <c r="M551" t="s">
        <v>2503</v>
      </c>
      <c r="N551">
        <v>0</v>
      </c>
      <c r="O551" t="s">
        <v>4903</v>
      </c>
      <c r="P551">
        <v>0</v>
      </c>
      <c r="Q551" t="s">
        <v>4903</v>
      </c>
      <c r="R551" t="s">
        <v>425</v>
      </c>
    </row>
    <row r="552" spans="1:18" hidden="1" x14ac:dyDescent="0.25">
      <c r="A552" t="s">
        <v>2471</v>
      </c>
      <c r="B552" t="s">
        <v>406</v>
      </c>
      <c r="C552" t="s">
        <v>62</v>
      </c>
      <c r="D552" t="s">
        <v>32</v>
      </c>
      <c r="E552" t="s">
        <v>232</v>
      </c>
      <c r="F552" t="s">
        <v>18</v>
      </c>
      <c r="G552" t="s">
        <v>2472</v>
      </c>
      <c r="H552" s="15">
        <v>661685</v>
      </c>
      <c r="I552" s="15">
        <v>0</v>
      </c>
      <c r="J552" t="s">
        <v>154</v>
      </c>
      <c r="K552" t="s">
        <v>116</v>
      </c>
      <c r="L552" s="2">
        <v>41548</v>
      </c>
      <c r="M552" t="s">
        <v>2473</v>
      </c>
      <c r="N552">
        <v>0</v>
      </c>
      <c r="O552" t="s">
        <v>4903</v>
      </c>
      <c r="P552">
        <v>0</v>
      </c>
      <c r="Q552" t="s">
        <v>4903</v>
      </c>
      <c r="R552" t="s">
        <v>2471</v>
      </c>
    </row>
    <row r="553" spans="1:18" hidden="1" x14ac:dyDescent="0.25">
      <c r="A553" t="s">
        <v>4369</v>
      </c>
      <c r="B553" t="s">
        <v>580</v>
      </c>
      <c r="C553" t="s">
        <v>15</v>
      </c>
      <c r="D553" t="s">
        <v>96</v>
      </c>
      <c r="E553" t="s">
        <v>2292</v>
      </c>
      <c r="F553" t="s">
        <v>98</v>
      </c>
      <c r="G553" t="s">
        <v>4370</v>
      </c>
      <c r="H553" s="15">
        <v>500000</v>
      </c>
      <c r="I553" s="15">
        <v>0</v>
      </c>
      <c r="J553" t="s">
        <v>154</v>
      </c>
      <c r="K553" t="s">
        <v>326</v>
      </c>
      <c r="L553" s="2">
        <v>41548</v>
      </c>
      <c r="M553" t="s">
        <v>4371</v>
      </c>
      <c r="N553">
        <v>0</v>
      </c>
      <c r="O553" t="s">
        <v>4903</v>
      </c>
      <c r="P553">
        <v>0</v>
      </c>
      <c r="Q553" t="s">
        <v>4903</v>
      </c>
      <c r="R553" t="s">
        <v>4369</v>
      </c>
    </row>
    <row r="554" spans="1:18" hidden="1" x14ac:dyDescent="0.25">
      <c r="A554" t="s">
        <v>3298</v>
      </c>
      <c r="B554" t="s">
        <v>1252</v>
      </c>
      <c r="C554" t="s">
        <v>15</v>
      </c>
      <c r="D554" t="s">
        <v>32</v>
      </c>
      <c r="E554" t="s">
        <v>232</v>
      </c>
      <c r="F554" t="s">
        <v>18</v>
      </c>
      <c r="G554" t="s">
        <v>3299</v>
      </c>
      <c r="H554" s="15">
        <v>619261</v>
      </c>
      <c r="I554" s="15">
        <v>0</v>
      </c>
      <c r="J554" t="s">
        <v>20</v>
      </c>
      <c r="K554" t="s">
        <v>21</v>
      </c>
      <c r="L554" s="2">
        <v>41548</v>
      </c>
      <c r="M554" t="s">
        <v>3300</v>
      </c>
      <c r="N554">
        <v>1</v>
      </c>
      <c r="O554" t="s">
        <v>4903</v>
      </c>
      <c r="P554">
        <v>0</v>
      </c>
      <c r="Q554" t="s">
        <v>4903</v>
      </c>
      <c r="R554" t="s">
        <v>3298</v>
      </c>
    </row>
    <row r="555" spans="1:18" hidden="1" x14ac:dyDescent="0.25">
      <c r="A555" t="s">
        <v>848</v>
      </c>
      <c r="B555" t="s">
        <v>47</v>
      </c>
      <c r="C555" t="s">
        <v>48</v>
      </c>
      <c r="D555" t="s">
        <v>32</v>
      </c>
      <c r="E555" t="s">
        <v>232</v>
      </c>
      <c r="F555" t="s">
        <v>26</v>
      </c>
      <c r="G555" t="s">
        <v>3823</v>
      </c>
      <c r="H555" s="15">
        <v>467474</v>
      </c>
      <c r="I555" s="15">
        <v>0</v>
      </c>
      <c r="J555" t="s">
        <v>89</v>
      </c>
      <c r="K555" t="s">
        <v>28</v>
      </c>
      <c r="L555" s="2">
        <v>41548</v>
      </c>
      <c r="M555" t="s">
        <v>3824</v>
      </c>
      <c r="N555">
        <v>20</v>
      </c>
      <c r="O555" t="s">
        <v>4903</v>
      </c>
      <c r="P555">
        <v>0</v>
      </c>
      <c r="Q555" t="s">
        <v>4903</v>
      </c>
      <c r="R555" t="s">
        <v>848</v>
      </c>
    </row>
    <row r="556" spans="1:18" hidden="1" x14ac:dyDescent="0.25">
      <c r="A556" t="s">
        <v>3915</v>
      </c>
      <c r="B556" t="s">
        <v>126</v>
      </c>
      <c r="C556" t="s">
        <v>39</v>
      </c>
      <c r="D556" t="s">
        <v>710</v>
      </c>
      <c r="E556" t="s">
        <v>3916</v>
      </c>
      <c r="F556" t="s">
        <v>152</v>
      </c>
      <c r="G556" t="s">
        <v>3917</v>
      </c>
      <c r="H556" s="15">
        <v>100000</v>
      </c>
      <c r="I556" s="15">
        <v>0</v>
      </c>
      <c r="J556" t="s">
        <v>44</v>
      </c>
      <c r="K556" t="s">
        <v>28</v>
      </c>
      <c r="L556" s="2">
        <v>41548</v>
      </c>
      <c r="M556" t="s">
        <v>3918</v>
      </c>
      <c r="N556">
        <v>0</v>
      </c>
      <c r="O556" t="s">
        <v>4903</v>
      </c>
      <c r="P556">
        <v>0</v>
      </c>
      <c r="Q556" t="s">
        <v>4903</v>
      </c>
      <c r="R556" t="s">
        <v>3915</v>
      </c>
    </row>
    <row r="557" spans="1:18" hidden="1" x14ac:dyDescent="0.25">
      <c r="A557" t="s">
        <v>699</v>
      </c>
      <c r="B557" t="s">
        <v>84</v>
      </c>
      <c r="C557" t="s">
        <v>15</v>
      </c>
      <c r="D557" t="s">
        <v>32</v>
      </c>
      <c r="E557" t="s">
        <v>232</v>
      </c>
      <c r="F557" t="s">
        <v>18</v>
      </c>
      <c r="G557" t="s">
        <v>4090</v>
      </c>
      <c r="H557" s="15">
        <v>411566</v>
      </c>
      <c r="I557" s="15">
        <v>0</v>
      </c>
      <c r="J557" t="s">
        <v>89</v>
      </c>
      <c r="K557" t="s">
        <v>21</v>
      </c>
      <c r="L557" s="2">
        <v>41548</v>
      </c>
      <c r="M557" t="s">
        <v>4091</v>
      </c>
      <c r="N557">
        <v>0</v>
      </c>
      <c r="O557" t="s">
        <v>4903</v>
      </c>
      <c r="P557">
        <v>0</v>
      </c>
      <c r="Q557" t="s">
        <v>4903</v>
      </c>
      <c r="R557" t="s">
        <v>699</v>
      </c>
    </row>
    <row r="558" spans="1:18" hidden="1" x14ac:dyDescent="0.25">
      <c r="A558" t="s">
        <v>942</v>
      </c>
      <c r="B558" t="s">
        <v>103</v>
      </c>
      <c r="C558" t="s">
        <v>15</v>
      </c>
      <c r="D558" t="s">
        <v>32</v>
      </c>
      <c r="E558" t="s">
        <v>232</v>
      </c>
      <c r="F558" t="s">
        <v>152</v>
      </c>
      <c r="G558" t="s">
        <v>943</v>
      </c>
      <c r="H558" s="15">
        <v>554057</v>
      </c>
      <c r="I558" s="15">
        <v>0</v>
      </c>
      <c r="J558" t="s">
        <v>20</v>
      </c>
      <c r="K558" t="s">
        <v>28</v>
      </c>
      <c r="L558" s="2">
        <v>41548</v>
      </c>
      <c r="M558" t="s">
        <v>944</v>
      </c>
      <c r="N558">
        <v>2</v>
      </c>
      <c r="O558" t="s">
        <v>4903</v>
      </c>
      <c r="P558">
        <v>0</v>
      </c>
      <c r="Q558" t="s">
        <v>4903</v>
      </c>
      <c r="R558" t="s">
        <v>942</v>
      </c>
    </row>
    <row r="559" spans="1:18" hidden="1" x14ac:dyDescent="0.25">
      <c r="A559" t="s">
        <v>382</v>
      </c>
      <c r="B559" t="s">
        <v>77</v>
      </c>
      <c r="C559" t="s">
        <v>15</v>
      </c>
      <c r="D559" t="s">
        <v>32</v>
      </c>
      <c r="E559" t="s">
        <v>232</v>
      </c>
      <c r="F559" t="s">
        <v>34</v>
      </c>
      <c r="G559" t="s">
        <v>383</v>
      </c>
      <c r="H559" s="15">
        <v>470585</v>
      </c>
      <c r="I559" s="15">
        <v>0</v>
      </c>
      <c r="J559" t="s">
        <v>89</v>
      </c>
      <c r="K559" t="s">
        <v>74</v>
      </c>
      <c r="L559" s="2">
        <v>41548</v>
      </c>
      <c r="M559" t="s">
        <v>384</v>
      </c>
      <c r="N559">
        <v>0</v>
      </c>
      <c r="O559" t="s">
        <v>4903</v>
      </c>
      <c r="P559">
        <v>0</v>
      </c>
      <c r="Q559" t="s">
        <v>4903</v>
      </c>
      <c r="R559" t="s">
        <v>382</v>
      </c>
    </row>
    <row r="560" spans="1:18" hidden="1" x14ac:dyDescent="0.25">
      <c r="A560" t="s">
        <v>2342</v>
      </c>
      <c r="B560" t="s">
        <v>24</v>
      </c>
      <c r="C560" t="s">
        <v>15</v>
      </c>
      <c r="D560" t="s">
        <v>32</v>
      </c>
      <c r="E560" t="s">
        <v>232</v>
      </c>
      <c r="F560" t="s">
        <v>140</v>
      </c>
      <c r="G560" t="s">
        <v>2343</v>
      </c>
      <c r="H560" s="15">
        <v>377124</v>
      </c>
      <c r="I560" s="15">
        <v>0</v>
      </c>
      <c r="J560" t="s">
        <v>89</v>
      </c>
      <c r="K560" t="s">
        <v>28</v>
      </c>
      <c r="L560" s="2">
        <v>41548</v>
      </c>
      <c r="M560" t="s">
        <v>2344</v>
      </c>
      <c r="N560">
        <v>0</v>
      </c>
      <c r="O560" t="s">
        <v>4903</v>
      </c>
      <c r="P560">
        <v>0</v>
      </c>
      <c r="Q560" t="s">
        <v>4903</v>
      </c>
      <c r="R560" t="s">
        <v>2342</v>
      </c>
    </row>
    <row r="561" spans="1:18" hidden="1" x14ac:dyDescent="0.25">
      <c r="A561" t="s">
        <v>1019</v>
      </c>
      <c r="B561" t="s">
        <v>1020</v>
      </c>
      <c r="C561" t="s">
        <v>15</v>
      </c>
      <c r="D561" t="s">
        <v>32</v>
      </c>
      <c r="E561" t="s">
        <v>232</v>
      </c>
      <c r="F561" t="s">
        <v>34</v>
      </c>
      <c r="G561" t="s">
        <v>2352</v>
      </c>
      <c r="H561" s="15">
        <v>459168</v>
      </c>
      <c r="I561" s="15">
        <v>0</v>
      </c>
      <c r="J561" t="s">
        <v>154</v>
      </c>
      <c r="K561" t="s">
        <v>21</v>
      </c>
      <c r="L561" s="2">
        <v>41548</v>
      </c>
      <c r="M561" t="s">
        <v>2353</v>
      </c>
      <c r="N561">
        <v>0</v>
      </c>
      <c r="O561" t="s">
        <v>4903</v>
      </c>
      <c r="P561">
        <v>0</v>
      </c>
      <c r="Q561" t="s">
        <v>4903</v>
      </c>
      <c r="R561" t="s">
        <v>1019</v>
      </c>
    </row>
    <row r="562" spans="1:18" hidden="1" x14ac:dyDescent="0.25">
      <c r="A562" t="s">
        <v>231</v>
      </c>
      <c r="B562" t="s">
        <v>103</v>
      </c>
      <c r="C562" t="s">
        <v>15</v>
      </c>
      <c r="D562" t="s">
        <v>32</v>
      </c>
      <c r="E562" t="s">
        <v>232</v>
      </c>
      <c r="F562" t="s">
        <v>152</v>
      </c>
      <c r="G562" t="s">
        <v>233</v>
      </c>
      <c r="H562" s="15">
        <v>568514</v>
      </c>
      <c r="I562" s="15">
        <v>0</v>
      </c>
      <c r="J562" t="s">
        <v>154</v>
      </c>
      <c r="K562" t="s">
        <v>28</v>
      </c>
      <c r="L562" s="2">
        <v>41548</v>
      </c>
      <c r="M562" t="s">
        <v>234</v>
      </c>
      <c r="N562">
        <v>0</v>
      </c>
      <c r="O562" t="s">
        <v>4903</v>
      </c>
      <c r="P562">
        <v>0</v>
      </c>
      <c r="Q562" t="s">
        <v>4903</v>
      </c>
      <c r="R562" t="s">
        <v>231</v>
      </c>
    </row>
    <row r="563" spans="1:18" hidden="1" x14ac:dyDescent="0.25">
      <c r="A563" t="s">
        <v>3811</v>
      </c>
      <c r="B563" t="s">
        <v>119</v>
      </c>
      <c r="C563" t="s">
        <v>39</v>
      </c>
      <c r="D563" t="s">
        <v>96</v>
      </c>
      <c r="E563" t="s">
        <v>2292</v>
      </c>
      <c r="F563" t="s">
        <v>98</v>
      </c>
      <c r="G563" t="s">
        <v>4675</v>
      </c>
      <c r="H563" s="15">
        <v>591600</v>
      </c>
      <c r="I563" s="15">
        <v>0</v>
      </c>
      <c r="J563" t="s">
        <v>89</v>
      </c>
      <c r="K563" t="s">
        <v>134</v>
      </c>
      <c r="L563" s="2">
        <v>41548</v>
      </c>
      <c r="M563" t="s">
        <v>4676</v>
      </c>
      <c r="N563">
        <v>1</v>
      </c>
      <c r="O563" t="s">
        <v>4903</v>
      </c>
      <c r="P563">
        <v>0</v>
      </c>
      <c r="Q563" t="s">
        <v>4903</v>
      </c>
      <c r="R563" t="s">
        <v>3811</v>
      </c>
    </row>
    <row r="564" spans="1:18" hidden="1" x14ac:dyDescent="0.25">
      <c r="A564" t="s">
        <v>369</v>
      </c>
      <c r="B564" t="s">
        <v>47</v>
      </c>
      <c r="C564" t="s">
        <v>48</v>
      </c>
      <c r="D564" t="s">
        <v>32</v>
      </c>
      <c r="E564" t="s">
        <v>232</v>
      </c>
      <c r="F564" t="s">
        <v>26</v>
      </c>
      <c r="G564" t="s">
        <v>3771</v>
      </c>
      <c r="H564" s="15">
        <v>868690</v>
      </c>
      <c r="I564" s="15">
        <v>0</v>
      </c>
      <c r="J564" t="s">
        <v>20</v>
      </c>
      <c r="K564" t="s">
        <v>28</v>
      </c>
      <c r="L564" s="2">
        <v>41548</v>
      </c>
      <c r="M564" t="s">
        <v>3772</v>
      </c>
      <c r="N564">
        <v>0</v>
      </c>
      <c r="O564" t="s">
        <v>4903</v>
      </c>
      <c r="P564">
        <v>0</v>
      </c>
      <c r="Q564" t="s">
        <v>4903</v>
      </c>
      <c r="R564" t="s">
        <v>369</v>
      </c>
    </row>
    <row r="565" spans="1:18" hidden="1" x14ac:dyDescent="0.25">
      <c r="A565" t="s">
        <v>1894</v>
      </c>
      <c r="B565" t="s">
        <v>315</v>
      </c>
      <c r="C565" t="s">
        <v>39</v>
      </c>
      <c r="D565" t="s">
        <v>32</v>
      </c>
      <c r="E565" t="s">
        <v>232</v>
      </c>
      <c r="F565" t="s">
        <v>152</v>
      </c>
      <c r="G565" t="s">
        <v>1895</v>
      </c>
      <c r="H565" s="15">
        <v>380219</v>
      </c>
      <c r="I565" s="15">
        <v>0</v>
      </c>
      <c r="J565" t="s">
        <v>89</v>
      </c>
      <c r="K565" t="s">
        <v>28</v>
      </c>
      <c r="L565" s="2">
        <v>41548</v>
      </c>
      <c r="M565" t="s">
        <v>1896</v>
      </c>
      <c r="N565">
        <v>0</v>
      </c>
      <c r="O565" t="s">
        <v>4903</v>
      </c>
      <c r="P565">
        <v>0</v>
      </c>
      <c r="Q565" t="s">
        <v>4903</v>
      </c>
      <c r="R565" t="s">
        <v>1894</v>
      </c>
    </row>
    <row r="566" spans="1:18" hidden="1" x14ac:dyDescent="0.25">
      <c r="A566" t="s">
        <v>393</v>
      </c>
      <c r="B566" t="s">
        <v>47</v>
      </c>
      <c r="C566" t="s">
        <v>48</v>
      </c>
      <c r="D566" t="s">
        <v>32</v>
      </c>
      <c r="E566" t="s">
        <v>232</v>
      </c>
      <c r="F566" t="s">
        <v>34</v>
      </c>
      <c r="G566" t="s">
        <v>2429</v>
      </c>
      <c r="H566" s="15">
        <v>493204</v>
      </c>
      <c r="I566" s="15">
        <v>0</v>
      </c>
      <c r="J566" t="s">
        <v>20</v>
      </c>
      <c r="K566" t="s">
        <v>28</v>
      </c>
      <c r="L566" s="2">
        <v>41548</v>
      </c>
      <c r="M566" t="s">
        <v>2430</v>
      </c>
      <c r="N566">
        <v>2</v>
      </c>
      <c r="O566" t="s">
        <v>4903</v>
      </c>
      <c r="P566">
        <v>0</v>
      </c>
      <c r="Q566" t="s">
        <v>4903</v>
      </c>
      <c r="R566" t="s">
        <v>393</v>
      </c>
    </row>
    <row r="567" spans="1:18" hidden="1" x14ac:dyDescent="0.25">
      <c r="A567" t="s">
        <v>765</v>
      </c>
      <c r="B567" t="s">
        <v>471</v>
      </c>
      <c r="C567" t="s">
        <v>15</v>
      </c>
      <c r="D567" t="s">
        <v>512</v>
      </c>
      <c r="E567" t="s">
        <v>766</v>
      </c>
      <c r="F567" t="s">
        <v>146</v>
      </c>
      <c r="G567" t="s">
        <v>767</v>
      </c>
      <c r="H567" s="15">
        <v>89988</v>
      </c>
      <c r="I567" s="15">
        <v>0</v>
      </c>
      <c r="J567" t="s">
        <v>44</v>
      </c>
      <c r="K567" t="s">
        <v>148</v>
      </c>
      <c r="L567" s="2">
        <v>41699</v>
      </c>
      <c r="M567" t="s">
        <v>768</v>
      </c>
      <c r="N567">
        <v>0</v>
      </c>
      <c r="O567" t="s">
        <v>4903</v>
      </c>
      <c r="P567">
        <v>0</v>
      </c>
      <c r="Q567" t="s">
        <v>4903</v>
      </c>
      <c r="R567" t="s">
        <v>765</v>
      </c>
    </row>
    <row r="568" spans="1:18" hidden="1" x14ac:dyDescent="0.25">
      <c r="A568" t="s">
        <v>3584</v>
      </c>
      <c r="B568" t="s">
        <v>406</v>
      </c>
      <c r="C568" t="s">
        <v>62</v>
      </c>
      <c r="D568" t="s">
        <v>144</v>
      </c>
      <c r="E568" t="s">
        <v>145</v>
      </c>
      <c r="F568" t="s">
        <v>146</v>
      </c>
      <c r="G568" t="s">
        <v>3585</v>
      </c>
      <c r="H568" s="15">
        <v>92112</v>
      </c>
      <c r="I568" s="15">
        <v>0</v>
      </c>
      <c r="J568" t="s">
        <v>44</v>
      </c>
      <c r="K568" t="s">
        <v>100</v>
      </c>
      <c r="L568" s="2">
        <v>41699</v>
      </c>
      <c r="M568" t="s">
        <v>3586</v>
      </c>
      <c r="N568">
        <v>0</v>
      </c>
      <c r="O568" t="s">
        <v>4903</v>
      </c>
      <c r="P568">
        <v>0</v>
      </c>
      <c r="Q568" t="s">
        <v>4903</v>
      </c>
      <c r="R568" t="s">
        <v>3584</v>
      </c>
    </row>
    <row r="569" spans="1:18" hidden="1" x14ac:dyDescent="0.25">
      <c r="A569" t="s">
        <v>3507</v>
      </c>
      <c r="B569" t="s">
        <v>24</v>
      </c>
      <c r="C569" t="s">
        <v>15</v>
      </c>
      <c r="D569" t="s">
        <v>144</v>
      </c>
      <c r="E569" t="s">
        <v>145</v>
      </c>
      <c r="F569" t="s">
        <v>146</v>
      </c>
      <c r="G569" t="s">
        <v>3508</v>
      </c>
      <c r="H569" s="15">
        <v>89178</v>
      </c>
      <c r="I569" s="15">
        <v>1759</v>
      </c>
      <c r="J569" t="s">
        <v>44</v>
      </c>
      <c r="K569" t="s">
        <v>100</v>
      </c>
      <c r="L569" s="2">
        <v>41699</v>
      </c>
      <c r="M569" t="s">
        <v>3509</v>
      </c>
      <c r="N569">
        <v>0</v>
      </c>
      <c r="O569" t="s">
        <v>4903</v>
      </c>
      <c r="P569">
        <v>0</v>
      </c>
      <c r="Q569" t="s">
        <v>4903</v>
      </c>
      <c r="R569" t="s">
        <v>3507</v>
      </c>
    </row>
    <row r="570" spans="1:18" hidden="1" x14ac:dyDescent="0.25">
      <c r="A570" t="s">
        <v>994</v>
      </c>
      <c r="B570" t="s">
        <v>47</v>
      </c>
      <c r="C570" t="s">
        <v>48</v>
      </c>
      <c r="D570" t="s">
        <v>108</v>
      </c>
      <c r="E570" t="s">
        <v>995</v>
      </c>
      <c r="F570" t="s">
        <v>34</v>
      </c>
      <c r="G570" t="s">
        <v>996</v>
      </c>
      <c r="H570" s="15">
        <v>100000</v>
      </c>
      <c r="I570" s="15">
        <v>0</v>
      </c>
      <c r="J570" t="s">
        <v>44</v>
      </c>
      <c r="K570" t="s">
        <v>28</v>
      </c>
      <c r="L570" s="2">
        <v>41699</v>
      </c>
      <c r="M570" t="s">
        <v>997</v>
      </c>
      <c r="N570">
        <v>3</v>
      </c>
      <c r="O570" t="s">
        <v>4903</v>
      </c>
      <c r="P570">
        <v>0</v>
      </c>
      <c r="Q570" t="s">
        <v>4903</v>
      </c>
      <c r="R570" t="s">
        <v>994</v>
      </c>
    </row>
    <row r="571" spans="1:18" hidden="1" x14ac:dyDescent="0.25">
      <c r="A571" t="s">
        <v>143</v>
      </c>
      <c r="B571" t="s">
        <v>47</v>
      </c>
      <c r="C571" t="s">
        <v>48</v>
      </c>
      <c r="D571" t="s">
        <v>144</v>
      </c>
      <c r="E571" t="s">
        <v>145</v>
      </c>
      <c r="F571" t="s">
        <v>146</v>
      </c>
      <c r="G571" t="s">
        <v>147</v>
      </c>
      <c r="H571" s="15">
        <v>80459</v>
      </c>
      <c r="I571" s="15">
        <v>0</v>
      </c>
      <c r="J571" t="s">
        <v>44</v>
      </c>
      <c r="K571" t="s">
        <v>148</v>
      </c>
      <c r="L571" s="2">
        <v>41699</v>
      </c>
      <c r="M571" t="s">
        <v>149</v>
      </c>
      <c r="N571">
        <v>0</v>
      </c>
      <c r="O571" t="s">
        <v>4903</v>
      </c>
      <c r="P571">
        <v>0</v>
      </c>
      <c r="Q571" t="s">
        <v>4903</v>
      </c>
      <c r="R571" t="s">
        <v>143</v>
      </c>
    </row>
    <row r="572" spans="1:18" hidden="1" x14ac:dyDescent="0.25">
      <c r="A572" t="s">
        <v>3806</v>
      </c>
      <c r="B572" t="s">
        <v>485</v>
      </c>
      <c r="C572" t="s">
        <v>15</v>
      </c>
      <c r="D572" t="s">
        <v>512</v>
      </c>
      <c r="E572" t="s">
        <v>766</v>
      </c>
      <c r="F572" t="s">
        <v>146</v>
      </c>
      <c r="G572" t="s">
        <v>3807</v>
      </c>
      <c r="H572" s="15">
        <v>38042</v>
      </c>
      <c r="I572" s="15">
        <v>1861</v>
      </c>
      <c r="J572" t="s">
        <v>44</v>
      </c>
      <c r="K572" t="s">
        <v>148</v>
      </c>
      <c r="L572" s="2">
        <v>41699</v>
      </c>
      <c r="M572" t="s">
        <v>3808</v>
      </c>
      <c r="N572">
        <v>0</v>
      </c>
      <c r="O572" t="s">
        <v>4903</v>
      </c>
      <c r="P572">
        <v>0</v>
      </c>
      <c r="Q572" t="s">
        <v>4903</v>
      </c>
      <c r="R572" t="s">
        <v>3806</v>
      </c>
    </row>
    <row r="573" spans="1:18" hidden="1" x14ac:dyDescent="0.25">
      <c r="A573" t="s">
        <v>4280</v>
      </c>
      <c r="B573" t="s">
        <v>77</v>
      </c>
      <c r="C573" t="s">
        <v>15</v>
      </c>
      <c r="D573" t="s">
        <v>512</v>
      </c>
      <c r="E573" t="s">
        <v>766</v>
      </c>
      <c r="F573" t="s">
        <v>146</v>
      </c>
      <c r="G573" t="s">
        <v>4281</v>
      </c>
      <c r="H573" s="15">
        <v>92207</v>
      </c>
      <c r="I573" s="15">
        <v>0</v>
      </c>
      <c r="J573" t="s">
        <v>44</v>
      </c>
      <c r="K573" t="s">
        <v>28</v>
      </c>
      <c r="L573" s="2">
        <v>41699</v>
      </c>
      <c r="M573" t="s">
        <v>4282</v>
      </c>
      <c r="N573">
        <v>0</v>
      </c>
      <c r="O573" t="s">
        <v>4903</v>
      </c>
      <c r="P573">
        <v>0</v>
      </c>
      <c r="Q573" t="s">
        <v>4903</v>
      </c>
      <c r="R573" t="s">
        <v>4280</v>
      </c>
    </row>
    <row r="574" spans="1:18" hidden="1" x14ac:dyDescent="0.25">
      <c r="A574" t="s">
        <v>4280</v>
      </c>
      <c r="B574" t="s">
        <v>77</v>
      </c>
      <c r="C574" t="s">
        <v>15</v>
      </c>
      <c r="D574" t="s">
        <v>512</v>
      </c>
      <c r="E574" t="s">
        <v>766</v>
      </c>
      <c r="F574" t="s">
        <v>146</v>
      </c>
      <c r="G574" t="s">
        <v>4364</v>
      </c>
      <c r="H574" s="15">
        <v>92228</v>
      </c>
      <c r="I574" s="15">
        <v>0</v>
      </c>
      <c r="J574" t="s">
        <v>44</v>
      </c>
      <c r="K574" t="s">
        <v>28</v>
      </c>
      <c r="L574" s="2">
        <v>41699</v>
      </c>
      <c r="M574" t="s">
        <v>4365</v>
      </c>
      <c r="N574">
        <v>0</v>
      </c>
      <c r="O574" t="s">
        <v>4903</v>
      </c>
      <c r="P574">
        <v>0</v>
      </c>
      <c r="Q574" t="s">
        <v>4903</v>
      </c>
      <c r="R574" t="s">
        <v>4280</v>
      </c>
    </row>
    <row r="575" spans="1:18" hidden="1" x14ac:dyDescent="0.25">
      <c r="A575" t="s">
        <v>1961</v>
      </c>
      <c r="B575" t="s">
        <v>520</v>
      </c>
      <c r="C575" t="s">
        <v>521</v>
      </c>
      <c r="D575" t="s">
        <v>512</v>
      </c>
      <c r="E575" t="s">
        <v>766</v>
      </c>
      <c r="F575" t="s">
        <v>146</v>
      </c>
      <c r="G575" t="s">
        <v>1962</v>
      </c>
      <c r="H575" s="15">
        <v>66461</v>
      </c>
      <c r="I575" s="15">
        <v>0</v>
      </c>
      <c r="J575" t="s">
        <v>44</v>
      </c>
      <c r="K575" t="s">
        <v>201</v>
      </c>
      <c r="L575" s="2">
        <v>41699</v>
      </c>
      <c r="M575" t="s">
        <v>1963</v>
      </c>
      <c r="N575">
        <v>0</v>
      </c>
      <c r="O575" t="s">
        <v>4903</v>
      </c>
      <c r="P575">
        <v>0</v>
      </c>
      <c r="Q575" t="s">
        <v>4903</v>
      </c>
      <c r="R575" t="s">
        <v>1961</v>
      </c>
    </row>
    <row r="576" spans="1:18" x14ac:dyDescent="0.25">
      <c r="A576" t="s">
        <v>1255</v>
      </c>
      <c r="B576" t="s">
        <v>14</v>
      </c>
      <c r="C576" t="s">
        <v>15</v>
      </c>
      <c r="D576" t="s">
        <v>32</v>
      </c>
      <c r="E576" t="s">
        <v>370</v>
      </c>
      <c r="F576" t="s">
        <v>152</v>
      </c>
      <c r="G576" t="s">
        <v>1256</v>
      </c>
      <c r="H576" s="15">
        <v>447823</v>
      </c>
      <c r="I576" s="15">
        <v>0</v>
      </c>
      <c r="J576" t="s">
        <v>154</v>
      </c>
      <c r="K576" t="s">
        <v>28</v>
      </c>
      <c r="L576" s="2">
        <v>41183</v>
      </c>
      <c r="M576" t="s">
        <v>1257</v>
      </c>
      <c r="N576">
        <v>8</v>
      </c>
      <c r="O576" t="s">
        <v>4867</v>
      </c>
      <c r="P576">
        <v>1</v>
      </c>
      <c r="Q576" t="s">
        <v>4809</v>
      </c>
      <c r="R576" t="s">
        <v>1255</v>
      </c>
    </row>
    <row r="577" spans="1:18" x14ac:dyDescent="0.25">
      <c r="A577" t="s">
        <v>1197</v>
      </c>
      <c r="B577" t="s">
        <v>47</v>
      </c>
      <c r="C577" t="s">
        <v>48</v>
      </c>
      <c r="D577" t="s">
        <v>16</v>
      </c>
      <c r="E577" t="s">
        <v>219</v>
      </c>
      <c r="F577" t="s">
        <v>59</v>
      </c>
      <c r="G577" t="s">
        <v>3701</v>
      </c>
      <c r="H577" s="15">
        <v>1082476</v>
      </c>
      <c r="I577" s="15">
        <v>0</v>
      </c>
      <c r="J577" t="s">
        <v>20</v>
      </c>
      <c r="K577" t="s">
        <v>134</v>
      </c>
      <c r="L577" s="2">
        <v>45200</v>
      </c>
      <c r="M577" t="s">
        <v>3702</v>
      </c>
      <c r="N577">
        <v>4</v>
      </c>
      <c r="O577" t="s">
        <v>4833</v>
      </c>
      <c r="P577">
        <v>1</v>
      </c>
      <c r="Q577" t="s">
        <v>4809</v>
      </c>
      <c r="R577" t="s">
        <v>1197</v>
      </c>
    </row>
    <row r="578" spans="1:18" x14ac:dyDescent="0.25">
      <c r="A578" t="s">
        <v>916</v>
      </c>
      <c r="B578" t="s">
        <v>84</v>
      </c>
      <c r="C578" t="s">
        <v>15</v>
      </c>
      <c r="D578" t="s">
        <v>32</v>
      </c>
      <c r="E578" t="s">
        <v>305</v>
      </c>
      <c r="F578" t="s">
        <v>18</v>
      </c>
      <c r="G578" t="s">
        <v>917</v>
      </c>
      <c r="H578" s="15">
        <v>418000</v>
      </c>
      <c r="I578" s="15">
        <v>0</v>
      </c>
      <c r="J578" t="s">
        <v>20</v>
      </c>
      <c r="K578" t="s">
        <v>116</v>
      </c>
      <c r="L578" s="2">
        <v>41365</v>
      </c>
      <c r="M578" t="s">
        <v>918</v>
      </c>
      <c r="N578">
        <v>4</v>
      </c>
      <c r="O578" t="s">
        <v>4821</v>
      </c>
      <c r="P578">
        <v>1</v>
      </c>
      <c r="Q578" t="s">
        <v>4809</v>
      </c>
      <c r="R578" t="s">
        <v>916</v>
      </c>
    </row>
    <row r="579" spans="1:18" hidden="1" x14ac:dyDescent="0.25">
      <c r="A579" t="s">
        <v>3834</v>
      </c>
      <c r="B579" t="s">
        <v>406</v>
      </c>
      <c r="C579" t="s">
        <v>62</v>
      </c>
      <c r="D579" t="s">
        <v>85</v>
      </c>
      <c r="E579" t="s">
        <v>179</v>
      </c>
      <c r="F579" t="s">
        <v>87</v>
      </c>
      <c r="G579" t="s">
        <v>3835</v>
      </c>
      <c r="H579" s="15">
        <v>166500</v>
      </c>
      <c r="I579" s="15">
        <v>0</v>
      </c>
      <c r="J579" t="s">
        <v>89</v>
      </c>
      <c r="K579" t="s">
        <v>74</v>
      </c>
      <c r="L579" s="2">
        <v>41730</v>
      </c>
      <c r="M579" t="s">
        <v>3836</v>
      </c>
      <c r="N579">
        <v>0</v>
      </c>
      <c r="O579" t="s">
        <v>4903</v>
      </c>
      <c r="P579">
        <v>0</v>
      </c>
      <c r="Q579" t="s">
        <v>4903</v>
      </c>
      <c r="R579" t="s">
        <v>3834</v>
      </c>
    </row>
    <row r="580" spans="1:18" hidden="1" x14ac:dyDescent="0.25">
      <c r="A580" t="s">
        <v>1405</v>
      </c>
      <c r="B580" t="s">
        <v>190</v>
      </c>
      <c r="C580" t="s">
        <v>15</v>
      </c>
      <c r="D580" t="s">
        <v>85</v>
      </c>
      <c r="E580" t="s">
        <v>179</v>
      </c>
      <c r="F580" t="s">
        <v>87</v>
      </c>
      <c r="G580" t="s">
        <v>3499</v>
      </c>
      <c r="H580" s="15">
        <v>206646</v>
      </c>
      <c r="I580" s="15">
        <v>0</v>
      </c>
      <c r="J580" t="s">
        <v>89</v>
      </c>
      <c r="K580" t="s">
        <v>28</v>
      </c>
      <c r="L580" s="2">
        <v>41730</v>
      </c>
      <c r="M580" t="s">
        <v>3500</v>
      </c>
      <c r="N580">
        <v>0</v>
      </c>
      <c r="O580" t="s">
        <v>4903</v>
      </c>
      <c r="P580">
        <v>0</v>
      </c>
      <c r="Q580" t="s">
        <v>4903</v>
      </c>
      <c r="R580" t="s">
        <v>1405</v>
      </c>
    </row>
    <row r="581" spans="1:18" hidden="1" x14ac:dyDescent="0.25">
      <c r="A581" t="s">
        <v>562</v>
      </c>
      <c r="B581" t="s">
        <v>190</v>
      </c>
      <c r="C581" t="s">
        <v>15</v>
      </c>
      <c r="D581" t="s">
        <v>85</v>
      </c>
      <c r="E581" t="s">
        <v>179</v>
      </c>
      <c r="F581" t="s">
        <v>87</v>
      </c>
      <c r="G581" t="s">
        <v>563</v>
      </c>
      <c r="H581" s="15">
        <v>168002</v>
      </c>
      <c r="I581" s="15">
        <v>0</v>
      </c>
      <c r="J581" t="s">
        <v>89</v>
      </c>
      <c r="K581" t="s">
        <v>65</v>
      </c>
      <c r="L581" s="2">
        <v>41730</v>
      </c>
      <c r="M581" t="s">
        <v>564</v>
      </c>
      <c r="N581">
        <v>0</v>
      </c>
      <c r="O581" t="s">
        <v>4903</v>
      </c>
      <c r="P581">
        <v>0</v>
      </c>
      <c r="Q581" t="s">
        <v>4903</v>
      </c>
      <c r="R581" t="s">
        <v>562</v>
      </c>
    </row>
    <row r="582" spans="1:18" hidden="1" x14ac:dyDescent="0.25">
      <c r="A582" t="s">
        <v>1283</v>
      </c>
      <c r="B582" t="s">
        <v>61</v>
      </c>
      <c r="C582" t="s">
        <v>62</v>
      </c>
      <c r="D582" t="s">
        <v>85</v>
      </c>
      <c r="E582" t="s">
        <v>179</v>
      </c>
      <c r="F582" t="s">
        <v>87</v>
      </c>
      <c r="G582" t="s">
        <v>1284</v>
      </c>
      <c r="H582" s="15">
        <v>234775</v>
      </c>
      <c r="I582" s="15">
        <v>0</v>
      </c>
      <c r="J582" t="s">
        <v>89</v>
      </c>
      <c r="K582" t="s">
        <v>65</v>
      </c>
      <c r="L582" s="2">
        <v>41730</v>
      </c>
      <c r="M582" t="s">
        <v>1285</v>
      </c>
      <c r="N582">
        <v>0</v>
      </c>
      <c r="O582" t="s">
        <v>4903</v>
      </c>
      <c r="P582">
        <v>0</v>
      </c>
      <c r="Q582" t="s">
        <v>4903</v>
      </c>
      <c r="R582" t="s">
        <v>1283</v>
      </c>
    </row>
    <row r="583" spans="1:18" hidden="1" x14ac:dyDescent="0.25">
      <c r="A583" t="s">
        <v>2581</v>
      </c>
      <c r="B583" t="s">
        <v>2582</v>
      </c>
      <c r="C583" t="s">
        <v>39</v>
      </c>
      <c r="D583" t="s">
        <v>85</v>
      </c>
      <c r="E583" t="s">
        <v>179</v>
      </c>
      <c r="F583" t="s">
        <v>87</v>
      </c>
      <c r="G583" t="s">
        <v>2583</v>
      </c>
      <c r="H583" s="15">
        <v>364959</v>
      </c>
      <c r="I583" s="15">
        <v>0</v>
      </c>
      <c r="J583" t="s">
        <v>89</v>
      </c>
      <c r="K583" t="s">
        <v>134</v>
      </c>
      <c r="L583" s="2">
        <v>41730</v>
      </c>
      <c r="M583" t="s">
        <v>2584</v>
      </c>
      <c r="N583">
        <v>0</v>
      </c>
      <c r="O583" t="s">
        <v>4903</v>
      </c>
      <c r="P583">
        <v>0</v>
      </c>
      <c r="Q583" t="s">
        <v>4903</v>
      </c>
      <c r="R583" t="s">
        <v>2581</v>
      </c>
    </row>
    <row r="584" spans="1:18" hidden="1" x14ac:dyDescent="0.25">
      <c r="A584" t="s">
        <v>3144</v>
      </c>
      <c r="B584" t="s">
        <v>84</v>
      </c>
      <c r="C584" t="s">
        <v>15</v>
      </c>
      <c r="D584" t="s">
        <v>85</v>
      </c>
      <c r="E584" t="s">
        <v>179</v>
      </c>
      <c r="F584" t="s">
        <v>87</v>
      </c>
      <c r="G584" t="s">
        <v>3145</v>
      </c>
      <c r="H584" s="15">
        <v>508406</v>
      </c>
      <c r="I584" s="15">
        <v>0</v>
      </c>
      <c r="J584" t="s">
        <v>89</v>
      </c>
      <c r="K584" t="s">
        <v>28</v>
      </c>
      <c r="L584" s="2">
        <v>41730</v>
      </c>
      <c r="M584" t="s">
        <v>3146</v>
      </c>
      <c r="N584">
        <v>1</v>
      </c>
      <c r="O584" t="s">
        <v>4903</v>
      </c>
      <c r="P584">
        <v>0</v>
      </c>
      <c r="Q584" t="s">
        <v>4903</v>
      </c>
      <c r="R584" t="s">
        <v>3144</v>
      </c>
    </row>
    <row r="585" spans="1:18" hidden="1" x14ac:dyDescent="0.25">
      <c r="A585" t="s">
        <v>2148</v>
      </c>
      <c r="B585" t="s">
        <v>471</v>
      </c>
      <c r="C585" t="s">
        <v>15</v>
      </c>
      <c r="D585" t="s">
        <v>32</v>
      </c>
      <c r="E585" t="s">
        <v>151</v>
      </c>
      <c r="F585" t="s">
        <v>18</v>
      </c>
      <c r="G585" t="s">
        <v>2149</v>
      </c>
      <c r="H585" s="15">
        <v>524631</v>
      </c>
      <c r="I585" s="15">
        <v>0</v>
      </c>
      <c r="J585" t="s">
        <v>154</v>
      </c>
      <c r="K585" t="s">
        <v>65</v>
      </c>
      <c r="L585" s="2">
        <v>41730</v>
      </c>
      <c r="M585" t="s">
        <v>2150</v>
      </c>
      <c r="N585">
        <v>1</v>
      </c>
      <c r="O585" t="s">
        <v>4903</v>
      </c>
      <c r="P585">
        <v>0</v>
      </c>
      <c r="Q585" t="s">
        <v>4903</v>
      </c>
      <c r="R585" t="s">
        <v>2148</v>
      </c>
    </row>
    <row r="586" spans="1:18" hidden="1" x14ac:dyDescent="0.25">
      <c r="A586" t="s">
        <v>3711</v>
      </c>
      <c r="B586" t="s">
        <v>126</v>
      </c>
      <c r="C586" t="s">
        <v>39</v>
      </c>
      <c r="D586" t="s">
        <v>85</v>
      </c>
      <c r="E586" t="s">
        <v>179</v>
      </c>
      <c r="F586" t="s">
        <v>87</v>
      </c>
      <c r="G586" t="s">
        <v>3961</v>
      </c>
      <c r="H586" s="15">
        <v>357982</v>
      </c>
      <c r="I586" s="15">
        <v>0</v>
      </c>
      <c r="J586" t="s">
        <v>89</v>
      </c>
      <c r="K586" t="s">
        <v>116</v>
      </c>
      <c r="L586" s="2">
        <v>41730</v>
      </c>
      <c r="M586" t="s">
        <v>3962</v>
      </c>
      <c r="N586">
        <v>0</v>
      </c>
      <c r="O586" t="s">
        <v>4903</v>
      </c>
      <c r="P586">
        <v>0</v>
      </c>
      <c r="Q586" t="s">
        <v>4903</v>
      </c>
      <c r="R586" t="s">
        <v>3711</v>
      </c>
    </row>
    <row r="587" spans="1:18" hidden="1" x14ac:dyDescent="0.25">
      <c r="A587" t="s">
        <v>4388</v>
      </c>
      <c r="B587" t="s">
        <v>61</v>
      </c>
      <c r="C587" t="s">
        <v>62</v>
      </c>
      <c r="D587" t="s">
        <v>32</v>
      </c>
      <c r="E587" t="s">
        <v>151</v>
      </c>
      <c r="F587" t="s">
        <v>26</v>
      </c>
      <c r="G587" t="s">
        <v>4389</v>
      </c>
      <c r="H587" s="15">
        <v>656900</v>
      </c>
      <c r="I587" s="15">
        <v>0</v>
      </c>
      <c r="J587" t="s">
        <v>20</v>
      </c>
      <c r="K587" t="s">
        <v>28</v>
      </c>
      <c r="L587" s="2">
        <v>41730</v>
      </c>
      <c r="M587" t="s">
        <v>4390</v>
      </c>
      <c r="N587">
        <v>0</v>
      </c>
      <c r="O587" t="s">
        <v>4903</v>
      </c>
      <c r="P587">
        <v>0</v>
      </c>
      <c r="Q587" t="s">
        <v>4903</v>
      </c>
      <c r="R587" t="s">
        <v>4388</v>
      </c>
    </row>
    <row r="588" spans="1:18" hidden="1" x14ac:dyDescent="0.25">
      <c r="A588" t="s">
        <v>1192</v>
      </c>
      <c r="B588" t="s">
        <v>161</v>
      </c>
      <c r="C588" t="s">
        <v>39</v>
      </c>
      <c r="D588" t="s">
        <v>85</v>
      </c>
      <c r="E588" t="s">
        <v>179</v>
      </c>
      <c r="F588" t="s">
        <v>87</v>
      </c>
      <c r="G588" t="s">
        <v>3140</v>
      </c>
      <c r="H588" s="15">
        <v>302077</v>
      </c>
      <c r="I588" s="15">
        <v>0</v>
      </c>
      <c r="J588" t="s">
        <v>89</v>
      </c>
      <c r="K588" t="s">
        <v>21</v>
      </c>
      <c r="L588" s="2">
        <v>41730</v>
      </c>
      <c r="M588" t="s">
        <v>3141</v>
      </c>
      <c r="N588">
        <v>1</v>
      </c>
      <c r="O588" t="s">
        <v>4903</v>
      </c>
      <c r="P588">
        <v>0</v>
      </c>
      <c r="Q588" t="s">
        <v>4903</v>
      </c>
      <c r="R588" t="s">
        <v>1192</v>
      </c>
    </row>
    <row r="589" spans="1:18" hidden="1" x14ac:dyDescent="0.25">
      <c r="A589" t="s">
        <v>1467</v>
      </c>
      <c r="B589" t="s">
        <v>489</v>
      </c>
      <c r="C589" t="s">
        <v>39</v>
      </c>
      <c r="D589" t="s">
        <v>32</v>
      </c>
      <c r="E589" t="s">
        <v>151</v>
      </c>
      <c r="F589" t="s">
        <v>34</v>
      </c>
      <c r="G589" t="s">
        <v>1468</v>
      </c>
      <c r="H589" s="15">
        <v>511724</v>
      </c>
      <c r="I589" s="15">
        <v>0</v>
      </c>
      <c r="J589" t="s">
        <v>20</v>
      </c>
      <c r="K589" t="s">
        <v>100</v>
      </c>
      <c r="L589" s="2">
        <v>41730</v>
      </c>
      <c r="M589" t="s">
        <v>1469</v>
      </c>
      <c r="N589">
        <v>1</v>
      </c>
      <c r="O589" t="s">
        <v>4903</v>
      </c>
      <c r="P589">
        <v>0</v>
      </c>
      <c r="Q589" t="s">
        <v>4903</v>
      </c>
      <c r="R589" t="s">
        <v>1467</v>
      </c>
    </row>
    <row r="590" spans="1:18" hidden="1" x14ac:dyDescent="0.25">
      <c r="A590" t="s">
        <v>1140</v>
      </c>
      <c r="B590" t="s">
        <v>84</v>
      </c>
      <c r="C590" t="s">
        <v>15</v>
      </c>
      <c r="D590" t="s">
        <v>96</v>
      </c>
      <c r="E590" t="s">
        <v>1141</v>
      </c>
      <c r="F590" t="s">
        <v>98</v>
      </c>
      <c r="G590" t="s">
        <v>1142</v>
      </c>
      <c r="H590" s="15">
        <v>126664</v>
      </c>
      <c r="I590" s="15">
        <v>0</v>
      </c>
      <c r="J590" t="s">
        <v>455</v>
      </c>
      <c r="K590" t="s">
        <v>326</v>
      </c>
      <c r="L590" s="2">
        <v>41730</v>
      </c>
      <c r="M590" t="s">
        <v>1143</v>
      </c>
      <c r="N590">
        <v>0</v>
      </c>
      <c r="O590" t="s">
        <v>4903</v>
      </c>
      <c r="P590">
        <v>0</v>
      </c>
      <c r="Q590" t="s">
        <v>4903</v>
      </c>
      <c r="R590" t="s">
        <v>1140</v>
      </c>
    </row>
    <row r="591" spans="1:18" hidden="1" x14ac:dyDescent="0.25">
      <c r="A591" t="s">
        <v>822</v>
      </c>
      <c r="B591" t="s">
        <v>24</v>
      </c>
      <c r="C591" t="s">
        <v>15</v>
      </c>
      <c r="D591" t="s">
        <v>32</v>
      </c>
      <c r="E591" t="s">
        <v>151</v>
      </c>
      <c r="F591" t="s">
        <v>34</v>
      </c>
      <c r="G591" t="s">
        <v>823</v>
      </c>
      <c r="H591" s="15">
        <v>344523</v>
      </c>
      <c r="I591" s="15">
        <v>0</v>
      </c>
      <c r="J591" t="s">
        <v>89</v>
      </c>
      <c r="K591" t="s">
        <v>21</v>
      </c>
      <c r="L591" s="2">
        <v>41730</v>
      </c>
      <c r="M591" t="s">
        <v>824</v>
      </c>
      <c r="N591">
        <v>2</v>
      </c>
      <c r="O591" t="s">
        <v>4903</v>
      </c>
      <c r="P591">
        <v>0</v>
      </c>
      <c r="Q591" t="s">
        <v>4903</v>
      </c>
      <c r="R591" t="s">
        <v>822</v>
      </c>
    </row>
    <row r="592" spans="1:18" hidden="1" x14ac:dyDescent="0.25">
      <c r="A592" t="s">
        <v>1692</v>
      </c>
      <c r="B592" t="s">
        <v>31</v>
      </c>
      <c r="C592" t="s">
        <v>15</v>
      </c>
      <c r="D592" t="s">
        <v>32</v>
      </c>
      <c r="E592" t="s">
        <v>151</v>
      </c>
      <c r="F592" t="s">
        <v>34</v>
      </c>
      <c r="G592" t="s">
        <v>2066</v>
      </c>
      <c r="H592" s="15">
        <v>419099</v>
      </c>
      <c r="I592" s="15">
        <v>0</v>
      </c>
      <c r="J592" t="s">
        <v>89</v>
      </c>
      <c r="K592" t="s">
        <v>28</v>
      </c>
      <c r="L592" s="2">
        <v>41730</v>
      </c>
      <c r="M592" t="s">
        <v>2067</v>
      </c>
      <c r="N592">
        <v>2</v>
      </c>
      <c r="O592" t="s">
        <v>4903</v>
      </c>
      <c r="P592">
        <v>0</v>
      </c>
      <c r="Q592" t="s">
        <v>4903</v>
      </c>
      <c r="R592" t="s">
        <v>1692</v>
      </c>
    </row>
    <row r="593" spans="1:18" hidden="1" x14ac:dyDescent="0.25">
      <c r="A593" t="s">
        <v>4569</v>
      </c>
      <c r="B593" t="s">
        <v>1252</v>
      </c>
      <c r="C593" t="s">
        <v>15</v>
      </c>
      <c r="D593" t="s">
        <v>32</v>
      </c>
      <c r="E593" t="s">
        <v>151</v>
      </c>
      <c r="F593" t="s">
        <v>34</v>
      </c>
      <c r="G593" t="s">
        <v>4570</v>
      </c>
      <c r="H593" s="15">
        <v>391460</v>
      </c>
      <c r="I593" s="15">
        <v>0</v>
      </c>
      <c r="J593" t="s">
        <v>154</v>
      </c>
      <c r="K593" t="s">
        <v>21</v>
      </c>
      <c r="L593" s="2">
        <v>41730</v>
      </c>
      <c r="M593" t="s">
        <v>4571</v>
      </c>
      <c r="N593">
        <v>0</v>
      </c>
      <c r="O593" t="s">
        <v>4903</v>
      </c>
      <c r="P593">
        <v>0</v>
      </c>
      <c r="Q593" t="s">
        <v>4903</v>
      </c>
      <c r="R593" t="s">
        <v>4569</v>
      </c>
    </row>
    <row r="594" spans="1:18" hidden="1" x14ac:dyDescent="0.25">
      <c r="A594" t="s">
        <v>1499</v>
      </c>
      <c r="B594" t="s">
        <v>47</v>
      </c>
      <c r="C594" t="s">
        <v>48</v>
      </c>
      <c r="D594" t="s">
        <v>32</v>
      </c>
      <c r="E594" t="s">
        <v>151</v>
      </c>
      <c r="F594" t="s">
        <v>140</v>
      </c>
      <c r="G594" t="s">
        <v>1500</v>
      </c>
      <c r="H594" s="15">
        <v>609976</v>
      </c>
      <c r="I594" s="15">
        <v>0</v>
      </c>
      <c r="J594" t="s">
        <v>154</v>
      </c>
      <c r="K594" t="s">
        <v>28</v>
      </c>
      <c r="L594" s="2">
        <v>41730</v>
      </c>
      <c r="M594" t="s">
        <v>1501</v>
      </c>
      <c r="N594">
        <v>1</v>
      </c>
      <c r="O594" t="s">
        <v>4903</v>
      </c>
      <c r="P594">
        <v>0</v>
      </c>
      <c r="Q594" t="s">
        <v>4903</v>
      </c>
      <c r="R594" t="s">
        <v>1499</v>
      </c>
    </row>
    <row r="595" spans="1:18" hidden="1" x14ac:dyDescent="0.25">
      <c r="A595" t="s">
        <v>4246</v>
      </c>
      <c r="B595" t="s">
        <v>289</v>
      </c>
      <c r="C595" t="s">
        <v>15</v>
      </c>
      <c r="D595" t="s">
        <v>32</v>
      </c>
      <c r="E595" t="s">
        <v>151</v>
      </c>
      <c r="F595" t="s">
        <v>152</v>
      </c>
      <c r="G595" t="s">
        <v>4247</v>
      </c>
      <c r="H595" s="15">
        <v>349842</v>
      </c>
      <c r="I595" s="15">
        <v>0</v>
      </c>
      <c r="J595" t="s">
        <v>89</v>
      </c>
      <c r="K595" t="s">
        <v>28</v>
      </c>
      <c r="L595" s="2">
        <v>41730</v>
      </c>
      <c r="M595" t="s">
        <v>4248</v>
      </c>
      <c r="N595">
        <v>0</v>
      </c>
      <c r="O595" t="s">
        <v>4903</v>
      </c>
      <c r="P595">
        <v>0</v>
      </c>
      <c r="Q595" t="s">
        <v>4903</v>
      </c>
      <c r="R595" t="s">
        <v>4246</v>
      </c>
    </row>
    <row r="596" spans="1:18" hidden="1" x14ac:dyDescent="0.25">
      <c r="A596" t="s">
        <v>3784</v>
      </c>
      <c r="B596" t="s">
        <v>489</v>
      </c>
      <c r="C596" t="s">
        <v>39</v>
      </c>
      <c r="D596" t="s">
        <v>32</v>
      </c>
      <c r="E596" t="s">
        <v>151</v>
      </c>
      <c r="F596" t="s">
        <v>152</v>
      </c>
      <c r="G596" t="s">
        <v>3785</v>
      </c>
      <c r="H596" s="15">
        <v>364536</v>
      </c>
      <c r="I596" s="15">
        <v>0</v>
      </c>
      <c r="J596" t="s">
        <v>89</v>
      </c>
      <c r="K596" t="s">
        <v>28</v>
      </c>
      <c r="L596" s="2">
        <v>41730</v>
      </c>
      <c r="M596" t="s">
        <v>3786</v>
      </c>
      <c r="N596">
        <v>0</v>
      </c>
      <c r="O596" t="s">
        <v>4903</v>
      </c>
      <c r="P596">
        <v>0</v>
      </c>
      <c r="Q596" t="s">
        <v>4903</v>
      </c>
      <c r="R596" t="s">
        <v>3784</v>
      </c>
    </row>
    <row r="597" spans="1:18" hidden="1" x14ac:dyDescent="0.25">
      <c r="A597" t="s">
        <v>1051</v>
      </c>
      <c r="B597" t="s">
        <v>406</v>
      </c>
      <c r="C597" t="s">
        <v>62</v>
      </c>
      <c r="D597" t="s">
        <v>32</v>
      </c>
      <c r="E597" t="s">
        <v>1054</v>
      </c>
      <c r="F597" t="s">
        <v>18</v>
      </c>
      <c r="G597" t="s">
        <v>1055</v>
      </c>
      <c r="H597" s="15">
        <v>100000</v>
      </c>
      <c r="I597" s="15">
        <v>0</v>
      </c>
      <c r="J597" t="s">
        <v>44</v>
      </c>
      <c r="K597" t="s">
        <v>116</v>
      </c>
      <c r="L597" s="2">
        <v>41730</v>
      </c>
      <c r="M597" t="s">
        <v>1056</v>
      </c>
      <c r="N597">
        <v>0</v>
      </c>
      <c r="O597" t="s">
        <v>4903</v>
      </c>
      <c r="P597">
        <v>0</v>
      </c>
      <c r="Q597" t="s">
        <v>4903</v>
      </c>
      <c r="R597" t="s">
        <v>1051</v>
      </c>
    </row>
    <row r="598" spans="1:18" hidden="1" x14ac:dyDescent="0.25">
      <c r="A598" t="s">
        <v>1051</v>
      </c>
      <c r="B598" t="s">
        <v>406</v>
      </c>
      <c r="C598" t="s">
        <v>62</v>
      </c>
      <c r="D598" t="s">
        <v>1057</v>
      </c>
      <c r="E598" t="s">
        <v>1059</v>
      </c>
      <c r="F598" t="s">
        <v>18</v>
      </c>
      <c r="G598" t="s">
        <v>1055</v>
      </c>
      <c r="H598" s="15">
        <v>100000</v>
      </c>
      <c r="I598" s="15">
        <v>0</v>
      </c>
      <c r="J598" t="s">
        <v>44</v>
      </c>
      <c r="K598" t="s">
        <v>116</v>
      </c>
      <c r="L598" s="2">
        <v>41730</v>
      </c>
      <c r="M598" t="s">
        <v>1056</v>
      </c>
      <c r="N598">
        <v>0</v>
      </c>
      <c r="O598" t="s">
        <v>4903</v>
      </c>
      <c r="P598">
        <v>0</v>
      </c>
      <c r="Q598" t="s">
        <v>4903</v>
      </c>
      <c r="R598" t="s">
        <v>1051</v>
      </c>
    </row>
    <row r="599" spans="1:18" hidden="1" x14ac:dyDescent="0.25">
      <c r="A599" t="s">
        <v>1051</v>
      </c>
      <c r="B599" t="s">
        <v>406</v>
      </c>
      <c r="C599" t="s">
        <v>62</v>
      </c>
      <c r="D599" t="s">
        <v>32</v>
      </c>
      <c r="E599" t="s">
        <v>151</v>
      </c>
      <c r="F599" t="s">
        <v>18</v>
      </c>
      <c r="G599" t="s">
        <v>1055</v>
      </c>
      <c r="H599" s="15">
        <v>604466</v>
      </c>
      <c r="I599" s="15">
        <v>0</v>
      </c>
      <c r="J599" t="s">
        <v>20</v>
      </c>
      <c r="K599" t="s">
        <v>116</v>
      </c>
      <c r="L599" s="2">
        <v>41730</v>
      </c>
      <c r="M599" t="s">
        <v>1056</v>
      </c>
      <c r="N599">
        <v>0</v>
      </c>
      <c r="O599" t="s">
        <v>4903</v>
      </c>
      <c r="P599">
        <v>0</v>
      </c>
      <c r="Q599" t="s">
        <v>4903</v>
      </c>
      <c r="R599" t="s">
        <v>1051</v>
      </c>
    </row>
    <row r="600" spans="1:18" hidden="1" x14ac:dyDescent="0.25">
      <c r="A600" t="s">
        <v>2424</v>
      </c>
      <c r="B600" t="s">
        <v>47</v>
      </c>
      <c r="C600" t="s">
        <v>48</v>
      </c>
      <c r="D600" t="s">
        <v>85</v>
      </c>
      <c r="E600" t="s">
        <v>179</v>
      </c>
      <c r="F600" t="s">
        <v>87</v>
      </c>
      <c r="G600" t="s">
        <v>4765</v>
      </c>
      <c r="H600" s="15">
        <v>208671</v>
      </c>
      <c r="I600" s="15">
        <v>0</v>
      </c>
      <c r="J600" t="s">
        <v>89</v>
      </c>
      <c r="K600" t="s">
        <v>65</v>
      </c>
      <c r="L600" s="2">
        <v>41730</v>
      </c>
      <c r="M600" t="s">
        <v>4766</v>
      </c>
      <c r="N600">
        <v>0</v>
      </c>
      <c r="O600" t="s">
        <v>4903</v>
      </c>
      <c r="P600">
        <v>0</v>
      </c>
      <c r="Q600" t="s">
        <v>4903</v>
      </c>
      <c r="R600" t="s">
        <v>2424</v>
      </c>
    </row>
    <row r="601" spans="1:18" hidden="1" x14ac:dyDescent="0.25">
      <c r="A601" t="s">
        <v>3537</v>
      </c>
      <c r="B601" t="s">
        <v>2219</v>
      </c>
      <c r="C601" t="s">
        <v>15</v>
      </c>
      <c r="D601" t="s">
        <v>85</v>
      </c>
      <c r="E601" t="s">
        <v>179</v>
      </c>
      <c r="F601" t="s">
        <v>87</v>
      </c>
      <c r="G601" t="s">
        <v>3538</v>
      </c>
      <c r="H601" s="15">
        <v>292623</v>
      </c>
      <c r="I601" s="15">
        <v>0</v>
      </c>
      <c r="J601" t="s">
        <v>89</v>
      </c>
      <c r="K601" t="s">
        <v>65</v>
      </c>
      <c r="L601" s="2">
        <v>41730</v>
      </c>
      <c r="M601" t="s">
        <v>3539</v>
      </c>
      <c r="N601">
        <v>0</v>
      </c>
      <c r="O601" t="s">
        <v>4903</v>
      </c>
      <c r="P601">
        <v>0</v>
      </c>
      <c r="Q601" t="s">
        <v>4903</v>
      </c>
      <c r="R601" t="s">
        <v>3537</v>
      </c>
    </row>
    <row r="602" spans="1:18" hidden="1" x14ac:dyDescent="0.25">
      <c r="A602" t="s">
        <v>346</v>
      </c>
      <c r="B602" t="s">
        <v>119</v>
      </c>
      <c r="C602" t="s">
        <v>39</v>
      </c>
      <c r="D602" t="s">
        <v>32</v>
      </c>
      <c r="E602" t="s">
        <v>151</v>
      </c>
      <c r="F602" t="s">
        <v>26</v>
      </c>
      <c r="G602" t="s">
        <v>2512</v>
      </c>
      <c r="H602" s="15">
        <v>707578</v>
      </c>
      <c r="I602" s="15">
        <v>0</v>
      </c>
      <c r="J602" t="s">
        <v>20</v>
      </c>
      <c r="K602" t="s">
        <v>28</v>
      </c>
      <c r="L602" s="2">
        <v>41730</v>
      </c>
      <c r="M602" t="s">
        <v>2513</v>
      </c>
      <c r="N602">
        <v>0</v>
      </c>
      <c r="O602" t="s">
        <v>4903</v>
      </c>
      <c r="P602">
        <v>0</v>
      </c>
      <c r="Q602" t="s">
        <v>4903</v>
      </c>
      <c r="R602" t="s">
        <v>346</v>
      </c>
    </row>
    <row r="603" spans="1:18" hidden="1" x14ac:dyDescent="0.25">
      <c r="A603" t="s">
        <v>1644</v>
      </c>
      <c r="B603" t="s">
        <v>350</v>
      </c>
      <c r="C603" t="s">
        <v>39</v>
      </c>
      <c r="D603" t="s">
        <v>85</v>
      </c>
      <c r="E603" t="s">
        <v>179</v>
      </c>
      <c r="F603" t="s">
        <v>87</v>
      </c>
      <c r="G603" t="s">
        <v>1645</v>
      </c>
      <c r="H603" s="15">
        <v>225592</v>
      </c>
      <c r="I603" s="15">
        <v>0</v>
      </c>
      <c r="J603" t="s">
        <v>89</v>
      </c>
      <c r="K603" t="s">
        <v>65</v>
      </c>
      <c r="L603" s="2">
        <v>41730</v>
      </c>
      <c r="M603" t="s">
        <v>1646</v>
      </c>
      <c r="N603">
        <v>0</v>
      </c>
      <c r="O603" t="s">
        <v>4903</v>
      </c>
      <c r="P603">
        <v>0</v>
      </c>
      <c r="Q603" t="s">
        <v>4903</v>
      </c>
      <c r="R603" t="s">
        <v>1644</v>
      </c>
    </row>
    <row r="604" spans="1:18" hidden="1" x14ac:dyDescent="0.25">
      <c r="A604" t="s">
        <v>1089</v>
      </c>
      <c r="B604" t="s">
        <v>47</v>
      </c>
      <c r="C604" t="s">
        <v>48</v>
      </c>
      <c r="D604" t="s">
        <v>32</v>
      </c>
      <c r="E604" t="s">
        <v>151</v>
      </c>
      <c r="F604" t="s">
        <v>140</v>
      </c>
      <c r="G604" t="s">
        <v>1833</v>
      </c>
      <c r="H604" s="15">
        <v>491649</v>
      </c>
      <c r="I604" s="15">
        <v>0</v>
      </c>
      <c r="J604" t="s">
        <v>89</v>
      </c>
      <c r="K604" t="s">
        <v>28</v>
      </c>
      <c r="L604" s="2">
        <v>41730</v>
      </c>
      <c r="M604" t="s">
        <v>1834</v>
      </c>
      <c r="N604">
        <v>0</v>
      </c>
      <c r="O604" t="s">
        <v>4903</v>
      </c>
      <c r="P604">
        <v>0</v>
      </c>
      <c r="Q604" t="s">
        <v>4903</v>
      </c>
      <c r="R604" t="s">
        <v>1089</v>
      </c>
    </row>
    <row r="605" spans="1:18" hidden="1" x14ac:dyDescent="0.25">
      <c r="A605" t="s">
        <v>3979</v>
      </c>
      <c r="B605" t="s">
        <v>426</v>
      </c>
      <c r="C605" t="s">
        <v>48</v>
      </c>
      <c r="D605" t="s">
        <v>85</v>
      </c>
      <c r="E605" t="s">
        <v>179</v>
      </c>
      <c r="F605" t="s">
        <v>87</v>
      </c>
      <c r="G605" t="s">
        <v>3980</v>
      </c>
      <c r="H605" s="15">
        <v>283503</v>
      </c>
      <c r="I605" s="15">
        <v>0</v>
      </c>
      <c r="J605" t="s">
        <v>89</v>
      </c>
      <c r="K605" t="s">
        <v>28</v>
      </c>
      <c r="L605" s="2">
        <v>41730</v>
      </c>
      <c r="M605" t="s">
        <v>3981</v>
      </c>
      <c r="N605">
        <v>0</v>
      </c>
      <c r="O605" t="s">
        <v>4903</v>
      </c>
      <c r="P605">
        <v>0</v>
      </c>
      <c r="Q605" t="s">
        <v>4903</v>
      </c>
      <c r="R605" t="s">
        <v>3979</v>
      </c>
    </row>
    <row r="606" spans="1:18" hidden="1" x14ac:dyDescent="0.25">
      <c r="A606" t="s">
        <v>2088</v>
      </c>
      <c r="B606" t="s">
        <v>315</v>
      </c>
      <c r="C606" t="s">
        <v>39</v>
      </c>
      <c r="D606" t="s">
        <v>32</v>
      </c>
      <c r="E606" t="s">
        <v>151</v>
      </c>
      <c r="F606" t="s">
        <v>34</v>
      </c>
      <c r="G606" t="s">
        <v>3002</v>
      </c>
      <c r="H606" s="15">
        <v>486582</v>
      </c>
      <c r="I606" s="15">
        <v>0</v>
      </c>
      <c r="J606" t="s">
        <v>154</v>
      </c>
      <c r="K606" t="s">
        <v>116</v>
      </c>
      <c r="L606" s="2">
        <v>41730</v>
      </c>
      <c r="M606" t="s">
        <v>3003</v>
      </c>
      <c r="N606">
        <v>0</v>
      </c>
      <c r="O606" t="s">
        <v>4903</v>
      </c>
      <c r="P606">
        <v>0</v>
      </c>
      <c r="Q606" t="s">
        <v>4903</v>
      </c>
      <c r="R606" t="s">
        <v>2088</v>
      </c>
    </row>
    <row r="607" spans="1:18" hidden="1" x14ac:dyDescent="0.25">
      <c r="A607" t="s">
        <v>308</v>
      </c>
      <c r="B607" t="s">
        <v>84</v>
      </c>
      <c r="C607" t="s">
        <v>15</v>
      </c>
      <c r="D607" t="s">
        <v>85</v>
      </c>
      <c r="E607" t="s">
        <v>179</v>
      </c>
      <c r="F607" t="s">
        <v>87</v>
      </c>
      <c r="G607" t="s">
        <v>309</v>
      </c>
      <c r="H607" s="15">
        <v>677527</v>
      </c>
      <c r="I607" s="15">
        <v>0</v>
      </c>
      <c r="J607" t="s">
        <v>89</v>
      </c>
      <c r="K607" t="s">
        <v>134</v>
      </c>
      <c r="L607" s="2">
        <v>41730</v>
      </c>
      <c r="M607" t="s">
        <v>310</v>
      </c>
      <c r="N607">
        <v>1</v>
      </c>
      <c r="O607" t="s">
        <v>4903</v>
      </c>
      <c r="P607">
        <v>0</v>
      </c>
      <c r="Q607" t="s">
        <v>4903</v>
      </c>
      <c r="R607" t="s">
        <v>308</v>
      </c>
    </row>
    <row r="608" spans="1:18" hidden="1" x14ac:dyDescent="0.25">
      <c r="A608" t="s">
        <v>398</v>
      </c>
      <c r="B608" t="s">
        <v>315</v>
      </c>
      <c r="C608" t="s">
        <v>39</v>
      </c>
      <c r="D608" t="s">
        <v>85</v>
      </c>
      <c r="E608" t="s">
        <v>179</v>
      </c>
      <c r="F608" t="s">
        <v>87</v>
      </c>
      <c r="G608" t="s">
        <v>2314</v>
      </c>
      <c r="H608" s="15">
        <v>180569</v>
      </c>
      <c r="I608" s="15">
        <v>0</v>
      </c>
      <c r="J608" t="s">
        <v>89</v>
      </c>
      <c r="K608" t="s">
        <v>65</v>
      </c>
      <c r="L608" s="2">
        <v>41730</v>
      </c>
      <c r="M608" t="s">
        <v>2315</v>
      </c>
      <c r="N608">
        <v>2</v>
      </c>
      <c r="O608" t="s">
        <v>4903</v>
      </c>
      <c r="P608">
        <v>0</v>
      </c>
      <c r="Q608" t="s">
        <v>4903</v>
      </c>
      <c r="R608" t="s">
        <v>398</v>
      </c>
    </row>
    <row r="609" spans="1:18" hidden="1" x14ac:dyDescent="0.25">
      <c r="A609" t="s">
        <v>969</v>
      </c>
      <c r="B609" t="s">
        <v>31</v>
      </c>
      <c r="C609" t="s">
        <v>15</v>
      </c>
      <c r="D609" t="s">
        <v>32</v>
      </c>
      <c r="E609" t="s">
        <v>151</v>
      </c>
      <c r="F609" t="s">
        <v>34</v>
      </c>
      <c r="G609" t="s">
        <v>1616</v>
      </c>
      <c r="H609" s="15">
        <v>719145</v>
      </c>
      <c r="I609" s="15">
        <v>0</v>
      </c>
      <c r="J609" t="s">
        <v>20</v>
      </c>
      <c r="K609" t="s">
        <v>65</v>
      </c>
      <c r="L609" s="2">
        <v>41730</v>
      </c>
      <c r="M609" t="s">
        <v>1617</v>
      </c>
      <c r="N609">
        <v>0</v>
      </c>
      <c r="O609" t="s">
        <v>4903</v>
      </c>
      <c r="P609">
        <v>0</v>
      </c>
      <c r="Q609" t="s">
        <v>4903</v>
      </c>
      <c r="R609" t="s">
        <v>969</v>
      </c>
    </row>
    <row r="610" spans="1:18" hidden="1" x14ac:dyDescent="0.25">
      <c r="A610" t="s">
        <v>4184</v>
      </c>
      <c r="B610" t="s">
        <v>77</v>
      </c>
      <c r="C610" t="s">
        <v>15</v>
      </c>
      <c r="D610" t="s">
        <v>32</v>
      </c>
      <c r="E610" t="s">
        <v>151</v>
      </c>
      <c r="F610" t="s">
        <v>140</v>
      </c>
      <c r="G610" t="s">
        <v>4185</v>
      </c>
      <c r="H610" s="15">
        <v>771485</v>
      </c>
      <c r="I610" s="15">
        <v>0</v>
      </c>
      <c r="J610" t="s">
        <v>20</v>
      </c>
      <c r="K610" t="s">
        <v>28</v>
      </c>
      <c r="L610" s="2">
        <v>41730</v>
      </c>
      <c r="M610" t="s">
        <v>4186</v>
      </c>
      <c r="N610">
        <v>0</v>
      </c>
      <c r="O610" t="s">
        <v>4903</v>
      </c>
      <c r="P610">
        <v>0</v>
      </c>
      <c r="Q610" t="s">
        <v>4903</v>
      </c>
      <c r="R610" t="s">
        <v>4184</v>
      </c>
    </row>
    <row r="611" spans="1:18" hidden="1" x14ac:dyDescent="0.25">
      <c r="A611" t="s">
        <v>185</v>
      </c>
      <c r="B611" t="s">
        <v>47</v>
      </c>
      <c r="C611" t="s">
        <v>48</v>
      </c>
      <c r="D611" t="s">
        <v>32</v>
      </c>
      <c r="E611" t="s">
        <v>151</v>
      </c>
      <c r="F611" t="s">
        <v>140</v>
      </c>
      <c r="G611" t="s">
        <v>4145</v>
      </c>
      <c r="H611" s="15">
        <v>658800</v>
      </c>
      <c r="I611" s="15">
        <v>0</v>
      </c>
      <c r="J611" t="s">
        <v>20</v>
      </c>
      <c r="K611" t="s">
        <v>28</v>
      </c>
      <c r="L611" s="2">
        <v>41730</v>
      </c>
      <c r="M611" t="s">
        <v>4146</v>
      </c>
      <c r="N611">
        <v>0</v>
      </c>
      <c r="O611" t="s">
        <v>4903</v>
      </c>
      <c r="P611">
        <v>0</v>
      </c>
      <c r="Q611" t="s">
        <v>4903</v>
      </c>
      <c r="R611" t="s">
        <v>185</v>
      </c>
    </row>
    <row r="612" spans="1:18" hidden="1" x14ac:dyDescent="0.25">
      <c r="A612" t="s">
        <v>998</v>
      </c>
      <c r="B612" t="s">
        <v>31</v>
      </c>
      <c r="C612" t="s">
        <v>15</v>
      </c>
      <c r="D612" t="s">
        <v>85</v>
      </c>
      <c r="E612" t="s">
        <v>179</v>
      </c>
      <c r="F612" t="s">
        <v>87</v>
      </c>
      <c r="G612" t="s">
        <v>1380</v>
      </c>
      <c r="H612" s="15">
        <v>253000</v>
      </c>
      <c r="I612" s="15">
        <v>0</v>
      </c>
      <c r="J612" t="s">
        <v>89</v>
      </c>
      <c r="K612" t="s">
        <v>65</v>
      </c>
      <c r="L612" s="2">
        <v>41730</v>
      </c>
      <c r="M612" t="s">
        <v>1381</v>
      </c>
      <c r="N612">
        <v>0</v>
      </c>
      <c r="O612" t="s">
        <v>4903</v>
      </c>
      <c r="P612">
        <v>0</v>
      </c>
      <c r="Q612" t="s">
        <v>4903</v>
      </c>
      <c r="R612" t="s">
        <v>998</v>
      </c>
    </row>
    <row r="613" spans="1:18" hidden="1" x14ac:dyDescent="0.25">
      <c r="A613" t="s">
        <v>3637</v>
      </c>
      <c r="B613" t="s">
        <v>190</v>
      </c>
      <c r="C613" t="s">
        <v>15</v>
      </c>
      <c r="D613" t="s">
        <v>85</v>
      </c>
      <c r="E613" t="s">
        <v>179</v>
      </c>
      <c r="F613" t="s">
        <v>87</v>
      </c>
      <c r="G613" t="s">
        <v>3638</v>
      </c>
      <c r="H613" s="15">
        <v>400007</v>
      </c>
      <c r="I613" s="15">
        <v>0</v>
      </c>
      <c r="J613" t="s">
        <v>89</v>
      </c>
      <c r="K613" t="s">
        <v>116</v>
      </c>
      <c r="L613" s="2">
        <v>41730</v>
      </c>
      <c r="M613" t="s">
        <v>3639</v>
      </c>
      <c r="N613">
        <v>0</v>
      </c>
      <c r="O613" t="s">
        <v>4903</v>
      </c>
      <c r="P613">
        <v>0</v>
      </c>
      <c r="Q613" t="s">
        <v>4903</v>
      </c>
      <c r="R613" t="s">
        <v>3637</v>
      </c>
    </row>
    <row r="614" spans="1:18" hidden="1" x14ac:dyDescent="0.25">
      <c r="A614" t="s">
        <v>499</v>
      </c>
      <c r="B614" t="s">
        <v>500</v>
      </c>
      <c r="C614" t="s">
        <v>501</v>
      </c>
      <c r="D614" t="s">
        <v>502</v>
      </c>
      <c r="E614" t="s">
        <v>503</v>
      </c>
      <c r="F614" t="s">
        <v>26</v>
      </c>
      <c r="G614" t="s">
        <v>504</v>
      </c>
      <c r="H614" s="15">
        <v>153012</v>
      </c>
      <c r="I614" s="15">
        <v>0</v>
      </c>
      <c r="J614" t="s">
        <v>89</v>
      </c>
      <c r="K614" t="s">
        <v>28</v>
      </c>
      <c r="L614" s="2">
        <v>41730</v>
      </c>
      <c r="M614" t="s">
        <v>505</v>
      </c>
      <c r="N614">
        <v>0</v>
      </c>
      <c r="O614" t="s">
        <v>4903</v>
      </c>
      <c r="P614">
        <v>0</v>
      </c>
      <c r="Q614" t="s">
        <v>4903</v>
      </c>
      <c r="R614" t="s">
        <v>499</v>
      </c>
    </row>
    <row r="615" spans="1:18" hidden="1" x14ac:dyDescent="0.25">
      <c r="A615" t="s">
        <v>175</v>
      </c>
      <c r="B615" t="s">
        <v>14</v>
      </c>
      <c r="C615" t="s">
        <v>15</v>
      </c>
      <c r="D615" t="s">
        <v>32</v>
      </c>
      <c r="E615" t="s">
        <v>151</v>
      </c>
      <c r="F615" t="s">
        <v>140</v>
      </c>
      <c r="G615" t="s">
        <v>176</v>
      </c>
      <c r="H615" s="15">
        <v>351553</v>
      </c>
      <c r="I615" s="15">
        <v>0</v>
      </c>
      <c r="J615" t="s">
        <v>89</v>
      </c>
      <c r="K615" t="s">
        <v>28</v>
      </c>
      <c r="L615" s="2">
        <v>41730</v>
      </c>
      <c r="M615" t="s">
        <v>177</v>
      </c>
      <c r="N615">
        <v>0</v>
      </c>
      <c r="O615" t="s">
        <v>4903</v>
      </c>
      <c r="P615">
        <v>0</v>
      </c>
      <c r="Q615" t="s">
        <v>4903</v>
      </c>
      <c r="R615" t="s">
        <v>175</v>
      </c>
    </row>
    <row r="616" spans="1:18" hidden="1" x14ac:dyDescent="0.25">
      <c r="A616" t="s">
        <v>838</v>
      </c>
      <c r="B616" t="s">
        <v>136</v>
      </c>
      <c r="C616" t="s">
        <v>15</v>
      </c>
      <c r="D616" t="s">
        <v>85</v>
      </c>
      <c r="E616" t="s">
        <v>179</v>
      </c>
      <c r="F616" t="s">
        <v>87</v>
      </c>
      <c r="G616" t="s">
        <v>839</v>
      </c>
      <c r="H616" s="15">
        <v>242595</v>
      </c>
      <c r="I616" s="15">
        <v>0</v>
      </c>
      <c r="J616" t="s">
        <v>89</v>
      </c>
      <c r="K616" t="s">
        <v>21</v>
      </c>
      <c r="L616" s="2">
        <v>41730</v>
      </c>
      <c r="M616" t="s">
        <v>840</v>
      </c>
      <c r="N616">
        <v>0</v>
      </c>
      <c r="O616" t="s">
        <v>4903</v>
      </c>
      <c r="P616">
        <v>0</v>
      </c>
      <c r="Q616" t="s">
        <v>4903</v>
      </c>
      <c r="R616" t="s">
        <v>838</v>
      </c>
    </row>
    <row r="617" spans="1:18" hidden="1" x14ac:dyDescent="0.25">
      <c r="A617" t="s">
        <v>972</v>
      </c>
      <c r="B617" t="s">
        <v>973</v>
      </c>
      <c r="C617" t="s">
        <v>15</v>
      </c>
      <c r="D617" t="s">
        <v>32</v>
      </c>
      <c r="E617" t="s">
        <v>151</v>
      </c>
      <c r="F617" t="s">
        <v>26</v>
      </c>
      <c r="G617" t="s">
        <v>974</v>
      </c>
      <c r="H617" s="15">
        <v>794885</v>
      </c>
      <c r="I617" s="15">
        <v>0</v>
      </c>
      <c r="J617" t="s">
        <v>20</v>
      </c>
      <c r="K617" t="s">
        <v>28</v>
      </c>
      <c r="L617" s="2">
        <v>41730</v>
      </c>
      <c r="M617" t="s">
        <v>975</v>
      </c>
      <c r="N617">
        <v>0</v>
      </c>
      <c r="O617" t="s">
        <v>4903</v>
      </c>
      <c r="P617">
        <v>0</v>
      </c>
      <c r="Q617" t="s">
        <v>4903</v>
      </c>
      <c r="R617" t="s">
        <v>972</v>
      </c>
    </row>
    <row r="618" spans="1:18" hidden="1" x14ac:dyDescent="0.25">
      <c r="A618" t="s">
        <v>972</v>
      </c>
      <c r="B618" t="s">
        <v>973</v>
      </c>
      <c r="C618" t="s">
        <v>15</v>
      </c>
      <c r="D618" t="s">
        <v>16</v>
      </c>
      <c r="E618" t="s">
        <v>199</v>
      </c>
      <c r="F618" t="s">
        <v>26</v>
      </c>
      <c r="G618" t="s">
        <v>974</v>
      </c>
      <c r="H618" s="15">
        <v>937126</v>
      </c>
      <c r="I618" s="15">
        <v>0</v>
      </c>
      <c r="J618" t="s">
        <v>20</v>
      </c>
      <c r="K618" t="s">
        <v>28</v>
      </c>
      <c r="L618" s="2">
        <v>41730</v>
      </c>
      <c r="M618" t="s">
        <v>975</v>
      </c>
      <c r="N618">
        <v>0</v>
      </c>
      <c r="O618" t="s">
        <v>4903</v>
      </c>
      <c r="P618">
        <v>0</v>
      </c>
      <c r="Q618" t="s">
        <v>4903</v>
      </c>
      <c r="R618" t="s">
        <v>972</v>
      </c>
    </row>
    <row r="619" spans="1:18" hidden="1" x14ac:dyDescent="0.25">
      <c r="A619" t="s">
        <v>4277</v>
      </c>
      <c r="B619" t="s">
        <v>1912</v>
      </c>
      <c r="C619" t="s">
        <v>15</v>
      </c>
      <c r="D619" t="s">
        <v>85</v>
      </c>
      <c r="E619" t="s">
        <v>179</v>
      </c>
      <c r="F619" t="s">
        <v>87</v>
      </c>
      <c r="G619" t="s">
        <v>4278</v>
      </c>
      <c r="H619" s="15">
        <v>451599</v>
      </c>
      <c r="I619" s="15">
        <v>0</v>
      </c>
      <c r="J619" t="s">
        <v>89</v>
      </c>
      <c r="K619" t="s">
        <v>28</v>
      </c>
      <c r="L619" s="2">
        <v>41730</v>
      </c>
      <c r="M619" t="s">
        <v>4279</v>
      </c>
      <c r="N619">
        <v>0</v>
      </c>
      <c r="O619" t="s">
        <v>4903</v>
      </c>
      <c r="P619">
        <v>0</v>
      </c>
      <c r="Q619" t="s">
        <v>4903</v>
      </c>
      <c r="R619" t="s">
        <v>4277</v>
      </c>
    </row>
    <row r="620" spans="1:18" hidden="1" x14ac:dyDescent="0.25">
      <c r="A620" t="s">
        <v>2733</v>
      </c>
      <c r="B620" t="s">
        <v>406</v>
      </c>
      <c r="C620" t="s">
        <v>62</v>
      </c>
      <c r="D620" t="s">
        <v>32</v>
      </c>
      <c r="E620" t="s">
        <v>151</v>
      </c>
      <c r="F620" t="s">
        <v>152</v>
      </c>
      <c r="G620" t="s">
        <v>2734</v>
      </c>
      <c r="H620" s="15">
        <v>702720</v>
      </c>
      <c r="I620" s="15">
        <v>0</v>
      </c>
      <c r="J620" t="s">
        <v>154</v>
      </c>
      <c r="K620" t="s">
        <v>28</v>
      </c>
      <c r="L620" s="2">
        <v>41730</v>
      </c>
      <c r="M620" t="s">
        <v>2735</v>
      </c>
      <c r="N620">
        <v>0</v>
      </c>
      <c r="O620" t="s">
        <v>4903</v>
      </c>
      <c r="P620">
        <v>0</v>
      </c>
      <c r="Q620" t="s">
        <v>4903</v>
      </c>
      <c r="R620" t="s">
        <v>2733</v>
      </c>
    </row>
    <row r="621" spans="1:18" hidden="1" x14ac:dyDescent="0.25">
      <c r="A621" t="s">
        <v>1286</v>
      </c>
      <c r="B621" t="s">
        <v>898</v>
      </c>
      <c r="C621" t="s">
        <v>39</v>
      </c>
      <c r="D621" t="s">
        <v>85</v>
      </c>
      <c r="E621" t="s">
        <v>179</v>
      </c>
      <c r="F621" t="s">
        <v>87</v>
      </c>
      <c r="G621" t="s">
        <v>3266</v>
      </c>
      <c r="H621" s="15">
        <v>211407</v>
      </c>
      <c r="I621" s="15">
        <v>0</v>
      </c>
      <c r="J621" t="s">
        <v>89</v>
      </c>
      <c r="K621" t="s">
        <v>28</v>
      </c>
      <c r="L621" s="2">
        <v>41730</v>
      </c>
      <c r="M621" t="s">
        <v>3267</v>
      </c>
      <c r="N621">
        <v>3</v>
      </c>
      <c r="O621" t="s">
        <v>4903</v>
      </c>
      <c r="P621">
        <v>0</v>
      </c>
      <c r="Q621" t="s">
        <v>4903</v>
      </c>
      <c r="R621" t="s">
        <v>1286</v>
      </c>
    </row>
    <row r="622" spans="1:18" hidden="1" x14ac:dyDescent="0.25">
      <c r="A622" t="s">
        <v>2709</v>
      </c>
      <c r="B622" t="s">
        <v>725</v>
      </c>
      <c r="C622" t="s">
        <v>726</v>
      </c>
      <c r="D622" t="s">
        <v>32</v>
      </c>
      <c r="E622" t="s">
        <v>151</v>
      </c>
      <c r="F622" t="s">
        <v>18</v>
      </c>
      <c r="G622" t="s">
        <v>2710</v>
      </c>
      <c r="H622" s="15">
        <v>383948</v>
      </c>
      <c r="I622" s="15">
        <v>0</v>
      </c>
      <c r="J622" t="s">
        <v>154</v>
      </c>
      <c r="K622" t="s">
        <v>65</v>
      </c>
      <c r="L622" s="2">
        <v>41730</v>
      </c>
      <c r="M622" t="s">
        <v>2711</v>
      </c>
      <c r="N622">
        <v>1</v>
      </c>
      <c r="O622" t="s">
        <v>4903</v>
      </c>
      <c r="P622">
        <v>0</v>
      </c>
      <c r="Q622" t="s">
        <v>4903</v>
      </c>
      <c r="R622" t="s">
        <v>2709</v>
      </c>
    </row>
    <row r="623" spans="1:18" hidden="1" x14ac:dyDescent="0.25">
      <c r="A623" t="s">
        <v>1248</v>
      </c>
      <c r="B623" t="s">
        <v>520</v>
      </c>
      <c r="C623" t="s">
        <v>521</v>
      </c>
      <c r="D623" t="s">
        <v>85</v>
      </c>
      <c r="E623" t="s">
        <v>179</v>
      </c>
      <c r="F623" t="s">
        <v>87</v>
      </c>
      <c r="G623" t="s">
        <v>1249</v>
      </c>
      <c r="H623" s="15">
        <v>265170</v>
      </c>
      <c r="I623" s="15">
        <v>0</v>
      </c>
      <c r="J623" t="s">
        <v>89</v>
      </c>
      <c r="K623" t="s">
        <v>100</v>
      </c>
      <c r="L623" s="2">
        <v>41730</v>
      </c>
      <c r="M623" t="s">
        <v>1250</v>
      </c>
      <c r="N623">
        <v>3</v>
      </c>
      <c r="O623" t="s">
        <v>4903</v>
      </c>
      <c r="P623">
        <v>0</v>
      </c>
      <c r="Q623" t="s">
        <v>4903</v>
      </c>
      <c r="R623" t="s">
        <v>1248</v>
      </c>
    </row>
    <row r="624" spans="1:18" hidden="1" x14ac:dyDescent="0.25">
      <c r="A624" t="s">
        <v>628</v>
      </c>
      <c r="B624" t="s">
        <v>161</v>
      </c>
      <c r="C624" t="s">
        <v>39</v>
      </c>
      <c r="D624" t="s">
        <v>85</v>
      </c>
      <c r="E624" t="s">
        <v>179</v>
      </c>
      <c r="F624" t="s">
        <v>87</v>
      </c>
      <c r="G624" t="s">
        <v>4579</v>
      </c>
      <c r="H624" s="15">
        <v>541155</v>
      </c>
      <c r="I624" s="15">
        <v>0</v>
      </c>
      <c r="J624" t="s">
        <v>89</v>
      </c>
      <c r="K624" t="s">
        <v>100</v>
      </c>
      <c r="L624" s="2">
        <v>41730</v>
      </c>
      <c r="M624" t="s">
        <v>4580</v>
      </c>
      <c r="N624">
        <v>3</v>
      </c>
      <c r="O624" t="s">
        <v>4903</v>
      </c>
      <c r="P624">
        <v>0</v>
      </c>
      <c r="Q624" t="s">
        <v>4903</v>
      </c>
      <c r="R624" t="s">
        <v>628</v>
      </c>
    </row>
    <row r="625" spans="1:18" hidden="1" x14ac:dyDescent="0.25">
      <c r="A625" t="s">
        <v>638</v>
      </c>
      <c r="B625" t="s">
        <v>47</v>
      </c>
      <c r="C625" t="s">
        <v>48</v>
      </c>
      <c r="D625" t="s">
        <v>32</v>
      </c>
      <c r="E625" t="s">
        <v>151</v>
      </c>
      <c r="F625" t="s">
        <v>18</v>
      </c>
      <c r="G625" t="s">
        <v>2816</v>
      </c>
      <c r="H625" s="15">
        <v>632779</v>
      </c>
      <c r="I625" s="15">
        <v>0</v>
      </c>
      <c r="J625" t="s">
        <v>154</v>
      </c>
      <c r="K625" t="s">
        <v>28</v>
      </c>
      <c r="L625" s="2">
        <v>41730</v>
      </c>
      <c r="M625" t="s">
        <v>2817</v>
      </c>
      <c r="N625">
        <v>0</v>
      </c>
      <c r="O625" t="s">
        <v>4903</v>
      </c>
      <c r="P625">
        <v>0</v>
      </c>
      <c r="Q625" t="s">
        <v>4903</v>
      </c>
      <c r="R625" t="s">
        <v>638</v>
      </c>
    </row>
    <row r="626" spans="1:18" hidden="1" x14ac:dyDescent="0.25">
      <c r="A626" t="s">
        <v>46</v>
      </c>
      <c r="B626" t="s">
        <v>47</v>
      </c>
      <c r="C626" t="s">
        <v>48</v>
      </c>
      <c r="D626" t="s">
        <v>85</v>
      </c>
      <c r="E626" t="s">
        <v>179</v>
      </c>
      <c r="F626" t="s">
        <v>87</v>
      </c>
      <c r="G626" t="s">
        <v>3705</v>
      </c>
      <c r="H626" s="15">
        <v>289499</v>
      </c>
      <c r="I626" s="15">
        <v>0</v>
      </c>
      <c r="J626" t="s">
        <v>89</v>
      </c>
      <c r="K626" t="s">
        <v>28</v>
      </c>
      <c r="L626" s="2">
        <v>41730</v>
      </c>
      <c r="M626" t="s">
        <v>3706</v>
      </c>
      <c r="N626">
        <v>2</v>
      </c>
      <c r="O626" t="s">
        <v>4903</v>
      </c>
      <c r="P626">
        <v>0</v>
      </c>
      <c r="Q626" t="s">
        <v>4903</v>
      </c>
      <c r="R626" t="s">
        <v>46</v>
      </c>
    </row>
    <row r="627" spans="1:18" hidden="1" x14ac:dyDescent="0.25">
      <c r="A627" t="s">
        <v>658</v>
      </c>
      <c r="B627" t="s">
        <v>426</v>
      </c>
      <c r="C627" t="s">
        <v>48</v>
      </c>
      <c r="D627" t="s">
        <v>85</v>
      </c>
      <c r="E627" t="s">
        <v>179</v>
      </c>
      <c r="F627" t="s">
        <v>87</v>
      </c>
      <c r="G627" t="s">
        <v>3934</v>
      </c>
      <c r="H627" s="15">
        <v>358351</v>
      </c>
      <c r="I627" s="15">
        <v>0</v>
      </c>
      <c r="J627" t="s">
        <v>89</v>
      </c>
      <c r="K627" t="s">
        <v>28</v>
      </c>
      <c r="L627" s="2">
        <v>41730</v>
      </c>
      <c r="M627" t="s">
        <v>3935</v>
      </c>
      <c r="N627">
        <v>0</v>
      </c>
      <c r="O627" t="s">
        <v>4903</v>
      </c>
      <c r="P627">
        <v>0</v>
      </c>
      <c r="Q627" t="s">
        <v>4903</v>
      </c>
      <c r="R627" t="s">
        <v>658</v>
      </c>
    </row>
    <row r="628" spans="1:18" hidden="1" x14ac:dyDescent="0.25">
      <c r="A628" t="s">
        <v>1906</v>
      </c>
      <c r="B628" t="s">
        <v>47</v>
      </c>
      <c r="C628" t="s">
        <v>48</v>
      </c>
      <c r="D628" t="s">
        <v>32</v>
      </c>
      <c r="E628" t="s">
        <v>151</v>
      </c>
      <c r="F628" t="s">
        <v>152</v>
      </c>
      <c r="G628" t="s">
        <v>2794</v>
      </c>
      <c r="H628" s="15">
        <v>727090</v>
      </c>
      <c r="I628" s="15">
        <v>0</v>
      </c>
      <c r="J628" t="s">
        <v>20</v>
      </c>
      <c r="K628" t="s">
        <v>28</v>
      </c>
      <c r="L628" s="2">
        <v>41730</v>
      </c>
      <c r="M628" t="s">
        <v>2795</v>
      </c>
      <c r="N628">
        <v>0</v>
      </c>
      <c r="O628" t="s">
        <v>4903</v>
      </c>
      <c r="P628">
        <v>0</v>
      </c>
      <c r="Q628" t="s">
        <v>4903</v>
      </c>
      <c r="R628" t="s">
        <v>1906</v>
      </c>
    </row>
    <row r="629" spans="1:18" hidden="1" x14ac:dyDescent="0.25">
      <c r="A629" t="s">
        <v>1715</v>
      </c>
      <c r="B629" t="s">
        <v>84</v>
      </c>
      <c r="C629" t="s">
        <v>15</v>
      </c>
      <c r="D629" t="s">
        <v>96</v>
      </c>
      <c r="E629" t="s">
        <v>1141</v>
      </c>
      <c r="F629" t="s">
        <v>98</v>
      </c>
      <c r="G629" t="s">
        <v>3589</v>
      </c>
      <c r="H629" s="15">
        <v>1250000</v>
      </c>
      <c r="I629" s="15">
        <v>0</v>
      </c>
      <c r="J629" t="s">
        <v>20</v>
      </c>
      <c r="K629" t="s">
        <v>116</v>
      </c>
      <c r="L629" s="2">
        <v>41730</v>
      </c>
      <c r="M629" t="s">
        <v>3590</v>
      </c>
      <c r="N629">
        <v>1</v>
      </c>
      <c r="O629" t="s">
        <v>4903</v>
      </c>
      <c r="P629">
        <v>0</v>
      </c>
      <c r="Q629" t="s">
        <v>4903</v>
      </c>
      <c r="R629" t="s">
        <v>1715</v>
      </c>
    </row>
    <row r="630" spans="1:18" hidden="1" x14ac:dyDescent="0.25">
      <c r="A630" t="s">
        <v>467</v>
      </c>
      <c r="B630" t="s">
        <v>190</v>
      </c>
      <c r="C630" t="s">
        <v>15</v>
      </c>
      <c r="D630" t="s">
        <v>85</v>
      </c>
      <c r="E630" t="s">
        <v>179</v>
      </c>
      <c r="F630" t="s">
        <v>87</v>
      </c>
      <c r="G630" t="s">
        <v>3829</v>
      </c>
      <c r="H630" s="15">
        <v>126440</v>
      </c>
      <c r="I630" s="15">
        <v>0</v>
      </c>
      <c r="J630" t="s">
        <v>89</v>
      </c>
      <c r="K630" t="s">
        <v>28</v>
      </c>
      <c r="L630" s="2">
        <v>41730</v>
      </c>
      <c r="M630" t="s">
        <v>3830</v>
      </c>
      <c r="N630">
        <v>2</v>
      </c>
      <c r="O630" t="s">
        <v>4903</v>
      </c>
      <c r="P630">
        <v>0</v>
      </c>
      <c r="Q630" t="s">
        <v>4903</v>
      </c>
      <c r="R630" t="s">
        <v>467</v>
      </c>
    </row>
    <row r="631" spans="1:18" hidden="1" x14ac:dyDescent="0.25">
      <c r="A631" t="s">
        <v>894</v>
      </c>
      <c r="B631" t="s">
        <v>315</v>
      </c>
      <c r="C631" t="s">
        <v>39</v>
      </c>
      <c r="D631" t="s">
        <v>32</v>
      </c>
      <c r="E631" t="s">
        <v>151</v>
      </c>
      <c r="F631" t="s">
        <v>140</v>
      </c>
      <c r="G631" t="s">
        <v>2185</v>
      </c>
      <c r="H631" s="15">
        <v>841225</v>
      </c>
      <c r="I631" s="15">
        <v>0</v>
      </c>
      <c r="J631" t="s">
        <v>20</v>
      </c>
      <c r="K631" t="s">
        <v>28</v>
      </c>
      <c r="L631" s="2">
        <v>41730</v>
      </c>
      <c r="M631" t="s">
        <v>2186</v>
      </c>
      <c r="N631">
        <v>0</v>
      </c>
      <c r="O631" t="s">
        <v>4903</v>
      </c>
      <c r="P631">
        <v>0</v>
      </c>
      <c r="Q631" t="s">
        <v>4903</v>
      </c>
      <c r="R631" t="s">
        <v>894</v>
      </c>
    </row>
    <row r="632" spans="1:18" hidden="1" x14ac:dyDescent="0.25">
      <c r="A632" t="s">
        <v>2471</v>
      </c>
      <c r="B632" t="s">
        <v>406</v>
      </c>
      <c r="C632" t="s">
        <v>62</v>
      </c>
      <c r="D632" t="s">
        <v>32</v>
      </c>
      <c r="E632" t="s">
        <v>151</v>
      </c>
      <c r="F632" t="s">
        <v>18</v>
      </c>
      <c r="G632" t="s">
        <v>3361</v>
      </c>
      <c r="H632" s="15">
        <v>994127</v>
      </c>
      <c r="I632" s="15">
        <v>0</v>
      </c>
      <c r="J632" t="s">
        <v>20</v>
      </c>
      <c r="K632" t="s">
        <v>116</v>
      </c>
      <c r="L632" s="2">
        <v>41730</v>
      </c>
      <c r="M632" t="s">
        <v>3362</v>
      </c>
      <c r="N632">
        <v>1</v>
      </c>
      <c r="O632" t="s">
        <v>4903</v>
      </c>
      <c r="P632">
        <v>0</v>
      </c>
      <c r="Q632" t="s">
        <v>4903</v>
      </c>
      <c r="R632" t="s">
        <v>2471</v>
      </c>
    </row>
    <row r="633" spans="1:18" hidden="1" x14ac:dyDescent="0.25">
      <c r="A633" t="s">
        <v>3038</v>
      </c>
      <c r="B633" t="s">
        <v>315</v>
      </c>
      <c r="C633" t="s">
        <v>39</v>
      </c>
      <c r="D633" t="s">
        <v>32</v>
      </c>
      <c r="E633" t="s">
        <v>151</v>
      </c>
      <c r="F633" t="s">
        <v>34</v>
      </c>
      <c r="G633" t="s">
        <v>3039</v>
      </c>
      <c r="H633" s="15">
        <v>325851</v>
      </c>
      <c r="I633" s="15">
        <v>0</v>
      </c>
      <c r="J633" t="s">
        <v>89</v>
      </c>
      <c r="K633" t="s">
        <v>28</v>
      </c>
      <c r="L633" s="2">
        <v>41730</v>
      </c>
      <c r="M633" t="s">
        <v>3040</v>
      </c>
      <c r="N633">
        <v>0</v>
      </c>
      <c r="O633" t="s">
        <v>4903</v>
      </c>
      <c r="P633">
        <v>0</v>
      </c>
      <c r="Q633" t="s">
        <v>4903</v>
      </c>
      <c r="R633" t="s">
        <v>3038</v>
      </c>
    </row>
    <row r="634" spans="1:18" hidden="1" x14ac:dyDescent="0.25">
      <c r="A634" t="s">
        <v>1402</v>
      </c>
      <c r="B634" t="s">
        <v>47</v>
      </c>
      <c r="C634" t="s">
        <v>48</v>
      </c>
      <c r="D634" t="s">
        <v>85</v>
      </c>
      <c r="E634" t="s">
        <v>179</v>
      </c>
      <c r="F634" t="s">
        <v>87</v>
      </c>
      <c r="G634" t="s">
        <v>1403</v>
      </c>
      <c r="H634" s="15">
        <v>194000</v>
      </c>
      <c r="I634" s="15">
        <v>0</v>
      </c>
      <c r="J634" t="s">
        <v>89</v>
      </c>
      <c r="K634" t="s">
        <v>134</v>
      </c>
      <c r="L634" s="2">
        <v>41730</v>
      </c>
      <c r="M634" t="s">
        <v>1404</v>
      </c>
      <c r="N634">
        <v>0</v>
      </c>
      <c r="O634" t="s">
        <v>4903</v>
      </c>
      <c r="P634">
        <v>0</v>
      </c>
      <c r="Q634" t="s">
        <v>4903</v>
      </c>
      <c r="R634" t="s">
        <v>1402</v>
      </c>
    </row>
    <row r="635" spans="1:18" hidden="1" x14ac:dyDescent="0.25">
      <c r="A635" t="s">
        <v>705</v>
      </c>
      <c r="B635" t="s">
        <v>47</v>
      </c>
      <c r="C635" t="s">
        <v>48</v>
      </c>
      <c r="D635" t="s">
        <v>32</v>
      </c>
      <c r="E635" t="s">
        <v>151</v>
      </c>
      <c r="F635" t="s">
        <v>18</v>
      </c>
      <c r="G635" t="s">
        <v>706</v>
      </c>
      <c r="H635" s="15">
        <v>423361</v>
      </c>
      <c r="I635" s="15">
        <v>0</v>
      </c>
      <c r="J635" t="s">
        <v>154</v>
      </c>
      <c r="K635" t="s">
        <v>116</v>
      </c>
      <c r="L635" s="2">
        <v>41730</v>
      </c>
      <c r="M635" t="s">
        <v>707</v>
      </c>
      <c r="N635">
        <v>0</v>
      </c>
      <c r="O635" t="s">
        <v>4903</v>
      </c>
      <c r="P635">
        <v>0</v>
      </c>
      <c r="Q635" t="s">
        <v>4903</v>
      </c>
      <c r="R635" t="s">
        <v>705</v>
      </c>
    </row>
    <row r="636" spans="1:18" hidden="1" x14ac:dyDescent="0.25">
      <c r="A636" t="s">
        <v>1321</v>
      </c>
      <c r="B636" t="s">
        <v>315</v>
      </c>
      <c r="C636" t="s">
        <v>39</v>
      </c>
      <c r="D636" t="s">
        <v>85</v>
      </c>
      <c r="E636" t="s">
        <v>179</v>
      </c>
      <c r="F636" t="s">
        <v>87</v>
      </c>
      <c r="G636" t="s">
        <v>1322</v>
      </c>
      <c r="H636" s="15">
        <v>237998</v>
      </c>
      <c r="I636" s="15">
        <v>0</v>
      </c>
      <c r="J636" t="s">
        <v>89</v>
      </c>
      <c r="K636" t="s">
        <v>65</v>
      </c>
      <c r="L636" s="2">
        <v>41730</v>
      </c>
      <c r="M636" t="s">
        <v>1323</v>
      </c>
      <c r="N636">
        <v>2</v>
      </c>
      <c r="O636" t="s">
        <v>4903</v>
      </c>
      <c r="P636">
        <v>0</v>
      </c>
      <c r="Q636" t="s">
        <v>4903</v>
      </c>
      <c r="R636" t="s">
        <v>1321</v>
      </c>
    </row>
    <row r="637" spans="1:18" hidden="1" x14ac:dyDescent="0.25">
      <c r="A637" t="s">
        <v>3182</v>
      </c>
      <c r="B637" t="s">
        <v>31</v>
      </c>
      <c r="C637" t="s">
        <v>15</v>
      </c>
      <c r="D637" t="s">
        <v>85</v>
      </c>
      <c r="E637" t="s">
        <v>179</v>
      </c>
      <c r="F637" t="s">
        <v>87</v>
      </c>
      <c r="G637" t="s">
        <v>3183</v>
      </c>
      <c r="H637" s="15">
        <v>273395</v>
      </c>
      <c r="I637" s="15">
        <v>0</v>
      </c>
      <c r="J637" t="s">
        <v>89</v>
      </c>
      <c r="K637" t="s">
        <v>100</v>
      </c>
      <c r="L637" s="2">
        <v>41730</v>
      </c>
      <c r="M637" t="s">
        <v>3184</v>
      </c>
      <c r="N637">
        <v>1</v>
      </c>
      <c r="O637" t="s">
        <v>4903</v>
      </c>
      <c r="P637">
        <v>0</v>
      </c>
      <c r="Q637" t="s">
        <v>4903</v>
      </c>
      <c r="R637" t="s">
        <v>3182</v>
      </c>
    </row>
    <row r="638" spans="1:18" hidden="1" x14ac:dyDescent="0.25">
      <c r="A638" t="s">
        <v>954</v>
      </c>
      <c r="B638" t="s">
        <v>119</v>
      </c>
      <c r="C638" t="s">
        <v>39</v>
      </c>
      <c r="D638" t="s">
        <v>32</v>
      </c>
      <c r="E638" t="s">
        <v>151</v>
      </c>
      <c r="F638" t="s">
        <v>26</v>
      </c>
      <c r="G638" t="s">
        <v>955</v>
      </c>
      <c r="H638" s="15">
        <v>710040</v>
      </c>
      <c r="I638" s="15">
        <v>0</v>
      </c>
      <c r="J638" t="s">
        <v>20</v>
      </c>
      <c r="K638" t="s">
        <v>28</v>
      </c>
      <c r="L638" s="2">
        <v>41730</v>
      </c>
      <c r="M638" t="s">
        <v>956</v>
      </c>
      <c r="N638">
        <v>0</v>
      </c>
      <c r="O638" t="s">
        <v>4903</v>
      </c>
      <c r="P638">
        <v>0</v>
      </c>
      <c r="Q638" t="s">
        <v>4903</v>
      </c>
      <c r="R638" t="s">
        <v>954</v>
      </c>
    </row>
    <row r="639" spans="1:18" hidden="1" x14ac:dyDescent="0.25">
      <c r="A639" t="s">
        <v>552</v>
      </c>
      <c r="B639" t="s">
        <v>244</v>
      </c>
      <c r="C639" t="s">
        <v>39</v>
      </c>
      <c r="D639" t="s">
        <v>32</v>
      </c>
      <c r="E639" t="s">
        <v>151</v>
      </c>
      <c r="F639" t="s">
        <v>152</v>
      </c>
      <c r="G639" t="s">
        <v>1135</v>
      </c>
      <c r="H639" s="15">
        <v>967960</v>
      </c>
      <c r="I639" s="15">
        <v>0</v>
      </c>
      <c r="J639" t="s">
        <v>20</v>
      </c>
      <c r="K639" t="s">
        <v>28</v>
      </c>
      <c r="L639" s="2">
        <v>41730</v>
      </c>
      <c r="M639" t="s">
        <v>1136</v>
      </c>
      <c r="N639">
        <v>0</v>
      </c>
      <c r="O639" t="s">
        <v>4903</v>
      </c>
      <c r="P639">
        <v>0</v>
      </c>
      <c r="Q639" t="s">
        <v>4903</v>
      </c>
      <c r="R639" t="s">
        <v>552</v>
      </c>
    </row>
    <row r="640" spans="1:18" hidden="1" x14ac:dyDescent="0.25">
      <c r="A640" t="s">
        <v>1995</v>
      </c>
      <c r="B640" t="s">
        <v>289</v>
      </c>
      <c r="C640" t="s">
        <v>15</v>
      </c>
      <c r="D640" t="s">
        <v>32</v>
      </c>
      <c r="E640" t="s">
        <v>151</v>
      </c>
      <c r="F640" t="s">
        <v>152</v>
      </c>
      <c r="G640" t="s">
        <v>1996</v>
      </c>
      <c r="H640" s="15">
        <v>1207800</v>
      </c>
      <c r="I640" s="15">
        <v>0</v>
      </c>
      <c r="J640" t="s">
        <v>20</v>
      </c>
      <c r="K640" t="s">
        <v>28</v>
      </c>
      <c r="L640" s="2">
        <v>41730</v>
      </c>
      <c r="M640" t="s">
        <v>1997</v>
      </c>
      <c r="N640">
        <v>1</v>
      </c>
      <c r="O640" t="s">
        <v>4903</v>
      </c>
      <c r="P640">
        <v>0</v>
      </c>
      <c r="Q640" t="s">
        <v>4903</v>
      </c>
      <c r="R640" t="s">
        <v>1995</v>
      </c>
    </row>
    <row r="641" spans="1:18" hidden="1" x14ac:dyDescent="0.25">
      <c r="A641" t="s">
        <v>2397</v>
      </c>
      <c r="B641" t="s">
        <v>14</v>
      </c>
      <c r="C641" t="s">
        <v>15</v>
      </c>
      <c r="D641" t="s">
        <v>96</v>
      </c>
      <c r="E641" t="s">
        <v>1141</v>
      </c>
      <c r="F641" t="s">
        <v>98</v>
      </c>
      <c r="G641" t="s">
        <v>4189</v>
      </c>
      <c r="H641" s="15">
        <v>820000</v>
      </c>
      <c r="I641" s="15">
        <v>0</v>
      </c>
      <c r="J641" t="s">
        <v>20</v>
      </c>
      <c r="K641" t="s">
        <v>28</v>
      </c>
      <c r="L641" s="2">
        <v>41730</v>
      </c>
      <c r="M641" t="s">
        <v>4190</v>
      </c>
      <c r="N641">
        <v>1</v>
      </c>
      <c r="O641" t="s">
        <v>4903</v>
      </c>
      <c r="P641">
        <v>0</v>
      </c>
      <c r="Q641" t="s">
        <v>4903</v>
      </c>
      <c r="R641" t="s">
        <v>2397</v>
      </c>
    </row>
    <row r="642" spans="1:18" hidden="1" x14ac:dyDescent="0.25">
      <c r="A642" t="s">
        <v>3041</v>
      </c>
      <c r="B642" t="s">
        <v>84</v>
      </c>
      <c r="C642" t="s">
        <v>15</v>
      </c>
      <c r="D642" t="s">
        <v>85</v>
      </c>
      <c r="E642" t="s">
        <v>179</v>
      </c>
      <c r="F642" t="s">
        <v>87</v>
      </c>
      <c r="G642" t="s">
        <v>3042</v>
      </c>
      <c r="H642" s="15">
        <v>448040</v>
      </c>
      <c r="I642" s="15">
        <v>0</v>
      </c>
      <c r="J642" t="s">
        <v>89</v>
      </c>
      <c r="K642" t="s">
        <v>28</v>
      </c>
      <c r="L642" s="2">
        <v>41730</v>
      </c>
      <c r="M642" t="s">
        <v>3043</v>
      </c>
      <c r="N642">
        <v>0</v>
      </c>
      <c r="O642" t="s">
        <v>4903</v>
      </c>
      <c r="P642">
        <v>0</v>
      </c>
      <c r="Q642" t="s">
        <v>4903</v>
      </c>
      <c r="R642" t="s">
        <v>3041</v>
      </c>
    </row>
    <row r="643" spans="1:18" hidden="1" x14ac:dyDescent="0.25">
      <c r="A643" t="s">
        <v>178</v>
      </c>
      <c r="B643" t="s">
        <v>84</v>
      </c>
      <c r="C643" t="s">
        <v>15</v>
      </c>
      <c r="D643" t="s">
        <v>85</v>
      </c>
      <c r="E643" t="s">
        <v>179</v>
      </c>
      <c r="F643" t="s">
        <v>87</v>
      </c>
      <c r="G643" t="s">
        <v>180</v>
      </c>
      <c r="H643" s="15">
        <v>276081</v>
      </c>
      <c r="I643" s="15">
        <v>0</v>
      </c>
      <c r="J643" t="s">
        <v>89</v>
      </c>
      <c r="K643" t="s">
        <v>65</v>
      </c>
      <c r="L643" s="2">
        <v>41730</v>
      </c>
      <c r="M643" t="s">
        <v>181</v>
      </c>
      <c r="N643">
        <v>0</v>
      </c>
      <c r="O643" t="s">
        <v>4903</v>
      </c>
      <c r="P643">
        <v>0</v>
      </c>
      <c r="Q643" t="s">
        <v>4903</v>
      </c>
      <c r="R643" t="s">
        <v>178</v>
      </c>
    </row>
    <row r="644" spans="1:18" hidden="1" x14ac:dyDescent="0.25">
      <c r="A644" t="s">
        <v>457</v>
      </c>
      <c r="B644" t="s">
        <v>315</v>
      </c>
      <c r="C644" t="s">
        <v>39</v>
      </c>
      <c r="D644" t="s">
        <v>85</v>
      </c>
      <c r="E644" t="s">
        <v>179</v>
      </c>
      <c r="F644" t="s">
        <v>87</v>
      </c>
      <c r="G644" t="s">
        <v>3699</v>
      </c>
      <c r="H644" s="15">
        <v>277440</v>
      </c>
      <c r="I644" s="15">
        <v>0</v>
      </c>
      <c r="J644" t="s">
        <v>89</v>
      </c>
      <c r="K644" t="s">
        <v>116</v>
      </c>
      <c r="L644" s="2">
        <v>41730</v>
      </c>
      <c r="M644" t="s">
        <v>3700</v>
      </c>
      <c r="N644">
        <v>1</v>
      </c>
      <c r="O644" t="s">
        <v>4903</v>
      </c>
      <c r="P644">
        <v>0</v>
      </c>
      <c r="Q644" t="s">
        <v>4903</v>
      </c>
      <c r="R644" t="s">
        <v>457</v>
      </c>
    </row>
    <row r="645" spans="1:18" hidden="1" x14ac:dyDescent="0.25">
      <c r="A645" t="s">
        <v>343</v>
      </c>
      <c r="B645" t="s">
        <v>47</v>
      </c>
      <c r="C645" t="s">
        <v>48</v>
      </c>
      <c r="D645" t="s">
        <v>85</v>
      </c>
      <c r="E645" t="s">
        <v>179</v>
      </c>
      <c r="F645" t="s">
        <v>87</v>
      </c>
      <c r="G645" t="s">
        <v>344</v>
      </c>
      <c r="H645" s="15">
        <v>325935</v>
      </c>
      <c r="I645" s="15">
        <v>0</v>
      </c>
      <c r="J645" t="s">
        <v>89</v>
      </c>
      <c r="K645" t="s">
        <v>21</v>
      </c>
      <c r="L645" s="2">
        <v>41730</v>
      </c>
      <c r="M645" t="s">
        <v>345</v>
      </c>
      <c r="N645">
        <v>0</v>
      </c>
      <c r="O645" t="s">
        <v>4903</v>
      </c>
      <c r="P645">
        <v>0</v>
      </c>
      <c r="Q645" t="s">
        <v>4903</v>
      </c>
      <c r="R645" t="s">
        <v>343</v>
      </c>
    </row>
    <row r="646" spans="1:18" hidden="1" x14ac:dyDescent="0.25">
      <c r="A646" t="s">
        <v>4082</v>
      </c>
      <c r="B646" t="s">
        <v>136</v>
      </c>
      <c r="C646" t="s">
        <v>15</v>
      </c>
      <c r="D646" t="s">
        <v>85</v>
      </c>
      <c r="E646" t="s">
        <v>179</v>
      </c>
      <c r="F646" t="s">
        <v>87</v>
      </c>
      <c r="G646" t="s">
        <v>4561</v>
      </c>
      <c r="H646" s="15">
        <v>320161</v>
      </c>
      <c r="I646" s="15">
        <v>0</v>
      </c>
      <c r="J646" t="s">
        <v>89</v>
      </c>
      <c r="K646" t="s">
        <v>65</v>
      </c>
      <c r="L646" s="2">
        <v>41730</v>
      </c>
      <c r="M646" t="s">
        <v>4562</v>
      </c>
      <c r="N646">
        <v>2</v>
      </c>
      <c r="O646" t="s">
        <v>4903</v>
      </c>
      <c r="P646">
        <v>0</v>
      </c>
      <c r="Q646" t="s">
        <v>4903</v>
      </c>
      <c r="R646" t="s">
        <v>4082</v>
      </c>
    </row>
    <row r="647" spans="1:18" hidden="1" x14ac:dyDescent="0.25">
      <c r="A647" t="s">
        <v>777</v>
      </c>
      <c r="B647" t="s">
        <v>244</v>
      </c>
      <c r="C647" t="s">
        <v>39</v>
      </c>
      <c r="D647" t="s">
        <v>32</v>
      </c>
      <c r="E647" t="s">
        <v>151</v>
      </c>
      <c r="F647" t="s">
        <v>140</v>
      </c>
      <c r="G647" t="s">
        <v>1127</v>
      </c>
      <c r="H647" s="15">
        <v>685520</v>
      </c>
      <c r="I647" s="15">
        <v>0</v>
      </c>
      <c r="J647" t="s">
        <v>20</v>
      </c>
      <c r="K647" t="s">
        <v>28</v>
      </c>
      <c r="L647" s="2">
        <v>41730</v>
      </c>
      <c r="M647" t="s">
        <v>1128</v>
      </c>
      <c r="N647">
        <v>0</v>
      </c>
      <c r="O647" t="s">
        <v>4903</v>
      </c>
      <c r="P647">
        <v>0</v>
      </c>
      <c r="Q647" t="s">
        <v>4903</v>
      </c>
      <c r="R647" t="s">
        <v>777</v>
      </c>
    </row>
    <row r="648" spans="1:18" hidden="1" x14ac:dyDescent="0.25">
      <c r="A648" t="s">
        <v>2326</v>
      </c>
      <c r="B648" t="s">
        <v>84</v>
      </c>
      <c r="C648" t="s">
        <v>15</v>
      </c>
      <c r="D648" t="s">
        <v>85</v>
      </c>
      <c r="E648" t="s">
        <v>179</v>
      </c>
      <c r="F648" t="s">
        <v>87</v>
      </c>
      <c r="G648" t="s">
        <v>2327</v>
      </c>
      <c r="H648" s="15">
        <v>100000</v>
      </c>
      <c r="I648" s="15">
        <v>0</v>
      </c>
      <c r="J648" t="s">
        <v>455</v>
      </c>
      <c r="K648" t="s">
        <v>28</v>
      </c>
      <c r="L648" s="2">
        <v>41730</v>
      </c>
      <c r="M648" t="s">
        <v>2328</v>
      </c>
      <c r="N648">
        <v>0</v>
      </c>
      <c r="O648" t="s">
        <v>4903</v>
      </c>
      <c r="P648">
        <v>0</v>
      </c>
      <c r="Q648" t="s">
        <v>4903</v>
      </c>
      <c r="R648" t="s">
        <v>2326</v>
      </c>
    </row>
    <row r="649" spans="1:18" hidden="1" x14ac:dyDescent="0.25">
      <c r="A649" t="s">
        <v>3455</v>
      </c>
      <c r="B649" t="s">
        <v>406</v>
      </c>
      <c r="C649" t="s">
        <v>62</v>
      </c>
      <c r="D649" t="s">
        <v>32</v>
      </c>
      <c r="E649" t="s">
        <v>151</v>
      </c>
      <c r="F649" t="s">
        <v>152</v>
      </c>
      <c r="G649" t="s">
        <v>3458</v>
      </c>
      <c r="H649" s="15">
        <v>952465</v>
      </c>
      <c r="I649" s="15">
        <v>0</v>
      </c>
      <c r="J649" t="s">
        <v>20</v>
      </c>
      <c r="K649" t="s">
        <v>28</v>
      </c>
      <c r="L649" s="2">
        <v>41730</v>
      </c>
      <c r="M649" t="s">
        <v>3457</v>
      </c>
      <c r="N649">
        <v>3</v>
      </c>
      <c r="O649" t="s">
        <v>4903</v>
      </c>
      <c r="P649">
        <v>0</v>
      </c>
      <c r="Q649" t="s">
        <v>4903</v>
      </c>
      <c r="R649" t="s">
        <v>3455</v>
      </c>
    </row>
    <row r="650" spans="1:18" hidden="1" x14ac:dyDescent="0.25">
      <c r="A650" t="s">
        <v>1932</v>
      </c>
      <c r="B650" t="s">
        <v>520</v>
      </c>
      <c r="C650" t="s">
        <v>521</v>
      </c>
      <c r="D650" t="s">
        <v>32</v>
      </c>
      <c r="E650" t="s">
        <v>151</v>
      </c>
      <c r="F650" t="s">
        <v>26</v>
      </c>
      <c r="G650" t="s">
        <v>1933</v>
      </c>
      <c r="H650" s="15">
        <v>614472</v>
      </c>
      <c r="I650" s="15">
        <v>0</v>
      </c>
      <c r="J650" t="s">
        <v>20</v>
      </c>
      <c r="K650" t="s">
        <v>28</v>
      </c>
      <c r="L650" s="2">
        <v>41730</v>
      </c>
      <c r="M650" t="s">
        <v>1934</v>
      </c>
      <c r="N650">
        <v>1</v>
      </c>
      <c r="O650" t="s">
        <v>4903</v>
      </c>
      <c r="P650">
        <v>0</v>
      </c>
      <c r="Q650" t="s">
        <v>4903</v>
      </c>
      <c r="R650" t="s">
        <v>1932</v>
      </c>
    </row>
    <row r="651" spans="1:18" hidden="1" x14ac:dyDescent="0.25">
      <c r="A651" t="s">
        <v>2649</v>
      </c>
      <c r="B651" t="s">
        <v>24</v>
      </c>
      <c r="C651" t="s">
        <v>15</v>
      </c>
      <c r="D651" t="s">
        <v>32</v>
      </c>
      <c r="E651" t="s">
        <v>151</v>
      </c>
      <c r="F651" t="s">
        <v>34</v>
      </c>
      <c r="G651" t="s">
        <v>2978</v>
      </c>
      <c r="H651" s="15">
        <v>820920</v>
      </c>
      <c r="I651" s="15">
        <v>0</v>
      </c>
      <c r="J651" t="s">
        <v>20</v>
      </c>
      <c r="K651" t="s">
        <v>21</v>
      </c>
      <c r="L651" s="2">
        <v>41730</v>
      </c>
      <c r="M651" t="s">
        <v>2979</v>
      </c>
      <c r="N651">
        <v>0</v>
      </c>
      <c r="O651" t="s">
        <v>4903</v>
      </c>
      <c r="P651">
        <v>0</v>
      </c>
      <c r="Q651" t="s">
        <v>4903</v>
      </c>
      <c r="R651" t="s">
        <v>2649</v>
      </c>
    </row>
    <row r="652" spans="1:18" hidden="1" x14ac:dyDescent="0.25">
      <c r="A652" t="s">
        <v>2649</v>
      </c>
      <c r="B652" t="s">
        <v>24</v>
      </c>
      <c r="C652" t="s">
        <v>15</v>
      </c>
      <c r="D652" t="s">
        <v>16</v>
      </c>
      <c r="E652" t="s">
        <v>92</v>
      </c>
      <c r="F652" t="s">
        <v>34</v>
      </c>
      <c r="G652" t="s">
        <v>2978</v>
      </c>
      <c r="H652" s="15">
        <v>925650</v>
      </c>
      <c r="I652" s="15">
        <v>0</v>
      </c>
      <c r="J652" t="s">
        <v>20</v>
      </c>
      <c r="K652" t="s">
        <v>21</v>
      </c>
      <c r="L652" s="2">
        <v>41730</v>
      </c>
      <c r="M652" t="s">
        <v>2979</v>
      </c>
      <c r="N652">
        <v>0</v>
      </c>
      <c r="O652" t="s">
        <v>4903</v>
      </c>
      <c r="P652">
        <v>0</v>
      </c>
      <c r="Q652" t="s">
        <v>4903</v>
      </c>
      <c r="R652" t="s">
        <v>2649</v>
      </c>
    </row>
    <row r="653" spans="1:18" hidden="1" x14ac:dyDescent="0.25">
      <c r="A653" t="s">
        <v>150</v>
      </c>
      <c r="B653" t="s">
        <v>14</v>
      </c>
      <c r="C653" t="s">
        <v>15</v>
      </c>
      <c r="D653" t="s">
        <v>32</v>
      </c>
      <c r="E653" t="s">
        <v>151</v>
      </c>
      <c r="F653" t="s">
        <v>152</v>
      </c>
      <c r="G653" t="s">
        <v>153</v>
      </c>
      <c r="H653" s="15">
        <v>486928</v>
      </c>
      <c r="I653" s="15">
        <v>0</v>
      </c>
      <c r="J653" t="s">
        <v>154</v>
      </c>
      <c r="K653" t="s">
        <v>28</v>
      </c>
      <c r="L653" s="2">
        <v>41730</v>
      </c>
      <c r="M653" t="s">
        <v>155</v>
      </c>
      <c r="N653">
        <v>0</v>
      </c>
      <c r="O653" t="s">
        <v>4903</v>
      </c>
      <c r="P653">
        <v>0</v>
      </c>
      <c r="Q653" t="s">
        <v>4903</v>
      </c>
      <c r="R653" t="s">
        <v>150</v>
      </c>
    </row>
    <row r="654" spans="1:18" hidden="1" x14ac:dyDescent="0.25">
      <c r="A654" t="s">
        <v>1728</v>
      </c>
      <c r="B654" t="s">
        <v>84</v>
      </c>
      <c r="C654" t="s">
        <v>15</v>
      </c>
      <c r="D654" t="s">
        <v>32</v>
      </c>
      <c r="E654" t="s">
        <v>151</v>
      </c>
      <c r="F654" t="s">
        <v>18</v>
      </c>
      <c r="G654" t="s">
        <v>3790</v>
      </c>
      <c r="H654" s="15">
        <v>917420</v>
      </c>
      <c r="I654" s="15">
        <v>0</v>
      </c>
      <c r="J654" t="s">
        <v>20</v>
      </c>
      <c r="K654" t="s">
        <v>74</v>
      </c>
      <c r="L654" s="2">
        <v>41730</v>
      </c>
      <c r="M654" t="s">
        <v>3791</v>
      </c>
      <c r="N654">
        <v>5</v>
      </c>
      <c r="O654" t="s">
        <v>4903</v>
      </c>
      <c r="P654">
        <v>0</v>
      </c>
      <c r="Q654" t="s">
        <v>4903</v>
      </c>
      <c r="R654" t="s">
        <v>1728</v>
      </c>
    </row>
    <row r="655" spans="1:18" hidden="1" x14ac:dyDescent="0.25">
      <c r="A655" t="s">
        <v>3768</v>
      </c>
      <c r="B655" t="s">
        <v>47</v>
      </c>
      <c r="C655" t="s">
        <v>48</v>
      </c>
      <c r="D655" t="s">
        <v>32</v>
      </c>
      <c r="E655" t="s">
        <v>151</v>
      </c>
      <c r="F655" t="s">
        <v>152</v>
      </c>
      <c r="G655" t="s">
        <v>3769</v>
      </c>
      <c r="H655" s="15">
        <v>795064</v>
      </c>
      <c r="I655" s="15">
        <v>0</v>
      </c>
      <c r="J655" t="s">
        <v>20</v>
      </c>
      <c r="K655" t="s">
        <v>28</v>
      </c>
      <c r="L655" s="2">
        <v>41730</v>
      </c>
      <c r="M655" t="s">
        <v>3770</v>
      </c>
      <c r="N655">
        <v>0</v>
      </c>
      <c r="O655" t="s">
        <v>4903</v>
      </c>
      <c r="P655">
        <v>0</v>
      </c>
      <c r="Q655" t="s">
        <v>4903</v>
      </c>
      <c r="R655" t="s">
        <v>3768</v>
      </c>
    </row>
    <row r="656" spans="1:18" hidden="1" x14ac:dyDescent="0.25">
      <c r="A656" t="s">
        <v>2882</v>
      </c>
      <c r="B656" t="s">
        <v>406</v>
      </c>
      <c r="C656" t="s">
        <v>62</v>
      </c>
      <c r="D656" t="s">
        <v>85</v>
      </c>
      <c r="E656" t="s">
        <v>179</v>
      </c>
      <c r="F656" t="s">
        <v>87</v>
      </c>
      <c r="G656" t="s">
        <v>2883</v>
      </c>
      <c r="H656" s="15">
        <v>274000</v>
      </c>
      <c r="I656" s="15">
        <v>0</v>
      </c>
      <c r="J656" t="s">
        <v>89</v>
      </c>
      <c r="K656" t="s">
        <v>28</v>
      </c>
      <c r="L656" s="2">
        <v>41730</v>
      </c>
      <c r="M656" t="s">
        <v>2884</v>
      </c>
      <c r="N656">
        <v>9</v>
      </c>
      <c r="O656" t="s">
        <v>4903</v>
      </c>
      <c r="P656">
        <v>0</v>
      </c>
      <c r="Q656" t="s">
        <v>4903</v>
      </c>
      <c r="R656" t="s">
        <v>2882</v>
      </c>
    </row>
    <row r="657" spans="1:18" hidden="1" x14ac:dyDescent="0.25">
      <c r="A657" t="s">
        <v>2339</v>
      </c>
      <c r="B657" t="s">
        <v>14</v>
      </c>
      <c r="C657" t="s">
        <v>15</v>
      </c>
      <c r="D657" t="s">
        <v>32</v>
      </c>
      <c r="E657" t="s">
        <v>151</v>
      </c>
      <c r="F657" t="s">
        <v>26</v>
      </c>
      <c r="G657" t="s">
        <v>2340</v>
      </c>
      <c r="H657" s="15">
        <v>695400</v>
      </c>
      <c r="I657" s="15">
        <v>0</v>
      </c>
      <c r="J657" t="s">
        <v>20</v>
      </c>
      <c r="K657" t="s">
        <v>28</v>
      </c>
      <c r="L657" s="2">
        <v>41730</v>
      </c>
      <c r="M657" t="s">
        <v>2341</v>
      </c>
      <c r="N657">
        <v>3</v>
      </c>
      <c r="O657" t="s">
        <v>4903</v>
      </c>
      <c r="P657">
        <v>0</v>
      </c>
      <c r="Q657" t="s">
        <v>4903</v>
      </c>
      <c r="R657" t="s">
        <v>2339</v>
      </c>
    </row>
    <row r="658" spans="1:18" x14ac:dyDescent="0.25">
      <c r="A658" t="s">
        <v>733</v>
      </c>
      <c r="B658" t="s">
        <v>315</v>
      </c>
      <c r="C658" t="s">
        <v>39</v>
      </c>
      <c r="D658" t="s">
        <v>32</v>
      </c>
      <c r="E658" t="s">
        <v>305</v>
      </c>
      <c r="F658" t="s">
        <v>26</v>
      </c>
      <c r="G658" t="s">
        <v>734</v>
      </c>
      <c r="H658" s="15">
        <v>210140</v>
      </c>
      <c r="I658" s="15">
        <v>0</v>
      </c>
      <c r="J658" t="s">
        <v>455</v>
      </c>
      <c r="K658" t="s">
        <v>57</v>
      </c>
      <c r="L658" s="2">
        <v>41365</v>
      </c>
      <c r="M658" t="s">
        <v>735</v>
      </c>
      <c r="N658">
        <v>4</v>
      </c>
      <c r="O658" t="s">
        <v>4812</v>
      </c>
      <c r="P658">
        <v>1</v>
      </c>
      <c r="Q658" t="s">
        <v>4809</v>
      </c>
      <c r="R658" t="s">
        <v>733</v>
      </c>
    </row>
    <row r="659" spans="1:18" x14ac:dyDescent="0.25">
      <c r="A659" t="s">
        <v>897</v>
      </c>
      <c r="B659" t="s">
        <v>898</v>
      </c>
      <c r="C659" t="s">
        <v>39</v>
      </c>
      <c r="D659" t="s">
        <v>32</v>
      </c>
      <c r="E659" t="s">
        <v>269</v>
      </c>
      <c r="F659" t="s">
        <v>18</v>
      </c>
      <c r="G659" t="s">
        <v>3445</v>
      </c>
      <c r="H659" s="15">
        <v>361539</v>
      </c>
      <c r="I659" s="15">
        <v>0</v>
      </c>
      <c r="J659" t="s">
        <v>89</v>
      </c>
      <c r="K659" t="s">
        <v>65</v>
      </c>
      <c r="L659" s="2">
        <v>41000</v>
      </c>
      <c r="M659" t="s">
        <v>3446</v>
      </c>
      <c r="N659">
        <v>2</v>
      </c>
      <c r="O659" t="s">
        <v>4817</v>
      </c>
      <c r="P659">
        <v>1</v>
      </c>
      <c r="Q659" t="s">
        <v>4809</v>
      </c>
      <c r="R659" t="s">
        <v>897</v>
      </c>
    </row>
    <row r="660" spans="1:18" hidden="1" x14ac:dyDescent="0.25">
      <c r="A660" t="s">
        <v>2042</v>
      </c>
      <c r="B660" t="s">
        <v>84</v>
      </c>
      <c r="C660" t="s">
        <v>15</v>
      </c>
      <c r="D660" t="s">
        <v>32</v>
      </c>
      <c r="E660" t="s">
        <v>586</v>
      </c>
      <c r="F660" t="s">
        <v>140</v>
      </c>
      <c r="G660" t="s">
        <v>4109</v>
      </c>
      <c r="H660" s="15">
        <v>492845</v>
      </c>
      <c r="I660" s="15">
        <v>0</v>
      </c>
      <c r="J660" t="s">
        <v>154</v>
      </c>
      <c r="K660" t="s">
        <v>28</v>
      </c>
      <c r="L660" s="2">
        <v>41821</v>
      </c>
      <c r="M660" t="s">
        <v>4110</v>
      </c>
      <c r="N660">
        <v>0</v>
      </c>
      <c r="O660" t="s">
        <v>4903</v>
      </c>
      <c r="P660">
        <v>0</v>
      </c>
      <c r="Q660" t="s">
        <v>4903</v>
      </c>
      <c r="R660" t="s">
        <v>2042</v>
      </c>
    </row>
    <row r="661" spans="1:18" hidden="1" x14ac:dyDescent="0.25">
      <c r="A661" t="s">
        <v>562</v>
      </c>
      <c r="B661" t="s">
        <v>190</v>
      </c>
      <c r="C661" t="s">
        <v>15</v>
      </c>
      <c r="D661" t="s">
        <v>32</v>
      </c>
      <c r="E661" t="s">
        <v>586</v>
      </c>
      <c r="F661" t="s">
        <v>18</v>
      </c>
      <c r="G661" t="s">
        <v>708</v>
      </c>
      <c r="H661" s="15">
        <v>409478</v>
      </c>
      <c r="I661" s="15">
        <v>0</v>
      </c>
      <c r="J661" t="s">
        <v>154</v>
      </c>
      <c r="K661" t="s">
        <v>65</v>
      </c>
      <c r="L661" s="2">
        <v>41821</v>
      </c>
      <c r="M661" t="s">
        <v>709</v>
      </c>
      <c r="N661">
        <v>0</v>
      </c>
      <c r="O661" t="s">
        <v>4903</v>
      </c>
      <c r="P661">
        <v>0</v>
      </c>
      <c r="Q661" t="s">
        <v>4903</v>
      </c>
      <c r="R661" t="s">
        <v>562</v>
      </c>
    </row>
    <row r="662" spans="1:18" hidden="1" x14ac:dyDescent="0.25">
      <c r="A662" t="s">
        <v>1656</v>
      </c>
      <c r="B662" t="s">
        <v>126</v>
      </c>
      <c r="C662" t="s">
        <v>39</v>
      </c>
      <c r="D662" t="s">
        <v>32</v>
      </c>
      <c r="E662" t="s">
        <v>586</v>
      </c>
      <c r="F662" t="s">
        <v>152</v>
      </c>
      <c r="G662" t="s">
        <v>1657</v>
      </c>
      <c r="H662" s="15">
        <v>567520</v>
      </c>
      <c r="I662" s="15">
        <v>0</v>
      </c>
      <c r="J662" t="s">
        <v>20</v>
      </c>
      <c r="K662" t="s">
        <v>28</v>
      </c>
      <c r="L662" s="2">
        <v>41821</v>
      </c>
      <c r="M662" t="s">
        <v>1658</v>
      </c>
      <c r="N662">
        <v>0</v>
      </c>
      <c r="O662" t="s">
        <v>4903</v>
      </c>
      <c r="P662">
        <v>0</v>
      </c>
      <c r="Q662" t="s">
        <v>4903</v>
      </c>
      <c r="R662" t="s">
        <v>1656</v>
      </c>
    </row>
    <row r="663" spans="1:18" hidden="1" x14ac:dyDescent="0.25">
      <c r="A663" t="s">
        <v>1454</v>
      </c>
      <c r="B663" t="s">
        <v>406</v>
      </c>
      <c r="C663" t="s">
        <v>62</v>
      </c>
      <c r="D663" t="s">
        <v>32</v>
      </c>
      <c r="E663" t="s">
        <v>586</v>
      </c>
      <c r="F663" t="s">
        <v>34</v>
      </c>
      <c r="G663" t="s">
        <v>1455</v>
      </c>
      <c r="H663" s="15">
        <v>777172</v>
      </c>
      <c r="I663" s="15">
        <v>0</v>
      </c>
      <c r="J663" t="s">
        <v>20</v>
      </c>
      <c r="K663" t="s">
        <v>21</v>
      </c>
      <c r="L663" s="2">
        <v>41821</v>
      </c>
      <c r="M663" t="s">
        <v>1456</v>
      </c>
      <c r="N663">
        <v>0</v>
      </c>
      <c r="O663" t="s">
        <v>4903</v>
      </c>
      <c r="P663">
        <v>0</v>
      </c>
      <c r="Q663" t="s">
        <v>4903</v>
      </c>
      <c r="R663" t="s">
        <v>1454</v>
      </c>
    </row>
    <row r="664" spans="1:18" hidden="1" x14ac:dyDescent="0.25">
      <c r="A664" t="s">
        <v>3797</v>
      </c>
      <c r="B664" t="s">
        <v>489</v>
      </c>
      <c r="C664" t="s">
        <v>39</v>
      </c>
      <c r="D664" t="s">
        <v>32</v>
      </c>
      <c r="E664" t="s">
        <v>586</v>
      </c>
      <c r="F664" t="s">
        <v>26</v>
      </c>
      <c r="G664" t="s">
        <v>3798</v>
      </c>
      <c r="H664" s="15">
        <v>845460</v>
      </c>
      <c r="I664" s="15">
        <v>0</v>
      </c>
      <c r="J664" t="s">
        <v>20</v>
      </c>
      <c r="K664" t="s">
        <v>28</v>
      </c>
      <c r="L664" s="2">
        <v>41821</v>
      </c>
      <c r="M664" t="s">
        <v>3799</v>
      </c>
      <c r="N664">
        <v>0</v>
      </c>
      <c r="O664" t="s">
        <v>4903</v>
      </c>
      <c r="P664">
        <v>0</v>
      </c>
      <c r="Q664" t="s">
        <v>4903</v>
      </c>
      <c r="R664" t="s">
        <v>3797</v>
      </c>
    </row>
    <row r="665" spans="1:18" hidden="1" x14ac:dyDescent="0.25">
      <c r="A665" t="s">
        <v>3052</v>
      </c>
      <c r="B665" t="s">
        <v>61</v>
      </c>
      <c r="C665" t="s">
        <v>62</v>
      </c>
      <c r="D665" t="s">
        <v>32</v>
      </c>
      <c r="E665" t="s">
        <v>586</v>
      </c>
      <c r="F665" t="s">
        <v>152</v>
      </c>
      <c r="G665" t="s">
        <v>3053</v>
      </c>
      <c r="H665" s="15">
        <v>628466</v>
      </c>
      <c r="I665" s="15">
        <v>0</v>
      </c>
      <c r="J665" t="s">
        <v>20</v>
      </c>
      <c r="K665" t="s">
        <v>57</v>
      </c>
      <c r="L665" s="2">
        <v>41821</v>
      </c>
      <c r="M665" t="s">
        <v>3054</v>
      </c>
      <c r="N665">
        <v>0</v>
      </c>
      <c r="O665" t="s">
        <v>4903</v>
      </c>
      <c r="P665">
        <v>0</v>
      </c>
      <c r="Q665" t="s">
        <v>4903</v>
      </c>
      <c r="R665" t="s">
        <v>3052</v>
      </c>
    </row>
    <row r="666" spans="1:18" hidden="1" x14ac:dyDescent="0.25">
      <c r="A666" t="s">
        <v>1300</v>
      </c>
      <c r="B666" t="s">
        <v>31</v>
      </c>
      <c r="C666" t="s">
        <v>15</v>
      </c>
      <c r="D666" t="s">
        <v>32</v>
      </c>
      <c r="E666" t="s">
        <v>586</v>
      </c>
      <c r="F666" t="s">
        <v>34</v>
      </c>
      <c r="G666" t="s">
        <v>1301</v>
      </c>
      <c r="H666" s="15">
        <v>367156</v>
      </c>
      <c r="I666" s="15">
        <v>0</v>
      </c>
      <c r="J666" t="s">
        <v>154</v>
      </c>
      <c r="K666" t="s">
        <v>74</v>
      </c>
      <c r="L666" s="2">
        <v>41821</v>
      </c>
      <c r="M666" t="s">
        <v>1302</v>
      </c>
      <c r="N666">
        <v>0</v>
      </c>
      <c r="O666" t="s">
        <v>4903</v>
      </c>
      <c r="P666">
        <v>0</v>
      </c>
      <c r="Q666" t="s">
        <v>4903</v>
      </c>
      <c r="R666" t="s">
        <v>1300</v>
      </c>
    </row>
    <row r="667" spans="1:18" hidden="1" x14ac:dyDescent="0.25">
      <c r="A667" t="s">
        <v>2800</v>
      </c>
      <c r="B667" t="s">
        <v>478</v>
      </c>
      <c r="C667" t="s">
        <v>15</v>
      </c>
      <c r="D667" t="s">
        <v>32</v>
      </c>
      <c r="E667" t="s">
        <v>586</v>
      </c>
      <c r="F667" t="s">
        <v>26</v>
      </c>
      <c r="G667" t="s">
        <v>2801</v>
      </c>
      <c r="H667" s="15">
        <v>664934</v>
      </c>
      <c r="I667" s="15">
        <v>0</v>
      </c>
      <c r="J667" t="s">
        <v>20</v>
      </c>
      <c r="K667" t="s">
        <v>28</v>
      </c>
      <c r="L667" s="2">
        <v>41821</v>
      </c>
      <c r="M667" t="s">
        <v>2802</v>
      </c>
      <c r="N667">
        <v>0</v>
      </c>
      <c r="O667" t="s">
        <v>4903</v>
      </c>
      <c r="P667">
        <v>0</v>
      </c>
      <c r="Q667" t="s">
        <v>4903</v>
      </c>
      <c r="R667" t="s">
        <v>2800</v>
      </c>
    </row>
    <row r="668" spans="1:18" hidden="1" x14ac:dyDescent="0.25">
      <c r="A668" t="s">
        <v>2097</v>
      </c>
      <c r="B668" t="s">
        <v>119</v>
      </c>
      <c r="C668" t="s">
        <v>39</v>
      </c>
      <c r="D668" t="s">
        <v>32</v>
      </c>
      <c r="E668" t="s">
        <v>586</v>
      </c>
      <c r="F668" t="s">
        <v>34</v>
      </c>
      <c r="G668" t="s">
        <v>2098</v>
      </c>
      <c r="H668" s="15">
        <v>394720</v>
      </c>
      <c r="I668" s="15">
        <v>0</v>
      </c>
      <c r="J668" t="s">
        <v>154</v>
      </c>
      <c r="K668" t="s">
        <v>28</v>
      </c>
      <c r="L668" s="2">
        <v>41821</v>
      </c>
      <c r="M668" t="s">
        <v>2099</v>
      </c>
      <c r="N668">
        <v>4</v>
      </c>
      <c r="O668" t="s">
        <v>4903</v>
      </c>
      <c r="P668">
        <v>0</v>
      </c>
      <c r="Q668" t="s">
        <v>4903</v>
      </c>
      <c r="R668" t="s">
        <v>2097</v>
      </c>
    </row>
    <row r="669" spans="1:18" hidden="1" x14ac:dyDescent="0.25">
      <c r="A669" t="s">
        <v>1410</v>
      </c>
      <c r="B669" t="s">
        <v>24</v>
      </c>
      <c r="C669" t="s">
        <v>15</v>
      </c>
      <c r="D669" t="s">
        <v>32</v>
      </c>
      <c r="E669" t="s">
        <v>586</v>
      </c>
      <c r="F669" t="s">
        <v>34</v>
      </c>
      <c r="G669" t="s">
        <v>1411</v>
      </c>
      <c r="H669" s="15">
        <v>731378</v>
      </c>
      <c r="I669" s="15">
        <v>0</v>
      </c>
      <c r="J669" t="s">
        <v>20</v>
      </c>
      <c r="K669" t="s">
        <v>28</v>
      </c>
      <c r="L669" s="2">
        <v>41821</v>
      </c>
      <c r="M669" t="s">
        <v>1412</v>
      </c>
      <c r="N669">
        <v>0</v>
      </c>
      <c r="O669" t="s">
        <v>4903</v>
      </c>
      <c r="P669">
        <v>0</v>
      </c>
      <c r="Q669" t="s">
        <v>4903</v>
      </c>
      <c r="R669" t="s">
        <v>1410</v>
      </c>
    </row>
    <row r="670" spans="1:18" hidden="1" x14ac:dyDescent="0.25">
      <c r="A670" t="s">
        <v>3594</v>
      </c>
      <c r="B670" t="s">
        <v>103</v>
      </c>
      <c r="C670" t="s">
        <v>15</v>
      </c>
      <c r="D670" t="s">
        <v>32</v>
      </c>
      <c r="E670" t="s">
        <v>586</v>
      </c>
      <c r="F670" t="s">
        <v>152</v>
      </c>
      <c r="G670" t="s">
        <v>3595</v>
      </c>
      <c r="H670" s="15">
        <v>913568</v>
      </c>
      <c r="I670" s="15">
        <v>0</v>
      </c>
      <c r="J670" t="s">
        <v>20</v>
      </c>
      <c r="K670" t="s">
        <v>28</v>
      </c>
      <c r="L670" s="2">
        <v>41821</v>
      </c>
      <c r="M670" t="s">
        <v>3596</v>
      </c>
      <c r="N670">
        <v>0</v>
      </c>
      <c r="O670" t="s">
        <v>4903</v>
      </c>
      <c r="P670">
        <v>0</v>
      </c>
      <c r="Q670" t="s">
        <v>4903</v>
      </c>
      <c r="R670" t="s">
        <v>3594</v>
      </c>
    </row>
    <row r="671" spans="1:18" hidden="1" x14ac:dyDescent="0.25">
      <c r="A671" t="s">
        <v>1157</v>
      </c>
      <c r="B671" t="s">
        <v>77</v>
      </c>
      <c r="C671" t="s">
        <v>15</v>
      </c>
      <c r="D671" t="s">
        <v>32</v>
      </c>
      <c r="E671" t="s">
        <v>586</v>
      </c>
      <c r="F671" t="s">
        <v>26</v>
      </c>
      <c r="G671" t="s">
        <v>1160</v>
      </c>
      <c r="H671" s="15">
        <v>990596</v>
      </c>
      <c r="I671" s="15">
        <v>0</v>
      </c>
      <c r="J671" t="s">
        <v>20</v>
      </c>
      <c r="K671" t="s">
        <v>28</v>
      </c>
      <c r="L671" s="2">
        <v>41821</v>
      </c>
      <c r="M671" t="s">
        <v>1161</v>
      </c>
      <c r="N671">
        <v>2</v>
      </c>
      <c r="O671" t="s">
        <v>4903</v>
      </c>
      <c r="P671">
        <v>0</v>
      </c>
      <c r="Q671" t="s">
        <v>4903</v>
      </c>
      <c r="R671" t="s">
        <v>1157</v>
      </c>
    </row>
    <row r="672" spans="1:18" hidden="1" x14ac:dyDescent="0.25">
      <c r="A672" t="s">
        <v>585</v>
      </c>
      <c r="B672" t="s">
        <v>520</v>
      </c>
      <c r="C672" t="s">
        <v>521</v>
      </c>
      <c r="D672" t="s">
        <v>32</v>
      </c>
      <c r="E672" t="s">
        <v>586</v>
      </c>
      <c r="F672" t="s">
        <v>152</v>
      </c>
      <c r="G672" t="s">
        <v>587</v>
      </c>
      <c r="H672" s="15">
        <v>817320</v>
      </c>
      <c r="I672" s="15">
        <v>0</v>
      </c>
      <c r="J672" t="s">
        <v>20</v>
      </c>
      <c r="K672" t="s">
        <v>28</v>
      </c>
      <c r="L672" s="2">
        <v>41821</v>
      </c>
      <c r="M672" t="s">
        <v>588</v>
      </c>
      <c r="N672">
        <v>0</v>
      </c>
      <c r="O672" t="s">
        <v>4903</v>
      </c>
      <c r="P672">
        <v>0</v>
      </c>
      <c r="Q672" t="s">
        <v>4903</v>
      </c>
      <c r="R672" t="s">
        <v>585</v>
      </c>
    </row>
    <row r="673" spans="1:18" hidden="1" x14ac:dyDescent="0.25">
      <c r="A673" t="s">
        <v>2861</v>
      </c>
      <c r="B673" t="s">
        <v>47</v>
      </c>
      <c r="C673" t="s">
        <v>48</v>
      </c>
      <c r="D673" t="s">
        <v>32</v>
      </c>
      <c r="E673" t="s">
        <v>586</v>
      </c>
      <c r="F673" t="s">
        <v>18</v>
      </c>
      <c r="G673" t="s">
        <v>3173</v>
      </c>
      <c r="H673" s="15">
        <v>731651</v>
      </c>
      <c r="I673" s="15">
        <v>0</v>
      </c>
      <c r="J673" t="s">
        <v>20</v>
      </c>
      <c r="K673" t="s">
        <v>21</v>
      </c>
      <c r="L673" s="2">
        <v>41821</v>
      </c>
      <c r="M673" t="s">
        <v>3174</v>
      </c>
      <c r="N673">
        <v>3</v>
      </c>
      <c r="O673" t="s">
        <v>4903</v>
      </c>
      <c r="P673">
        <v>0</v>
      </c>
      <c r="Q673" t="s">
        <v>4903</v>
      </c>
      <c r="R673" t="s">
        <v>2861</v>
      </c>
    </row>
    <row r="674" spans="1:18" hidden="1" x14ac:dyDescent="0.25">
      <c r="A674" t="s">
        <v>1094</v>
      </c>
      <c r="B674" t="s">
        <v>77</v>
      </c>
      <c r="C674" t="s">
        <v>15</v>
      </c>
      <c r="D674" t="s">
        <v>32</v>
      </c>
      <c r="E674" t="s">
        <v>586</v>
      </c>
      <c r="F674" t="s">
        <v>34</v>
      </c>
      <c r="G674" t="s">
        <v>2652</v>
      </c>
      <c r="H674" s="15">
        <v>694870</v>
      </c>
      <c r="I674" s="15">
        <v>0</v>
      </c>
      <c r="J674" t="s">
        <v>20</v>
      </c>
      <c r="K674" t="s">
        <v>116</v>
      </c>
      <c r="L674" s="2">
        <v>41821</v>
      </c>
      <c r="M674" t="s">
        <v>2653</v>
      </c>
      <c r="N674">
        <v>0</v>
      </c>
      <c r="O674" t="s">
        <v>4903</v>
      </c>
      <c r="P674">
        <v>0</v>
      </c>
      <c r="Q674" t="s">
        <v>4903</v>
      </c>
      <c r="R674" t="s">
        <v>1094</v>
      </c>
    </row>
    <row r="675" spans="1:18" hidden="1" x14ac:dyDescent="0.25">
      <c r="A675" t="s">
        <v>288</v>
      </c>
      <c r="B675" t="s">
        <v>289</v>
      </c>
      <c r="C675" t="s">
        <v>15</v>
      </c>
      <c r="D675" t="s">
        <v>32</v>
      </c>
      <c r="E675" t="s">
        <v>586</v>
      </c>
      <c r="F675" t="s">
        <v>140</v>
      </c>
      <c r="G675" t="s">
        <v>1841</v>
      </c>
      <c r="H675" s="15">
        <v>567572</v>
      </c>
      <c r="I675" s="15">
        <v>0</v>
      </c>
      <c r="J675" t="s">
        <v>154</v>
      </c>
      <c r="K675" t="s">
        <v>28</v>
      </c>
      <c r="L675" s="2">
        <v>41821</v>
      </c>
      <c r="M675" t="s">
        <v>1842</v>
      </c>
      <c r="N675">
        <v>0</v>
      </c>
      <c r="O675" t="s">
        <v>4903</v>
      </c>
      <c r="P675">
        <v>0</v>
      </c>
      <c r="Q675" t="s">
        <v>4903</v>
      </c>
      <c r="R675" t="s">
        <v>288</v>
      </c>
    </row>
    <row r="676" spans="1:18" hidden="1" x14ac:dyDescent="0.25">
      <c r="A676" t="s">
        <v>2679</v>
      </c>
      <c r="B676" t="s">
        <v>14</v>
      </c>
      <c r="C676" t="s">
        <v>15</v>
      </c>
      <c r="D676" t="s">
        <v>32</v>
      </c>
      <c r="E676" t="s">
        <v>586</v>
      </c>
      <c r="F676" t="s">
        <v>26</v>
      </c>
      <c r="G676" t="s">
        <v>3036</v>
      </c>
      <c r="H676" s="15">
        <v>483813</v>
      </c>
      <c r="I676" s="15">
        <v>0</v>
      </c>
      <c r="J676" t="s">
        <v>89</v>
      </c>
      <c r="K676" t="s">
        <v>28</v>
      </c>
      <c r="L676" s="2">
        <v>41821</v>
      </c>
      <c r="M676" t="s">
        <v>3037</v>
      </c>
      <c r="N676">
        <v>0</v>
      </c>
      <c r="O676" t="s">
        <v>4903</v>
      </c>
      <c r="P676">
        <v>0</v>
      </c>
      <c r="Q676" t="s">
        <v>4903</v>
      </c>
      <c r="R676" t="s">
        <v>2679</v>
      </c>
    </row>
    <row r="677" spans="1:18" hidden="1" x14ac:dyDescent="0.25">
      <c r="A677" t="s">
        <v>652</v>
      </c>
      <c r="B677" t="s">
        <v>31</v>
      </c>
      <c r="C677" t="s">
        <v>15</v>
      </c>
      <c r="D677" t="s">
        <v>32</v>
      </c>
      <c r="E677" t="s">
        <v>586</v>
      </c>
      <c r="F677" t="s">
        <v>34</v>
      </c>
      <c r="G677" t="s">
        <v>653</v>
      </c>
      <c r="H677" s="15">
        <v>773740</v>
      </c>
      <c r="I677" s="15">
        <v>0</v>
      </c>
      <c r="J677" t="s">
        <v>20</v>
      </c>
      <c r="K677" t="s">
        <v>116</v>
      </c>
      <c r="L677" s="2">
        <v>41821</v>
      </c>
      <c r="M677" t="s">
        <v>654</v>
      </c>
      <c r="N677">
        <v>0</v>
      </c>
      <c r="O677" t="s">
        <v>4903</v>
      </c>
      <c r="P677">
        <v>0</v>
      </c>
      <c r="Q677" t="s">
        <v>4903</v>
      </c>
      <c r="R677" t="s">
        <v>652</v>
      </c>
    </row>
    <row r="678" spans="1:18" hidden="1" x14ac:dyDescent="0.25">
      <c r="A678" t="s">
        <v>2555</v>
      </c>
      <c r="B678" t="s">
        <v>923</v>
      </c>
      <c r="C678" t="s">
        <v>15</v>
      </c>
      <c r="D678" t="s">
        <v>32</v>
      </c>
      <c r="E678" t="s">
        <v>586</v>
      </c>
      <c r="F678" t="s">
        <v>152</v>
      </c>
      <c r="G678" t="s">
        <v>2835</v>
      </c>
      <c r="H678" s="15">
        <v>589508</v>
      </c>
      <c r="I678" s="15">
        <v>0</v>
      </c>
      <c r="J678" t="s">
        <v>20</v>
      </c>
      <c r="K678" t="s">
        <v>28</v>
      </c>
      <c r="L678" s="2">
        <v>41821</v>
      </c>
      <c r="M678" t="s">
        <v>2836</v>
      </c>
      <c r="N678">
        <v>0</v>
      </c>
      <c r="O678" t="s">
        <v>4903</v>
      </c>
      <c r="P678">
        <v>0</v>
      </c>
      <c r="Q678" t="s">
        <v>4903</v>
      </c>
      <c r="R678" t="s">
        <v>2555</v>
      </c>
    </row>
    <row r="679" spans="1:18" hidden="1" x14ac:dyDescent="0.25">
      <c r="A679" t="s">
        <v>799</v>
      </c>
      <c r="B679" t="s">
        <v>14</v>
      </c>
      <c r="C679" t="s">
        <v>15</v>
      </c>
      <c r="D679" t="s">
        <v>32</v>
      </c>
      <c r="E679" t="s">
        <v>586</v>
      </c>
      <c r="F679" t="s">
        <v>26</v>
      </c>
      <c r="G679" t="s">
        <v>800</v>
      </c>
      <c r="H679" s="15">
        <v>804047</v>
      </c>
      <c r="I679" s="15">
        <v>0</v>
      </c>
      <c r="J679" t="s">
        <v>20</v>
      </c>
      <c r="K679" t="s">
        <v>28</v>
      </c>
      <c r="L679" s="2">
        <v>41821</v>
      </c>
      <c r="M679" t="s">
        <v>801</v>
      </c>
      <c r="N679">
        <v>5</v>
      </c>
      <c r="O679" t="s">
        <v>4903</v>
      </c>
      <c r="P679">
        <v>0</v>
      </c>
      <c r="Q679" t="s">
        <v>4903</v>
      </c>
      <c r="R679" t="s">
        <v>799</v>
      </c>
    </row>
    <row r="680" spans="1:18" hidden="1" x14ac:dyDescent="0.25">
      <c r="A680" t="s">
        <v>2907</v>
      </c>
      <c r="B680" t="s">
        <v>84</v>
      </c>
      <c r="C680" t="s">
        <v>15</v>
      </c>
      <c r="D680" t="s">
        <v>32</v>
      </c>
      <c r="E680" t="s">
        <v>586</v>
      </c>
      <c r="F680" t="s">
        <v>140</v>
      </c>
      <c r="G680" t="s">
        <v>2908</v>
      </c>
      <c r="H680" s="15">
        <v>834840</v>
      </c>
      <c r="I680" s="15">
        <v>0</v>
      </c>
      <c r="J680" t="s">
        <v>20</v>
      </c>
      <c r="K680" t="s">
        <v>28</v>
      </c>
      <c r="L680" s="2">
        <v>41821</v>
      </c>
      <c r="M680" t="s">
        <v>2909</v>
      </c>
      <c r="N680">
        <v>0</v>
      </c>
      <c r="O680" t="s">
        <v>4903</v>
      </c>
      <c r="P680">
        <v>0</v>
      </c>
      <c r="Q680" t="s">
        <v>4903</v>
      </c>
      <c r="R680" t="s">
        <v>2907</v>
      </c>
    </row>
    <row r="681" spans="1:18" hidden="1" x14ac:dyDescent="0.25">
      <c r="A681" t="s">
        <v>3779</v>
      </c>
      <c r="B681" t="s">
        <v>103</v>
      </c>
      <c r="C681" t="s">
        <v>15</v>
      </c>
      <c r="D681" t="s">
        <v>32</v>
      </c>
      <c r="E681" t="s">
        <v>586</v>
      </c>
      <c r="F681" t="s">
        <v>140</v>
      </c>
      <c r="G681" t="s">
        <v>3780</v>
      </c>
      <c r="H681" s="15">
        <v>334403</v>
      </c>
      <c r="I681" s="15">
        <v>0</v>
      </c>
      <c r="J681" t="s">
        <v>89</v>
      </c>
      <c r="K681" t="s">
        <v>28</v>
      </c>
      <c r="L681" s="2">
        <v>41821</v>
      </c>
      <c r="M681" t="s">
        <v>3781</v>
      </c>
      <c r="N681">
        <v>0</v>
      </c>
      <c r="O681" t="s">
        <v>4903</v>
      </c>
      <c r="P681">
        <v>0</v>
      </c>
      <c r="Q681" t="s">
        <v>4903</v>
      </c>
      <c r="R681" t="s">
        <v>3779</v>
      </c>
    </row>
    <row r="682" spans="1:18" hidden="1" x14ac:dyDescent="0.25">
      <c r="A682" t="s">
        <v>1154</v>
      </c>
      <c r="B682" t="s">
        <v>84</v>
      </c>
      <c r="C682" t="s">
        <v>15</v>
      </c>
      <c r="D682" t="s">
        <v>32</v>
      </c>
      <c r="E682" t="s">
        <v>586</v>
      </c>
      <c r="F682" t="s">
        <v>18</v>
      </c>
      <c r="G682" t="s">
        <v>2954</v>
      </c>
      <c r="H682" s="15">
        <v>482574</v>
      </c>
      <c r="I682" s="15">
        <v>0</v>
      </c>
      <c r="J682" t="s">
        <v>154</v>
      </c>
      <c r="K682" t="s">
        <v>21</v>
      </c>
      <c r="L682" s="2">
        <v>41821</v>
      </c>
      <c r="M682" t="s">
        <v>2955</v>
      </c>
      <c r="N682">
        <v>0</v>
      </c>
      <c r="O682" t="s">
        <v>4903</v>
      </c>
      <c r="P682">
        <v>0</v>
      </c>
      <c r="Q682" t="s">
        <v>4903</v>
      </c>
      <c r="R682" t="s">
        <v>1154</v>
      </c>
    </row>
    <row r="683" spans="1:18" hidden="1" x14ac:dyDescent="0.25">
      <c r="A683" t="s">
        <v>2397</v>
      </c>
      <c r="B683" t="s">
        <v>14</v>
      </c>
      <c r="C683" t="s">
        <v>15</v>
      </c>
      <c r="D683" t="s">
        <v>32</v>
      </c>
      <c r="E683" t="s">
        <v>586</v>
      </c>
      <c r="F683" t="s">
        <v>152</v>
      </c>
      <c r="G683" t="s">
        <v>4249</v>
      </c>
      <c r="H683" s="15">
        <v>707495</v>
      </c>
      <c r="I683" s="15">
        <v>0</v>
      </c>
      <c r="J683" t="s">
        <v>20</v>
      </c>
      <c r="K683" t="s">
        <v>28</v>
      </c>
      <c r="L683" s="2">
        <v>41821</v>
      </c>
      <c r="M683" t="s">
        <v>4250</v>
      </c>
      <c r="N683">
        <v>0</v>
      </c>
      <c r="O683" t="s">
        <v>4903</v>
      </c>
      <c r="P683">
        <v>0</v>
      </c>
      <c r="Q683" t="s">
        <v>4903</v>
      </c>
      <c r="R683" t="s">
        <v>2397</v>
      </c>
    </row>
    <row r="684" spans="1:18" hidden="1" x14ac:dyDescent="0.25">
      <c r="A684" t="s">
        <v>1747</v>
      </c>
      <c r="B684" t="s">
        <v>84</v>
      </c>
      <c r="C684" t="s">
        <v>15</v>
      </c>
      <c r="D684" t="s">
        <v>32</v>
      </c>
      <c r="E684" t="s">
        <v>586</v>
      </c>
      <c r="F684" t="s">
        <v>26</v>
      </c>
      <c r="G684" t="s">
        <v>4013</v>
      </c>
      <c r="H684" s="15">
        <v>919406</v>
      </c>
      <c r="I684" s="15">
        <v>0</v>
      </c>
      <c r="J684" t="s">
        <v>20</v>
      </c>
      <c r="K684" t="s">
        <v>57</v>
      </c>
      <c r="L684" s="2">
        <v>41821</v>
      </c>
      <c r="M684" t="s">
        <v>4014</v>
      </c>
      <c r="N684">
        <v>4</v>
      </c>
      <c r="O684" t="s">
        <v>4903</v>
      </c>
      <c r="P684">
        <v>0</v>
      </c>
      <c r="Q684" t="s">
        <v>4903</v>
      </c>
      <c r="R684" t="s">
        <v>1747</v>
      </c>
    </row>
    <row r="685" spans="1:18" hidden="1" x14ac:dyDescent="0.25">
      <c r="A685" t="s">
        <v>919</v>
      </c>
      <c r="B685" t="s">
        <v>315</v>
      </c>
      <c r="C685" t="s">
        <v>39</v>
      </c>
      <c r="D685" t="s">
        <v>32</v>
      </c>
      <c r="E685" t="s">
        <v>586</v>
      </c>
      <c r="F685" t="s">
        <v>140</v>
      </c>
      <c r="G685" t="s">
        <v>920</v>
      </c>
      <c r="H685" s="15">
        <v>761594</v>
      </c>
      <c r="I685" s="15">
        <v>0</v>
      </c>
      <c r="J685" t="s">
        <v>20</v>
      </c>
      <c r="K685" t="s">
        <v>28</v>
      </c>
      <c r="L685" s="2">
        <v>41821</v>
      </c>
      <c r="M685" t="s">
        <v>921</v>
      </c>
      <c r="N685">
        <v>0</v>
      </c>
      <c r="O685" t="s">
        <v>4903</v>
      </c>
      <c r="P685">
        <v>0</v>
      </c>
      <c r="Q685" t="s">
        <v>4903</v>
      </c>
      <c r="R685" t="s">
        <v>919</v>
      </c>
    </row>
    <row r="686" spans="1:18" hidden="1" x14ac:dyDescent="0.25">
      <c r="A686" t="s">
        <v>1079</v>
      </c>
      <c r="B686" t="s">
        <v>47</v>
      </c>
      <c r="C686" t="s">
        <v>48</v>
      </c>
      <c r="D686" t="s">
        <v>32</v>
      </c>
      <c r="E686" t="s">
        <v>586</v>
      </c>
      <c r="F686" t="s">
        <v>152</v>
      </c>
      <c r="G686" t="s">
        <v>4009</v>
      </c>
      <c r="H686" s="15">
        <v>855882</v>
      </c>
      <c r="I686" s="15">
        <v>0</v>
      </c>
      <c r="J686" t="s">
        <v>20</v>
      </c>
      <c r="K686" t="s">
        <v>28</v>
      </c>
      <c r="L686" s="2">
        <v>41821</v>
      </c>
      <c r="M686" t="s">
        <v>4010</v>
      </c>
      <c r="N686">
        <v>0</v>
      </c>
      <c r="O686" t="s">
        <v>4903</v>
      </c>
      <c r="P686">
        <v>0</v>
      </c>
      <c r="Q686" t="s">
        <v>4903</v>
      </c>
      <c r="R686" t="s">
        <v>1079</v>
      </c>
    </row>
    <row r="687" spans="1:18" hidden="1" x14ac:dyDescent="0.25">
      <c r="A687" t="s">
        <v>679</v>
      </c>
      <c r="B687" t="s">
        <v>77</v>
      </c>
      <c r="C687" t="s">
        <v>15</v>
      </c>
      <c r="D687" t="s">
        <v>32</v>
      </c>
      <c r="E687" t="s">
        <v>586</v>
      </c>
      <c r="F687" t="s">
        <v>140</v>
      </c>
      <c r="G687" t="s">
        <v>3188</v>
      </c>
      <c r="H687" s="15">
        <v>911430</v>
      </c>
      <c r="I687" s="15">
        <v>0</v>
      </c>
      <c r="J687" t="s">
        <v>20</v>
      </c>
      <c r="K687" t="s">
        <v>28</v>
      </c>
      <c r="L687" s="2">
        <v>41821</v>
      </c>
      <c r="M687" t="s">
        <v>3189</v>
      </c>
      <c r="N687">
        <v>1</v>
      </c>
      <c r="O687" t="s">
        <v>4903</v>
      </c>
      <c r="P687">
        <v>0</v>
      </c>
      <c r="Q687" t="s">
        <v>4903</v>
      </c>
      <c r="R687" t="s">
        <v>679</v>
      </c>
    </row>
    <row r="688" spans="1:18" hidden="1" x14ac:dyDescent="0.25">
      <c r="A688" t="s">
        <v>2268</v>
      </c>
      <c r="B688" t="s">
        <v>406</v>
      </c>
      <c r="C688" t="s">
        <v>62</v>
      </c>
      <c r="D688" t="s">
        <v>32</v>
      </c>
      <c r="E688" t="s">
        <v>586</v>
      </c>
      <c r="F688" t="s">
        <v>34</v>
      </c>
      <c r="G688" t="s">
        <v>2269</v>
      </c>
      <c r="H688" s="15">
        <v>462429</v>
      </c>
      <c r="I688" s="15">
        <v>0</v>
      </c>
      <c r="J688" t="s">
        <v>154</v>
      </c>
      <c r="K688" t="s">
        <v>21</v>
      </c>
      <c r="L688" s="2">
        <v>41821</v>
      </c>
      <c r="M688" t="s">
        <v>2270</v>
      </c>
      <c r="N688">
        <v>0</v>
      </c>
      <c r="O688" t="s">
        <v>4903</v>
      </c>
      <c r="P688">
        <v>0</v>
      </c>
      <c r="Q688" t="s">
        <v>4903</v>
      </c>
      <c r="R688" t="s">
        <v>2268</v>
      </c>
    </row>
    <row r="689" spans="1:18" hidden="1" x14ac:dyDescent="0.25">
      <c r="A689" t="s">
        <v>1539</v>
      </c>
      <c r="B689" t="s">
        <v>14</v>
      </c>
      <c r="C689" t="s">
        <v>15</v>
      </c>
      <c r="D689" t="s">
        <v>32</v>
      </c>
      <c r="E689" t="s">
        <v>586</v>
      </c>
      <c r="F689" t="s">
        <v>26</v>
      </c>
      <c r="G689" t="s">
        <v>1942</v>
      </c>
      <c r="H689" s="15">
        <v>754235</v>
      </c>
      <c r="I689" s="15">
        <v>0</v>
      </c>
      <c r="J689" t="s">
        <v>20</v>
      </c>
      <c r="K689" t="s">
        <v>28</v>
      </c>
      <c r="L689" s="2">
        <v>41821</v>
      </c>
      <c r="M689" t="s">
        <v>1943</v>
      </c>
      <c r="N689">
        <v>3</v>
      </c>
      <c r="O689" t="s">
        <v>4903</v>
      </c>
      <c r="P689">
        <v>0</v>
      </c>
      <c r="Q689" t="s">
        <v>4903</v>
      </c>
      <c r="R689" t="s">
        <v>1539</v>
      </c>
    </row>
    <row r="690" spans="1:18" hidden="1" x14ac:dyDescent="0.25">
      <c r="A690" t="s">
        <v>863</v>
      </c>
      <c r="B690" t="s">
        <v>864</v>
      </c>
      <c r="C690" t="s">
        <v>865</v>
      </c>
      <c r="D690" t="s">
        <v>32</v>
      </c>
      <c r="E690" t="s">
        <v>586</v>
      </c>
      <c r="F690" t="s">
        <v>140</v>
      </c>
      <c r="G690" t="s">
        <v>1859</v>
      </c>
      <c r="H690" s="15">
        <v>495930</v>
      </c>
      <c r="I690" s="15">
        <v>0</v>
      </c>
      <c r="J690" t="s">
        <v>20</v>
      </c>
      <c r="K690" t="s">
        <v>28</v>
      </c>
      <c r="L690" s="2">
        <v>41821</v>
      </c>
      <c r="M690" t="s">
        <v>1860</v>
      </c>
      <c r="N690">
        <v>0</v>
      </c>
      <c r="O690" t="s">
        <v>4903</v>
      </c>
      <c r="P690">
        <v>0</v>
      </c>
      <c r="Q690" t="s">
        <v>4903</v>
      </c>
      <c r="R690" t="s">
        <v>863</v>
      </c>
    </row>
    <row r="691" spans="1:18" hidden="1" x14ac:dyDescent="0.25">
      <c r="A691" t="s">
        <v>3301</v>
      </c>
      <c r="B691" t="s">
        <v>61</v>
      </c>
      <c r="C691" t="s">
        <v>62</v>
      </c>
      <c r="D691" t="s">
        <v>32</v>
      </c>
      <c r="E691" t="s">
        <v>586</v>
      </c>
      <c r="F691" t="s">
        <v>18</v>
      </c>
      <c r="G691" t="s">
        <v>3302</v>
      </c>
      <c r="H691" s="15">
        <v>586594</v>
      </c>
      <c r="I691" s="15">
        <v>0</v>
      </c>
      <c r="J691" t="s">
        <v>20</v>
      </c>
      <c r="K691" t="s">
        <v>326</v>
      </c>
      <c r="L691" s="2">
        <v>41821</v>
      </c>
      <c r="M691" t="s">
        <v>3303</v>
      </c>
      <c r="N691">
        <v>0</v>
      </c>
      <c r="O691" t="s">
        <v>4903</v>
      </c>
      <c r="P691">
        <v>0</v>
      </c>
      <c r="Q691" t="s">
        <v>4903</v>
      </c>
      <c r="R691" t="s">
        <v>3301</v>
      </c>
    </row>
    <row r="692" spans="1:18" hidden="1" x14ac:dyDescent="0.25">
      <c r="A692" t="s">
        <v>1026</v>
      </c>
      <c r="B692" t="s">
        <v>136</v>
      </c>
      <c r="C692" t="s">
        <v>15</v>
      </c>
      <c r="D692" t="s">
        <v>32</v>
      </c>
      <c r="E692" t="s">
        <v>586</v>
      </c>
      <c r="F692" t="s">
        <v>18</v>
      </c>
      <c r="G692" t="s">
        <v>4501</v>
      </c>
      <c r="H692" s="15">
        <v>339992</v>
      </c>
      <c r="I692" s="15">
        <v>0</v>
      </c>
      <c r="J692" t="s">
        <v>154</v>
      </c>
      <c r="K692" t="s">
        <v>65</v>
      </c>
      <c r="L692" s="2">
        <v>41821</v>
      </c>
      <c r="M692" t="s">
        <v>4502</v>
      </c>
      <c r="N692">
        <v>1</v>
      </c>
      <c r="O692" t="s">
        <v>4903</v>
      </c>
      <c r="P692">
        <v>0</v>
      </c>
      <c r="Q692" t="s">
        <v>4903</v>
      </c>
      <c r="R692" t="s">
        <v>1026</v>
      </c>
    </row>
    <row r="693" spans="1:18" hidden="1" x14ac:dyDescent="0.25">
      <c r="A693" t="s">
        <v>1750</v>
      </c>
      <c r="B693" t="s">
        <v>84</v>
      </c>
      <c r="C693" t="s">
        <v>15</v>
      </c>
      <c r="D693" t="s">
        <v>32</v>
      </c>
      <c r="E693" t="s">
        <v>586</v>
      </c>
      <c r="F693" t="s">
        <v>18</v>
      </c>
      <c r="G693" t="s">
        <v>1751</v>
      </c>
      <c r="H693" s="15">
        <v>512205</v>
      </c>
      <c r="I693" s="15">
        <v>0</v>
      </c>
      <c r="J693" t="s">
        <v>20</v>
      </c>
      <c r="K693" t="s">
        <v>28</v>
      </c>
      <c r="L693" s="2">
        <v>41821</v>
      </c>
      <c r="M693" t="s">
        <v>1752</v>
      </c>
      <c r="N693">
        <v>3</v>
      </c>
      <c r="O693" t="s">
        <v>4903</v>
      </c>
      <c r="P693">
        <v>0</v>
      </c>
      <c r="Q693" t="s">
        <v>4903</v>
      </c>
      <c r="R693" t="s">
        <v>1750</v>
      </c>
    </row>
    <row r="694" spans="1:18" hidden="1" x14ac:dyDescent="0.25">
      <c r="A694" t="s">
        <v>2407</v>
      </c>
      <c r="B694" t="s">
        <v>14</v>
      </c>
      <c r="C694" t="s">
        <v>15</v>
      </c>
      <c r="D694" t="s">
        <v>32</v>
      </c>
      <c r="E694" t="s">
        <v>232</v>
      </c>
      <c r="F694" t="s">
        <v>152</v>
      </c>
      <c r="G694" t="s">
        <v>4143</v>
      </c>
      <c r="H694" s="15">
        <v>625730</v>
      </c>
      <c r="I694" s="15">
        <v>0</v>
      </c>
      <c r="J694" t="s">
        <v>154</v>
      </c>
      <c r="K694" t="s">
        <v>28</v>
      </c>
      <c r="L694" s="2">
        <v>41883</v>
      </c>
      <c r="M694" t="s">
        <v>4144</v>
      </c>
      <c r="N694">
        <v>0</v>
      </c>
      <c r="O694" t="s">
        <v>4903</v>
      </c>
      <c r="P694">
        <v>0</v>
      </c>
      <c r="Q694" t="s">
        <v>4903</v>
      </c>
      <c r="R694" t="s">
        <v>2407</v>
      </c>
    </row>
    <row r="695" spans="1:18" x14ac:dyDescent="0.25">
      <c r="A695" t="s">
        <v>1149</v>
      </c>
      <c r="B695" t="s">
        <v>898</v>
      </c>
      <c r="C695" t="s">
        <v>39</v>
      </c>
      <c r="D695" t="s">
        <v>32</v>
      </c>
      <c r="E695" t="s">
        <v>151</v>
      </c>
      <c r="F695" t="s">
        <v>18</v>
      </c>
      <c r="G695" t="s">
        <v>1150</v>
      </c>
      <c r="H695" s="15">
        <v>658035</v>
      </c>
      <c r="I695" s="15">
        <v>0</v>
      </c>
      <c r="J695" t="s">
        <v>20</v>
      </c>
      <c r="K695" t="s">
        <v>65</v>
      </c>
      <c r="L695" s="2">
        <v>41730</v>
      </c>
      <c r="M695" t="s">
        <v>1151</v>
      </c>
      <c r="N695">
        <v>2</v>
      </c>
      <c r="O695" t="s">
        <v>4817</v>
      </c>
      <c r="P695">
        <v>1</v>
      </c>
      <c r="Q695" t="s">
        <v>4809</v>
      </c>
      <c r="R695" t="s">
        <v>1149</v>
      </c>
    </row>
    <row r="696" spans="1:18" hidden="1" x14ac:dyDescent="0.25">
      <c r="A696" t="s">
        <v>4178</v>
      </c>
      <c r="B696" t="s">
        <v>333</v>
      </c>
      <c r="C696" t="s">
        <v>334</v>
      </c>
      <c r="D696" t="s">
        <v>439</v>
      </c>
      <c r="E696" t="s">
        <v>1721</v>
      </c>
      <c r="F696" t="s">
        <v>140</v>
      </c>
      <c r="G696" t="s">
        <v>4181</v>
      </c>
      <c r="H696" s="15">
        <v>100000</v>
      </c>
      <c r="I696" s="15">
        <v>0</v>
      </c>
      <c r="J696" t="s">
        <v>44</v>
      </c>
      <c r="K696" t="s">
        <v>28</v>
      </c>
      <c r="L696" s="2">
        <v>41913</v>
      </c>
      <c r="M696" t="s">
        <v>4180</v>
      </c>
      <c r="N696">
        <v>1</v>
      </c>
      <c r="O696" t="s">
        <v>4903</v>
      </c>
      <c r="P696">
        <v>0</v>
      </c>
      <c r="Q696" t="s">
        <v>4903</v>
      </c>
      <c r="R696" t="s">
        <v>4178</v>
      </c>
    </row>
    <row r="697" spans="1:18" hidden="1" x14ac:dyDescent="0.25">
      <c r="A697" t="s">
        <v>4178</v>
      </c>
      <c r="B697" t="s">
        <v>333</v>
      </c>
      <c r="C697" t="s">
        <v>334</v>
      </c>
      <c r="D697" t="s">
        <v>32</v>
      </c>
      <c r="E697" t="s">
        <v>2743</v>
      </c>
      <c r="F697" t="s">
        <v>140</v>
      </c>
      <c r="G697" t="s">
        <v>4179</v>
      </c>
      <c r="H697" s="15">
        <v>100000</v>
      </c>
      <c r="I697" s="15">
        <v>0</v>
      </c>
      <c r="J697" t="s">
        <v>44</v>
      </c>
      <c r="K697" t="s">
        <v>28</v>
      </c>
      <c r="L697" s="2">
        <v>41913</v>
      </c>
      <c r="M697" t="s">
        <v>4180</v>
      </c>
      <c r="N697">
        <v>0</v>
      </c>
      <c r="O697" t="s">
        <v>4903</v>
      </c>
      <c r="P697">
        <v>0</v>
      </c>
      <c r="Q697" t="s">
        <v>4903</v>
      </c>
      <c r="R697" t="s">
        <v>4178</v>
      </c>
    </row>
    <row r="698" spans="1:18" hidden="1" x14ac:dyDescent="0.25">
      <c r="A698" t="s">
        <v>4178</v>
      </c>
      <c r="B698" t="s">
        <v>333</v>
      </c>
      <c r="C698" t="s">
        <v>334</v>
      </c>
      <c r="D698" t="s">
        <v>16</v>
      </c>
      <c r="E698" t="s">
        <v>17</v>
      </c>
      <c r="F698" t="s">
        <v>140</v>
      </c>
      <c r="G698" t="s">
        <v>4181</v>
      </c>
      <c r="H698" s="15">
        <v>504900</v>
      </c>
      <c r="I698" s="15">
        <v>0</v>
      </c>
      <c r="J698" t="s">
        <v>455</v>
      </c>
      <c r="K698" t="s">
        <v>28</v>
      </c>
      <c r="L698" s="2">
        <v>41913</v>
      </c>
      <c r="M698" t="s">
        <v>4180</v>
      </c>
      <c r="N698">
        <v>0</v>
      </c>
      <c r="O698" t="s">
        <v>4903</v>
      </c>
      <c r="P698">
        <v>0</v>
      </c>
      <c r="Q698" t="s">
        <v>4903</v>
      </c>
      <c r="R698" t="s">
        <v>4178</v>
      </c>
    </row>
    <row r="699" spans="1:18" hidden="1" x14ac:dyDescent="0.25">
      <c r="A699" t="s">
        <v>3597</v>
      </c>
      <c r="B699" t="s">
        <v>1020</v>
      </c>
      <c r="C699" t="s">
        <v>15</v>
      </c>
      <c r="D699" t="s">
        <v>96</v>
      </c>
      <c r="E699" t="s">
        <v>1836</v>
      </c>
      <c r="F699" t="s">
        <v>98</v>
      </c>
      <c r="G699" t="s">
        <v>3598</v>
      </c>
      <c r="H699" s="15">
        <v>140952</v>
      </c>
      <c r="I699" s="15">
        <v>0</v>
      </c>
      <c r="J699" t="s">
        <v>89</v>
      </c>
      <c r="K699" t="s">
        <v>21</v>
      </c>
      <c r="L699" s="2">
        <v>41913</v>
      </c>
      <c r="M699" t="s">
        <v>3599</v>
      </c>
      <c r="N699">
        <v>0</v>
      </c>
      <c r="O699" t="s">
        <v>4903</v>
      </c>
      <c r="P699">
        <v>0</v>
      </c>
      <c r="Q699" t="s">
        <v>4903</v>
      </c>
      <c r="R699" t="s">
        <v>3597</v>
      </c>
    </row>
    <row r="700" spans="1:18" hidden="1" x14ac:dyDescent="0.25">
      <c r="A700" t="s">
        <v>1879</v>
      </c>
      <c r="B700" t="s">
        <v>161</v>
      </c>
      <c r="C700" t="s">
        <v>39</v>
      </c>
      <c r="D700" t="s">
        <v>96</v>
      </c>
      <c r="E700" t="s">
        <v>1836</v>
      </c>
      <c r="F700" t="s">
        <v>98</v>
      </c>
      <c r="G700" t="s">
        <v>1880</v>
      </c>
      <c r="H700" s="15">
        <v>116000</v>
      </c>
      <c r="I700" s="15">
        <v>0</v>
      </c>
      <c r="J700" t="s">
        <v>455</v>
      </c>
      <c r="K700" t="s">
        <v>57</v>
      </c>
      <c r="L700" s="2">
        <v>41913</v>
      </c>
      <c r="M700" t="s">
        <v>1881</v>
      </c>
      <c r="N700">
        <v>1</v>
      </c>
      <c r="O700" t="s">
        <v>4903</v>
      </c>
      <c r="P700">
        <v>0</v>
      </c>
      <c r="Q700" t="s">
        <v>4903</v>
      </c>
      <c r="R700" t="s">
        <v>1879</v>
      </c>
    </row>
    <row r="701" spans="1:18" hidden="1" x14ac:dyDescent="0.25">
      <c r="A701" t="s">
        <v>2626</v>
      </c>
      <c r="B701" t="s">
        <v>14</v>
      </c>
      <c r="C701" t="s">
        <v>15</v>
      </c>
      <c r="D701" t="s">
        <v>96</v>
      </c>
      <c r="E701" t="s">
        <v>1836</v>
      </c>
      <c r="F701" t="s">
        <v>98</v>
      </c>
      <c r="G701" t="s">
        <v>2627</v>
      </c>
      <c r="H701" s="15">
        <v>270228</v>
      </c>
      <c r="I701" s="15">
        <v>0</v>
      </c>
      <c r="J701" t="s">
        <v>89</v>
      </c>
      <c r="K701" t="s">
        <v>116</v>
      </c>
      <c r="L701" s="2">
        <v>41913</v>
      </c>
      <c r="M701" t="s">
        <v>2628</v>
      </c>
      <c r="N701">
        <v>0</v>
      </c>
      <c r="O701" t="s">
        <v>4903</v>
      </c>
      <c r="P701">
        <v>0</v>
      </c>
      <c r="Q701" t="s">
        <v>4903</v>
      </c>
      <c r="R701" t="s">
        <v>2626</v>
      </c>
    </row>
    <row r="702" spans="1:18" hidden="1" x14ac:dyDescent="0.25">
      <c r="A702" t="s">
        <v>3831</v>
      </c>
      <c r="B702" t="s">
        <v>61</v>
      </c>
      <c r="C702" t="s">
        <v>62</v>
      </c>
      <c r="D702" t="s">
        <v>96</v>
      </c>
      <c r="E702" t="s">
        <v>1836</v>
      </c>
      <c r="F702" t="s">
        <v>98</v>
      </c>
      <c r="G702" t="s">
        <v>3832</v>
      </c>
      <c r="H702" s="15">
        <v>1248736</v>
      </c>
      <c r="I702" s="15">
        <v>0</v>
      </c>
      <c r="J702" t="s">
        <v>20</v>
      </c>
      <c r="K702" t="s">
        <v>21</v>
      </c>
      <c r="L702" s="2">
        <v>41913</v>
      </c>
      <c r="M702" t="s">
        <v>3833</v>
      </c>
      <c r="N702">
        <v>2</v>
      </c>
      <c r="O702" t="s">
        <v>4903</v>
      </c>
      <c r="P702">
        <v>0</v>
      </c>
      <c r="Q702" t="s">
        <v>4903</v>
      </c>
      <c r="R702" t="s">
        <v>3831</v>
      </c>
    </row>
    <row r="703" spans="1:18" hidden="1" x14ac:dyDescent="0.25">
      <c r="A703" t="s">
        <v>30</v>
      </c>
      <c r="B703" t="s">
        <v>31</v>
      </c>
      <c r="C703" t="s">
        <v>15</v>
      </c>
      <c r="D703" t="s">
        <v>32</v>
      </c>
      <c r="E703" t="s">
        <v>2743</v>
      </c>
      <c r="F703" t="s">
        <v>34</v>
      </c>
      <c r="G703" t="s">
        <v>2961</v>
      </c>
      <c r="H703" s="15">
        <v>100000</v>
      </c>
      <c r="I703" s="15">
        <v>0</v>
      </c>
      <c r="J703" t="s">
        <v>44</v>
      </c>
      <c r="K703" t="s">
        <v>28</v>
      </c>
      <c r="L703" s="2">
        <v>41913</v>
      </c>
      <c r="M703" t="s">
        <v>2962</v>
      </c>
      <c r="N703">
        <v>0</v>
      </c>
      <c r="O703" t="s">
        <v>4903</v>
      </c>
      <c r="P703">
        <v>0</v>
      </c>
      <c r="Q703" t="s">
        <v>4903</v>
      </c>
      <c r="R703" t="s">
        <v>30</v>
      </c>
    </row>
    <row r="704" spans="1:18" hidden="1" x14ac:dyDescent="0.25">
      <c r="A704" t="s">
        <v>1827</v>
      </c>
      <c r="B704" t="s">
        <v>84</v>
      </c>
      <c r="C704" t="s">
        <v>15</v>
      </c>
      <c r="D704" t="s">
        <v>1733</v>
      </c>
      <c r="E704" t="s">
        <v>1734</v>
      </c>
      <c r="F704" t="s">
        <v>18</v>
      </c>
      <c r="G704" t="s">
        <v>2704</v>
      </c>
      <c r="H704" s="15">
        <v>100000</v>
      </c>
      <c r="I704" s="15">
        <v>0</v>
      </c>
      <c r="J704" t="s">
        <v>44</v>
      </c>
      <c r="K704" t="s">
        <v>65</v>
      </c>
      <c r="L704" s="2">
        <v>41913</v>
      </c>
      <c r="M704" t="s">
        <v>2705</v>
      </c>
      <c r="N704">
        <v>0</v>
      </c>
      <c r="O704" t="s">
        <v>4903</v>
      </c>
      <c r="P704">
        <v>0</v>
      </c>
      <c r="Q704" t="s">
        <v>4903</v>
      </c>
      <c r="R704" t="s">
        <v>1827</v>
      </c>
    </row>
    <row r="705" spans="1:18" hidden="1" x14ac:dyDescent="0.25">
      <c r="A705" t="s">
        <v>1442</v>
      </c>
      <c r="B705" t="s">
        <v>31</v>
      </c>
      <c r="C705" t="s">
        <v>15</v>
      </c>
      <c r="D705" t="s">
        <v>32</v>
      </c>
      <c r="E705" t="s">
        <v>586</v>
      </c>
      <c r="F705" t="s">
        <v>18</v>
      </c>
      <c r="G705" t="s">
        <v>1443</v>
      </c>
      <c r="H705" s="15">
        <v>723542</v>
      </c>
      <c r="I705" s="15">
        <v>0</v>
      </c>
      <c r="J705" t="s">
        <v>20</v>
      </c>
      <c r="K705" t="s">
        <v>65</v>
      </c>
      <c r="L705" s="2">
        <v>41913</v>
      </c>
      <c r="M705" t="s">
        <v>1444</v>
      </c>
      <c r="N705">
        <v>1</v>
      </c>
      <c r="O705" t="s">
        <v>4903</v>
      </c>
      <c r="P705">
        <v>0</v>
      </c>
      <c r="Q705" t="s">
        <v>4903</v>
      </c>
      <c r="R705" t="s">
        <v>1442</v>
      </c>
    </row>
    <row r="706" spans="1:18" hidden="1" x14ac:dyDescent="0.25">
      <c r="A706" t="s">
        <v>2134</v>
      </c>
      <c r="B706" t="s">
        <v>103</v>
      </c>
      <c r="C706" t="s">
        <v>15</v>
      </c>
      <c r="D706" t="s">
        <v>689</v>
      </c>
      <c r="E706" t="s">
        <v>2135</v>
      </c>
      <c r="F706" t="s">
        <v>140</v>
      </c>
      <c r="G706" t="s">
        <v>2136</v>
      </c>
      <c r="H706" s="15">
        <v>100000</v>
      </c>
      <c r="I706" s="15">
        <v>0</v>
      </c>
      <c r="J706" t="s">
        <v>44</v>
      </c>
      <c r="K706" t="s">
        <v>28</v>
      </c>
      <c r="L706" s="2">
        <v>41913</v>
      </c>
      <c r="M706" t="s">
        <v>2137</v>
      </c>
      <c r="N706">
        <v>0</v>
      </c>
      <c r="O706" t="s">
        <v>4903</v>
      </c>
      <c r="P706">
        <v>0</v>
      </c>
      <c r="Q706" t="s">
        <v>4903</v>
      </c>
      <c r="R706" t="s">
        <v>2134</v>
      </c>
    </row>
    <row r="707" spans="1:18" hidden="1" x14ac:dyDescent="0.25">
      <c r="A707" t="s">
        <v>3028</v>
      </c>
      <c r="B707" t="s">
        <v>406</v>
      </c>
      <c r="C707" t="s">
        <v>62</v>
      </c>
      <c r="D707" t="s">
        <v>32</v>
      </c>
      <c r="E707" t="s">
        <v>2743</v>
      </c>
      <c r="F707" t="s">
        <v>26</v>
      </c>
      <c r="G707" t="s">
        <v>3029</v>
      </c>
      <c r="H707" s="15">
        <v>100000</v>
      </c>
      <c r="I707" s="15">
        <v>0</v>
      </c>
      <c r="J707" t="s">
        <v>44</v>
      </c>
      <c r="K707" t="s">
        <v>28</v>
      </c>
      <c r="L707" s="2">
        <v>41913</v>
      </c>
      <c r="M707" t="s">
        <v>3030</v>
      </c>
      <c r="N707">
        <v>1</v>
      </c>
      <c r="O707" t="s">
        <v>4903</v>
      </c>
      <c r="P707">
        <v>0</v>
      </c>
      <c r="Q707" t="s">
        <v>4903</v>
      </c>
      <c r="R707" t="s">
        <v>3028</v>
      </c>
    </row>
    <row r="708" spans="1:18" hidden="1" x14ac:dyDescent="0.25">
      <c r="A708" t="s">
        <v>2549</v>
      </c>
      <c r="B708" t="s">
        <v>725</v>
      </c>
      <c r="C708" t="s">
        <v>726</v>
      </c>
      <c r="D708" t="s">
        <v>32</v>
      </c>
      <c r="E708" t="s">
        <v>2743</v>
      </c>
      <c r="F708" t="s">
        <v>152</v>
      </c>
      <c r="G708" t="s">
        <v>4416</v>
      </c>
      <c r="H708" s="15">
        <v>100000</v>
      </c>
      <c r="I708" s="15">
        <v>0</v>
      </c>
      <c r="J708" t="s">
        <v>44</v>
      </c>
      <c r="K708" t="s">
        <v>28</v>
      </c>
      <c r="L708" s="2">
        <v>41913</v>
      </c>
      <c r="M708" t="s">
        <v>4417</v>
      </c>
      <c r="N708">
        <v>0</v>
      </c>
      <c r="O708" t="s">
        <v>4903</v>
      </c>
      <c r="P708">
        <v>0</v>
      </c>
      <c r="Q708" t="s">
        <v>4903</v>
      </c>
      <c r="R708" t="s">
        <v>2549</v>
      </c>
    </row>
    <row r="709" spans="1:18" hidden="1" x14ac:dyDescent="0.25">
      <c r="A709" t="s">
        <v>1835</v>
      </c>
      <c r="B709" t="s">
        <v>190</v>
      </c>
      <c r="C709" t="s">
        <v>15</v>
      </c>
      <c r="D709" t="s">
        <v>96</v>
      </c>
      <c r="E709" t="s">
        <v>1836</v>
      </c>
      <c r="F709" t="s">
        <v>98</v>
      </c>
      <c r="G709" t="s">
        <v>1837</v>
      </c>
      <c r="H709" s="15">
        <v>390000</v>
      </c>
      <c r="I709" s="15">
        <v>0</v>
      </c>
      <c r="J709" t="s">
        <v>89</v>
      </c>
      <c r="K709" t="s">
        <v>21</v>
      </c>
      <c r="L709" s="2">
        <v>41913</v>
      </c>
      <c r="M709" t="s">
        <v>1838</v>
      </c>
      <c r="N709">
        <v>0</v>
      </c>
      <c r="O709" t="s">
        <v>4903</v>
      </c>
      <c r="P709">
        <v>0</v>
      </c>
      <c r="Q709" t="s">
        <v>4903</v>
      </c>
      <c r="R709" t="s">
        <v>1835</v>
      </c>
    </row>
    <row r="710" spans="1:18" hidden="1" x14ac:dyDescent="0.25">
      <c r="A710" t="s">
        <v>631</v>
      </c>
      <c r="B710" t="s">
        <v>315</v>
      </c>
      <c r="C710" t="s">
        <v>39</v>
      </c>
      <c r="D710" t="s">
        <v>32</v>
      </c>
      <c r="E710" t="s">
        <v>586</v>
      </c>
      <c r="F710" t="s">
        <v>152</v>
      </c>
      <c r="G710" t="s">
        <v>4044</v>
      </c>
      <c r="H710" s="15">
        <v>604954</v>
      </c>
      <c r="I710" s="15">
        <v>0</v>
      </c>
      <c r="J710" t="s">
        <v>20</v>
      </c>
      <c r="K710" t="s">
        <v>28</v>
      </c>
      <c r="L710" s="2">
        <v>41913</v>
      </c>
      <c r="M710" t="s">
        <v>4045</v>
      </c>
      <c r="N710">
        <v>0</v>
      </c>
      <c r="O710" t="s">
        <v>4903</v>
      </c>
      <c r="P710">
        <v>0</v>
      </c>
      <c r="Q710" t="s">
        <v>4903</v>
      </c>
      <c r="R710" t="s">
        <v>631</v>
      </c>
    </row>
    <row r="711" spans="1:18" hidden="1" x14ac:dyDescent="0.25">
      <c r="A711" t="s">
        <v>2254</v>
      </c>
      <c r="B711" t="s">
        <v>31</v>
      </c>
      <c r="C711" t="s">
        <v>15</v>
      </c>
      <c r="D711" t="s">
        <v>32</v>
      </c>
      <c r="E711" t="s">
        <v>586</v>
      </c>
      <c r="F711" t="s">
        <v>34</v>
      </c>
      <c r="G711" t="s">
        <v>3640</v>
      </c>
      <c r="H711" s="15">
        <v>728495</v>
      </c>
      <c r="I711" s="15">
        <v>0</v>
      </c>
      <c r="J711" t="s">
        <v>20</v>
      </c>
      <c r="K711" t="s">
        <v>116</v>
      </c>
      <c r="L711" s="2">
        <v>41913</v>
      </c>
      <c r="M711" t="s">
        <v>3641</v>
      </c>
      <c r="N711">
        <v>0</v>
      </c>
      <c r="O711" t="s">
        <v>4903</v>
      </c>
      <c r="P711">
        <v>0</v>
      </c>
      <c r="Q711" t="s">
        <v>4903</v>
      </c>
      <c r="R711" t="s">
        <v>2254</v>
      </c>
    </row>
    <row r="712" spans="1:18" hidden="1" x14ac:dyDescent="0.25">
      <c r="A712" t="s">
        <v>746</v>
      </c>
      <c r="B712" t="s">
        <v>478</v>
      </c>
      <c r="C712" t="s">
        <v>15</v>
      </c>
      <c r="D712" t="s">
        <v>1733</v>
      </c>
      <c r="E712" t="s">
        <v>1734</v>
      </c>
      <c r="F712" t="s">
        <v>18</v>
      </c>
      <c r="G712" t="s">
        <v>1735</v>
      </c>
      <c r="H712" s="15">
        <v>100000</v>
      </c>
      <c r="I712" s="15">
        <v>0</v>
      </c>
      <c r="J712" t="s">
        <v>44</v>
      </c>
      <c r="K712" t="s">
        <v>65</v>
      </c>
      <c r="L712" s="2">
        <v>41913</v>
      </c>
      <c r="M712" t="s">
        <v>1736</v>
      </c>
      <c r="N712">
        <v>0</v>
      </c>
      <c r="O712" t="s">
        <v>4903</v>
      </c>
      <c r="P712">
        <v>0</v>
      </c>
      <c r="Q712" t="s">
        <v>4903</v>
      </c>
      <c r="R712" t="s">
        <v>746</v>
      </c>
    </row>
    <row r="713" spans="1:18" hidden="1" x14ac:dyDescent="0.25">
      <c r="A713" t="s">
        <v>2262</v>
      </c>
      <c r="B713" t="s">
        <v>406</v>
      </c>
      <c r="C713" t="s">
        <v>62</v>
      </c>
      <c r="D713" t="s">
        <v>32</v>
      </c>
      <c r="E713" t="s">
        <v>586</v>
      </c>
      <c r="F713" t="s">
        <v>34</v>
      </c>
      <c r="G713" t="s">
        <v>2263</v>
      </c>
      <c r="H713" s="15">
        <v>678786</v>
      </c>
      <c r="I713" s="15">
        <v>0</v>
      </c>
      <c r="J713" t="s">
        <v>20</v>
      </c>
      <c r="K713" t="s">
        <v>116</v>
      </c>
      <c r="L713" s="2">
        <v>41913</v>
      </c>
      <c r="M713" t="s">
        <v>2264</v>
      </c>
      <c r="N713">
        <v>0</v>
      </c>
      <c r="O713" t="s">
        <v>4903</v>
      </c>
      <c r="P713">
        <v>0</v>
      </c>
      <c r="Q713" t="s">
        <v>4903</v>
      </c>
      <c r="R713" t="s">
        <v>2262</v>
      </c>
    </row>
    <row r="714" spans="1:18" x14ac:dyDescent="0.25">
      <c r="A714" t="s">
        <v>4746</v>
      </c>
      <c r="B714" t="s">
        <v>1252</v>
      </c>
      <c r="C714" t="s">
        <v>15</v>
      </c>
      <c r="D714" t="s">
        <v>274</v>
      </c>
      <c r="E714" t="s">
        <v>3234</v>
      </c>
      <c r="F714" t="s">
        <v>98</v>
      </c>
      <c r="G714" t="s">
        <v>4747</v>
      </c>
      <c r="H714" s="15">
        <v>623749</v>
      </c>
      <c r="I714" s="15">
        <v>0</v>
      </c>
      <c r="J714" t="s">
        <v>20</v>
      </c>
      <c r="K714" t="s">
        <v>21</v>
      </c>
      <c r="L714" s="2">
        <v>40634</v>
      </c>
      <c r="M714" t="s">
        <v>4748</v>
      </c>
      <c r="N714">
        <v>4</v>
      </c>
      <c r="O714" t="s">
        <v>4826</v>
      </c>
      <c r="P714">
        <v>1</v>
      </c>
      <c r="Q714" t="s">
        <v>4809</v>
      </c>
      <c r="R714" t="s">
        <v>4746</v>
      </c>
    </row>
    <row r="715" spans="1:18" hidden="1" x14ac:dyDescent="0.25">
      <c r="A715" t="s">
        <v>1184</v>
      </c>
      <c r="B715" t="s">
        <v>84</v>
      </c>
      <c r="C715" t="s">
        <v>15</v>
      </c>
      <c r="D715" t="s">
        <v>85</v>
      </c>
      <c r="E715" t="s">
        <v>114</v>
      </c>
      <c r="F715" t="s">
        <v>87</v>
      </c>
      <c r="G715" t="s">
        <v>1185</v>
      </c>
      <c r="H715" s="15">
        <v>248885</v>
      </c>
      <c r="I715" s="15">
        <v>0</v>
      </c>
      <c r="J715" t="s">
        <v>89</v>
      </c>
      <c r="K715" t="s">
        <v>74</v>
      </c>
      <c r="L715" s="2">
        <v>42095</v>
      </c>
      <c r="M715" t="s">
        <v>1186</v>
      </c>
      <c r="N715">
        <v>0</v>
      </c>
      <c r="O715" t="s">
        <v>4903</v>
      </c>
      <c r="P715">
        <v>0</v>
      </c>
      <c r="Q715" t="s">
        <v>4903</v>
      </c>
      <c r="R715" t="s">
        <v>1184</v>
      </c>
    </row>
    <row r="716" spans="1:18" hidden="1" x14ac:dyDescent="0.25">
      <c r="A716" t="s">
        <v>870</v>
      </c>
      <c r="B716" t="s">
        <v>478</v>
      </c>
      <c r="C716" t="s">
        <v>15</v>
      </c>
      <c r="D716" t="s">
        <v>96</v>
      </c>
      <c r="E716" t="s">
        <v>871</v>
      </c>
      <c r="F716" t="s">
        <v>98</v>
      </c>
      <c r="G716" t="s">
        <v>872</v>
      </c>
      <c r="H716" s="15">
        <v>911700</v>
      </c>
      <c r="I716" s="15">
        <v>0</v>
      </c>
      <c r="J716" t="s">
        <v>20</v>
      </c>
      <c r="K716" t="s">
        <v>74</v>
      </c>
      <c r="L716" s="2">
        <v>42095</v>
      </c>
      <c r="M716" t="s">
        <v>873</v>
      </c>
      <c r="N716">
        <v>0</v>
      </c>
      <c r="O716" t="s">
        <v>4903</v>
      </c>
      <c r="P716">
        <v>0</v>
      </c>
      <c r="Q716" t="s">
        <v>4903</v>
      </c>
      <c r="R716" t="s">
        <v>870</v>
      </c>
    </row>
    <row r="717" spans="1:18" hidden="1" x14ac:dyDescent="0.25">
      <c r="A717" t="s">
        <v>3988</v>
      </c>
      <c r="B717" t="s">
        <v>406</v>
      </c>
      <c r="C717" t="s">
        <v>62</v>
      </c>
      <c r="D717" t="s">
        <v>85</v>
      </c>
      <c r="E717" t="s">
        <v>114</v>
      </c>
      <c r="F717" t="s">
        <v>87</v>
      </c>
      <c r="G717" t="s">
        <v>3989</v>
      </c>
      <c r="H717" s="15">
        <v>298552</v>
      </c>
      <c r="I717" s="15">
        <v>0</v>
      </c>
      <c r="J717" t="s">
        <v>89</v>
      </c>
      <c r="K717" t="s">
        <v>28</v>
      </c>
      <c r="L717" s="2">
        <v>42095</v>
      </c>
      <c r="M717" t="s">
        <v>3990</v>
      </c>
      <c r="N717">
        <v>1</v>
      </c>
      <c r="O717" t="s">
        <v>4903</v>
      </c>
      <c r="P717">
        <v>0</v>
      </c>
      <c r="Q717" t="s">
        <v>4903</v>
      </c>
      <c r="R717" t="s">
        <v>3988</v>
      </c>
    </row>
    <row r="718" spans="1:18" hidden="1" x14ac:dyDescent="0.25">
      <c r="A718" t="s">
        <v>2587</v>
      </c>
      <c r="B718" t="s">
        <v>126</v>
      </c>
      <c r="C718" t="s">
        <v>39</v>
      </c>
      <c r="D718" t="s">
        <v>85</v>
      </c>
      <c r="E718" t="s">
        <v>114</v>
      </c>
      <c r="F718" t="s">
        <v>87</v>
      </c>
      <c r="G718" t="s">
        <v>2588</v>
      </c>
      <c r="H718" s="15">
        <v>326994</v>
      </c>
      <c r="I718" s="15">
        <v>0</v>
      </c>
      <c r="J718" t="s">
        <v>89</v>
      </c>
      <c r="K718" t="s">
        <v>116</v>
      </c>
      <c r="L718" s="2">
        <v>42095</v>
      </c>
      <c r="M718" t="s">
        <v>2589</v>
      </c>
      <c r="N718">
        <v>0</v>
      </c>
      <c r="O718" t="s">
        <v>4903</v>
      </c>
      <c r="P718">
        <v>0</v>
      </c>
      <c r="Q718" t="s">
        <v>4903</v>
      </c>
      <c r="R718" t="s">
        <v>2587</v>
      </c>
    </row>
    <row r="719" spans="1:18" hidden="1" x14ac:dyDescent="0.25">
      <c r="A719" t="s">
        <v>2100</v>
      </c>
      <c r="B719" t="s">
        <v>31</v>
      </c>
      <c r="C719" t="s">
        <v>15</v>
      </c>
      <c r="D719" t="s">
        <v>85</v>
      </c>
      <c r="E719" t="s">
        <v>114</v>
      </c>
      <c r="F719" t="s">
        <v>87</v>
      </c>
      <c r="G719" t="s">
        <v>2101</v>
      </c>
      <c r="H719" s="15">
        <v>223308</v>
      </c>
      <c r="I719" s="15">
        <v>0</v>
      </c>
      <c r="J719" t="s">
        <v>89</v>
      </c>
      <c r="K719" t="s">
        <v>21</v>
      </c>
      <c r="L719" s="2">
        <v>42095</v>
      </c>
      <c r="M719" t="s">
        <v>2102</v>
      </c>
      <c r="N719">
        <v>0</v>
      </c>
      <c r="O719" t="s">
        <v>4903</v>
      </c>
      <c r="P719">
        <v>0</v>
      </c>
      <c r="Q719" t="s">
        <v>4903</v>
      </c>
      <c r="R719" t="s">
        <v>2100</v>
      </c>
    </row>
    <row r="720" spans="1:18" hidden="1" x14ac:dyDescent="0.25">
      <c r="A720" t="s">
        <v>2103</v>
      </c>
      <c r="B720" t="s">
        <v>47</v>
      </c>
      <c r="C720" t="s">
        <v>48</v>
      </c>
      <c r="D720" t="s">
        <v>85</v>
      </c>
      <c r="E720" t="s">
        <v>114</v>
      </c>
      <c r="F720" t="s">
        <v>87</v>
      </c>
      <c r="G720" t="s">
        <v>2104</v>
      </c>
      <c r="H720" s="15">
        <v>310627</v>
      </c>
      <c r="I720" s="15">
        <v>0</v>
      </c>
      <c r="J720" t="s">
        <v>89</v>
      </c>
      <c r="K720" t="s">
        <v>326</v>
      </c>
      <c r="L720" s="2">
        <v>42095</v>
      </c>
      <c r="M720" t="s">
        <v>2105</v>
      </c>
      <c r="N720">
        <v>1</v>
      </c>
      <c r="O720" t="s">
        <v>4903</v>
      </c>
      <c r="P720">
        <v>0</v>
      </c>
      <c r="Q720" t="s">
        <v>4903</v>
      </c>
      <c r="R720" t="s">
        <v>2103</v>
      </c>
    </row>
    <row r="721" spans="1:18" hidden="1" x14ac:dyDescent="0.25">
      <c r="A721" t="s">
        <v>539</v>
      </c>
      <c r="B721" t="s">
        <v>61</v>
      </c>
      <c r="C721" t="s">
        <v>62</v>
      </c>
      <c r="D721" t="s">
        <v>85</v>
      </c>
      <c r="E721" t="s">
        <v>114</v>
      </c>
      <c r="F721" t="s">
        <v>87</v>
      </c>
      <c r="G721" t="s">
        <v>540</v>
      </c>
      <c r="H721" s="15">
        <v>249682</v>
      </c>
      <c r="I721" s="15">
        <v>0</v>
      </c>
      <c r="J721" t="s">
        <v>89</v>
      </c>
      <c r="K721" t="s">
        <v>116</v>
      </c>
      <c r="L721" s="2">
        <v>42095</v>
      </c>
      <c r="M721" t="s">
        <v>541</v>
      </c>
      <c r="N721">
        <v>0</v>
      </c>
      <c r="O721" t="s">
        <v>4903</v>
      </c>
      <c r="P721">
        <v>0</v>
      </c>
      <c r="Q721" t="s">
        <v>4903</v>
      </c>
      <c r="R721" t="s">
        <v>539</v>
      </c>
    </row>
    <row r="722" spans="1:18" hidden="1" x14ac:dyDescent="0.25">
      <c r="A722" t="s">
        <v>285</v>
      </c>
      <c r="B722" t="s">
        <v>31</v>
      </c>
      <c r="C722" t="s">
        <v>15</v>
      </c>
      <c r="D722" t="s">
        <v>85</v>
      </c>
      <c r="E722" t="s">
        <v>114</v>
      </c>
      <c r="F722" t="s">
        <v>87</v>
      </c>
      <c r="G722" t="s">
        <v>3142</v>
      </c>
      <c r="H722" s="15">
        <v>319446</v>
      </c>
      <c r="I722" s="15">
        <v>0</v>
      </c>
      <c r="J722" t="s">
        <v>89</v>
      </c>
      <c r="K722" t="s">
        <v>21</v>
      </c>
      <c r="L722" s="2">
        <v>42095</v>
      </c>
      <c r="M722" t="s">
        <v>3143</v>
      </c>
      <c r="N722">
        <v>0</v>
      </c>
      <c r="O722" t="s">
        <v>4903</v>
      </c>
      <c r="P722">
        <v>0</v>
      </c>
      <c r="Q722" t="s">
        <v>4903</v>
      </c>
      <c r="R722" t="s">
        <v>285</v>
      </c>
    </row>
    <row r="723" spans="1:18" hidden="1" x14ac:dyDescent="0.25">
      <c r="A723" t="s">
        <v>2839</v>
      </c>
      <c r="B723" t="s">
        <v>190</v>
      </c>
      <c r="C723" t="s">
        <v>15</v>
      </c>
      <c r="D723" t="s">
        <v>85</v>
      </c>
      <c r="E723" t="s">
        <v>114</v>
      </c>
      <c r="F723" t="s">
        <v>87</v>
      </c>
      <c r="G723" t="s">
        <v>2840</v>
      </c>
      <c r="H723" s="15">
        <v>138013</v>
      </c>
      <c r="I723" s="15">
        <v>0</v>
      </c>
      <c r="J723" t="s">
        <v>89</v>
      </c>
      <c r="K723" t="s">
        <v>65</v>
      </c>
      <c r="L723" s="2">
        <v>42095</v>
      </c>
      <c r="M723" t="s">
        <v>2841</v>
      </c>
      <c r="N723">
        <v>2</v>
      </c>
      <c r="O723" t="s">
        <v>4903</v>
      </c>
      <c r="P723">
        <v>0</v>
      </c>
      <c r="Q723" t="s">
        <v>4903</v>
      </c>
      <c r="R723" t="s">
        <v>2839</v>
      </c>
    </row>
    <row r="724" spans="1:18" hidden="1" x14ac:dyDescent="0.25">
      <c r="A724" t="s">
        <v>2590</v>
      </c>
      <c r="B724" t="s">
        <v>725</v>
      </c>
      <c r="C724" t="s">
        <v>726</v>
      </c>
      <c r="D724" t="s">
        <v>85</v>
      </c>
      <c r="E724" t="s">
        <v>114</v>
      </c>
      <c r="F724" t="s">
        <v>87</v>
      </c>
      <c r="G724" t="s">
        <v>2591</v>
      </c>
      <c r="H724" s="15">
        <v>431955</v>
      </c>
      <c r="I724" s="15">
        <v>0</v>
      </c>
      <c r="J724" t="s">
        <v>89</v>
      </c>
      <c r="K724" t="s">
        <v>28</v>
      </c>
      <c r="L724" s="2">
        <v>42095</v>
      </c>
      <c r="M724" t="s">
        <v>2592</v>
      </c>
      <c r="N724">
        <v>1</v>
      </c>
      <c r="O724" t="s">
        <v>4903</v>
      </c>
      <c r="P724">
        <v>0</v>
      </c>
      <c r="Q724" t="s">
        <v>4903</v>
      </c>
      <c r="R724" t="s">
        <v>2590</v>
      </c>
    </row>
    <row r="725" spans="1:18" hidden="1" x14ac:dyDescent="0.25">
      <c r="A725" t="s">
        <v>957</v>
      </c>
      <c r="B725" t="s">
        <v>471</v>
      </c>
      <c r="C725" t="s">
        <v>15</v>
      </c>
      <c r="D725" t="s">
        <v>85</v>
      </c>
      <c r="E725" t="s">
        <v>114</v>
      </c>
      <c r="F725" t="s">
        <v>87</v>
      </c>
      <c r="G725" t="s">
        <v>958</v>
      </c>
      <c r="H725" s="15">
        <v>261805</v>
      </c>
      <c r="I725" s="15">
        <v>0</v>
      </c>
      <c r="J725" t="s">
        <v>89</v>
      </c>
      <c r="K725" t="s">
        <v>21</v>
      </c>
      <c r="L725" s="2">
        <v>42095</v>
      </c>
      <c r="M725" t="s">
        <v>959</v>
      </c>
      <c r="N725">
        <v>0</v>
      </c>
      <c r="O725" t="s">
        <v>4903</v>
      </c>
      <c r="P725">
        <v>0</v>
      </c>
      <c r="Q725" t="s">
        <v>4903</v>
      </c>
      <c r="R725" t="s">
        <v>957</v>
      </c>
    </row>
    <row r="726" spans="1:18" hidden="1" x14ac:dyDescent="0.25">
      <c r="A726" t="s">
        <v>2818</v>
      </c>
      <c r="B726" t="s">
        <v>47</v>
      </c>
      <c r="C726" t="s">
        <v>48</v>
      </c>
      <c r="D726" t="s">
        <v>85</v>
      </c>
      <c r="E726" t="s">
        <v>114</v>
      </c>
      <c r="F726" t="s">
        <v>87</v>
      </c>
      <c r="G726" t="s">
        <v>2819</v>
      </c>
      <c r="H726" s="15">
        <v>442500</v>
      </c>
      <c r="I726" s="15">
        <v>0</v>
      </c>
      <c r="J726" t="s">
        <v>89</v>
      </c>
      <c r="K726" t="s">
        <v>65</v>
      </c>
      <c r="L726" s="2">
        <v>42095</v>
      </c>
      <c r="M726" t="s">
        <v>2820</v>
      </c>
      <c r="N726">
        <v>3</v>
      </c>
      <c r="O726" t="s">
        <v>4903</v>
      </c>
      <c r="P726">
        <v>0</v>
      </c>
      <c r="Q726" t="s">
        <v>4903</v>
      </c>
      <c r="R726" t="s">
        <v>2818</v>
      </c>
    </row>
    <row r="727" spans="1:18" hidden="1" x14ac:dyDescent="0.25">
      <c r="A727" t="s">
        <v>4724</v>
      </c>
      <c r="B727" t="s">
        <v>47</v>
      </c>
      <c r="C727" t="s">
        <v>48</v>
      </c>
      <c r="D727" t="s">
        <v>85</v>
      </c>
      <c r="E727" t="s">
        <v>114</v>
      </c>
      <c r="F727" t="s">
        <v>87</v>
      </c>
      <c r="G727" t="s">
        <v>4725</v>
      </c>
      <c r="H727" s="15">
        <v>213832</v>
      </c>
      <c r="I727" s="15">
        <v>0</v>
      </c>
      <c r="J727" t="s">
        <v>89</v>
      </c>
      <c r="K727" t="s">
        <v>65</v>
      </c>
      <c r="L727" s="2">
        <v>42095</v>
      </c>
      <c r="M727" t="s">
        <v>4726</v>
      </c>
      <c r="N727">
        <v>0</v>
      </c>
      <c r="O727" t="s">
        <v>4903</v>
      </c>
      <c r="P727">
        <v>0</v>
      </c>
      <c r="Q727" t="s">
        <v>4903</v>
      </c>
      <c r="R727" t="s">
        <v>4724</v>
      </c>
    </row>
    <row r="728" spans="1:18" hidden="1" x14ac:dyDescent="0.25">
      <c r="A728" t="s">
        <v>112</v>
      </c>
      <c r="B728" t="s">
        <v>113</v>
      </c>
      <c r="C728" t="s">
        <v>15</v>
      </c>
      <c r="D728" t="s">
        <v>85</v>
      </c>
      <c r="E728" t="s">
        <v>114</v>
      </c>
      <c r="F728" t="s">
        <v>87</v>
      </c>
      <c r="G728" t="s">
        <v>115</v>
      </c>
      <c r="H728" s="15">
        <v>218374</v>
      </c>
      <c r="I728" s="15">
        <v>0</v>
      </c>
      <c r="J728" t="s">
        <v>89</v>
      </c>
      <c r="K728" t="s">
        <v>116</v>
      </c>
      <c r="L728" s="2">
        <v>42095</v>
      </c>
      <c r="M728" t="s">
        <v>117</v>
      </c>
      <c r="N728">
        <v>0</v>
      </c>
      <c r="O728" t="s">
        <v>4903</v>
      </c>
      <c r="P728">
        <v>0</v>
      </c>
      <c r="Q728" t="s">
        <v>4903</v>
      </c>
      <c r="R728" t="s">
        <v>112</v>
      </c>
    </row>
    <row r="729" spans="1:18" hidden="1" x14ac:dyDescent="0.25">
      <c r="A729" t="s">
        <v>628</v>
      </c>
      <c r="B729" t="s">
        <v>161</v>
      </c>
      <c r="C729" t="s">
        <v>39</v>
      </c>
      <c r="D729" t="s">
        <v>85</v>
      </c>
      <c r="E729" t="s">
        <v>114</v>
      </c>
      <c r="F729" t="s">
        <v>87</v>
      </c>
      <c r="G729" t="s">
        <v>4581</v>
      </c>
      <c r="H729" s="15">
        <v>429975</v>
      </c>
      <c r="I729" s="15">
        <v>0</v>
      </c>
      <c r="J729" t="s">
        <v>89</v>
      </c>
      <c r="K729" t="s">
        <v>100</v>
      </c>
      <c r="L729" s="2">
        <v>42095</v>
      </c>
      <c r="M729" t="s">
        <v>4582</v>
      </c>
      <c r="N729">
        <v>0</v>
      </c>
      <c r="O729" t="s">
        <v>4903</v>
      </c>
      <c r="P729">
        <v>0</v>
      </c>
      <c r="Q729" t="s">
        <v>4903</v>
      </c>
      <c r="R729" t="s">
        <v>628</v>
      </c>
    </row>
    <row r="730" spans="1:18" hidden="1" x14ac:dyDescent="0.25">
      <c r="A730" t="s">
        <v>3313</v>
      </c>
      <c r="B730" t="s">
        <v>84</v>
      </c>
      <c r="C730" t="s">
        <v>15</v>
      </c>
      <c r="D730" t="s">
        <v>85</v>
      </c>
      <c r="E730" t="s">
        <v>114</v>
      </c>
      <c r="F730" t="s">
        <v>87</v>
      </c>
      <c r="G730" t="s">
        <v>3314</v>
      </c>
      <c r="H730" s="15">
        <v>378611</v>
      </c>
      <c r="I730" s="15">
        <v>0</v>
      </c>
      <c r="J730" t="s">
        <v>89</v>
      </c>
      <c r="K730" t="s">
        <v>65</v>
      </c>
      <c r="L730" s="2">
        <v>42095</v>
      </c>
      <c r="M730" t="s">
        <v>3315</v>
      </c>
      <c r="N730">
        <v>0</v>
      </c>
      <c r="O730" t="s">
        <v>4903</v>
      </c>
      <c r="P730">
        <v>0</v>
      </c>
      <c r="Q730" t="s">
        <v>4903</v>
      </c>
      <c r="R730" t="s">
        <v>3313</v>
      </c>
    </row>
    <row r="731" spans="1:18" hidden="1" x14ac:dyDescent="0.25">
      <c r="A731" t="s">
        <v>1683</v>
      </c>
      <c r="B731" t="s">
        <v>898</v>
      </c>
      <c r="C731" t="s">
        <v>39</v>
      </c>
      <c r="D731" t="s">
        <v>85</v>
      </c>
      <c r="E731" t="s">
        <v>114</v>
      </c>
      <c r="F731" t="s">
        <v>87</v>
      </c>
      <c r="G731" t="s">
        <v>1684</v>
      </c>
      <c r="H731" s="15">
        <v>252318</v>
      </c>
      <c r="I731" s="15">
        <v>0</v>
      </c>
      <c r="J731" t="s">
        <v>89</v>
      </c>
      <c r="K731" t="s">
        <v>28</v>
      </c>
      <c r="L731" s="2">
        <v>42095</v>
      </c>
      <c r="M731" t="s">
        <v>1685</v>
      </c>
      <c r="N731">
        <v>0</v>
      </c>
      <c r="O731" t="s">
        <v>4903</v>
      </c>
      <c r="P731">
        <v>0</v>
      </c>
      <c r="Q731" t="s">
        <v>4903</v>
      </c>
      <c r="R731" t="s">
        <v>1683</v>
      </c>
    </row>
    <row r="732" spans="1:18" hidden="1" x14ac:dyDescent="0.25">
      <c r="A732" t="s">
        <v>3936</v>
      </c>
      <c r="B732" t="s">
        <v>84</v>
      </c>
      <c r="C732" t="s">
        <v>15</v>
      </c>
      <c r="D732" t="s">
        <v>85</v>
      </c>
      <c r="E732" t="s">
        <v>114</v>
      </c>
      <c r="F732" t="s">
        <v>87</v>
      </c>
      <c r="G732" t="s">
        <v>3937</v>
      </c>
      <c r="H732" s="15">
        <v>354383</v>
      </c>
      <c r="I732" s="15">
        <v>0</v>
      </c>
      <c r="J732" t="s">
        <v>89</v>
      </c>
      <c r="K732" t="s">
        <v>28</v>
      </c>
      <c r="L732" s="2">
        <v>42095</v>
      </c>
      <c r="M732" t="s">
        <v>3938</v>
      </c>
      <c r="N732">
        <v>0</v>
      </c>
      <c r="O732" t="s">
        <v>4903</v>
      </c>
      <c r="P732">
        <v>0</v>
      </c>
      <c r="Q732" t="s">
        <v>4903</v>
      </c>
      <c r="R732" t="s">
        <v>3936</v>
      </c>
    </row>
    <row r="733" spans="1:18" hidden="1" x14ac:dyDescent="0.25">
      <c r="A733" t="s">
        <v>739</v>
      </c>
      <c r="B733" t="s">
        <v>126</v>
      </c>
      <c r="C733" t="s">
        <v>39</v>
      </c>
      <c r="D733" t="s">
        <v>85</v>
      </c>
      <c r="E733" t="s">
        <v>114</v>
      </c>
      <c r="F733" t="s">
        <v>87</v>
      </c>
      <c r="G733" t="s">
        <v>740</v>
      </c>
      <c r="H733" s="15">
        <v>181578</v>
      </c>
      <c r="I733" s="15">
        <v>0</v>
      </c>
      <c r="J733" t="s">
        <v>89</v>
      </c>
      <c r="K733" t="s">
        <v>65</v>
      </c>
      <c r="L733" s="2">
        <v>42095</v>
      </c>
      <c r="M733" t="s">
        <v>741</v>
      </c>
      <c r="N733">
        <v>0</v>
      </c>
      <c r="O733" t="s">
        <v>4903</v>
      </c>
      <c r="P733">
        <v>0</v>
      </c>
      <c r="Q733" t="s">
        <v>4903</v>
      </c>
      <c r="R733" t="s">
        <v>739</v>
      </c>
    </row>
    <row r="734" spans="1:18" hidden="1" x14ac:dyDescent="0.25">
      <c r="A734" t="s">
        <v>2832</v>
      </c>
      <c r="B734" t="s">
        <v>126</v>
      </c>
      <c r="C734" t="s">
        <v>39</v>
      </c>
      <c r="D734" t="s">
        <v>85</v>
      </c>
      <c r="E734" t="s">
        <v>114</v>
      </c>
      <c r="F734" t="s">
        <v>87</v>
      </c>
      <c r="G734" t="s">
        <v>2833</v>
      </c>
      <c r="H734" s="15">
        <v>375000</v>
      </c>
      <c r="I734" s="15">
        <v>0</v>
      </c>
      <c r="J734" t="s">
        <v>89</v>
      </c>
      <c r="K734" t="s">
        <v>116</v>
      </c>
      <c r="L734" s="2">
        <v>42095</v>
      </c>
      <c r="M734" t="s">
        <v>2834</v>
      </c>
      <c r="N734">
        <v>0</v>
      </c>
      <c r="O734" t="s">
        <v>4903</v>
      </c>
      <c r="P734">
        <v>0</v>
      </c>
      <c r="Q734" t="s">
        <v>4903</v>
      </c>
      <c r="R734" t="s">
        <v>2832</v>
      </c>
    </row>
    <row r="735" spans="1:18" hidden="1" x14ac:dyDescent="0.25">
      <c r="A735" t="s">
        <v>815</v>
      </c>
      <c r="B735" t="s">
        <v>84</v>
      </c>
      <c r="C735" t="s">
        <v>15</v>
      </c>
      <c r="D735" t="s">
        <v>85</v>
      </c>
      <c r="E735" t="s">
        <v>114</v>
      </c>
      <c r="F735" t="s">
        <v>87</v>
      </c>
      <c r="G735" t="s">
        <v>816</v>
      </c>
      <c r="H735" s="15">
        <v>241032</v>
      </c>
      <c r="I735" s="15">
        <v>0</v>
      </c>
      <c r="J735" t="s">
        <v>89</v>
      </c>
      <c r="K735" t="s">
        <v>134</v>
      </c>
      <c r="L735" s="2">
        <v>42095</v>
      </c>
      <c r="M735" t="s">
        <v>817</v>
      </c>
      <c r="N735">
        <v>0</v>
      </c>
      <c r="O735" t="s">
        <v>4903</v>
      </c>
      <c r="P735">
        <v>0</v>
      </c>
      <c r="Q735" t="s">
        <v>4903</v>
      </c>
      <c r="R735" t="s">
        <v>815</v>
      </c>
    </row>
    <row r="736" spans="1:18" hidden="1" x14ac:dyDescent="0.25">
      <c r="A736" t="s">
        <v>4379</v>
      </c>
      <c r="B736" t="s">
        <v>84</v>
      </c>
      <c r="C736" t="s">
        <v>15</v>
      </c>
      <c r="D736" t="s">
        <v>85</v>
      </c>
      <c r="E736" t="s">
        <v>114</v>
      </c>
      <c r="F736" t="s">
        <v>87</v>
      </c>
      <c r="G736" t="s">
        <v>4380</v>
      </c>
      <c r="H736" s="15">
        <v>225096</v>
      </c>
      <c r="I736" s="15">
        <v>0</v>
      </c>
      <c r="J736" t="s">
        <v>89</v>
      </c>
      <c r="K736" t="s">
        <v>116</v>
      </c>
      <c r="L736" s="2">
        <v>42095</v>
      </c>
      <c r="M736" t="s">
        <v>4381</v>
      </c>
      <c r="N736">
        <v>0</v>
      </c>
      <c r="O736" t="s">
        <v>4903</v>
      </c>
      <c r="P736">
        <v>0</v>
      </c>
      <c r="Q736" t="s">
        <v>4903</v>
      </c>
      <c r="R736" t="s">
        <v>4379</v>
      </c>
    </row>
    <row r="737" spans="1:18" hidden="1" x14ac:dyDescent="0.25">
      <c r="A737" t="s">
        <v>3289</v>
      </c>
      <c r="B737" t="s">
        <v>190</v>
      </c>
      <c r="C737" t="s">
        <v>15</v>
      </c>
      <c r="D737" t="s">
        <v>96</v>
      </c>
      <c r="E737" t="s">
        <v>871</v>
      </c>
      <c r="F737" t="s">
        <v>98</v>
      </c>
      <c r="G737" t="s">
        <v>3290</v>
      </c>
      <c r="H737" s="15">
        <v>232748</v>
      </c>
      <c r="I737" s="15">
        <v>6041</v>
      </c>
      <c r="J737" t="s">
        <v>154</v>
      </c>
      <c r="K737" t="s">
        <v>21</v>
      </c>
      <c r="L737" s="2">
        <v>42095</v>
      </c>
      <c r="M737" t="s">
        <v>3291</v>
      </c>
      <c r="N737">
        <v>2</v>
      </c>
      <c r="O737" t="s">
        <v>4903</v>
      </c>
      <c r="P737">
        <v>0</v>
      </c>
      <c r="Q737" t="s">
        <v>4903</v>
      </c>
      <c r="R737" t="s">
        <v>3289</v>
      </c>
    </row>
    <row r="738" spans="1:18" hidden="1" x14ac:dyDescent="0.25">
      <c r="A738" t="s">
        <v>3025</v>
      </c>
      <c r="B738" t="s">
        <v>315</v>
      </c>
      <c r="C738" t="s">
        <v>39</v>
      </c>
      <c r="D738" t="s">
        <v>85</v>
      </c>
      <c r="E738" t="s">
        <v>114</v>
      </c>
      <c r="F738" t="s">
        <v>87</v>
      </c>
      <c r="G738" t="s">
        <v>3031</v>
      </c>
      <c r="H738" s="15">
        <v>358467</v>
      </c>
      <c r="I738" s="15">
        <v>0</v>
      </c>
      <c r="J738" t="s">
        <v>89</v>
      </c>
      <c r="K738" t="s">
        <v>28</v>
      </c>
      <c r="L738" s="2">
        <v>42095</v>
      </c>
      <c r="M738" t="s">
        <v>3032</v>
      </c>
      <c r="N738">
        <v>1</v>
      </c>
      <c r="O738" t="s">
        <v>4903</v>
      </c>
      <c r="P738">
        <v>0</v>
      </c>
      <c r="Q738" t="s">
        <v>4903</v>
      </c>
      <c r="R738" t="s">
        <v>3025</v>
      </c>
    </row>
    <row r="739" spans="1:18" hidden="1" x14ac:dyDescent="0.25">
      <c r="A739" t="s">
        <v>752</v>
      </c>
      <c r="B739" t="s">
        <v>84</v>
      </c>
      <c r="C739" t="s">
        <v>15</v>
      </c>
      <c r="D739" t="s">
        <v>85</v>
      </c>
      <c r="E739" t="s">
        <v>114</v>
      </c>
      <c r="F739" t="s">
        <v>87</v>
      </c>
      <c r="G739" t="s">
        <v>753</v>
      </c>
      <c r="H739" s="15">
        <v>504350</v>
      </c>
      <c r="I739" s="15">
        <v>0</v>
      </c>
      <c r="J739" t="s">
        <v>89</v>
      </c>
      <c r="K739" t="s">
        <v>28</v>
      </c>
      <c r="L739" s="2">
        <v>42095</v>
      </c>
      <c r="M739" t="s">
        <v>754</v>
      </c>
      <c r="N739">
        <v>0</v>
      </c>
      <c r="O739" t="s">
        <v>4903</v>
      </c>
      <c r="P739">
        <v>0</v>
      </c>
      <c r="Q739" t="s">
        <v>4903</v>
      </c>
      <c r="R739" t="s">
        <v>752</v>
      </c>
    </row>
    <row r="740" spans="1:18" hidden="1" x14ac:dyDescent="0.25">
      <c r="A740" t="s">
        <v>699</v>
      </c>
      <c r="B740" t="s">
        <v>84</v>
      </c>
      <c r="C740" t="s">
        <v>15</v>
      </c>
      <c r="D740" t="s">
        <v>85</v>
      </c>
      <c r="E740" t="s">
        <v>114</v>
      </c>
      <c r="F740" t="s">
        <v>87</v>
      </c>
      <c r="G740" t="s">
        <v>700</v>
      </c>
      <c r="H740" s="15">
        <v>316195</v>
      </c>
      <c r="I740" s="15">
        <v>0</v>
      </c>
      <c r="J740" t="s">
        <v>89</v>
      </c>
      <c r="K740" t="s">
        <v>74</v>
      </c>
      <c r="L740" s="2">
        <v>42095</v>
      </c>
      <c r="M740" t="s">
        <v>701</v>
      </c>
      <c r="N740">
        <v>1</v>
      </c>
      <c r="O740" t="s">
        <v>4903</v>
      </c>
      <c r="P740">
        <v>0</v>
      </c>
      <c r="Q740" t="s">
        <v>4903</v>
      </c>
      <c r="R740" t="s">
        <v>699</v>
      </c>
    </row>
    <row r="741" spans="1:18" hidden="1" x14ac:dyDescent="0.25">
      <c r="A741" t="s">
        <v>1019</v>
      </c>
      <c r="B741" t="s">
        <v>31</v>
      </c>
      <c r="C741" t="s">
        <v>15</v>
      </c>
      <c r="D741" t="s">
        <v>85</v>
      </c>
      <c r="E741" t="s">
        <v>114</v>
      </c>
      <c r="F741" t="s">
        <v>87</v>
      </c>
      <c r="G741" t="s">
        <v>4355</v>
      </c>
      <c r="H741" s="15">
        <v>185373</v>
      </c>
      <c r="I741" s="15">
        <v>0</v>
      </c>
      <c r="J741" t="s">
        <v>89</v>
      </c>
      <c r="K741" t="s">
        <v>74</v>
      </c>
      <c r="L741" s="2">
        <v>42095</v>
      </c>
      <c r="M741" t="s">
        <v>4356</v>
      </c>
      <c r="N741">
        <v>0</v>
      </c>
      <c r="O741" t="s">
        <v>4903</v>
      </c>
      <c r="P741">
        <v>0</v>
      </c>
      <c r="Q741" t="s">
        <v>4903</v>
      </c>
      <c r="R741" t="s">
        <v>1019</v>
      </c>
    </row>
    <row r="742" spans="1:18" hidden="1" x14ac:dyDescent="0.25">
      <c r="A742" t="s">
        <v>470</v>
      </c>
      <c r="B742" t="s">
        <v>471</v>
      </c>
      <c r="C742" t="s">
        <v>15</v>
      </c>
      <c r="D742" t="s">
        <v>85</v>
      </c>
      <c r="E742" t="s">
        <v>114</v>
      </c>
      <c r="F742" t="s">
        <v>87</v>
      </c>
      <c r="G742" t="s">
        <v>472</v>
      </c>
      <c r="H742" s="15">
        <v>375384</v>
      </c>
      <c r="I742" s="15">
        <v>0</v>
      </c>
      <c r="J742" t="s">
        <v>89</v>
      </c>
      <c r="K742" t="s">
        <v>134</v>
      </c>
      <c r="L742" s="2">
        <v>42095</v>
      </c>
      <c r="M742" t="s">
        <v>473</v>
      </c>
      <c r="N742">
        <v>0</v>
      </c>
      <c r="O742" t="s">
        <v>4903</v>
      </c>
      <c r="P742">
        <v>0</v>
      </c>
      <c r="Q742" t="s">
        <v>4903</v>
      </c>
      <c r="R742" t="s">
        <v>470</v>
      </c>
    </row>
    <row r="743" spans="1:18" hidden="1" x14ac:dyDescent="0.25">
      <c r="A743" t="s">
        <v>598</v>
      </c>
      <c r="B743" t="s">
        <v>84</v>
      </c>
      <c r="C743" t="s">
        <v>15</v>
      </c>
      <c r="D743" t="s">
        <v>85</v>
      </c>
      <c r="E743" t="s">
        <v>114</v>
      </c>
      <c r="F743" t="s">
        <v>87</v>
      </c>
      <c r="G743" t="s">
        <v>599</v>
      </c>
      <c r="H743" s="15">
        <v>300938</v>
      </c>
      <c r="I743" s="15">
        <v>0</v>
      </c>
      <c r="J743" t="s">
        <v>89</v>
      </c>
      <c r="K743" t="s">
        <v>21</v>
      </c>
      <c r="L743" s="2">
        <v>42095</v>
      </c>
      <c r="M743" t="s">
        <v>600</v>
      </c>
      <c r="N743">
        <v>3</v>
      </c>
      <c r="O743" t="s">
        <v>4903</v>
      </c>
      <c r="P743">
        <v>0</v>
      </c>
      <c r="Q743" t="s">
        <v>4903</v>
      </c>
      <c r="R743" t="s">
        <v>598</v>
      </c>
    </row>
    <row r="744" spans="1:18" hidden="1" x14ac:dyDescent="0.25">
      <c r="A744" t="s">
        <v>182</v>
      </c>
      <c r="B744" t="s">
        <v>61</v>
      </c>
      <c r="C744" t="s">
        <v>62</v>
      </c>
      <c r="D744" t="s">
        <v>85</v>
      </c>
      <c r="E744" t="s">
        <v>114</v>
      </c>
      <c r="F744" t="s">
        <v>87</v>
      </c>
      <c r="G744" t="s">
        <v>183</v>
      </c>
      <c r="H744" s="15">
        <v>234250</v>
      </c>
      <c r="I744" s="15">
        <v>0</v>
      </c>
      <c r="J744" t="s">
        <v>89</v>
      </c>
      <c r="K744" t="s">
        <v>116</v>
      </c>
      <c r="L744" s="2">
        <v>42095</v>
      </c>
      <c r="M744" t="s">
        <v>184</v>
      </c>
      <c r="N744">
        <v>3</v>
      </c>
      <c r="O744" t="s">
        <v>4903</v>
      </c>
      <c r="P744">
        <v>0</v>
      </c>
      <c r="Q744" t="s">
        <v>4903</v>
      </c>
      <c r="R744" t="s">
        <v>182</v>
      </c>
    </row>
    <row r="745" spans="1:18" hidden="1" x14ac:dyDescent="0.25">
      <c r="A745" t="s">
        <v>4018</v>
      </c>
      <c r="B745" t="s">
        <v>580</v>
      </c>
      <c r="C745" t="s">
        <v>15</v>
      </c>
      <c r="D745" t="s">
        <v>96</v>
      </c>
      <c r="E745" t="s">
        <v>871</v>
      </c>
      <c r="F745" t="s">
        <v>98</v>
      </c>
      <c r="G745" t="s">
        <v>4019</v>
      </c>
      <c r="H745" s="15">
        <v>220995</v>
      </c>
      <c r="I745" s="15">
        <v>0</v>
      </c>
      <c r="J745" t="s">
        <v>154</v>
      </c>
      <c r="K745" t="s">
        <v>326</v>
      </c>
      <c r="L745" s="2">
        <v>42095</v>
      </c>
      <c r="M745" t="s">
        <v>4020</v>
      </c>
      <c r="N745">
        <v>0</v>
      </c>
      <c r="O745" t="s">
        <v>4903</v>
      </c>
      <c r="P745">
        <v>0</v>
      </c>
      <c r="Q745" t="s">
        <v>4903</v>
      </c>
      <c r="R745" t="s">
        <v>4018</v>
      </c>
    </row>
    <row r="746" spans="1:18" hidden="1" x14ac:dyDescent="0.25">
      <c r="A746" t="s">
        <v>1312</v>
      </c>
      <c r="B746" t="s">
        <v>84</v>
      </c>
      <c r="C746" t="s">
        <v>15</v>
      </c>
      <c r="D746" t="s">
        <v>85</v>
      </c>
      <c r="E746" t="s">
        <v>114</v>
      </c>
      <c r="F746" t="s">
        <v>87</v>
      </c>
      <c r="G746" t="s">
        <v>1313</v>
      </c>
      <c r="H746" s="15">
        <v>299046</v>
      </c>
      <c r="I746" s="15">
        <v>0</v>
      </c>
      <c r="J746" t="s">
        <v>89</v>
      </c>
      <c r="K746" t="s">
        <v>28</v>
      </c>
      <c r="L746" s="2">
        <v>42095</v>
      </c>
      <c r="M746" t="s">
        <v>1314</v>
      </c>
      <c r="N746">
        <v>0</v>
      </c>
      <c r="O746" t="s">
        <v>4903</v>
      </c>
      <c r="P746">
        <v>0</v>
      </c>
      <c r="Q746" t="s">
        <v>4903</v>
      </c>
      <c r="R746" t="s">
        <v>1312</v>
      </c>
    </row>
    <row r="747" spans="1:18" hidden="1" x14ac:dyDescent="0.25">
      <c r="A747" t="s">
        <v>4703</v>
      </c>
      <c r="B747" t="s">
        <v>84</v>
      </c>
      <c r="C747" t="s">
        <v>15</v>
      </c>
      <c r="D747" t="s">
        <v>85</v>
      </c>
      <c r="E747" t="s">
        <v>114</v>
      </c>
      <c r="F747" t="s">
        <v>87</v>
      </c>
      <c r="G747" t="s">
        <v>4718</v>
      </c>
      <c r="H747" s="15">
        <v>388551</v>
      </c>
      <c r="I747" s="15">
        <v>0</v>
      </c>
      <c r="J747" t="s">
        <v>89</v>
      </c>
      <c r="K747" t="s">
        <v>326</v>
      </c>
      <c r="L747" s="2">
        <v>42095</v>
      </c>
      <c r="M747" t="s">
        <v>4719</v>
      </c>
      <c r="N747">
        <v>1</v>
      </c>
      <c r="O747" t="s">
        <v>4903</v>
      </c>
      <c r="P747">
        <v>0</v>
      </c>
      <c r="Q747" t="s">
        <v>4903</v>
      </c>
      <c r="R747" t="s">
        <v>4703</v>
      </c>
    </row>
    <row r="748" spans="1:18" hidden="1" x14ac:dyDescent="0.25">
      <c r="A748" t="s">
        <v>2062</v>
      </c>
      <c r="B748" t="s">
        <v>2063</v>
      </c>
      <c r="C748" t="s">
        <v>15</v>
      </c>
      <c r="D748" t="s">
        <v>85</v>
      </c>
      <c r="E748" t="s">
        <v>114</v>
      </c>
      <c r="F748" t="s">
        <v>87</v>
      </c>
      <c r="G748" t="s">
        <v>2064</v>
      </c>
      <c r="H748" s="15">
        <v>226870</v>
      </c>
      <c r="I748" s="15">
        <v>0</v>
      </c>
      <c r="J748" t="s">
        <v>89</v>
      </c>
      <c r="K748" t="s">
        <v>28</v>
      </c>
      <c r="L748" s="2">
        <v>42095</v>
      </c>
      <c r="M748" t="s">
        <v>2065</v>
      </c>
      <c r="N748">
        <v>0</v>
      </c>
      <c r="O748" t="s">
        <v>4903</v>
      </c>
      <c r="P748">
        <v>0</v>
      </c>
      <c r="Q748" t="s">
        <v>4903</v>
      </c>
      <c r="R748" t="s">
        <v>2062</v>
      </c>
    </row>
    <row r="749" spans="1:18" x14ac:dyDescent="0.25">
      <c r="A749" t="s">
        <v>3413</v>
      </c>
      <c r="B749" t="s">
        <v>47</v>
      </c>
      <c r="C749" t="s">
        <v>48</v>
      </c>
      <c r="D749" t="s">
        <v>32</v>
      </c>
      <c r="E749" t="s">
        <v>282</v>
      </c>
      <c r="F749" t="s">
        <v>140</v>
      </c>
      <c r="G749" t="s">
        <v>4258</v>
      </c>
      <c r="H749" s="15">
        <v>686778</v>
      </c>
      <c r="I749" s="15">
        <v>0</v>
      </c>
      <c r="J749" t="s">
        <v>20</v>
      </c>
      <c r="K749" t="s">
        <v>28</v>
      </c>
      <c r="L749" s="2">
        <v>40817</v>
      </c>
      <c r="M749" t="s">
        <v>4259</v>
      </c>
      <c r="N749">
        <v>3</v>
      </c>
      <c r="O749" t="s">
        <v>4828</v>
      </c>
      <c r="P749">
        <v>1</v>
      </c>
      <c r="Q749" t="s">
        <v>4809</v>
      </c>
      <c r="R749" t="s">
        <v>3413</v>
      </c>
    </row>
    <row r="750" spans="1:18" hidden="1" x14ac:dyDescent="0.25">
      <c r="A750" t="s">
        <v>3379</v>
      </c>
      <c r="B750" t="s">
        <v>24</v>
      </c>
      <c r="C750" t="s">
        <v>15</v>
      </c>
      <c r="D750" t="s">
        <v>32</v>
      </c>
      <c r="E750" t="s">
        <v>806</v>
      </c>
      <c r="F750" t="s">
        <v>34</v>
      </c>
      <c r="G750" t="s">
        <v>3380</v>
      </c>
      <c r="H750" s="15">
        <v>433320</v>
      </c>
      <c r="I750" s="15">
        <v>0</v>
      </c>
      <c r="J750" t="s">
        <v>154</v>
      </c>
      <c r="K750" t="s">
        <v>28</v>
      </c>
      <c r="L750" s="2">
        <v>42186</v>
      </c>
      <c r="M750" t="s">
        <v>3381</v>
      </c>
      <c r="N750">
        <v>0</v>
      </c>
      <c r="O750" t="s">
        <v>4903</v>
      </c>
      <c r="P750">
        <v>0</v>
      </c>
      <c r="Q750" t="s">
        <v>4903</v>
      </c>
      <c r="R750" t="s">
        <v>3379</v>
      </c>
    </row>
    <row r="751" spans="1:18" hidden="1" x14ac:dyDescent="0.25">
      <c r="A751" t="s">
        <v>2564</v>
      </c>
      <c r="B751" t="s">
        <v>47</v>
      </c>
      <c r="C751" t="s">
        <v>48</v>
      </c>
      <c r="D751" t="s">
        <v>32</v>
      </c>
      <c r="E751" t="s">
        <v>806</v>
      </c>
      <c r="F751" t="s">
        <v>18</v>
      </c>
      <c r="G751" t="s">
        <v>2565</v>
      </c>
      <c r="H751" s="15">
        <v>355773</v>
      </c>
      <c r="I751" s="15">
        <v>0</v>
      </c>
      <c r="J751" t="s">
        <v>20</v>
      </c>
      <c r="K751" t="s">
        <v>65</v>
      </c>
      <c r="L751" s="2">
        <v>42186</v>
      </c>
      <c r="M751" t="s">
        <v>2566</v>
      </c>
      <c r="N751">
        <v>0</v>
      </c>
      <c r="O751" t="s">
        <v>4903</v>
      </c>
      <c r="P751">
        <v>0</v>
      </c>
      <c r="Q751" t="s">
        <v>4903</v>
      </c>
      <c r="R751" t="s">
        <v>2564</v>
      </c>
    </row>
    <row r="752" spans="1:18" hidden="1" x14ac:dyDescent="0.25">
      <c r="A752" t="s">
        <v>4126</v>
      </c>
      <c r="B752" t="s">
        <v>580</v>
      </c>
      <c r="C752" t="s">
        <v>15</v>
      </c>
      <c r="D752" t="s">
        <v>32</v>
      </c>
      <c r="E752" t="s">
        <v>806</v>
      </c>
      <c r="F752" t="s">
        <v>26</v>
      </c>
      <c r="G752" t="s">
        <v>4127</v>
      </c>
      <c r="H752" s="15">
        <v>545268</v>
      </c>
      <c r="I752" s="15">
        <v>0</v>
      </c>
      <c r="J752" t="s">
        <v>154</v>
      </c>
      <c r="K752" t="s">
        <v>28</v>
      </c>
      <c r="L752" s="2">
        <v>42186</v>
      </c>
      <c r="M752" t="s">
        <v>4128</v>
      </c>
      <c r="N752">
        <v>0</v>
      </c>
      <c r="O752" t="s">
        <v>4903</v>
      </c>
      <c r="P752">
        <v>0</v>
      </c>
      <c r="Q752" t="s">
        <v>4903</v>
      </c>
      <c r="R752" t="s">
        <v>4126</v>
      </c>
    </row>
    <row r="753" spans="1:18" hidden="1" x14ac:dyDescent="0.25">
      <c r="A753" t="s">
        <v>366</v>
      </c>
      <c r="B753" t="s">
        <v>38</v>
      </c>
      <c r="C753" t="s">
        <v>39</v>
      </c>
      <c r="D753" t="s">
        <v>32</v>
      </c>
      <c r="E753" t="s">
        <v>806</v>
      </c>
      <c r="F753" t="s">
        <v>152</v>
      </c>
      <c r="G753" t="s">
        <v>4528</v>
      </c>
      <c r="H753" s="15">
        <v>996969</v>
      </c>
      <c r="I753" s="15">
        <v>0</v>
      </c>
      <c r="J753" t="s">
        <v>20</v>
      </c>
      <c r="K753" t="s">
        <v>28</v>
      </c>
      <c r="L753" s="2">
        <v>42186</v>
      </c>
      <c r="M753" t="s">
        <v>4529</v>
      </c>
      <c r="N753">
        <v>0</v>
      </c>
      <c r="O753" t="s">
        <v>4903</v>
      </c>
      <c r="P753">
        <v>0</v>
      </c>
      <c r="Q753" t="s">
        <v>4903</v>
      </c>
      <c r="R753" t="s">
        <v>366</v>
      </c>
    </row>
    <row r="754" spans="1:18" hidden="1" x14ac:dyDescent="0.25">
      <c r="A754" t="s">
        <v>30</v>
      </c>
      <c r="B754" t="s">
        <v>31</v>
      </c>
      <c r="C754" t="s">
        <v>15</v>
      </c>
      <c r="D754" t="s">
        <v>32</v>
      </c>
      <c r="E754" t="s">
        <v>806</v>
      </c>
      <c r="F754" t="s">
        <v>34</v>
      </c>
      <c r="G754" t="s">
        <v>2959</v>
      </c>
      <c r="H754" s="15">
        <v>419820</v>
      </c>
      <c r="I754" s="15">
        <v>0</v>
      </c>
      <c r="J754" t="s">
        <v>89</v>
      </c>
      <c r="K754" t="s">
        <v>28</v>
      </c>
      <c r="L754" s="2">
        <v>42186</v>
      </c>
      <c r="M754" t="s">
        <v>2960</v>
      </c>
      <c r="N754">
        <v>0</v>
      </c>
      <c r="O754" t="s">
        <v>4903</v>
      </c>
      <c r="P754">
        <v>0</v>
      </c>
      <c r="Q754" t="s">
        <v>4903</v>
      </c>
      <c r="R754" t="s">
        <v>30</v>
      </c>
    </row>
    <row r="755" spans="1:18" hidden="1" x14ac:dyDescent="0.25">
      <c r="A755" t="s">
        <v>1697</v>
      </c>
      <c r="B755" t="s">
        <v>31</v>
      </c>
      <c r="C755" t="s">
        <v>15</v>
      </c>
      <c r="D755" t="s">
        <v>32</v>
      </c>
      <c r="E755" t="s">
        <v>806</v>
      </c>
      <c r="F755" t="s">
        <v>18</v>
      </c>
      <c r="G755" t="s">
        <v>1698</v>
      </c>
      <c r="H755" s="15">
        <v>682393</v>
      </c>
      <c r="I755" s="15">
        <v>0</v>
      </c>
      <c r="J755" t="s">
        <v>20</v>
      </c>
      <c r="K755" t="s">
        <v>65</v>
      </c>
      <c r="L755" s="2">
        <v>42186</v>
      </c>
      <c r="M755" t="s">
        <v>1699</v>
      </c>
      <c r="N755">
        <v>0</v>
      </c>
      <c r="O755" t="s">
        <v>4903</v>
      </c>
      <c r="P755">
        <v>0</v>
      </c>
      <c r="Q755" t="s">
        <v>4903</v>
      </c>
      <c r="R755" t="s">
        <v>1697</v>
      </c>
    </row>
    <row r="756" spans="1:18" hidden="1" x14ac:dyDescent="0.25">
      <c r="A756" t="s">
        <v>2134</v>
      </c>
      <c r="B756" t="s">
        <v>103</v>
      </c>
      <c r="C756" t="s">
        <v>15</v>
      </c>
      <c r="D756" t="s">
        <v>32</v>
      </c>
      <c r="E756" t="s">
        <v>806</v>
      </c>
      <c r="F756" t="s">
        <v>140</v>
      </c>
      <c r="G756" t="s">
        <v>2714</v>
      </c>
      <c r="H756" s="15">
        <v>664508</v>
      </c>
      <c r="I756" s="15">
        <v>0</v>
      </c>
      <c r="J756" t="s">
        <v>154</v>
      </c>
      <c r="K756" t="s">
        <v>28</v>
      </c>
      <c r="L756" s="2">
        <v>42186</v>
      </c>
      <c r="M756" t="s">
        <v>2715</v>
      </c>
      <c r="N756">
        <v>0</v>
      </c>
      <c r="O756" t="s">
        <v>4903</v>
      </c>
      <c r="P756">
        <v>0</v>
      </c>
      <c r="Q756" t="s">
        <v>4903</v>
      </c>
      <c r="R756" t="s">
        <v>2134</v>
      </c>
    </row>
    <row r="757" spans="1:18" hidden="1" x14ac:dyDescent="0.25">
      <c r="A757" t="s">
        <v>1792</v>
      </c>
      <c r="B757" t="s">
        <v>14</v>
      </c>
      <c r="C757" t="s">
        <v>15</v>
      </c>
      <c r="D757" t="s">
        <v>32</v>
      </c>
      <c r="E757" t="s">
        <v>806</v>
      </c>
      <c r="F757" t="s">
        <v>140</v>
      </c>
      <c r="G757" t="s">
        <v>1793</v>
      </c>
      <c r="H757" s="15">
        <v>695400</v>
      </c>
      <c r="I757" s="15">
        <v>0</v>
      </c>
      <c r="J757" t="s">
        <v>20</v>
      </c>
      <c r="K757" t="s">
        <v>28</v>
      </c>
      <c r="L757" s="2">
        <v>42186</v>
      </c>
      <c r="M757" t="s">
        <v>1794</v>
      </c>
      <c r="N757">
        <v>1</v>
      </c>
      <c r="O757" t="s">
        <v>4903</v>
      </c>
      <c r="P757">
        <v>0</v>
      </c>
      <c r="Q757" t="s">
        <v>4903</v>
      </c>
      <c r="R757" t="s">
        <v>1792</v>
      </c>
    </row>
    <row r="758" spans="1:18" hidden="1" x14ac:dyDescent="0.25">
      <c r="A758" t="s">
        <v>2721</v>
      </c>
      <c r="B758" t="s">
        <v>77</v>
      </c>
      <c r="C758" t="s">
        <v>15</v>
      </c>
      <c r="D758" t="s">
        <v>32</v>
      </c>
      <c r="E758" t="s">
        <v>806</v>
      </c>
      <c r="F758" t="s">
        <v>152</v>
      </c>
      <c r="G758" t="s">
        <v>2722</v>
      </c>
      <c r="H758" s="15">
        <v>773060</v>
      </c>
      <c r="I758" s="15">
        <v>0</v>
      </c>
      <c r="J758" t="s">
        <v>20</v>
      </c>
      <c r="K758" t="s">
        <v>28</v>
      </c>
      <c r="L758" s="2">
        <v>42186</v>
      </c>
      <c r="M758" t="s">
        <v>2723</v>
      </c>
      <c r="N758">
        <v>0</v>
      </c>
      <c r="O758" t="s">
        <v>4903</v>
      </c>
      <c r="P758">
        <v>0</v>
      </c>
      <c r="Q758" t="s">
        <v>4903</v>
      </c>
      <c r="R758" t="s">
        <v>2721</v>
      </c>
    </row>
    <row r="759" spans="1:18" hidden="1" x14ac:dyDescent="0.25">
      <c r="A759" t="s">
        <v>1680</v>
      </c>
      <c r="B759" t="s">
        <v>315</v>
      </c>
      <c r="C759" t="s">
        <v>39</v>
      </c>
      <c r="D759" t="s">
        <v>32</v>
      </c>
      <c r="E759" t="s">
        <v>806</v>
      </c>
      <c r="F759" t="s">
        <v>18</v>
      </c>
      <c r="G759" t="s">
        <v>1681</v>
      </c>
      <c r="H759" s="15">
        <v>576284</v>
      </c>
      <c r="I759" s="15">
        <v>0</v>
      </c>
      <c r="J759" t="s">
        <v>20</v>
      </c>
      <c r="K759" t="s">
        <v>21</v>
      </c>
      <c r="L759" s="2">
        <v>42186</v>
      </c>
      <c r="M759" t="s">
        <v>1682</v>
      </c>
      <c r="N759">
        <v>0</v>
      </c>
      <c r="O759" t="s">
        <v>4903</v>
      </c>
      <c r="P759">
        <v>0</v>
      </c>
      <c r="Q759" t="s">
        <v>4903</v>
      </c>
      <c r="R759" t="s">
        <v>1680</v>
      </c>
    </row>
    <row r="760" spans="1:18" hidden="1" x14ac:dyDescent="0.25">
      <c r="A760" t="s">
        <v>1897</v>
      </c>
      <c r="B760" t="s">
        <v>24</v>
      </c>
      <c r="C760" t="s">
        <v>15</v>
      </c>
      <c r="D760" t="s">
        <v>32</v>
      </c>
      <c r="E760" t="s">
        <v>806</v>
      </c>
      <c r="F760" t="s">
        <v>34</v>
      </c>
      <c r="G760" t="s">
        <v>1898</v>
      </c>
      <c r="H760" s="15">
        <v>722716</v>
      </c>
      <c r="I760" s="15">
        <v>0</v>
      </c>
      <c r="J760" t="s">
        <v>20</v>
      </c>
      <c r="K760" t="s">
        <v>21</v>
      </c>
      <c r="L760" s="2">
        <v>42186</v>
      </c>
      <c r="M760" t="s">
        <v>1899</v>
      </c>
      <c r="N760">
        <v>1</v>
      </c>
      <c r="O760" t="s">
        <v>4903</v>
      </c>
      <c r="P760">
        <v>0</v>
      </c>
      <c r="Q760" t="s">
        <v>4903</v>
      </c>
      <c r="R760" t="s">
        <v>1897</v>
      </c>
    </row>
    <row r="761" spans="1:18" hidden="1" x14ac:dyDescent="0.25">
      <c r="A761" t="s">
        <v>825</v>
      </c>
      <c r="B761" t="s">
        <v>61</v>
      </c>
      <c r="C761" t="s">
        <v>62</v>
      </c>
      <c r="D761" t="s">
        <v>32</v>
      </c>
      <c r="E761" t="s">
        <v>806</v>
      </c>
      <c r="F761" t="s">
        <v>140</v>
      </c>
      <c r="G761" t="s">
        <v>4032</v>
      </c>
      <c r="H761" s="15">
        <v>660400</v>
      </c>
      <c r="I761" s="15">
        <v>0</v>
      </c>
      <c r="J761" t="s">
        <v>154</v>
      </c>
      <c r="K761" t="s">
        <v>28</v>
      </c>
      <c r="L761" s="2">
        <v>42186</v>
      </c>
      <c r="M761" t="s">
        <v>4033</v>
      </c>
      <c r="N761">
        <v>0</v>
      </c>
      <c r="O761" t="s">
        <v>4903</v>
      </c>
      <c r="P761">
        <v>0</v>
      </c>
      <c r="Q761" t="s">
        <v>4903</v>
      </c>
      <c r="R761" t="s">
        <v>825</v>
      </c>
    </row>
    <row r="762" spans="1:18" hidden="1" x14ac:dyDescent="0.25">
      <c r="A762" t="s">
        <v>2885</v>
      </c>
      <c r="B762" t="s">
        <v>426</v>
      </c>
      <c r="C762" t="s">
        <v>48</v>
      </c>
      <c r="D762" t="s">
        <v>32</v>
      </c>
      <c r="E762" t="s">
        <v>806</v>
      </c>
      <c r="F762" t="s">
        <v>140</v>
      </c>
      <c r="G762" t="s">
        <v>2886</v>
      </c>
      <c r="H762" s="15">
        <v>560420</v>
      </c>
      <c r="I762" s="15">
        <v>0</v>
      </c>
      <c r="J762" t="s">
        <v>154</v>
      </c>
      <c r="K762" t="s">
        <v>28</v>
      </c>
      <c r="L762" s="2">
        <v>42186</v>
      </c>
      <c r="M762" t="s">
        <v>2887</v>
      </c>
      <c r="N762">
        <v>0</v>
      </c>
      <c r="O762" t="s">
        <v>4903</v>
      </c>
      <c r="P762">
        <v>0</v>
      </c>
      <c r="Q762" t="s">
        <v>4903</v>
      </c>
      <c r="R762" t="s">
        <v>2885</v>
      </c>
    </row>
    <row r="763" spans="1:18" hidden="1" x14ac:dyDescent="0.25">
      <c r="A763" t="s">
        <v>2251</v>
      </c>
      <c r="B763" t="s">
        <v>898</v>
      </c>
      <c r="C763" t="s">
        <v>39</v>
      </c>
      <c r="D763" t="s">
        <v>32</v>
      </c>
      <c r="E763" t="s">
        <v>806</v>
      </c>
      <c r="F763" t="s">
        <v>34</v>
      </c>
      <c r="G763" t="s">
        <v>2252</v>
      </c>
      <c r="H763" s="15">
        <v>334419</v>
      </c>
      <c r="I763" s="15">
        <v>0</v>
      </c>
      <c r="J763" t="s">
        <v>89</v>
      </c>
      <c r="K763" t="s">
        <v>28</v>
      </c>
      <c r="L763" s="2">
        <v>42186</v>
      </c>
      <c r="M763" t="s">
        <v>2253</v>
      </c>
      <c r="N763">
        <v>1</v>
      </c>
      <c r="O763" t="s">
        <v>4903</v>
      </c>
      <c r="P763">
        <v>0</v>
      </c>
      <c r="Q763" t="s">
        <v>4903</v>
      </c>
      <c r="R763" t="s">
        <v>2251</v>
      </c>
    </row>
    <row r="764" spans="1:18" hidden="1" x14ac:dyDescent="0.25">
      <c r="A764" t="s">
        <v>477</v>
      </c>
      <c r="B764" t="s">
        <v>478</v>
      </c>
      <c r="C764" t="s">
        <v>15</v>
      </c>
      <c r="D764" t="s">
        <v>32</v>
      </c>
      <c r="E764" t="s">
        <v>806</v>
      </c>
      <c r="F764" t="s">
        <v>18</v>
      </c>
      <c r="G764" t="s">
        <v>4494</v>
      </c>
      <c r="H764" s="15">
        <v>768657</v>
      </c>
      <c r="I764" s="15">
        <v>0</v>
      </c>
      <c r="J764" t="s">
        <v>20</v>
      </c>
      <c r="K764" t="s">
        <v>65</v>
      </c>
      <c r="L764" s="2">
        <v>42186</v>
      </c>
      <c r="M764" t="s">
        <v>4495</v>
      </c>
      <c r="N764">
        <v>0</v>
      </c>
      <c r="O764" t="s">
        <v>4903</v>
      </c>
      <c r="P764">
        <v>0</v>
      </c>
      <c r="Q764" t="s">
        <v>4903</v>
      </c>
      <c r="R764" t="s">
        <v>477</v>
      </c>
    </row>
    <row r="765" spans="1:18" hidden="1" x14ac:dyDescent="0.25">
      <c r="A765" t="s">
        <v>1566</v>
      </c>
      <c r="B765" t="s">
        <v>14</v>
      </c>
      <c r="C765" t="s">
        <v>15</v>
      </c>
      <c r="D765" t="s">
        <v>32</v>
      </c>
      <c r="E765" t="s">
        <v>806</v>
      </c>
      <c r="F765" t="s">
        <v>26</v>
      </c>
      <c r="G765" t="s">
        <v>1567</v>
      </c>
      <c r="H765" s="15">
        <v>802985</v>
      </c>
      <c r="I765" s="15">
        <v>0</v>
      </c>
      <c r="J765" t="s">
        <v>20</v>
      </c>
      <c r="K765" t="s">
        <v>28</v>
      </c>
      <c r="L765" s="2">
        <v>42186</v>
      </c>
      <c r="M765" t="s">
        <v>1568</v>
      </c>
      <c r="N765">
        <v>0</v>
      </c>
      <c r="O765" t="s">
        <v>4903</v>
      </c>
      <c r="P765">
        <v>0</v>
      </c>
      <c r="Q765" t="s">
        <v>4903</v>
      </c>
      <c r="R765" t="s">
        <v>1566</v>
      </c>
    </row>
    <row r="766" spans="1:18" hidden="1" x14ac:dyDescent="0.25">
      <c r="A766" t="s">
        <v>2048</v>
      </c>
      <c r="B766" t="s">
        <v>31</v>
      </c>
      <c r="C766" t="s">
        <v>15</v>
      </c>
      <c r="D766" t="s">
        <v>32</v>
      </c>
      <c r="E766" t="s">
        <v>806</v>
      </c>
      <c r="F766" t="s">
        <v>18</v>
      </c>
      <c r="G766" t="s">
        <v>4295</v>
      </c>
      <c r="H766" s="15">
        <v>242575</v>
      </c>
      <c r="I766" s="15">
        <v>0</v>
      </c>
      <c r="J766" t="s">
        <v>154</v>
      </c>
      <c r="K766" t="s">
        <v>65</v>
      </c>
      <c r="L766" s="2">
        <v>42186</v>
      </c>
      <c r="M766" t="s">
        <v>4296</v>
      </c>
      <c r="N766">
        <v>0</v>
      </c>
      <c r="O766" t="s">
        <v>4903</v>
      </c>
      <c r="P766">
        <v>0</v>
      </c>
      <c r="Q766" t="s">
        <v>4903</v>
      </c>
      <c r="R766" t="s">
        <v>2048</v>
      </c>
    </row>
    <row r="767" spans="1:18" hidden="1" x14ac:dyDescent="0.25">
      <c r="A767" t="s">
        <v>3874</v>
      </c>
      <c r="B767" t="s">
        <v>47</v>
      </c>
      <c r="C767" t="s">
        <v>48</v>
      </c>
      <c r="D767" t="s">
        <v>32</v>
      </c>
      <c r="E767" t="s">
        <v>806</v>
      </c>
      <c r="F767" t="s">
        <v>140</v>
      </c>
      <c r="G767" t="s">
        <v>4713</v>
      </c>
      <c r="H767" s="15">
        <v>644632</v>
      </c>
      <c r="I767" s="15">
        <v>0</v>
      </c>
      <c r="J767" t="s">
        <v>20</v>
      </c>
      <c r="K767" t="s">
        <v>28</v>
      </c>
      <c r="L767" s="2">
        <v>42186</v>
      </c>
      <c r="M767" t="s">
        <v>4714</v>
      </c>
      <c r="N767">
        <v>0</v>
      </c>
      <c r="O767" t="s">
        <v>4903</v>
      </c>
      <c r="P767">
        <v>0</v>
      </c>
      <c r="Q767" t="s">
        <v>4903</v>
      </c>
      <c r="R767" t="s">
        <v>3874</v>
      </c>
    </row>
    <row r="768" spans="1:18" hidden="1" x14ac:dyDescent="0.25">
      <c r="A768" t="s">
        <v>951</v>
      </c>
      <c r="B768" t="s">
        <v>119</v>
      </c>
      <c r="C768" t="s">
        <v>39</v>
      </c>
      <c r="D768" t="s">
        <v>32</v>
      </c>
      <c r="E768" t="s">
        <v>806</v>
      </c>
      <c r="F768" t="s">
        <v>140</v>
      </c>
      <c r="G768" t="s">
        <v>952</v>
      </c>
      <c r="H768" s="15">
        <v>739955</v>
      </c>
      <c r="I768" s="15">
        <v>0</v>
      </c>
      <c r="J768" t="s">
        <v>20</v>
      </c>
      <c r="K768" t="s">
        <v>65</v>
      </c>
      <c r="L768" s="2">
        <v>42186</v>
      </c>
      <c r="M768" t="s">
        <v>953</v>
      </c>
      <c r="N768">
        <v>0</v>
      </c>
      <c r="O768" t="s">
        <v>4903</v>
      </c>
      <c r="P768">
        <v>0</v>
      </c>
      <c r="Q768" t="s">
        <v>4903</v>
      </c>
      <c r="R768" t="s">
        <v>951</v>
      </c>
    </row>
    <row r="769" spans="1:18" hidden="1" x14ac:dyDescent="0.25">
      <c r="A769" t="s">
        <v>2549</v>
      </c>
      <c r="B769" t="s">
        <v>725</v>
      </c>
      <c r="C769" t="s">
        <v>726</v>
      </c>
      <c r="D769" t="s">
        <v>32</v>
      </c>
      <c r="E769" t="s">
        <v>806</v>
      </c>
      <c r="F769" t="s">
        <v>152</v>
      </c>
      <c r="G769" t="s">
        <v>4416</v>
      </c>
      <c r="H769" s="15">
        <v>570028</v>
      </c>
      <c r="I769" s="15">
        <v>0</v>
      </c>
      <c r="J769" t="s">
        <v>154</v>
      </c>
      <c r="K769" t="s">
        <v>28</v>
      </c>
      <c r="L769" s="2">
        <v>42186</v>
      </c>
      <c r="M769" t="s">
        <v>4417</v>
      </c>
      <c r="N769">
        <v>0</v>
      </c>
      <c r="O769" t="s">
        <v>4903</v>
      </c>
      <c r="P769">
        <v>0</v>
      </c>
      <c r="Q769" t="s">
        <v>4903</v>
      </c>
      <c r="R769" t="s">
        <v>2549</v>
      </c>
    </row>
    <row r="770" spans="1:18" hidden="1" x14ac:dyDescent="0.25">
      <c r="A770" t="s">
        <v>2629</v>
      </c>
      <c r="B770" t="s">
        <v>47</v>
      </c>
      <c r="C770" t="s">
        <v>48</v>
      </c>
      <c r="D770" t="s">
        <v>32</v>
      </c>
      <c r="E770" t="s">
        <v>806</v>
      </c>
      <c r="F770" t="s">
        <v>140</v>
      </c>
      <c r="G770" t="s">
        <v>2630</v>
      </c>
      <c r="H770" s="15">
        <v>704111</v>
      </c>
      <c r="I770" s="15">
        <v>0</v>
      </c>
      <c r="J770" t="s">
        <v>20</v>
      </c>
      <c r="K770" t="s">
        <v>28</v>
      </c>
      <c r="L770" s="2">
        <v>42186</v>
      </c>
      <c r="M770" t="s">
        <v>2631</v>
      </c>
      <c r="N770">
        <v>0</v>
      </c>
      <c r="O770" t="s">
        <v>4903</v>
      </c>
      <c r="P770">
        <v>0</v>
      </c>
      <c r="Q770" t="s">
        <v>4903</v>
      </c>
      <c r="R770" t="s">
        <v>2629</v>
      </c>
    </row>
    <row r="771" spans="1:18" hidden="1" x14ac:dyDescent="0.25">
      <c r="A771" t="s">
        <v>46</v>
      </c>
      <c r="B771" t="s">
        <v>47</v>
      </c>
      <c r="C771" t="s">
        <v>48</v>
      </c>
      <c r="D771" t="s">
        <v>32</v>
      </c>
      <c r="E771" t="s">
        <v>806</v>
      </c>
      <c r="F771" t="s">
        <v>34</v>
      </c>
      <c r="G771" t="s">
        <v>2996</v>
      </c>
      <c r="H771" s="15">
        <v>511228</v>
      </c>
      <c r="I771" s="15">
        <v>0</v>
      </c>
      <c r="J771" t="s">
        <v>154</v>
      </c>
      <c r="K771" t="s">
        <v>28</v>
      </c>
      <c r="L771" s="2">
        <v>42186</v>
      </c>
      <c r="M771" t="s">
        <v>2997</v>
      </c>
      <c r="N771">
        <v>0</v>
      </c>
      <c r="O771" t="s">
        <v>4903</v>
      </c>
      <c r="P771">
        <v>0</v>
      </c>
      <c r="Q771" t="s">
        <v>4903</v>
      </c>
      <c r="R771" t="s">
        <v>46</v>
      </c>
    </row>
    <row r="772" spans="1:18" hidden="1" x14ac:dyDescent="0.25">
      <c r="A772" t="s">
        <v>441</v>
      </c>
      <c r="B772" t="s">
        <v>77</v>
      </c>
      <c r="C772" t="s">
        <v>15</v>
      </c>
      <c r="D772" t="s">
        <v>32</v>
      </c>
      <c r="E772" t="s">
        <v>806</v>
      </c>
      <c r="F772" t="s">
        <v>26</v>
      </c>
      <c r="G772" t="s">
        <v>1917</v>
      </c>
      <c r="H772" s="15">
        <v>817497</v>
      </c>
      <c r="I772" s="15">
        <v>0</v>
      </c>
      <c r="J772" t="s">
        <v>20</v>
      </c>
      <c r="K772" t="s">
        <v>28</v>
      </c>
      <c r="L772" s="2">
        <v>42186</v>
      </c>
      <c r="M772" t="s">
        <v>1918</v>
      </c>
      <c r="N772">
        <v>0</v>
      </c>
      <c r="O772" t="s">
        <v>4903</v>
      </c>
      <c r="P772">
        <v>0</v>
      </c>
      <c r="Q772" t="s">
        <v>4903</v>
      </c>
      <c r="R772" t="s">
        <v>441</v>
      </c>
    </row>
    <row r="773" spans="1:18" hidden="1" x14ac:dyDescent="0.25">
      <c r="A773" t="s">
        <v>1882</v>
      </c>
      <c r="B773" t="s">
        <v>244</v>
      </c>
      <c r="C773" t="s">
        <v>39</v>
      </c>
      <c r="D773" t="s">
        <v>32</v>
      </c>
      <c r="E773" t="s">
        <v>806</v>
      </c>
      <c r="F773" t="s">
        <v>26</v>
      </c>
      <c r="G773" t="s">
        <v>4673</v>
      </c>
      <c r="H773" s="15">
        <v>720155</v>
      </c>
      <c r="I773" s="15">
        <v>0</v>
      </c>
      <c r="J773" t="s">
        <v>20</v>
      </c>
      <c r="K773" t="s">
        <v>28</v>
      </c>
      <c r="L773" s="2">
        <v>42186</v>
      </c>
      <c r="M773" t="s">
        <v>4674</v>
      </c>
      <c r="N773">
        <v>0</v>
      </c>
      <c r="O773" t="s">
        <v>4903</v>
      </c>
      <c r="P773">
        <v>0</v>
      </c>
      <c r="Q773" t="s">
        <v>4903</v>
      </c>
      <c r="R773" t="s">
        <v>1882</v>
      </c>
    </row>
    <row r="774" spans="1:18" hidden="1" x14ac:dyDescent="0.25">
      <c r="A774" t="s">
        <v>2507</v>
      </c>
      <c r="B774" t="s">
        <v>190</v>
      </c>
      <c r="C774" t="s">
        <v>15</v>
      </c>
      <c r="D774" t="s">
        <v>32</v>
      </c>
      <c r="E774" t="s">
        <v>806</v>
      </c>
      <c r="F774" t="s">
        <v>152</v>
      </c>
      <c r="G774" t="s">
        <v>2764</v>
      </c>
      <c r="H774" s="15">
        <v>695582</v>
      </c>
      <c r="I774" s="15">
        <v>0</v>
      </c>
      <c r="J774" t="s">
        <v>20</v>
      </c>
      <c r="K774" t="s">
        <v>28</v>
      </c>
      <c r="L774" s="2">
        <v>42186</v>
      </c>
      <c r="M774" t="s">
        <v>2765</v>
      </c>
      <c r="N774">
        <v>0</v>
      </c>
      <c r="O774" t="s">
        <v>4903</v>
      </c>
      <c r="P774">
        <v>0</v>
      </c>
      <c r="Q774" t="s">
        <v>4903</v>
      </c>
      <c r="R774" t="s">
        <v>2507</v>
      </c>
    </row>
    <row r="775" spans="1:18" hidden="1" x14ac:dyDescent="0.25">
      <c r="A775" t="s">
        <v>1097</v>
      </c>
      <c r="B775" t="s">
        <v>47</v>
      </c>
      <c r="C775" t="s">
        <v>48</v>
      </c>
      <c r="D775" t="s">
        <v>32</v>
      </c>
      <c r="E775" t="s">
        <v>2743</v>
      </c>
      <c r="F775" t="s">
        <v>26</v>
      </c>
      <c r="G775" t="s">
        <v>2744</v>
      </c>
      <c r="H775" s="15">
        <v>100000</v>
      </c>
      <c r="I775" s="15">
        <v>0</v>
      </c>
      <c r="J775" t="s">
        <v>44</v>
      </c>
      <c r="K775" t="s">
        <v>28</v>
      </c>
      <c r="L775" s="2">
        <v>42186</v>
      </c>
      <c r="M775" t="s">
        <v>2745</v>
      </c>
      <c r="N775">
        <v>0</v>
      </c>
      <c r="O775" t="s">
        <v>4903</v>
      </c>
      <c r="P775">
        <v>0</v>
      </c>
      <c r="Q775" t="s">
        <v>4903</v>
      </c>
      <c r="R775" t="s">
        <v>1097</v>
      </c>
    </row>
    <row r="776" spans="1:18" hidden="1" x14ac:dyDescent="0.25">
      <c r="A776" t="s">
        <v>1097</v>
      </c>
      <c r="B776" t="s">
        <v>47</v>
      </c>
      <c r="C776" t="s">
        <v>48</v>
      </c>
      <c r="D776" t="s">
        <v>32</v>
      </c>
      <c r="E776" t="s">
        <v>806</v>
      </c>
      <c r="F776" t="s">
        <v>26</v>
      </c>
      <c r="G776" t="s">
        <v>2744</v>
      </c>
      <c r="H776" s="15">
        <v>639477</v>
      </c>
      <c r="I776" s="15">
        <v>0</v>
      </c>
      <c r="J776" t="s">
        <v>20</v>
      </c>
      <c r="K776" t="s">
        <v>28</v>
      </c>
      <c r="L776" s="2">
        <v>42186</v>
      </c>
      <c r="M776" t="s">
        <v>2745</v>
      </c>
      <c r="N776">
        <v>0</v>
      </c>
      <c r="O776" t="s">
        <v>4903</v>
      </c>
      <c r="P776">
        <v>0</v>
      </c>
      <c r="Q776" t="s">
        <v>4903</v>
      </c>
      <c r="R776" t="s">
        <v>1097</v>
      </c>
    </row>
    <row r="777" spans="1:18" hidden="1" x14ac:dyDescent="0.25">
      <c r="A777" t="s">
        <v>1144</v>
      </c>
      <c r="B777" t="s">
        <v>31</v>
      </c>
      <c r="C777" t="s">
        <v>15</v>
      </c>
      <c r="D777" t="s">
        <v>32</v>
      </c>
      <c r="E777" t="s">
        <v>806</v>
      </c>
      <c r="F777" t="s">
        <v>140</v>
      </c>
      <c r="G777" t="s">
        <v>2748</v>
      </c>
      <c r="H777" s="15">
        <v>515090</v>
      </c>
      <c r="I777" s="15">
        <v>0</v>
      </c>
      <c r="J777" t="s">
        <v>20</v>
      </c>
      <c r="K777" t="s">
        <v>28</v>
      </c>
      <c r="L777" s="2">
        <v>42186</v>
      </c>
      <c r="M777" t="s">
        <v>2749</v>
      </c>
      <c r="N777">
        <v>1</v>
      </c>
      <c r="O777" t="s">
        <v>4903</v>
      </c>
      <c r="P777">
        <v>0</v>
      </c>
      <c r="Q777" t="s">
        <v>4903</v>
      </c>
      <c r="R777" t="s">
        <v>1144</v>
      </c>
    </row>
    <row r="778" spans="1:18" hidden="1" x14ac:dyDescent="0.25">
      <c r="A778" t="s">
        <v>3744</v>
      </c>
      <c r="B778" t="s">
        <v>14</v>
      </c>
      <c r="C778" t="s">
        <v>15</v>
      </c>
      <c r="D778" t="s">
        <v>32</v>
      </c>
      <c r="E778" t="s">
        <v>806</v>
      </c>
      <c r="F778" t="s">
        <v>26</v>
      </c>
      <c r="G778" t="s">
        <v>4244</v>
      </c>
      <c r="H778" s="15">
        <v>731950</v>
      </c>
      <c r="I778" s="15">
        <v>0</v>
      </c>
      <c r="J778" t="s">
        <v>20</v>
      </c>
      <c r="K778" t="s">
        <v>28</v>
      </c>
      <c r="L778" s="2">
        <v>42186</v>
      </c>
      <c r="M778" t="s">
        <v>4245</v>
      </c>
      <c r="N778">
        <v>0</v>
      </c>
      <c r="O778" t="s">
        <v>4903</v>
      </c>
      <c r="P778">
        <v>0</v>
      </c>
      <c r="Q778" t="s">
        <v>4903</v>
      </c>
      <c r="R778" t="s">
        <v>3744</v>
      </c>
    </row>
    <row r="779" spans="1:18" hidden="1" x14ac:dyDescent="0.25">
      <c r="A779" t="s">
        <v>3169</v>
      </c>
      <c r="B779" t="s">
        <v>3170</v>
      </c>
      <c r="C779" t="s">
        <v>15</v>
      </c>
      <c r="D779" t="s">
        <v>32</v>
      </c>
      <c r="E779" t="s">
        <v>806</v>
      </c>
      <c r="F779" t="s">
        <v>152</v>
      </c>
      <c r="G779" t="s">
        <v>3171</v>
      </c>
      <c r="H779" s="15">
        <v>765202</v>
      </c>
      <c r="I779" s="15">
        <v>0</v>
      </c>
      <c r="J779" t="s">
        <v>20</v>
      </c>
      <c r="K779" t="s">
        <v>28</v>
      </c>
      <c r="L779" s="2">
        <v>42186</v>
      </c>
      <c r="M779" t="s">
        <v>3172</v>
      </c>
      <c r="N779">
        <v>3</v>
      </c>
      <c r="O779" t="s">
        <v>4903</v>
      </c>
      <c r="P779">
        <v>0</v>
      </c>
      <c r="Q779" t="s">
        <v>4903</v>
      </c>
      <c r="R779" t="s">
        <v>3169</v>
      </c>
    </row>
    <row r="780" spans="1:18" hidden="1" x14ac:dyDescent="0.25">
      <c r="A780" t="s">
        <v>1650</v>
      </c>
      <c r="B780" t="s">
        <v>489</v>
      </c>
      <c r="C780" t="s">
        <v>39</v>
      </c>
      <c r="D780" t="s">
        <v>32</v>
      </c>
      <c r="E780" t="s">
        <v>806</v>
      </c>
      <c r="F780" t="s">
        <v>18</v>
      </c>
      <c r="G780" t="s">
        <v>1651</v>
      </c>
      <c r="H780" s="15">
        <v>596450</v>
      </c>
      <c r="I780" s="15">
        <v>0</v>
      </c>
      <c r="J780" t="s">
        <v>20</v>
      </c>
      <c r="K780" t="s">
        <v>148</v>
      </c>
      <c r="L780" s="2">
        <v>42186</v>
      </c>
      <c r="M780" t="s">
        <v>1652</v>
      </c>
      <c r="N780">
        <v>0</v>
      </c>
      <c r="O780" t="s">
        <v>4903</v>
      </c>
      <c r="P780">
        <v>0</v>
      </c>
      <c r="Q780" t="s">
        <v>4903</v>
      </c>
      <c r="R780" t="s">
        <v>1650</v>
      </c>
    </row>
    <row r="781" spans="1:18" hidden="1" x14ac:dyDescent="0.25">
      <c r="A781" t="s">
        <v>1457</v>
      </c>
      <c r="B781" t="s">
        <v>315</v>
      </c>
      <c r="C781" t="s">
        <v>39</v>
      </c>
      <c r="D781" t="s">
        <v>32</v>
      </c>
      <c r="E781" t="s">
        <v>806</v>
      </c>
      <c r="F781" t="s">
        <v>34</v>
      </c>
      <c r="G781" t="s">
        <v>1458</v>
      </c>
      <c r="H781" s="15">
        <v>645025</v>
      </c>
      <c r="I781" s="15">
        <v>0</v>
      </c>
      <c r="J781" t="s">
        <v>20</v>
      </c>
      <c r="K781" t="s">
        <v>100</v>
      </c>
      <c r="L781" s="2">
        <v>42186</v>
      </c>
      <c r="M781" t="s">
        <v>1459</v>
      </c>
      <c r="N781">
        <v>0</v>
      </c>
      <c r="O781" t="s">
        <v>4903</v>
      </c>
      <c r="P781">
        <v>0</v>
      </c>
      <c r="Q781" t="s">
        <v>4903</v>
      </c>
      <c r="R781" t="s">
        <v>1457</v>
      </c>
    </row>
    <row r="782" spans="1:18" hidden="1" x14ac:dyDescent="0.25">
      <c r="A782" t="s">
        <v>2244</v>
      </c>
      <c r="B782" t="s">
        <v>47</v>
      </c>
      <c r="C782" t="s">
        <v>48</v>
      </c>
      <c r="D782" t="s">
        <v>32</v>
      </c>
      <c r="E782" t="s">
        <v>806</v>
      </c>
      <c r="F782" t="s">
        <v>34</v>
      </c>
      <c r="G782" t="s">
        <v>2245</v>
      </c>
      <c r="H782" s="15">
        <v>667966</v>
      </c>
      <c r="I782" s="15">
        <v>0</v>
      </c>
      <c r="J782" t="s">
        <v>20</v>
      </c>
      <c r="K782" t="s">
        <v>28</v>
      </c>
      <c r="L782" s="2">
        <v>42186</v>
      </c>
      <c r="M782" t="s">
        <v>2246</v>
      </c>
      <c r="N782">
        <v>3</v>
      </c>
      <c r="O782" t="s">
        <v>4903</v>
      </c>
      <c r="P782">
        <v>0</v>
      </c>
      <c r="Q782" t="s">
        <v>4903</v>
      </c>
      <c r="R782" t="s">
        <v>2244</v>
      </c>
    </row>
    <row r="783" spans="1:18" hidden="1" x14ac:dyDescent="0.25">
      <c r="A783" t="s">
        <v>805</v>
      </c>
      <c r="B783" t="s">
        <v>31</v>
      </c>
      <c r="C783" t="s">
        <v>15</v>
      </c>
      <c r="D783" t="s">
        <v>32</v>
      </c>
      <c r="E783" t="s">
        <v>806</v>
      </c>
      <c r="F783" t="s">
        <v>152</v>
      </c>
      <c r="G783" t="s">
        <v>807</v>
      </c>
      <c r="H783" s="15">
        <v>711895</v>
      </c>
      <c r="I783" s="15">
        <v>0</v>
      </c>
      <c r="J783" t="s">
        <v>20</v>
      </c>
      <c r="K783" t="s">
        <v>28</v>
      </c>
      <c r="L783" s="2">
        <v>42186</v>
      </c>
      <c r="M783" t="s">
        <v>808</v>
      </c>
      <c r="N783">
        <v>0</v>
      </c>
      <c r="O783" t="s">
        <v>4903</v>
      </c>
      <c r="P783">
        <v>0</v>
      </c>
      <c r="Q783" t="s">
        <v>4903</v>
      </c>
      <c r="R783" t="s">
        <v>805</v>
      </c>
    </row>
    <row r="784" spans="1:18" hidden="1" x14ac:dyDescent="0.25">
      <c r="A784" t="s">
        <v>2864</v>
      </c>
      <c r="B784" t="s">
        <v>84</v>
      </c>
      <c r="C784" t="s">
        <v>15</v>
      </c>
      <c r="D784" t="s">
        <v>32</v>
      </c>
      <c r="E784" t="s">
        <v>806</v>
      </c>
      <c r="F784" t="s">
        <v>18</v>
      </c>
      <c r="G784" t="s">
        <v>3839</v>
      </c>
      <c r="H784" s="15">
        <v>619244</v>
      </c>
      <c r="I784" s="15">
        <v>0</v>
      </c>
      <c r="J784" t="s">
        <v>20</v>
      </c>
      <c r="K784" t="s">
        <v>21</v>
      </c>
      <c r="L784" s="2">
        <v>42186</v>
      </c>
      <c r="M784" t="s">
        <v>3840</v>
      </c>
      <c r="N784">
        <v>0</v>
      </c>
      <c r="O784" t="s">
        <v>4903</v>
      </c>
      <c r="P784">
        <v>0</v>
      </c>
      <c r="Q784" t="s">
        <v>4903</v>
      </c>
      <c r="R784" t="s">
        <v>2864</v>
      </c>
    </row>
    <row r="785" spans="1:18" hidden="1" x14ac:dyDescent="0.25">
      <c r="A785" t="s">
        <v>470</v>
      </c>
      <c r="B785" t="s">
        <v>289</v>
      </c>
      <c r="C785" t="s">
        <v>15</v>
      </c>
      <c r="D785" t="s">
        <v>32</v>
      </c>
      <c r="E785" t="s">
        <v>806</v>
      </c>
      <c r="F785" t="s">
        <v>152</v>
      </c>
      <c r="G785" t="s">
        <v>4418</v>
      </c>
      <c r="H785" s="15">
        <v>1163874</v>
      </c>
      <c r="I785" s="15">
        <v>0</v>
      </c>
      <c r="J785" t="s">
        <v>20</v>
      </c>
      <c r="K785" t="s">
        <v>28</v>
      </c>
      <c r="L785" s="2">
        <v>42186</v>
      </c>
      <c r="M785" t="s">
        <v>4419</v>
      </c>
      <c r="N785">
        <v>1</v>
      </c>
      <c r="O785" t="s">
        <v>4903</v>
      </c>
      <c r="P785">
        <v>0</v>
      </c>
      <c r="Q785" t="s">
        <v>4903</v>
      </c>
      <c r="R785" t="s">
        <v>470</v>
      </c>
    </row>
    <row r="786" spans="1:18" hidden="1" x14ac:dyDescent="0.25">
      <c r="A786" t="s">
        <v>4374</v>
      </c>
      <c r="B786" t="s">
        <v>315</v>
      </c>
      <c r="C786" t="s">
        <v>39</v>
      </c>
      <c r="D786" t="s">
        <v>32</v>
      </c>
      <c r="E786" t="s">
        <v>806</v>
      </c>
      <c r="F786" t="s">
        <v>152</v>
      </c>
      <c r="G786" t="s">
        <v>4375</v>
      </c>
      <c r="H786" s="15">
        <v>778857</v>
      </c>
      <c r="I786" s="15">
        <v>0</v>
      </c>
      <c r="J786" t="s">
        <v>20</v>
      </c>
      <c r="K786" t="s">
        <v>28</v>
      </c>
      <c r="L786" s="2">
        <v>42186</v>
      </c>
      <c r="M786" t="s">
        <v>4376</v>
      </c>
      <c r="N786">
        <v>0</v>
      </c>
      <c r="O786" t="s">
        <v>4903</v>
      </c>
      <c r="P786">
        <v>0</v>
      </c>
      <c r="Q786" t="s">
        <v>4903</v>
      </c>
      <c r="R786" t="s">
        <v>4374</v>
      </c>
    </row>
    <row r="787" spans="1:18" hidden="1" x14ac:dyDescent="0.25">
      <c r="A787" t="s">
        <v>777</v>
      </c>
      <c r="B787" t="s">
        <v>244</v>
      </c>
      <c r="C787" t="s">
        <v>39</v>
      </c>
      <c r="D787" t="s">
        <v>32</v>
      </c>
      <c r="E787" t="s">
        <v>806</v>
      </c>
      <c r="F787" t="s">
        <v>26</v>
      </c>
      <c r="G787" t="s">
        <v>1125</v>
      </c>
      <c r="H787" s="15">
        <v>817643</v>
      </c>
      <c r="I787" s="15">
        <v>0</v>
      </c>
      <c r="J787" t="s">
        <v>20</v>
      </c>
      <c r="K787" t="s">
        <v>28</v>
      </c>
      <c r="L787" s="2">
        <v>42186</v>
      </c>
      <c r="M787" t="s">
        <v>1126</v>
      </c>
      <c r="N787">
        <v>0</v>
      </c>
      <c r="O787" t="s">
        <v>4903</v>
      </c>
      <c r="P787">
        <v>0</v>
      </c>
      <c r="Q787" t="s">
        <v>4903</v>
      </c>
      <c r="R787" t="s">
        <v>777</v>
      </c>
    </row>
    <row r="788" spans="1:18" hidden="1" x14ac:dyDescent="0.25">
      <c r="A788" t="s">
        <v>2359</v>
      </c>
      <c r="B788" t="s">
        <v>14</v>
      </c>
      <c r="C788" t="s">
        <v>15</v>
      </c>
      <c r="D788" t="s">
        <v>32</v>
      </c>
      <c r="E788" t="s">
        <v>806</v>
      </c>
      <c r="F788" t="s">
        <v>34</v>
      </c>
      <c r="G788" t="s">
        <v>2360</v>
      </c>
      <c r="H788" s="15">
        <v>280582</v>
      </c>
      <c r="I788" s="15">
        <v>0</v>
      </c>
      <c r="J788" t="s">
        <v>89</v>
      </c>
      <c r="K788" t="s">
        <v>28</v>
      </c>
      <c r="L788" s="2">
        <v>42186</v>
      </c>
      <c r="M788" t="s">
        <v>2361</v>
      </c>
      <c r="N788">
        <v>0</v>
      </c>
      <c r="O788" t="s">
        <v>4903</v>
      </c>
      <c r="P788">
        <v>0</v>
      </c>
      <c r="Q788" t="s">
        <v>4903</v>
      </c>
      <c r="R788" t="s">
        <v>2359</v>
      </c>
    </row>
    <row r="789" spans="1:18" hidden="1" x14ac:dyDescent="0.25">
      <c r="A789" t="s">
        <v>356</v>
      </c>
      <c r="B789" t="s">
        <v>14</v>
      </c>
      <c r="C789" t="s">
        <v>15</v>
      </c>
      <c r="D789" t="s">
        <v>32</v>
      </c>
      <c r="E789" t="s">
        <v>2743</v>
      </c>
      <c r="F789" t="s">
        <v>152</v>
      </c>
      <c r="G789" t="s">
        <v>4155</v>
      </c>
      <c r="H789" s="15">
        <v>100000</v>
      </c>
      <c r="I789" s="15">
        <v>0</v>
      </c>
      <c r="J789" t="s">
        <v>44</v>
      </c>
      <c r="K789" t="s">
        <v>28</v>
      </c>
      <c r="L789" s="2">
        <v>42186</v>
      </c>
      <c r="M789" t="s">
        <v>4156</v>
      </c>
      <c r="N789">
        <v>0</v>
      </c>
      <c r="O789" t="s">
        <v>4903</v>
      </c>
      <c r="P789">
        <v>0</v>
      </c>
      <c r="Q789" t="s">
        <v>4903</v>
      </c>
      <c r="R789" t="s">
        <v>356</v>
      </c>
    </row>
    <row r="790" spans="1:18" hidden="1" x14ac:dyDescent="0.25">
      <c r="A790" t="s">
        <v>356</v>
      </c>
      <c r="B790" t="s">
        <v>14</v>
      </c>
      <c r="C790" t="s">
        <v>15</v>
      </c>
      <c r="D790" t="s">
        <v>32</v>
      </c>
      <c r="E790" t="s">
        <v>806</v>
      </c>
      <c r="F790" t="s">
        <v>152</v>
      </c>
      <c r="G790" t="s">
        <v>4155</v>
      </c>
      <c r="H790" s="15">
        <v>738505</v>
      </c>
      <c r="I790" s="15">
        <v>0</v>
      </c>
      <c r="J790" t="s">
        <v>20</v>
      </c>
      <c r="K790" t="s">
        <v>28</v>
      </c>
      <c r="L790" s="2">
        <v>42186</v>
      </c>
      <c r="M790" t="s">
        <v>4156</v>
      </c>
      <c r="N790">
        <v>0</v>
      </c>
      <c r="O790" t="s">
        <v>4903</v>
      </c>
      <c r="P790">
        <v>0</v>
      </c>
      <c r="Q790" t="s">
        <v>4903</v>
      </c>
      <c r="R790" t="s">
        <v>356</v>
      </c>
    </row>
    <row r="791" spans="1:18" hidden="1" x14ac:dyDescent="0.25">
      <c r="A791" t="s">
        <v>95</v>
      </c>
      <c r="B791" t="s">
        <v>47</v>
      </c>
      <c r="C791" t="s">
        <v>48</v>
      </c>
      <c r="D791" t="s">
        <v>96</v>
      </c>
      <c r="E791" t="s">
        <v>97</v>
      </c>
      <c r="F791" t="s">
        <v>98</v>
      </c>
      <c r="G791" t="s">
        <v>99</v>
      </c>
      <c r="H791" s="15">
        <v>419232</v>
      </c>
      <c r="I791" s="15">
        <v>0</v>
      </c>
      <c r="J791" t="s">
        <v>89</v>
      </c>
      <c r="K791" t="s">
        <v>100</v>
      </c>
      <c r="L791" s="2">
        <v>42278</v>
      </c>
      <c r="M791" t="s">
        <v>101</v>
      </c>
      <c r="N791">
        <v>15</v>
      </c>
      <c r="O791" t="s">
        <v>4903</v>
      </c>
      <c r="P791">
        <v>0</v>
      </c>
      <c r="Q791" t="s">
        <v>4903</v>
      </c>
      <c r="R791" t="s">
        <v>95</v>
      </c>
    </row>
    <row r="792" spans="1:18" hidden="1" x14ac:dyDescent="0.25">
      <c r="A792" t="s">
        <v>4274</v>
      </c>
      <c r="B792" t="s">
        <v>725</v>
      </c>
      <c r="C792" t="s">
        <v>726</v>
      </c>
      <c r="D792" t="s">
        <v>961</v>
      </c>
      <c r="E792" t="s">
        <v>962</v>
      </c>
      <c r="F792" t="s">
        <v>963</v>
      </c>
      <c r="G792" t="s">
        <v>4275</v>
      </c>
      <c r="H792" s="15">
        <v>297200</v>
      </c>
      <c r="I792" s="15">
        <v>0</v>
      </c>
      <c r="J792" t="s">
        <v>89</v>
      </c>
      <c r="K792" t="s">
        <v>74</v>
      </c>
      <c r="L792" s="2">
        <v>42278</v>
      </c>
      <c r="M792" t="s">
        <v>4276</v>
      </c>
      <c r="N792">
        <v>0</v>
      </c>
      <c r="O792" t="s">
        <v>4903</v>
      </c>
      <c r="P792">
        <v>0</v>
      </c>
      <c r="Q792" t="s">
        <v>4903</v>
      </c>
      <c r="R792" t="s">
        <v>4274</v>
      </c>
    </row>
    <row r="793" spans="1:18" hidden="1" x14ac:dyDescent="0.25">
      <c r="A793" t="s">
        <v>4046</v>
      </c>
      <c r="B793" t="s">
        <v>1912</v>
      </c>
      <c r="C793" t="s">
        <v>15</v>
      </c>
      <c r="D793" t="s">
        <v>961</v>
      </c>
      <c r="E793" t="s">
        <v>962</v>
      </c>
      <c r="F793" t="s">
        <v>963</v>
      </c>
      <c r="G793" t="s">
        <v>4047</v>
      </c>
      <c r="H793" s="15">
        <v>410732</v>
      </c>
      <c r="I793" s="15">
        <v>0</v>
      </c>
      <c r="J793" t="s">
        <v>89</v>
      </c>
      <c r="K793" t="s">
        <v>116</v>
      </c>
      <c r="L793" s="2">
        <v>42278</v>
      </c>
      <c r="M793" t="s">
        <v>4048</v>
      </c>
      <c r="N793">
        <v>0</v>
      </c>
      <c r="O793" t="s">
        <v>4903</v>
      </c>
      <c r="P793">
        <v>0</v>
      </c>
      <c r="Q793" t="s">
        <v>4903</v>
      </c>
      <c r="R793" t="s">
        <v>4046</v>
      </c>
    </row>
    <row r="794" spans="1:18" hidden="1" x14ac:dyDescent="0.25">
      <c r="A794" t="s">
        <v>1001</v>
      </c>
      <c r="B794" t="s">
        <v>1002</v>
      </c>
      <c r="C794" t="s">
        <v>1003</v>
      </c>
      <c r="D794" t="s">
        <v>961</v>
      </c>
      <c r="E794" t="s">
        <v>962</v>
      </c>
      <c r="F794" t="s">
        <v>963</v>
      </c>
      <c r="G794" t="s">
        <v>1004</v>
      </c>
      <c r="H794" s="15">
        <v>618797</v>
      </c>
      <c r="I794" s="15">
        <v>0</v>
      </c>
      <c r="J794" t="s">
        <v>154</v>
      </c>
      <c r="K794" t="s">
        <v>116</v>
      </c>
      <c r="L794" s="2">
        <v>42278</v>
      </c>
      <c r="M794" t="s">
        <v>1005</v>
      </c>
      <c r="N794">
        <v>0</v>
      </c>
      <c r="O794" t="s">
        <v>4903</v>
      </c>
      <c r="P794">
        <v>0</v>
      </c>
      <c r="Q794" t="s">
        <v>4903</v>
      </c>
      <c r="R794" t="s">
        <v>1001</v>
      </c>
    </row>
    <row r="795" spans="1:18" hidden="1" x14ac:dyDescent="0.25">
      <c r="A795" t="s">
        <v>1475</v>
      </c>
      <c r="B795" t="s">
        <v>103</v>
      </c>
      <c r="C795" t="s">
        <v>15</v>
      </c>
      <c r="D795" t="s">
        <v>96</v>
      </c>
      <c r="E795" t="s">
        <v>97</v>
      </c>
      <c r="F795" t="s">
        <v>98</v>
      </c>
      <c r="G795" t="s">
        <v>1476</v>
      </c>
      <c r="H795" s="15">
        <v>295386</v>
      </c>
      <c r="I795" s="15">
        <v>0</v>
      </c>
      <c r="J795" t="s">
        <v>89</v>
      </c>
      <c r="K795" t="s">
        <v>65</v>
      </c>
      <c r="L795" s="2">
        <v>42278</v>
      </c>
      <c r="M795" t="s">
        <v>1477</v>
      </c>
      <c r="N795">
        <v>0</v>
      </c>
      <c r="O795" t="s">
        <v>4903</v>
      </c>
      <c r="P795">
        <v>0</v>
      </c>
      <c r="Q795" t="s">
        <v>4903</v>
      </c>
      <c r="R795" t="s">
        <v>1475</v>
      </c>
    </row>
    <row r="796" spans="1:18" hidden="1" x14ac:dyDescent="0.25">
      <c r="A796" t="s">
        <v>555</v>
      </c>
      <c r="B796" t="s">
        <v>556</v>
      </c>
      <c r="C796" t="s">
        <v>39</v>
      </c>
      <c r="D796" t="s">
        <v>96</v>
      </c>
      <c r="E796" t="s">
        <v>97</v>
      </c>
      <c r="F796" t="s">
        <v>98</v>
      </c>
      <c r="G796" t="s">
        <v>557</v>
      </c>
      <c r="H796" s="15">
        <v>568337</v>
      </c>
      <c r="I796" s="15">
        <v>0</v>
      </c>
      <c r="J796" t="s">
        <v>20</v>
      </c>
      <c r="K796" t="s">
        <v>116</v>
      </c>
      <c r="L796" s="2">
        <v>42278</v>
      </c>
      <c r="M796" t="s">
        <v>558</v>
      </c>
      <c r="N796">
        <v>0</v>
      </c>
      <c r="O796" t="s">
        <v>4903</v>
      </c>
      <c r="P796">
        <v>0</v>
      </c>
      <c r="Q796" t="s">
        <v>4903</v>
      </c>
      <c r="R796" t="s">
        <v>555</v>
      </c>
    </row>
    <row r="797" spans="1:18" hidden="1" x14ac:dyDescent="0.25">
      <c r="A797" t="s">
        <v>3578</v>
      </c>
      <c r="B797" t="s">
        <v>350</v>
      </c>
      <c r="C797" t="s">
        <v>39</v>
      </c>
      <c r="D797" t="s">
        <v>3579</v>
      </c>
      <c r="E797" t="s">
        <v>3580</v>
      </c>
      <c r="F797" t="s">
        <v>3581</v>
      </c>
      <c r="G797" t="s">
        <v>3582</v>
      </c>
      <c r="H797" s="15">
        <v>384683</v>
      </c>
      <c r="I797" s="15">
        <v>0</v>
      </c>
      <c r="J797" t="s">
        <v>154</v>
      </c>
      <c r="K797" t="s">
        <v>21</v>
      </c>
      <c r="L797" s="2">
        <v>42278</v>
      </c>
      <c r="M797" t="s">
        <v>3583</v>
      </c>
      <c r="N797">
        <v>0</v>
      </c>
      <c r="O797" t="s">
        <v>4903</v>
      </c>
      <c r="P797">
        <v>0</v>
      </c>
      <c r="Q797" t="s">
        <v>4903</v>
      </c>
      <c r="R797" t="s">
        <v>3578</v>
      </c>
    </row>
    <row r="798" spans="1:18" hidden="1" x14ac:dyDescent="0.25">
      <c r="A798" t="s">
        <v>4456</v>
      </c>
      <c r="B798" t="s">
        <v>103</v>
      </c>
      <c r="C798" t="s">
        <v>15</v>
      </c>
      <c r="D798" t="s">
        <v>3579</v>
      </c>
      <c r="E798" t="s">
        <v>3580</v>
      </c>
      <c r="F798" t="s">
        <v>3581</v>
      </c>
      <c r="G798" t="s">
        <v>4457</v>
      </c>
      <c r="H798" s="15">
        <v>749876</v>
      </c>
      <c r="I798" s="15">
        <v>0</v>
      </c>
      <c r="J798" t="s">
        <v>154</v>
      </c>
      <c r="K798" t="s">
        <v>21</v>
      </c>
      <c r="L798" s="2">
        <v>42278</v>
      </c>
      <c r="M798" t="s">
        <v>4458</v>
      </c>
      <c r="N798">
        <v>0</v>
      </c>
      <c r="O798" t="s">
        <v>4903</v>
      </c>
      <c r="P798">
        <v>0</v>
      </c>
      <c r="Q798" t="s">
        <v>4903</v>
      </c>
      <c r="R798" t="s">
        <v>4456</v>
      </c>
    </row>
    <row r="799" spans="1:18" hidden="1" x14ac:dyDescent="0.25">
      <c r="A799" t="s">
        <v>3384</v>
      </c>
      <c r="B799" t="s">
        <v>635</v>
      </c>
      <c r="C799" t="s">
        <v>39</v>
      </c>
      <c r="D799" t="s">
        <v>96</v>
      </c>
      <c r="E799" t="s">
        <v>97</v>
      </c>
      <c r="F799" t="s">
        <v>98</v>
      </c>
      <c r="G799" t="s">
        <v>3385</v>
      </c>
      <c r="H799" s="15">
        <v>79872</v>
      </c>
      <c r="I799" s="15">
        <v>0</v>
      </c>
      <c r="J799" t="s">
        <v>44</v>
      </c>
      <c r="K799" t="s">
        <v>21</v>
      </c>
      <c r="L799" s="2">
        <v>42278</v>
      </c>
      <c r="M799" t="s">
        <v>3386</v>
      </c>
      <c r="N799">
        <v>0</v>
      </c>
      <c r="O799" t="s">
        <v>4903</v>
      </c>
      <c r="P799">
        <v>0</v>
      </c>
      <c r="Q799" t="s">
        <v>4903</v>
      </c>
      <c r="R799" t="s">
        <v>3384</v>
      </c>
    </row>
    <row r="800" spans="1:18" hidden="1" x14ac:dyDescent="0.25">
      <c r="A800" t="s">
        <v>137</v>
      </c>
      <c r="B800" t="s">
        <v>47</v>
      </c>
      <c r="C800" t="s">
        <v>48</v>
      </c>
      <c r="D800" t="s">
        <v>96</v>
      </c>
      <c r="E800" t="s">
        <v>97</v>
      </c>
      <c r="F800" t="s">
        <v>98</v>
      </c>
      <c r="G800" t="s">
        <v>3089</v>
      </c>
      <c r="H800" s="15">
        <v>489800</v>
      </c>
      <c r="I800" s="15">
        <v>0</v>
      </c>
      <c r="J800" t="s">
        <v>154</v>
      </c>
      <c r="K800" t="s">
        <v>28</v>
      </c>
      <c r="L800" s="2">
        <v>42278</v>
      </c>
      <c r="M800" t="s">
        <v>3090</v>
      </c>
      <c r="N800">
        <v>1</v>
      </c>
      <c r="O800" t="s">
        <v>4903</v>
      </c>
      <c r="P800">
        <v>0</v>
      </c>
      <c r="Q800" t="s">
        <v>4903</v>
      </c>
      <c r="R800" t="s">
        <v>137</v>
      </c>
    </row>
    <row r="801" spans="1:18" hidden="1" x14ac:dyDescent="0.25">
      <c r="A801" t="s">
        <v>960</v>
      </c>
      <c r="B801" t="s">
        <v>273</v>
      </c>
      <c r="C801" t="s">
        <v>15</v>
      </c>
      <c r="D801" t="s">
        <v>961</v>
      </c>
      <c r="E801" t="s">
        <v>962</v>
      </c>
      <c r="F801" t="s">
        <v>963</v>
      </c>
      <c r="G801" t="s">
        <v>964</v>
      </c>
      <c r="H801" s="15">
        <v>728345</v>
      </c>
      <c r="I801" s="15">
        <v>0</v>
      </c>
      <c r="J801" t="s">
        <v>154</v>
      </c>
      <c r="K801" t="s">
        <v>74</v>
      </c>
      <c r="L801" s="2">
        <v>42278</v>
      </c>
      <c r="M801" t="s">
        <v>965</v>
      </c>
      <c r="N801">
        <v>0</v>
      </c>
      <c r="O801" t="s">
        <v>4903</v>
      </c>
      <c r="P801">
        <v>0</v>
      </c>
      <c r="Q801" t="s">
        <v>4903</v>
      </c>
      <c r="R801" t="s">
        <v>960</v>
      </c>
    </row>
    <row r="802" spans="1:18" x14ac:dyDescent="0.25">
      <c r="A802" t="s">
        <v>1722</v>
      </c>
      <c r="B802" t="s">
        <v>84</v>
      </c>
      <c r="C802" t="s">
        <v>15</v>
      </c>
      <c r="D802" t="s">
        <v>32</v>
      </c>
      <c r="E802" t="s">
        <v>586</v>
      </c>
      <c r="F802" t="s">
        <v>18</v>
      </c>
      <c r="G802" t="s">
        <v>2417</v>
      </c>
      <c r="H802" s="15">
        <v>542243</v>
      </c>
      <c r="I802" s="15">
        <v>0</v>
      </c>
      <c r="J802" t="s">
        <v>154</v>
      </c>
      <c r="K802" t="s">
        <v>21</v>
      </c>
      <c r="L802" s="2">
        <v>41821</v>
      </c>
      <c r="M802" t="s">
        <v>2418</v>
      </c>
      <c r="N802">
        <v>6</v>
      </c>
      <c r="O802" t="s">
        <v>4835</v>
      </c>
      <c r="P802">
        <v>2</v>
      </c>
      <c r="Q802" t="s">
        <v>4809</v>
      </c>
      <c r="R802" t="s">
        <v>1722</v>
      </c>
    </row>
    <row r="803" spans="1:18" hidden="1" x14ac:dyDescent="0.25">
      <c r="A803" t="s">
        <v>3011</v>
      </c>
      <c r="B803" t="s">
        <v>406</v>
      </c>
      <c r="C803" t="s">
        <v>62</v>
      </c>
      <c r="D803" t="s">
        <v>85</v>
      </c>
      <c r="E803" t="s">
        <v>86</v>
      </c>
      <c r="F803" t="s">
        <v>87</v>
      </c>
      <c r="G803" t="s">
        <v>3012</v>
      </c>
      <c r="H803" s="15">
        <v>244296</v>
      </c>
      <c r="I803" s="15">
        <v>0</v>
      </c>
      <c r="J803" t="s">
        <v>89</v>
      </c>
      <c r="K803" t="s">
        <v>21</v>
      </c>
      <c r="L803" s="2">
        <v>42461</v>
      </c>
      <c r="M803" t="s">
        <v>3013</v>
      </c>
      <c r="N803">
        <v>1</v>
      </c>
      <c r="O803" t="s">
        <v>4903</v>
      </c>
      <c r="P803">
        <v>0</v>
      </c>
      <c r="Q803" t="s">
        <v>4903</v>
      </c>
      <c r="R803" t="s">
        <v>3011</v>
      </c>
    </row>
    <row r="804" spans="1:18" hidden="1" x14ac:dyDescent="0.25">
      <c r="A804" t="s">
        <v>712</v>
      </c>
      <c r="B804" t="s">
        <v>315</v>
      </c>
      <c r="C804" t="s">
        <v>39</v>
      </c>
      <c r="D804" t="s">
        <v>85</v>
      </c>
      <c r="E804" t="s">
        <v>86</v>
      </c>
      <c r="F804" t="s">
        <v>87</v>
      </c>
      <c r="G804" t="s">
        <v>713</v>
      </c>
      <c r="H804" s="15">
        <v>272500</v>
      </c>
      <c r="I804" s="15">
        <v>0</v>
      </c>
      <c r="J804" t="s">
        <v>89</v>
      </c>
      <c r="K804" t="s">
        <v>28</v>
      </c>
      <c r="L804" s="2">
        <v>42461</v>
      </c>
      <c r="M804" t="s">
        <v>714</v>
      </c>
      <c r="N804">
        <v>0</v>
      </c>
      <c r="O804" t="s">
        <v>4903</v>
      </c>
      <c r="P804">
        <v>0</v>
      </c>
      <c r="Q804" t="s">
        <v>4903</v>
      </c>
      <c r="R804" t="s">
        <v>712</v>
      </c>
    </row>
    <row r="805" spans="1:18" hidden="1" x14ac:dyDescent="0.25">
      <c r="A805" t="s">
        <v>3204</v>
      </c>
      <c r="B805" t="s">
        <v>113</v>
      </c>
      <c r="C805" t="s">
        <v>15</v>
      </c>
      <c r="D805" t="s">
        <v>85</v>
      </c>
      <c r="E805" t="s">
        <v>86</v>
      </c>
      <c r="F805" t="s">
        <v>87</v>
      </c>
      <c r="G805" t="s">
        <v>3205</v>
      </c>
      <c r="H805" s="15">
        <v>406292</v>
      </c>
      <c r="I805" s="15">
        <v>0</v>
      </c>
      <c r="J805" t="s">
        <v>89</v>
      </c>
      <c r="K805" t="s">
        <v>116</v>
      </c>
      <c r="L805" s="2">
        <v>42461</v>
      </c>
      <c r="M805" t="s">
        <v>3206</v>
      </c>
      <c r="N805">
        <v>1</v>
      </c>
      <c r="O805" t="s">
        <v>4903</v>
      </c>
      <c r="P805">
        <v>0</v>
      </c>
      <c r="Q805" t="s">
        <v>4903</v>
      </c>
      <c r="R805" t="s">
        <v>3204</v>
      </c>
    </row>
    <row r="806" spans="1:18" hidden="1" x14ac:dyDescent="0.25">
      <c r="A806" t="s">
        <v>1354</v>
      </c>
      <c r="B806" t="s">
        <v>31</v>
      </c>
      <c r="C806" t="s">
        <v>15</v>
      </c>
      <c r="D806" t="s">
        <v>85</v>
      </c>
      <c r="E806" t="s">
        <v>86</v>
      </c>
      <c r="F806" t="s">
        <v>87</v>
      </c>
      <c r="G806" t="s">
        <v>3117</v>
      </c>
      <c r="H806" s="15">
        <v>325780</v>
      </c>
      <c r="I806" s="15">
        <v>0</v>
      </c>
      <c r="J806" t="s">
        <v>89</v>
      </c>
      <c r="K806" t="s">
        <v>28</v>
      </c>
      <c r="L806" s="2">
        <v>42461</v>
      </c>
      <c r="M806" t="s">
        <v>3118</v>
      </c>
      <c r="N806">
        <v>0</v>
      </c>
      <c r="O806" t="s">
        <v>4903</v>
      </c>
      <c r="P806">
        <v>0</v>
      </c>
      <c r="Q806" t="s">
        <v>4903</v>
      </c>
      <c r="R806" t="s">
        <v>1354</v>
      </c>
    </row>
    <row r="807" spans="1:18" hidden="1" x14ac:dyDescent="0.25">
      <c r="A807" t="s">
        <v>83</v>
      </c>
      <c r="B807" t="s">
        <v>84</v>
      </c>
      <c r="C807" t="s">
        <v>15</v>
      </c>
      <c r="D807" t="s">
        <v>85</v>
      </c>
      <c r="E807" t="s">
        <v>86</v>
      </c>
      <c r="F807" t="s">
        <v>87</v>
      </c>
      <c r="G807" t="s">
        <v>88</v>
      </c>
      <c r="H807" s="15">
        <v>464934</v>
      </c>
      <c r="I807" s="15">
        <v>0</v>
      </c>
      <c r="J807" t="s">
        <v>89</v>
      </c>
      <c r="K807" t="s">
        <v>28</v>
      </c>
      <c r="L807" s="2">
        <v>42461</v>
      </c>
      <c r="M807" t="s">
        <v>90</v>
      </c>
      <c r="N807">
        <v>1</v>
      </c>
      <c r="O807" t="s">
        <v>4903</v>
      </c>
      <c r="P807">
        <v>0</v>
      </c>
      <c r="Q807" t="s">
        <v>4903</v>
      </c>
      <c r="R807" t="s">
        <v>83</v>
      </c>
    </row>
    <row r="808" spans="1:18" hidden="1" x14ac:dyDescent="0.25">
      <c r="A808" t="s">
        <v>936</v>
      </c>
      <c r="B808" t="s">
        <v>14</v>
      </c>
      <c r="C808" t="s">
        <v>15</v>
      </c>
      <c r="D808" t="s">
        <v>96</v>
      </c>
      <c r="E808" t="s">
        <v>536</v>
      </c>
      <c r="F808" t="s">
        <v>98</v>
      </c>
      <c r="G808" t="s">
        <v>937</v>
      </c>
      <c r="H808" s="15">
        <v>264656</v>
      </c>
      <c r="I808" s="15">
        <v>2000</v>
      </c>
      <c r="J808" t="s">
        <v>89</v>
      </c>
      <c r="K808" t="s">
        <v>28</v>
      </c>
      <c r="L808" s="2">
        <v>42461</v>
      </c>
      <c r="M808" t="s">
        <v>938</v>
      </c>
      <c r="N808">
        <v>0</v>
      </c>
      <c r="O808" t="s">
        <v>4903</v>
      </c>
      <c r="P808">
        <v>0</v>
      </c>
      <c r="Q808" t="s">
        <v>4903</v>
      </c>
      <c r="R808" t="s">
        <v>936</v>
      </c>
    </row>
    <row r="809" spans="1:18" hidden="1" x14ac:dyDescent="0.25">
      <c r="A809" t="s">
        <v>3346</v>
      </c>
      <c r="B809" t="s">
        <v>61</v>
      </c>
      <c r="C809" t="s">
        <v>62</v>
      </c>
      <c r="D809" t="s">
        <v>96</v>
      </c>
      <c r="E809" t="s">
        <v>536</v>
      </c>
      <c r="F809" t="s">
        <v>98</v>
      </c>
      <c r="G809" t="s">
        <v>3347</v>
      </c>
      <c r="H809" s="15">
        <v>228746</v>
      </c>
      <c r="I809" s="15">
        <v>0</v>
      </c>
      <c r="J809" t="s">
        <v>89</v>
      </c>
      <c r="K809" t="s">
        <v>134</v>
      </c>
      <c r="L809" s="2">
        <v>42461</v>
      </c>
      <c r="M809" t="s">
        <v>3348</v>
      </c>
      <c r="N809">
        <v>0</v>
      </c>
      <c r="O809" t="s">
        <v>4903</v>
      </c>
      <c r="P809">
        <v>0</v>
      </c>
      <c r="Q809" t="s">
        <v>4903</v>
      </c>
      <c r="R809" t="s">
        <v>3346</v>
      </c>
    </row>
    <row r="810" spans="1:18" hidden="1" x14ac:dyDescent="0.25">
      <c r="A810" t="s">
        <v>3429</v>
      </c>
      <c r="B810" t="s">
        <v>103</v>
      </c>
      <c r="C810" t="s">
        <v>15</v>
      </c>
      <c r="D810" t="s">
        <v>85</v>
      </c>
      <c r="E810" t="s">
        <v>86</v>
      </c>
      <c r="F810" t="s">
        <v>87</v>
      </c>
      <c r="G810" t="s">
        <v>3430</v>
      </c>
      <c r="H810" s="15">
        <v>240400</v>
      </c>
      <c r="I810" s="15">
        <v>0</v>
      </c>
      <c r="J810" t="s">
        <v>89</v>
      </c>
      <c r="K810" t="s">
        <v>21</v>
      </c>
      <c r="L810" s="2">
        <v>42461</v>
      </c>
      <c r="M810" t="s">
        <v>3431</v>
      </c>
      <c r="N810">
        <v>1</v>
      </c>
      <c r="O810" t="s">
        <v>4903</v>
      </c>
      <c r="P810">
        <v>0</v>
      </c>
      <c r="Q810" t="s">
        <v>4903</v>
      </c>
      <c r="R810" t="s">
        <v>3429</v>
      </c>
    </row>
    <row r="811" spans="1:18" hidden="1" x14ac:dyDescent="0.25">
      <c r="A811" t="s">
        <v>3355</v>
      </c>
      <c r="B811" t="s">
        <v>84</v>
      </c>
      <c r="C811" t="s">
        <v>15</v>
      </c>
      <c r="D811" t="s">
        <v>85</v>
      </c>
      <c r="E811" t="s">
        <v>86</v>
      </c>
      <c r="F811" t="s">
        <v>87</v>
      </c>
      <c r="G811" t="s">
        <v>3356</v>
      </c>
      <c r="H811" s="15">
        <v>232200</v>
      </c>
      <c r="I811" s="15">
        <v>0</v>
      </c>
      <c r="J811" t="s">
        <v>89</v>
      </c>
      <c r="K811" t="s">
        <v>116</v>
      </c>
      <c r="L811" s="2">
        <v>42461</v>
      </c>
      <c r="M811" t="s">
        <v>3357</v>
      </c>
      <c r="N811">
        <v>3</v>
      </c>
      <c r="O811" t="s">
        <v>4903</v>
      </c>
      <c r="P811">
        <v>0</v>
      </c>
      <c r="Q811" t="s">
        <v>4903</v>
      </c>
      <c r="R811" t="s">
        <v>3355</v>
      </c>
    </row>
    <row r="812" spans="1:18" hidden="1" x14ac:dyDescent="0.25">
      <c r="A812" t="s">
        <v>1289</v>
      </c>
      <c r="B812" t="s">
        <v>84</v>
      </c>
      <c r="C812" t="s">
        <v>15</v>
      </c>
      <c r="D812" t="s">
        <v>85</v>
      </c>
      <c r="E812" t="s">
        <v>86</v>
      </c>
      <c r="F812" t="s">
        <v>87</v>
      </c>
      <c r="G812" t="s">
        <v>3491</v>
      </c>
      <c r="H812" s="15">
        <v>375350</v>
      </c>
      <c r="I812" s="15">
        <v>0</v>
      </c>
      <c r="J812" t="s">
        <v>89</v>
      </c>
      <c r="K812" t="s">
        <v>28</v>
      </c>
      <c r="L812" s="2">
        <v>42461</v>
      </c>
      <c r="M812" t="s">
        <v>3492</v>
      </c>
      <c r="N812">
        <v>1</v>
      </c>
      <c r="O812" t="s">
        <v>4903</v>
      </c>
      <c r="P812">
        <v>0</v>
      </c>
      <c r="Q812" t="s">
        <v>4903</v>
      </c>
      <c r="R812" t="s">
        <v>1289</v>
      </c>
    </row>
    <row r="813" spans="1:18" hidden="1" x14ac:dyDescent="0.25">
      <c r="A813" t="s">
        <v>945</v>
      </c>
      <c r="B813" t="s">
        <v>47</v>
      </c>
      <c r="C813" t="s">
        <v>48</v>
      </c>
      <c r="D813" t="s">
        <v>85</v>
      </c>
      <c r="E813" t="s">
        <v>86</v>
      </c>
      <c r="F813" t="s">
        <v>87</v>
      </c>
      <c r="G813" t="s">
        <v>1391</v>
      </c>
      <c r="H813" s="15">
        <v>453152</v>
      </c>
      <c r="I813" s="15">
        <v>0</v>
      </c>
      <c r="J813" t="s">
        <v>89</v>
      </c>
      <c r="K813" t="s">
        <v>28</v>
      </c>
      <c r="L813" s="2">
        <v>42461</v>
      </c>
      <c r="M813" t="s">
        <v>1392</v>
      </c>
      <c r="N813">
        <v>0</v>
      </c>
      <c r="O813" t="s">
        <v>4903</v>
      </c>
      <c r="P813">
        <v>0</v>
      </c>
      <c r="Q813" t="s">
        <v>4903</v>
      </c>
      <c r="R813" t="s">
        <v>945</v>
      </c>
    </row>
    <row r="814" spans="1:18" hidden="1" x14ac:dyDescent="0.25">
      <c r="A814" t="s">
        <v>1239</v>
      </c>
      <c r="B814" t="s">
        <v>315</v>
      </c>
      <c r="C814" t="s">
        <v>39</v>
      </c>
      <c r="D814" t="s">
        <v>85</v>
      </c>
      <c r="E814" t="s">
        <v>86</v>
      </c>
      <c r="F814" t="s">
        <v>87</v>
      </c>
      <c r="G814" t="s">
        <v>1240</v>
      </c>
      <c r="H814" s="15">
        <v>218863</v>
      </c>
      <c r="I814" s="15">
        <v>0</v>
      </c>
      <c r="J814" t="s">
        <v>89</v>
      </c>
      <c r="K814" t="s">
        <v>326</v>
      </c>
      <c r="L814" s="2">
        <v>42461</v>
      </c>
      <c r="M814" t="s">
        <v>1241</v>
      </c>
      <c r="N814">
        <v>1</v>
      </c>
      <c r="O814" t="s">
        <v>4903</v>
      </c>
      <c r="P814">
        <v>0</v>
      </c>
      <c r="Q814" t="s">
        <v>4903</v>
      </c>
      <c r="R814" t="s">
        <v>1239</v>
      </c>
    </row>
    <row r="815" spans="1:18" hidden="1" x14ac:dyDescent="0.25">
      <c r="A815" t="s">
        <v>496</v>
      </c>
      <c r="B815" t="s">
        <v>84</v>
      </c>
      <c r="C815" t="s">
        <v>15</v>
      </c>
      <c r="D815" t="s">
        <v>85</v>
      </c>
      <c r="E815" t="s">
        <v>86</v>
      </c>
      <c r="F815" t="s">
        <v>87</v>
      </c>
      <c r="G815" t="s">
        <v>497</v>
      </c>
      <c r="H815" s="15">
        <v>344850</v>
      </c>
      <c r="I815" s="15">
        <v>0</v>
      </c>
      <c r="J815" t="s">
        <v>89</v>
      </c>
      <c r="K815" t="s">
        <v>28</v>
      </c>
      <c r="L815" s="2">
        <v>42461</v>
      </c>
      <c r="M815" t="s">
        <v>498</v>
      </c>
      <c r="N815">
        <v>3</v>
      </c>
      <c r="O815" t="s">
        <v>4903</v>
      </c>
      <c r="P815">
        <v>0</v>
      </c>
      <c r="Q815" t="s">
        <v>4903</v>
      </c>
      <c r="R815" t="s">
        <v>496</v>
      </c>
    </row>
    <row r="816" spans="1:18" hidden="1" x14ac:dyDescent="0.25">
      <c r="A816" t="s">
        <v>661</v>
      </c>
      <c r="B816" t="s">
        <v>315</v>
      </c>
      <c r="C816" t="s">
        <v>39</v>
      </c>
      <c r="D816" t="s">
        <v>85</v>
      </c>
      <c r="E816" t="s">
        <v>86</v>
      </c>
      <c r="F816" t="s">
        <v>87</v>
      </c>
      <c r="G816" t="s">
        <v>662</v>
      </c>
      <c r="H816" s="15">
        <v>247080</v>
      </c>
      <c r="I816" s="15">
        <v>0</v>
      </c>
      <c r="J816" t="s">
        <v>89</v>
      </c>
      <c r="K816" t="s">
        <v>116</v>
      </c>
      <c r="L816" s="2">
        <v>42461</v>
      </c>
      <c r="M816" t="s">
        <v>663</v>
      </c>
      <c r="N816">
        <v>0</v>
      </c>
      <c r="O816" t="s">
        <v>4903</v>
      </c>
      <c r="P816">
        <v>0</v>
      </c>
      <c r="Q816" t="s">
        <v>4903</v>
      </c>
      <c r="R816" t="s">
        <v>661</v>
      </c>
    </row>
    <row r="817" spans="1:18" hidden="1" x14ac:dyDescent="0.25">
      <c r="A817" t="s">
        <v>2861</v>
      </c>
      <c r="B817" t="s">
        <v>47</v>
      </c>
      <c r="C817" t="s">
        <v>48</v>
      </c>
      <c r="D817" t="s">
        <v>85</v>
      </c>
      <c r="E817" t="s">
        <v>86</v>
      </c>
      <c r="F817" t="s">
        <v>87</v>
      </c>
      <c r="G817" t="s">
        <v>4680</v>
      </c>
      <c r="H817" s="15">
        <v>393404</v>
      </c>
      <c r="I817" s="15">
        <v>0</v>
      </c>
      <c r="J817" t="s">
        <v>89</v>
      </c>
      <c r="K817" t="s">
        <v>134</v>
      </c>
      <c r="L817" s="2">
        <v>42461</v>
      </c>
      <c r="M817" t="s">
        <v>4681</v>
      </c>
      <c r="N817">
        <v>0</v>
      </c>
      <c r="O817" t="s">
        <v>4903</v>
      </c>
      <c r="P817">
        <v>0</v>
      </c>
      <c r="Q817" t="s">
        <v>4903</v>
      </c>
      <c r="R817" t="s">
        <v>2861</v>
      </c>
    </row>
    <row r="818" spans="1:18" hidden="1" x14ac:dyDescent="0.25">
      <c r="A818" t="s">
        <v>838</v>
      </c>
      <c r="B818" t="s">
        <v>136</v>
      </c>
      <c r="C818" t="s">
        <v>15</v>
      </c>
      <c r="D818" t="s">
        <v>85</v>
      </c>
      <c r="E818" t="s">
        <v>86</v>
      </c>
      <c r="F818" t="s">
        <v>87</v>
      </c>
      <c r="G818" t="s">
        <v>1502</v>
      </c>
      <c r="H818" s="15">
        <v>416060</v>
      </c>
      <c r="I818" s="15">
        <v>0</v>
      </c>
      <c r="J818" t="s">
        <v>89</v>
      </c>
      <c r="K818" t="s">
        <v>28</v>
      </c>
      <c r="L818" s="2">
        <v>42461</v>
      </c>
      <c r="M818" t="s">
        <v>1503</v>
      </c>
      <c r="N818">
        <v>0</v>
      </c>
      <c r="O818" t="s">
        <v>4903</v>
      </c>
      <c r="P818">
        <v>0</v>
      </c>
      <c r="Q818" t="s">
        <v>4903</v>
      </c>
      <c r="R818" t="s">
        <v>838</v>
      </c>
    </row>
    <row r="819" spans="1:18" hidden="1" x14ac:dyDescent="0.25">
      <c r="A819" t="s">
        <v>788</v>
      </c>
      <c r="B819" t="s">
        <v>31</v>
      </c>
      <c r="C819" t="s">
        <v>15</v>
      </c>
      <c r="D819" t="s">
        <v>85</v>
      </c>
      <c r="E819" t="s">
        <v>86</v>
      </c>
      <c r="F819" t="s">
        <v>87</v>
      </c>
      <c r="G819" t="s">
        <v>789</v>
      </c>
      <c r="H819" s="15">
        <v>274797</v>
      </c>
      <c r="I819" s="15">
        <v>0</v>
      </c>
      <c r="J819" t="s">
        <v>89</v>
      </c>
      <c r="K819" t="s">
        <v>65</v>
      </c>
      <c r="L819" s="2">
        <v>42461</v>
      </c>
      <c r="M819" t="s">
        <v>790</v>
      </c>
      <c r="N819">
        <v>0</v>
      </c>
      <c r="O819" t="s">
        <v>4903</v>
      </c>
      <c r="P819">
        <v>0</v>
      </c>
      <c r="Q819" t="s">
        <v>4903</v>
      </c>
      <c r="R819" t="s">
        <v>788</v>
      </c>
    </row>
    <row r="820" spans="1:18" hidden="1" x14ac:dyDescent="0.25">
      <c r="A820" t="s">
        <v>1286</v>
      </c>
      <c r="B820" t="s">
        <v>898</v>
      </c>
      <c r="C820" t="s">
        <v>39</v>
      </c>
      <c r="D820" t="s">
        <v>85</v>
      </c>
      <c r="E820" t="s">
        <v>86</v>
      </c>
      <c r="F820" t="s">
        <v>87</v>
      </c>
      <c r="G820" t="s">
        <v>1287</v>
      </c>
      <c r="H820" s="15">
        <v>264929</v>
      </c>
      <c r="I820" s="15">
        <v>0</v>
      </c>
      <c r="J820" t="s">
        <v>89</v>
      </c>
      <c r="K820" t="s">
        <v>28</v>
      </c>
      <c r="L820" s="2">
        <v>42461</v>
      </c>
      <c r="M820" t="s">
        <v>1288</v>
      </c>
      <c r="N820">
        <v>2</v>
      </c>
      <c r="O820" t="s">
        <v>4903</v>
      </c>
      <c r="P820">
        <v>0</v>
      </c>
      <c r="Q820" t="s">
        <v>4903</v>
      </c>
      <c r="R820" t="s">
        <v>1286</v>
      </c>
    </row>
    <row r="821" spans="1:18" hidden="1" x14ac:dyDescent="0.25">
      <c r="A821" t="s">
        <v>1251</v>
      </c>
      <c r="B821" t="s">
        <v>1252</v>
      </c>
      <c r="C821" t="s">
        <v>15</v>
      </c>
      <c r="D821" t="s">
        <v>96</v>
      </c>
      <c r="E821" t="s">
        <v>536</v>
      </c>
      <c r="F821" t="s">
        <v>98</v>
      </c>
      <c r="G821" t="s">
        <v>1253</v>
      </c>
      <c r="H821" s="15">
        <v>525000</v>
      </c>
      <c r="I821" s="15">
        <v>0</v>
      </c>
      <c r="J821" t="s">
        <v>20</v>
      </c>
      <c r="K821" t="s">
        <v>21</v>
      </c>
      <c r="L821" s="2">
        <v>42461</v>
      </c>
      <c r="M821" t="s">
        <v>1254</v>
      </c>
      <c r="N821">
        <v>6</v>
      </c>
      <c r="O821" t="s">
        <v>4903</v>
      </c>
      <c r="P821">
        <v>0</v>
      </c>
      <c r="Q821" t="s">
        <v>4903</v>
      </c>
      <c r="R821" t="s">
        <v>1251</v>
      </c>
    </row>
    <row r="822" spans="1:18" hidden="1" x14ac:dyDescent="0.25">
      <c r="A822" t="s">
        <v>628</v>
      </c>
      <c r="B822" t="s">
        <v>161</v>
      </c>
      <c r="C822" t="s">
        <v>39</v>
      </c>
      <c r="D822" t="s">
        <v>85</v>
      </c>
      <c r="E822" t="s">
        <v>86</v>
      </c>
      <c r="F822" t="s">
        <v>87</v>
      </c>
      <c r="G822" t="s">
        <v>4237</v>
      </c>
      <c r="H822" s="15">
        <v>375507</v>
      </c>
      <c r="I822" s="15">
        <v>0</v>
      </c>
      <c r="J822" t="s">
        <v>89</v>
      </c>
      <c r="K822" t="s">
        <v>100</v>
      </c>
      <c r="L822" s="2">
        <v>42461</v>
      </c>
      <c r="M822" t="s">
        <v>4238</v>
      </c>
      <c r="N822">
        <v>1</v>
      </c>
      <c r="O822" t="s">
        <v>4903</v>
      </c>
      <c r="P822">
        <v>0</v>
      </c>
      <c r="Q822" t="s">
        <v>4903</v>
      </c>
      <c r="R822" t="s">
        <v>628</v>
      </c>
    </row>
    <row r="823" spans="1:18" hidden="1" x14ac:dyDescent="0.25">
      <c r="A823" t="s">
        <v>3055</v>
      </c>
      <c r="B823" t="s">
        <v>84</v>
      </c>
      <c r="C823" t="s">
        <v>15</v>
      </c>
      <c r="D823" t="s">
        <v>85</v>
      </c>
      <c r="E823" t="s">
        <v>86</v>
      </c>
      <c r="F823" t="s">
        <v>87</v>
      </c>
      <c r="G823" t="s">
        <v>3193</v>
      </c>
      <c r="H823" s="15">
        <v>357480</v>
      </c>
      <c r="I823" s="15">
        <v>0</v>
      </c>
      <c r="J823" t="s">
        <v>89</v>
      </c>
      <c r="K823" t="s">
        <v>21</v>
      </c>
      <c r="L823" s="2">
        <v>42461</v>
      </c>
      <c r="M823" t="s">
        <v>3194</v>
      </c>
      <c r="N823">
        <v>0</v>
      </c>
      <c r="O823" t="s">
        <v>4903</v>
      </c>
      <c r="P823">
        <v>0</v>
      </c>
      <c r="Q823" t="s">
        <v>4903</v>
      </c>
      <c r="R823" t="s">
        <v>3055</v>
      </c>
    </row>
    <row r="824" spans="1:18" hidden="1" x14ac:dyDescent="0.25">
      <c r="A824" t="s">
        <v>292</v>
      </c>
      <c r="B824" t="s">
        <v>84</v>
      </c>
      <c r="C824" t="s">
        <v>15</v>
      </c>
      <c r="D824" t="s">
        <v>85</v>
      </c>
      <c r="E824" t="s">
        <v>86</v>
      </c>
      <c r="F824" t="s">
        <v>87</v>
      </c>
      <c r="G824" t="s">
        <v>293</v>
      </c>
      <c r="H824" s="15">
        <v>207800</v>
      </c>
      <c r="I824" s="15">
        <v>0</v>
      </c>
      <c r="J824" t="s">
        <v>89</v>
      </c>
      <c r="K824" t="s">
        <v>28</v>
      </c>
      <c r="L824" s="2">
        <v>42461</v>
      </c>
      <c r="M824" t="s">
        <v>294</v>
      </c>
      <c r="N824">
        <v>0</v>
      </c>
      <c r="O824" t="s">
        <v>4903</v>
      </c>
      <c r="P824">
        <v>0</v>
      </c>
      <c r="Q824" t="s">
        <v>4903</v>
      </c>
      <c r="R824" t="s">
        <v>292</v>
      </c>
    </row>
    <row r="825" spans="1:18" hidden="1" x14ac:dyDescent="0.25">
      <c r="A825" t="s">
        <v>658</v>
      </c>
      <c r="B825" t="s">
        <v>426</v>
      </c>
      <c r="C825" t="s">
        <v>48</v>
      </c>
      <c r="D825" t="s">
        <v>85</v>
      </c>
      <c r="E825" t="s">
        <v>86</v>
      </c>
      <c r="F825" t="s">
        <v>87</v>
      </c>
      <c r="G825" t="s">
        <v>659</v>
      </c>
      <c r="H825" s="15">
        <v>225500</v>
      </c>
      <c r="I825" s="15">
        <v>0</v>
      </c>
      <c r="J825" t="s">
        <v>89</v>
      </c>
      <c r="K825" t="s">
        <v>116</v>
      </c>
      <c r="L825" s="2">
        <v>42461</v>
      </c>
      <c r="M825" t="s">
        <v>660</v>
      </c>
      <c r="N825">
        <v>0</v>
      </c>
      <c r="O825" t="s">
        <v>4903</v>
      </c>
      <c r="P825">
        <v>0</v>
      </c>
      <c r="Q825" t="s">
        <v>4903</v>
      </c>
      <c r="R825" t="s">
        <v>658</v>
      </c>
    </row>
    <row r="826" spans="1:18" hidden="1" x14ac:dyDescent="0.25">
      <c r="A826" t="s">
        <v>3121</v>
      </c>
      <c r="B826" t="s">
        <v>31</v>
      </c>
      <c r="C826" t="s">
        <v>15</v>
      </c>
      <c r="D826" t="s">
        <v>85</v>
      </c>
      <c r="E826" t="s">
        <v>86</v>
      </c>
      <c r="F826" t="s">
        <v>87</v>
      </c>
      <c r="G826" t="s">
        <v>3122</v>
      </c>
      <c r="H826" s="15">
        <v>213650</v>
      </c>
      <c r="I826" s="15">
        <v>0</v>
      </c>
      <c r="J826" t="s">
        <v>89</v>
      </c>
      <c r="K826" t="s">
        <v>28</v>
      </c>
      <c r="L826" s="2">
        <v>42461</v>
      </c>
      <c r="M826" t="s">
        <v>3123</v>
      </c>
      <c r="N826">
        <v>0</v>
      </c>
      <c r="O826" t="s">
        <v>4903</v>
      </c>
      <c r="P826">
        <v>0</v>
      </c>
      <c r="Q826" t="s">
        <v>4903</v>
      </c>
      <c r="R826" t="s">
        <v>3121</v>
      </c>
    </row>
    <row r="827" spans="1:18" hidden="1" x14ac:dyDescent="0.25">
      <c r="A827" t="s">
        <v>4476</v>
      </c>
      <c r="B827" t="s">
        <v>47</v>
      </c>
      <c r="C827" t="s">
        <v>48</v>
      </c>
      <c r="D827" t="s">
        <v>85</v>
      </c>
      <c r="E827" t="s">
        <v>86</v>
      </c>
      <c r="F827" t="s">
        <v>87</v>
      </c>
      <c r="G827" t="s">
        <v>4477</v>
      </c>
      <c r="H827" s="15">
        <v>359446</v>
      </c>
      <c r="I827" s="15">
        <v>0</v>
      </c>
      <c r="J827" t="s">
        <v>89</v>
      </c>
      <c r="K827" t="s">
        <v>28</v>
      </c>
      <c r="L827" s="2">
        <v>42461</v>
      </c>
      <c r="M827" t="s">
        <v>4478</v>
      </c>
      <c r="N827">
        <v>0</v>
      </c>
      <c r="O827" t="s">
        <v>4903</v>
      </c>
      <c r="P827">
        <v>0</v>
      </c>
      <c r="Q827" t="s">
        <v>4903</v>
      </c>
      <c r="R827" t="s">
        <v>4476</v>
      </c>
    </row>
    <row r="828" spans="1:18" hidden="1" x14ac:dyDescent="0.25">
      <c r="A828" t="s">
        <v>4072</v>
      </c>
      <c r="B828" t="s">
        <v>113</v>
      </c>
      <c r="C828" t="s">
        <v>15</v>
      </c>
      <c r="D828" t="s">
        <v>85</v>
      </c>
      <c r="E828" t="s">
        <v>86</v>
      </c>
      <c r="F828" t="s">
        <v>87</v>
      </c>
      <c r="G828" t="s">
        <v>4073</v>
      </c>
      <c r="H828" s="15">
        <v>431583</v>
      </c>
      <c r="I828" s="15">
        <v>0</v>
      </c>
      <c r="J828" t="s">
        <v>89</v>
      </c>
      <c r="K828" t="s">
        <v>28</v>
      </c>
      <c r="L828" s="2">
        <v>42461</v>
      </c>
      <c r="M828" t="s">
        <v>4074</v>
      </c>
      <c r="N828">
        <v>0</v>
      </c>
      <c r="O828" t="s">
        <v>4903</v>
      </c>
      <c r="P828">
        <v>0</v>
      </c>
      <c r="Q828" t="s">
        <v>4903</v>
      </c>
      <c r="R828" t="s">
        <v>4072</v>
      </c>
    </row>
    <row r="829" spans="1:18" hidden="1" x14ac:dyDescent="0.25">
      <c r="A829" t="s">
        <v>1722</v>
      </c>
      <c r="B829" t="s">
        <v>84</v>
      </c>
      <c r="C829" t="s">
        <v>15</v>
      </c>
      <c r="D829" t="s">
        <v>85</v>
      </c>
      <c r="E829" t="s">
        <v>86</v>
      </c>
      <c r="F829" t="s">
        <v>87</v>
      </c>
      <c r="G829" t="s">
        <v>3424</v>
      </c>
      <c r="H829" s="15">
        <v>149788</v>
      </c>
      <c r="I829" s="15">
        <v>0</v>
      </c>
      <c r="J829" t="s">
        <v>89</v>
      </c>
      <c r="K829" t="s">
        <v>21</v>
      </c>
      <c r="L829" s="2">
        <v>42461</v>
      </c>
      <c r="M829" t="s">
        <v>3425</v>
      </c>
      <c r="N829">
        <v>4</v>
      </c>
      <c r="O829" t="s">
        <v>4903</v>
      </c>
      <c r="P829">
        <v>0</v>
      </c>
      <c r="Q829" t="s">
        <v>4903</v>
      </c>
      <c r="R829" t="s">
        <v>1722</v>
      </c>
    </row>
    <row r="830" spans="1:18" hidden="1" x14ac:dyDescent="0.25">
      <c r="A830" t="s">
        <v>1178</v>
      </c>
      <c r="B830" t="s">
        <v>61</v>
      </c>
      <c r="C830" t="s">
        <v>62</v>
      </c>
      <c r="D830" t="s">
        <v>85</v>
      </c>
      <c r="E830" t="s">
        <v>86</v>
      </c>
      <c r="F830" t="s">
        <v>87</v>
      </c>
      <c r="G830" t="s">
        <v>1179</v>
      </c>
      <c r="H830" s="15">
        <v>351690</v>
      </c>
      <c r="I830" s="15">
        <v>0</v>
      </c>
      <c r="J830" t="s">
        <v>89</v>
      </c>
      <c r="K830" t="s">
        <v>57</v>
      </c>
      <c r="L830" s="2">
        <v>42461</v>
      </c>
      <c r="M830" t="s">
        <v>1180</v>
      </c>
      <c r="N830">
        <v>0</v>
      </c>
      <c r="O830" t="s">
        <v>4903</v>
      </c>
      <c r="P830">
        <v>0</v>
      </c>
      <c r="Q830" t="s">
        <v>4903</v>
      </c>
      <c r="R830" t="s">
        <v>1178</v>
      </c>
    </row>
    <row r="831" spans="1:18" hidden="1" x14ac:dyDescent="0.25">
      <c r="A831" t="s">
        <v>3659</v>
      </c>
      <c r="B831" t="s">
        <v>47</v>
      </c>
      <c r="C831" t="s">
        <v>48</v>
      </c>
      <c r="D831" t="s">
        <v>85</v>
      </c>
      <c r="E831" t="s">
        <v>86</v>
      </c>
      <c r="F831" t="s">
        <v>87</v>
      </c>
      <c r="G831" t="s">
        <v>3660</v>
      </c>
      <c r="H831" s="15">
        <v>240861</v>
      </c>
      <c r="I831" s="15">
        <v>0</v>
      </c>
      <c r="J831" t="s">
        <v>89</v>
      </c>
      <c r="K831" t="s">
        <v>74</v>
      </c>
      <c r="L831" s="2">
        <v>42461</v>
      </c>
      <c r="M831" t="s">
        <v>3661</v>
      </c>
      <c r="N831">
        <v>0</v>
      </c>
      <c r="O831" t="s">
        <v>4903</v>
      </c>
      <c r="P831">
        <v>0</v>
      </c>
      <c r="Q831" t="s">
        <v>4903</v>
      </c>
      <c r="R831" t="s">
        <v>3659</v>
      </c>
    </row>
    <row r="832" spans="1:18" hidden="1" x14ac:dyDescent="0.25">
      <c r="A832" t="s">
        <v>3268</v>
      </c>
      <c r="B832" t="s">
        <v>426</v>
      </c>
      <c r="C832" t="s">
        <v>48</v>
      </c>
      <c r="D832" t="s">
        <v>85</v>
      </c>
      <c r="E832" t="s">
        <v>86</v>
      </c>
      <c r="F832" t="s">
        <v>87</v>
      </c>
      <c r="G832" t="s">
        <v>3269</v>
      </c>
      <c r="H832" s="15">
        <v>307750</v>
      </c>
      <c r="I832" s="15">
        <v>0</v>
      </c>
      <c r="J832" t="s">
        <v>89</v>
      </c>
      <c r="K832" t="s">
        <v>116</v>
      </c>
      <c r="L832" s="2">
        <v>42461</v>
      </c>
      <c r="M832" t="s">
        <v>3270</v>
      </c>
      <c r="N832">
        <v>5</v>
      </c>
      <c r="O832" t="s">
        <v>4903</v>
      </c>
      <c r="P832">
        <v>0</v>
      </c>
      <c r="Q832" t="s">
        <v>4903</v>
      </c>
      <c r="R832" t="s">
        <v>3268</v>
      </c>
    </row>
    <row r="833" spans="1:18" hidden="1" x14ac:dyDescent="0.25">
      <c r="A833" t="s">
        <v>3693</v>
      </c>
      <c r="B833" t="s">
        <v>31</v>
      </c>
      <c r="C833" t="s">
        <v>15</v>
      </c>
      <c r="D833" t="s">
        <v>85</v>
      </c>
      <c r="E833" t="s">
        <v>86</v>
      </c>
      <c r="F833" t="s">
        <v>87</v>
      </c>
      <c r="G833" t="s">
        <v>3694</v>
      </c>
      <c r="H833" s="15">
        <v>164423</v>
      </c>
      <c r="I833" s="15">
        <v>0</v>
      </c>
      <c r="J833" t="s">
        <v>89</v>
      </c>
      <c r="K833" t="s">
        <v>74</v>
      </c>
      <c r="L833" s="2">
        <v>42461</v>
      </c>
      <c r="M833" t="s">
        <v>3695</v>
      </c>
      <c r="N833">
        <v>0</v>
      </c>
      <c r="O833" t="s">
        <v>4903</v>
      </c>
      <c r="P833">
        <v>0</v>
      </c>
      <c r="Q833" t="s">
        <v>4903</v>
      </c>
      <c r="R833" t="s">
        <v>3693</v>
      </c>
    </row>
    <row r="834" spans="1:18" hidden="1" x14ac:dyDescent="0.25">
      <c r="A834" t="s">
        <v>2864</v>
      </c>
      <c r="B834" t="s">
        <v>84</v>
      </c>
      <c r="C834" t="s">
        <v>15</v>
      </c>
      <c r="D834" t="s">
        <v>85</v>
      </c>
      <c r="E834" t="s">
        <v>86</v>
      </c>
      <c r="F834" t="s">
        <v>87</v>
      </c>
      <c r="G834" t="s">
        <v>4751</v>
      </c>
      <c r="H834" s="15">
        <v>235413</v>
      </c>
      <c r="I834" s="15">
        <v>0</v>
      </c>
      <c r="J834" t="s">
        <v>89</v>
      </c>
      <c r="K834" t="s">
        <v>134</v>
      </c>
      <c r="L834" s="2">
        <v>42461</v>
      </c>
      <c r="M834" t="s">
        <v>4752</v>
      </c>
      <c r="N834">
        <v>0</v>
      </c>
      <c r="O834" t="s">
        <v>4903</v>
      </c>
      <c r="P834">
        <v>0</v>
      </c>
      <c r="Q834" t="s">
        <v>4903</v>
      </c>
      <c r="R834" t="s">
        <v>2864</v>
      </c>
    </row>
    <row r="835" spans="1:18" hidden="1" x14ac:dyDescent="0.25">
      <c r="A835" t="s">
        <v>4082</v>
      </c>
      <c r="B835" t="s">
        <v>136</v>
      </c>
      <c r="C835" t="s">
        <v>15</v>
      </c>
      <c r="D835" t="s">
        <v>85</v>
      </c>
      <c r="E835" t="s">
        <v>86</v>
      </c>
      <c r="F835" t="s">
        <v>87</v>
      </c>
      <c r="G835" t="s">
        <v>4083</v>
      </c>
      <c r="H835" s="15">
        <v>250861</v>
      </c>
      <c r="I835" s="15">
        <v>0</v>
      </c>
      <c r="J835" t="s">
        <v>89</v>
      </c>
      <c r="K835" t="s">
        <v>65</v>
      </c>
      <c r="L835" s="2">
        <v>42461</v>
      </c>
      <c r="M835" t="s">
        <v>4084</v>
      </c>
      <c r="N835">
        <v>1</v>
      </c>
      <c r="O835" t="s">
        <v>4903</v>
      </c>
      <c r="P835">
        <v>0</v>
      </c>
      <c r="Q835" t="s">
        <v>4903</v>
      </c>
      <c r="R835" t="s">
        <v>4082</v>
      </c>
    </row>
    <row r="836" spans="1:18" hidden="1" x14ac:dyDescent="0.25">
      <c r="A836" t="s">
        <v>2394</v>
      </c>
      <c r="B836" t="s">
        <v>47</v>
      </c>
      <c r="C836" t="s">
        <v>48</v>
      </c>
      <c r="D836" t="s">
        <v>85</v>
      </c>
      <c r="E836" t="s">
        <v>86</v>
      </c>
      <c r="F836" t="s">
        <v>87</v>
      </c>
      <c r="G836" t="s">
        <v>2395</v>
      </c>
      <c r="H836" s="15">
        <v>327819</v>
      </c>
      <c r="I836" s="15">
        <v>0</v>
      </c>
      <c r="J836" t="s">
        <v>89</v>
      </c>
      <c r="K836" t="s">
        <v>21</v>
      </c>
      <c r="L836" s="2">
        <v>42461</v>
      </c>
      <c r="M836" t="s">
        <v>2396</v>
      </c>
      <c r="N836">
        <v>0</v>
      </c>
      <c r="O836" t="s">
        <v>4903</v>
      </c>
      <c r="P836">
        <v>0</v>
      </c>
      <c r="Q836" t="s">
        <v>4903</v>
      </c>
      <c r="R836" t="s">
        <v>2394</v>
      </c>
    </row>
    <row r="837" spans="1:18" hidden="1" x14ac:dyDescent="0.25">
      <c r="A837" t="s">
        <v>1451</v>
      </c>
      <c r="B837" t="s">
        <v>103</v>
      </c>
      <c r="C837" t="s">
        <v>15</v>
      </c>
      <c r="D837" t="s">
        <v>85</v>
      </c>
      <c r="E837" t="s">
        <v>86</v>
      </c>
      <c r="F837" t="s">
        <v>87</v>
      </c>
      <c r="G837" t="s">
        <v>1452</v>
      </c>
      <c r="H837" s="15">
        <v>261250</v>
      </c>
      <c r="I837" s="15">
        <v>0</v>
      </c>
      <c r="J837" t="s">
        <v>89</v>
      </c>
      <c r="K837" t="s">
        <v>28</v>
      </c>
      <c r="L837" s="2">
        <v>42461</v>
      </c>
      <c r="M837" t="s">
        <v>1453</v>
      </c>
      <c r="N837">
        <v>0</v>
      </c>
      <c r="O837" t="s">
        <v>4903</v>
      </c>
      <c r="P837">
        <v>0</v>
      </c>
      <c r="Q837" t="s">
        <v>4903</v>
      </c>
      <c r="R837" t="s">
        <v>1451</v>
      </c>
    </row>
    <row r="838" spans="1:18" hidden="1" x14ac:dyDescent="0.25">
      <c r="A838" t="s">
        <v>91</v>
      </c>
      <c r="B838" t="s">
        <v>47</v>
      </c>
      <c r="C838" t="s">
        <v>48</v>
      </c>
      <c r="D838" t="s">
        <v>85</v>
      </c>
      <c r="E838" t="s">
        <v>86</v>
      </c>
      <c r="F838" t="s">
        <v>87</v>
      </c>
      <c r="G838" t="s">
        <v>3543</v>
      </c>
      <c r="H838" s="15">
        <v>511511</v>
      </c>
      <c r="I838" s="15">
        <v>0</v>
      </c>
      <c r="J838" t="s">
        <v>89</v>
      </c>
      <c r="K838" t="s">
        <v>65</v>
      </c>
      <c r="L838" s="2">
        <v>42461</v>
      </c>
      <c r="M838" t="s">
        <v>3544</v>
      </c>
      <c r="N838">
        <v>0</v>
      </c>
      <c r="O838" t="s">
        <v>4903</v>
      </c>
      <c r="P838">
        <v>0</v>
      </c>
      <c r="Q838" t="s">
        <v>4903</v>
      </c>
      <c r="R838" t="s">
        <v>91</v>
      </c>
    </row>
    <row r="839" spans="1:18" hidden="1" x14ac:dyDescent="0.25">
      <c r="A839" t="s">
        <v>137</v>
      </c>
      <c r="B839" t="s">
        <v>47</v>
      </c>
      <c r="C839" t="s">
        <v>48</v>
      </c>
      <c r="D839" t="s">
        <v>96</v>
      </c>
      <c r="E839" t="s">
        <v>536</v>
      </c>
      <c r="F839" t="s">
        <v>98</v>
      </c>
      <c r="G839" t="s">
        <v>537</v>
      </c>
      <c r="H839" s="15">
        <v>625000</v>
      </c>
      <c r="I839" s="15">
        <v>0</v>
      </c>
      <c r="J839" t="s">
        <v>20</v>
      </c>
      <c r="K839" t="s">
        <v>28</v>
      </c>
      <c r="L839" s="2">
        <v>42461</v>
      </c>
      <c r="M839" t="s">
        <v>538</v>
      </c>
      <c r="N839">
        <v>0</v>
      </c>
      <c r="O839" t="s">
        <v>4903</v>
      </c>
      <c r="P839">
        <v>0</v>
      </c>
      <c r="Q839" t="s">
        <v>4903</v>
      </c>
      <c r="R839" t="s">
        <v>137</v>
      </c>
    </row>
    <row r="840" spans="1:18" hidden="1" x14ac:dyDescent="0.25">
      <c r="A840" t="s">
        <v>2259</v>
      </c>
      <c r="B840" t="s">
        <v>84</v>
      </c>
      <c r="C840" t="s">
        <v>15</v>
      </c>
      <c r="D840" t="s">
        <v>85</v>
      </c>
      <c r="E840" t="s">
        <v>86</v>
      </c>
      <c r="F840" t="s">
        <v>87</v>
      </c>
      <c r="G840" t="s">
        <v>2260</v>
      </c>
      <c r="H840" s="15">
        <v>165000</v>
      </c>
      <c r="I840" s="15">
        <v>0</v>
      </c>
      <c r="J840" t="s">
        <v>89</v>
      </c>
      <c r="K840" t="s">
        <v>28</v>
      </c>
      <c r="L840" s="2">
        <v>42461</v>
      </c>
      <c r="M840" t="s">
        <v>2261</v>
      </c>
      <c r="N840">
        <v>0</v>
      </c>
      <c r="O840" t="s">
        <v>4903</v>
      </c>
      <c r="P840">
        <v>0</v>
      </c>
      <c r="Q840" t="s">
        <v>4903</v>
      </c>
      <c r="R840" t="s">
        <v>2259</v>
      </c>
    </row>
    <row r="841" spans="1:18" hidden="1" x14ac:dyDescent="0.25">
      <c r="A841" t="s">
        <v>3365</v>
      </c>
      <c r="B841" t="s">
        <v>350</v>
      </c>
      <c r="C841" t="s">
        <v>39</v>
      </c>
      <c r="D841" t="s">
        <v>1057</v>
      </c>
      <c r="E841" t="s">
        <v>4034</v>
      </c>
      <c r="F841" t="s">
        <v>18</v>
      </c>
      <c r="G841" t="s">
        <v>4035</v>
      </c>
      <c r="H841" s="15">
        <v>100000</v>
      </c>
      <c r="I841" s="15">
        <v>0</v>
      </c>
      <c r="J841" t="s">
        <v>44</v>
      </c>
      <c r="K841" t="s">
        <v>116</v>
      </c>
      <c r="L841" s="2">
        <v>42552</v>
      </c>
      <c r="M841" t="s">
        <v>4036</v>
      </c>
      <c r="N841">
        <v>0</v>
      </c>
      <c r="O841" t="s">
        <v>4903</v>
      </c>
      <c r="P841">
        <v>0</v>
      </c>
      <c r="Q841" t="s">
        <v>4903</v>
      </c>
      <c r="R841" t="s">
        <v>3365</v>
      </c>
    </row>
    <row r="842" spans="1:18" hidden="1" x14ac:dyDescent="0.25">
      <c r="A842" t="s">
        <v>939</v>
      </c>
      <c r="B842" t="s">
        <v>725</v>
      </c>
      <c r="C842" t="s">
        <v>726</v>
      </c>
      <c r="D842" t="s">
        <v>85</v>
      </c>
      <c r="E842" t="s">
        <v>316</v>
      </c>
      <c r="F842" t="s">
        <v>87</v>
      </c>
      <c r="G842" t="s">
        <v>3264</v>
      </c>
      <c r="H842" s="15">
        <v>337717</v>
      </c>
      <c r="I842" s="15">
        <v>0</v>
      </c>
      <c r="J842" t="s">
        <v>89</v>
      </c>
      <c r="K842" t="s">
        <v>100</v>
      </c>
      <c r="L842" s="2">
        <v>42826</v>
      </c>
      <c r="M842" t="s">
        <v>3265</v>
      </c>
      <c r="N842">
        <v>2</v>
      </c>
      <c r="O842" t="s">
        <v>4903</v>
      </c>
      <c r="P842">
        <v>0</v>
      </c>
      <c r="Q842" t="s">
        <v>4903</v>
      </c>
      <c r="R842" t="s">
        <v>939</v>
      </c>
    </row>
    <row r="843" spans="1:18" hidden="1" x14ac:dyDescent="0.25">
      <c r="A843" t="s">
        <v>1405</v>
      </c>
      <c r="B843" t="s">
        <v>190</v>
      </c>
      <c r="C843" t="s">
        <v>15</v>
      </c>
      <c r="D843" t="s">
        <v>85</v>
      </c>
      <c r="E843" t="s">
        <v>316</v>
      </c>
      <c r="F843" t="s">
        <v>87</v>
      </c>
      <c r="G843" t="s">
        <v>1406</v>
      </c>
      <c r="H843" s="15">
        <v>248750</v>
      </c>
      <c r="I843" s="15">
        <v>0</v>
      </c>
      <c r="J843" t="s">
        <v>89</v>
      </c>
      <c r="K843" t="s">
        <v>28</v>
      </c>
      <c r="L843" s="2">
        <v>42826</v>
      </c>
      <c r="M843" t="s">
        <v>1407</v>
      </c>
      <c r="N843">
        <v>1</v>
      </c>
      <c r="O843" t="s">
        <v>4903</v>
      </c>
      <c r="P843">
        <v>0</v>
      </c>
      <c r="Q843" t="s">
        <v>4903</v>
      </c>
      <c r="R843" t="s">
        <v>1405</v>
      </c>
    </row>
    <row r="844" spans="1:18" hidden="1" x14ac:dyDescent="0.25">
      <c r="A844" t="s">
        <v>3195</v>
      </c>
      <c r="B844" t="s">
        <v>315</v>
      </c>
      <c r="C844" t="s">
        <v>39</v>
      </c>
      <c r="D844" t="s">
        <v>85</v>
      </c>
      <c r="E844" t="s">
        <v>316</v>
      </c>
      <c r="F844" t="s">
        <v>87</v>
      </c>
      <c r="G844" t="s">
        <v>3196</v>
      </c>
      <c r="H844" s="15">
        <v>163222</v>
      </c>
      <c r="I844" s="15">
        <v>0</v>
      </c>
      <c r="J844" t="s">
        <v>89</v>
      </c>
      <c r="K844" t="s">
        <v>65</v>
      </c>
      <c r="L844" s="2">
        <v>42826</v>
      </c>
      <c r="M844" t="s">
        <v>3197</v>
      </c>
      <c r="N844">
        <v>0</v>
      </c>
      <c r="O844" t="s">
        <v>4903</v>
      </c>
      <c r="P844">
        <v>0</v>
      </c>
      <c r="Q844" t="s">
        <v>4903</v>
      </c>
      <c r="R844" t="s">
        <v>3195</v>
      </c>
    </row>
    <row r="845" spans="1:18" hidden="1" x14ac:dyDescent="0.25">
      <c r="A845" t="s">
        <v>2670</v>
      </c>
      <c r="B845" t="s">
        <v>2671</v>
      </c>
      <c r="C845" t="s">
        <v>39</v>
      </c>
      <c r="D845" t="s">
        <v>85</v>
      </c>
      <c r="E845" t="s">
        <v>316</v>
      </c>
      <c r="F845" t="s">
        <v>87</v>
      </c>
      <c r="G845" t="s">
        <v>2672</v>
      </c>
      <c r="H845" s="15">
        <v>489287</v>
      </c>
      <c r="I845" s="15">
        <v>0</v>
      </c>
      <c r="J845" t="s">
        <v>89</v>
      </c>
      <c r="K845" t="s">
        <v>100</v>
      </c>
      <c r="L845" s="2">
        <v>42826</v>
      </c>
      <c r="M845" t="s">
        <v>2673</v>
      </c>
      <c r="N845">
        <v>0</v>
      </c>
      <c r="O845" t="s">
        <v>4903</v>
      </c>
      <c r="P845">
        <v>0</v>
      </c>
      <c r="Q845" t="s">
        <v>4903</v>
      </c>
      <c r="R845" t="s">
        <v>2670</v>
      </c>
    </row>
    <row r="846" spans="1:18" hidden="1" x14ac:dyDescent="0.25">
      <c r="A846" t="s">
        <v>721</v>
      </c>
      <c r="B846" t="s">
        <v>161</v>
      </c>
      <c r="C846" t="s">
        <v>39</v>
      </c>
      <c r="D846" t="s">
        <v>85</v>
      </c>
      <c r="E846" t="s">
        <v>316</v>
      </c>
      <c r="F846" t="s">
        <v>87</v>
      </c>
      <c r="G846" t="s">
        <v>722</v>
      </c>
      <c r="H846" s="15">
        <v>321657</v>
      </c>
      <c r="I846" s="15">
        <v>0</v>
      </c>
      <c r="J846" t="s">
        <v>89</v>
      </c>
      <c r="K846" t="s">
        <v>116</v>
      </c>
      <c r="L846" s="2">
        <v>42826</v>
      </c>
      <c r="M846" t="s">
        <v>723</v>
      </c>
      <c r="N846">
        <v>1</v>
      </c>
      <c r="O846" t="s">
        <v>4903</v>
      </c>
      <c r="P846">
        <v>0</v>
      </c>
      <c r="Q846" t="s">
        <v>4903</v>
      </c>
      <c r="R846" t="s">
        <v>721</v>
      </c>
    </row>
    <row r="847" spans="1:18" hidden="1" x14ac:dyDescent="0.25">
      <c r="A847" t="s">
        <v>1306</v>
      </c>
      <c r="B847" t="s">
        <v>47</v>
      </c>
      <c r="C847" t="s">
        <v>48</v>
      </c>
      <c r="D847" t="s">
        <v>85</v>
      </c>
      <c r="E847" t="s">
        <v>316</v>
      </c>
      <c r="F847" t="s">
        <v>87</v>
      </c>
      <c r="G847" t="s">
        <v>1307</v>
      </c>
      <c r="H847" s="15">
        <v>311545</v>
      </c>
      <c r="I847" s="15">
        <v>0</v>
      </c>
      <c r="J847" t="s">
        <v>89</v>
      </c>
      <c r="K847" t="s">
        <v>28</v>
      </c>
      <c r="L847" s="2">
        <v>42826</v>
      </c>
      <c r="M847" t="s">
        <v>1308</v>
      </c>
      <c r="N847">
        <v>0</v>
      </c>
      <c r="O847" t="s">
        <v>4903</v>
      </c>
      <c r="P847">
        <v>0</v>
      </c>
      <c r="Q847" t="s">
        <v>4903</v>
      </c>
      <c r="R847" t="s">
        <v>1306</v>
      </c>
    </row>
    <row r="848" spans="1:18" hidden="1" x14ac:dyDescent="0.25">
      <c r="A848" t="s">
        <v>1192</v>
      </c>
      <c r="B848" t="s">
        <v>161</v>
      </c>
      <c r="C848" t="s">
        <v>39</v>
      </c>
      <c r="D848" t="s">
        <v>85</v>
      </c>
      <c r="E848" t="s">
        <v>316</v>
      </c>
      <c r="F848" t="s">
        <v>87</v>
      </c>
      <c r="G848" t="s">
        <v>1193</v>
      </c>
      <c r="H848" s="15">
        <v>301262</v>
      </c>
      <c r="I848" s="15">
        <v>0</v>
      </c>
      <c r="J848" t="s">
        <v>89</v>
      </c>
      <c r="K848" t="s">
        <v>21</v>
      </c>
      <c r="L848" s="2">
        <v>42826</v>
      </c>
      <c r="M848" t="s">
        <v>1194</v>
      </c>
      <c r="N848">
        <v>0</v>
      </c>
      <c r="O848" t="s">
        <v>4903</v>
      </c>
      <c r="P848">
        <v>0</v>
      </c>
      <c r="Q848" t="s">
        <v>4903</v>
      </c>
      <c r="R848" t="s">
        <v>1192</v>
      </c>
    </row>
    <row r="849" spans="1:18" hidden="1" x14ac:dyDescent="0.25">
      <c r="A849" t="s">
        <v>2839</v>
      </c>
      <c r="B849" t="s">
        <v>190</v>
      </c>
      <c r="C849" t="s">
        <v>15</v>
      </c>
      <c r="D849" t="s">
        <v>85</v>
      </c>
      <c r="E849" t="s">
        <v>316</v>
      </c>
      <c r="F849" t="s">
        <v>87</v>
      </c>
      <c r="G849" t="s">
        <v>3703</v>
      </c>
      <c r="H849" s="15">
        <v>194419</v>
      </c>
      <c r="I849" s="15">
        <v>0</v>
      </c>
      <c r="J849" t="s">
        <v>89</v>
      </c>
      <c r="K849" t="s">
        <v>28</v>
      </c>
      <c r="L849" s="2">
        <v>42826</v>
      </c>
      <c r="M849" t="s">
        <v>3704</v>
      </c>
      <c r="N849">
        <v>1</v>
      </c>
      <c r="O849" t="s">
        <v>4903</v>
      </c>
      <c r="P849">
        <v>0</v>
      </c>
      <c r="Q849" t="s">
        <v>4903</v>
      </c>
      <c r="R849" t="s">
        <v>2839</v>
      </c>
    </row>
    <row r="850" spans="1:18" hidden="1" x14ac:dyDescent="0.25">
      <c r="A850" t="s">
        <v>1399</v>
      </c>
      <c r="B850" t="s">
        <v>406</v>
      </c>
      <c r="C850" t="s">
        <v>62</v>
      </c>
      <c r="D850" t="s">
        <v>85</v>
      </c>
      <c r="E850" t="s">
        <v>316</v>
      </c>
      <c r="F850" t="s">
        <v>87</v>
      </c>
      <c r="G850" t="s">
        <v>1400</v>
      </c>
      <c r="H850" s="15">
        <v>315794</v>
      </c>
      <c r="I850" s="15">
        <v>0</v>
      </c>
      <c r="J850" t="s">
        <v>89</v>
      </c>
      <c r="K850" t="s">
        <v>21</v>
      </c>
      <c r="L850" s="2">
        <v>42826</v>
      </c>
      <c r="M850" t="s">
        <v>1401</v>
      </c>
      <c r="N850">
        <v>5</v>
      </c>
      <c r="O850" t="s">
        <v>4903</v>
      </c>
      <c r="P850">
        <v>0</v>
      </c>
      <c r="Q850" t="s">
        <v>4903</v>
      </c>
      <c r="R850" t="s">
        <v>1399</v>
      </c>
    </row>
    <row r="851" spans="1:18" hidden="1" x14ac:dyDescent="0.25">
      <c r="A851" t="s">
        <v>3099</v>
      </c>
      <c r="B851" t="s">
        <v>84</v>
      </c>
      <c r="C851" t="s">
        <v>15</v>
      </c>
      <c r="D851" t="s">
        <v>85</v>
      </c>
      <c r="E851" t="s">
        <v>316</v>
      </c>
      <c r="F851" t="s">
        <v>87</v>
      </c>
      <c r="G851" t="s">
        <v>3100</v>
      </c>
      <c r="H851" s="15">
        <v>632425</v>
      </c>
      <c r="I851" s="15">
        <v>0</v>
      </c>
      <c r="J851" t="s">
        <v>89</v>
      </c>
      <c r="K851" t="s">
        <v>134</v>
      </c>
      <c r="L851" s="2">
        <v>42826</v>
      </c>
      <c r="M851" t="s">
        <v>3101</v>
      </c>
      <c r="N851">
        <v>0</v>
      </c>
      <c r="O851" t="s">
        <v>4903</v>
      </c>
      <c r="P851">
        <v>0</v>
      </c>
      <c r="Q851" t="s">
        <v>4903</v>
      </c>
      <c r="R851" t="s">
        <v>3099</v>
      </c>
    </row>
    <row r="852" spans="1:18" hidden="1" x14ac:dyDescent="0.25">
      <c r="A852" t="s">
        <v>1208</v>
      </c>
      <c r="B852" t="s">
        <v>103</v>
      </c>
      <c r="C852" t="s">
        <v>15</v>
      </c>
      <c r="D852" t="s">
        <v>85</v>
      </c>
      <c r="E852" t="s">
        <v>316</v>
      </c>
      <c r="F852" t="s">
        <v>87</v>
      </c>
      <c r="G852" t="s">
        <v>1742</v>
      </c>
      <c r="H852" s="15">
        <v>240625</v>
      </c>
      <c r="I852" s="15">
        <v>0</v>
      </c>
      <c r="J852" t="s">
        <v>89</v>
      </c>
      <c r="K852" t="s">
        <v>116</v>
      </c>
      <c r="L852" s="2">
        <v>42826</v>
      </c>
      <c r="M852" t="s">
        <v>1743</v>
      </c>
      <c r="N852">
        <v>3</v>
      </c>
      <c r="O852" t="s">
        <v>4903</v>
      </c>
      <c r="P852">
        <v>0</v>
      </c>
      <c r="Q852" t="s">
        <v>4903</v>
      </c>
      <c r="R852" t="s">
        <v>1208</v>
      </c>
    </row>
    <row r="853" spans="1:18" hidden="1" x14ac:dyDescent="0.25">
      <c r="A853" t="s">
        <v>314</v>
      </c>
      <c r="B853" t="s">
        <v>315</v>
      </c>
      <c r="C853" t="s">
        <v>39</v>
      </c>
      <c r="D853" t="s">
        <v>85</v>
      </c>
      <c r="E853" t="s">
        <v>316</v>
      </c>
      <c r="F853" t="s">
        <v>87</v>
      </c>
      <c r="G853" t="s">
        <v>317</v>
      </c>
      <c r="H853" s="15">
        <v>371615</v>
      </c>
      <c r="I853" s="15">
        <v>0</v>
      </c>
      <c r="J853" t="s">
        <v>89</v>
      </c>
      <c r="K853" t="s">
        <v>134</v>
      </c>
      <c r="L853" s="2">
        <v>42826</v>
      </c>
      <c r="M853" t="s">
        <v>318</v>
      </c>
      <c r="N853">
        <v>2</v>
      </c>
      <c r="O853" t="s">
        <v>4903</v>
      </c>
      <c r="P853">
        <v>0</v>
      </c>
      <c r="Q853" t="s">
        <v>4903</v>
      </c>
      <c r="R853" t="s">
        <v>314</v>
      </c>
    </row>
    <row r="854" spans="1:18" hidden="1" x14ac:dyDescent="0.25">
      <c r="A854" t="s">
        <v>1368</v>
      </c>
      <c r="B854" t="s">
        <v>126</v>
      </c>
      <c r="C854" t="s">
        <v>39</v>
      </c>
      <c r="D854" t="s">
        <v>1369</v>
      </c>
      <c r="E854" t="s">
        <v>1370</v>
      </c>
      <c r="F854" t="s">
        <v>1371</v>
      </c>
      <c r="G854" t="s">
        <v>1372</v>
      </c>
      <c r="H854" s="15">
        <v>3997503</v>
      </c>
      <c r="I854" s="15">
        <v>0</v>
      </c>
      <c r="J854" t="s">
        <v>89</v>
      </c>
      <c r="K854" t="s">
        <v>134</v>
      </c>
      <c r="L854" s="2">
        <v>42826</v>
      </c>
      <c r="M854" t="s">
        <v>1373</v>
      </c>
      <c r="N854">
        <v>5</v>
      </c>
      <c r="O854" t="s">
        <v>4903</v>
      </c>
      <c r="P854">
        <v>0</v>
      </c>
      <c r="Q854" t="s">
        <v>4903</v>
      </c>
      <c r="R854" t="s">
        <v>1368</v>
      </c>
    </row>
    <row r="855" spans="1:18" hidden="1" x14ac:dyDescent="0.25">
      <c r="A855" t="s">
        <v>2696</v>
      </c>
      <c r="B855" t="s">
        <v>31</v>
      </c>
      <c r="C855" t="s">
        <v>15</v>
      </c>
      <c r="D855" t="s">
        <v>85</v>
      </c>
      <c r="E855" t="s">
        <v>316</v>
      </c>
      <c r="F855" t="s">
        <v>87</v>
      </c>
      <c r="G855" t="s">
        <v>2697</v>
      </c>
      <c r="H855" s="15">
        <v>186200</v>
      </c>
      <c r="I855" s="15">
        <v>0</v>
      </c>
      <c r="J855" t="s">
        <v>89</v>
      </c>
      <c r="K855" t="s">
        <v>116</v>
      </c>
      <c r="L855" s="2">
        <v>42826</v>
      </c>
      <c r="M855" t="s">
        <v>2698</v>
      </c>
      <c r="N855">
        <v>0</v>
      </c>
      <c r="O855" t="s">
        <v>4903</v>
      </c>
      <c r="P855">
        <v>0</v>
      </c>
      <c r="Q855" t="s">
        <v>4903</v>
      </c>
      <c r="R855" t="s">
        <v>2696</v>
      </c>
    </row>
    <row r="856" spans="1:18" hidden="1" x14ac:dyDescent="0.25">
      <c r="A856" t="s">
        <v>1674</v>
      </c>
      <c r="B856" t="s">
        <v>426</v>
      </c>
      <c r="C856" t="s">
        <v>48</v>
      </c>
      <c r="D856" t="s">
        <v>85</v>
      </c>
      <c r="E856" t="s">
        <v>316</v>
      </c>
      <c r="F856" t="s">
        <v>87</v>
      </c>
      <c r="G856" t="s">
        <v>1675</v>
      </c>
      <c r="H856" s="15">
        <v>314005</v>
      </c>
      <c r="I856" s="15">
        <v>0</v>
      </c>
      <c r="J856" t="s">
        <v>89</v>
      </c>
      <c r="K856" t="s">
        <v>28</v>
      </c>
      <c r="L856" s="2">
        <v>42826</v>
      </c>
      <c r="M856" t="s">
        <v>1676</v>
      </c>
      <c r="N856">
        <v>1</v>
      </c>
      <c r="O856" t="s">
        <v>4903</v>
      </c>
      <c r="P856">
        <v>0</v>
      </c>
      <c r="Q856" t="s">
        <v>4903</v>
      </c>
      <c r="R856" t="s">
        <v>1674</v>
      </c>
    </row>
    <row r="857" spans="1:18" hidden="1" x14ac:dyDescent="0.25">
      <c r="A857" t="s">
        <v>2410</v>
      </c>
      <c r="B857" t="s">
        <v>2411</v>
      </c>
      <c r="C857" t="s">
        <v>39</v>
      </c>
      <c r="D857" t="s">
        <v>85</v>
      </c>
      <c r="E857" t="s">
        <v>316</v>
      </c>
      <c r="F857" t="s">
        <v>87</v>
      </c>
      <c r="G857" t="s">
        <v>2412</v>
      </c>
      <c r="H857" s="15">
        <v>298387</v>
      </c>
      <c r="I857" s="15">
        <v>0</v>
      </c>
      <c r="J857" t="s">
        <v>89</v>
      </c>
      <c r="K857" t="s">
        <v>65</v>
      </c>
      <c r="L857" s="2">
        <v>42826</v>
      </c>
      <c r="M857" t="s">
        <v>2413</v>
      </c>
      <c r="N857">
        <v>0</v>
      </c>
      <c r="O857" t="s">
        <v>4903</v>
      </c>
      <c r="P857">
        <v>0</v>
      </c>
      <c r="Q857" t="s">
        <v>4903</v>
      </c>
      <c r="R857" t="s">
        <v>2410</v>
      </c>
    </row>
    <row r="858" spans="1:18" hidden="1" x14ac:dyDescent="0.25">
      <c r="A858" t="s">
        <v>265</v>
      </c>
      <c r="B858" t="s">
        <v>103</v>
      </c>
      <c r="C858" t="s">
        <v>15</v>
      </c>
      <c r="D858" t="s">
        <v>85</v>
      </c>
      <c r="E858" t="s">
        <v>316</v>
      </c>
      <c r="F858" t="s">
        <v>87</v>
      </c>
      <c r="G858" t="s">
        <v>3340</v>
      </c>
      <c r="H858" s="15">
        <v>402900</v>
      </c>
      <c r="I858" s="15">
        <v>0</v>
      </c>
      <c r="J858" t="s">
        <v>89</v>
      </c>
      <c r="K858" t="s">
        <v>28</v>
      </c>
      <c r="L858" s="2">
        <v>42826</v>
      </c>
      <c r="M858" t="s">
        <v>3341</v>
      </c>
      <c r="N858">
        <v>0</v>
      </c>
      <c r="O858" t="s">
        <v>4903</v>
      </c>
      <c r="P858">
        <v>0</v>
      </c>
      <c r="Q858" t="s">
        <v>4903</v>
      </c>
      <c r="R858" t="s">
        <v>265</v>
      </c>
    </row>
    <row r="859" spans="1:18" hidden="1" x14ac:dyDescent="0.25">
      <c r="A859" t="s">
        <v>638</v>
      </c>
      <c r="B859" t="s">
        <v>47</v>
      </c>
      <c r="C859" t="s">
        <v>48</v>
      </c>
      <c r="D859" t="s">
        <v>85</v>
      </c>
      <c r="E859" t="s">
        <v>316</v>
      </c>
      <c r="F859" t="s">
        <v>87</v>
      </c>
      <c r="G859" t="s">
        <v>1493</v>
      </c>
      <c r="H859" s="15">
        <v>489780</v>
      </c>
      <c r="I859" s="15">
        <v>0</v>
      </c>
      <c r="J859" t="s">
        <v>89</v>
      </c>
      <c r="K859" t="s">
        <v>28</v>
      </c>
      <c r="L859" s="2">
        <v>42826</v>
      </c>
      <c r="M859" t="s">
        <v>1494</v>
      </c>
      <c r="N859">
        <v>0</v>
      </c>
      <c r="O859" t="s">
        <v>4903</v>
      </c>
      <c r="P859">
        <v>0</v>
      </c>
      <c r="Q859" t="s">
        <v>4903</v>
      </c>
      <c r="R859" t="s">
        <v>638</v>
      </c>
    </row>
    <row r="860" spans="1:18" hidden="1" x14ac:dyDescent="0.25">
      <c r="A860" t="s">
        <v>1309</v>
      </c>
      <c r="B860" t="s">
        <v>84</v>
      </c>
      <c r="C860" t="s">
        <v>15</v>
      </c>
      <c r="D860" t="s">
        <v>85</v>
      </c>
      <c r="E860" t="s">
        <v>316</v>
      </c>
      <c r="F860" t="s">
        <v>87</v>
      </c>
      <c r="G860" t="s">
        <v>1310</v>
      </c>
      <c r="H860" s="15">
        <v>358647</v>
      </c>
      <c r="I860" s="15">
        <v>0</v>
      </c>
      <c r="J860" t="s">
        <v>89</v>
      </c>
      <c r="K860" t="s">
        <v>65</v>
      </c>
      <c r="L860" s="2">
        <v>42826</v>
      </c>
      <c r="M860" t="s">
        <v>1311</v>
      </c>
      <c r="N860">
        <v>1</v>
      </c>
      <c r="O860" t="s">
        <v>4903</v>
      </c>
      <c r="P860">
        <v>0</v>
      </c>
      <c r="Q860" t="s">
        <v>4903</v>
      </c>
      <c r="R860" t="s">
        <v>1309</v>
      </c>
    </row>
    <row r="861" spans="1:18" hidden="1" x14ac:dyDescent="0.25">
      <c r="A861" t="s">
        <v>658</v>
      </c>
      <c r="B861" t="s">
        <v>426</v>
      </c>
      <c r="C861" t="s">
        <v>48</v>
      </c>
      <c r="D861" t="s">
        <v>85</v>
      </c>
      <c r="E861" t="s">
        <v>316</v>
      </c>
      <c r="F861" t="s">
        <v>87</v>
      </c>
      <c r="G861" t="s">
        <v>3821</v>
      </c>
      <c r="H861" s="15">
        <v>251314</v>
      </c>
      <c r="I861" s="15">
        <v>0</v>
      </c>
      <c r="J861" t="s">
        <v>89</v>
      </c>
      <c r="K861" t="s">
        <v>100</v>
      </c>
      <c r="L861" s="2">
        <v>42826</v>
      </c>
      <c r="M861" t="s">
        <v>3822</v>
      </c>
      <c r="N861">
        <v>0</v>
      </c>
      <c r="O861" t="s">
        <v>4903</v>
      </c>
      <c r="P861">
        <v>0</v>
      </c>
      <c r="Q861" t="s">
        <v>4903</v>
      </c>
      <c r="R861" t="s">
        <v>658</v>
      </c>
    </row>
    <row r="862" spans="1:18" hidden="1" x14ac:dyDescent="0.25">
      <c r="A862" t="s">
        <v>4302</v>
      </c>
      <c r="B862" t="s">
        <v>2691</v>
      </c>
      <c r="C862" t="s">
        <v>15</v>
      </c>
      <c r="D862" t="s">
        <v>85</v>
      </c>
      <c r="E862" t="s">
        <v>316</v>
      </c>
      <c r="F862" t="s">
        <v>87</v>
      </c>
      <c r="G862" t="s">
        <v>4303</v>
      </c>
      <c r="H862" s="15">
        <v>298928</v>
      </c>
      <c r="I862" s="15">
        <v>0</v>
      </c>
      <c r="J862" t="s">
        <v>89</v>
      </c>
      <c r="K862" t="s">
        <v>116</v>
      </c>
      <c r="L862" s="2">
        <v>42826</v>
      </c>
      <c r="M862" t="s">
        <v>4304</v>
      </c>
      <c r="N862">
        <v>1</v>
      </c>
      <c r="O862" t="s">
        <v>4903</v>
      </c>
      <c r="P862">
        <v>0</v>
      </c>
      <c r="Q862" t="s">
        <v>4903</v>
      </c>
      <c r="R862" t="s">
        <v>4302</v>
      </c>
    </row>
    <row r="863" spans="1:18" hidden="1" x14ac:dyDescent="0.25">
      <c r="A863" t="s">
        <v>718</v>
      </c>
      <c r="B863" t="s">
        <v>47</v>
      </c>
      <c r="C863" t="s">
        <v>48</v>
      </c>
      <c r="D863" t="s">
        <v>85</v>
      </c>
      <c r="E863" t="s">
        <v>316</v>
      </c>
      <c r="F863" t="s">
        <v>87</v>
      </c>
      <c r="G863" t="s">
        <v>3676</v>
      </c>
      <c r="H863" s="15">
        <v>233800</v>
      </c>
      <c r="I863" s="15">
        <v>0</v>
      </c>
      <c r="J863" t="s">
        <v>89</v>
      </c>
      <c r="K863" t="s">
        <v>326</v>
      </c>
      <c r="L863" s="2">
        <v>42826</v>
      </c>
      <c r="M863" t="s">
        <v>3677</v>
      </c>
      <c r="N863">
        <v>0</v>
      </c>
      <c r="O863" t="s">
        <v>4903</v>
      </c>
      <c r="P863">
        <v>0</v>
      </c>
      <c r="Q863" t="s">
        <v>4903</v>
      </c>
      <c r="R863" t="s">
        <v>718</v>
      </c>
    </row>
    <row r="864" spans="1:18" hidden="1" x14ac:dyDescent="0.25">
      <c r="A864" t="s">
        <v>4774</v>
      </c>
      <c r="B864" t="s">
        <v>84</v>
      </c>
      <c r="C864" t="s">
        <v>15</v>
      </c>
      <c r="D864" t="s">
        <v>85</v>
      </c>
      <c r="E864" t="s">
        <v>316</v>
      </c>
      <c r="F864" t="s">
        <v>87</v>
      </c>
      <c r="G864" t="s">
        <v>4775</v>
      </c>
      <c r="H864" s="15">
        <v>349500</v>
      </c>
      <c r="I864" s="15">
        <v>0</v>
      </c>
      <c r="J864" t="s">
        <v>89</v>
      </c>
      <c r="K864" t="s">
        <v>116</v>
      </c>
      <c r="L864" s="2">
        <v>42826</v>
      </c>
      <c r="M864" t="s">
        <v>4776</v>
      </c>
      <c r="N864">
        <v>0</v>
      </c>
      <c r="O864" t="s">
        <v>4903</v>
      </c>
      <c r="P864">
        <v>0</v>
      </c>
      <c r="Q864" t="s">
        <v>4903</v>
      </c>
      <c r="R864" t="s">
        <v>4774</v>
      </c>
    </row>
    <row r="865" spans="1:18" hidden="1" x14ac:dyDescent="0.25">
      <c r="A865" t="s">
        <v>417</v>
      </c>
      <c r="B865" t="s">
        <v>84</v>
      </c>
      <c r="C865" t="s">
        <v>15</v>
      </c>
      <c r="D865" t="s">
        <v>85</v>
      </c>
      <c r="E865" t="s">
        <v>316</v>
      </c>
      <c r="F865" t="s">
        <v>87</v>
      </c>
      <c r="G865" t="s">
        <v>418</v>
      </c>
      <c r="H865" s="15">
        <v>276283</v>
      </c>
      <c r="I865" s="15">
        <v>0</v>
      </c>
      <c r="J865" t="s">
        <v>89</v>
      </c>
      <c r="K865" t="s">
        <v>28</v>
      </c>
      <c r="L865" s="2">
        <v>42826</v>
      </c>
      <c r="M865" t="s">
        <v>419</v>
      </c>
      <c r="N865">
        <v>1</v>
      </c>
      <c r="O865" t="s">
        <v>4903</v>
      </c>
      <c r="P865">
        <v>0</v>
      </c>
      <c r="Q865" t="s">
        <v>4903</v>
      </c>
      <c r="R865" t="s">
        <v>417</v>
      </c>
    </row>
    <row r="866" spans="1:18" hidden="1" x14ac:dyDescent="0.25">
      <c r="A866" t="s">
        <v>1154</v>
      </c>
      <c r="B866" t="s">
        <v>84</v>
      </c>
      <c r="C866" t="s">
        <v>15</v>
      </c>
      <c r="D866" t="s">
        <v>85</v>
      </c>
      <c r="E866" t="s">
        <v>316</v>
      </c>
      <c r="F866" t="s">
        <v>87</v>
      </c>
      <c r="G866" t="s">
        <v>3157</v>
      </c>
      <c r="H866" s="15">
        <v>260200</v>
      </c>
      <c r="I866" s="15">
        <v>0</v>
      </c>
      <c r="J866" t="s">
        <v>89</v>
      </c>
      <c r="K866" t="s">
        <v>65</v>
      </c>
      <c r="L866" s="2">
        <v>42826</v>
      </c>
      <c r="M866" t="s">
        <v>3158</v>
      </c>
      <c r="N866">
        <v>2</v>
      </c>
      <c r="O866" t="s">
        <v>4903</v>
      </c>
      <c r="P866">
        <v>0</v>
      </c>
      <c r="Q866" t="s">
        <v>4903</v>
      </c>
      <c r="R866" t="s">
        <v>1154</v>
      </c>
    </row>
    <row r="867" spans="1:18" hidden="1" x14ac:dyDescent="0.25">
      <c r="A867" t="s">
        <v>1154</v>
      </c>
      <c r="B867" t="s">
        <v>84</v>
      </c>
      <c r="C867" t="s">
        <v>15</v>
      </c>
      <c r="D867" t="s">
        <v>85</v>
      </c>
      <c r="E867" t="s">
        <v>316</v>
      </c>
      <c r="F867" t="s">
        <v>87</v>
      </c>
      <c r="G867" t="s">
        <v>1155</v>
      </c>
      <c r="H867" s="15">
        <v>273483</v>
      </c>
      <c r="I867" s="15">
        <v>0</v>
      </c>
      <c r="J867" t="s">
        <v>89</v>
      </c>
      <c r="K867" t="s">
        <v>21</v>
      </c>
      <c r="L867" s="2">
        <v>42826</v>
      </c>
      <c r="M867" t="s">
        <v>1156</v>
      </c>
      <c r="N867">
        <v>1</v>
      </c>
      <c r="O867" t="s">
        <v>4903</v>
      </c>
      <c r="P867">
        <v>0</v>
      </c>
      <c r="Q867" t="s">
        <v>4903</v>
      </c>
      <c r="R867" t="s">
        <v>1154</v>
      </c>
    </row>
    <row r="868" spans="1:18" hidden="1" x14ac:dyDescent="0.25">
      <c r="A868" t="s">
        <v>409</v>
      </c>
      <c r="B868" t="s">
        <v>190</v>
      </c>
      <c r="C868" t="s">
        <v>15</v>
      </c>
      <c r="D868" t="s">
        <v>85</v>
      </c>
      <c r="E868" t="s">
        <v>316</v>
      </c>
      <c r="F868" t="s">
        <v>87</v>
      </c>
      <c r="G868" t="s">
        <v>1969</v>
      </c>
      <c r="H868" s="15">
        <v>157870</v>
      </c>
      <c r="I868" s="15">
        <v>0</v>
      </c>
      <c r="J868" t="s">
        <v>89</v>
      </c>
      <c r="K868" t="s">
        <v>28</v>
      </c>
      <c r="L868" s="2">
        <v>42826</v>
      </c>
      <c r="M868" t="s">
        <v>1970</v>
      </c>
      <c r="N868">
        <v>0</v>
      </c>
      <c r="O868" t="s">
        <v>4903</v>
      </c>
      <c r="P868">
        <v>0</v>
      </c>
      <c r="Q868" t="s">
        <v>4903</v>
      </c>
      <c r="R868" t="s">
        <v>409</v>
      </c>
    </row>
    <row r="869" spans="1:18" hidden="1" x14ac:dyDescent="0.25">
      <c r="A869" t="s">
        <v>699</v>
      </c>
      <c r="B869" t="s">
        <v>84</v>
      </c>
      <c r="C869" t="s">
        <v>15</v>
      </c>
      <c r="D869" t="s">
        <v>85</v>
      </c>
      <c r="E869" t="s">
        <v>316</v>
      </c>
      <c r="F869" t="s">
        <v>87</v>
      </c>
      <c r="G869" t="s">
        <v>1737</v>
      </c>
      <c r="H869" s="15">
        <v>386873</v>
      </c>
      <c r="I869" s="15">
        <v>0</v>
      </c>
      <c r="J869" t="s">
        <v>89</v>
      </c>
      <c r="K869" t="s">
        <v>21</v>
      </c>
      <c r="L869" s="2">
        <v>42826</v>
      </c>
      <c r="M869" t="s">
        <v>1738</v>
      </c>
      <c r="N869">
        <v>0</v>
      </c>
      <c r="O869" t="s">
        <v>4903</v>
      </c>
      <c r="P869">
        <v>0</v>
      </c>
      <c r="Q869" t="s">
        <v>4903</v>
      </c>
      <c r="R869" t="s">
        <v>699</v>
      </c>
    </row>
    <row r="870" spans="1:18" hidden="1" x14ac:dyDescent="0.25">
      <c r="A870" t="s">
        <v>699</v>
      </c>
      <c r="B870" t="s">
        <v>84</v>
      </c>
      <c r="C870" t="s">
        <v>15</v>
      </c>
      <c r="D870" t="s">
        <v>85</v>
      </c>
      <c r="E870" t="s">
        <v>316</v>
      </c>
      <c r="F870" t="s">
        <v>87</v>
      </c>
      <c r="G870" t="s">
        <v>1357</v>
      </c>
      <c r="H870" s="15">
        <v>426720</v>
      </c>
      <c r="I870" s="15">
        <v>0</v>
      </c>
      <c r="J870" t="s">
        <v>89</v>
      </c>
      <c r="K870" t="s">
        <v>21</v>
      </c>
      <c r="L870" s="2">
        <v>42826</v>
      </c>
      <c r="M870" t="s">
        <v>1358</v>
      </c>
      <c r="N870">
        <v>3</v>
      </c>
      <c r="O870" t="s">
        <v>4903</v>
      </c>
      <c r="P870">
        <v>0</v>
      </c>
      <c r="Q870" t="s">
        <v>4903</v>
      </c>
      <c r="R870" t="s">
        <v>699</v>
      </c>
    </row>
    <row r="871" spans="1:18" hidden="1" x14ac:dyDescent="0.25">
      <c r="A871" t="s">
        <v>4015</v>
      </c>
      <c r="B871" t="s">
        <v>84</v>
      </c>
      <c r="C871" t="s">
        <v>15</v>
      </c>
      <c r="D871" t="s">
        <v>85</v>
      </c>
      <c r="E871" t="s">
        <v>316</v>
      </c>
      <c r="F871" t="s">
        <v>87</v>
      </c>
      <c r="G871" t="s">
        <v>4016</v>
      </c>
      <c r="H871" s="15">
        <v>272390</v>
      </c>
      <c r="I871" s="15">
        <v>0</v>
      </c>
      <c r="J871" t="s">
        <v>89</v>
      </c>
      <c r="K871" t="s">
        <v>74</v>
      </c>
      <c r="L871" s="2">
        <v>42826</v>
      </c>
      <c r="M871" t="s">
        <v>4017</v>
      </c>
      <c r="N871">
        <v>1</v>
      </c>
      <c r="O871" t="s">
        <v>4903</v>
      </c>
      <c r="P871">
        <v>0</v>
      </c>
      <c r="Q871" t="s">
        <v>4903</v>
      </c>
      <c r="R871" t="s">
        <v>4015</v>
      </c>
    </row>
    <row r="872" spans="1:18" hidden="1" x14ac:dyDescent="0.25">
      <c r="A872" t="s">
        <v>2025</v>
      </c>
      <c r="B872" t="s">
        <v>47</v>
      </c>
      <c r="C872" t="s">
        <v>48</v>
      </c>
      <c r="D872" t="s">
        <v>85</v>
      </c>
      <c r="E872" t="s">
        <v>316</v>
      </c>
      <c r="F872" t="s">
        <v>87</v>
      </c>
      <c r="G872" t="s">
        <v>2026</v>
      </c>
      <c r="H872" s="15">
        <v>294250</v>
      </c>
      <c r="I872" s="15">
        <v>0</v>
      </c>
      <c r="J872" t="s">
        <v>89</v>
      </c>
      <c r="K872" t="s">
        <v>28</v>
      </c>
      <c r="L872" s="2">
        <v>42826</v>
      </c>
      <c r="M872" t="s">
        <v>2027</v>
      </c>
      <c r="N872">
        <v>0</v>
      </c>
      <c r="O872" t="s">
        <v>4903</v>
      </c>
      <c r="P872">
        <v>0</v>
      </c>
      <c r="Q872" t="s">
        <v>4903</v>
      </c>
      <c r="R872" t="s">
        <v>2025</v>
      </c>
    </row>
    <row r="873" spans="1:18" hidden="1" x14ac:dyDescent="0.25">
      <c r="A873" t="s">
        <v>3261</v>
      </c>
      <c r="B873" t="s">
        <v>136</v>
      </c>
      <c r="C873" t="s">
        <v>15</v>
      </c>
      <c r="D873" t="s">
        <v>85</v>
      </c>
      <c r="E873" t="s">
        <v>316</v>
      </c>
      <c r="F873" t="s">
        <v>87</v>
      </c>
      <c r="G873" t="s">
        <v>3404</v>
      </c>
      <c r="H873" s="15">
        <v>253500</v>
      </c>
      <c r="I873" s="15">
        <v>0</v>
      </c>
      <c r="J873" t="s">
        <v>89</v>
      </c>
      <c r="K873" t="s">
        <v>28</v>
      </c>
      <c r="L873" s="2">
        <v>42826</v>
      </c>
      <c r="M873" t="s">
        <v>3405</v>
      </c>
      <c r="N873">
        <v>2</v>
      </c>
      <c r="O873" t="s">
        <v>4903</v>
      </c>
      <c r="P873">
        <v>0</v>
      </c>
      <c r="Q873" t="s">
        <v>4903</v>
      </c>
      <c r="R873" t="s">
        <v>3261</v>
      </c>
    </row>
    <row r="874" spans="1:18" hidden="1" x14ac:dyDescent="0.25">
      <c r="A874" t="s">
        <v>4344</v>
      </c>
      <c r="B874" t="s">
        <v>47</v>
      </c>
      <c r="C874" t="s">
        <v>48</v>
      </c>
      <c r="D874" t="s">
        <v>451</v>
      </c>
      <c r="E874" t="s">
        <v>452</v>
      </c>
      <c r="F874" t="s">
        <v>453</v>
      </c>
      <c r="G874" t="s">
        <v>4345</v>
      </c>
      <c r="H874" s="15">
        <v>199870</v>
      </c>
      <c r="I874" s="15">
        <v>0</v>
      </c>
      <c r="J874" t="s">
        <v>455</v>
      </c>
      <c r="K874" t="s">
        <v>326</v>
      </c>
      <c r="L874" s="2">
        <v>42979</v>
      </c>
      <c r="M874" t="s">
        <v>4346</v>
      </c>
      <c r="N874">
        <v>0</v>
      </c>
      <c r="O874" t="s">
        <v>4903</v>
      </c>
      <c r="P874">
        <v>0</v>
      </c>
      <c r="Q874" t="s">
        <v>4903</v>
      </c>
      <c r="R874" t="s">
        <v>4344</v>
      </c>
    </row>
    <row r="875" spans="1:18" hidden="1" x14ac:dyDescent="0.25">
      <c r="A875" t="s">
        <v>2345</v>
      </c>
      <c r="B875" t="s">
        <v>2346</v>
      </c>
      <c r="C875" t="s">
        <v>15</v>
      </c>
      <c r="D875" t="s">
        <v>451</v>
      </c>
      <c r="E875" t="s">
        <v>452</v>
      </c>
      <c r="F875" t="s">
        <v>453</v>
      </c>
      <c r="G875" t="s">
        <v>2347</v>
      </c>
      <c r="H875" s="15">
        <v>146368</v>
      </c>
      <c r="I875" s="15">
        <v>0</v>
      </c>
      <c r="J875" t="s">
        <v>455</v>
      </c>
      <c r="K875" t="s">
        <v>326</v>
      </c>
      <c r="L875" s="2">
        <v>42979</v>
      </c>
      <c r="M875" t="s">
        <v>2348</v>
      </c>
      <c r="N875">
        <v>0</v>
      </c>
      <c r="O875" t="s">
        <v>4903</v>
      </c>
      <c r="P875">
        <v>0</v>
      </c>
      <c r="Q875" t="s">
        <v>4903</v>
      </c>
      <c r="R875" t="s">
        <v>2345</v>
      </c>
    </row>
    <row r="876" spans="1:18" hidden="1" x14ac:dyDescent="0.25">
      <c r="A876" t="s">
        <v>3335</v>
      </c>
      <c r="B876" t="s">
        <v>126</v>
      </c>
      <c r="C876" t="s">
        <v>39</v>
      </c>
      <c r="D876" t="s">
        <v>451</v>
      </c>
      <c r="E876" t="s">
        <v>452</v>
      </c>
      <c r="F876" t="s">
        <v>453</v>
      </c>
      <c r="G876" t="s">
        <v>3336</v>
      </c>
      <c r="H876" s="15">
        <v>162027</v>
      </c>
      <c r="I876" s="15">
        <v>0</v>
      </c>
      <c r="J876" t="s">
        <v>455</v>
      </c>
      <c r="K876" t="s">
        <v>100</v>
      </c>
      <c r="L876" s="2">
        <v>42979</v>
      </c>
      <c r="M876" t="s">
        <v>3337</v>
      </c>
      <c r="N876">
        <v>0</v>
      </c>
      <c r="O876" t="s">
        <v>4903</v>
      </c>
      <c r="P876">
        <v>0</v>
      </c>
      <c r="Q876" t="s">
        <v>4903</v>
      </c>
      <c r="R876" t="s">
        <v>3335</v>
      </c>
    </row>
    <row r="877" spans="1:18" hidden="1" x14ac:dyDescent="0.25">
      <c r="A877" t="s">
        <v>3286</v>
      </c>
      <c r="B877" t="s">
        <v>161</v>
      </c>
      <c r="C877" t="s">
        <v>39</v>
      </c>
      <c r="D877" t="s">
        <v>451</v>
      </c>
      <c r="E877" t="s">
        <v>452</v>
      </c>
      <c r="F877" t="s">
        <v>453</v>
      </c>
      <c r="G877" t="s">
        <v>3287</v>
      </c>
      <c r="H877" s="15">
        <v>197481</v>
      </c>
      <c r="I877" s="15">
        <v>0</v>
      </c>
      <c r="J877" t="s">
        <v>455</v>
      </c>
      <c r="K877" t="s">
        <v>21</v>
      </c>
      <c r="L877" s="2">
        <v>42979</v>
      </c>
      <c r="M877" t="s">
        <v>3288</v>
      </c>
      <c r="N877">
        <v>0</v>
      </c>
      <c r="O877" t="s">
        <v>4903</v>
      </c>
      <c r="P877">
        <v>0</v>
      </c>
      <c r="Q877" t="s">
        <v>4903</v>
      </c>
      <c r="R877" t="s">
        <v>3286</v>
      </c>
    </row>
    <row r="878" spans="1:18" hidden="1" x14ac:dyDescent="0.25">
      <c r="A878" t="s">
        <v>506</v>
      </c>
      <c r="B878" t="s">
        <v>126</v>
      </c>
      <c r="C878" t="s">
        <v>39</v>
      </c>
      <c r="D878" t="s">
        <v>451</v>
      </c>
      <c r="E878" t="s">
        <v>452</v>
      </c>
      <c r="F878" t="s">
        <v>453</v>
      </c>
      <c r="G878" t="s">
        <v>507</v>
      </c>
      <c r="H878" s="15">
        <v>199888</v>
      </c>
      <c r="I878" s="15">
        <v>0</v>
      </c>
      <c r="J878" t="s">
        <v>455</v>
      </c>
      <c r="K878" t="s">
        <v>148</v>
      </c>
      <c r="L878" s="2">
        <v>42979</v>
      </c>
      <c r="M878" t="s">
        <v>508</v>
      </c>
      <c r="N878">
        <v>0</v>
      </c>
      <c r="O878" t="s">
        <v>4903</v>
      </c>
      <c r="P878">
        <v>0</v>
      </c>
      <c r="Q878" t="s">
        <v>4903</v>
      </c>
      <c r="R878" t="s">
        <v>506</v>
      </c>
    </row>
    <row r="879" spans="1:18" hidden="1" x14ac:dyDescent="0.25">
      <c r="A879" t="s">
        <v>450</v>
      </c>
      <c r="B879" t="s">
        <v>47</v>
      </c>
      <c r="C879" t="s">
        <v>48</v>
      </c>
      <c r="D879" t="s">
        <v>451</v>
      </c>
      <c r="E879" t="s">
        <v>452</v>
      </c>
      <c r="F879" t="s">
        <v>453</v>
      </c>
      <c r="G879" t="s">
        <v>454</v>
      </c>
      <c r="H879" s="15">
        <v>200000</v>
      </c>
      <c r="I879" s="15">
        <v>0</v>
      </c>
      <c r="J879" t="s">
        <v>455</v>
      </c>
      <c r="K879" t="s">
        <v>148</v>
      </c>
      <c r="L879" s="2">
        <v>42979</v>
      </c>
      <c r="M879" t="s">
        <v>456</v>
      </c>
      <c r="N879">
        <v>0</v>
      </c>
      <c r="O879" t="s">
        <v>4903</v>
      </c>
      <c r="P879">
        <v>0</v>
      </c>
      <c r="Q879" t="s">
        <v>4903</v>
      </c>
      <c r="R879" t="s">
        <v>450</v>
      </c>
    </row>
    <row r="880" spans="1:18" hidden="1" x14ac:dyDescent="0.25">
      <c r="A880" t="s">
        <v>3946</v>
      </c>
      <c r="B880" t="s">
        <v>478</v>
      </c>
      <c r="C880" t="s">
        <v>15</v>
      </c>
      <c r="D880" t="s">
        <v>451</v>
      </c>
      <c r="E880" t="s">
        <v>452</v>
      </c>
      <c r="F880" t="s">
        <v>453</v>
      </c>
      <c r="G880" t="s">
        <v>3947</v>
      </c>
      <c r="H880" s="15">
        <v>200000</v>
      </c>
      <c r="I880" s="15">
        <v>0</v>
      </c>
      <c r="J880" t="s">
        <v>455</v>
      </c>
      <c r="K880" t="s">
        <v>148</v>
      </c>
      <c r="L880" s="2">
        <v>42979</v>
      </c>
      <c r="M880" t="s">
        <v>3948</v>
      </c>
      <c r="N880">
        <v>0</v>
      </c>
      <c r="O880" t="s">
        <v>4903</v>
      </c>
      <c r="P880">
        <v>0</v>
      </c>
      <c r="Q880" t="s">
        <v>4903</v>
      </c>
      <c r="R880" t="s">
        <v>3946</v>
      </c>
    </row>
    <row r="881" spans="1:18" hidden="1" x14ac:dyDescent="0.25">
      <c r="A881" t="s">
        <v>143</v>
      </c>
      <c r="B881" t="s">
        <v>1227</v>
      </c>
      <c r="C881" t="s">
        <v>48</v>
      </c>
      <c r="D881" t="s">
        <v>451</v>
      </c>
      <c r="E881" t="s">
        <v>452</v>
      </c>
      <c r="F881" t="s">
        <v>453</v>
      </c>
      <c r="G881" t="s">
        <v>1909</v>
      </c>
      <c r="H881" s="15">
        <v>199427</v>
      </c>
      <c r="I881" s="15">
        <v>0</v>
      </c>
      <c r="J881" t="s">
        <v>455</v>
      </c>
      <c r="K881" t="s">
        <v>65</v>
      </c>
      <c r="L881" s="2">
        <v>42979</v>
      </c>
      <c r="M881" t="s">
        <v>1910</v>
      </c>
      <c r="N881">
        <v>0</v>
      </c>
      <c r="O881" t="s">
        <v>4903</v>
      </c>
      <c r="P881">
        <v>0</v>
      </c>
      <c r="Q881" t="s">
        <v>4903</v>
      </c>
      <c r="R881" t="s">
        <v>143</v>
      </c>
    </row>
    <row r="882" spans="1:18" hidden="1" x14ac:dyDescent="0.25">
      <c r="A882" t="s">
        <v>1623</v>
      </c>
      <c r="B882" t="s">
        <v>1252</v>
      </c>
      <c r="C882" t="s">
        <v>15</v>
      </c>
      <c r="D882" t="s">
        <v>451</v>
      </c>
      <c r="E882" t="s">
        <v>452</v>
      </c>
      <c r="F882" t="s">
        <v>453</v>
      </c>
      <c r="G882" t="s">
        <v>1624</v>
      </c>
      <c r="H882" s="15">
        <v>199091</v>
      </c>
      <c r="I882" s="15">
        <v>0</v>
      </c>
      <c r="J882" t="s">
        <v>455</v>
      </c>
      <c r="K882" t="s">
        <v>21</v>
      </c>
      <c r="L882" s="2">
        <v>42979</v>
      </c>
      <c r="M882" t="s">
        <v>1625</v>
      </c>
      <c r="N882">
        <v>0</v>
      </c>
      <c r="O882" t="s">
        <v>4903</v>
      </c>
      <c r="P882">
        <v>0</v>
      </c>
      <c r="Q882" t="s">
        <v>4903</v>
      </c>
      <c r="R882" t="s">
        <v>1623</v>
      </c>
    </row>
    <row r="883" spans="1:18" hidden="1" x14ac:dyDescent="0.25">
      <c r="A883" t="s">
        <v>1512</v>
      </c>
      <c r="B883" t="s">
        <v>47</v>
      </c>
      <c r="C883" t="s">
        <v>48</v>
      </c>
      <c r="D883" t="s">
        <v>451</v>
      </c>
      <c r="E883" t="s">
        <v>452</v>
      </c>
      <c r="F883" t="s">
        <v>453</v>
      </c>
      <c r="G883" t="s">
        <v>1513</v>
      </c>
      <c r="H883" s="15">
        <v>198305</v>
      </c>
      <c r="I883" s="15">
        <v>0</v>
      </c>
      <c r="J883" t="s">
        <v>455</v>
      </c>
      <c r="K883" t="s">
        <v>201</v>
      </c>
      <c r="L883" s="2">
        <v>42979</v>
      </c>
      <c r="M883" t="s">
        <v>1514</v>
      </c>
      <c r="N883">
        <v>0</v>
      </c>
      <c r="O883" t="s">
        <v>4903</v>
      </c>
      <c r="P883">
        <v>0</v>
      </c>
      <c r="Q883" t="s">
        <v>4903</v>
      </c>
      <c r="R883" t="s">
        <v>1512</v>
      </c>
    </row>
    <row r="884" spans="1:18" hidden="1" x14ac:dyDescent="0.25">
      <c r="A884" t="s">
        <v>2632</v>
      </c>
      <c r="B884" t="s">
        <v>77</v>
      </c>
      <c r="C884" t="s">
        <v>15</v>
      </c>
      <c r="D884" t="s">
        <v>451</v>
      </c>
      <c r="E884" t="s">
        <v>452</v>
      </c>
      <c r="F884" t="s">
        <v>453</v>
      </c>
      <c r="G884" t="s">
        <v>2633</v>
      </c>
      <c r="H884" s="15">
        <v>199906</v>
      </c>
      <c r="I884" s="15">
        <v>0</v>
      </c>
      <c r="J884" t="s">
        <v>455</v>
      </c>
      <c r="K884" t="s">
        <v>28</v>
      </c>
      <c r="L884" s="2">
        <v>42979</v>
      </c>
      <c r="M884" t="s">
        <v>2634</v>
      </c>
      <c r="N884">
        <v>0</v>
      </c>
      <c r="O884" t="s">
        <v>4903</v>
      </c>
      <c r="P884">
        <v>0</v>
      </c>
      <c r="Q884" t="s">
        <v>4903</v>
      </c>
      <c r="R884" t="s">
        <v>2632</v>
      </c>
    </row>
    <row r="885" spans="1:18" hidden="1" x14ac:dyDescent="0.25">
      <c r="A885" t="s">
        <v>2039</v>
      </c>
      <c r="B885" t="s">
        <v>406</v>
      </c>
      <c r="C885" t="s">
        <v>62</v>
      </c>
      <c r="D885" t="s">
        <v>451</v>
      </c>
      <c r="E885" t="s">
        <v>452</v>
      </c>
      <c r="F885" t="s">
        <v>453</v>
      </c>
      <c r="G885" t="s">
        <v>2040</v>
      </c>
      <c r="H885" s="15">
        <v>200000</v>
      </c>
      <c r="I885" s="15">
        <v>0</v>
      </c>
      <c r="J885" t="s">
        <v>455</v>
      </c>
      <c r="K885" t="s">
        <v>326</v>
      </c>
      <c r="L885" s="2">
        <v>42979</v>
      </c>
      <c r="M885" t="s">
        <v>2041</v>
      </c>
      <c r="N885">
        <v>0</v>
      </c>
      <c r="O885" t="s">
        <v>4903</v>
      </c>
      <c r="P885">
        <v>0</v>
      </c>
      <c r="Q885" t="s">
        <v>4903</v>
      </c>
      <c r="R885" t="s">
        <v>2039</v>
      </c>
    </row>
    <row r="886" spans="1:18" hidden="1" x14ac:dyDescent="0.25">
      <c r="A886" t="s">
        <v>1230</v>
      </c>
      <c r="B886" t="s">
        <v>14</v>
      </c>
      <c r="C886" t="s">
        <v>15</v>
      </c>
      <c r="D886" t="s">
        <v>451</v>
      </c>
      <c r="E886" t="s">
        <v>452</v>
      </c>
      <c r="F886" t="s">
        <v>453</v>
      </c>
      <c r="G886" t="s">
        <v>1231</v>
      </c>
      <c r="H886" s="15">
        <v>197304</v>
      </c>
      <c r="I886" s="15">
        <v>0</v>
      </c>
      <c r="J886" t="s">
        <v>455</v>
      </c>
      <c r="K886" t="s">
        <v>21</v>
      </c>
      <c r="L886" s="2">
        <v>42979</v>
      </c>
      <c r="M886" t="s">
        <v>1232</v>
      </c>
      <c r="N886">
        <v>1</v>
      </c>
      <c r="O886" t="s">
        <v>4903</v>
      </c>
      <c r="P886">
        <v>0</v>
      </c>
      <c r="Q886" t="s">
        <v>4903</v>
      </c>
      <c r="R886" t="s">
        <v>1230</v>
      </c>
    </row>
    <row r="887" spans="1:18" x14ac:dyDescent="0.25">
      <c r="A887" t="s">
        <v>1944</v>
      </c>
      <c r="B887" t="s">
        <v>478</v>
      </c>
      <c r="C887" t="s">
        <v>15</v>
      </c>
      <c r="D887" t="s">
        <v>32</v>
      </c>
      <c r="E887" t="s">
        <v>151</v>
      </c>
      <c r="F887" t="s">
        <v>152</v>
      </c>
      <c r="G887" t="s">
        <v>4638</v>
      </c>
      <c r="H887" s="15">
        <v>978785</v>
      </c>
      <c r="I887" s="15">
        <v>0</v>
      </c>
      <c r="J887" t="s">
        <v>20</v>
      </c>
      <c r="K887" t="s">
        <v>28</v>
      </c>
      <c r="L887" s="2">
        <v>41730</v>
      </c>
      <c r="M887" t="s">
        <v>4639</v>
      </c>
      <c r="N887">
        <v>4</v>
      </c>
      <c r="O887" t="s">
        <v>4872</v>
      </c>
      <c r="P887">
        <v>1</v>
      </c>
      <c r="Q887" t="s">
        <v>4809</v>
      </c>
      <c r="R887" t="s">
        <v>1944</v>
      </c>
    </row>
    <row r="888" spans="1:18" hidden="1" x14ac:dyDescent="0.25">
      <c r="A888" t="s">
        <v>1334</v>
      </c>
      <c r="B888" t="s">
        <v>119</v>
      </c>
      <c r="C888" t="s">
        <v>39</v>
      </c>
      <c r="D888" t="s">
        <v>85</v>
      </c>
      <c r="E888" t="s">
        <v>329</v>
      </c>
      <c r="F888" t="s">
        <v>87</v>
      </c>
      <c r="G888" t="s">
        <v>3178</v>
      </c>
      <c r="H888" s="15">
        <v>245475</v>
      </c>
      <c r="I888" s="15">
        <v>65000</v>
      </c>
      <c r="J888" t="s">
        <v>89</v>
      </c>
      <c r="K888" t="s">
        <v>28</v>
      </c>
      <c r="L888" s="2">
        <v>43191</v>
      </c>
      <c r="M888" t="s">
        <v>3179</v>
      </c>
      <c r="N888">
        <v>0</v>
      </c>
      <c r="O888" t="s">
        <v>4903</v>
      </c>
      <c r="P888">
        <v>0</v>
      </c>
      <c r="Q888" t="s">
        <v>4903</v>
      </c>
      <c r="R888" t="s">
        <v>1334</v>
      </c>
    </row>
    <row r="889" spans="1:18" hidden="1" x14ac:dyDescent="0.25">
      <c r="A889" t="s">
        <v>2042</v>
      </c>
      <c r="B889" t="s">
        <v>84</v>
      </c>
      <c r="C889" t="s">
        <v>15</v>
      </c>
      <c r="D889" t="s">
        <v>16</v>
      </c>
      <c r="E889" t="s">
        <v>430</v>
      </c>
      <c r="F889" t="s">
        <v>1953</v>
      </c>
      <c r="G889" t="s">
        <v>2043</v>
      </c>
      <c r="H889" s="15">
        <v>459000</v>
      </c>
      <c r="I889" s="15">
        <v>0</v>
      </c>
      <c r="J889" t="s">
        <v>154</v>
      </c>
      <c r="K889" t="s">
        <v>28</v>
      </c>
      <c r="L889" s="2">
        <v>43191</v>
      </c>
      <c r="M889" t="s">
        <v>2044</v>
      </c>
      <c r="N889">
        <v>0</v>
      </c>
      <c r="O889" t="s">
        <v>4903</v>
      </c>
      <c r="P889">
        <v>0</v>
      </c>
      <c r="Q889" t="s">
        <v>4903</v>
      </c>
      <c r="R889" t="s">
        <v>2042</v>
      </c>
    </row>
    <row r="890" spans="1:18" hidden="1" x14ac:dyDescent="0.25">
      <c r="A890" t="s">
        <v>376</v>
      </c>
      <c r="B890" t="s">
        <v>84</v>
      </c>
      <c r="C890" t="s">
        <v>15</v>
      </c>
      <c r="D890" t="s">
        <v>85</v>
      </c>
      <c r="E890" t="s">
        <v>329</v>
      </c>
      <c r="F890" t="s">
        <v>87</v>
      </c>
      <c r="G890" t="s">
        <v>377</v>
      </c>
      <c r="H890" s="15">
        <v>291825</v>
      </c>
      <c r="I890" s="15">
        <v>52100</v>
      </c>
      <c r="J890" t="s">
        <v>89</v>
      </c>
      <c r="K890" t="s">
        <v>21</v>
      </c>
      <c r="L890" s="2">
        <v>43191</v>
      </c>
      <c r="M890" t="s">
        <v>378</v>
      </c>
      <c r="N890">
        <v>0</v>
      </c>
      <c r="O890" t="s">
        <v>4903</v>
      </c>
      <c r="P890">
        <v>0</v>
      </c>
      <c r="Q890" t="s">
        <v>4903</v>
      </c>
      <c r="R890" t="s">
        <v>376</v>
      </c>
    </row>
    <row r="891" spans="1:18" hidden="1" x14ac:dyDescent="0.25">
      <c r="A891" t="s">
        <v>1303</v>
      </c>
      <c r="B891" t="s">
        <v>61</v>
      </c>
      <c r="C891" t="s">
        <v>62</v>
      </c>
      <c r="D891" t="s">
        <v>85</v>
      </c>
      <c r="E891" t="s">
        <v>329</v>
      </c>
      <c r="F891" t="s">
        <v>87</v>
      </c>
      <c r="G891" t="s">
        <v>1304</v>
      </c>
      <c r="H891" s="15">
        <v>389215</v>
      </c>
      <c r="I891" s="15">
        <v>0</v>
      </c>
      <c r="J891" t="s">
        <v>89</v>
      </c>
      <c r="K891" t="s">
        <v>28</v>
      </c>
      <c r="L891" s="2">
        <v>43191</v>
      </c>
      <c r="M891" t="s">
        <v>1305</v>
      </c>
      <c r="N891">
        <v>1</v>
      </c>
      <c r="O891" t="s">
        <v>4903</v>
      </c>
      <c r="P891">
        <v>0</v>
      </c>
      <c r="Q891" t="s">
        <v>4903</v>
      </c>
      <c r="R891" t="s">
        <v>1303</v>
      </c>
    </row>
    <row r="892" spans="1:18" hidden="1" x14ac:dyDescent="0.25">
      <c r="A892" t="s">
        <v>3227</v>
      </c>
      <c r="B892" t="s">
        <v>426</v>
      </c>
      <c r="C892" t="s">
        <v>48</v>
      </c>
      <c r="D892" t="s">
        <v>85</v>
      </c>
      <c r="E892" t="s">
        <v>329</v>
      </c>
      <c r="F892" t="s">
        <v>87</v>
      </c>
      <c r="G892" t="s">
        <v>3228</v>
      </c>
      <c r="H892" s="15">
        <v>341410</v>
      </c>
      <c r="I892" s="15">
        <v>87200</v>
      </c>
      <c r="J892" t="s">
        <v>89</v>
      </c>
      <c r="K892" t="s">
        <v>201</v>
      </c>
      <c r="L892" s="2">
        <v>43191</v>
      </c>
      <c r="M892" t="s">
        <v>3229</v>
      </c>
      <c r="N892">
        <v>0</v>
      </c>
      <c r="O892" t="s">
        <v>4903</v>
      </c>
      <c r="P892">
        <v>0</v>
      </c>
      <c r="Q892" t="s">
        <v>4903</v>
      </c>
      <c r="R892" t="s">
        <v>3227</v>
      </c>
    </row>
    <row r="893" spans="1:18" hidden="1" x14ac:dyDescent="0.25">
      <c r="A893" t="s">
        <v>2578</v>
      </c>
      <c r="B893" t="s">
        <v>126</v>
      </c>
      <c r="C893" t="s">
        <v>39</v>
      </c>
      <c r="D893" t="s">
        <v>16</v>
      </c>
      <c r="E893" t="s">
        <v>430</v>
      </c>
      <c r="F893" t="s">
        <v>18</v>
      </c>
      <c r="G893" t="s">
        <v>4499</v>
      </c>
      <c r="H893" s="15">
        <v>562276</v>
      </c>
      <c r="I893" s="15">
        <v>0</v>
      </c>
      <c r="J893" t="s">
        <v>154</v>
      </c>
      <c r="K893" t="s">
        <v>65</v>
      </c>
      <c r="L893" s="2">
        <v>43191</v>
      </c>
      <c r="M893" t="s">
        <v>4500</v>
      </c>
      <c r="N893">
        <v>0</v>
      </c>
      <c r="O893" t="s">
        <v>4903</v>
      </c>
      <c r="P893">
        <v>0</v>
      </c>
      <c r="Q893" t="s">
        <v>4903</v>
      </c>
      <c r="R893" t="s">
        <v>2578</v>
      </c>
    </row>
    <row r="894" spans="1:18" hidden="1" x14ac:dyDescent="0.25">
      <c r="A894" t="s">
        <v>4326</v>
      </c>
      <c r="B894" t="s">
        <v>1516</v>
      </c>
      <c r="C894" t="s">
        <v>15</v>
      </c>
      <c r="D894" t="s">
        <v>16</v>
      </c>
      <c r="E894" t="s">
        <v>430</v>
      </c>
      <c r="F894" t="s">
        <v>140</v>
      </c>
      <c r="G894" t="s">
        <v>4327</v>
      </c>
      <c r="H894" s="15">
        <v>1147500</v>
      </c>
      <c r="I894" s="15">
        <v>0</v>
      </c>
      <c r="J894" t="s">
        <v>20</v>
      </c>
      <c r="K894" t="s">
        <v>28</v>
      </c>
      <c r="L894" s="2">
        <v>43191</v>
      </c>
      <c r="M894" t="s">
        <v>4328</v>
      </c>
      <c r="N894">
        <v>6</v>
      </c>
      <c r="O894" t="s">
        <v>4903</v>
      </c>
      <c r="P894">
        <v>0</v>
      </c>
      <c r="Q894" t="s">
        <v>4903</v>
      </c>
      <c r="R894" t="s">
        <v>4326</v>
      </c>
    </row>
    <row r="895" spans="1:18" hidden="1" x14ac:dyDescent="0.25">
      <c r="A895" t="s">
        <v>3973</v>
      </c>
      <c r="B895" t="s">
        <v>47</v>
      </c>
      <c r="C895" t="s">
        <v>48</v>
      </c>
      <c r="D895" t="s">
        <v>85</v>
      </c>
      <c r="E895" t="s">
        <v>329</v>
      </c>
      <c r="F895" t="s">
        <v>87</v>
      </c>
      <c r="G895" t="s">
        <v>3974</v>
      </c>
      <c r="H895" s="15">
        <v>359850</v>
      </c>
      <c r="I895" s="15">
        <v>0</v>
      </c>
      <c r="J895" t="s">
        <v>89</v>
      </c>
      <c r="K895" t="s">
        <v>65</v>
      </c>
      <c r="L895" s="2">
        <v>43191</v>
      </c>
      <c r="M895" t="s">
        <v>3975</v>
      </c>
      <c r="N895">
        <v>0</v>
      </c>
      <c r="O895" t="s">
        <v>4903</v>
      </c>
      <c r="P895">
        <v>0</v>
      </c>
      <c r="Q895" t="s">
        <v>4903</v>
      </c>
      <c r="R895" t="s">
        <v>3973</v>
      </c>
    </row>
    <row r="896" spans="1:18" hidden="1" x14ac:dyDescent="0.25">
      <c r="A896" t="s">
        <v>2457</v>
      </c>
      <c r="B896" t="s">
        <v>47</v>
      </c>
      <c r="C896" t="s">
        <v>48</v>
      </c>
      <c r="D896" t="s">
        <v>16</v>
      </c>
      <c r="E896" t="s">
        <v>430</v>
      </c>
      <c r="F896" t="s">
        <v>26</v>
      </c>
      <c r="G896" t="s">
        <v>2458</v>
      </c>
      <c r="H896" s="15">
        <v>344250</v>
      </c>
      <c r="I896" s="15">
        <v>0</v>
      </c>
      <c r="J896" t="s">
        <v>89</v>
      </c>
      <c r="K896" t="s">
        <v>28</v>
      </c>
      <c r="L896" s="2">
        <v>43191</v>
      </c>
      <c r="M896" t="s">
        <v>2459</v>
      </c>
      <c r="N896">
        <v>0</v>
      </c>
      <c r="O896" t="s">
        <v>4903</v>
      </c>
      <c r="P896">
        <v>0</v>
      </c>
      <c r="Q896" t="s">
        <v>4903</v>
      </c>
      <c r="R896" t="s">
        <v>2457</v>
      </c>
    </row>
    <row r="897" spans="1:18" hidden="1" x14ac:dyDescent="0.25">
      <c r="A897" t="s">
        <v>83</v>
      </c>
      <c r="B897" t="s">
        <v>84</v>
      </c>
      <c r="C897" t="s">
        <v>15</v>
      </c>
      <c r="D897" t="s">
        <v>85</v>
      </c>
      <c r="E897" t="s">
        <v>329</v>
      </c>
      <c r="F897" t="s">
        <v>87</v>
      </c>
      <c r="G897" t="s">
        <v>1710</v>
      </c>
      <c r="H897" s="15">
        <v>353172</v>
      </c>
      <c r="I897" s="15">
        <v>15000</v>
      </c>
      <c r="J897" t="s">
        <v>89</v>
      </c>
      <c r="K897" t="s">
        <v>134</v>
      </c>
      <c r="L897" s="2">
        <v>43191</v>
      </c>
      <c r="M897" t="s">
        <v>1711</v>
      </c>
      <c r="N897">
        <v>0</v>
      </c>
      <c r="O897" t="s">
        <v>4903</v>
      </c>
      <c r="P897">
        <v>0</v>
      </c>
      <c r="Q897" t="s">
        <v>4903</v>
      </c>
      <c r="R897" t="s">
        <v>83</v>
      </c>
    </row>
    <row r="898" spans="1:18" hidden="1" x14ac:dyDescent="0.25">
      <c r="A898" t="s">
        <v>3004</v>
      </c>
      <c r="B898" t="s">
        <v>898</v>
      </c>
      <c r="C898" t="s">
        <v>39</v>
      </c>
      <c r="D898" t="s">
        <v>16</v>
      </c>
      <c r="E898" t="s">
        <v>430</v>
      </c>
      <c r="F898" t="s">
        <v>18</v>
      </c>
      <c r="G898" t="s">
        <v>3005</v>
      </c>
      <c r="H898" s="15">
        <v>420750</v>
      </c>
      <c r="I898" s="15">
        <v>0</v>
      </c>
      <c r="J898" t="s">
        <v>89</v>
      </c>
      <c r="K898" t="s">
        <v>65</v>
      </c>
      <c r="L898" s="2">
        <v>43191</v>
      </c>
      <c r="M898" t="s">
        <v>3006</v>
      </c>
      <c r="N898">
        <v>0</v>
      </c>
      <c r="O898" t="s">
        <v>4903</v>
      </c>
      <c r="P898">
        <v>0</v>
      </c>
      <c r="Q898" t="s">
        <v>4903</v>
      </c>
      <c r="R898" t="s">
        <v>3004</v>
      </c>
    </row>
    <row r="899" spans="1:18" hidden="1" x14ac:dyDescent="0.25">
      <c r="A899" t="s">
        <v>1006</v>
      </c>
      <c r="B899" t="s">
        <v>47</v>
      </c>
      <c r="C899" t="s">
        <v>48</v>
      </c>
      <c r="D899" t="s">
        <v>16</v>
      </c>
      <c r="E899" t="s">
        <v>430</v>
      </c>
      <c r="F899" t="s">
        <v>42</v>
      </c>
      <c r="G899" t="s">
        <v>1190</v>
      </c>
      <c r="H899" s="15">
        <v>459000</v>
      </c>
      <c r="I899" s="15">
        <v>0</v>
      </c>
      <c r="J899" t="s">
        <v>89</v>
      </c>
      <c r="K899" t="s">
        <v>28</v>
      </c>
      <c r="L899" s="2">
        <v>43191</v>
      </c>
      <c r="M899" t="s">
        <v>1191</v>
      </c>
      <c r="N899">
        <v>2</v>
      </c>
      <c r="O899" t="s">
        <v>4903</v>
      </c>
      <c r="P899">
        <v>0</v>
      </c>
      <c r="Q899" t="s">
        <v>4903</v>
      </c>
      <c r="R899" t="s">
        <v>1006</v>
      </c>
    </row>
    <row r="900" spans="1:18" hidden="1" x14ac:dyDescent="0.25">
      <c r="A900" t="s">
        <v>3126</v>
      </c>
      <c r="B900" t="s">
        <v>77</v>
      </c>
      <c r="C900" t="s">
        <v>15</v>
      </c>
      <c r="D900" t="s">
        <v>16</v>
      </c>
      <c r="E900" t="s">
        <v>430</v>
      </c>
      <c r="F900" t="s">
        <v>1953</v>
      </c>
      <c r="G900" t="s">
        <v>3127</v>
      </c>
      <c r="H900" s="15">
        <v>673200</v>
      </c>
      <c r="I900" s="15">
        <v>0</v>
      </c>
      <c r="J900" t="s">
        <v>20</v>
      </c>
      <c r="K900" t="s">
        <v>116</v>
      </c>
      <c r="L900" s="2">
        <v>43191</v>
      </c>
      <c r="M900" t="s">
        <v>3128</v>
      </c>
      <c r="N900">
        <v>0</v>
      </c>
      <c r="O900" t="s">
        <v>4903</v>
      </c>
      <c r="P900">
        <v>0</v>
      </c>
      <c r="Q900" t="s">
        <v>4903</v>
      </c>
      <c r="R900" t="s">
        <v>3126</v>
      </c>
    </row>
    <row r="901" spans="1:18" hidden="1" x14ac:dyDescent="0.25">
      <c r="A901" t="s">
        <v>328</v>
      </c>
      <c r="B901" t="s">
        <v>315</v>
      </c>
      <c r="C901" t="s">
        <v>39</v>
      </c>
      <c r="D901" t="s">
        <v>85</v>
      </c>
      <c r="E901" t="s">
        <v>329</v>
      </c>
      <c r="F901" t="s">
        <v>87</v>
      </c>
      <c r="G901" t="s">
        <v>330</v>
      </c>
      <c r="H901" s="15">
        <v>650227</v>
      </c>
      <c r="I901" s="15">
        <v>0</v>
      </c>
      <c r="J901" t="s">
        <v>89</v>
      </c>
      <c r="K901" t="s">
        <v>116</v>
      </c>
      <c r="L901" s="2">
        <v>43191</v>
      </c>
      <c r="M901" t="s">
        <v>331</v>
      </c>
      <c r="N901">
        <v>0</v>
      </c>
      <c r="O901" t="s">
        <v>4903</v>
      </c>
      <c r="P901">
        <v>0</v>
      </c>
      <c r="Q901" t="s">
        <v>4903</v>
      </c>
      <c r="R901" t="s">
        <v>328</v>
      </c>
    </row>
    <row r="902" spans="1:18" hidden="1" x14ac:dyDescent="0.25">
      <c r="A902" t="s">
        <v>1359</v>
      </c>
      <c r="B902" t="s">
        <v>103</v>
      </c>
      <c r="C902" t="s">
        <v>15</v>
      </c>
      <c r="D902" t="s">
        <v>85</v>
      </c>
      <c r="E902" t="s">
        <v>329</v>
      </c>
      <c r="F902" t="s">
        <v>87</v>
      </c>
      <c r="G902" t="s">
        <v>1360</v>
      </c>
      <c r="H902" s="15">
        <v>273862</v>
      </c>
      <c r="I902" s="15">
        <v>0</v>
      </c>
      <c r="J902" t="s">
        <v>89</v>
      </c>
      <c r="K902" t="s">
        <v>116</v>
      </c>
      <c r="L902" s="2">
        <v>43191</v>
      </c>
      <c r="M902" t="s">
        <v>1361</v>
      </c>
      <c r="N902">
        <v>2</v>
      </c>
      <c r="O902" t="s">
        <v>4903</v>
      </c>
      <c r="P902">
        <v>0</v>
      </c>
      <c r="Q902" t="s">
        <v>4903</v>
      </c>
      <c r="R902" t="s">
        <v>1359</v>
      </c>
    </row>
    <row r="903" spans="1:18" hidden="1" x14ac:dyDescent="0.25">
      <c r="A903" t="s">
        <v>3216</v>
      </c>
      <c r="B903" t="s">
        <v>24</v>
      </c>
      <c r="C903" t="s">
        <v>15</v>
      </c>
      <c r="D903" t="s">
        <v>16</v>
      </c>
      <c r="E903" t="s">
        <v>227</v>
      </c>
      <c r="F903" t="s">
        <v>34</v>
      </c>
      <c r="G903" t="s">
        <v>3658</v>
      </c>
      <c r="H903" s="15">
        <v>100000</v>
      </c>
      <c r="I903" s="15">
        <v>0</v>
      </c>
      <c r="J903" t="s">
        <v>44</v>
      </c>
      <c r="K903" t="s">
        <v>28</v>
      </c>
      <c r="L903" s="2">
        <v>43191</v>
      </c>
      <c r="M903" t="s">
        <v>3657</v>
      </c>
      <c r="N903">
        <v>0</v>
      </c>
      <c r="O903" t="s">
        <v>4903</v>
      </c>
      <c r="P903">
        <v>0</v>
      </c>
      <c r="Q903" t="s">
        <v>4903</v>
      </c>
      <c r="R903" t="s">
        <v>3216</v>
      </c>
    </row>
    <row r="904" spans="1:18" hidden="1" x14ac:dyDescent="0.25">
      <c r="A904" t="s">
        <v>851</v>
      </c>
      <c r="B904" t="s">
        <v>725</v>
      </c>
      <c r="C904" t="s">
        <v>726</v>
      </c>
      <c r="D904" t="s">
        <v>16</v>
      </c>
      <c r="E904" t="s">
        <v>430</v>
      </c>
      <c r="F904" t="s">
        <v>152</v>
      </c>
      <c r="G904" t="s">
        <v>852</v>
      </c>
      <c r="H904" s="15">
        <v>1063350</v>
      </c>
      <c r="I904" s="15">
        <v>0</v>
      </c>
      <c r="J904" t="s">
        <v>20</v>
      </c>
      <c r="K904" t="s">
        <v>28</v>
      </c>
      <c r="L904" s="2">
        <v>43191</v>
      </c>
      <c r="M904" t="s">
        <v>853</v>
      </c>
      <c r="N904">
        <v>0</v>
      </c>
      <c r="O904" t="s">
        <v>4903</v>
      </c>
      <c r="P904">
        <v>0</v>
      </c>
      <c r="Q904" t="s">
        <v>4903</v>
      </c>
      <c r="R904" t="s">
        <v>851</v>
      </c>
    </row>
    <row r="905" spans="1:18" hidden="1" x14ac:dyDescent="0.25">
      <c r="A905" t="s">
        <v>1506</v>
      </c>
      <c r="B905" t="s">
        <v>289</v>
      </c>
      <c r="C905" t="s">
        <v>15</v>
      </c>
      <c r="D905" t="s">
        <v>16</v>
      </c>
      <c r="E905" t="s">
        <v>430</v>
      </c>
      <c r="F905" t="s">
        <v>152</v>
      </c>
      <c r="G905" t="s">
        <v>1507</v>
      </c>
      <c r="H905" s="15">
        <v>776475</v>
      </c>
      <c r="I905" s="15">
        <v>0</v>
      </c>
      <c r="J905" t="s">
        <v>20</v>
      </c>
      <c r="K905" t="s">
        <v>28</v>
      </c>
      <c r="L905" s="2">
        <v>43191</v>
      </c>
      <c r="M905" t="s">
        <v>1508</v>
      </c>
      <c r="N905">
        <v>2</v>
      </c>
      <c r="O905" t="s">
        <v>4903</v>
      </c>
      <c r="P905">
        <v>0</v>
      </c>
      <c r="Q905" t="s">
        <v>4903</v>
      </c>
      <c r="R905" t="s">
        <v>1506</v>
      </c>
    </row>
    <row r="906" spans="1:18" hidden="1" x14ac:dyDescent="0.25">
      <c r="A906" t="s">
        <v>3198</v>
      </c>
      <c r="B906" t="s">
        <v>84</v>
      </c>
      <c r="C906" t="s">
        <v>15</v>
      </c>
      <c r="D906" t="s">
        <v>85</v>
      </c>
      <c r="E906" t="s">
        <v>329</v>
      </c>
      <c r="F906" t="s">
        <v>87</v>
      </c>
      <c r="G906" t="s">
        <v>3199</v>
      </c>
      <c r="H906" s="15">
        <v>251940</v>
      </c>
      <c r="I906" s="15">
        <v>10500</v>
      </c>
      <c r="J906" t="s">
        <v>89</v>
      </c>
      <c r="K906" t="s">
        <v>74</v>
      </c>
      <c r="L906" s="2">
        <v>43191</v>
      </c>
      <c r="M906" t="s">
        <v>3200</v>
      </c>
      <c r="N906">
        <v>0</v>
      </c>
      <c r="O906" t="s">
        <v>4903</v>
      </c>
      <c r="P906">
        <v>0</v>
      </c>
      <c r="Q906" t="s">
        <v>4903</v>
      </c>
      <c r="R906" t="s">
        <v>3198</v>
      </c>
    </row>
    <row r="907" spans="1:18" hidden="1" x14ac:dyDescent="0.25">
      <c r="A907" t="s">
        <v>539</v>
      </c>
      <c r="B907" t="s">
        <v>61</v>
      </c>
      <c r="C907" t="s">
        <v>62</v>
      </c>
      <c r="D907" t="s">
        <v>16</v>
      </c>
      <c r="E907" t="s">
        <v>430</v>
      </c>
      <c r="F907" t="s">
        <v>1953</v>
      </c>
      <c r="G907" t="s">
        <v>1954</v>
      </c>
      <c r="H907" s="15">
        <v>669375</v>
      </c>
      <c r="I907" s="15">
        <v>0</v>
      </c>
      <c r="J907" t="s">
        <v>20</v>
      </c>
      <c r="K907" t="s">
        <v>116</v>
      </c>
      <c r="L907" s="2">
        <v>43191</v>
      </c>
      <c r="M907" t="s">
        <v>1955</v>
      </c>
      <c r="N907">
        <v>0</v>
      </c>
      <c r="O907" t="s">
        <v>4903</v>
      </c>
      <c r="P907">
        <v>0</v>
      </c>
      <c r="Q907" t="s">
        <v>4903</v>
      </c>
      <c r="R907" t="s">
        <v>539</v>
      </c>
    </row>
    <row r="908" spans="1:18" hidden="1" x14ac:dyDescent="0.25">
      <c r="A908" t="s">
        <v>2190</v>
      </c>
      <c r="B908" t="s">
        <v>119</v>
      </c>
      <c r="C908" t="s">
        <v>39</v>
      </c>
      <c r="D908" t="s">
        <v>16</v>
      </c>
      <c r="E908" t="s">
        <v>430</v>
      </c>
      <c r="F908" t="s">
        <v>140</v>
      </c>
      <c r="G908" t="s">
        <v>3210</v>
      </c>
      <c r="H908" s="15">
        <v>665550</v>
      </c>
      <c r="I908" s="15">
        <v>0</v>
      </c>
      <c r="J908" t="s">
        <v>20</v>
      </c>
      <c r="K908" t="s">
        <v>28</v>
      </c>
      <c r="L908" s="2">
        <v>43191</v>
      </c>
      <c r="M908" t="s">
        <v>3211</v>
      </c>
      <c r="N908">
        <v>0</v>
      </c>
      <c r="O908" t="s">
        <v>4903</v>
      </c>
      <c r="P908">
        <v>0</v>
      </c>
      <c r="Q908" t="s">
        <v>4903</v>
      </c>
      <c r="R908" t="s">
        <v>2190</v>
      </c>
    </row>
    <row r="909" spans="1:18" hidden="1" x14ac:dyDescent="0.25">
      <c r="A909" t="s">
        <v>1542</v>
      </c>
      <c r="B909" t="s">
        <v>47</v>
      </c>
      <c r="C909" t="s">
        <v>48</v>
      </c>
      <c r="D909" t="s">
        <v>85</v>
      </c>
      <c r="E909" t="s">
        <v>329</v>
      </c>
      <c r="F909" t="s">
        <v>87</v>
      </c>
      <c r="G909" t="s">
        <v>3152</v>
      </c>
      <c r="H909" s="15">
        <v>381750</v>
      </c>
      <c r="I909" s="15">
        <v>0</v>
      </c>
      <c r="J909" t="s">
        <v>89</v>
      </c>
      <c r="K909" t="s">
        <v>21</v>
      </c>
      <c r="L909" s="2">
        <v>43191</v>
      </c>
      <c r="M909" t="s">
        <v>3153</v>
      </c>
      <c r="N909">
        <v>0</v>
      </c>
      <c r="O909" t="s">
        <v>4903</v>
      </c>
      <c r="P909">
        <v>0</v>
      </c>
      <c r="Q909" t="s">
        <v>4903</v>
      </c>
      <c r="R909" t="s">
        <v>1542</v>
      </c>
    </row>
    <row r="910" spans="1:18" hidden="1" x14ac:dyDescent="0.25">
      <c r="A910" t="s">
        <v>4223</v>
      </c>
      <c r="B910" t="s">
        <v>333</v>
      </c>
      <c r="C910" t="s">
        <v>334</v>
      </c>
      <c r="D910" t="s">
        <v>16</v>
      </c>
      <c r="E910" t="s">
        <v>430</v>
      </c>
      <c r="F910" t="s">
        <v>140</v>
      </c>
      <c r="G910" t="s">
        <v>4226</v>
      </c>
      <c r="H910" s="15">
        <v>558452</v>
      </c>
      <c r="I910" s="15">
        <v>0</v>
      </c>
      <c r="J910" t="s">
        <v>154</v>
      </c>
      <c r="K910" t="s">
        <v>28</v>
      </c>
      <c r="L910" s="2">
        <v>43191</v>
      </c>
      <c r="M910" t="s">
        <v>4227</v>
      </c>
      <c r="N910">
        <v>0</v>
      </c>
      <c r="O910" t="s">
        <v>4903</v>
      </c>
      <c r="P910">
        <v>0</v>
      </c>
      <c r="Q910" t="s">
        <v>4903</v>
      </c>
      <c r="R910" t="s">
        <v>4223</v>
      </c>
    </row>
    <row r="911" spans="1:18" hidden="1" x14ac:dyDescent="0.25">
      <c r="A911" t="s">
        <v>1763</v>
      </c>
      <c r="B911" t="s">
        <v>24</v>
      </c>
      <c r="C911" t="s">
        <v>15</v>
      </c>
      <c r="D911" t="s">
        <v>16</v>
      </c>
      <c r="E911" t="s">
        <v>430</v>
      </c>
      <c r="F911" t="s">
        <v>34</v>
      </c>
      <c r="G911" t="s">
        <v>1764</v>
      </c>
      <c r="H911" s="15">
        <v>776475</v>
      </c>
      <c r="I911" s="15">
        <v>0</v>
      </c>
      <c r="J911" t="s">
        <v>20</v>
      </c>
      <c r="K911" t="s">
        <v>28</v>
      </c>
      <c r="L911" s="2">
        <v>43191</v>
      </c>
      <c r="M911" t="s">
        <v>1765</v>
      </c>
      <c r="N911">
        <v>0</v>
      </c>
      <c r="O911" t="s">
        <v>4903</v>
      </c>
      <c r="P911">
        <v>0</v>
      </c>
      <c r="Q911" t="s">
        <v>4903</v>
      </c>
      <c r="R911" t="s">
        <v>1763</v>
      </c>
    </row>
    <row r="912" spans="1:18" hidden="1" x14ac:dyDescent="0.25">
      <c r="A912" t="s">
        <v>3863</v>
      </c>
      <c r="B912" t="s">
        <v>119</v>
      </c>
      <c r="C912" t="s">
        <v>39</v>
      </c>
      <c r="D912" t="s">
        <v>16</v>
      </c>
      <c r="E912" t="s">
        <v>430</v>
      </c>
      <c r="F912" t="s">
        <v>42</v>
      </c>
      <c r="G912" t="s">
        <v>3864</v>
      </c>
      <c r="H912" s="15">
        <v>650250</v>
      </c>
      <c r="I912" s="15">
        <v>0</v>
      </c>
      <c r="J912" t="s">
        <v>20</v>
      </c>
      <c r="K912" t="s">
        <v>28</v>
      </c>
      <c r="L912" s="2">
        <v>43191</v>
      </c>
      <c r="M912" t="s">
        <v>3865</v>
      </c>
      <c r="N912">
        <v>0</v>
      </c>
      <c r="O912" t="s">
        <v>4903</v>
      </c>
      <c r="P912">
        <v>0</v>
      </c>
      <c r="Q912" t="s">
        <v>4903</v>
      </c>
      <c r="R912" t="s">
        <v>3863</v>
      </c>
    </row>
    <row r="913" spans="1:18" hidden="1" x14ac:dyDescent="0.25">
      <c r="A913" t="s">
        <v>3559</v>
      </c>
      <c r="B913" t="s">
        <v>161</v>
      </c>
      <c r="C913" t="s">
        <v>39</v>
      </c>
      <c r="D913" t="s">
        <v>16</v>
      </c>
      <c r="E913" t="s">
        <v>430</v>
      </c>
      <c r="F913" t="s">
        <v>18</v>
      </c>
      <c r="G913" t="s">
        <v>3560</v>
      </c>
      <c r="H913" s="15">
        <v>749700</v>
      </c>
      <c r="I913" s="15">
        <v>0</v>
      </c>
      <c r="J913" t="s">
        <v>20</v>
      </c>
      <c r="K913" t="s">
        <v>65</v>
      </c>
      <c r="L913" s="2">
        <v>43191</v>
      </c>
      <c r="M913" t="s">
        <v>3561</v>
      </c>
      <c r="N913">
        <v>0</v>
      </c>
      <c r="O913" t="s">
        <v>4903</v>
      </c>
      <c r="P913">
        <v>0</v>
      </c>
      <c r="Q913" t="s">
        <v>4903</v>
      </c>
      <c r="R913" t="s">
        <v>3559</v>
      </c>
    </row>
    <row r="914" spans="1:18" hidden="1" x14ac:dyDescent="0.25">
      <c r="A914" t="s">
        <v>444</v>
      </c>
      <c r="B914" t="s">
        <v>38</v>
      </c>
      <c r="C914" t="s">
        <v>39</v>
      </c>
      <c r="D914" t="s">
        <v>16</v>
      </c>
      <c r="E914" t="s">
        <v>430</v>
      </c>
      <c r="F914" t="s">
        <v>152</v>
      </c>
      <c r="G914" t="s">
        <v>445</v>
      </c>
      <c r="H914" s="15">
        <v>688500</v>
      </c>
      <c r="I914" s="15">
        <v>0</v>
      </c>
      <c r="J914" t="s">
        <v>20</v>
      </c>
      <c r="K914" t="s">
        <v>28</v>
      </c>
      <c r="L914" s="2">
        <v>43191</v>
      </c>
      <c r="M914" t="s">
        <v>446</v>
      </c>
      <c r="N914">
        <v>1</v>
      </c>
      <c r="O914" t="s">
        <v>4903</v>
      </c>
      <c r="P914">
        <v>0</v>
      </c>
      <c r="Q914" t="s">
        <v>4903</v>
      </c>
      <c r="R914" t="s">
        <v>444</v>
      </c>
    </row>
    <row r="915" spans="1:18" hidden="1" x14ac:dyDescent="0.25">
      <c r="A915" t="s">
        <v>1442</v>
      </c>
      <c r="B915" t="s">
        <v>31</v>
      </c>
      <c r="C915" t="s">
        <v>15</v>
      </c>
      <c r="D915" t="s">
        <v>85</v>
      </c>
      <c r="E915" t="s">
        <v>329</v>
      </c>
      <c r="F915" t="s">
        <v>87</v>
      </c>
      <c r="G915" t="s">
        <v>3212</v>
      </c>
      <c r="H915" s="15">
        <v>348985</v>
      </c>
      <c r="I915" s="15">
        <v>0</v>
      </c>
      <c r="J915" t="s">
        <v>89</v>
      </c>
      <c r="K915" t="s">
        <v>65</v>
      </c>
      <c r="L915" s="2">
        <v>43191</v>
      </c>
      <c r="M915" t="s">
        <v>3213</v>
      </c>
      <c r="N915">
        <v>0</v>
      </c>
      <c r="O915" t="s">
        <v>4903</v>
      </c>
      <c r="P915">
        <v>0</v>
      </c>
      <c r="Q915" t="s">
        <v>4903</v>
      </c>
      <c r="R915" t="s">
        <v>1442</v>
      </c>
    </row>
    <row r="916" spans="1:18" hidden="1" x14ac:dyDescent="0.25">
      <c r="A916" t="s">
        <v>1137</v>
      </c>
      <c r="B916" t="s">
        <v>77</v>
      </c>
      <c r="C916" t="s">
        <v>15</v>
      </c>
      <c r="D916" t="s">
        <v>16</v>
      </c>
      <c r="E916" t="s">
        <v>430</v>
      </c>
      <c r="F916" t="s">
        <v>140</v>
      </c>
      <c r="G916" t="s">
        <v>1138</v>
      </c>
      <c r="H916" s="15">
        <v>956250</v>
      </c>
      <c r="I916" s="15">
        <v>0</v>
      </c>
      <c r="J916" t="s">
        <v>20</v>
      </c>
      <c r="K916" t="s">
        <v>28</v>
      </c>
      <c r="L916" s="2">
        <v>43191</v>
      </c>
      <c r="M916" t="s">
        <v>1139</v>
      </c>
      <c r="N916">
        <v>0</v>
      </c>
      <c r="O916" t="s">
        <v>4903</v>
      </c>
      <c r="P916">
        <v>0</v>
      </c>
      <c r="Q916" t="s">
        <v>4903</v>
      </c>
      <c r="R916" t="s">
        <v>1137</v>
      </c>
    </row>
    <row r="917" spans="1:18" hidden="1" x14ac:dyDescent="0.25">
      <c r="A917" t="s">
        <v>1744</v>
      </c>
      <c r="B917" t="s">
        <v>47</v>
      </c>
      <c r="C917" t="s">
        <v>48</v>
      </c>
      <c r="D917" t="s">
        <v>16</v>
      </c>
      <c r="E917" t="s">
        <v>430</v>
      </c>
      <c r="F917" t="s">
        <v>26</v>
      </c>
      <c r="G917" t="s">
        <v>1745</v>
      </c>
      <c r="H917" s="15">
        <v>150000</v>
      </c>
      <c r="I917" s="15">
        <v>0</v>
      </c>
      <c r="J917" t="s">
        <v>89</v>
      </c>
      <c r="K917" t="s">
        <v>28</v>
      </c>
      <c r="L917" s="2">
        <v>43191</v>
      </c>
      <c r="M917" t="s">
        <v>1746</v>
      </c>
      <c r="N917">
        <v>0</v>
      </c>
      <c r="O917" t="s">
        <v>4903</v>
      </c>
      <c r="P917">
        <v>0</v>
      </c>
      <c r="Q917" t="s">
        <v>4903</v>
      </c>
      <c r="R917" t="s">
        <v>1744</v>
      </c>
    </row>
    <row r="918" spans="1:18" hidden="1" x14ac:dyDescent="0.25">
      <c r="A918" t="s">
        <v>1611</v>
      </c>
      <c r="B918" t="s">
        <v>315</v>
      </c>
      <c r="C918" t="s">
        <v>39</v>
      </c>
      <c r="D918" t="s">
        <v>16</v>
      </c>
      <c r="E918" t="s">
        <v>430</v>
      </c>
      <c r="F918" t="s">
        <v>140</v>
      </c>
      <c r="G918" t="s">
        <v>4269</v>
      </c>
      <c r="H918" s="15">
        <v>845325</v>
      </c>
      <c r="I918" s="15">
        <v>0</v>
      </c>
      <c r="J918" t="s">
        <v>20</v>
      </c>
      <c r="K918" t="s">
        <v>28</v>
      </c>
      <c r="L918" s="2">
        <v>43191</v>
      </c>
      <c r="M918" t="s">
        <v>4270</v>
      </c>
      <c r="N918">
        <v>0</v>
      </c>
      <c r="O918" t="s">
        <v>4903</v>
      </c>
      <c r="P918">
        <v>0</v>
      </c>
      <c r="Q918" t="s">
        <v>4903</v>
      </c>
      <c r="R918" t="s">
        <v>1611</v>
      </c>
    </row>
    <row r="919" spans="1:18" hidden="1" x14ac:dyDescent="0.25">
      <c r="A919" t="s">
        <v>185</v>
      </c>
      <c r="B919" t="s">
        <v>47</v>
      </c>
      <c r="C919" t="s">
        <v>48</v>
      </c>
      <c r="D919" t="s">
        <v>16</v>
      </c>
      <c r="E919" t="s">
        <v>430</v>
      </c>
      <c r="F919" t="s">
        <v>140</v>
      </c>
      <c r="G919" t="s">
        <v>4167</v>
      </c>
      <c r="H919" s="15">
        <v>787950</v>
      </c>
      <c r="I919" s="15">
        <v>0</v>
      </c>
      <c r="J919" t="s">
        <v>20</v>
      </c>
      <c r="K919" t="s">
        <v>28</v>
      </c>
      <c r="L919" s="2">
        <v>43191</v>
      </c>
      <c r="M919" t="s">
        <v>4168</v>
      </c>
      <c r="N919">
        <v>0</v>
      </c>
      <c r="O919" t="s">
        <v>4903</v>
      </c>
      <c r="P919">
        <v>0</v>
      </c>
      <c r="Q919" t="s">
        <v>4903</v>
      </c>
      <c r="R919" t="s">
        <v>185</v>
      </c>
    </row>
    <row r="920" spans="1:18" hidden="1" x14ac:dyDescent="0.25">
      <c r="A920" t="s">
        <v>3292</v>
      </c>
      <c r="B920" t="s">
        <v>244</v>
      </c>
      <c r="C920" t="s">
        <v>39</v>
      </c>
      <c r="D920" t="s">
        <v>16</v>
      </c>
      <c r="E920" t="s">
        <v>430</v>
      </c>
      <c r="F920" t="s">
        <v>26</v>
      </c>
      <c r="G920" t="s">
        <v>3293</v>
      </c>
      <c r="H920" s="15">
        <v>1208700</v>
      </c>
      <c r="I920" s="15">
        <v>0</v>
      </c>
      <c r="J920" t="s">
        <v>20</v>
      </c>
      <c r="K920" t="s">
        <v>28</v>
      </c>
      <c r="L920" s="2">
        <v>43191</v>
      </c>
      <c r="M920" t="s">
        <v>3294</v>
      </c>
      <c r="N920">
        <v>0</v>
      </c>
      <c r="O920" t="s">
        <v>4903</v>
      </c>
      <c r="P920">
        <v>0</v>
      </c>
      <c r="Q920" t="s">
        <v>4903</v>
      </c>
      <c r="R920" t="s">
        <v>3292</v>
      </c>
    </row>
    <row r="921" spans="1:18" hidden="1" x14ac:dyDescent="0.25">
      <c r="A921" t="s">
        <v>2483</v>
      </c>
      <c r="B921" t="s">
        <v>315</v>
      </c>
      <c r="C921" t="s">
        <v>39</v>
      </c>
      <c r="D921" t="s">
        <v>16</v>
      </c>
      <c r="E921" t="s">
        <v>430</v>
      </c>
      <c r="F921" t="s">
        <v>152</v>
      </c>
      <c r="G921" t="s">
        <v>2484</v>
      </c>
      <c r="H921" s="15">
        <v>837675</v>
      </c>
      <c r="I921" s="15">
        <v>0</v>
      </c>
      <c r="J921" t="s">
        <v>20</v>
      </c>
      <c r="K921" t="s">
        <v>28</v>
      </c>
      <c r="L921" s="2">
        <v>43191</v>
      </c>
      <c r="M921" t="s">
        <v>2485</v>
      </c>
      <c r="N921">
        <v>0</v>
      </c>
      <c r="O921" t="s">
        <v>4903</v>
      </c>
      <c r="P921">
        <v>0</v>
      </c>
      <c r="Q921" t="s">
        <v>4903</v>
      </c>
      <c r="R921" t="s">
        <v>2483</v>
      </c>
    </row>
    <row r="922" spans="1:18" hidden="1" x14ac:dyDescent="0.25">
      <c r="A922" t="s">
        <v>2251</v>
      </c>
      <c r="B922" t="s">
        <v>898</v>
      </c>
      <c r="C922" t="s">
        <v>39</v>
      </c>
      <c r="D922" t="s">
        <v>85</v>
      </c>
      <c r="E922" t="s">
        <v>329</v>
      </c>
      <c r="F922" t="s">
        <v>87</v>
      </c>
      <c r="G922" t="s">
        <v>2257</v>
      </c>
      <c r="H922" s="15">
        <v>201422</v>
      </c>
      <c r="I922" s="15">
        <v>71937</v>
      </c>
      <c r="J922" t="s">
        <v>89</v>
      </c>
      <c r="K922" t="s">
        <v>28</v>
      </c>
      <c r="L922" s="2">
        <v>43191</v>
      </c>
      <c r="M922" t="s">
        <v>2258</v>
      </c>
      <c r="N922">
        <v>0</v>
      </c>
      <c r="O922" t="s">
        <v>4903</v>
      </c>
      <c r="P922">
        <v>0</v>
      </c>
      <c r="Q922" t="s">
        <v>4903</v>
      </c>
      <c r="R922" t="s">
        <v>2251</v>
      </c>
    </row>
    <row r="923" spans="1:18" hidden="1" x14ac:dyDescent="0.25">
      <c r="A923" t="s">
        <v>477</v>
      </c>
      <c r="B923" t="s">
        <v>84</v>
      </c>
      <c r="C923" t="s">
        <v>15</v>
      </c>
      <c r="D923" t="s">
        <v>85</v>
      </c>
      <c r="E923" t="s">
        <v>329</v>
      </c>
      <c r="F923" t="s">
        <v>87</v>
      </c>
      <c r="G923" t="s">
        <v>682</v>
      </c>
      <c r="H923" s="15">
        <v>299503</v>
      </c>
      <c r="I923" s="15">
        <v>0</v>
      </c>
      <c r="J923" t="s">
        <v>89</v>
      </c>
      <c r="K923" t="s">
        <v>65</v>
      </c>
      <c r="L923" s="2">
        <v>43191</v>
      </c>
      <c r="M923" t="s">
        <v>683</v>
      </c>
      <c r="N923">
        <v>0</v>
      </c>
      <c r="O923" t="s">
        <v>4903</v>
      </c>
      <c r="P923">
        <v>0</v>
      </c>
      <c r="Q923" t="s">
        <v>4903</v>
      </c>
      <c r="R923" t="s">
        <v>477</v>
      </c>
    </row>
    <row r="924" spans="1:18" hidden="1" x14ac:dyDescent="0.25">
      <c r="A924" t="s">
        <v>496</v>
      </c>
      <c r="B924" t="s">
        <v>84</v>
      </c>
      <c r="C924" t="s">
        <v>15</v>
      </c>
      <c r="D924" t="s">
        <v>85</v>
      </c>
      <c r="E924" t="s">
        <v>329</v>
      </c>
      <c r="F924" t="s">
        <v>87</v>
      </c>
      <c r="G924" t="s">
        <v>1424</v>
      </c>
      <c r="H924" s="15">
        <v>419100</v>
      </c>
      <c r="I924" s="15">
        <v>0</v>
      </c>
      <c r="J924" t="s">
        <v>89</v>
      </c>
      <c r="K924" t="s">
        <v>28</v>
      </c>
      <c r="L924" s="2">
        <v>43191</v>
      </c>
      <c r="M924" t="s">
        <v>1425</v>
      </c>
      <c r="N924">
        <v>0</v>
      </c>
      <c r="O924" t="s">
        <v>4903</v>
      </c>
      <c r="P924">
        <v>0</v>
      </c>
      <c r="Q924" t="s">
        <v>4903</v>
      </c>
      <c r="R924" t="s">
        <v>496</v>
      </c>
    </row>
    <row r="925" spans="1:18" hidden="1" x14ac:dyDescent="0.25">
      <c r="A925" t="s">
        <v>175</v>
      </c>
      <c r="B925" t="s">
        <v>14</v>
      </c>
      <c r="C925" t="s">
        <v>15</v>
      </c>
      <c r="D925" t="s">
        <v>16</v>
      </c>
      <c r="E925" t="s">
        <v>430</v>
      </c>
      <c r="F925" t="s">
        <v>140</v>
      </c>
      <c r="G925" t="s">
        <v>3614</v>
      </c>
      <c r="H925" s="15">
        <v>340425</v>
      </c>
      <c r="I925" s="15">
        <v>0</v>
      </c>
      <c r="J925" t="s">
        <v>89</v>
      </c>
      <c r="K925" t="s">
        <v>28</v>
      </c>
      <c r="L925" s="2">
        <v>43191</v>
      </c>
      <c r="M925" t="s">
        <v>3615</v>
      </c>
      <c r="N925">
        <v>2</v>
      </c>
      <c r="O925" t="s">
        <v>4903</v>
      </c>
      <c r="P925">
        <v>0</v>
      </c>
      <c r="Q925" t="s">
        <v>4903</v>
      </c>
      <c r="R925" t="s">
        <v>175</v>
      </c>
    </row>
    <row r="926" spans="1:18" hidden="1" x14ac:dyDescent="0.25">
      <c r="A926" t="s">
        <v>2381</v>
      </c>
      <c r="B926" t="s">
        <v>1020</v>
      </c>
      <c r="C926" t="s">
        <v>15</v>
      </c>
      <c r="D926" t="s">
        <v>16</v>
      </c>
      <c r="E926" t="s">
        <v>430</v>
      </c>
      <c r="F926" t="s">
        <v>152</v>
      </c>
      <c r="G926" t="s">
        <v>2382</v>
      </c>
      <c r="H926" s="15">
        <v>983025</v>
      </c>
      <c r="I926" s="15">
        <v>0</v>
      </c>
      <c r="J926" t="s">
        <v>20</v>
      </c>
      <c r="K926" t="s">
        <v>28</v>
      </c>
      <c r="L926" s="2">
        <v>43191</v>
      </c>
      <c r="M926" t="s">
        <v>2383</v>
      </c>
      <c r="N926">
        <v>0</v>
      </c>
      <c r="O926" t="s">
        <v>4903</v>
      </c>
      <c r="P926">
        <v>0</v>
      </c>
      <c r="Q926" t="s">
        <v>4903</v>
      </c>
      <c r="R926" t="s">
        <v>2381</v>
      </c>
    </row>
    <row r="927" spans="1:18" hidden="1" x14ac:dyDescent="0.25">
      <c r="A927" t="s">
        <v>1315</v>
      </c>
      <c r="B927" t="s">
        <v>84</v>
      </c>
      <c r="C927" t="s">
        <v>15</v>
      </c>
      <c r="D927" t="s">
        <v>85</v>
      </c>
      <c r="E927" t="s">
        <v>329</v>
      </c>
      <c r="F927" t="s">
        <v>87</v>
      </c>
      <c r="G927" t="s">
        <v>1316</v>
      </c>
      <c r="H927" s="15">
        <v>362865</v>
      </c>
      <c r="I927" s="15">
        <v>0</v>
      </c>
      <c r="J927" t="s">
        <v>89</v>
      </c>
      <c r="K927" t="s">
        <v>21</v>
      </c>
      <c r="L927" s="2">
        <v>43191</v>
      </c>
      <c r="M927" t="s">
        <v>1317</v>
      </c>
      <c r="N927">
        <v>2</v>
      </c>
      <c r="O927" t="s">
        <v>4903</v>
      </c>
      <c r="P927">
        <v>0</v>
      </c>
      <c r="Q927" t="s">
        <v>4903</v>
      </c>
      <c r="R927" t="s">
        <v>1315</v>
      </c>
    </row>
    <row r="928" spans="1:18" hidden="1" x14ac:dyDescent="0.25">
      <c r="A928" t="s">
        <v>1635</v>
      </c>
      <c r="B928" t="s">
        <v>898</v>
      </c>
      <c r="C928" t="s">
        <v>39</v>
      </c>
      <c r="D928" t="s">
        <v>85</v>
      </c>
      <c r="E928" t="s">
        <v>329</v>
      </c>
      <c r="F928" t="s">
        <v>87</v>
      </c>
      <c r="G928" t="s">
        <v>2362</v>
      </c>
      <c r="H928" s="15">
        <v>237423</v>
      </c>
      <c r="I928" s="15">
        <v>22613</v>
      </c>
      <c r="J928" t="s">
        <v>89</v>
      </c>
      <c r="K928" t="s">
        <v>100</v>
      </c>
      <c r="L928" s="2">
        <v>43191</v>
      </c>
      <c r="M928" t="s">
        <v>2363</v>
      </c>
      <c r="N928">
        <v>0</v>
      </c>
      <c r="O928" t="s">
        <v>4903</v>
      </c>
      <c r="P928">
        <v>0</v>
      </c>
      <c r="Q928" t="s">
        <v>4903</v>
      </c>
      <c r="R928" t="s">
        <v>1635</v>
      </c>
    </row>
    <row r="929" spans="1:18" hidden="1" x14ac:dyDescent="0.25">
      <c r="A929" t="s">
        <v>1635</v>
      </c>
      <c r="B929" t="s">
        <v>898</v>
      </c>
      <c r="C929" t="s">
        <v>39</v>
      </c>
      <c r="D929" t="s">
        <v>85</v>
      </c>
      <c r="E929" t="s">
        <v>329</v>
      </c>
      <c r="F929" t="s">
        <v>87</v>
      </c>
      <c r="G929" t="s">
        <v>2439</v>
      </c>
      <c r="H929" s="15">
        <v>249000</v>
      </c>
      <c r="I929" s="15">
        <v>0</v>
      </c>
      <c r="J929" t="s">
        <v>89</v>
      </c>
      <c r="K929" t="s">
        <v>116</v>
      </c>
      <c r="L929" s="2">
        <v>43191</v>
      </c>
      <c r="M929" t="s">
        <v>2440</v>
      </c>
      <c r="N929">
        <v>0</v>
      </c>
      <c r="O929" t="s">
        <v>4903</v>
      </c>
      <c r="P929">
        <v>0</v>
      </c>
      <c r="Q929" t="s">
        <v>4903</v>
      </c>
      <c r="R929" t="s">
        <v>1635</v>
      </c>
    </row>
    <row r="930" spans="1:18" hidden="1" x14ac:dyDescent="0.25">
      <c r="A930" t="s">
        <v>3816</v>
      </c>
      <c r="B930" t="s">
        <v>84</v>
      </c>
      <c r="C930" t="s">
        <v>15</v>
      </c>
      <c r="D930" t="s">
        <v>85</v>
      </c>
      <c r="E930" t="s">
        <v>329</v>
      </c>
      <c r="F930" t="s">
        <v>87</v>
      </c>
      <c r="G930" t="s">
        <v>3817</v>
      </c>
      <c r="H930" s="15">
        <v>271119</v>
      </c>
      <c r="I930" s="15">
        <v>0</v>
      </c>
      <c r="J930" t="s">
        <v>89</v>
      </c>
      <c r="K930" t="s">
        <v>21</v>
      </c>
      <c r="L930" s="2">
        <v>43191</v>
      </c>
      <c r="M930" t="s">
        <v>3818</v>
      </c>
      <c r="N930">
        <v>3</v>
      </c>
      <c r="O930" t="s">
        <v>4903</v>
      </c>
      <c r="P930">
        <v>0</v>
      </c>
      <c r="Q930" t="s">
        <v>4903</v>
      </c>
      <c r="R930" t="s">
        <v>3816</v>
      </c>
    </row>
    <row r="931" spans="1:18" hidden="1" x14ac:dyDescent="0.25">
      <c r="A931" t="s">
        <v>3358</v>
      </c>
      <c r="B931" t="s">
        <v>315</v>
      </c>
      <c r="C931" t="s">
        <v>39</v>
      </c>
      <c r="D931" t="s">
        <v>16</v>
      </c>
      <c r="E931" t="s">
        <v>430</v>
      </c>
      <c r="F931" t="s">
        <v>18</v>
      </c>
      <c r="G931" t="s">
        <v>3359</v>
      </c>
      <c r="H931" s="15">
        <v>558450</v>
      </c>
      <c r="I931" s="15">
        <v>0</v>
      </c>
      <c r="J931" t="s">
        <v>20</v>
      </c>
      <c r="K931" t="s">
        <v>201</v>
      </c>
      <c r="L931" s="2">
        <v>43191</v>
      </c>
      <c r="M931" t="s">
        <v>3360</v>
      </c>
      <c r="N931">
        <v>0</v>
      </c>
      <c r="O931" t="s">
        <v>4903</v>
      </c>
      <c r="P931">
        <v>0</v>
      </c>
      <c r="Q931" t="s">
        <v>4903</v>
      </c>
      <c r="R931" t="s">
        <v>3358</v>
      </c>
    </row>
    <row r="932" spans="1:18" hidden="1" x14ac:dyDescent="0.25">
      <c r="A932" t="s">
        <v>1867</v>
      </c>
      <c r="B932" t="s">
        <v>489</v>
      </c>
      <c r="C932" t="s">
        <v>39</v>
      </c>
      <c r="D932" t="s">
        <v>16</v>
      </c>
      <c r="E932" t="s">
        <v>430</v>
      </c>
      <c r="F932" t="s">
        <v>140</v>
      </c>
      <c r="G932" t="s">
        <v>2193</v>
      </c>
      <c r="H932" s="15">
        <v>765000</v>
      </c>
      <c r="I932" s="15">
        <v>0</v>
      </c>
      <c r="J932" t="s">
        <v>20</v>
      </c>
      <c r="K932" t="s">
        <v>28</v>
      </c>
      <c r="L932" s="2">
        <v>43191</v>
      </c>
      <c r="M932" t="s">
        <v>2194</v>
      </c>
      <c r="N932">
        <v>0</v>
      </c>
      <c r="O932" t="s">
        <v>4903</v>
      </c>
      <c r="P932">
        <v>0</v>
      </c>
      <c r="Q932" t="s">
        <v>4903</v>
      </c>
      <c r="R932" t="s">
        <v>1867</v>
      </c>
    </row>
    <row r="933" spans="1:18" hidden="1" x14ac:dyDescent="0.25">
      <c r="A933" t="s">
        <v>1582</v>
      </c>
      <c r="B933" t="s">
        <v>315</v>
      </c>
      <c r="C933" t="s">
        <v>39</v>
      </c>
      <c r="D933" t="s">
        <v>16</v>
      </c>
      <c r="E933" t="s">
        <v>430</v>
      </c>
      <c r="F933" t="s">
        <v>42</v>
      </c>
      <c r="G933" t="s">
        <v>1583</v>
      </c>
      <c r="H933" s="15">
        <v>898875</v>
      </c>
      <c r="I933" s="15">
        <v>0</v>
      </c>
      <c r="J933" t="s">
        <v>20</v>
      </c>
      <c r="K933" t="s">
        <v>28</v>
      </c>
      <c r="L933" s="2">
        <v>43191</v>
      </c>
      <c r="M933" t="s">
        <v>1584</v>
      </c>
      <c r="N933">
        <v>0</v>
      </c>
      <c r="O933" t="s">
        <v>4903</v>
      </c>
      <c r="P933">
        <v>0</v>
      </c>
      <c r="Q933" t="s">
        <v>4903</v>
      </c>
      <c r="R933" t="s">
        <v>1582</v>
      </c>
    </row>
    <row r="934" spans="1:18" hidden="1" x14ac:dyDescent="0.25">
      <c r="A934" t="s">
        <v>4199</v>
      </c>
      <c r="B934" t="s">
        <v>406</v>
      </c>
      <c r="C934" t="s">
        <v>62</v>
      </c>
      <c r="D934" t="s">
        <v>16</v>
      </c>
      <c r="E934" t="s">
        <v>227</v>
      </c>
      <c r="F934" t="s">
        <v>1953</v>
      </c>
      <c r="G934" t="s">
        <v>4200</v>
      </c>
      <c r="H934" s="15">
        <v>100000</v>
      </c>
      <c r="I934" s="15">
        <v>0</v>
      </c>
      <c r="J934" t="s">
        <v>44</v>
      </c>
      <c r="K934" t="s">
        <v>28</v>
      </c>
      <c r="L934" s="2">
        <v>43191</v>
      </c>
      <c r="M934" t="s">
        <v>4201</v>
      </c>
      <c r="N934">
        <v>0</v>
      </c>
      <c r="O934" t="s">
        <v>4903</v>
      </c>
      <c r="P934">
        <v>0</v>
      </c>
      <c r="Q934" t="s">
        <v>4903</v>
      </c>
      <c r="R934" t="s">
        <v>4199</v>
      </c>
    </row>
    <row r="935" spans="1:18" hidden="1" x14ac:dyDescent="0.25">
      <c r="A935" t="s">
        <v>658</v>
      </c>
      <c r="B935" t="s">
        <v>426</v>
      </c>
      <c r="C935" t="s">
        <v>48</v>
      </c>
      <c r="D935" t="s">
        <v>85</v>
      </c>
      <c r="E935" t="s">
        <v>329</v>
      </c>
      <c r="F935" t="s">
        <v>87</v>
      </c>
      <c r="G935" t="s">
        <v>4559</v>
      </c>
      <c r="H935" s="15">
        <v>231245</v>
      </c>
      <c r="I935" s="15">
        <v>6500</v>
      </c>
      <c r="J935" t="s">
        <v>89</v>
      </c>
      <c r="K935" t="s">
        <v>116</v>
      </c>
      <c r="L935" s="2">
        <v>43191</v>
      </c>
      <c r="M935" t="s">
        <v>4560</v>
      </c>
      <c r="N935">
        <v>1</v>
      </c>
      <c r="O935" t="s">
        <v>4903</v>
      </c>
      <c r="P935">
        <v>0</v>
      </c>
      <c r="Q935" t="s">
        <v>4903</v>
      </c>
      <c r="R935" t="s">
        <v>658</v>
      </c>
    </row>
    <row r="936" spans="1:18" hidden="1" x14ac:dyDescent="0.25">
      <c r="A936" t="s">
        <v>2364</v>
      </c>
      <c r="B936" t="s">
        <v>898</v>
      </c>
      <c r="C936" t="s">
        <v>39</v>
      </c>
      <c r="D936" t="s">
        <v>85</v>
      </c>
      <c r="E936" t="s">
        <v>329</v>
      </c>
      <c r="F936" t="s">
        <v>87</v>
      </c>
      <c r="G936" t="s">
        <v>2365</v>
      </c>
      <c r="H936" s="15">
        <v>301500</v>
      </c>
      <c r="I936" s="15">
        <v>0</v>
      </c>
      <c r="J936" t="s">
        <v>89</v>
      </c>
      <c r="K936" t="s">
        <v>28</v>
      </c>
      <c r="L936" s="2">
        <v>43191</v>
      </c>
      <c r="M936" t="s">
        <v>2366</v>
      </c>
      <c r="N936">
        <v>0</v>
      </c>
      <c r="O936" t="s">
        <v>4903</v>
      </c>
      <c r="P936">
        <v>0</v>
      </c>
      <c r="Q936" t="s">
        <v>4903</v>
      </c>
      <c r="R936" t="s">
        <v>2364</v>
      </c>
    </row>
    <row r="937" spans="1:18" hidden="1" x14ac:dyDescent="0.25">
      <c r="A937" t="s">
        <v>2364</v>
      </c>
      <c r="B937" t="s">
        <v>898</v>
      </c>
      <c r="C937" t="s">
        <v>39</v>
      </c>
      <c r="D937" t="s">
        <v>85</v>
      </c>
      <c r="E937" t="s">
        <v>329</v>
      </c>
      <c r="F937" t="s">
        <v>87</v>
      </c>
      <c r="G937" t="s">
        <v>3953</v>
      </c>
      <c r="H937" s="15">
        <v>369433</v>
      </c>
      <c r="I937" s="15">
        <v>4750</v>
      </c>
      <c r="J937" t="s">
        <v>89</v>
      </c>
      <c r="K937" t="s">
        <v>116</v>
      </c>
      <c r="L937" s="2">
        <v>43191</v>
      </c>
      <c r="M937" t="s">
        <v>3954</v>
      </c>
      <c r="N937">
        <v>1</v>
      </c>
      <c r="O937" t="s">
        <v>4903</v>
      </c>
      <c r="P937">
        <v>0</v>
      </c>
      <c r="Q937" t="s">
        <v>4903</v>
      </c>
      <c r="R937" t="s">
        <v>2364</v>
      </c>
    </row>
    <row r="938" spans="1:18" hidden="1" x14ac:dyDescent="0.25">
      <c r="A938" t="s">
        <v>1882</v>
      </c>
      <c r="B938" t="s">
        <v>244</v>
      </c>
      <c r="C938" t="s">
        <v>39</v>
      </c>
      <c r="D938" t="s">
        <v>16</v>
      </c>
      <c r="E938" t="s">
        <v>430</v>
      </c>
      <c r="F938" t="s">
        <v>152</v>
      </c>
      <c r="G938" t="s">
        <v>4251</v>
      </c>
      <c r="H938" s="15">
        <v>692325</v>
      </c>
      <c r="I938" s="15">
        <v>0</v>
      </c>
      <c r="J938" t="s">
        <v>20</v>
      </c>
      <c r="K938" t="s">
        <v>28</v>
      </c>
      <c r="L938" s="2">
        <v>43191</v>
      </c>
      <c r="M938" t="s">
        <v>4252</v>
      </c>
      <c r="N938">
        <v>0</v>
      </c>
      <c r="O938" t="s">
        <v>4903</v>
      </c>
      <c r="P938">
        <v>0</v>
      </c>
      <c r="Q938" t="s">
        <v>4903</v>
      </c>
      <c r="R938" t="s">
        <v>1882</v>
      </c>
    </row>
    <row r="939" spans="1:18" hidden="1" x14ac:dyDescent="0.25">
      <c r="A939" t="s">
        <v>1906</v>
      </c>
      <c r="B939" t="s">
        <v>47</v>
      </c>
      <c r="C939" t="s">
        <v>48</v>
      </c>
      <c r="D939" t="s">
        <v>85</v>
      </c>
      <c r="E939" t="s">
        <v>329</v>
      </c>
      <c r="F939" t="s">
        <v>87</v>
      </c>
      <c r="G939" t="s">
        <v>2120</v>
      </c>
      <c r="H939" s="15">
        <v>259381</v>
      </c>
      <c r="I939" s="15">
        <v>0</v>
      </c>
      <c r="J939" t="s">
        <v>89</v>
      </c>
      <c r="K939" t="s">
        <v>28</v>
      </c>
      <c r="L939" s="2">
        <v>43191</v>
      </c>
      <c r="M939" t="s">
        <v>2121</v>
      </c>
      <c r="N939">
        <v>2</v>
      </c>
      <c r="O939" t="s">
        <v>4903</v>
      </c>
      <c r="P939">
        <v>0</v>
      </c>
      <c r="Q939" t="s">
        <v>4903</v>
      </c>
      <c r="R939" t="s">
        <v>1906</v>
      </c>
    </row>
    <row r="940" spans="1:18" hidden="1" x14ac:dyDescent="0.25">
      <c r="A940" t="s">
        <v>1065</v>
      </c>
      <c r="B940" t="s">
        <v>14</v>
      </c>
      <c r="C940" t="s">
        <v>15</v>
      </c>
      <c r="D940" t="s">
        <v>16</v>
      </c>
      <c r="E940" t="s">
        <v>430</v>
      </c>
      <c r="F940" t="s">
        <v>26</v>
      </c>
      <c r="G940" t="s">
        <v>3014</v>
      </c>
      <c r="H940" s="15">
        <v>688500</v>
      </c>
      <c r="I940" s="15">
        <v>0</v>
      </c>
      <c r="J940" t="s">
        <v>20</v>
      </c>
      <c r="K940" t="s">
        <v>28</v>
      </c>
      <c r="L940" s="2">
        <v>43191</v>
      </c>
      <c r="M940" t="s">
        <v>3015</v>
      </c>
      <c r="N940">
        <v>0</v>
      </c>
      <c r="O940" t="s">
        <v>4903</v>
      </c>
      <c r="P940">
        <v>0</v>
      </c>
      <c r="Q940" t="s">
        <v>4903</v>
      </c>
      <c r="R940" t="s">
        <v>1065</v>
      </c>
    </row>
    <row r="941" spans="1:18" hidden="1" x14ac:dyDescent="0.25">
      <c r="A941" t="s">
        <v>631</v>
      </c>
      <c r="B941" t="s">
        <v>315</v>
      </c>
      <c r="C941" t="s">
        <v>39</v>
      </c>
      <c r="D941" t="s">
        <v>16</v>
      </c>
      <c r="E941" t="s">
        <v>430</v>
      </c>
      <c r="F941" t="s">
        <v>152</v>
      </c>
      <c r="G941" t="s">
        <v>632</v>
      </c>
      <c r="H941" s="15">
        <v>826200</v>
      </c>
      <c r="I941" s="15">
        <v>0</v>
      </c>
      <c r="J941" t="s">
        <v>20</v>
      </c>
      <c r="K941" t="s">
        <v>28</v>
      </c>
      <c r="L941" s="2">
        <v>43191</v>
      </c>
      <c r="M941" t="s">
        <v>633</v>
      </c>
      <c r="N941">
        <v>0</v>
      </c>
      <c r="O941" t="s">
        <v>4903</v>
      </c>
      <c r="P941">
        <v>0</v>
      </c>
      <c r="Q941" t="s">
        <v>4903</v>
      </c>
      <c r="R941" t="s">
        <v>631</v>
      </c>
    </row>
    <row r="942" spans="1:18" hidden="1" x14ac:dyDescent="0.25">
      <c r="A942" t="s">
        <v>1981</v>
      </c>
      <c r="B942" t="s">
        <v>77</v>
      </c>
      <c r="C942" t="s">
        <v>15</v>
      </c>
      <c r="D942" t="s">
        <v>16</v>
      </c>
      <c r="E942" t="s">
        <v>430</v>
      </c>
      <c r="F942" t="s">
        <v>1953</v>
      </c>
      <c r="G942" t="s">
        <v>2601</v>
      </c>
      <c r="H942" s="15">
        <v>994500</v>
      </c>
      <c r="I942" s="15">
        <v>0</v>
      </c>
      <c r="J942" t="s">
        <v>20</v>
      </c>
      <c r="K942" t="s">
        <v>28</v>
      </c>
      <c r="L942" s="2">
        <v>43191</v>
      </c>
      <c r="M942" t="s">
        <v>2602</v>
      </c>
      <c r="N942">
        <v>0</v>
      </c>
      <c r="O942" t="s">
        <v>4903</v>
      </c>
      <c r="P942">
        <v>0</v>
      </c>
      <c r="Q942" t="s">
        <v>4903</v>
      </c>
      <c r="R942" t="s">
        <v>1981</v>
      </c>
    </row>
    <row r="943" spans="1:18" hidden="1" x14ac:dyDescent="0.25">
      <c r="A943" t="s">
        <v>3744</v>
      </c>
      <c r="B943" t="s">
        <v>14</v>
      </c>
      <c r="C943" t="s">
        <v>15</v>
      </c>
      <c r="D943" t="s">
        <v>16</v>
      </c>
      <c r="E943" t="s">
        <v>430</v>
      </c>
      <c r="F943" t="s">
        <v>140</v>
      </c>
      <c r="G943" t="s">
        <v>3745</v>
      </c>
      <c r="H943" s="15">
        <v>875925</v>
      </c>
      <c r="I943" s="15">
        <v>0</v>
      </c>
      <c r="J943" t="s">
        <v>20</v>
      </c>
      <c r="K943" t="s">
        <v>28</v>
      </c>
      <c r="L943" s="2">
        <v>43191</v>
      </c>
      <c r="M943" t="s">
        <v>3746</v>
      </c>
      <c r="N943">
        <v>0</v>
      </c>
      <c r="O943" t="s">
        <v>4903</v>
      </c>
      <c r="P943">
        <v>0</v>
      </c>
      <c r="Q943" t="s">
        <v>4903</v>
      </c>
      <c r="R943" t="s">
        <v>3744</v>
      </c>
    </row>
    <row r="944" spans="1:18" hidden="1" x14ac:dyDescent="0.25">
      <c r="A944" t="s">
        <v>429</v>
      </c>
      <c r="B944" t="s">
        <v>47</v>
      </c>
      <c r="C944" t="s">
        <v>48</v>
      </c>
      <c r="D944" t="s">
        <v>16</v>
      </c>
      <c r="E944" t="s">
        <v>430</v>
      </c>
      <c r="F944" t="s">
        <v>26</v>
      </c>
      <c r="G944" t="s">
        <v>431</v>
      </c>
      <c r="H944" s="15">
        <v>405452</v>
      </c>
      <c r="I944" s="15">
        <v>0</v>
      </c>
      <c r="J944" t="s">
        <v>154</v>
      </c>
      <c r="K944" t="s">
        <v>28</v>
      </c>
      <c r="L944" s="2">
        <v>43191</v>
      </c>
      <c r="M944" t="s">
        <v>432</v>
      </c>
      <c r="N944">
        <v>6</v>
      </c>
      <c r="O944" t="s">
        <v>4903</v>
      </c>
      <c r="P944">
        <v>0</v>
      </c>
      <c r="Q944" t="s">
        <v>4903</v>
      </c>
      <c r="R944" t="s">
        <v>429</v>
      </c>
    </row>
    <row r="945" spans="1:18" hidden="1" x14ac:dyDescent="0.25">
      <c r="A945" t="s">
        <v>3416</v>
      </c>
      <c r="B945" t="s">
        <v>103</v>
      </c>
      <c r="C945" t="s">
        <v>15</v>
      </c>
      <c r="D945" t="s">
        <v>85</v>
      </c>
      <c r="E945" t="s">
        <v>329</v>
      </c>
      <c r="F945" t="s">
        <v>87</v>
      </c>
      <c r="G945" t="s">
        <v>3417</v>
      </c>
      <c r="H945" s="15">
        <v>281306</v>
      </c>
      <c r="I945" s="15">
        <v>12500</v>
      </c>
      <c r="J945" t="s">
        <v>89</v>
      </c>
      <c r="K945" t="s">
        <v>74</v>
      </c>
      <c r="L945" s="2">
        <v>43191</v>
      </c>
      <c r="M945" t="s">
        <v>3418</v>
      </c>
      <c r="N945">
        <v>0</v>
      </c>
      <c r="O945" t="s">
        <v>4903</v>
      </c>
      <c r="P945">
        <v>0</v>
      </c>
      <c r="Q945" t="s">
        <v>4903</v>
      </c>
      <c r="R945" t="s">
        <v>3416</v>
      </c>
    </row>
    <row r="946" spans="1:18" hidden="1" x14ac:dyDescent="0.25">
      <c r="A946" t="s">
        <v>1086</v>
      </c>
      <c r="B946" t="s">
        <v>24</v>
      </c>
      <c r="C946" t="s">
        <v>15</v>
      </c>
      <c r="D946" t="s">
        <v>16</v>
      </c>
      <c r="E946" t="s">
        <v>430</v>
      </c>
      <c r="F946" t="s">
        <v>42</v>
      </c>
      <c r="G946" t="s">
        <v>1087</v>
      </c>
      <c r="H946" s="15">
        <v>910352</v>
      </c>
      <c r="I946" s="15">
        <v>0</v>
      </c>
      <c r="J946" t="s">
        <v>154</v>
      </c>
      <c r="K946" t="s">
        <v>28</v>
      </c>
      <c r="L946" s="2">
        <v>43191</v>
      </c>
      <c r="M946" t="s">
        <v>1088</v>
      </c>
      <c r="N946">
        <v>0</v>
      </c>
      <c r="O946" t="s">
        <v>4903</v>
      </c>
      <c r="P946">
        <v>0</v>
      </c>
      <c r="Q946" t="s">
        <v>4903</v>
      </c>
      <c r="R946" t="s">
        <v>1086</v>
      </c>
    </row>
    <row r="947" spans="1:18" hidden="1" x14ac:dyDescent="0.25">
      <c r="A947" t="s">
        <v>2176</v>
      </c>
      <c r="B947" t="s">
        <v>14</v>
      </c>
      <c r="C947" t="s">
        <v>15</v>
      </c>
      <c r="D947" t="s">
        <v>16</v>
      </c>
      <c r="E947" t="s">
        <v>430</v>
      </c>
      <c r="F947" t="s">
        <v>152</v>
      </c>
      <c r="G947" t="s">
        <v>3555</v>
      </c>
      <c r="H947" s="15">
        <v>918000</v>
      </c>
      <c r="I947" s="15">
        <v>0</v>
      </c>
      <c r="J947" t="s">
        <v>20</v>
      </c>
      <c r="K947" t="s">
        <v>28</v>
      </c>
      <c r="L947" s="2">
        <v>43191</v>
      </c>
      <c r="M947" t="s">
        <v>3556</v>
      </c>
      <c r="N947">
        <v>0</v>
      </c>
      <c r="O947" t="s">
        <v>4903</v>
      </c>
      <c r="P947">
        <v>0</v>
      </c>
      <c r="Q947" t="s">
        <v>4903</v>
      </c>
      <c r="R947" t="s">
        <v>2176</v>
      </c>
    </row>
    <row r="948" spans="1:18" hidden="1" x14ac:dyDescent="0.25">
      <c r="A948" t="s">
        <v>2030</v>
      </c>
      <c r="B948" t="s">
        <v>47</v>
      </c>
      <c r="C948" t="s">
        <v>48</v>
      </c>
      <c r="D948" t="s">
        <v>16</v>
      </c>
      <c r="E948" t="s">
        <v>430</v>
      </c>
      <c r="F948" t="s">
        <v>42</v>
      </c>
      <c r="G948" t="s">
        <v>2224</v>
      </c>
      <c r="H948" s="15">
        <v>688500</v>
      </c>
      <c r="I948" s="15">
        <v>0</v>
      </c>
      <c r="J948" t="s">
        <v>20</v>
      </c>
      <c r="K948" t="s">
        <v>28</v>
      </c>
      <c r="L948" s="2">
        <v>43191</v>
      </c>
      <c r="M948" t="s">
        <v>2032</v>
      </c>
      <c r="N948">
        <v>0</v>
      </c>
      <c r="O948" t="s">
        <v>4903</v>
      </c>
      <c r="P948">
        <v>0</v>
      </c>
      <c r="Q948" t="s">
        <v>4903</v>
      </c>
      <c r="R948" t="s">
        <v>2030</v>
      </c>
    </row>
    <row r="949" spans="1:18" hidden="1" x14ac:dyDescent="0.25">
      <c r="A949" t="s">
        <v>433</v>
      </c>
      <c r="B949" t="s">
        <v>84</v>
      </c>
      <c r="C949" t="s">
        <v>15</v>
      </c>
      <c r="D949" t="s">
        <v>16</v>
      </c>
      <c r="E949" t="s">
        <v>430</v>
      </c>
      <c r="F949" t="s">
        <v>140</v>
      </c>
      <c r="G949" t="s">
        <v>592</v>
      </c>
      <c r="H949" s="15">
        <v>684675</v>
      </c>
      <c r="I949" s="15">
        <v>0</v>
      </c>
      <c r="J949" t="s">
        <v>20</v>
      </c>
      <c r="K949" t="s">
        <v>28</v>
      </c>
      <c r="L949" s="2">
        <v>43191</v>
      </c>
      <c r="M949" t="s">
        <v>593</v>
      </c>
      <c r="N949">
        <v>0</v>
      </c>
      <c r="O949" t="s">
        <v>4903</v>
      </c>
      <c r="P949">
        <v>0</v>
      </c>
      <c r="Q949" t="s">
        <v>4903</v>
      </c>
      <c r="R949" t="s">
        <v>433</v>
      </c>
    </row>
    <row r="950" spans="1:18" hidden="1" x14ac:dyDescent="0.25">
      <c r="A950" t="s">
        <v>2922</v>
      </c>
      <c r="B950" t="s">
        <v>725</v>
      </c>
      <c r="C950" t="s">
        <v>726</v>
      </c>
      <c r="D950" t="s">
        <v>16</v>
      </c>
      <c r="E950" t="s">
        <v>430</v>
      </c>
      <c r="F950" t="s">
        <v>42</v>
      </c>
      <c r="G950" t="s">
        <v>2923</v>
      </c>
      <c r="H950" s="15">
        <v>684675</v>
      </c>
      <c r="I950" s="15">
        <v>0</v>
      </c>
      <c r="J950" t="s">
        <v>20</v>
      </c>
      <c r="K950" t="s">
        <v>28</v>
      </c>
      <c r="L950" s="2">
        <v>43191</v>
      </c>
      <c r="M950" t="s">
        <v>2924</v>
      </c>
      <c r="N950">
        <v>0</v>
      </c>
      <c r="O950" t="s">
        <v>4903</v>
      </c>
      <c r="P950">
        <v>0</v>
      </c>
      <c r="Q950" t="s">
        <v>4903</v>
      </c>
      <c r="R950" t="s">
        <v>2922</v>
      </c>
    </row>
    <row r="951" spans="1:18" hidden="1" x14ac:dyDescent="0.25">
      <c r="A951" t="s">
        <v>1769</v>
      </c>
      <c r="B951" t="s">
        <v>77</v>
      </c>
      <c r="C951" t="s">
        <v>15</v>
      </c>
      <c r="D951" t="s">
        <v>16</v>
      </c>
      <c r="E951" t="s">
        <v>430</v>
      </c>
      <c r="F951" t="s">
        <v>42</v>
      </c>
      <c r="G951" t="s">
        <v>1770</v>
      </c>
      <c r="H951" s="15">
        <v>623476</v>
      </c>
      <c r="I951" s="15">
        <v>0</v>
      </c>
      <c r="J951" t="s">
        <v>154</v>
      </c>
      <c r="K951" t="s">
        <v>28</v>
      </c>
      <c r="L951" s="2">
        <v>43191</v>
      </c>
      <c r="M951" t="s">
        <v>1771</v>
      </c>
      <c r="N951">
        <v>0</v>
      </c>
      <c r="O951" t="s">
        <v>4903</v>
      </c>
      <c r="P951">
        <v>0</v>
      </c>
      <c r="Q951" t="s">
        <v>4903</v>
      </c>
      <c r="R951" t="s">
        <v>1769</v>
      </c>
    </row>
    <row r="952" spans="1:18" hidden="1" x14ac:dyDescent="0.25">
      <c r="A952" t="s">
        <v>979</v>
      </c>
      <c r="B952" t="s">
        <v>24</v>
      </c>
      <c r="C952" t="s">
        <v>15</v>
      </c>
      <c r="D952" t="s">
        <v>16</v>
      </c>
      <c r="E952" t="s">
        <v>430</v>
      </c>
      <c r="F952" t="s">
        <v>34</v>
      </c>
      <c r="G952" t="s">
        <v>3928</v>
      </c>
      <c r="H952" s="15">
        <v>650250</v>
      </c>
      <c r="I952" s="15">
        <v>0</v>
      </c>
      <c r="J952" t="s">
        <v>20</v>
      </c>
      <c r="K952" t="s">
        <v>28</v>
      </c>
      <c r="L952" s="2">
        <v>43191</v>
      </c>
      <c r="M952" t="s">
        <v>3929</v>
      </c>
      <c r="N952">
        <v>0</v>
      </c>
      <c r="O952" t="s">
        <v>4903</v>
      </c>
      <c r="P952">
        <v>0</v>
      </c>
      <c r="Q952" t="s">
        <v>4903</v>
      </c>
      <c r="R952" t="s">
        <v>979</v>
      </c>
    </row>
    <row r="953" spans="1:18" hidden="1" x14ac:dyDescent="0.25">
      <c r="A953" t="s">
        <v>715</v>
      </c>
      <c r="B953" t="s">
        <v>24</v>
      </c>
      <c r="C953" t="s">
        <v>15</v>
      </c>
      <c r="D953" t="s">
        <v>16</v>
      </c>
      <c r="E953" t="s">
        <v>430</v>
      </c>
      <c r="F953" t="s">
        <v>34</v>
      </c>
      <c r="G953" t="s">
        <v>2867</v>
      </c>
      <c r="H953" s="15">
        <v>918000</v>
      </c>
      <c r="I953" s="15">
        <v>0</v>
      </c>
      <c r="J953" t="s">
        <v>20</v>
      </c>
      <c r="K953" t="s">
        <v>116</v>
      </c>
      <c r="L953" s="2">
        <v>43191</v>
      </c>
      <c r="M953" t="s">
        <v>2868</v>
      </c>
      <c r="N953">
        <v>0</v>
      </c>
      <c r="O953" t="s">
        <v>4903</v>
      </c>
      <c r="P953">
        <v>0</v>
      </c>
      <c r="Q953" t="s">
        <v>4903</v>
      </c>
      <c r="R953" t="s">
        <v>715</v>
      </c>
    </row>
    <row r="954" spans="1:18" hidden="1" x14ac:dyDescent="0.25">
      <c r="A954" t="s">
        <v>3421</v>
      </c>
      <c r="B954" t="s">
        <v>47</v>
      </c>
      <c r="C954" t="s">
        <v>48</v>
      </c>
      <c r="D954" t="s">
        <v>85</v>
      </c>
      <c r="E954" t="s">
        <v>329</v>
      </c>
      <c r="F954" t="s">
        <v>87</v>
      </c>
      <c r="G954" t="s">
        <v>3422</v>
      </c>
      <c r="H954" s="15">
        <v>356025</v>
      </c>
      <c r="I954" s="15">
        <v>0</v>
      </c>
      <c r="J954" t="s">
        <v>89</v>
      </c>
      <c r="K954" t="s">
        <v>21</v>
      </c>
      <c r="L954" s="2">
        <v>43191</v>
      </c>
      <c r="M954" t="s">
        <v>3423</v>
      </c>
      <c r="N954">
        <v>0</v>
      </c>
      <c r="O954" t="s">
        <v>4903</v>
      </c>
      <c r="P954">
        <v>0</v>
      </c>
      <c r="Q954" t="s">
        <v>4903</v>
      </c>
      <c r="R954" t="s">
        <v>3421</v>
      </c>
    </row>
    <row r="955" spans="1:18" hidden="1" x14ac:dyDescent="0.25">
      <c r="A955" t="s">
        <v>2414</v>
      </c>
      <c r="B955" t="s">
        <v>471</v>
      </c>
      <c r="C955" t="s">
        <v>15</v>
      </c>
      <c r="D955" t="s">
        <v>85</v>
      </c>
      <c r="E955" t="s">
        <v>329</v>
      </c>
      <c r="F955" t="s">
        <v>87</v>
      </c>
      <c r="G955" t="s">
        <v>2415</v>
      </c>
      <c r="H955" s="15">
        <v>417412</v>
      </c>
      <c r="I955" s="15">
        <v>25000</v>
      </c>
      <c r="J955" t="s">
        <v>89</v>
      </c>
      <c r="K955" t="s">
        <v>21</v>
      </c>
      <c r="L955" s="2">
        <v>43191</v>
      </c>
      <c r="M955" t="s">
        <v>2416</v>
      </c>
      <c r="N955">
        <v>1</v>
      </c>
      <c r="O955" t="s">
        <v>4903</v>
      </c>
      <c r="P955">
        <v>0</v>
      </c>
      <c r="Q955" t="s">
        <v>4903</v>
      </c>
      <c r="R955" t="s">
        <v>2414</v>
      </c>
    </row>
    <row r="956" spans="1:18" hidden="1" x14ac:dyDescent="0.25">
      <c r="A956" t="s">
        <v>679</v>
      </c>
      <c r="B956" t="s">
        <v>77</v>
      </c>
      <c r="C956" t="s">
        <v>15</v>
      </c>
      <c r="D956" t="s">
        <v>16</v>
      </c>
      <c r="E956" t="s">
        <v>430</v>
      </c>
      <c r="F956" t="s">
        <v>26</v>
      </c>
      <c r="G956" t="s">
        <v>680</v>
      </c>
      <c r="H956" s="15">
        <v>956250</v>
      </c>
      <c r="I956" s="15">
        <v>0</v>
      </c>
      <c r="J956" t="s">
        <v>20</v>
      </c>
      <c r="K956" t="s">
        <v>28</v>
      </c>
      <c r="L956" s="2">
        <v>43191</v>
      </c>
      <c r="M956" t="s">
        <v>681</v>
      </c>
      <c r="N956">
        <v>1</v>
      </c>
      <c r="O956" t="s">
        <v>4903</v>
      </c>
      <c r="P956">
        <v>0</v>
      </c>
      <c r="Q956" t="s">
        <v>4903</v>
      </c>
      <c r="R956" t="s">
        <v>679</v>
      </c>
    </row>
    <row r="957" spans="1:18" hidden="1" x14ac:dyDescent="0.25">
      <c r="A957" t="s">
        <v>343</v>
      </c>
      <c r="B957" t="s">
        <v>47</v>
      </c>
      <c r="C957" t="s">
        <v>48</v>
      </c>
      <c r="D957" t="s">
        <v>85</v>
      </c>
      <c r="E957" t="s">
        <v>329</v>
      </c>
      <c r="F957" t="s">
        <v>87</v>
      </c>
      <c r="G957" t="s">
        <v>2449</v>
      </c>
      <c r="H957" s="15">
        <v>326860</v>
      </c>
      <c r="I957" s="15">
        <v>3750</v>
      </c>
      <c r="J957" t="s">
        <v>89</v>
      </c>
      <c r="K957" t="s">
        <v>134</v>
      </c>
      <c r="L957" s="2">
        <v>43191</v>
      </c>
      <c r="M957" t="s">
        <v>2450</v>
      </c>
      <c r="N957">
        <v>0</v>
      </c>
      <c r="O957" t="s">
        <v>4903</v>
      </c>
      <c r="P957">
        <v>0</v>
      </c>
      <c r="Q957" t="s">
        <v>4903</v>
      </c>
      <c r="R957" t="s">
        <v>343</v>
      </c>
    </row>
    <row r="958" spans="1:18" hidden="1" x14ac:dyDescent="0.25">
      <c r="A958" t="s">
        <v>474</v>
      </c>
      <c r="B958" t="s">
        <v>406</v>
      </c>
      <c r="C958" t="s">
        <v>62</v>
      </c>
      <c r="D958" t="s">
        <v>85</v>
      </c>
      <c r="E958" t="s">
        <v>329</v>
      </c>
      <c r="F958" t="s">
        <v>87</v>
      </c>
      <c r="G958" t="s">
        <v>1009</v>
      </c>
      <c r="H958" s="15">
        <v>219829</v>
      </c>
      <c r="I958" s="15">
        <v>27671</v>
      </c>
      <c r="J958" t="s">
        <v>89</v>
      </c>
      <c r="K958" t="s">
        <v>28</v>
      </c>
      <c r="L958" s="2">
        <v>43191</v>
      </c>
      <c r="M958" t="s">
        <v>1010</v>
      </c>
      <c r="N958">
        <v>1</v>
      </c>
      <c r="O958" t="s">
        <v>4903</v>
      </c>
      <c r="P958">
        <v>0</v>
      </c>
      <c r="Q958" t="s">
        <v>4903</v>
      </c>
      <c r="R958" t="s">
        <v>474</v>
      </c>
    </row>
    <row r="959" spans="1:18" hidden="1" x14ac:dyDescent="0.25">
      <c r="A959" t="s">
        <v>1266</v>
      </c>
      <c r="B959" t="s">
        <v>103</v>
      </c>
      <c r="C959" t="s">
        <v>15</v>
      </c>
      <c r="D959" t="s">
        <v>85</v>
      </c>
      <c r="E959" t="s">
        <v>329</v>
      </c>
      <c r="F959" t="s">
        <v>87</v>
      </c>
      <c r="G959" t="s">
        <v>1267</v>
      </c>
      <c r="H959" s="15">
        <v>408901</v>
      </c>
      <c r="I959" s="15">
        <v>16929</v>
      </c>
      <c r="J959" t="s">
        <v>89</v>
      </c>
      <c r="K959" t="s">
        <v>134</v>
      </c>
      <c r="L959" s="2">
        <v>43191</v>
      </c>
      <c r="M959" t="s">
        <v>1268</v>
      </c>
      <c r="N959">
        <v>4</v>
      </c>
      <c r="O959" t="s">
        <v>4903</v>
      </c>
      <c r="P959">
        <v>0</v>
      </c>
      <c r="Q959" t="s">
        <v>4903</v>
      </c>
      <c r="R959" t="s">
        <v>1266</v>
      </c>
    </row>
    <row r="960" spans="1:18" hidden="1" x14ac:dyDescent="0.25">
      <c r="A960" t="s">
        <v>2268</v>
      </c>
      <c r="B960" t="s">
        <v>406</v>
      </c>
      <c r="C960" t="s">
        <v>62</v>
      </c>
      <c r="D960" t="s">
        <v>16</v>
      </c>
      <c r="E960" t="s">
        <v>430</v>
      </c>
      <c r="F960" t="s">
        <v>34</v>
      </c>
      <c r="G960" t="s">
        <v>3648</v>
      </c>
      <c r="H960" s="15">
        <v>608175</v>
      </c>
      <c r="I960" s="15">
        <v>0</v>
      </c>
      <c r="J960" t="s">
        <v>20</v>
      </c>
      <c r="K960" t="s">
        <v>21</v>
      </c>
      <c r="L960" s="2">
        <v>43191</v>
      </c>
      <c r="M960" t="s">
        <v>3649</v>
      </c>
      <c r="N960">
        <v>0</v>
      </c>
      <c r="O960" t="s">
        <v>4903</v>
      </c>
      <c r="P960">
        <v>0</v>
      </c>
      <c r="Q960" t="s">
        <v>4903</v>
      </c>
      <c r="R960" t="s">
        <v>2268</v>
      </c>
    </row>
    <row r="961" spans="1:18" hidden="1" x14ac:dyDescent="0.25">
      <c r="A961" t="s">
        <v>460</v>
      </c>
      <c r="B961" t="s">
        <v>119</v>
      </c>
      <c r="C961" t="s">
        <v>39</v>
      </c>
      <c r="D961" t="s">
        <v>16</v>
      </c>
      <c r="E961" t="s">
        <v>430</v>
      </c>
      <c r="F961" t="s">
        <v>42</v>
      </c>
      <c r="G961" t="s">
        <v>1537</v>
      </c>
      <c r="H961" s="15">
        <v>680850</v>
      </c>
      <c r="I961" s="15">
        <v>0</v>
      </c>
      <c r="J961" t="s">
        <v>20</v>
      </c>
      <c r="K961" t="s">
        <v>28</v>
      </c>
      <c r="L961" s="2">
        <v>43191</v>
      </c>
      <c r="M961" t="s">
        <v>1538</v>
      </c>
      <c r="N961">
        <v>0</v>
      </c>
      <c r="O961" t="s">
        <v>4903</v>
      </c>
      <c r="P961">
        <v>0</v>
      </c>
      <c r="Q961" t="s">
        <v>4903</v>
      </c>
      <c r="R961" t="s">
        <v>460</v>
      </c>
    </row>
    <row r="962" spans="1:18" hidden="1" x14ac:dyDescent="0.25">
      <c r="A962" t="s">
        <v>2781</v>
      </c>
      <c r="B962" t="s">
        <v>31</v>
      </c>
      <c r="C962" t="s">
        <v>15</v>
      </c>
      <c r="D962" t="s">
        <v>85</v>
      </c>
      <c r="E962" t="s">
        <v>329</v>
      </c>
      <c r="F962" t="s">
        <v>87</v>
      </c>
      <c r="G962" t="s">
        <v>2782</v>
      </c>
      <c r="H962" s="15">
        <v>207246</v>
      </c>
      <c r="I962" s="15">
        <v>4223</v>
      </c>
      <c r="J962" t="s">
        <v>89</v>
      </c>
      <c r="K962" t="s">
        <v>65</v>
      </c>
      <c r="L962" s="2">
        <v>43191</v>
      </c>
      <c r="M962" t="s">
        <v>2783</v>
      </c>
      <c r="N962">
        <v>1</v>
      </c>
      <c r="O962" t="s">
        <v>4903</v>
      </c>
      <c r="P962">
        <v>0</v>
      </c>
      <c r="Q962" t="s">
        <v>4903</v>
      </c>
      <c r="R962" t="s">
        <v>2781</v>
      </c>
    </row>
    <row r="963" spans="1:18" hidden="1" x14ac:dyDescent="0.25">
      <c r="A963" t="s">
        <v>1205</v>
      </c>
      <c r="B963" t="s">
        <v>406</v>
      </c>
      <c r="C963" t="s">
        <v>62</v>
      </c>
      <c r="D963" t="s">
        <v>16</v>
      </c>
      <c r="E963" t="s">
        <v>430</v>
      </c>
      <c r="F963" t="s">
        <v>18</v>
      </c>
      <c r="G963" t="s">
        <v>1706</v>
      </c>
      <c r="H963" s="15">
        <v>504900</v>
      </c>
      <c r="I963" s="15">
        <v>0</v>
      </c>
      <c r="J963" t="s">
        <v>154</v>
      </c>
      <c r="K963" t="s">
        <v>65</v>
      </c>
      <c r="L963" s="2">
        <v>43191</v>
      </c>
      <c r="M963" t="s">
        <v>1707</v>
      </c>
      <c r="N963">
        <v>0</v>
      </c>
      <c r="O963" t="s">
        <v>4903</v>
      </c>
      <c r="P963">
        <v>0</v>
      </c>
      <c r="Q963" t="s">
        <v>4903</v>
      </c>
      <c r="R963" t="s">
        <v>1205</v>
      </c>
    </row>
    <row r="964" spans="1:18" hidden="1" x14ac:dyDescent="0.25">
      <c r="A964" t="s">
        <v>1164</v>
      </c>
      <c r="B964" t="s">
        <v>406</v>
      </c>
      <c r="C964" t="s">
        <v>62</v>
      </c>
      <c r="D964" t="s">
        <v>16</v>
      </c>
      <c r="E964" t="s">
        <v>430</v>
      </c>
      <c r="F964" t="s">
        <v>18</v>
      </c>
      <c r="G964" t="s">
        <v>1165</v>
      </c>
      <c r="H964" s="15">
        <v>218025</v>
      </c>
      <c r="I964" s="15">
        <v>0</v>
      </c>
      <c r="J964" t="s">
        <v>89</v>
      </c>
      <c r="K964" t="s">
        <v>74</v>
      </c>
      <c r="L964" s="2">
        <v>43191</v>
      </c>
      <c r="M964" t="s">
        <v>1166</v>
      </c>
      <c r="N964">
        <v>0</v>
      </c>
      <c r="O964" t="s">
        <v>4903</v>
      </c>
      <c r="P964">
        <v>0</v>
      </c>
      <c r="Q964" t="s">
        <v>4903</v>
      </c>
      <c r="R964" t="s">
        <v>1164</v>
      </c>
    </row>
    <row r="965" spans="1:18" hidden="1" x14ac:dyDescent="0.25">
      <c r="A965" t="s">
        <v>1766</v>
      </c>
      <c r="B965" t="s">
        <v>289</v>
      </c>
      <c r="C965" t="s">
        <v>15</v>
      </c>
      <c r="D965" t="s">
        <v>16</v>
      </c>
      <c r="E965" t="s">
        <v>430</v>
      </c>
      <c r="F965" t="s">
        <v>152</v>
      </c>
      <c r="G965" t="s">
        <v>1767</v>
      </c>
      <c r="H965" s="15">
        <v>910350</v>
      </c>
      <c r="I965" s="15">
        <v>0</v>
      </c>
      <c r="J965" t="s">
        <v>20</v>
      </c>
      <c r="K965" t="s">
        <v>28</v>
      </c>
      <c r="L965" s="2">
        <v>43191</v>
      </c>
      <c r="M965" t="s">
        <v>1768</v>
      </c>
      <c r="N965">
        <v>0</v>
      </c>
      <c r="O965" t="s">
        <v>4903</v>
      </c>
      <c r="P965">
        <v>0</v>
      </c>
      <c r="Q965" t="s">
        <v>4903</v>
      </c>
      <c r="R965" t="s">
        <v>1766</v>
      </c>
    </row>
    <row r="966" spans="1:18" hidden="1" x14ac:dyDescent="0.25">
      <c r="A966" t="s">
        <v>3258</v>
      </c>
      <c r="B966" t="s">
        <v>14</v>
      </c>
      <c r="C966" t="s">
        <v>15</v>
      </c>
      <c r="D966" t="s">
        <v>16</v>
      </c>
      <c r="E966" t="s">
        <v>430</v>
      </c>
      <c r="F966" t="s">
        <v>1953</v>
      </c>
      <c r="G966" t="s">
        <v>4772</v>
      </c>
      <c r="H966" s="15">
        <v>795600</v>
      </c>
      <c r="I966" s="15">
        <v>0</v>
      </c>
      <c r="J966" t="s">
        <v>20</v>
      </c>
      <c r="K966" t="s">
        <v>28</v>
      </c>
      <c r="L966" s="2">
        <v>43191</v>
      </c>
      <c r="M966" t="s">
        <v>4773</v>
      </c>
      <c r="N966">
        <v>0</v>
      </c>
      <c r="O966" t="s">
        <v>4903</v>
      </c>
      <c r="P966">
        <v>0</v>
      </c>
      <c r="Q966" t="s">
        <v>4903</v>
      </c>
      <c r="R966" t="s">
        <v>3258</v>
      </c>
    </row>
    <row r="967" spans="1:18" hidden="1" x14ac:dyDescent="0.25">
      <c r="A967" t="s">
        <v>2319</v>
      </c>
      <c r="B967" t="s">
        <v>24</v>
      </c>
      <c r="C967" t="s">
        <v>15</v>
      </c>
      <c r="D967" t="s">
        <v>16</v>
      </c>
      <c r="E967" t="s">
        <v>430</v>
      </c>
      <c r="F967" t="s">
        <v>18</v>
      </c>
      <c r="G967" t="s">
        <v>4577</v>
      </c>
      <c r="H967" s="15">
        <v>966960</v>
      </c>
      <c r="I967" s="15">
        <v>0</v>
      </c>
      <c r="J967" t="s">
        <v>154</v>
      </c>
      <c r="K967" t="s">
        <v>65</v>
      </c>
      <c r="L967" s="2">
        <v>43191</v>
      </c>
      <c r="M967" t="s">
        <v>4578</v>
      </c>
      <c r="N967">
        <v>1</v>
      </c>
      <c r="O967" t="s">
        <v>4903</v>
      </c>
      <c r="P967">
        <v>0</v>
      </c>
      <c r="Q967" t="s">
        <v>4903</v>
      </c>
      <c r="R967" t="s">
        <v>2319</v>
      </c>
    </row>
    <row r="968" spans="1:18" hidden="1" x14ac:dyDescent="0.25">
      <c r="A968" t="s">
        <v>746</v>
      </c>
      <c r="B968" t="s">
        <v>113</v>
      </c>
      <c r="C968" t="s">
        <v>15</v>
      </c>
      <c r="D968" t="s">
        <v>16</v>
      </c>
      <c r="E968" t="s">
        <v>430</v>
      </c>
      <c r="F968" t="s">
        <v>18</v>
      </c>
      <c r="G968" t="s">
        <v>747</v>
      </c>
      <c r="H968" s="15">
        <v>665552</v>
      </c>
      <c r="I968" s="15">
        <v>0</v>
      </c>
      <c r="J968" t="s">
        <v>154</v>
      </c>
      <c r="K968" t="s">
        <v>65</v>
      </c>
      <c r="L968" s="2">
        <v>43191</v>
      </c>
      <c r="M968" t="s">
        <v>748</v>
      </c>
      <c r="N968">
        <v>0</v>
      </c>
      <c r="O968" t="s">
        <v>4903</v>
      </c>
      <c r="P968">
        <v>0</v>
      </c>
      <c r="Q968" t="s">
        <v>4903</v>
      </c>
      <c r="R968" t="s">
        <v>746</v>
      </c>
    </row>
    <row r="969" spans="1:18" hidden="1" x14ac:dyDescent="0.25">
      <c r="A969" t="s">
        <v>1509</v>
      </c>
      <c r="B969" t="s">
        <v>47</v>
      </c>
      <c r="C969" t="s">
        <v>48</v>
      </c>
      <c r="D969" t="s">
        <v>16</v>
      </c>
      <c r="E969" t="s">
        <v>227</v>
      </c>
      <c r="F969" t="s">
        <v>18</v>
      </c>
      <c r="G969" t="s">
        <v>1510</v>
      </c>
      <c r="H969" s="15">
        <v>100000</v>
      </c>
      <c r="I969" s="15">
        <v>0</v>
      </c>
      <c r="J969" t="s">
        <v>44</v>
      </c>
      <c r="K969" t="s">
        <v>65</v>
      </c>
      <c r="L969" s="2">
        <v>43191</v>
      </c>
      <c r="M969" t="s">
        <v>1511</v>
      </c>
      <c r="N969">
        <v>0</v>
      </c>
      <c r="O969" t="s">
        <v>4903</v>
      </c>
      <c r="P969">
        <v>0</v>
      </c>
      <c r="Q969" t="s">
        <v>4903</v>
      </c>
      <c r="R969" t="s">
        <v>1509</v>
      </c>
    </row>
    <row r="970" spans="1:18" hidden="1" x14ac:dyDescent="0.25">
      <c r="A970" t="s">
        <v>1509</v>
      </c>
      <c r="B970" t="s">
        <v>47</v>
      </c>
      <c r="C970" t="s">
        <v>48</v>
      </c>
      <c r="D970" t="s">
        <v>16</v>
      </c>
      <c r="E970" t="s">
        <v>215</v>
      </c>
      <c r="F970" t="s">
        <v>18</v>
      </c>
      <c r="G970" t="s">
        <v>1510</v>
      </c>
      <c r="H970" s="15">
        <v>550800</v>
      </c>
      <c r="I970" s="15">
        <v>0</v>
      </c>
      <c r="J970" t="s">
        <v>154</v>
      </c>
      <c r="K970" t="s">
        <v>65</v>
      </c>
      <c r="L970" s="2">
        <v>43191</v>
      </c>
      <c r="M970" t="s">
        <v>1511</v>
      </c>
      <c r="N970">
        <v>0</v>
      </c>
      <c r="O970" t="s">
        <v>4903</v>
      </c>
      <c r="P970">
        <v>0</v>
      </c>
      <c r="Q970" t="s">
        <v>4903</v>
      </c>
      <c r="R970" t="s">
        <v>1509</v>
      </c>
    </row>
    <row r="971" spans="1:18" hidden="1" x14ac:dyDescent="0.25">
      <c r="A971" t="s">
        <v>2879</v>
      </c>
      <c r="B971" t="s">
        <v>489</v>
      </c>
      <c r="C971" t="s">
        <v>39</v>
      </c>
      <c r="D971" t="s">
        <v>16</v>
      </c>
      <c r="E971" t="s">
        <v>430</v>
      </c>
      <c r="F971" t="s">
        <v>152</v>
      </c>
      <c r="G971" t="s">
        <v>2880</v>
      </c>
      <c r="H971" s="15">
        <v>791775</v>
      </c>
      <c r="I971" s="15">
        <v>0</v>
      </c>
      <c r="J971" t="s">
        <v>20</v>
      </c>
      <c r="K971" t="s">
        <v>28</v>
      </c>
      <c r="L971" s="2">
        <v>43191</v>
      </c>
      <c r="M971" t="s">
        <v>2881</v>
      </c>
      <c r="N971">
        <v>0</v>
      </c>
      <c r="O971" t="s">
        <v>4903</v>
      </c>
      <c r="P971">
        <v>0</v>
      </c>
      <c r="Q971" t="s">
        <v>4903</v>
      </c>
      <c r="R971" t="s">
        <v>2879</v>
      </c>
    </row>
    <row r="972" spans="1:18" hidden="1" x14ac:dyDescent="0.25">
      <c r="A972" t="s">
        <v>2001</v>
      </c>
      <c r="B972" t="s">
        <v>47</v>
      </c>
      <c r="C972" t="s">
        <v>48</v>
      </c>
      <c r="D972" t="s">
        <v>16</v>
      </c>
      <c r="E972" t="s">
        <v>430</v>
      </c>
      <c r="F972" t="s">
        <v>26</v>
      </c>
      <c r="G972" t="s">
        <v>3515</v>
      </c>
      <c r="H972" s="15">
        <v>516375</v>
      </c>
      <c r="I972" s="15">
        <v>0</v>
      </c>
      <c r="J972" t="s">
        <v>89</v>
      </c>
      <c r="K972" t="s">
        <v>28</v>
      </c>
      <c r="L972" s="2">
        <v>43191</v>
      </c>
      <c r="M972" t="s">
        <v>3516</v>
      </c>
      <c r="N972">
        <v>0</v>
      </c>
      <c r="O972" t="s">
        <v>4903</v>
      </c>
      <c r="P972">
        <v>0</v>
      </c>
      <c r="Q972" t="s">
        <v>4903</v>
      </c>
      <c r="R972" t="s">
        <v>2001</v>
      </c>
    </row>
    <row r="973" spans="1:18" hidden="1" x14ac:dyDescent="0.25">
      <c r="A973" t="s">
        <v>2349</v>
      </c>
      <c r="B973" t="s">
        <v>14</v>
      </c>
      <c r="C973" t="s">
        <v>15</v>
      </c>
      <c r="D973" t="s">
        <v>16</v>
      </c>
      <c r="E973" t="s">
        <v>430</v>
      </c>
      <c r="F973" t="s">
        <v>26</v>
      </c>
      <c r="G973" t="s">
        <v>2350</v>
      </c>
      <c r="H973" s="15">
        <v>688500</v>
      </c>
      <c r="I973" s="15">
        <v>0</v>
      </c>
      <c r="J973" t="s">
        <v>20</v>
      </c>
      <c r="K973" t="s">
        <v>28</v>
      </c>
      <c r="L973" s="2">
        <v>43191</v>
      </c>
      <c r="M973" t="s">
        <v>2351</v>
      </c>
      <c r="N973">
        <v>1</v>
      </c>
      <c r="O973" t="s">
        <v>4903</v>
      </c>
      <c r="P973">
        <v>0</v>
      </c>
      <c r="Q973" t="s">
        <v>4903</v>
      </c>
      <c r="R973" t="s">
        <v>2349</v>
      </c>
    </row>
    <row r="974" spans="1:18" hidden="1" x14ac:dyDescent="0.25">
      <c r="A974" t="s">
        <v>2842</v>
      </c>
      <c r="B974" t="s">
        <v>61</v>
      </c>
      <c r="C974" t="s">
        <v>62</v>
      </c>
      <c r="D974" t="s">
        <v>16</v>
      </c>
      <c r="E974" t="s">
        <v>430</v>
      </c>
      <c r="F974" t="s">
        <v>26</v>
      </c>
      <c r="G974" t="s">
        <v>2843</v>
      </c>
      <c r="H974" s="15">
        <v>1243125</v>
      </c>
      <c r="I974" s="15">
        <v>0</v>
      </c>
      <c r="J974" t="s">
        <v>20</v>
      </c>
      <c r="K974" t="s">
        <v>28</v>
      </c>
      <c r="L974" s="2">
        <v>43191</v>
      </c>
      <c r="M974" t="s">
        <v>2844</v>
      </c>
      <c r="N974">
        <v>0</v>
      </c>
      <c r="O974" t="s">
        <v>4903</v>
      </c>
      <c r="P974">
        <v>0</v>
      </c>
      <c r="Q974" t="s">
        <v>4903</v>
      </c>
      <c r="R974" t="s">
        <v>2842</v>
      </c>
    </row>
    <row r="975" spans="1:18" x14ac:dyDescent="0.25">
      <c r="A975" t="s">
        <v>1205</v>
      </c>
      <c r="B975" t="s">
        <v>406</v>
      </c>
      <c r="C975" t="s">
        <v>62</v>
      </c>
      <c r="D975" t="s">
        <v>32</v>
      </c>
      <c r="E975" t="s">
        <v>806</v>
      </c>
      <c r="F975" t="s">
        <v>18</v>
      </c>
      <c r="G975" t="s">
        <v>3986</v>
      </c>
      <c r="H975" s="15">
        <v>597400</v>
      </c>
      <c r="I975" s="15">
        <v>0</v>
      </c>
      <c r="J975" t="s">
        <v>20</v>
      </c>
      <c r="K975" t="s">
        <v>28</v>
      </c>
      <c r="L975" s="2">
        <v>42186</v>
      </c>
      <c r="M975" t="s">
        <v>3987</v>
      </c>
      <c r="N975">
        <v>1</v>
      </c>
      <c r="O975" t="s">
        <v>4822</v>
      </c>
      <c r="P975">
        <v>1</v>
      </c>
      <c r="Q975" t="s">
        <v>4809</v>
      </c>
      <c r="R975" t="s">
        <v>1205</v>
      </c>
    </row>
    <row r="976" spans="1:18" hidden="1" x14ac:dyDescent="0.25">
      <c r="A976" t="s">
        <v>607</v>
      </c>
      <c r="B976" t="s">
        <v>47</v>
      </c>
      <c r="C976" t="s">
        <v>48</v>
      </c>
      <c r="D976" t="s">
        <v>16</v>
      </c>
      <c r="E976" t="s">
        <v>199</v>
      </c>
      <c r="F976" t="s">
        <v>34</v>
      </c>
      <c r="G976" t="s">
        <v>2986</v>
      </c>
      <c r="H976" s="15">
        <v>1158976</v>
      </c>
      <c r="I976" s="15">
        <v>0</v>
      </c>
      <c r="J976" t="s">
        <v>20</v>
      </c>
      <c r="K976" t="s">
        <v>28</v>
      </c>
      <c r="L976" s="2">
        <v>43374</v>
      </c>
      <c r="M976" t="s">
        <v>2987</v>
      </c>
      <c r="N976">
        <v>1</v>
      </c>
      <c r="O976" t="s">
        <v>4903</v>
      </c>
      <c r="P976">
        <v>0</v>
      </c>
      <c r="Q976" t="s">
        <v>4903</v>
      </c>
      <c r="R976" t="s">
        <v>607</v>
      </c>
    </row>
    <row r="977" spans="1:18" hidden="1" x14ac:dyDescent="0.25">
      <c r="A977" t="s">
        <v>1669</v>
      </c>
      <c r="B977" t="s">
        <v>406</v>
      </c>
      <c r="C977" t="s">
        <v>62</v>
      </c>
      <c r="D977" t="s">
        <v>16</v>
      </c>
      <c r="E977" t="s">
        <v>399</v>
      </c>
      <c r="F977" t="s">
        <v>18</v>
      </c>
      <c r="G977" t="s">
        <v>1670</v>
      </c>
      <c r="H977" s="15">
        <v>100000</v>
      </c>
      <c r="I977" s="15">
        <v>0</v>
      </c>
      <c r="J977" t="s">
        <v>44</v>
      </c>
      <c r="K977" t="s">
        <v>134</v>
      </c>
      <c r="L977" s="2">
        <v>43374</v>
      </c>
      <c r="M977" t="s">
        <v>1671</v>
      </c>
      <c r="N977">
        <v>0</v>
      </c>
      <c r="O977" t="s">
        <v>4903</v>
      </c>
      <c r="P977">
        <v>0</v>
      </c>
      <c r="Q977" t="s">
        <v>4903</v>
      </c>
      <c r="R977" t="s">
        <v>1669</v>
      </c>
    </row>
    <row r="978" spans="1:18" hidden="1" x14ac:dyDescent="0.25">
      <c r="A978" t="s">
        <v>1669</v>
      </c>
      <c r="B978" t="s">
        <v>406</v>
      </c>
      <c r="C978" t="s">
        <v>62</v>
      </c>
      <c r="D978" t="s">
        <v>16</v>
      </c>
      <c r="E978" t="s">
        <v>819</v>
      </c>
      <c r="F978" t="s">
        <v>18</v>
      </c>
      <c r="G978" t="s">
        <v>1670</v>
      </c>
      <c r="H978" s="15">
        <v>600524</v>
      </c>
      <c r="I978" s="15">
        <v>0</v>
      </c>
      <c r="J978" t="s">
        <v>154</v>
      </c>
      <c r="K978" t="s">
        <v>134</v>
      </c>
      <c r="L978" s="2">
        <v>43374</v>
      </c>
      <c r="M978" t="s">
        <v>1671</v>
      </c>
      <c r="N978">
        <v>0</v>
      </c>
      <c r="O978" t="s">
        <v>4903</v>
      </c>
      <c r="P978">
        <v>0</v>
      </c>
      <c r="Q978" t="s">
        <v>4903</v>
      </c>
      <c r="R978" t="s">
        <v>1669</v>
      </c>
    </row>
    <row r="979" spans="1:18" hidden="1" x14ac:dyDescent="0.25">
      <c r="A979" t="s">
        <v>4730</v>
      </c>
      <c r="B979" t="s">
        <v>103</v>
      </c>
      <c r="C979" t="s">
        <v>15</v>
      </c>
      <c r="D979" t="s">
        <v>16</v>
      </c>
      <c r="E979" t="s">
        <v>199</v>
      </c>
      <c r="F979" t="s">
        <v>152</v>
      </c>
      <c r="G979" t="s">
        <v>4731</v>
      </c>
      <c r="H979" s="15">
        <v>937740</v>
      </c>
      <c r="I979" s="15">
        <v>0</v>
      </c>
      <c r="J979" t="s">
        <v>20</v>
      </c>
      <c r="K979" t="s">
        <v>28</v>
      </c>
      <c r="L979" s="2">
        <v>43374</v>
      </c>
      <c r="M979" t="s">
        <v>4732</v>
      </c>
      <c r="N979">
        <v>0</v>
      </c>
      <c r="O979" t="s">
        <v>4903</v>
      </c>
      <c r="P979">
        <v>0</v>
      </c>
      <c r="Q979" t="s">
        <v>4903</v>
      </c>
      <c r="R979" t="s">
        <v>4730</v>
      </c>
    </row>
    <row r="980" spans="1:18" hidden="1" x14ac:dyDescent="0.25">
      <c r="A980" t="s">
        <v>2117</v>
      </c>
      <c r="B980" t="s">
        <v>47</v>
      </c>
      <c r="C980" t="s">
        <v>48</v>
      </c>
      <c r="D980" t="s">
        <v>16</v>
      </c>
      <c r="E980" t="s">
        <v>199</v>
      </c>
      <c r="F980" t="s">
        <v>152</v>
      </c>
      <c r="G980" t="s">
        <v>2118</v>
      </c>
      <c r="H980" s="15">
        <v>956250</v>
      </c>
      <c r="I980" s="15">
        <v>0</v>
      </c>
      <c r="J980" t="s">
        <v>20</v>
      </c>
      <c r="K980" t="s">
        <v>28</v>
      </c>
      <c r="L980" s="2">
        <v>43374</v>
      </c>
      <c r="M980" t="s">
        <v>2119</v>
      </c>
      <c r="N980">
        <v>0</v>
      </c>
      <c r="O980" t="s">
        <v>4903</v>
      </c>
      <c r="P980">
        <v>0</v>
      </c>
      <c r="Q980" t="s">
        <v>4903</v>
      </c>
      <c r="R980" t="s">
        <v>2117</v>
      </c>
    </row>
    <row r="981" spans="1:18" hidden="1" x14ac:dyDescent="0.25">
      <c r="A981" t="s">
        <v>4640</v>
      </c>
      <c r="B981" t="s">
        <v>126</v>
      </c>
      <c r="C981" t="s">
        <v>39</v>
      </c>
      <c r="D981" t="s">
        <v>16</v>
      </c>
      <c r="E981" t="s">
        <v>199</v>
      </c>
      <c r="F981" t="s">
        <v>140</v>
      </c>
      <c r="G981" t="s">
        <v>4641</v>
      </c>
      <c r="H981" s="15">
        <v>680850</v>
      </c>
      <c r="I981" s="15">
        <v>0</v>
      </c>
      <c r="J981" t="s">
        <v>20</v>
      </c>
      <c r="K981" t="s">
        <v>28</v>
      </c>
      <c r="L981" s="2">
        <v>43374</v>
      </c>
      <c r="M981" t="s">
        <v>4642</v>
      </c>
      <c r="N981">
        <v>0</v>
      </c>
      <c r="O981" t="s">
        <v>4903</v>
      </c>
      <c r="P981">
        <v>0</v>
      </c>
      <c r="Q981" t="s">
        <v>4903</v>
      </c>
      <c r="R981" t="s">
        <v>4640</v>
      </c>
    </row>
    <row r="982" spans="1:18" hidden="1" x14ac:dyDescent="0.25">
      <c r="A982" t="s">
        <v>2403</v>
      </c>
      <c r="B982" t="s">
        <v>14</v>
      </c>
      <c r="C982" t="s">
        <v>15</v>
      </c>
      <c r="D982" t="s">
        <v>16</v>
      </c>
      <c r="E982" t="s">
        <v>199</v>
      </c>
      <c r="F982" t="s">
        <v>42</v>
      </c>
      <c r="G982" t="s">
        <v>3411</v>
      </c>
      <c r="H982" s="15">
        <v>348074</v>
      </c>
      <c r="I982" s="15">
        <v>0</v>
      </c>
      <c r="J982" t="s">
        <v>89</v>
      </c>
      <c r="K982" t="s">
        <v>28</v>
      </c>
      <c r="L982" s="2">
        <v>43374</v>
      </c>
      <c r="M982" t="s">
        <v>3412</v>
      </c>
      <c r="N982">
        <v>0</v>
      </c>
      <c r="O982" t="s">
        <v>4903</v>
      </c>
      <c r="P982">
        <v>0</v>
      </c>
      <c r="Q982" t="s">
        <v>4903</v>
      </c>
      <c r="R982" t="s">
        <v>2403</v>
      </c>
    </row>
    <row r="983" spans="1:18" hidden="1" x14ac:dyDescent="0.25">
      <c r="A983" t="s">
        <v>1192</v>
      </c>
      <c r="B983" t="s">
        <v>635</v>
      </c>
      <c r="C983" t="s">
        <v>39</v>
      </c>
      <c r="D983" t="s">
        <v>16</v>
      </c>
      <c r="E983" t="s">
        <v>199</v>
      </c>
      <c r="F983" t="s">
        <v>34</v>
      </c>
      <c r="G983" t="s">
        <v>3532</v>
      </c>
      <c r="H983" s="15">
        <v>569926</v>
      </c>
      <c r="I983" s="15">
        <v>0</v>
      </c>
      <c r="J983" t="s">
        <v>20</v>
      </c>
      <c r="K983" t="s">
        <v>21</v>
      </c>
      <c r="L983" s="2">
        <v>43374</v>
      </c>
      <c r="M983" t="s">
        <v>3533</v>
      </c>
      <c r="N983">
        <v>0</v>
      </c>
      <c r="O983" t="s">
        <v>4903</v>
      </c>
      <c r="P983">
        <v>0</v>
      </c>
      <c r="Q983" t="s">
        <v>4903</v>
      </c>
      <c r="R983" t="s">
        <v>1192</v>
      </c>
    </row>
    <row r="984" spans="1:18" hidden="1" x14ac:dyDescent="0.25">
      <c r="A984" t="s">
        <v>3216</v>
      </c>
      <c r="B984" t="s">
        <v>24</v>
      </c>
      <c r="C984" t="s">
        <v>15</v>
      </c>
      <c r="D984" t="s">
        <v>16</v>
      </c>
      <c r="E984" t="s">
        <v>199</v>
      </c>
      <c r="F984" t="s">
        <v>34</v>
      </c>
      <c r="G984" t="s">
        <v>4620</v>
      </c>
      <c r="H984" s="15">
        <v>795600</v>
      </c>
      <c r="I984" s="15">
        <v>0</v>
      </c>
      <c r="J984" t="s">
        <v>89</v>
      </c>
      <c r="K984" t="s">
        <v>28</v>
      </c>
      <c r="L984" s="2">
        <v>43374</v>
      </c>
      <c r="M984" t="s">
        <v>3218</v>
      </c>
      <c r="N984">
        <v>0</v>
      </c>
      <c r="O984" t="s">
        <v>4903</v>
      </c>
      <c r="P984">
        <v>0</v>
      </c>
      <c r="Q984" t="s">
        <v>4903</v>
      </c>
      <c r="R984" t="s">
        <v>3216</v>
      </c>
    </row>
    <row r="985" spans="1:18" hidden="1" x14ac:dyDescent="0.25">
      <c r="A985" t="s">
        <v>402</v>
      </c>
      <c r="B985" t="s">
        <v>31</v>
      </c>
      <c r="C985" t="s">
        <v>15</v>
      </c>
      <c r="D985" t="s">
        <v>16</v>
      </c>
      <c r="E985" t="s">
        <v>199</v>
      </c>
      <c r="F985" t="s">
        <v>34</v>
      </c>
      <c r="G985" t="s">
        <v>877</v>
      </c>
      <c r="H985" s="15">
        <v>881664</v>
      </c>
      <c r="I985" s="15">
        <v>0</v>
      </c>
      <c r="J985" t="s">
        <v>20</v>
      </c>
      <c r="K985" t="s">
        <v>21</v>
      </c>
      <c r="L985" s="2">
        <v>43374</v>
      </c>
      <c r="M985" t="s">
        <v>878</v>
      </c>
      <c r="N985">
        <v>0</v>
      </c>
      <c r="O985" t="s">
        <v>4903</v>
      </c>
      <c r="P985">
        <v>0</v>
      </c>
      <c r="Q985" t="s">
        <v>4903</v>
      </c>
      <c r="R985" t="s">
        <v>402</v>
      </c>
    </row>
    <row r="986" spans="1:18" hidden="1" x14ac:dyDescent="0.25">
      <c r="A986" t="s">
        <v>1051</v>
      </c>
      <c r="B986" t="s">
        <v>406</v>
      </c>
      <c r="C986" t="s">
        <v>62</v>
      </c>
      <c r="D986" t="s">
        <v>16</v>
      </c>
      <c r="E986" t="s">
        <v>199</v>
      </c>
      <c r="F986" t="s">
        <v>18</v>
      </c>
      <c r="G986" t="s">
        <v>1060</v>
      </c>
      <c r="H986" s="15">
        <v>711450</v>
      </c>
      <c r="I986" s="15">
        <v>0</v>
      </c>
      <c r="J986" t="s">
        <v>20</v>
      </c>
      <c r="K986" t="s">
        <v>21</v>
      </c>
      <c r="L986" s="2">
        <v>43374</v>
      </c>
      <c r="M986" t="s">
        <v>1061</v>
      </c>
      <c r="N986">
        <v>1</v>
      </c>
      <c r="O986" t="s">
        <v>4903</v>
      </c>
      <c r="P986">
        <v>0</v>
      </c>
      <c r="Q986" t="s">
        <v>4903</v>
      </c>
      <c r="R986" t="s">
        <v>1051</v>
      </c>
    </row>
    <row r="987" spans="1:18" hidden="1" x14ac:dyDescent="0.25">
      <c r="A987" t="s">
        <v>774</v>
      </c>
      <c r="B987" t="s">
        <v>406</v>
      </c>
      <c r="C987" t="s">
        <v>62</v>
      </c>
      <c r="D987" t="s">
        <v>16</v>
      </c>
      <c r="E987" t="s">
        <v>199</v>
      </c>
      <c r="F987" t="s">
        <v>152</v>
      </c>
      <c r="G987" t="s">
        <v>775</v>
      </c>
      <c r="H987" s="15">
        <v>918000</v>
      </c>
      <c r="I987" s="15">
        <v>0</v>
      </c>
      <c r="J987" t="s">
        <v>20</v>
      </c>
      <c r="K987" t="s">
        <v>28</v>
      </c>
      <c r="L987" s="2">
        <v>43374</v>
      </c>
      <c r="M987" t="s">
        <v>776</v>
      </c>
      <c r="N987">
        <v>0</v>
      </c>
      <c r="O987" t="s">
        <v>4903</v>
      </c>
      <c r="P987">
        <v>0</v>
      </c>
      <c r="Q987" t="s">
        <v>4903</v>
      </c>
      <c r="R987" t="s">
        <v>774</v>
      </c>
    </row>
    <row r="988" spans="1:18" hidden="1" x14ac:dyDescent="0.25">
      <c r="A988" t="s">
        <v>1105</v>
      </c>
      <c r="B988" t="s">
        <v>676</v>
      </c>
      <c r="C988" t="s">
        <v>39</v>
      </c>
      <c r="D988" t="s">
        <v>16</v>
      </c>
      <c r="E988" t="s">
        <v>199</v>
      </c>
      <c r="F988" t="s">
        <v>42</v>
      </c>
      <c r="G988" t="s">
        <v>1106</v>
      </c>
      <c r="H988" s="15">
        <v>868276</v>
      </c>
      <c r="I988" s="15">
        <v>0</v>
      </c>
      <c r="J988" t="s">
        <v>20</v>
      </c>
      <c r="K988" t="s">
        <v>28</v>
      </c>
      <c r="L988" s="2">
        <v>43374</v>
      </c>
      <c r="M988" t="s">
        <v>1107</v>
      </c>
      <c r="N988">
        <v>0</v>
      </c>
      <c r="O988" t="s">
        <v>4903</v>
      </c>
      <c r="P988">
        <v>0</v>
      </c>
      <c r="Q988" t="s">
        <v>4903</v>
      </c>
      <c r="R988" t="s">
        <v>1105</v>
      </c>
    </row>
    <row r="989" spans="1:18" hidden="1" x14ac:dyDescent="0.25">
      <c r="A989" t="s">
        <v>762</v>
      </c>
      <c r="B989" t="s">
        <v>190</v>
      </c>
      <c r="C989" t="s">
        <v>15</v>
      </c>
      <c r="D989" t="s">
        <v>16</v>
      </c>
      <c r="E989" t="s">
        <v>399</v>
      </c>
      <c r="F989" t="s">
        <v>26</v>
      </c>
      <c r="G989" t="s">
        <v>763</v>
      </c>
      <c r="H989" s="15">
        <v>100000</v>
      </c>
      <c r="I989" s="15">
        <v>0</v>
      </c>
      <c r="J989" t="s">
        <v>44</v>
      </c>
      <c r="K989" t="s">
        <v>28</v>
      </c>
      <c r="L989" s="2">
        <v>43374</v>
      </c>
      <c r="M989" t="s">
        <v>764</v>
      </c>
      <c r="N989">
        <v>0</v>
      </c>
      <c r="O989" t="s">
        <v>4903</v>
      </c>
      <c r="P989">
        <v>0</v>
      </c>
      <c r="Q989" t="s">
        <v>4903</v>
      </c>
      <c r="R989" t="s">
        <v>762</v>
      </c>
    </row>
    <row r="990" spans="1:18" hidden="1" x14ac:dyDescent="0.25">
      <c r="A990" t="s">
        <v>2088</v>
      </c>
      <c r="B990" t="s">
        <v>2089</v>
      </c>
      <c r="C990" t="s">
        <v>39</v>
      </c>
      <c r="D990" t="s">
        <v>16</v>
      </c>
      <c r="E990" t="s">
        <v>199</v>
      </c>
      <c r="F990" t="s">
        <v>34</v>
      </c>
      <c r="G990" t="s">
        <v>4340</v>
      </c>
      <c r="H990" s="15">
        <v>742050</v>
      </c>
      <c r="I990" s="15">
        <v>0</v>
      </c>
      <c r="J990" t="s">
        <v>20</v>
      </c>
      <c r="K990" t="s">
        <v>116</v>
      </c>
      <c r="L990" s="2">
        <v>43374</v>
      </c>
      <c r="M990" t="s">
        <v>4341</v>
      </c>
      <c r="N990">
        <v>0</v>
      </c>
      <c r="O990" t="s">
        <v>4903</v>
      </c>
      <c r="P990">
        <v>0</v>
      </c>
      <c r="Q990" t="s">
        <v>4903</v>
      </c>
      <c r="R990" t="s">
        <v>2088</v>
      </c>
    </row>
    <row r="991" spans="1:18" hidden="1" x14ac:dyDescent="0.25">
      <c r="A991" t="s">
        <v>1442</v>
      </c>
      <c r="B991" t="s">
        <v>31</v>
      </c>
      <c r="C991" t="s">
        <v>15</v>
      </c>
      <c r="D991" t="s">
        <v>16</v>
      </c>
      <c r="E991" t="s">
        <v>199</v>
      </c>
      <c r="F991" t="s">
        <v>18</v>
      </c>
      <c r="G991" t="s">
        <v>3165</v>
      </c>
      <c r="H991" s="15">
        <v>703800</v>
      </c>
      <c r="I991" s="15">
        <v>0</v>
      </c>
      <c r="J991" t="s">
        <v>20</v>
      </c>
      <c r="K991" t="s">
        <v>65</v>
      </c>
      <c r="L991" s="2">
        <v>43374</v>
      </c>
      <c r="M991" t="s">
        <v>3166</v>
      </c>
      <c r="N991">
        <v>0</v>
      </c>
      <c r="O991" t="s">
        <v>4903</v>
      </c>
      <c r="P991">
        <v>0</v>
      </c>
      <c r="Q991" t="s">
        <v>4903</v>
      </c>
      <c r="R991" t="s">
        <v>1442</v>
      </c>
    </row>
    <row r="992" spans="1:18" hidden="1" x14ac:dyDescent="0.25">
      <c r="A992" t="s">
        <v>398</v>
      </c>
      <c r="B992" t="s">
        <v>119</v>
      </c>
      <c r="C992" t="s">
        <v>39</v>
      </c>
      <c r="D992" t="s">
        <v>16</v>
      </c>
      <c r="E992" t="s">
        <v>399</v>
      </c>
      <c r="F992" t="s">
        <v>18</v>
      </c>
      <c r="G992" t="s">
        <v>400</v>
      </c>
      <c r="H992" s="15">
        <v>100000</v>
      </c>
      <c r="I992" s="15">
        <v>0</v>
      </c>
      <c r="J992" t="s">
        <v>44</v>
      </c>
      <c r="K992" t="s">
        <v>116</v>
      </c>
      <c r="L992" s="2">
        <v>43374</v>
      </c>
      <c r="M992" t="s">
        <v>401</v>
      </c>
      <c r="N992">
        <v>0</v>
      </c>
      <c r="O992" t="s">
        <v>4903</v>
      </c>
      <c r="P992">
        <v>0</v>
      </c>
      <c r="Q992" t="s">
        <v>4903</v>
      </c>
      <c r="R992" t="s">
        <v>398</v>
      </c>
    </row>
    <row r="993" spans="1:18" hidden="1" x14ac:dyDescent="0.25">
      <c r="A993" t="s">
        <v>1137</v>
      </c>
      <c r="B993" t="s">
        <v>77</v>
      </c>
      <c r="C993" t="s">
        <v>15</v>
      </c>
      <c r="D993" t="s">
        <v>16</v>
      </c>
      <c r="E993" t="s">
        <v>199</v>
      </c>
      <c r="F993" t="s">
        <v>26</v>
      </c>
      <c r="G993" t="s">
        <v>2897</v>
      </c>
      <c r="H993" s="15">
        <v>940950</v>
      </c>
      <c r="I993" s="15">
        <v>0</v>
      </c>
      <c r="J993" t="s">
        <v>20</v>
      </c>
      <c r="K993" t="s">
        <v>28</v>
      </c>
      <c r="L993" s="2">
        <v>43374</v>
      </c>
      <c r="M993" t="s">
        <v>2898</v>
      </c>
      <c r="N993">
        <v>0</v>
      </c>
      <c r="O993" t="s">
        <v>4903</v>
      </c>
      <c r="P993">
        <v>0</v>
      </c>
      <c r="Q993" t="s">
        <v>4903</v>
      </c>
      <c r="R993" t="s">
        <v>1137</v>
      </c>
    </row>
    <row r="994" spans="1:18" hidden="1" x14ac:dyDescent="0.25">
      <c r="A994" t="s">
        <v>1792</v>
      </c>
      <c r="B994" t="s">
        <v>14</v>
      </c>
      <c r="C994" t="s">
        <v>15</v>
      </c>
      <c r="D994" t="s">
        <v>16</v>
      </c>
      <c r="E994" t="s">
        <v>199</v>
      </c>
      <c r="F994" t="s">
        <v>26</v>
      </c>
      <c r="G994" t="s">
        <v>1923</v>
      </c>
      <c r="H994" s="15">
        <v>868276</v>
      </c>
      <c r="I994" s="15">
        <v>0</v>
      </c>
      <c r="J994" t="s">
        <v>20</v>
      </c>
      <c r="K994" t="s">
        <v>28</v>
      </c>
      <c r="L994" s="2">
        <v>43374</v>
      </c>
      <c r="M994" t="s">
        <v>1924</v>
      </c>
      <c r="N994">
        <v>0</v>
      </c>
      <c r="O994" t="s">
        <v>4903</v>
      </c>
      <c r="P994">
        <v>0</v>
      </c>
      <c r="Q994" t="s">
        <v>4903</v>
      </c>
      <c r="R994" t="s">
        <v>1792</v>
      </c>
    </row>
    <row r="995" spans="1:18" hidden="1" x14ac:dyDescent="0.25">
      <c r="A995" t="s">
        <v>733</v>
      </c>
      <c r="B995" t="s">
        <v>315</v>
      </c>
      <c r="C995" t="s">
        <v>39</v>
      </c>
      <c r="D995" t="s">
        <v>16</v>
      </c>
      <c r="E995" t="s">
        <v>199</v>
      </c>
      <c r="F995" t="s">
        <v>18</v>
      </c>
      <c r="G995" t="s">
        <v>2811</v>
      </c>
      <c r="H995" s="15">
        <v>382500</v>
      </c>
      <c r="I995" s="15">
        <v>0</v>
      </c>
      <c r="J995" t="s">
        <v>89</v>
      </c>
      <c r="K995" t="s">
        <v>28</v>
      </c>
      <c r="L995" s="2">
        <v>43374</v>
      </c>
      <c r="M995" t="s">
        <v>2812</v>
      </c>
      <c r="N995">
        <v>0</v>
      </c>
      <c r="O995" t="s">
        <v>4903</v>
      </c>
      <c r="P995">
        <v>0</v>
      </c>
      <c r="Q995" t="s">
        <v>4903</v>
      </c>
      <c r="R995" t="s">
        <v>733</v>
      </c>
    </row>
    <row r="996" spans="1:18" hidden="1" x14ac:dyDescent="0.25">
      <c r="A996" t="s">
        <v>477</v>
      </c>
      <c r="B996" t="s">
        <v>478</v>
      </c>
      <c r="C996" t="s">
        <v>15</v>
      </c>
      <c r="D996" t="s">
        <v>16</v>
      </c>
      <c r="E996" t="s">
        <v>199</v>
      </c>
      <c r="F996" t="s">
        <v>18</v>
      </c>
      <c r="G996" t="s">
        <v>670</v>
      </c>
      <c r="H996" s="15">
        <v>688501</v>
      </c>
      <c r="I996" s="15">
        <v>0</v>
      </c>
      <c r="J996" t="s">
        <v>154</v>
      </c>
      <c r="K996" t="s">
        <v>65</v>
      </c>
      <c r="L996" s="2">
        <v>43374</v>
      </c>
      <c r="M996" t="s">
        <v>671</v>
      </c>
      <c r="N996">
        <v>0</v>
      </c>
      <c r="O996" t="s">
        <v>4903</v>
      </c>
      <c r="P996">
        <v>0</v>
      </c>
      <c r="Q996" t="s">
        <v>4903</v>
      </c>
      <c r="R996" t="s">
        <v>477</v>
      </c>
    </row>
    <row r="997" spans="1:18" hidden="1" x14ac:dyDescent="0.25">
      <c r="A997" t="s">
        <v>4473</v>
      </c>
      <c r="B997" t="s">
        <v>113</v>
      </c>
      <c r="C997" t="s">
        <v>15</v>
      </c>
      <c r="D997" t="s">
        <v>16</v>
      </c>
      <c r="E997" t="s">
        <v>199</v>
      </c>
      <c r="F997" t="s">
        <v>140</v>
      </c>
      <c r="G997" t="s">
        <v>4474</v>
      </c>
      <c r="H997" s="15">
        <v>734400</v>
      </c>
      <c r="I997" s="15">
        <v>0</v>
      </c>
      <c r="J997" t="s">
        <v>89</v>
      </c>
      <c r="K997" t="s">
        <v>28</v>
      </c>
      <c r="L997" s="2">
        <v>43374</v>
      </c>
      <c r="M997" t="s">
        <v>4475</v>
      </c>
      <c r="N997">
        <v>0</v>
      </c>
      <c r="O997" t="s">
        <v>4903</v>
      </c>
      <c r="P997">
        <v>0</v>
      </c>
      <c r="Q997" t="s">
        <v>4903</v>
      </c>
      <c r="R997" t="s">
        <v>4473</v>
      </c>
    </row>
    <row r="998" spans="1:18" hidden="1" x14ac:dyDescent="0.25">
      <c r="A998" t="s">
        <v>1870</v>
      </c>
      <c r="B998" t="s">
        <v>190</v>
      </c>
      <c r="C998" t="s">
        <v>15</v>
      </c>
      <c r="D998" t="s">
        <v>16</v>
      </c>
      <c r="E998" t="s">
        <v>199</v>
      </c>
      <c r="F998" t="s">
        <v>26</v>
      </c>
      <c r="G998" t="s">
        <v>1871</v>
      </c>
      <c r="H998" s="15">
        <v>765000</v>
      </c>
      <c r="I998" s="15">
        <v>0</v>
      </c>
      <c r="J998" t="s">
        <v>20</v>
      </c>
      <c r="K998" t="s">
        <v>28</v>
      </c>
      <c r="L998" s="2">
        <v>43374</v>
      </c>
      <c r="M998" t="s">
        <v>1872</v>
      </c>
      <c r="N998">
        <v>0</v>
      </c>
      <c r="O998" t="s">
        <v>4903</v>
      </c>
      <c r="P998">
        <v>0</v>
      </c>
      <c r="Q998" t="s">
        <v>4903</v>
      </c>
      <c r="R998" t="s">
        <v>1870</v>
      </c>
    </row>
    <row r="999" spans="1:18" hidden="1" x14ac:dyDescent="0.25">
      <c r="A999" t="s">
        <v>1415</v>
      </c>
      <c r="B999" t="s">
        <v>676</v>
      </c>
      <c r="C999" t="s">
        <v>39</v>
      </c>
      <c r="D999" t="s">
        <v>16</v>
      </c>
      <c r="E999" t="s">
        <v>199</v>
      </c>
      <c r="F999" t="s">
        <v>42</v>
      </c>
      <c r="G999" t="s">
        <v>1416</v>
      </c>
      <c r="H999" s="15">
        <v>868276</v>
      </c>
      <c r="I999" s="15">
        <v>0</v>
      </c>
      <c r="J999" t="s">
        <v>20</v>
      </c>
      <c r="K999" t="s">
        <v>28</v>
      </c>
      <c r="L999" s="2">
        <v>43374</v>
      </c>
      <c r="M999" t="s">
        <v>1417</v>
      </c>
      <c r="N999">
        <v>0</v>
      </c>
      <c r="O999" t="s">
        <v>4903</v>
      </c>
      <c r="P999">
        <v>0</v>
      </c>
      <c r="Q999" t="s">
        <v>4903</v>
      </c>
      <c r="R999" t="s">
        <v>1415</v>
      </c>
    </row>
    <row r="1000" spans="1:18" hidden="1" x14ac:dyDescent="0.25">
      <c r="A1000" t="s">
        <v>198</v>
      </c>
      <c r="B1000" t="s">
        <v>84</v>
      </c>
      <c r="C1000" t="s">
        <v>15</v>
      </c>
      <c r="D1000" t="s">
        <v>16</v>
      </c>
      <c r="E1000" t="s">
        <v>199</v>
      </c>
      <c r="F1000" t="s">
        <v>18</v>
      </c>
      <c r="G1000" t="s">
        <v>200</v>
      </c>
      <c r="H1000" s="15">
        <v>593640</v>
      </c>
      <c r="I1000" s="15">
        <v>0</v>
      </c>
      <c r="J1000" t="s">
        <v>154</v>
      </c>
      <c r="K1000" t="s">
        <v>201</v>
      </c>
      <c r="L1000" s="2">
        <v>43374</v>
      </c>
      <c r="M1000" t="s">
        <v>202</v>
      </c>
      <c r="N1000">
        <v>1</v>
      </c>
      <c r="O1000" t="s">
        <v>4903</v>
      </c>
      <c r="P1000">
        <v>0</v>
      </c>
      <c r="Q1000" t="s">
        <v>4903</v>
      </c>
      <c r="R1000" t="s">
        <v>198</v>
      </c>
    </row>
    <row r="1001" spans="1:18" hidden="1" x14ac:dyDescent="0.25">
      <c r="A1001" t="s">
        <v>226</v>
      </c>
      <c r="B1001" t="s">
        <v>190</v>
      </c>
      <c r="C1001" t="s">
        <v>15</v>
      </c>
      <c r="D1001" t="s">
        <v>16</v>
      </c>
      <c r="E1001" t="s">
        <v>227</v>
      </c>
      <c r="F1001" t="s">
        <v>42</v>
      </c>
      <c r="G1001" t="s">
        <v>228</v>
      </c>
      <c r="H1001" s="15">
        <v>100000</v>
      </c>
      <c r="I1001" s="15">
        <v>0</v>
      </c>
      <c r="J1001" t="s">
        <v>44</v>
      </c>
      <c r="K1001" t="s">
        <v>28</v>
      </c>
      <c r="L1001" s="2">
        <v>43374</v>
      </c>
      <c r="M1001" t="s">
        <v>229</v>
      </c>
      <c r="N1001">
        <v>0</v>
      </c>
      <c r="O1001" t="s">
        <v>4903</v>
      </c>
      <c r="P1001">
        <v>0</v>
      </c>
      <c r="Q1001" t="s">
        <v>4903</v>
      </c>
      <c r="R1001" t="s">
        <v>226</v>
      </c>
    </row>
    <row r="1002" spans="1:18" hidden="1" x14ac:dyDescent="0.25">
      <c r="A1002" t="s">
        <v>226</v>
      </c>
      <c r="B1002" t="s">
        <v>190</v>
      </c>
      <c r="C1002" t="s">
        <v>15</v>
      </c>
      <c r="D1002" t="s">
        <v>16</v>
      </c>
      <c r="E1002" t="s">
        <v>199</v>
      </c>
      <c r="F1002" t="s">
        <v>42</v>
      </c>
      <c r="G1002" t="s">
        <v>228</v>
      </c>
      <c r="H1002" s="15">
        <v>860628</v>
      </c>
      <c r="I1002" s="15">
        <v>0</v>
      </c>
      <c r="J1002" t="s">
        <v>230</v>
      </c>
      <c r="K1002" t="s">
        <v>28</v>
      </c>
      <c r="L1002" s="2">
        <v>43374</v>
      </c>
      <c r="M1002" t="s">
        <v>229</v>
      </c>
      <c r="N1002">
        <v>0</v>
      </c>
      <c r="O1002" t="s">
        <v>4903</v>
      </c>
      <c r="P1002">
        <v>0</v>
      </c>
      <c r="Q1002" t="s">
        <v>4903</v>
      </c>
      <c r="R1002" t="s">
        <v>226</v>
      </c>
    </row>
    <row r="1003" spans="1:18" hidden="1" x14ac:dyDescent="0.25">
      <c r="A1003" t="s">
        <v>1626</v>
      </c>
      <c r="B1003" t="s">
        <v>14</v>
      </c>
      <c r="C1003" t="s">
        <v>15</v>
      </c>
      <c r="D1003" t="s">
        <v>16</v>
      </c>
      <c r="E1003" t="s">
        <v>199</v>
      </c>
      <c r="F1003" t="s">
        <v>140</v>
      </c>
      <c r="G1003" t="s">
        <v>2920</v>
      </c>
      <c r="H1003" s="15">
        <v>390152</v>
      </c>
      <c r="I1003" s="15">
        <v>0</v>
      </c>
      <c r="J1003" t="s">
        <v>154</v>
      </c>
      <c r="K1003" t="s">
        <v>28</v>
      </c>
      <c r="L1003" s="2">
        <v>43374</v>
      </c>
      <c r="M1003" t="s">
        <v>2921</v>
      </c>
      <c r="N1003">
        <v>0</v>
      </c>
      <c r="O1003" t="s">
        <v>4903</v>
      </c>
      <c r="P1003">
        <v>0</v>
      </c>
      <c r="Q1003" t="s">
        <v>4903</v>
      </c>
      <c r="R1003" t="s">
        <v>1626</v>
      </c>
    </row>
    <row r="1004" spans="1:18" hidden="1" x14ac:dyDescent="0.25">
      <c r="A1004" t="s">
        <v>1626</v>
      </c>
      <c r="B1004" t="s">
        <v>14</v>
      </c>
      <c r="C1004" t="s">
        <v>15</v>
      </c>
      <c r="D1004" t="s">
        <v>16</v>
      </c>
      <c r="E1004" t="s">
        <v>199</v>
      </c>
      <c r="F1004" t="s">
        <v>140</v>
      </c>
      <c r="G1004" t="s">
        <v>1627</v>
      </c>
      <c r="H1004" s="15">
        <v>1977525</v>
      </c>
      <c r="I1004" s="15">
        <v>0</v>
      </c>
      <c r="J1004" t="s">
        <v>154</v>
      </c>
      <c r="K1004" t="s">
        <v>28</v>
      </c>
      <c r="L1004" s="2">
        <v>43374</v>
      </c>
      <c r="M1004" t="s">
        <v>1628</v>
      </c>
      <c r="N1004">
        <v>0</v>
      </c>
      <c r="O1004" t="s">
        <v>4903</v>
      </c>
      <c r="P1004">
        <v>0</v>
      </c>
      <c r="Q1004" t="s">
        <v>4903</v>
      </c>
      <c r="R1004" t="s">
        <v>1626</v>
      </c>
    </row>
    <row r="1005" spans="1:18" hidden="1" x14ac:dyDescent="0.25">
      <c r="A1005" t="s">
        <v>2311</v>
      </c>
      <c r="B1005" t="s">
        <v>315</v>
      </c>
      <c r="C1005" t="s">
        <v>39</v>
      </c>
      <c r="D1005" t="s">
        <v>16</v>
      </c>
      <c r="E1005" t="s">
        <v>199</v>
      </c>
      <c r="F1005" t="s">
        <v>152</v>
      </c>
      <c r="G1005" t="s">
        <v>2312</v>
      </c>
      <c r="H1005" s="15">
        <v>944776</v>
      </c>
      <c r="I1005" s="15">
        <v>0</v>
      </c>
      <c r="J1005" t="s">
        <v>20</v>
      </c>
      <c r="K1005" t="s">
        <v>28</v>
      </c>
      <c r="L1005" s="2">
        <v>43374</v>
      </c>
      <c r="M1005" t="s">
        <v>2313</v>
      </c>
      <c r="N1005">
        <v>0</v>
      </c>
      <c r="O1005" t="s">
        <v>4903</v>
      </c>
      <c r="P1005">
        <v>0</v>
      </c>
      <c r="Q1005" t="s">
        <v>4903</v>
      </c>
      <c r="R1005" t="s">
        <v>2311</v>
      </c>
    </row>
    <row r="1006" spans="1:18" hidden="1" x14ac:dyDescent="0.25">
      <c r="A1006" t="s">
        <v>1864</v>
      </c>
      <c r="B1006" t="s">
        <v>77</v>
      </c>
      <c r="C1006" t="s">
        <v>15</v>
      </c>
      <c r="D1006" t="s">
        <v>16</v>
      </c>
      <c r="E1006" t="s">
        <v>199</v>
      </c>
      <c r="F1006" t="s">
        <v>26</v>
      </c>
      <c r="G1006" t="s">
        <v>2891</v>
      </c>
      <c r="H1006" s="15">
        <v>914176</v>
      </c>
      <c r="I1006" s="15">
        <v>0</v>
      </c>
      <c r="J1006" t="s">
        <v>20</v>
      </c>
      <c r="K1006" t="s">
        <v>28</v>
      </c>
      <c r="L1006" s="2">
        <v>43374</v>
      </c>
      <c r="M1006" t="s">
        <v>2892</v>
      </c>
      <c r="N1006">
        <v>0</v>
      </c>
      <c r="O1006" t="s">
        <v>4903</v>
      </c>
      <c r="P1006">
        <v>0</v>
      </c>
      <c r="Q1006" t="s">
        <v>4903</v>
      </c>
      <c r="R1006" t="s">
        <v>1864</v>
      </c>
    </row>
    <row r="1007" spans="1:18" hidden="1" x14ac:dyDescent="0.25">
      <c r="A1007" t="s">
        <v>2141</v>
      </c>
      <c r="B1007" t="s">
        <v>84</v>
      </c>
      <c r="C1007" t="s">
        <v>15</v>
      </c>
      <c r="D1007" t="s">
        <v>16</v>
      </c>
      <c r="E1007" t="s">
        <v>199</v>
      </c>
      <c r="F1007" t="s">
        <v>26</v>
      </c>
      <c r="G1007" t="s">
        <v>2481</v>
      </c>
      <c r="H1007" s="15">
        <v>745876</v>
      </c>
      <c r="I1007" s="15">
        <v>0</v>
      </c>
      <c r="J1007" t="s">
        <v>20</v>
      </c>
      <c r="K1007" t="s">
        <v>28</v>
      </c>
      <c r="L1007" s="2">
        <v>43374</v>
      </c>
      <c r="M1007" t="s">
        <v>2482</v>
      </c>
      <c r="N1007">
        <v>0</v>
      </c>
      <c r="O1007" t="s">
        <v>4903</v>
      </c>
      <c r="P1007">
        <v>0</v>
      </c>
      <c r="Q1007" t="s">
        <v>4903</v>
      </c>
      <c r="R1007" t="s">
        <v>2141</v>
      </c>
    </row>
    <row r="1008" spans="1:18" hidden="1" x14ac:dyDescent="0.25">
      <c r="A1008" t="s">
        <v>942</v>
      </c>
      <c r="B1008" t="s">
        <v>103</v>
      </c>
      <c r="C1008" t="s">
        <v>15</v>
      </c>
      <c r="D1008" t="s">
        <v>16</v>
      </c>
      <c r="E1008" t="s">
        <v>199</v>
      </c>
      <c r="F1008" t="s">
        <v>140</v>
      </c>
      <c r="G1008" t="s">
        <v>4777</v>
      </c>
      <c r="H1008" s="15">
        <v>860626</v>
      </c>
      <c r="I1008" s="15">
        <v>0</v>
      </c>
      <c r="J1008" t="s">
        <v>20</v>
      </c>
      <c r="K1008" t="s">
        <v>28</v>
      </c>
      <c r="L1008" s="2">
        <v>43374</v>
      </c>
      <c r="M1008" t="s">
        <v>4778</v>
      </c>
      <c r="N1008">
        <v>1</v>
      </c>
      <c r="O1008" t="s">
        <v>4903</v>
      </c>
      <c r="P1008">
        <v>0</v>
      </c>
      <c r="Q1008" t="s">
        <v>4903</v>
      </c>
      <c r="R1008" t="s">
        <v>942</v>
      </c>
    </row>
    <row r="1009" spans="1:18" hidden="1" x14ac:dyDescent="0.25">
      <c r="A1009" t="s">
        <v>3154</v>
      </c>
      <c r="B1009" t="s">
        <v>47</v>
      </c>
      <c r="C1009" t="s">
        <v>48</v>
      </c>
      <c r="D1009" t="s">
        <v>16</v>
      </c>
      <c r="E1009" t="s">
        <v>199</v>
      </c>
      <c r="F1009" t="s">
        <v>18</v>
      </c>
      <c r="G1009" t="s">
        <v>3155</v>
      </c>
      <c r="H1009" s="15">
        <v>248625</v>
      </c>
      <c r="I1009" s="15">
        <v>0</v>
      </c>
      <c r="J1009" t="s">
        <v>455</v>
      </c>
      <c r="K1009" t="s">
        <v>28</v>
      </c>
      <c r="L1009" s="2">
        <v>43374</v>
      </c>
      <c r="M1009" t="s">
        <v>3156</v>
      </c>
      <c r="N1009">
        <v>0</v>
      </c>
      <c r="O1009" t="s">
        <v>4903</v>
      </c>
      <c r="P1009">
        <v>0</v>
      </c>
      <c r="Q1009" t="s">
        <v>4903</v>
      </c>
      <c r="R1009" t="s">
        <v>3154</v>
      </c>
    </row>
    <row r="1010" spans="1:18" hidden="1" x14ac:dyDescent="0.25">
      <c r="A1010" t="s">
        <v>746</v>
      </c>
      <c r="B1010" t="s">
        <v>113</v>
      </c>
      <c r="C1010" t="s">
        <v>15</v>
      </c>
      <c r="D1010" t="s">
        <v>16</v>
      </c>
      <c r="E1010" t="s">
        <v>199</v>
      </c>
      <c r="F1010" t="s">
        <v>18</v>
      </c>
      <c r="G1010" t="s">
        <v>3331</v>
      </c>
      <c r="H1010" s="15">
        <v>653157</v>
      </c>
      <c r="I1010" s="15">
        <v>0</v>
      </c>
      <c r="J1010" t="s">
        <v>154</v>
      </c>
      <c r="K1010" t="s">
        <v>65</v>
      </c>
      <c r="L1010" s="2">
        <v>43374</v>
      </c>
      <c r="M1010" t="s">
        <v>3332</v>
      </c>
      <c r="N1010">
        <v>0</v>
      </c>
      <c r="O1010" t="s">
        <v>4903</v>
      </c>
      <c r="P1010">
        <v>0</v>
      </c>
      <c r="Q1010" t="s">
        <v>4903</v>
      </c>
      <c r="R1010" t="s">
        <v>746</v>
      </c>
    </row>
    <row r="1011" spans="1:18" hidden="1" x14ac:dyDescent="0.25">
      <c r="A1011" t="s">
        <v>2262</v>
      </c>
      <c r="B1011" t="s">
        <v>406</v>
      </c>
      <c r="C1011" t="s">
        <v>62</v>
      </c>
      <c r="D1011" t="s">
        <v>16</v>
      </c>
      <c r="E1011" t="s">
        <v>199</v>
      </c>
      <c r="F1011" t="s">
        <v>34</v>
      </c>
      <c r="G1011" t="s">
        <v>3078</v>
      </c>
      <c r="H1011" s="15">
        <v>768826</v>
      </c>
      <c r="I1011" s="15">
        <v>0</v>
      </c>
      <c r="J1011" t="s">
        <v>20</v>
      </c>
      <c r="K1011" t="s">
        <v>21</v>
      </c>
      <c r="L1011" s="2">
        <v>43374</v>
      </c>
      <c r="M1011" t="s">
        <v>3079</v>
      </c>
      <c r="N1011">
        <v>0</v>
      </c>
      <c r="O1011" t="s">
        <v>4903</v>
      </c>
      <c r="P1011">
        <v>0</v>
      </c>
      <c r="Q1011" t="s">
        <v>4903</v>
      </c>
      <c r="R1011" t="s">
        <v>2262</v>
      </c>
    </row>
    <row r="1012" spans="1:18" hidden="1" x14ac:dyDescent="0.25">
      <c r="A1012" t="s">
        <v>3219</v>
      </c>
      <c r="B1012" t="s">
        <v>14</v>
      </c>
      <c r="C1012" t="s">
        <v>15</v>
      </c>
      <c r="D1012" t="s">
        <v>16</v>
      </c>
      <c r="E1012" t="s">
        <v>199</v>
      </c>
      <c r="F1012" t="s">
        <v>34</v>
      </c>
      <c r="G1012" t="s">
        <v>3220</v>
      </c>
      <c r="H1012" s="15">
        <v>371024</v>
      </c>
      <c r="I1012" s="15">
        <v>0</v>
      </c>
      <c r="J1012" t="s">
        <v>154</v>
      </c>
      <c r="K1012" t="s">
        <v>28</v>
      </c>
      <c r="L1012" s="2">
        <v>43374</v>
      </c>
      <c r="M1012" t="s">
        <v>3221</v>
      </c>
      <c r="N1012">
        <v>3</v>
      </c>
      <c r="O1012" t="s">
        <v>4903</v>
      </c>
      <c r="P1012">
        <v>0</v>
      </c>
      <c r="Q1012" t="s">
        <v>4903</v>
      </c>
      <c r="R1012" t="s">
        <v>3219</v>
      </c>
    </row>
    <row r="1013" spans="1:18" hidden="1" x14ac:dyDescent="0.25">
      <c r="A1013" t="s">
        <v>1774</v>
      </c>
      <c r="B1013" t="s">
        <v>244</v>
      </c>
      <c r="C1013" t="s">
        <v>39</v>
      </c>
      <c r="D1013" t="s">
        <v>16</v>
      </c>
      <c r="E1013" t="s">
        <v>199</v>
      </c>
      <c r="F1013" t="s">
        <v>152</v>
      </c>
      <c r="G1013" t="s">
        <v>3245</v>
      </c>
      <c r="H1013" s="15">
        <v>665550</v>
      </c>
      <c r="I1013" s="15">
        <v>0</v>
      </c>
      <c r="J1013" t="s">
        <v>20</v>
      </c>
      <c r="K1013" t="s">
        <v>28</v>
      </c>
      <c r="L1013" s="2">
        <v>43374</v>
      </c>
      <c r="M1013" t="s">
        <v>3246</v>
      </c>
      <c r="N1013">
        <v>0</v>
      </c>
      <c r="O1013" t="s">
        <v>4903</v>
      </c>
      <c r="P1013">
        <v>0</v>
      </c>
      <c r="Q1013" t="s">
        <v>4903</v>
      </c>
      <c r="R1013" t="s">
        <v>1774</v>
      </c>
    </row>
    <row r="1014" spans="1:18" hidden="1" x14ac:dyDescent="0.25">
      <c r="A1014" t="s">
        <v>1774</v>
      </c>
      <c r="B1014" t="s">
        <v>244</v>
      </c>
      <c r="C1014" t="s">
        <v>39</v>
      </c>
      <c r="D1014" t="s">
        <v>16</v>
      </c>
      <c r="E1014" t="s">
        <v>199</v>
      </c>
      <c r="F1014" t="s">
        <v>26</v>
      </c>
      <c r="G1014" t="s">
        <v>1775</v>
      </c>
      <c r="H1014" s="15">
        <v>726750</v>
      </c>
      <c r="I1014" s="15">
        <v>0</v>
      </c>
      <c r="J1014" t="s">
        <v>20</v>
      </c>
      <c r="K1014" t="s">
        <v>28</v>
      </c>
      <c r="L1014" s="2">
        <v>43374</v>
      </c>
      <c r="M1014" t="s">
        <v>1776</v>
      </c>
      <c r="N1014">
        <v>0</v>
      </c>
      <c r="O1014" t="s">
        <v>4903</v>
      </c>
      <c r="P1014">
        <v>0</v>
      </c>
      <c r="Q1014" t="s">
        <v>4903</v>
      </c>
      <c r="R1014" t="s">
        <v>1774</v>
      </c>
    </row>
    <row r="1015" spans="1:18" hidden="1" x14ac:dyDescent="0.25">
      <c r="A1015" t="s">
        <v>1808</v>
      </c>
      <c r="B1015" t="s">
        <v>14</v>
      </c>
      <c r="C1015" t="s">
        <v>15</v>
      </c>
      <c r="D1015" t="s">
        <v>16</v>
      </c>
      <c r="E1015" t="s">
        <v>199</v>
      </c>
      <c r="F1015" t="s">
        <v>140</v>
      </c>
      <c r="G1015" t="s">
        <v>4664</v>
      </c>
      <c r="H1015" s="15">
        <v>1503226</v>
      </c>
      <c r="I1015" s="15">
        <v>0</v>
      </c>
      <c r="J1015" t="s">
        <v>20</v>
      </c>
      <c r="K1015" t="s">
        <v>28</v>
      </c>
      <c r="L1015" s="2">
        <v>43374</v>
      </c>
      <c r="M1015" t="s">
        <v>4665</v>
      </c>
      <c r="N1015">
        <v>0</v>
      </c>
      <c r="O1015" t="s">
        <v>4903</v>
      </c>
      <c r="P1015">
        <v>0</v>
      </c>
      <c r="Q1015" t="s">
        <v>4903</v>
      </c>
      <c r="R1015" t="s">
        <v>1808</v>
      </c>
    </row>
    <row r="1016" spans="1:18" hidden="1" x14ac:dyDescent="0.25">
      <c r="A1016" t="s">
        <v>1659</v>
      </c>
      <c r="B1016" t="s">
        <v>103</v>
      </c>
      <c r="C1016" t="s">
        <v>15</v>
      </c>
      <c r="D1016" t="s">
        <v>16</v>
      </c>
      <c r="E1016" t="s">
        <v>199</v>
      </c>
      <c r="F1016" t="s">
        <v>152</v>
      </c>
      <c r="G1016" t="s">
        <v>1660</v>
      </c>
      <c r="H1016" s="15">
        <v>902700</v>
      </c>
      <c r="I1016" s="15">
        <v>0</v>
      </c>
      <c r="J1016" t="s">
        <v>20</v>
      </c>
      <c r="K1016" t="s">
        <v>28</v>
      </c>
      <c r="L1016" s="2">
        <v>43374</v>
      </c>
      <c r="M1016" t="s">
        <v>1661</v>
      </c>
      <c r="N1016">
        <v>0</v>
      </c>
      <c r="O1016" t="s">
        <v>4903</v>
      </c>
      <c r="P1016">
        <v>0</v>
      </c>
      <c r="Q1016" t="s">
        <v>4903</v>
      </c>
      <c r="R1016" t="s">
        <v>1659</v>
      </c>
    </row>
    <row r="1017" spans="1:18" hidden="1" x14ac:dyDescent="0.25">
      <c r="A1017" t="s">
        <v>2082</v>
      </c>
      <c r="B1017" t="s">
        <v>47</v>
      </c>
      <c r="C1017" t="s">
        <v>48</v>
      </c>
      <c r="D1017" t="s">
        <v>16</v>
      </c>
      <c r="E1017" t="s">
        <v>199</v>
      </c>
      <c r="F1017" t="s">
        <v>42</v>
      </c>
      <c r="G1017" t="s">
        <v>2083</v>
      </c>
      <c r="H1017" s="15">
        <v>669376</v>
      </c>
      <c r="I1017" s="15">
        <v>0</v>
      </c>
      <c r="J1017" t="s">
        <v>20</v>
      </c>
      <c r="K1017" t="s">
        <v>28</v>
      </c>
      <c r="L1017" s="2">
        <v>43374</v>
      </c>
      <c r="M1017" t="s">
        <v>2084</v>
      </c>
      <c r="N1017">
        <v>0</v>
      </c>
      <c r="O1017" t="s">
        <v>4903</v>
      </c>
      <c r="P1017">
        <v>0</v>
      </c>
      <c r="Q1017" t="s">
        <v>4903</v>
      </c>
      <c r="R1017" t="s">
        <v>2082</v>
      </c>
    </row>
    <row r="1018" spans="1:18" hidden="1" x14ac:dyDescent="0.25">
      <c r="A1018" t="s">
        <v>3437</v>
      </c>
      <c r="B1018" t="s">
        <v>406</v>
      </c>
      <c r="C1018" t="s">
        <v>62</v>
      </c>
      <c r="D1018" t="s">
        <v>1394</v>
      </c>
      <c r="E1018" t="s">
        <v>1395</v>
      </c>
      <c r="F1018" t="s">
        <v>1396</v>
      </c>
      <c r="G1018" t="s">
        <v>3438</v>
      </c>
      <c r="H1018" s="15">
        <v>620000</v>
      </c>
      <c r="I1018" s="15">
        <v>0</v>
      </c>
      <c r="J1018" t="s">
        <v>89</v>
      </c>
      <c r="K1018" t="s">
        <v>134</v>
      </c>
      <c r="L1018" s="2">
        <v>43466</v>
      </c>
      <c r="M1018" t="s">
        <v>3439</v>
      </c>
      <c r="N1018">
        <v>0</v>
      </c>
      <c r="O1018" t="s">
        <v>4903</v>
      </c>
      <c r="P1018">
        <v>0</v>
      </c>
      <c r="Q1018" t="s">
        <v>4903</v>
      </c>
      <c r="R1018" t="s">
        <v>3437</v>
      </c>
    </row>
    <row r="1019" spans="1:18" hidden="1" x14ac:dyDescent="0.25">
      <c r="A1019" t="s">
        <v>3733</v>
      </c>
      <c r="B1019" t="s">
        <v>61</v>
      </c>
      <c r="C1019" t="s">
        <v>62</v>
      </c>
      <c r="D1019" t="s">
        <v>1394</v>
      </c>
      <c r="E1019" t="s">
        <v>1395</v>
      </c>
      <c r="F1019" t="s">
        <v>1396</v>
      </c>
      <c r="G1019" t="s">
        <v>3734</v>
      </c>
      <c r="H1019" s="15">
        <v>675000</v>
      </c>
      <c r="I1019" s="15">
        <v>0</v>
      </c>
      <c r="J1019" t="s">
        <v>89</v>
      </c>
      <c r="K1019" t="s">
        <v>134</v>
      </c>
      <c r="L1019" s="2">
        <v>43466</v>
      </c>
      <c r="M1019" t="s">
        <v>3735</v>
      </c>
      <c r="N1019">
        <v>3</v>
      </c>
      <c r="O1019" t="s">
        <v>4903</v>
      </c>
      <c r="P1019">
        <v>0</v>
      </c>
      <c r="Q1019" t="s">
        <v>4903</v>
      </c>
      <c r="R1019" t="s">
        <v>3733</v>
      </c>
    </row>
    <row r="1020" spans="1:18" hidden="1" x14ac:dyDescent="0.25">
      <c r="A1020" t="s">
        <v>1393</v>
      </c>
      <c r="B1020" t="s">
        <v>478</v>
      </c>
      <c r="C1020" t="s">
        <v>15</v>
      </c>
      <c r="D1020" t="s">
        <v>1394</v>
      </c>
      <c r="E1020" t="s">
        <v>1395</v>
      </c>
      <c r="F1020" t="s">
        <v>1396</v>
      </c>
      <c r="G1020" t="s">
        <v>1397</v>
      </c>
      <c r="H1020" s="15">
        <v>673199</v>
      </c>
      <c r="I1020" s="15">
        <v>0</v>
      </c>
      <c r="J1020" t="s">
        <v>89</v>
      </c>
      <c r="K1020" t="s">
        <v>134</v>
      </c>
      <c r="L1020" s="2">
        <v>43466</v>
      </c>
      <c r="M1020" t="s">
        <v>1398</v>
      </c>
      <c r="N1020">
        <v>0</v>
      </c>
      <c r="O1020" t="s">
        <v>4903</v>
      </c>
      <c r="P1020">
        <v>0</v>
      </c>
      <c r="Q1020" t="s">
        <v>4903</v>
      </c>
      <c r="R1020" t="s">
        <v>1393</v>
      </c>
    </row>
    <row r="1021" spans="1:18" hidden="1" x14ac:dyDescent="0.25">
      <c r="A1021" t="s">
        <v>3301</v>
      </c>
      <c r="B1021" t="s">
        <v>61</v>
      </c>
      <c r="C1021" t="s">
        <v>62</v>
      </c>
      <c r="D1021" t="s">
        <v>3930</v>
      </c>
      <c r="E1021" t="s">
        <v>3931</v>
      </c>
      <c r="F1021" t="s">
        <v>18</v>
      </c>
      <c r="G1021" t="s">
        <v>3932</v>
      </c>
      <c r="H1021" s="15">
        <v>100000</v>
      </c>
      <c r="I1021" s="15">
        <v>0</v>
      </c>
      <c r="J1021" t="s">
        <v>44</v>
      </c>
      <c r="K1021" t="s">
        <v>326</v>
      </c>
      <c r="L1021" s="2">
        <v>43525</v>
      </c>
      <c r="M1021" t="s">
        <v>3933</v>
      </c>
      <c r="N1021">
        <v>0</v>
      </c>
      <c r="O1021" t="s">
        <v>4903</v>
      </c>
      <c r="P1021">
        <v>0</v>
      </c>
      <c r="Q1021" t="s">
        <v>4903</v>
      </c>
      <c r="R1021" t="s">
        <v>3301</v>
      </c>
    </row>
    <row r="1022" spans="1:18" hidden="1" x14ac:dyDescent="0.25">
      <c r="A1022" t="s">
        <v>91</v>
      </c>
      <c r="B1022" t="s">
        <v>47</v>
      </c>
      <c r="C1022" t="s">
        <v>48</v>
      </c>
      <c r="D1022" t="s">
        <v>742</v>
      </c>
      <c r="E1022" t="s">
        <v>743</v>
      </c>
      <c r="F1022" t="s">
        <v>18</v>
      </c>
      <c r="G1022" t="s">
        <v>744</v>
      </c>
      <c r="H1022" s="15">
        <v>100000</v>
      </c>
      <c r="I1022" s="15">
        <v>0</v>
      </c>
      <c r="J1022" t="s">
        <v>44</v>
      </c>
      <c r="K1022" t="s">
        <v>65</v>
      </c>
      <c r="L1022" s="2">
        <v>43525</v>
      </c>
      <c r="M1022" t="s">
        <v>745</v>
      </c>
      <c r="N1022">
        <v>0</v>
      </c>
      <c r="O1022" t="s">
        <v>4903</v>
      </c>
      <c r="P1022">
        <v>0</v>
      </c>
      <c r="Q1022" t="s">
        <v>4903</v>
      </c>
      <c r="R1022" t="s">
        <v>91</v>
      </c>
    </row>
    <row r="1023" spans="1:18" hidden="1" x14ac:dyDescent="0.25">
      <c r="A1023" t="s">
        <v>1029</v>
      </c>
      <c r="B1023" t="s">
        <v>333</v>
      </c>
      <c r="C1023" t="s">
        <v>334</v>
      </c>
      <c r="D1023" t="s">
        <v>16</v>
      </c>
      <c r="E1023" t="s">
        <v>301</v>
      </c>
      <c r="F1023" t="s">
        <v>42</v>
      </c>
      <c r="G1023" t="s">
        <v>1030</v>
      </c>
      <c r="H1023" s="15">
        <v>100000</v>
      </c>
      <c r="I1023" s="15">
        <v>0</v>
      </c>
      <c r="J1023" t="s">
        <v>89</v>
      </c>
      <c r="K1023" t="s">
        <v>28</v>
      </c>
      <c r="L1023" s="2">
        <v>43556</v>
      </c>
      <c r="M1023" t="s">
        <v>1031</v>
      </c>
      <c r="N1023">
        <v>0</v>
      </c>
      <c r="O1023" t="s">
        <v>4903</v>
      </c>
      <c r="P1023">
        <v>0</v>
      </c>
      <c r="Q1023" t="s">
        <v>4903</v>
      </c>
      <c r="R1023" t="s">
        <v>1029</v>
      </c>
    </row>
    <row r="1024" spans="1:18" hidden="1" x14ac:dyDescent="0.25">
      <c r="A1024" t="s">
        <v>702</v>
      </c>
      <c r="B1024" t="s">
        <v>84</v>
      </c>
      <c r="C1024" t="s">
        <v>15</v>
      </c>
      <c r="D1024" t="s">
        <v>85</v>
      </c>
      <c r="E1024" t="s">
        <v>162</v>
      </c>
      <c r="F1024" t="s">
        <v>87</v>
      </c>
      <c r="G1024" t="s">
        <v>703</v>
      </c>
      <c r="H1024" s="15">
        <v>374050</v>
      </c>
      <c r="I1024" s="15">
        <v>0</v>
      </c>
      <c r="J1024" t="s">
        <v>89</v>
      </c>
      <c r="K1024" t="s">
        <v>74</v>
      </c>
      <c r="L1024" s="2">
        <v>43556</v>
      </c>
      <c r="M1024" t="s">
        <v>704</v>
      </c>
      <c r="N1024">
        <v>0</v>
      </c>
      <c r="O1024" t="s">
        <v>4903</v>
      </c>
      <c r="P1024">
        <v>0</v>
      </c>
      <c r="Q1024" t="s">
        <v>4903</v>
      </c>
      <c r="R1024" t="s">
        <v>702</v>
      </c>
    </row>
    <row r="1025" spans="1:18" hidden="1" x14ac:dyDescent="0.25">
      <c r="A1025" t="s">
        <v>891</v>
      </c>
      <c r="B1025" t="s">
        <v>406</v>
      </c>
      <c r="C1025" t="s">
        <v>62</v>
      </c>
      <c r="D1025" t="s">
        <v>16</v>
      </c>
      <c r="E1025" t="s">
        <v>301</v>
      </c>
      <c r="F1025" t="s">
        <v>152</v>
      </c>
      <c r="G1025" t="s">
        <v>892</v>
      </c>
      <c r="H1025" s="15">
        <v>765000</v>
      </c>
      <c r="I1025" s="15">
        <v>0</v>
      </c>
      <c r="J1025" t="s">
        <v>20</v>
      </c>
      <c r="K1025" t="s">
        <v>28</v>
      </c>
      <c r="L1025" s="2">
        <v>43556</v>
      </c>
      <c r="M1025" t="s">
        <v>893</v>
      </c>
      <c r="N1025">
        <v>1</v>
      </c>
      <c r="O1025" t="s">
        <v>4903</v>
      </c>
      <c r="P1025">
        <v>0</v>
      </c>
      <c r="Q1025" t="s">
        <v>4903</v>
      </c>
      <c r="R1025" t="s">
        <v>891</v>
      </c>
    </row>
    <row r="1026" spans="1:18" hidden="1" x14ac:dyDescent="0.25">
      <c r="A1026" t="s">
        <v>618</v>
      </c>
      <c r="B1026" t="s">
        <v>119</v>
      </c>
      <c r="C1026" t="s">
        <v>39</v>
      </c>
      <c r="D1026" t="s">
        <v>16</v>
      </c>
      <c r="E1026" t="s">
        <v>301</v>
      </c>
      <c r="F1026" t="s">
        <v>18</v>
      </c>
      <c r="G1026" t="s">
        <v>619</v>
      </c>
      <c r="H1026" s="15">
        <v>631124</v>
      </c>
      <c r="I1026" s="15">
        <v>0</v>
      </c>
      <c r="J1026" t="s">
        <v>154</v>
      </c>
      <c r="K1026" t="s">
        <v>65</v>
      </c>
      <c r="L1026" s="2">
        <v>43556</v>
      </c>
      <c r="M1026" t="s">
        <v>620</v>
      </c>
      <c r="N1026">
        <v>0</v>
      </c>
      <c r="O1026" t="s">
        <v>4903</v>
      </c>
      <c r="P1026">
        <v>0</v>
      </c>
      <c r="Q1026" t="s">
        <v>4903</v>
      </c>
      <c r="R1026" t="s">
        <v>618</v>
      </c>
    </row>
    <row r="1027" spans="1:18" hidden="1" x14ac:dyDescent="0.25">
      <c r="A1027" t="s">
        <v>1184</v>
      </c>
      <c r="B1027" t="s">
        <v>84</v>
      </c>
      <c r="C1027" t="s">
        <v>15</v>
      </c>
      <c r="D1027" t="s">
        <v>85</v>
      </c>
      <c r="E1027" t="s">
        <v>162</v>
      </c>
      <c r="F1027" t="s">
        <v>87</v>
      </c>
      <c r="G1027" t="s">
        <v>4471</v>
      </c>
      <c r="H1027" s="15">
        <v>511851</v>
      </c>
      <c r="I1027" s="15">
        <v>0</v>
      </c>
      <c r="J1027" t="s">
        <v>89</v>
      </c>
      <c r="K1027" t="s">
        <v>74</v>
      </c>
      <c r="L1027" s="2">
        <v>43556</v>
      </c>
      <c r="M1027" t="s">
        <v>4472</v>
      </c>
      <c r="N1027">
        <v>0</v>
      </c>
      <c r="O1027" t="s">
        <v>4903</v>
      </c>
      <c r="P1027">
        <v>0</v>
      </c>
      <c r="Q1027" t="s">
        <v>4903</v>
      </c>
      <c r="R1027" t="s">
        <v>1184</v>
      </c>
    </row>
    <row r="1028" spans="1:18" hidden="1" x14ac:dyDescent="0.25">
      <c r="A1028" t="s">
        <v>1388</v>
      </c>
      <c r="B1028" t="s">
        <v>406</v>
      </c>
      <c r="C1028" t="s">
        <v>62</v>
      </c>
      <c r="D1028" t="s">
        <v>85</v>
      </c>
      <c r="E1028" t="s">
        <v>162</v>
      </c>
      <c r="F1028" t="s">
        <v>87</v>
      </c>
      <c r="G1028" t="s">
        <v>1389</v>
      </c>
      <c r="H1028" s="15">
        <v>967734</v>
      </c>
      <c r="I1028" s="15">
        <v>0</v>
      </c>
      <c r="J1028" t="s">
        <v>89</v>
      </c>
      <c r="K1028" t="s">
        <v>74</v>
      </c>
      <c r="L1028" s="2">
        <v>43556</v>
      </c>
      <c r="M1028" t="s">
        <v>1390</v>
      </c>
      <c r="N1028">
        <v>0</v>
      </c>
      <c r="O1028" t="s">
        <v>4903</v>
      </c>
      <c r="P1028">
        <v>0</v>
      </c>
      <c r="Q1028" t="s">
        <v>4903</v>
      </c>
      <c r="R1028" t="s">
        <v>1388</v>
      </c>
    </row>
    <row r="1029" spans="1:18" hidden="1" x14ac:dyDescent="0.25">
      <c r="A1029" t="s">
        <v>60</v>
      </c>
      <c r="B1029" t="s">
        <v>61</v>
      </c>
      <c r="C1029" t="s">
        <v>62</v>
      </c>
      <c r="D1029" t="s">
        <v>16</v>
      </c>
      <c r="E1029" t="s">
        <v>301</v>
      </c>
      <c r="F1029" t="s">
        <v>34</v>
      </c>
      <c r="G1029" t="s">
        <v>385</v>
      </c>
      <c r="H1029" s="15">
        <v>925650</v>
      </c>
      <c r="I1029" s="15">
        <v>0</v>
      </c>
      <c r="J1029" t="s">
        <v>20</v>
      </c>
      <c r="K1029" t="s">
        <v>65</v>
      </c>
      <c r="L1029" s="2">
        <v>43556</v>
      </c>
      <c r="M1029" t="s">
        <v>386</v>
      </c>
      <c r="N1029">
        <v>0</v>
      </c>
      <c r="O1029" t="s">
        <v>4903</v>
      </c>
      <c r="P1029">
        <v>0</v>
      </c>
      <c r="Q1029" t="s">
        <v>4903</v>
      </c>
      <c r="R1029" t="s">
        <v>60</v>
      </c>
    </row>
    <row r="1030" spans="1:18" hidden="1" x14ac:dyDescent="0.25">
      <c r="A1030" t="s">
        <v>2009</v>
      </c>
      <c r="B1030" t="s">
        <v>14</v>
      </c>
      <c r="C1030" t="s">
        <v>15</v>
      </c>
      <c r="D1030" t="s">
        <v>16</v>
      </c>
      <c r="E1030" t="s">
        <v>301</v>
      </c>
      <c r="F1030" t="s">
        <v>26</v>
      </c>
      <c r="G1030" t="s">
        <v>2010</v>
      </c>
      <c r="H1030" s="15">
        <v>757352</v>
      </c>
      <c r="I1030" s="15">
        <v>0</v>
      </c>
      <c r="J1030" t="s">
        <v>154</v>
      </c>
      <c r="K1030" t="s">
        <v>28</v>
      </c>
      <c r="L1030" s="2">
        <v>43556</v>
      </c>
      <c r="M1030" t="s">
        <v>2011</v>
      </c>
      <c r="N1030">
        <v>0</v>
      </c>
      <c r="O1030" t="s">
        <v>4903</v>
      </c>
      <c r="P1030">
        <v>0</v>
      </c>
      <c r="Q1030" t="s">
        <v>4903</v>
      </c>
      <c r="R1030" t="s">
        <v>2009</v>
      </c>
    </row>
    <row r="1031" spans="1:18" hidden="1" x14ac:dyDescent="0.25">
      <c r="A1031" t="s">
        <v>3711</v>
      </c>
      <c r="B1031" t="s">
        <v>126</v>
      </c>
      <c r="C1031" t="s">
        <v>39</v>
      </c>
      <c r="D1031" t="s">
        <v>85</v>
      </c>
      <c r="E1031" t="s">
        <v>162</v>
      </c>
      <c r="F1031" t="s">
        <v>87</v>
      </c>
      <c r="G1031" t="s">
        <v>3712</v>
      </c>
      <c r="H1031" s="15">
        <v>318630</v>
      </c>
      <c r="I1031" s="15">
        <v>0</v>
      </c>
      <c r="J1031" t="s">
        <v>89</v>
      </c>
      <c r="K1031" t="s">
        <v>116</v>
      </c>
      <c r="L1031" s="2">
        <v>43556</v>
      </c>
      <c r="M1031" t="s">
        <v>3713</v>
      </c>
      <c r="N1031">
        <v>0</v>
      </c>
      <c r="O1031" t="s">
        <v>4903</v>
      </c>
      <c r="P1031">
        <v>0</v>
      </c>
      <c r="Q1031" t="s">
        <v>4903</v>
      </c>
      <c r="R1031" t="s">
        <v>3711</v>
      </c>
    </row>
    <row r="1032" spans="1:18" hidden="1" x14ac:dyDescent="0.25">
      <c r="A1032" t="s">
        <v>1431</v>
      </c>
      <c r="B1032" t="s">
        <v>84</v>
      </c>
      <c r="C1032" t="s">
        <v>15</v>
      </c>
      <c r="D1032" t="s">
        <v>85</v>
      </c>
      <c r="E1032" t="s">
        <v>162</v>
      </c>
      <c r="F1032" t="s">
        <v>87</v>
      </c>
      <c r="G1032" t="s">
        <v>1432</v>
      </c>
      <c r="H1032" s="15">
        <v>347441</v>
      </c>
      <c r="I1032" s="15">
        <v>66200</v>
      </c>
      <c r="J1032" t="s">
        <v>89</v>
      </c>
      <c r="K1032" t="s">
        <v>21</v>
      </c>
      <c r="L1032" s="2">
        <v>43556</v>
      </c>
      <c r="M1032" t="s">
        <v>1433</v>
      </c>
      <c r="N1032">
        <v>1</v>
      </c>
      <c r="O1032" t="s">
        <v>4903</v>
      </c>
      <c r="P1032">
        <v>0</v>
      </c>
      <c r="Q1032" t="s">
        <v>4903</v>
      </c>
      <c r="R1032" t="s">
        <v>1431</v>
      </c>
    </row>
    <row r="1033" spans="1:18" hidden="1" x14ac:dyDescent="0.25">
      <c r="A1033" t="s">
        <v>3216</v>
      </c>
      <c r="B1033" t="s">
        <v>24</v>
      </c>
      <c r="C1033" t="s">
        <v>15</v>
      </c>
      <c r="D1033" t="s">
        <v>16</v>
      </c>
      <c r="E1033" t="s">
        <v>301</v>
      </c>
      <c r="F1033" t="s">
        <v>34</v>
      </c>
      <c r="G1033" t="s">
        <v>3656</v>
      </c>
      <c r="H1033" s="15">
        <v>598995</v>
      </c>
      <c r="I1033" s="15">
        <v>0</v>
      </c>
      <c r="J1033" t="s">
        <v>89</v>
      </c>
      <c r="K1033" t="s">
        <v>28</v>
      </c>
      <c r="L1033" s="2">
        <v>43556</v>
      </c>
      <c r="M1033" t="s">
        <v>3657</v>
      </c>
      <c r="N1033">
        <v>3</v>
      </c>
      <c r="O1033" t="s">
        <v>4903</v>
      </c>
      <c r="P1033">
        <v>0</v>
      </c>
      <c r="Q1033" t="s">
        <v>4903</v>
      </c>
      <c r="R1033" t="s">
        <v>3216</v>
      </c>
    </row>
    <row r="1034" spans="1:18" hidden="1" x14ac:dyDescent="0.25">
      <c r="A1034" t="s">
        <v>2400</v>
      </c>
      <c r="B1034" t="s">
        <v>244</v>
      </c>
      <c r="C1034" t="s">
        <v>39</v>
      </c>
      <c r="D1034" t="s">
        <v>16</v>
      </c>
      <c r="E1034" t="s">
        <v>301</v>
      </c>
      <c r="F1034" t="s">
        <v>140</v>
      </c>
      <c r="G1034" t="s">
        <v>2401</v>
      </c>
      <c r="H1034" s="15">
        <v>761175</v>
      </c>
      <c r="I1034" s="15">
        <v>0</v>
      </c>
      <c r="J1034" t="s">
        <v>20</v>
      </c>
      <c r="K1034" t="s">
        <v>28</v>
      </c>
      <c r="L1034" s="2">
        <v>43556</v>
      </c>
      <c r="M1034" t="s">
        <v>2402</v>
      </c>
      <c r="N1034">
        <v>0</v>
      </c>
      <c r="O1034" t="s">
        <v>4903</v>
      </c>
      <c r="P1034">
        <v>0</v>
      </c>
      <c r="Q1034" t="s">
        <v>4903</v>
      </c>
      <c r="R1034" t="s">
        <v>2400</v>
      </c>
    </row>
    <row r="1035" spans="1:18" hidden="1" x14ac:dyDescent="0.25">
      <c r="A1035" t="s">
        <v>3114</v>
      </c>
      <c r="B1035" t="s">
        <v>676</v>
      </c>
      <c r="C1035" t="s">
        <v>39</v>
      </c>
      <c r="D1035" t="s">
        <v>16</v>
      </c>
      <c r="E1035" t="s">
        <v>301</v>
      </c>
      <c r="F1035" t="s">
        <v>42</v>
      </c>
      <c r="G1035" t="s">
        <v>3115</v>
      </c>
      <c r="H1035" s="15">
        <v>669375</v>
      </c>
      <c r="I1035" s="15">
        <v>0</v>
      </c>
      <c r="J1035" t="s">
        <v>20</v>
      </c>
      <c r="K1035" t="s">
        <v>28</v>
      </c>
      <c r="L1035" s="2">
        <v>43556</v>
      </c>
      <c r="M1035" t="s">
        <v>3116</v>
      </c>
      <c r="N1035">
        <v>0</v>
      </c>
      <c r="O1035" t="s">
        <v>4903</v>
      </c>
      <c r="P1035">
        <v>0</v>
      </c>
      <c r="Q1035" t="s">
        <v>4903</v>
      </c>
      <c r="R1035" t="s">
        <v>3114</v>
      </c>
    </row>
    <row r="1036" spans="1:18" hidden="1" x14ac:dyDescent="0.25">
      <c r="A1036" t="s">
        <v>913</v>
      </c>
      <c r="B1036" t="s">
        <v>14</v>
      </c>
      <c r="C1036" t="s">
        <v>15</v>
      </c>
      <c r="D1036" t="s">
        <v>16</v>
      </c>
      <c r="E1036" t="s">
        <v>301</v>
      </c>
      <c r="F1036" t="s">
        <v>26</v>
      </c>
      <c r="G1036" t="s">
        <v>914</v>
      </c>
      <c r="H1036" s="15">
        <v>1021275</v>
      </c>
      <c r="I1036" s="15">
        <v>0</v>
      </c>
      <c r="J1036" t="s">
        <v>20</v>
      </c>
      <c r="K1036" t="s">
        <v>28</v>
      </c>
      <c r="L1036" s="2">
        <v>43556</v>
      </c>
      <c r="M1036" t="s">
        <v>915</v>
      </c>
      <c r="N1036">
        <v>0</v>
      </c>
      <c r="O1036" t="s">
        <v>4903</v>
      </c>
      <c r="P1036">
        <v>0</v>
      </c>
      <c r="Q1036" t="s">
        <v>4903</v>
      </c>
      <c r="R1036" t="s">
        <v>913</v>
      </c>
    </row>
    <row r="1037" spans="1:18" hidden="1" x14ac:dyDescent="0.25">
      <c r="A1037" t="s">
        <v>3739</v>
      </c>
      <c r="B1037" t="s">
        <v>84</v>
      </c>
      <c r="C1037" t="s">
        <v>15</v>
      </c>
      <c r="D1037" t="s">
        <v>85</v>
      </c>
      <c r="E1037" t="s">
        <v>162</v>
      </c>
      <c r="F1037" t="s">
        <v>87</v>
      </c>
      <c r="G1037" t="s">
        <v>3740</v>
      </c>
      <c r="H1037" s="15">
        <v>246233</v>
      </c>
      <c r="I1037" s="15">
        <v>10900</v>
      </c>
      <c r="J1037" t="s">
        <v>89</v>
      </c>
      <c r="K1037" t="s">
        <v>74</v>
      </c>
      <c r="L1037" s="2">
        <v>43556</v>
      </c>
      <c r="M1037" t="s">
        <v>3741</v>
      </c>
      <c r="N1037">
        <v>0</v>
      </c>
      <c r="O1037" t="s">
        <v>4903</v>
      </c>
      <c r="P1037">
        <v>0</v>
      </c>
      <c r="Q1037" t="s">
        <v>4903</v>
      </c>
      <c r="R1037" t="s">
        <v>3739</v>
      </c>
    </row>
    <row r="1038" spans="1:18" hidden="1" x14ac:dyDescent="0.25">
      <c r="A1038" t="s">
        <v>3018</v>
      </c>
      <c r="B1038" t="s">
        <v>190</v>
      </c>
      <c r="C1038" t="s">
        <v>15</v>
      </c>
      <c r="D1038" t="s">
        <v>16</v>
      </c>
      <c r="E1038" t="s">
        <v>301</v>
      </c>
      <c r="F1038" t="s">
        <v>18</v>
      </c>
      <c r="G1038" t="s">
        <v>3019</v>
      </c>
      <c r="H1038" s="15">
        <v>443700</v>
      </c>
      <c r="I1038" s="15">
        <v>0</v>
      </c>
      <c r="J1038" t="s">
        <v>154</v>
      </c>
      <c r="K1038" t="s">
        <v>134</v>
      </c>
      <c r="L1038" s="2">
        <v>43556</v>
      </c>
      <c r="M1038" t="s">
        <v>3020</v>
      </c>
      <c r="N1038">
        <v>0</v>
      </c>
      <c r="O1038" t="s">
        <v>4903</v>
      </c>
      <c r="P1038">
        <v>0</v>
      </c>
      <c r="Q1038" t="s">
        <v>4903</v>
      </c>
      <c r="R1038" t="s">
        <v>3018</v>
      </c>
    </row>
    <row r="1039" spans="1:18" hidden="1" x14ac:dyDescent="0.25">
      <c r="A1039" t="s">
        <v>1783</v>
      </c>
      <c r="B1039" t="s">
        <v>119</v>
      </c>
      <c r="C1039" t="s">
        <v>39</v>
      </c>
      <c r="D1039" t="s">
        <v>16</v>
      </c>
      <c r="E1039" t="s">
        <v>301</v>
      </c>
      <c r="F1039" t="s">
        <v>140</v>
      </c>
      <c r="G1039" t="s">
        <v>1987</v>
      </c>
      <c r="H1039" s="15">
        <v>665550</v>
      </c>
      <c r="I1039" s="15">
        <v>0</v>
      </c>
      <c r="J1039" t="s">
        <v>20</v>
      </c>
      <c r="K1039" t="s">
        <v>28</v>
      </c>
      <c r="L1039" s="2">
        <v>43556</v>
      </c>
      <c r="M1039" t="s">
        <v>1988</v>
      </c>
      <c r="N1039">
        <v>0</v>
      </c>
      <c r="O1039" t="s">
        <v>4903</v>
      </c>
      <c r="P1039">
        <v>0</v>
      </c>
      <c r="Q1039" t="s">
        <v>4903</v>
      </c>
      <c r="R1039" t="s">
        <v>1783</v>
      </c>
    </row>
    <row r="1040" spans="1:18" hidden="1" x14ac:dyDescent="0.25">
      <c r="A1040" t="s">
        <v>1269</v>
      </c>
      <c r="B1040" t="s">
        <v>47</v>
      </c>
      <c r="C1040" t="s">
        <v>48</v>
      </c>
      <c r="D1040" t="s">
        <v>85</v>
      </c>
      <c r="E1040" t="s">
        <v>162</v>
      </c>
      <c r="F1040" t="s">
        <v>87</v>
      </c>
      <c r="G1040" t="s">
        <v>4487</v>
      </c>
      <c r="H1040" s="15">
        <v>381244</v>
      </c>
      <c r="I1040" s="15">
        <v>15000</v>
      </c>
      <c r="J1040" t="s">
        <v>89</v>
      </c>
      <c r="K1040" t="s">
        <v>65</v>
      </c>
      <c r="L1040" s="2">
        <v>43556</v>
      </c>
      <c r="M1040" t="s">
        <v>4488</v>
      </c>
      <c r="N1040">
        <v>0</v>
      </c>
      <c r="O1040" t="s">
        <v>4903</v>
      </c>
      <c r="P1040">
        <v>0</v>
      </c>
      <c r="Q1040" t="s">
        <v>4903</v>
      </c>
      <c r="R1040" t="s">
        <v>1269</v>
      </c>
    </row>
    <row r="1041" spans="1:18" hidden="1" x14ac:dyDescent="0.25">
      <c r="A1041" t="s">
        <v>2858</v>
      </c>
      <c r="B1041" t="s">
        <v>24</v>
      </c>
      <c r="C1041" t="s">
        <v>15</v>
      </c>
      <c r="D1041" t="s">
        <v>16</v>
      </c>
      <c r="E1041" t="s">
        <v>301</v>
      </c>
      <c r="F1041" t="s">
        <v>34</v>
      </c>
      <c r="G1041" t="s">
        <v>3344</v>
      </c>
      <c r="H1041" s="15">
        <v>841500</v>
      </c>
      <c r="I1041" s="15">
        <v>0</v>
      </c>
      <c r="J1041" t="s">
        <v>20</v>
      </c>
      <c r="K1041" t="s">
        <v>116</v>
      </c>
      <c r="L1041" s="2">
        <v>43556</v>
      </c>
      <c r="M1041" t="s">
        <v>3345</v>
      </c>
      <c r="N1041">
        <v>0</v>
      </c>
      <c r="O1041" t="s">
        <v>4903</v>
      </c>
      <c r="P1041">
        <v>0</v>
      </c>
      <c r="Q1041" t="s">
        <v>4903</v>
      </c>
      <c r="R1041" t="s">
        <v>2858</v>
      </c>
    </row>
    <row r="1042" spans="1:18" hidden="1" x14ac:dyDescent="0.25">
      <c r="A1042" t="s">
        <v>4041</v>
      </c>
      <c r="B1042" t="s">
        <v>406</v>
      </c>
      <c r="C1042" t="s">
        <v>62</v>
      </c>
      <c r="D1042" t="s">
        <v>16</v>
      </c>
      <c r="E1042" t="s">
        <v>301</v>
      </c>
      <c r="F1042" t="s">
        <v>152</v>
      </c>
      <c r="G1042" t="s">
        <v>4042</v>
      </c>
      <c r="H1042" s="15">
        <v>837675</v>
      </c>
      <c r="I1042" s="15">
        <v>0</v>
      </c>
      <c r="J1042" t="s">
        <v>20</v>
      </c>
      <c r="K1042" t="s">
        <v>28</v>
      </c>
      <c r="L1042" s="2">
        <v>43556</v>
      </c>
      <c r="M1042" t="s">
        <v>4043</v>
      </c>
      <c r="N1042">
        <v>0</v>
      </c>
      <c r="O1042" t="s">
        <v>4903</v>
      </c>
      <c r="P1042">
        <v>0</v>
      </c>
      <c r="Q1042" t="s">
        <v>4903</v>
      </c>
      <c r="R1042" t="s">
        <v>4041</v>
      </c>
    </row>
    <row r="1043" spans="1:18" hidden="1" x14ac:dyDescent="0.25">
      <c r="A1043" t="s">
        <v>1337</v>
      </c>
      <c r="B1043" t="s">
        <v>14</v>
      </c>
      <c r="C1043" t="s">
        <v>15</v>
      </c>
      <c r="D1043" t="s">
        <v>16</v>
      </c>
      <c r="E1043" t="s">
        <v>301</v>
      </c>
      <c r="F1043" t="s">
        <v>152</v>
      </c>
      <c r="G1043" t="s">
        <v>1338</v>
      </c>
      <c r="H1043" s="15">
        <v>1273725</v>
      </c>
      <c r="I1043" s="15">
        <v>0</v>
      </c>
      <c r="J1043" t="s">
        <v>20</v>
      </c>
      <c r="K1043" t="s">
        <v>28</v>
      </c>
      <c r="L1043" s="2">
        <v>43556</v>
      </c>
      <c r="M1043" t="s">
        <v>1339</v>
      </c>
      <c r="N1043">
        <v>0</v>
      </c>
      <c r="O1043" t="s">
        <v>4903</v>
      </c>
      <c r="P1043">
        <v>0</v>
      </c>
      <c r="Q1043" t="s">
        <v>4903</v>
      </c>
      <c r="R1043" t="s">
        <v>1337</v>
      </c>
    </row>
    <row r="1044" spans="1:18" hidden="1" x14ac:dyDescent="0.25">
      <c r="A1044" t="s">
        <v>1208</v>
      </c>
      <c r="B1044" t="s">
        <v>103</v>
      </c>
      <c r="C1044" t="s">
        <v>15</v>
      </c>
      <c r="D1044" t="s">
        <v>85</v>
      </c>
      <c r="E1044" t="s">
        <v>162</v>
      </c>
      <c r="F1044" t="s">
        <v>87</v>
      </c>
      <c r="G1044" t="s">
        <v>1209</v>
      </c>
      <c r="H1044" s="15">
        <v>327657</v>
      </c>
      <c r="I1044" s="15">
        <v>7500</v>
      </c>
      <c r="J1044" t="s">
        <v>89</v>
      </c>
      <c r="K1044" t="s">
        <v>100</v>
      </c>
      <c r="L1044" s="2">
        <v>43556</v>
      </c>
      <c r="M1044" t="s">
        <v>1210</v>
      </c>
      <c r="N1044">
        <v>0</v>
      </c>
      <c r="O1044" t="s">
        <v>4903</v>
      </c>
      <c r="P1044">
        <v>0</v>
      </c>
      <c r="Q1044" t="s">
        <v>4903</v>
      </c>
      <c r="R1044" t="s">
        <v>1208</v>
      </c>
    </row>
    <row r="1045" spans="1:18" hidden="1" x14ac:dyDescent="0.25">
      <c r="A1045" t="s">
        <v>1157</v>
      </c>
      <c r="B1045" t="s">
        <v>77</v>
      </c>
      <c r="C1045" t="s">
        <v>15</v>
      </c>
      <c r="D1045" t="s">
        <v>16</v>
      </c>
      <c r="E1045" t="s">
        <v>301</v>
      </c>
      <c r="F1045" t="s">
        <v>26</v>
      </c>
      <c r="G1045" t="s">
        <v>2899</v>
      </c>
      <c r="H1045" s="15">
        <v>1023190</v>
      </c>
      <c r="I1045" s="15">
        <v>0</v>
      </c>
      <c r="J1045" t="s">
        <v>20</v>
      </c>
      <c r="K1045" t="s">
        <v>28</v>
      </c>
      <c r="L1045" s="2">
        <v>43556</v>
      </c>
      <c r="M1045" t="s">
        <v>2900</v>
      </c>
      <c r="N1045">
        <v>0</v>
      </c>
      <c r="O1045" t="s">
        <v>4903</v>
      </c>
      <c r="P1045">
        <v>0</v>
      </c>
      <c r="Q1045" t="s">
        <v>4903</v>
      </c>
      <c r="R1045" t="s">
        <v>1157</v>
      </c>
    </row>
    <row r="1046" spans="1:18" hidden="1" x14ac:dyDescent="0.25">
      <c r="A1046" t="s">
        <v>4202</v>
      </c>
      <c r="B1046" t="s">
        <v>77</v>
      </c>
      <c r="C1046" t="s">
        <v>15</v>
      </c>
      <c r="D1046" t="s">
        <v>16</v>
      </c>
      <c r="E1046" t="s">
        <v>301</v>
      </c>
      <c r="F1046" t="s">
        <v>42</v>
      </c>
      <c r="G1046" t="s">
        <v>4203</v>
      </c>
      <c r="H1046" s="15">
        <v>891225</v>
      </c>
      <c r="I1046" s="15">
        <v>0</v>
      </c>
      <c r="J1046" t="s">
        <v>20</v>
      </c>
      <c r="K1046" t="s">
        <v>28</v>
      </c>
      <c r="L1046" s="2">
        <v>43556</v>
      </c>
      <c r="M1046" t="s">
        <v>4204</v>
      </c>
      <c r="N1046">
        <v>0</v>
      </c>
      <c r="O1046" t="s">
        <v>4903</v>
      </c>
      <c r="P1046">
        <v>0</v>
      </c>
      <c r="Q1046" t="s">
        <v>4903</v>
      </c>
      <c r="R1046" t="s">
        <v>4202</v>
      </c>
    </row>
    <row r="1047" spans="1:18" hidden="1" x14ac:dyDescent="0.25">
      <c r="A1047" t="s">
        <v>4184</v>
      </c>
      <c r="B1047" t="s">
        <v>77</v>
      </c>
      <c r="C1047" t="s">
        <v>15</v>
      </c>
      <c r="D1047" t="s">
        <v>16</v>
      </c>
      <c r="E1047" t="s">
        <v>301</v>
      </c>
      <c r="F1047" t="s">
        <v>140</v>
      </c>
      <c r="G1047" t="s">
        <v>4212</v>
      </c>
      <c r="H1047" s="15">
        <v>929475</v>
      </c>
      <c r="I1047" s="15">
        <v>0</v>
      </c>
      <c r="J1047" t="s">
        <v>20</v>
      </c>
      <c r="K1047" t="s">
        <v>28</v>
      </c>
      <c r="L1047" s="2">
        <v>43556</v>
      </c>
      <c r="M1047" t="s">
        <v>4213</v>
      </c>
      <c r="N1047">
        <v>0</v>
      </c>
      <c r="O1047" t="s">
        <v>4903</v>
      </c>
      <c r="P1047">
        <v>0</v>
      </c>
      <c r="Q1047" t="s">
        <v>4903</v>
      </c>
      <c r="R1047" t="s">
        <v>4184</v>
      </c>
    </row>
    <row r="1048" spans="1:18" hidden="1" x14ac:dyDescent="0.25">
      <c r="A1048" t="s">
        <v>3316</v>
      </c>
      <c r="B1048" t="s">
        <v>244</v>
      </c>
      <c r="C1048" t="s">
        <v>39</v>
      </c>
      <c r="D1048" t="s">
        <v>16</v>
      </c>
      <c r="E1048" t="s">
        <v>301</v>
      </c>
      <c r="F1048" t="s">
        <v>42</v>
      </c>
      <c r="G1048" t="s">
        <v>3317</v>
      </c>
      <c r="H1048" s="15">
        <v>753525</v>
      </c>
      <c r="I1048" s="15">
        <v>0</v>
      </c>
      <c r="J1048" t="s">
        <v>20</v>
      </c>
      <c r="K1048" t="s">
        <v>28</v>
      </c>
      <c r="L1048" s="2">
        <v>43556</v>
      </c>
      <c r="M1048" t="s">
        <v>3318</v>
      </c>
      <c r="N1048">
        <v>0</v>
      </c>
      <c r="O1048" t="s">
        <v>4903</v>
      </c>
      <c r="P1048">
        <v>0</v>
      </c>
      <c r="Q1048" t="s">
        <v>4903</v>
      </c>
      <c r="R1048" t="s">
        <v>3316</v>
      </c>
    </row>
    <row r="1049" spans="1:18" hidden="1" x14ac:dyDescent="0.25">
      <c r="A1049" t="s">
        <v>838</v>
      </c>
      <c r="B1049" t="s">
        <v>136</v>
      </c>
      <c r="C1049" t="s">
        <v>15</v>
      </c>
      <c r="D1049" t="s">
        <v>85</v>
      </c>
      <c r="E1049" t="s">
        <v>162</v>
      </c>
      <c r="F1049" t="s">
        <v>87</v>
      </c>
      <c r="G1049" t="s">
        <v>4613</v>
      </c>
      <c r="H1049" s="15">
        <v>453500</v>
      </c>
      <c r="I1049" s="15">
        <v>0</v>
      </c>
      <c r="J1049" t="s">
        <v>89</v>
      </c>
      <c r="K1049" t="s">
        <v>28</v>
      </c>
      <c r="L1049" s="2">
        <v>43556</v>
      </c>
      <c r="M1049" t="s">
        <v>4614</v>
      </c>
      <c r="N1049">
        <v>0</v>
      </c>
      <c r="O1049" t="s">
        <v>4903</v>
      </c>
      <c r="P1049">
        <v>0</v>
      </c>
      <c r="Q1049" t="s">
        <v>4903</v>
      </c>
      <c r="R1049" t="s">
        <v>838</v>
      </c>
    </row>
    <row r="1050" spans="1:18" hidden="1" x14ac:dyDescent="0.25">
      <c r="A1050" t="s">
        <v>3874</v>
      </c>
      <c r="B1050" t="s">
        <v>47</v>
      </c>
      <c r="C1050" t="s">
        <v>48</v>
      </c>
      <c r="D1050" t="s">
        <v>16</v>
      </c>
      <c r="E1050" t="s">
        <v>301</v>
      </c>
      <c r="F1050" t="s">
        <v>152</v>
      </c>
      <c r="G1050" t="s">
        <v>3875</v>
      </c>
      <c r="H1050" s="15">
        <v>1090125</v>
      </c>
      <c r="I1050" s="15">
        <v>0</v>
      </c>
      <c r="J1050" t="s">
        <v>20</v>
      </c>
      <c r="K1050" t="s">
        <v>28</v>
      </c>
      <c r="L1050" s="2">
        <v>43556</v>
      </c>
      <c r="M1050" t="s">
        <v>3876</v>
      </c>
      <c r="N1050">
        <v>0</v>
      </c>
      <c r="O1050" t="s">
        <v>4903</v>
      </c>
      <c r="P1050">
        <v>0</v>
      </c>
      <c r="Q1050" t="s">
        <v>4903</v>
      </c>
      <c r="R1050" t="s">
        <v>3874</v>
      </c>
    </row>
    <row r="1051" spans="1:18" hidden="1" x14ac:dyDescent="0.25">
      <c r="A1051" t="s">
        <v>2904</v>
      </c>
      <c r="B1051" t="s">
        <v>119</v>
      </c>
      <c r="C1051" t="s">
        <v>39</v>
      </c>
      <c r="D1051" t="s">
        <v>16</v>
      </c>
      <c r="E1051" t="s">
        <v>301</v>
      </c>
      <c r="F1051" t="s">
        <v>42</v>
      </c>
      <c r="G1051" t="s">
        <v>2905</v>
      </c>
      <c r="H1051" s="15">
        <v>967725</v>
      </c>
      <c r="I1051" s="15">
        <v>0</v>
      </c>
      <c r="J1051" t="s">
        <v>20</v>
      </c>
      <c r="K1051" t="s">
        <v>28</v>
      </c>
      <c r="L1051" s="2">
        <v>43556</v>
      </c>
      <c r="M1051" t="s">
        <v>2906</v>
      </c>
      <c r="N1051">
        <v>0</v>
      </c>
      <c r="O1051" t="s">
        <v>4903</v>
      </c>
      <c r="P1051">
        <v>0</v>
      </c>
      <c r="Q1051" t="s">
        <v>4903</v>
      </c>
      <c r="R1051" t="s">
        <v>2904</v>
      </c>
    </row>
    <row r="1052" spans="1:18" hidden="1" x14ac:dyDescent="0.25">
      <c r="A1052" t="s">
        <v>4733</v>
      </c>
      <c r="B1052" t="s">
        <v>84</v>
      </c>
      <c r="C1052" t="s">
        <v>15</v>
      </c>
      <c r="D1052" t="s">
        <v>85</v>
      </c>
      <c r="E1052" t="s">
        <v>162</v>
      </c>
      <c r="F1052" t="s">
        <v>87</v>
      </c>
      <c r="G1052" t="s">
        <v>4734</v>
      </c>
      <c r="H1052" s="15">
        <v>596830</v>
      </c>
      <c r="I1052" s="15">
        <v>28120</v>
      </c>
      <c r="J1052" t="s">
        <v>89</v>
      </c>
      <c r="K1052" t="s">
        <v>201</v>
      </c>
      <c r="L1052" s="2">
        <v>43556</v>
      </c>
      <c r="M1052" t="s">
        <v>4735</v>
      </c>
      <c r="N1052">
        <v>0</v>
      </c>
      <c r="O1052" t="s">
        <v>4903</v>
      </c>
      <c r="P1052">
        <v>0</v>
      </c>
      <c r="Q1052" t="s">
        <v>4903</v>
      </c>
      <c r="R1052" t="s">
        <v>4733</v>
      </c>
    </row>
    <row r="1053" spans="1:18" hidden="1" x14ac:dyDescent="0.25">
      <c r="A1053" t="s">
        <v>3159</v>
      </c>
      <c r="B1053" t="s">
        <v>31</v>
      </c>
      <c r="C1053" t="s">
        <v>15</v>
      </c>
      <c r="D1053" t="s">
        <v>16</v>
      </c>
      <c r="E1053" t="s">
        <v>301</v>
      </c>
      <c r="F1053" t="s">
        <v>152</v>
      </c>
      <c r="G1053" t="s">
        <v>3160</v>
      </c>
      <c r="H1053" s="15">
        <v>956250</v>
      </c>
      <c r="I1053" s="15">
        <v>0</v>
      </c>
      <c r="J1053" t="s">
        <v>20</v>
      </c>
      <c r="K1053" t="s">
        <v>28</v>
      </c>
      <c r="L1053" s="2">
        <v>43556</v>
      </c>
      <c r="M1053" t="s">
        <v>3161</v>
      </c>
      <c r="N1053">
        <v>0</v>
      </c>
      <c r="O1053" t="s">
        <v>4903</v>
      </c>
      <c r="P1053">
        <v>0</v>
      </c>
      <c r="Q1053" t="s">
        <v>4903</v>
      </c>
      <c r="R1053" t="s">
        <v>3159</v>
      </c>
    </row>
    <row r="1054" spans="1:18" hidden="1" x14ac:dyDescent="0.25">
      <c r="A1054" t="s">
        <v>3129</v>
      </c>
      <c r="B1054" t="s">
        <v>24</v>
      </c>
      <c r="C1054" t="s">
        <v>15</v>
      </c>
      <c r="D1054" t="s">
        <v>16</v>
      </c>
      <c r="E1054" t="s">
        <v>301</v>
      </c>
      <c r="F1054" t="s">
        <v>26</v>
      </c>
      <c r="G1054" t="s">
        <v>3130</v>
      </c>
      <c r="H1054" s="15">
        <v>459000</v>
      </c>
      <c r="I1054" s="15">
        <v>0</v>
      </c>
      <c r="J1054" t="s">
        <v>89</v>
      </c>
      <c r="K1054" t="s">
        <v>28</v>
      </c>
      <c r="L1054" s="2">
        <v>43556</v>
      </c>
      <c r="M1054" t="s">
        <v>3131</v>
      </c>
      <c r="N1054">
        <v>0</v>
      </c>
      <c r="O1054" t="s">
        <v>4903</v>
      </c>
      <c r="P1054">
        <v>0</v>
      </c>
      <c r="Q1054" t="s">
        <v>4903</v>
      </c>
      <c r="R1054" t="s">
        <v>3129</v>
      </c>
    </row>
    <row r="1055" spans="1:18" hidden="1" x14ac:dyDescent="0.25">
      <c r="A1055" t="s">
        <v>628</v>
      </c>
      <c r="B1055" t="s">
        <v>161</v>
      </c>
      <c r="C1055" t="s">
        <v>39</v>
      </c>
      <c r="D1055" t="s">
        <v>85</v>
      </c>
      <c r="E1055" t="s">
        <v>162</v>
      </c>
      <c r="F1055" t="s">
        <v>87</v>
      </c>
      <c r="G1055" t="s">
        <v>629</v>
      </c>
      <c r="H1055" s="15">
        <v>403623</v>
      </c>
      <c r="I1055" s="15">
        <v>48053</v>
      </c>
      <c r="J1055" t="s">
        <v>89</v>
      </c>
      <c r="K1055" t="s">
        <v>100</v>
      </c>
      <c r="L1055" s="2">
        <v>43556</v>
      </c>
      <c r="M1055" t="s">
        <v>630</v>
      </c>
      <c r="N1055">
        <v>0</v>
      </c>
      <c r="O1055" t="s">
        <v>4903</v>
      </c>
      <c r="P1055">
        <v>0</v>
      </c>
      <c r="Q1055" t="s">
        <v>4903</v>
      </c>
      <c r="R1055" t="s">
        <v>628</v>
      </c>
    </row>
    <row r="1056" spans="1:18" hidden="1" x14ac:dyDescent="0.25">
      <c r="A1056" t="s">
        <v>4482</v>
      </c>
      <c r="B1056" t="s">
        <v>1020</v>
      </c>
      <c r="C1056" t="s">
        <v>15</v>
      </c>
      <c r="D1056" t="s">
        <v>16</v>
      </c>
      <c r="E1056" t="s">
        <v>301</v>
      </c>
      <c r="F1056" t="s">
        <v>18</v>
      </c>
      <c r="G1056" t="s">
        <v>4483</v>
      </c>
      <c r="H1056" s="15">
        <v>520200</v>
      </c>
      <c r="I1056" s="15">
        <v>0</v>
      </c>
      <c r="J1056" t="s">
        <v>154</v>
      </c>
      <c r="K1056" t="s">
        <v>57</v>
      </c>
      <c r="L1056" s="2">
        <v>43556</v>
      </c>
      <c r="M1056" t="s">
        <v>4484</v>
      </c>
      <c r="N1056">
        <v>0</v>
      </c>
      <c r="O1056" t="s">
        <v>4903</v>
      </c>
      <c r="P1056">
        <v>0</v>
      </c>
      <c r="Q1056" t="s">
        <v>4903</v>
      </c>
      <c r="R1056" t="s">
        <v>4482</v>
      </c>
    </row>
    <row r="1057" spans="1:18" hidden="1" x14ac:dyDescent="0.25">
      <c r="A1057" t="s">
        <v>2791</v>
      </c>
      <c r="B1057" t="s">
        <v>1227</v>
      </c>
      <c r="C1057" t="s">
        <v>48</v>
      </c>
      <c r="D1057" t="s">
        <v>16</v>
      </c>
      <c r="E1057" t="s">
        <v>301</v>
      </c>
      <c r="F1057" t="s">
        <v>152</v>
      </c>
      <c r="G1057" t="s">
        <v>3827</v>
      </c>
      <c r="H1057" s="15">
        <v>1082475</v>
      </c>
      <c r="I1057" s="15">
        <v>0</v>
      </c>
      <c r="J1057" t="s">
        <v>20</v>
      </c>
      <c r="K1057" t="s">
        <v>28</v>
      </c>
      <c r="L1057" s="2">
        <v>43556</v>
      </c>
      <c r="M1057" t="s">
        <v>3828</v>
      </c>
      <c r="N1057">
        <v>1</v>
      </c>
      <c r="O1057" t="s">
        <v>4903</v>
      </c>
      <c r="P1057">
        <v>0</v>
      </c>
      <c r="Q1057" t="s">
        <v>4903</v>
      </c>
      <c r="R1057" t="s">
        <v>2791</v>
      </c>
    </row>
    <row r="1058" spans="1:18" hidden="1" x14ac:dyDescent="0.25">
      <c r="A1058" t="s">
        <v>638</v>
      </c>
      <c r="B1058" t="s">
        <v>47</v>
      </c>
      <c r="C1058" t="s">
        <v>48</v>
      </c>
      <c r="D1058" t="s">
        <v>85</v>
      </c>
      <c r="E1058" t="s">
        <v>162</v>
      </c>
      <c r="F1058" t="s">
        <v>87</v>
      </c>
      <c r="G1058" t="s">
        <v>1152</v>
      </c>
      <c r="H1058" s="15">
        <v>312155</v>
      </c>
      <c r="I1058" s="15">
        <v>0</v>
      </c>
      <c r="J1058" t="s">
        <v>89</v>
      </c>
      <c r="K1058" t="s">
        <v>21</v>
      </c>
      <c r="L1058" s="2">
        <v>43556</v>
      </c>
      <c r="M1058" t="s">
        <v>1153</v>
      </c>
      <c r="N1058">
        <v>0</v>
      </c>
      <c r="O1058" t="s">
        <v>4903</v>
      </c>
      <c r="P1058">
        <v>0</v>
      </c>
      <c r="Q1058" t="s">
        <v>4903</v>
      </c>
      <c r="R1058" t="s">
        <v>638</v>
      </c>
    </row>
    <row r="1059" spans="1:18" hidden="1" x14ac:dyDescent="0.25">
      <c r="A1059" t="s">
        <v>1122</v>
      </c>
      <c r="B1059" t="s">
        <v>725</v>
      </c>
      <c r="C1059" t="s">
        <v>726</v>
      </c>
      <c r="D1059" t="s">
        <v>16</v>
      </c>
      <c r="E1059" t="s">
        <v>301</v>
      </c>
      <c r="F1059" t="s">
        <v>42</v>
      </c>
      <c r="G1059" t="s">
        <v>1123</v>
      </c>
      <c r="H1059" s="15">
        <v>918000</v>
      </c>
      <c r="I1059" s="15">
        <v>0</v>
      </c>
      <c r="J1059" t="s">
        <v>20</v>
      </c>
      <c r="K1059" t="s">
        <v>28</v>
      </c>
      <c r="L1059" s="2">
        <v>43556</v>
      </c>
      <c r="M1059" t="s">
        <v>1124</v>
      </c>
      <c r="N1059">
        <v>0</v>
      </c>
      <c r="O1059" t="s">
        <v>4903</v>
      </c>
      <c r="P1059">
        <v>0</v>
      </c>
      <c r="Q1059" t="s">
        <v>4903</v>
      </c>
      <c r="R1059" t="s">
        <v>1122</v>
      </c>
    </row>
    <row r="1060" spans="1:18" hidden="1" x14ac:dyDescent="0.25">
      <c r="A1060" t="s">
        <v>610</v>
      </c>
      <c r="B1060" t="s">
        <v>24</v>
      </c>
      <c r="C1060" t="s">
        <v>15</v>
      </c>
      <c r="D1060" t="s">
        <v>16</v>
      </c>
      <c r="E1060" t="s">
        <v>301</v>
      </c>
      <c r="F1060" t="s">
        <v>34</v>
      </c>
      <c r="G1060" t="s">
        <v>4711</v>
      </c>
      <c r="H1060" s="15">
        <v>780300</v>
      </c>
      <c r="I1060" s="15">
        <v>0</v>
      </c>
      <c r="J1060" t="s">
        <v>20</v>
      </c>
      <c r="K1060" t="s">
        <v>28</v>
      </c>
      <c r="L1060" s="2">
        <v>43556</v>
      </c>
      <c r="M1060" t="s">
        <v>4712</v>
      </c>
      <c r="N1060">
        <v>1</v>
      </c>
      <c r="O1060" t="s">
        <v>4903</v>
      </c>
      <c r="P1060">
        <v>0</v>
      </c>
      <c r="Q1060" t="s">
        <v>4903</v>
      </c>
      <c r="R1060" t="s">
        <v>610</v>
      </c>
    </row>
    <row r="1061" spans="1:18" hidden="1" x14ac:dyDescent="0.25">
      <c r="A1061" t="s">
        <v>3055</v>
      </c>
      <c r="B1061" t="s">
        <v>84</v>
      </c>
      <c r="C1061" t="s">
        <v>15</v>
      </c>
      <c r="D1061" t="s">
        <v>85</v>
      </c>
      <c r="E1061" t="s">
        <v>162</v>
      </c>
      <c r="F1061" t="s">
        <v>87</v>
      </c>
      <c r="G1061" t="s">
        <v>3056</v>
      </c>
      <c r="H1061" s="15">
        <v>318560</v>
      </c>
      <c r="I1061" s="15">
        <v>0</v>
      </c>
      <c r="J1061" t="s">
        <v>89</v>
      </c>
      <c r="K1061" t="s">
        <v>21</v>
      </c>
      <c r="L1061" s="2">
        <v>43556</v>
      </c>
      <c r="M1061" t="s">
        <v>3057</v>
      </c>
      <c r="N1061">
        <v>1</v>
      </c>
      <c r="O1061" t="s">
        <v>4903</v>
      </c>
      <c r="P1061">
        <v>0</v>
      </c>
      <c r="Q1061" t="s">
        <v>4903</v>
      </c>
      <c r="R1061" t="s">
        <v>3055</v>
      </c>
    </row>
    <row r="1062" spans="1:18" hidden="1" x14ac:dyDescent="0.25">
      <c r="A1062" t="s">
        <v>2775</v>
      </c>
      <c r="B1062" t="s">
        <v>14</v>
      </c>
      <c r="C1062" t="s">
        <v>15</v>
      </c>
      <c r="D1062" t="s">
        <v>16</v>
      </c>
      <c r="E1062" t="s">
        <v>301</v>
      </c>
      <c r="F1062" t="s">
        <v>152</v>
      </c>
      <c r="G1062" t="s">
        <v>2776</v>
      </c>
      <c r="H1062" s="15">
        <v>1059525</v>
      </c>
      <c r="I1062" s="15">
        <v>0</v>
      </c>
      <c r="J1062" t="s">
        <v>20</v>
      </c>
      <c r="K1062" t="s">
        <v>134</v>
      </c>
      <c r="L1062" s="2">
        <v>43556</v>
      </c>
      <c r="M1062" t="s">
        <v>2777</v>
      </c>
      <c r="N1062">
        <v>1</v>
      </c>
      <c r="O1062" t="s">
        <v>4903</v>
      </c>
      <c r="P1062">
        <v>0</v>
      </c>
      <c r="Q1062" t="s">
        <v>4903</v>
      </c>
      <c r="R1062" t="s">
        <v>2775</v>
      </c>
    </row>
    <row r="1063" spans="1:18" hidden="1" x14ac:dyDescent="0.25">
      <c r="A1063" t="s">
        <v>2106</v>
      </c>
      <c r="B1063" t="s">
        <v>31</v>
      </c>
      <c r="C1063" t="s">
        <v>15</v>
      </c>
      <c r="D1063" t="s">
        <v>16</v>
      </c>
      <c r="E1063" t="s">
        <v>301</v>
      </c>
      <c r="F1063" t="s">
        <v>34</v>
      </c>
      <c r="G1063" t="s">
        <v>2107</v>
      </c>
      <c r="H1063" s="15">
        <v>638776</v>
      </c>
      <c r="I1063" s="15">
        <v>0</v>
      </c>
      <c r="J1063" t="s">
        <v>154</v>
      </c>
      <c r="K1063" t="s">
        <v>74</v>
      </c>
      <c r="L1063" s="2">
        <v>43556</v>
      </c>
      <c r="M1063" t="s">
        <v>2108</v>
      </c>
      <c r="N1063">
        <v>0</v>
      </c>
      <c r="O1063" t="s">
        <v>4903</v>
      </c>
      <c r="P1063">
        <v>0</v>
      </c>
      <c r="Q1063" t="s">
        <v>4903</v>
      </c>
      <c r="R1063" t="s">
        <v>2106</v>
      </c>
    </row>
    <row r="1064" spans="1:18" hidden="1" x14ac:dyDescent="0.25">
      <c r="A1064" t="s">
        <v>1011</v>
      </c>
      <c r="B1064" t="s">
        <v>47</v>
      </c>
      <c r="C1064" t="s">
        <v>48</v>
      </c>
      <c r="D1064" t="s">
        <v>85</v>
      </c>
      <c r="E1064" t="s">
        <v>162</v>
      </c>
      <c r="F1064" t="s">
        <v>87</v>
      </c>
      <c r="G1064" t="s">
        <v>1012</v>
      </c>
      <c r="H1064" s="15">
        <v>517818</v>
      </c>
      <c r="I1064" s="15">
        <v>61140</v>
      </c>
      <c r="J1064" t="s">
        <v>89</v>
      </c>
      <c r="K1064" t="s">
        <v>116</v>
      </c>
      <c r="L1064" s="2">
        <v>43556</v>
      </c>
      <c r="M1064" t="s">
        <v>1013</v>
      </c>
      <c r="N1064">
        <v>0</v>
      </c>
      <c r="O1064" t="s">
        <v>4903</v>
      </c>
      <c r="P1064">
        <v>0</v>
      </c>
      <c r="Q1064" t="s">
        <v>4903</v>
      </c>
      <c r="R1064" t="s">
        <v>1011</v>
      </c>
    </row>
    <row r="1065" spans="1:18" hidden="1" x14ac:dyDescent="0.25">
      <c r="A1065" t="s">
        <v>1873</v>
      </c>
      <c r="B1065" t="s">
        <v>520</v>
      </c>
      <c r="C1065" t="s">
        <v>521</v>
      </c>
      <c r="D1065" t="s">
        <v>16</v>
      </c>
      <c r="E1065" t="s">
        <v>301</v>
      </c>
      <c r="F1065" t="s">
        <v>140</v>
      </c>
      <c r="G1065" t="s">
        <v>1874</v>
      </c>
      <c r="H1065" s="15">
        <v>807075</v>
      </c>
      <c r="I1065" s="15">
        <v>0</v>
      </c>
      <c r="J1065" t="s">
        <v>20</v>
      </c>
      <c r="K1065" t="s">
        <v>28</v>
      </c>
      <c r="L1065" s="2">
        <v>43556</v>
      </c>
      <c r="M1065" t="s">
        <v>1875</v>
      </c>
      <c r="N1065">
        <v>0</v>
      </c>
      <c r="O1065" t="s">
        <v>4903</v>
      </c>
      <c r="P1065">
        <v>0</v>
      </c>
      <c r="Q1065" t="s">
        <v>4903</v>
      </c>
      <c r="R1065" t="s">
        <v>1873</v>
      </c>
    </row>
    <row r="1066" spans="1:18" hidden="1" x14ac:dyDescent="0.25">
      <c r="A1066" t="s">
        <v>1280</v>
      </c>
      <c r="B1066" t="s">
        <v>520</v>
      </c>
      <c r="C1066" t="s">
        <v>521</v>
      </c>
      <c r="D1066" t="s">
        <v>85</v>
      </c>
      <c r="E1066" t="s">
        <v>162</v>
      </c>
      <c r="F1066" t="s">
        <v>87</v>
      </c>
      <c r="G1066" t="s">
        <v>1281</v>
      </c>
      <c r="H1066" s="15">
        <v>405529</v>
      </c>
      <c r="I1066" s="15">
        <v>5232</v>
      </c>
      <c r="J1066" t="s">
        <v>89</v>
      </c>
      <c r="K1066" t="s">
        <v>28</v>
      </c>
      <c r="L1066" s="2">
        <v>43556</v>
      </c>
      <c r="M1066" t="s">
        <v>1282</v>
      </c>
      <c r="N1066">
        <v>1</v>
      </c>
      <c r="O1066" t="s">
        <v>4903</v>
      </c>
      <c r="P1066">
        <v>0</v>
      </c>
      <c r="Q1066" t="s">
        <v>4903</v>
      </c>
      <c r="R1066" t="s">
        <v>1280</v>
      </c>
    </row>
    <row r="1067" spans="1:18" hidden="1" x14ac:dyDescent="0.25">
      <c r="A1067" t="s">
        <v>2555</v>
      </c>
      <c r="B1067" t="s">
        <v>923</v>
      </c>
      <c r="C1067" t="s">
        <v>15</v>
      </c>
      <c r="D1067" t="s">
        <v>16</v>
      </c>
      <c r="E1067" t="s">
        <v>301</v>
      </c>
      <c r="F1067" t="s">
        <v>42</v>
      </c>
      <c r="G1067" t="s">
        <v>4645</v>
      </c>
      <c r="H1067" s="15">
        <v>837675</v>
      </c>
      <c r="I1067" s="15">
        <v>0</v>
      </c>
      <c r="J1067" t="s">
        <v>20</v>
      </c>
      <c r="K1067" t="s">
        <v>28</v>
      </c>
      <c r="L1067" s="2">
        <v>43556</v>
      </c>
      <c r="M1067" t="s">
        <v>4646</v>
      </c>
      <c r="N1067">
        <v>0</v>
      </c>
      <c r="O1067" t="s">
        <v>4903</v>
      </c>
      <c r="P1067">
        <v>0</v>
      </c>
      <c r="Q1067" t="s">
        <v>4903</v>
      </c>
      <c r="R1067" t="s">
        <v>2555</v>
      </c>
    </row>
    <row r="1068" spans="1:18" hidden="1" x14ac:dyDescent="0.25">
      <c r="A1068" t="s">
        <v>467</v>
      </c>
      <c r="B1068" t="s">
        <v>190</v>
      </c>
      <c r="C1068" t="s">
        <v>15</v>
      </c>
      <c r="D1068" t="s">
        <v>85</v>
      </c>
      <c r="E1068" t="s">
        <v>162</v>
      </c>
      <c r="F1068" t="s">
        <v>87</v>
      </c>
      <c r="G1068" t="s">
        <v>468</v>
      </c>
      <c r="H1068" s="15">
        <v>188350</v>
      </c>
      <c r="I1068" s="15">
        <v>10000</v>
      </c>
      <c r="J1068" t="s">
        <v>89</v>
      </c>
      <c r="K1068" t="s">
        <v>28</v>
      </c>
      <c r="L1068" s="2">
        <v>43556</v>
      </c>
      <c r="M1068" t="s">
        <v>469</v>
      </c>
      <c r="N1068">
        <v>1</v>
      </c>
      <c r="O1068" t="s">
        <v>4903</v>
      </c>
      <c r="P1068">
        <v>0</v>
      </c>
      <c r="Q1068" t="s">
        <v>4903</v>
      </c>
      <c r="R1068" t="s">
        <v>467</v>
      </c>
    </row>
    <row r="1069" spans="1:18" hidden="1" x14ac:dyDescent="0.25">
      <c r="A1069" t="s">
        <v>1830</v>
      </c>
      <c r="B1069" t="s">
        <v>47</v>
      </c>
      <c r="C1069" t="s">
        <v>48</v>
      </c>
      <c r="D1069" t="s">
        <v>85</v>
      </c>
      <c r="E1069" t="s">
        <v>162</v>
      </c>
      <c r="F1069" t="s">
        <v>87</v>
      </c>
      <c r="G1069" t="s">
        <v>4070</v>
      </c>
      <c r="H1069" s="15">
        <v>390330</v>
      </c>
      <c r="I1069" s="15">
        <v>18000</v>
      </c>
      <c r="J1069" t="s">
        <v>89</v>
      </c>
      <c r="K1069" t="s">
        <v>21</v>
      </c>
      <c r="L1069" s="2">
        <v>43556</v>
      </c>
      <c r="M1069" t="s">
        <v>4071</v>
      </c>
      <c r="N1069">
        <v>0</v>
      </c>
      <c r="O1069" t="s">
        <v>4903</v>
      </c>
      <c r="P1069">
        <v>0</v>
      </c>
      <c r="Q1069" t="s">
        <v>4903</v>
      </c>
      <c r="R1069" t="s">
        <v>1830</v>
      </c>
    </row>
    <row r="1070" spans="1:18" hidden="1" x14ac:dyDescent="0.25">
      <c r="A1070" t="s">
        <v>160</v>
      </c>
      <c r="B1070" t="s">
        <v>161</v>
      </c>
      <c r="C1070" t="s">
        <v>39</v>
      </c>
      <c r="D1070" t="s">
        <v>85</v>
      </c>
      <c r="E1070" t="s">
        <v>162</v>
      </c>
      <c r="F1070" t="s">
        <v>87</v>
      </c>
      <c r="G1070" t="s">
        <v>163</v>
      </c>
      <c r="H1070" s="15">
        <v>435407</v>
      </c>
      <c r="I1070" s="15">
        <v>45186</v>
      </c>
      <c r="J1070" t="s">
        <v>89</v>
      </c>
      <c r="K1070" t="s">
        <v>116</v>
      </c>
      <c r="L1070" s="2">
        <v>43556</v>
      </c>
      <c r="M1070" t="s">
        <v>164</v>
      </c>
      <c r="N1070">
        <v>0</v>
      </c>
      <c r="O1070" t="s">
        <v>4903</v>
      </c>
      <c r="P1070">
        <v>0</v>
      </c>
      <c r="Q1070" t="s">
        <v>4903</v>
      </c>
      <c r="R1070" t="s">
        <v>160</v>
      </c>
    </row>
    <row r="1071" spans="1:18" hidden="1" x14ac:dyDescent="0.25">
      <c r="A1071" t="s">
        <v>1804</v>
      </c>
      <c r="B1071" t="s">
        <v>24</v>
      </c>
      <c r="C1071" t="s">
        <v>15</v>
      </c>
      <c r="D1071" t="s">
        <v>16</v>
      </c>
      <c r="E1071" t="s">
        <v>301</v>
      </c>
      <c r="F1071" t="s">
        <v>34</v>
      </c>
      <c r="G1071" t="s">
        <v>4618</v>
      </c>
      <c r="H1071" s="15">
        <v>673200</v>
      </c>
      <c r="I1071" s="15">
        <v>0</v>
      </c>
      <c r="J1071" t="s">
        <v>20</v>
      </c>
      <c r="K1071" t="s">
        <v>116</v>
      </c>
      <c r="L1071" s="2">
        <v>43556</v>
      </c>
      <c r="M1071" t="s">
        <v>4619</v>
      </c>
      <c r="N1071">
        <v>0</v>
      </c>
      <c r="O1071" t="s">
        <v>4903</v>
      </c>
      <c r="P1071">
        <v>0</v>
      </c>
      <c r="Q1071" t="s">
        <v>4903</v>
      </c>
      <c r="R1071" t="s">
        <v>1804</v>
      </c>
    </row>
    <row r="1072" spans="1:18" hidden="1" x14ac:dyDescent="0.25">
      <c r="A1072" t="s">
        <v>3848</v>
      </c>
      <c r="B1072" t="s">
        <v>119</v>
      </c>
      <c r="C1072" t="s">
        <v>39</v>
      </c>
      <c r="D1072" t="s">
        <v>16</v>
      </c>
      <c r="E1072" t="s">
        <v>301</v>
      </c>
      <c r="F1072" t="s">
        <v>42</v>
      </c>
      <c r="G1072" t="s">
        <v>3849</v>
      </c>
      <c r="H1072" s="15">
        <v>1074825</v>
      </c>
      <c r="I1072" s="15">
        <v>0</v>
      </c>
      <c r="J1072" t="s">
        <v>20</v>
      </c>
      <c r="K1072" t="s">
        <v>65</v>
      </c>
      <c r="L1072" s="2">
        <v>43556</v>
      </c>
      <c r="M1072" t="s">
        <v>3850</v>
      </c>
      <c r="N1072">
        <v>1</v>
      </c>
      <c r="O1072" t="s">
        <v>4903</v>
      </c>
      <c r="P1072">
        <v>0</v>
      </c>
      <c r="Q1072" t="s">
        <v>4903</v>
      </c>
      <c r="R1072" t="s">
        <v>3848</v>
      </c>
    </row>
    <row r="1073" spans="1:18" hidden="1" x14ac:dyDescent="0.25">
      <c r="A1073" t="s">
        <v>3714</v>
      </c>
      <c r="B1073" t="s">
        <v>1912</v>
      </c>
      <c r="C1073" t="s">
        <v>15</v>
      </c>
      <c r="D1073" t="s">
        <v>85</v>
      </c>
      <c r="E1073" t="s">
        <v>162</v>
      </c>
      <c r="F1073" t="s">
        <v>87</v>
      </c>
      <c r="G1073" t="s">
        <v>3715</v>
      </c>
      <c r="H1073" s="15">
        <v>856779</v>
      </c>
      <c r="I1073" s="15">
        <v>85000</v>
      </c>
      <c r="J1073" t="s">
        <v>89</v>
      </c>
      <c r="K1073" t="s">
        <v>74</v>
      </c>
      <c r="L1073" s="2">
        <v>43556</v>
      </c>
      <c r="M1073" t="s">
        <v>3716</v>
      </c>
      <c r="N1073">
        <v>0</v>
      </c>
      <c r="O1073" t="s">
        <v>4903</v>
      </c>
      <c r="P1073">
        <v>0</v>
      </c>
      <c r="Q1073" t="s">
        <v>4903</v>
      </c>
      <c r="R1073" t="s">
        <v>3714</v>
      </c>
    </row>
    <row r="1074" spans="1:18" hidden="1" x14ac:dyDescent="0.25">
      <c r="A1074" t="s">
        <v>718</v>
      </c>
      <c r="B1074" t="s">
        <v>47</v>
      </c>
      <c r="C1074" t="s">
        <v>48</v>
      </c>
      <c r="D1074" t="s">
        <v>85</v>
      </c>
      <c r="E1074" t="s">
        <v>162</v>
      </c>
      <c r="F1074" t="s">
        <v>87</v>
      </c>
      <c r="G1074" t="s">
        <v>719</v>
      </c>
      <c r="H1074" s="15">
        <v>306802</v>
      </c>
      <c r="I1074" s="15">
        <v>0</v>
      </c>
      <c r="J1074" t="s">
        <v>89</v>
      </c>
      <c r="K1074" t="s">
        <v>134</v>
      </c>
      <c r="L1074" s="2">
        <v>43556</v>
      </c>
      <c r="M1074" t="s">
        <v>720</v>
      </c>
      <c r="N1074">
        <v>0</v>
      </c>
      <c r="O1074" t="s">
        <v>4903</v>
      </c>
      <c r="P1074">
        <v>0</v>
      </c>
      <c r="Q1074" t="s">
        <v>4903</v>
      </c>
      <c r="R1074" t="s">
        <v>718</v>
      </c>
    </row>
    <row r="1075" spans="1:18" hidden="1" x14ac:dyDescent="0.25">
      <c r="A1075" t="s">
        <v>3169</v>
      </c>
      <c r="B1075" t="s">
        <v>3170</v>
      </c>
      <c r="C1075" t="s">
        <v>15</v>
      </c>
      <c r="D1075" t="s">
        <v>16</v>
      </c>
      <c r="E1075" t="s">
        <v>301</v>
      </c>
      <c r="F1075" t="s">
        <v>152</v>
      </c>
      <c r="G1075" t="s">
        <v>4136</v>
      </c>
      <c r="H1075" s="15">
        <v>1044225</v>
      </c>
      <c r="I1075" s="15">
        <v>0</v>
      </c>
      <c r="J1075" t="s">
        <v>20</v>
      </c>
      <c r="K1075" t="s">
        <v>28</v>
      </c>
      <c r="L1075" s="2">
        <v>43556</v>
      </c>
      <c r="M1075" t="s">
        <v>4137</v>
      </c>
      <c r="N1075">
        <v>1</v>
      </c>
      <c r="O1075" t="s">
        <v>4903</v>
      </c>
      <c r="P1075">
        <v>0</v>
      </c>
      <c r="Q1075" t="s">
        <v>4903</v>
      </c>
      <c r="R1075" t="s">
        <v>3169</v>
      </c>
    </row>
    <row r="1076" spans="1:18" hidden="1" x14ac:dyDescent="0.25">
      <c r="A1076" t="s">
        <v>2468</v>
      </c>
      <c r="B1076" t="s">
        <v>47</v>
      </c>
      <c r="C1076" t="s">
        <v>48</v>
      </c>
      <c r="D1076" t="s">
        <v>85</v>
      </c>
      <c r="E1076" t="s">
        <v>162</v>
      </c>
      <c r="F1076" t="s">
        <v>87</v>
      </c>
      <c r="G1076" t="s">
        <v>2469</v>
      </c>
      <c r="H1076" s="15">
        <v>360914</v>
      </c>
      <c r="I1076" s="15">
        <v>33363</v>
      </c>
      <c r="J1076" t="s">
        <v>89</v>
      </c>
      <c r="K1076" t="s">
        <v>28</v>
      </c>
      <c r="L1076" s="2">
        <v>43556</v>
      </c>
      <c r="M1076" t="s">
        <v>2470</v>
      </c>
      <c r="N1076">
        <v>0</v>
      </c>
      <c r="O1076" t="s">
        <v>4903</v>
      </c>
      <c r="P1076">
        <v>0</v>
      </c>
      <c r="Q1076" t="s">
        <v>4903</v>
      </c>
      <c r="R1076" t="s">
        <v>2468</v>
      </c>
    </row>
    <row r="1077" spans="1:18" hidden="1" x14ac:dyDescent="0.25">
      <c r="A1077" t="s">
        <v>2323</v>
      </c>
      <c r="B1077" t="s">
        <v>47</v>
      </c>
      <c r="C1077" t="s">
        <v>48</v>
      </c>
      <c r="D1077" t="s">
        <v>16</v>
      </c>
      <c r="E1077" t="s">
        <v>301</v>
      </c>
      <c r="F1077" t="s">
        <v>34</v>
      </c>
      <c r="G1077" t="s">
        <v>3652</v>
      </c>
      <c r="H1077" s="15">
        <v>631124</v>
      </c>
      <c r="I1077" s="15">
        <v>0</v>
      </c>
      <c r="J1077" t="s">
        <v>154</v>
      </c>
      <c r="K1077" t="s">
        <v>28</v>
      </c>
      <c r="L1077" s="2">
        <v>43556</v>
      </c>
      <c r="M1077" t="s">
        <v>3653</v>
      </c>
      <c r="N1077">
        <v>0</v>
      </c>
      <c r="O1077" t="s">
        <v>4903</v>
      </c>
      <c r="P1077">
        <v>0</v>
      </c>
      <c r="Q1077" t="s">
        <v>4903</v>
      </c>
      <c r="R1077" t="s">
        <v>2323</v>
      </c>
    </row>
    <row r="1078" spans="1:18" hidden="1" x14ac:dyDescent="0.25">
      <c r="A1078" t="s">
        <v>4708</v>
      </c>
      <c r="B1078" t="s">
        <v>84</v>
      </c>
      <c r="C1078" t="s">
        <v>15</v>
      </c>
      <c r="D1078" t="s">
        <v>85</v>
      </c>
      <c r="E1078" t="s">
        <v>162</v>
      </c>
      <c r="F1078" t="s">
        <v>87</v>
      </c>
      <c r="G1078" t="s">
        <v>4709</v>
      </c>
      <c r="H1078" s="15">
        <v>426104</v>
      </c>
      <c r="I1078" s="15">
        <v>17500</v>
      </c>
      <c r="J1078" t="s">
        <v>89</v>
      </c>
      <c r="K1078" t="s">
        <v>148</v>
      </c>
      <c r="L1078" s="2">
        <v>43556</v>
      </c>
      <c r="M1078" t="s">
        <v>4710</v>
      </c>
      <c r="N1078">
        <v>0</v>
      </c>
      <c r="O1078" t="s">
        <v>4903</v>
      </c>
      <c r="P1078">
        <v>0</v>
      </c>
      <c r="Q1078" t="s">
        <v>4903</v>
      </c>
      <c r="R1078" t="s">
        <v>4708</v>
      </c>
    </row>
    <row r="1079" spans="1:18" hidden="1" x14ac:dyDescent="0.25">
      <c r="A1079" t="s">
        <v>300</v>
      </c>
      <c r="B1079" t="s">
        <v>14</v>
      </c>
      <c r="C1079" t="s">
        <v>15</v>
      </c>
      <c r="D1079" t="s">
        <v>16</v>
      </c>
      <c r="E1079" t="s">
        <v>301</v>
      </c>
      <c r="F1079" t="s">
        <v>34</v>
      </c>
      <c r="G1079" t="s">
        <v>302</v>
      </c>
      <c r="H1079" s="15">
        <v>317476</v>
      </c>
      <c r="I1079" s="15">
        <v>0</v>
      </c>
      <c r="J1079" t="s">
        <v>154</v>
      </c>
      <c r="K1079" t="s">
        <v>28</v>
      </c>
      <c r="L1079" s="2">
        <v>43556</v>
      </c>
      <c r="M1079" t="s">
        <v>303</v>
      </c>
      <c r="N1079">
        <v>0</v>
      </c>
      <c r="O1079" t="s">
        <v>4903</v>
      </c>
      <c r="P1079">
        <v>0</v>
      </c>
      <c r="Q1079" t="s">
        <v>4903</v>
      </c>
      <c r="R1079" t="s">
        <v>300</v>
      </c>
    </row>
    <row r="1080" spans="1:18" hidden="1" x14ac:dyDescent="0.25">
      <c r="A1080" t="s">
        <v>2544</v>
      </c>
      <c r="B1080" t="s">
        <v>676</v>
      </c>
      <c r="C1080" t="s">
        <v>39</v>
      </c>
      <c r="D1080" t="s">
        <v>16</v>
      </c>
      <c r="E1080" t="s">
        <v>301</v>
      </c>
      <c r="F1080" t="s">
        <v>34</v>
      </c>
      <c r="G1080" t="s">
        <v>3942</v>
      </c>
      <c r="H1080" s="15">
        <v>634950</v>
      </c>
      <c r="I1080" s="15">
        <v>0</v>
      </c>
      <c r="J1080" t="s">
        <v>20</v>
      </c>
      <c r="K1080" t="s">
        <v>28</v>
      </c>
      <c r="L1080" s="2">
        <v>43556</v>
      </c>
      <c r="M1080" t="s">
        <v>3943</v>
      </c>
      <c r="N1080">
        <v>0</v>
      </c>
      <c r="O1080" t="s">
        <v>4903</v>
      </c>
      <c r="P1080">
        <v>0</v>
      </c>
      <c r="Q1080" t="s">
        <v>4903</v>
      </c>
      <c r="R1080" t="s">
        <v>2544</v>
      </c>
    </row>
    <row r="1081" spans="1:18" hidden="1" x14ac:dyDescent="0.25">
      <c r="A1081" t="s">
        <v>457</v>
      </c>
      <c r="B1081" t="s">
        <v>315</v>
      </c>
      <c r="C1081" t="s">
        <v>39</v>
      </c>
      <c r="D1081" t="s">
        <v>85</v>
      </c>
      <c r="E1081" t="s">
        <v>162</v>
      </c>
      <c r="F1081" t="s">
        <v>87</v>
      </c>
      <c r="G1081" t="s">
        <v>458</v>
      </c>
      <c r="H1081" s="15">
        <v>383593</v>
      </c>
      <c r="I1081" s="15">
        <v>0</v>
      </c>
      <c r="J1081" t="s">
        <v>89</v>
      </c>
      <c r="K1081" t="s">
        <v>65</v>
      </c>
      <c r="L1081" s="2">
        <v>43556</v>
      </c>
      <c r="M1081" t="s">
        <v>459</v>
      </c>
      <c r="N1081">
        <v>0</v>
      </c>
      <c r="O1081" t="s">
        <v>4903</v>
      </c>
      <c r="P1081">
        <v>0</v>
      </c>
      <c r="Q1081" t="s">
        <v>4903</v>
      </c>
      <c r="R1081" t="s">
        <v>457</v>
      </c>
    </row>
    <row r="1082" spans="1:18" hidden="1" x14ac:dyDescent="0.25">
      <c r="A1082" t="s">
        <v>457</v>
      </c>
      <c r="B1082" t="s">
        <v>315</v>
      </c>
      <c r="C1082" t="s">
        <v>39</v>
      </c>
      <c r="D1082" t="s">
        <v>16</v>
      </c>
      <c r="E1082" t="s">
        <v>301</v>
      </c>
      <c r="F1082" t="s">
        <v>18</v>
      </c>
      <c r="G1082" t="s">
        <v>3046</v>
      </c>
      <c r="H1082" s="15">
        <v>707625</v>
      </c>
      <c r="I1082" s="15">
        <v>0</v>
      </c>
      <c r="J1082" t="s">
        <v>20</v>
      </c>
      <c r="K1082" t="s">
        <v>21</v>
      </c>
      <c r="L1082" s="2">
        <v>43556</v>
      </c>
      <c r="M1082" t="s">
        <v>3047</v>
      </c>
      <c r="N1082">
        <v>0</v>
      </c>
      <c r="O1082" t="s">
        <v>4903</v>
      </c>
      <c r="P1082">
        <v>0</v>
      </c>
      <c r="Q1082" t="s">
        <v>4903</v>
      </c>
      <c r="R1082" t="s">
        <v>457</v>
      </c>
    </row>
    <row r="1083" spans="1:18" hidden="1" x14ac:dyDescent="0.25">
      <c r="A1083" t="s">
        <v>3493</v>
      </c>
      <c r="B1083" t="s">
        <v>676</v>
      </c>
      <c r="C1083" t="s">
        <v>39</v>
      </c>
      <c r="D1083" t="s">
        <v>16</v>
      </c>
      <c r="E1083" t="s">
        <v>301</v>
      </c>
      <c r="F1083" t="s">
        <v>140</v>
      </c>
      <c r="G1083" t="s">
        <v>4182</v>
      </c>
      <c r="H1083" s="15">
        <v>703800</v>
      </c>
      <c r="I1083" s="15">
        <v>0</v>
      </c>
      <c r="J1083" t="s">
        <v>20</v>
      </c>
      <c r="K1083" t="s">
        <v>28</v>
      </c>
      <c r="L1083" s="2">
        <v>43556</v>
      </c>
      <c r="M1083" t="s">
        <v>4183</v>
      </c>
      <c r="N1083">
        <v>1</v>
      </c>
      <c r="O1083" t="s">
        <v>4903</v>
      </c>
      <c r="P1083">
        <v>0</v>
      </c>
      <c r="Q1083" t="s">
        <v>4903</v>
      </c>
      <c r="R1083" t="s">
        <v>3493</v>
      </c>
    </row>
    <row r="1084" spans="1:18" hidden="1" x14ac:dyDescent="0.25">
      <c r="A1084" t="s">
        <v>832</v>
      </c>
      <c r="B1084" t="s">
        <v>103</v>
      </c>
      <c r="C1084" t="s">
        <v>15</v>
      </c>
      <c r="D1084" t="s">
        <v>16</v>
      </c>
      <c r="E1084" t="s">
        <v>301</v>
      </c>
      <c r="F1084" t="s">
        <v>26</v>
      </c>
      <c r="G1084" t="s">
        <v>3363</v>
      </c>
      <c r="H1084" s="15">
        <v>577574</v>
      </c>
      <c r="I1084" s="15">
        <v>0</v>
      </c>
      <c r="J1084" t="s">
        <v>89</v>
      </c>
      <c r="K1084" t="s">
        <v>28</v>
      </c>
      <c r="L1084" s="2">
        <v>43556</v>
      </c>
      <c r="M1084" t="s">
        <v>3364</v>
      </c>
      <c r="N1084">
        <v>0</v>
      </c>
      <c r="O1084" t="s">
        <v>4903</v>
      </c>
      <c r="P1084">
        <v>0</v>
      </c>
      <c r="Q1084" t="s">
        <v>4903</v>
      </c>
      <c r="R1084" t="s">
        <v>832</v>
      </c>
    </row>
    <row r="1085" spans="1:18" hidden="1" x14ac:dyDescent="0.25">
      <c r="A1085" t="s">
        <v>3976</v>
      </c>
      <c r="B1085" t="s">
        <v>725</v>
      </c>
      <c r="C1085" t="s">
        <v>726</v>
      </c>
      <c r="D1085" t="s">
        <v>16</v>
      </c>
      <c r="E1085" t="s">
        <v>301</v>
      </c>
      <c r="F1085" t="s">
        <v>26</v>
      </c>
      <c r="G1085" t="s">
        <v>3977</v>
      </c>
      <c r="H1085" s="15">
        <v>516375</v>
      </c>
      <c r="I1085" s="15">
        <v>0</v>
      </c>
      <c r="J1085" t="s">
        <v>89</v>
      </c>
      <c r="K1085" t="s">
        <v>28</v>
      </c>
      <c r="L1085" s="2">
        <v>43556</v>
      </c>
      <c r="M1085" t="s">
        <v>3978</v>
      </c>
      <c r="N1085">
        <v>0</v>
      </c>
      <c r="O1085" t="s">
        <v>4903</v>
      </c>
      <c r="P1085">
        <v>0</v>
      </c>
      <c r="Q1085" t="s">
        <v>4903</v>
      </c>
      <c r="R1085" t="s">
        <v>3976</v>
      </c>
    </row>
    <row r="1086" spans="1:18" hidden="1" x14ac:dyDescent="0.25">
      <c r="A1086" t="s">
        <v>1026</v>
      </c>
      <c r="B1086" t="s">
        <v>136</v>
      </c>
      <c r="C1086" t="s">
        <v>15</v>
      </c>
      <c r="D1086" t="s">
        <v>16</v>
      </c>
      <c r="E1086" t="s">
        <v>301</v>
      </c>
      <c r="F1086" t="s">
        <v>18</v>
      </c>
      <c r="G1086" t="s">
        <v>1027</v>
      </c>
      <c r="H1086" s="15">
        <v>631125</v>
      </c>
      <c r="I1086" s="15">
        <v>0</v>
      </c>
      <c r="J1086" t="s">
        <v>20</v>
      </c>
      <c r="K1086" t="s">
        <v>65</v>
      </c>
      <c r="L1086" s="2">
        <v>43556</v>
      </c>
      <c r="M1086" t="s">
        <v>1028</v>
      </c>
      <c r="N1086">
        <v>0</v>
      </c>
      <c r="O1086" t="s">
        <v>4903</v>
      </c>
      <c r="P1086">
        <v>0</v>
      </c>
      <c r="Q1086" t="s">
        <v>4903</v>
      </c>
      <c r="R1086" t="s">
        <v>1026</v>
      </c>
    </row>
    <row r="1087" spans="1:18" hidden="1" x14ac:dyDescent="0.25">
      <c r="A1087" t="s">
        <v>137</v>
      </c>
      <c r="B1087" t="s">
        <v>47</v>
      </c>
      <c r="C1087" t="s">
        <v>48</v>
      </c>
      <c r="D1087" t="s">
        <v>16</v>
      </c>
      <c r="E1087" t="s">
        <v>301</v>
      </c>
      <c r="F1087" t="s">
        <v>42</v>
      </c>
      <c r="G1087" t="s">
        <v>1919</v>
      </c>
      <c r="H1087" s="15">
        <v>956250</v>
      </c>
      <c r="I1087" s="15">
        <v>0</v>
      </c>
      <c r="J1087" t="s">
        <v>20</v>
      </c>
      <c r="K1087" t="s">
        <v>28</v>
      </c>
      <c r="L1087" s="2">
        <v>43556</v>
      </c>
      <c r="M1087" t="s">
        <v>1920</v>
      </c>
      <c r="N1087">
        <v>0</v>
      </c>
      <c r="O1087" t="s">
        <v>4903</v>
      </c>
      <c r="P1087">
        <v>0</v>
      </c>
      <c r="Q1087" t="s">
        <v>4903</v>
      </c>
      <c r="R1087" t="s">
        <v>137</v>
      </c>
    </row>
    <row r="1088" spans="1:18" hidden="1" x14ac:dyDescent="0.25">
      <c r="A1088" t="s">
        <v>1318</v>
      </c>
      <c r="B1088" t="s">
        <v>84</v>
      </c>
      <c r="C1088" t="s">
        <v>15</v>
      </c>
      <c r="D1088" t="s">
        <v>85</v>
      </c>
      <c r="E1088" t="s">
        <v>162</v>
      </c>
      <c r="F1088" t="s">
        <v>87</v>
      </c>
      <c r="G1088" t="s">
        <v>1319</v>
      </c>
      <c r="H1088" s="15">
        <v>325250</v>
      </c>
      <c r="I1088" s="15">
        <v>0</v>
      </c>
      <c r="J1088" t="s">
        <v>89</v>
      </c>
      <c r="K1088" t="s">
        <v>74</v>
      </c>
      <c r="L1088" s="2">
        <v>43556</v>
      </c>
      <c r="M1088" t="s">
        <v>1320</v>
      </c>
      <c r="N1088">
        <v>0</v>
      </c>
      <c r="O1088" t="s">
        <v>4903</v>
      </c>
      <c r="P1088">
        <v>0</v>
      </c>
      <c r="Q1088" t="s">
        <v>4903</v>
      </c>
      <c r="R1088" t="s">
        <v>1318</v>
      </c>
    </row>
    <row r="1089" spans="1:18" hidden="1" x14ac:dyDescent="0.25">
      <c r="A1089" t="s">
        <v>2319</v>
      </c>
      <c r="B1089" t="s">
        <v>84</v>
      </c>
      <c r="C1089" t="s">
        <v>15</v>
      </c>
      <c r="D1089" t="s">
        <v>85</v>
      </c>
      <c r="E1089" t="s">
        <v>162</v>
      </c>
      <c r="F1089" t="s">
        <v>87</v>
      </c>
      <c r="G1089" t="s">
        <v>3968</v>
      </c>
      <c r="H1089" s="15">
        <v>322322</v>
      </c>
      <c r="I1089" s="15">
        <v>25000</v>
      </c>
      <c r="J1089" t="s">
        <v>89</v>
      </c>
      <c r="K1089" t="s">
        <v>65</v>
      </c>
      <c r="L1089" s="2">
        <v>43556</v>
      </c>
      <c r="M1089" t="s">
        <v>3969</v>
      </c>
      <c r="N1089">
        <v>0</v>
      </c>
      <c r="O1089" t="s">
        <v>4903</v>
      </c>
      <c r="P1089">
        <v>0</v>
      </c>
      <c r="Q1089" t="s">
        <v>4903</v>
      </c>
      <c r="R1089" t="s">
        <v>2319</v>
      </c>
    </row>
    <row r="1090" spans="1:18" hidden="1" x14ac:dyDescent="0.25">
      <c r="A1090" t="s">
        <v>4703</v>
      </c>
      <c r="B1090" t="s">
        <v>84</v>
      </c>
      <c r="C1090" t="s">
        <v>15</v>
      </c>
      <c r="D1090" t="s">
        <v>85</v>
      </c>
      <c r="E1090" t="s">
        <v>162</v>
      </c>
      <c r="F1090" t="s">
        <v>87</v>
      </c>
      <c r="G1090" t="s">
        <v>4704</v>
      </c>
      <c r="H1090" s="15">
        <v>491750</v>
      </c>
      <c r="I1090" s="15">
        <v>0</v>
      </c>
      <c r="J1090" t="s">
        <v>89</v>
      </c>
      <c r="K1090" t="s">
        <v>326</v>
      </c>
      <c r="L1090" s="2">
        <v>43556</v>
      </c>
      <c r="M1090" t="s">
        <v>4705</v>
      </c>
      <c r="N1090">
        <v>3</v>
      </c>
      <c r="O1090" t="s">
        <v>4903</v>
      </c>
      <c r="P1090">
        <v>0</v>
      </c>
      <c r="Q1090" t="s">
        <v>4903</v>
      </c>
      <c r="R1090" t="s">
        <v>4703</v>
      </c>
    </row>
    <row r="1091" spans="1:18" hidden="1" x14ac:dyDescent="0.25">
      <c r="A1091" t="s">
        <v>3479</v>
      </c>
      <c r="B1091" t="s">
        <v>103</v>
      </c>
      <c r="C1091" t="s">
        <v>15</v>
      </c>
      <c r="D1091" t="s">
        <v>16</v>
      </c>
      <c r="E1091" t="s">
        <v>301</v>
      </c>
      <c r="F1091" t="s">
        <v>18</v>
      </c>
      <c r="G1091" t="s">
        <v>3480</v>
      </c>
      <c r="H1091" s="15">
        <v>386324</v>
      </c>
      <c r="I1091" s="15">
        <v>0</v>
      </c>
      <c r="J1091" t="s">
        <v>154</v>
      </c>
      <c r="K1091" t="s">
        <v>21</v>
      </c>
      <c r="L1091" s="2">
        <v>43556</v>
      </c>
      <c r="M1091" t="s">
        <v>3481</v>
      </c>
      <c r="N1091">
        <v>6</v>
      </c>
      <c r="O1091" t="s">
        <v>4903</v>
      </c>
      <c r="P1091">
        <v>0</v>
      </c>
      <c r="Q1091" t="s">
        <v>4903</v>
      </c>
      <c r="R1091" t="s">
        <v>3479</v>
      </c>
    </row>
    <row r="1092" spans="1:18" hidden="1" x14ac:dyDescent="0.25">
      <c r="A1092" t="s">
        <v>1385</v>
      </c>
      <c r="B1092" t="s">
        <v>923</v>
      </c>
      <c r="C1092" t="s">
        <v>15</v>
      </c>
      <c r="D1092" t="s">
        <v>16</v>
      </c>
      <c r="E1092" t="s">
        <v>301</v>
      </c>
      <c r="F1092" t="s">
        <v>140</v>
      </c>
      <c r="G1092" t="s">
        <v>1386</v>
      </c>
      <c r="H1092" s="15">
        <v>745875</v>
      </c>
      <c r="I1092" s="15">
        <v>0</v>
      </c>
      <c r="J1092" t="s">
        <v>20</v>
      </c>
      <c r="K1092" t="s">
        <v>28</v>
      </c>
      <c r="L1092" s="2">
        <v>43556</v>
      </c>
      <c r="M1092" t="s">
        <v>1387</v>
      </c>
      <c r="N1092">
        <v>1</v>
      </c>
      <c r="O1092" t="s">
        <v>4903</v>
      </c>
      <c r="P1092">
        <v>0</v>
      </c>
      <c r="Q1092" t="s">
        <v>4903</v>
      </c>
      <c r="R1092" t="s">
        <v>1385</v>
      </c>
    </row>
    <row r="1093" spans="1:18" x14ac:dyDescent="0.25">
      <c r="A1093" t="s">
        <v>1255</v>
      </c>
      <c r="B1093" t="s">
        <v>14</v>
      </c>
      <c r="C1093" t="s">
        <v>15</v>
      </c>
      <c r="D1093" t="s">
        <v>32</v>
      </c>
      <c r="E1093" t="s">
        <v>586</v>
      </c>
      <c r="F1093" t="s">
        <v>34</v>
      </c>
      <c r="G1093" t="s">
        <v>3465</v>
      </c>
      <c r="H1093" s="15">
        <v>333390</v>
      </c>
      <c r="I1093" s="15">
        <v>0</v>
      </c>
      <c r="J1093" t="s">
        <v>89</v>
      </c>
      <c r="K1093" t="s">
        <v>28</v>
      </c>
      <c r="L1093" s="2">
        <v>41821</v>
      </c>
      <c r="M1093" t="s">
        <v>3466</v>
      </c>
      <c r="N1093">
        <v>15</v>
      </c>
      <c r="O1093" t="s">
        <v>4816</v>
      </c>
      <c r="P1093">
        <v>1</v>
      </c>
      <c r="Q1093" t="s">
        <v>4809</v>
      </c>
      <c r="R1093" t="s">
        <v>1255</v>
      </c>
    </row>
    <row r="1094" spans="1:18" x14ac:dyDescent="0.25">
      <c r="A1094" t="s">
        <v>780</v>
      </c>
      <c r="B1094" t="s">
        <v>103</v>
      </c>
      <c r="C1094" t="s">
        <v>15</v>
      </c>
      <c r="D1094" t="s">
        <v>32</v>
      </c>
      <c r="E1094" t="s">
        <v>595</v>
      </c>
      <c r="F1094" t="s">
        <v>152</v>
      </c>
      <c r="G1094" t="s">
        <v>781</v>
      </c>
      <c r="H1094" s="15">
        <v>406695</v>
      </c>
      <c r="I1094" s="15">
        <v>0</v>
      </c>
      <c r="J1094" t="s">
        <v>89</v>
      </c>
      <c r="K1094" t="s">
        <v>28</v>
      </c>
      <c r="L1094" s="2">
        <v>40634</v>
      </c>
      <c r="M1094" t="s">
        <v>782</v>
      </c>
      <c r="N1094">
        <v>9</v>
      </c>
      <c r="O1094" t="s">
        <v>4820</v>
      </c>
      <c r="P1094">
        <v>1</v>
      </c>
      <c r="Q1094" t="s">
        <v>4809</v>
      </c>
      <c r="R1094" t="s">
        <v>780</v>
      </c>
    </row>
    <row r="1095" spans="1:18" hidden="1" x14ac:dyDescent="0.25">
      <c r="A1095" t="s">
        <v>3372</v>
      </c>
      <c r="B1095" t="s">
        <v>289</v>
      </c>
      <c r="C1095" t="s">
        <v>15</v>
      </c>
      <c r="D1095" t="s">
        <v>16</v>
      </c>
      <c r="E1095" t="s">
        <v>215</v>
      </c>
      <c r="F1095" t="s">
        <v>152</v>
      </c>
      <c r="G1095" t="s">
        <v>3373</v>
      </c>
      <c r="H1095" s="15">
        <v>860626</v>
      </c>
      <c r="I1095" s="15">
        <v>0</v>
      </c>
      <c r="J1095" t="s">
        <v>20</v>
      </c>
      <c r="K1095" t="s">
        <v>28</v>
      </c>
      <c r="L1095" s="2">
        <v>43739</v>
      </c>
      <c r="M1095" t="s">
        <v>3374</v>
      </c>
      <c r="N1095">
        <v>1</v>
      </c>
      <c r="O1095" t="s">
        <v>4903</v>
      </c>
      <c r="P1095">
        <v>0</v>
      </c>
      <c r="Q1095" t="s">
        <v>4903</v>
      </c>
      <c r="R1095" t="s">
        <v>3372</v>
      </c>
    </row>
    <row r="1096" spans="1:18" hidden="1" x14ac:dyDescent="0.25">
      <c r="A1096" t="s">
        <v>684</v>
      </c>
      <c r="B1096" t="s">
        <v>126</v>
      </c>
      <c r="C1096" t="s">
        <v>39</v>
      </c>
      <c r="D1096" t="s">
        <v>16</v>
      </c>
      <c r="E1096" t="s">
        <v>215</v>
      </c>
      <c r="F1096" t="s">
        <v>42</v>
      </c>
      <c r="G1096" t="s">
        <v>685</v>
      </c>
      <c r="H1096" s="15">
        <v>761176</v>
      </c>
      <c r="I1096" s="15">
        <v>0</v>
      </c>
      <c r="J1096" t="s">
        <v>20</v>
      </c>
      <c r="K1096" t="s">
        <v>28</v>
      </c>
      <c r="L1096" s="2">
        <v>43739</v>
      </c>
      <c r="M1096" t="s">
        <v>686</v>
      </c>
      <c r="N1096">
        <v>0</v>
      </c>
      <c r="O1096" t="s">
        <v>4903</v>
      </c>
      <c r="P1096">
        <v>0</v>
      </c>
      <c r="Q1096" t="s">
        <v>4903</v>
      </c>
      <c r="R1096" t="s">
        <v>684</v>
      </c>
    </row>
    <row r="1097" spans="1:18" hidden="1" x14ac:dyDescent="0.25">
      <c r="A1097" t="s">
        <v>2225</v>
      </c>
      <c r="B1097" t="s">
        <v>1461</v>
      </c>
      <c r="C1097" t="s">
        <v>726</v>
      </c>
      <c r="D1097" t="s">
        <v>16</v>
      </c>
      <c r="E1097" t="s">
        <v>215</v>
      </c>
      <c r="F1097" t="s">
        <v>140</v>
      </c>
      <c r="G1097" t="s">
        <v>4722</v>
      </c>
      <c r="H1097" s="15">
        <v>845326</v>
      </c>
      <c r="I1097" s="15">
        <v>0</v>
      </c>
      <c r="J1097" t="s">
        <v>20</v>
      </c>
      <c r="K1097" t="s">
        <v>28</v>
      </c>
      <c r="L1097" s="2">
        <v>43739</v>
      </c>
      <c r="M1097" t="s">
        <v>4723</v>
      </c>
      <c r="N1097">
        <v>0</v>
      </c>
      <c r="O1097" t="s">
        <v>4903</v>
      </c>
      <c r="P1097">
        <v>0</v>
      </c>
      <c r="Q1097" t="s">
        <v>4903</v>
      </c>
      <c r="R1097" t="s">
        <v>2225</v>
      </c>
    </row>
    <row r="1098" spans="1:18" hidden="1" x14ac:dyDescent="0.25">
      <c r="A1098" t="s">
        <v>2519</v>
      </c>
      <c r="B1098" t="s">
        <v>14</v>
      </c>
      <c r="C1098" t="s">
        <v>15</v>
      </c>
      <c r="D1098" t="s">
        <v>16</v>
      </c>
      <c r="E1098" t="s">
        <v>215</v>
      </c>
      <c r="F1098" t="s">
        <v>152</v>
      </c>
      <c r="G1098" t="s">
        <v>4557</v>
      </c>
      <c r="H1098" s="15">
        <v>921826</v>
      </c>
      <c r="I1098" s="15">
        <v>0</v>
      </c>
      <c r="J1098" t="s">
        <v>20</v>
      </c>
      <c r="K1098" t="s">
        <v>28</v>
      </c>
      <c r="L1098" s="2">
        <v>43739</v>
      </c>
      <c r="M1098" t="s">
        <v>4558</v>
      </c>
      <c r="N1098">
        <v>0</v>
      </c>
      <c r="O1098" t="s">
        <v>4903</v>
      </c>
      <c r="P1098">
        <v>0</v>
      </c>
      <c r="Q1098" t="s">
        <v>4903</v>
      </c>
      <c r="R1098" t="s">
        <v>2519</v>
      </c>
    </row>
    <row r="1099" spans="1:18" hidden="1" x14ac:dyDescent="0.25">
      <c r="A1099" t="s">
        <v>4054</v>
      </c>
      <c r="B1099" t="s">
        <v>556</v>
      </c>
      <c r="C1099" t="s">
        <v>39</v>
      </c>
      <c r="D1099" t="s">
        <v>16</v>
      </c>
      <c r="E1099" t="s">
        <v>215</v>
      </c>
      <c r="F1099" t="s">
        <v>34</v>
      </c>
      <c r="G1099" t="s">
        <v>4055</v>
      </c>
      <c r="H1099" s="15">
        <v>803250</v>
      </c>
      <c r="I1099" s="15">
        <v>0</v>
      </c>
      <c r="J1099" t="s">
        <v>20</v>
      </c>
      <c r="K1099" t="s">
        <v>116</v>
      </c>
      <c r="L1099" s="2">
        <v>43739</v>
      </c>
      <c r="M1099" t="s">
        <v>4056</v>
      </c>
      <c r="N1099">
        <v>0</v>
      </c>
      <c r="O1099" t="s">
        <v>4903</v>
      </c>
      <c r="P1099">
        <v>0</v>
      </c>
      <c r="Q1099" t="s">
        <v>4903</v>
      </c>
      <c r="R1099" t="s">
        <v>4054</v>
      </c>
    </row>
    <row r="1100" spans="1:18" hidden="1" x14ac:dyDescent="0.25">
      <c r="A1100" t="s">
        <v>481</v>
      </c>
      <c r="B1100" t="s">
        <v>77</v>
      </c>
      <c r="C1100" t="s">
        <v>15</v>
      </c>
      <c r="D1100" t="s">
        <v>16</v>
      </c>
      <c r="E1100" t="s">
        <v>215</v>
      </c>
      <c r="F1100" t="s">
        <v>34</v>
      </c>
      <c r="G1100" t="s">
        <v>2668</v>
      </c>
      <c r="H1100" s="15">
        <v>424576</v>
      </c>
      <c r="I1100" s="15">
        <v>0</v>
      </c>
      <c r="J1100" t="s">
        <v>89</v>
      </c>
      <c r="K1100" t="s">
        <v>65</v>
      </c>
      <c r="L1100" s="2">
        <v>43739</v>
      </c>
      <c r="M1100" t="s">
        <v>2669</v>
      </c>
      <c r="N1100">
        <v>0</v>
      </c>
      <c r="O1100" t="s">
        <v>4903</v>
      </c>
      <c r="P1100">
        <v>0</v>
      </c>
      <c r="Q1100" t="s">
        <v>4903</v>
      </c>
      <c r="R1100" t="s">
        <v>481</v>
      </c>
    </row>
    <row r="1101" spans="1:18" hidden="1" x14ac:dyDescent="0.25">
      <c r="A1101" t="s">
        <v>366</v>
      </c>
      <c r="B1101" t="s">
        <v>38</v>
      </c>
      <c r="C1101" t="s">
        <v>39</v>
      </c>
      <c r="D1101" t="s">
        <v>16</v>
      </c>
      <c r="E1101" t="s">
        <v>215</v>
      </c>
      <c r="F1101" t="s">
        <v>140</v>
      </c>
      <c r="G1101" t="s">
        <v>367</v>
      </c>
      <c r="H1101" s="15">
        <v>673200</v>
      </c>
      <c r="I1101" s="15">
        <v>0</v>
      </c>
      <c r="J1101" t="s">
        <v>154</v>
      </c>
      <c r="K1101" t="s">
        <v>28</v>
      </c>
      <c r="L1101" s="2">
        <v>43739</v>
      </c>
      <c r="M1101" t="s">
        <v>368</v>
      </c>
      <c r="N1101">
        <v>0</v>
      </c>
      <c r="O1101" t="s">
        <v>4903</v>
      </c>
      <c r="P1101">
        <v>0</v>
      </c>
      <c r="Q1101" t="s">
        <v>4903</v>
      </c>
      <c r="R1101" t="s">
        <v>366</v>
      </c>
    </row>
    <row r="1102" spans="1:18" hidden="1" x14ac:dyDescent="0.25">
      <c r="A1102" t="s">
        <v>1051</v>
      </c>
      <c r="B1102" t="s">
        <v>406</v>
      </c>
      <c r="C1102" t="s">
        <v>62</v>
      </c>
      <c r="D1102" t="s">
        <v>16</v>
      </c>
      <c r="E1102" t="s">
        <v>215</v>
      </c>
      <c r="F1102" t="s">
        <v>18</v>
      </c>
      <c r="G1102" t="s">
        <v>1052</v>
      </c>
      <c r="H1102" s="15">
        <v>703800</v>
      </c>
      <c r="I1102" s="15">
        <v>0</v>
      </c>
      <c r="J1102" t="s">
        <v>20</v>
      </c>
      <c r="K1102" t="s">
        <v>116</v>
      </c>
      <c r="L1102" s="2">
        <v>43739</v>
      </c>
      <c r="M1102" t="s">
        <v>1053</v>
      </c>
      <c r="N1102">
        <v>0</v>
      </c>
      <c r="O1102" t="s">
        <v>4903</v>
      </c>
      <c r="P1102">
        <v>0</v>
      </c>
      <c r="Q1102" t="s">
        <v>4903</v>
      </c>
      <c r="R1102" t="s">
        <v>1051</v>
      </c>
    </row>
    <row r="1103" spans="1:18" hidden="1" x14ac:dyDescent="0.25">
      <c r="A1103" t="s">
        <v>2993</v>
      </c>
      <c r="B1103" t="s">
        <v>126</v>
      </c>
      <c r="C1103" t="s">
        <v>39</v>
      </c>
      <c r="D1103" t="s">
        <v>16</v>
      </c>
      <c r="E1103" t="s">
        <v>215</v>
      </c>
      <c r="F1103" t="s">
        <v>26</v>
      </c>
      <c r="G1103" t="s">
        <v>2994</v>
      </c>
      <c r="H1103" s="15">
        <v>153000</v>
      </c>
      <c r="I1103" s="15">
        <v>0</v>
      </c>
      <c r="J1103" t="s">
        <v>455</v>
      </c>
      <c r="K1103" t="s">
        <v>28</v>
      </c>
      <c r="L1103" s="2">
        <v>43739</v>
      </c>
      <c r="M1103" t="s">
        <v>2995</v>
      </c>
      <c r="N1103">
        <v>0</v>
      </c>
      <c r="O1103" t="s">
        <v>4903</v>
      </c>
      <c r="P1103">
        <v>0</v>
      </c>
      <c r="Q1103" t="s">
        <v>4903</v>
      </c>
      <c r="R1103" t="s">
        <v>2993</v>
      </c>
    </row>
    <row r="1104" spans="1:18" hidden="1" x14ac:dyDescent="0.25">
      <c r="A1104" t="s">
        <v>1269</v>
      </c>
      <c r="B1104" t="s">
        <v>47</v>
      </c>
      <c r="C1104" t="s">
        <v>48</v>
      </c>
      <c r="D1104" t="s">
        <v>1270</v>
      </c>
      <c r="E1104" t="s">
        <v>1271</v>
      </c>
      <c r="F1104" t="s">
        <v>18</v>
      </c>
      <c r="G1104" t="s">
        <v>1272</v>
      </c>
      <c r="H1104" s="15">
        <v>100000</v>
      </c>
      <c r="I1104" s="15">
        <v>0</v>
      </c>
      <c r="J1104" t="s">
        <v>44</v>
      </c>
      <c r="K1104" t="s">
        <v>65</v>
      </c>
      <c r="L1104" s="2">
        <v>43739</v>
      </c>
      <c r="M1104" t="s">
        <v>1273</v>
      </c>
      <c r="N1104">
        <v>0</v>
      </c>
      <c r="O1104" t="s">
        <v>4903</v>
      </c>
      <c r="P1104">
        <v>0</v>
      </c>
      <c r="Q1104" t="s">
        <v>4903</v>
      </c>
      <c r="R1104" t="s">
        <v>1269</v>
      </c>
    </row>
    <row r="1105" spans="1:18" hidden="1" x14ac:dyDescent="0.25">
      <c r="A1105" t="s">
        <v>3237</v>
      </c>
      <c r="B1105" t="s">
        <v>47</v>
      </c>
      <c r="C1105" t="s">
        <v>48</v>
      </c>
      <c r="D1105" t="s">
        <v>16</v>
      </c>
      <c r="E1105" t="s">
        <v>215</v>
      </c>
      <c r="F1105" t="s">
        <v>34</v>
      </c>
      <c r="G1105" t="s">
        <v>3238</v>
      </c>
      <c r="H1105" s="15">
        <v>822376</v>
      </c>
      <c r="I1105" s="15">
        <v>0</v>
      </c>
      <c r="J1105" t="s">
        <v>89</v>
      </c>
      <c r="K1105" t="s">
        <v>28</v>
      </c>
      <c r="L1105" s="2">
        <v>43739</v>
      </c>
      <c r="M1105" t="s">
        <v>3239</v>
      </c>
      <c r="N1105">
        <v>0</v>
      </c>
      <c r="O1105" t="s">
        <v>4903</v>
      </c>
      <c r="P1105">
        <v>0</v>
      </c>
      <c r="Q1105" t="s">
        <v>4903</v>
      </c>
      <c r="R1105" t="s">
        <v>3237</v>
      </c>
    </row>
    <row r="1106" spans="1:18" hidden="1" x14ac:dyDescent="0.25">
      <c r="A1106" t="s">
        <v>4769</v>
      </c>
      <c r="B1106" t="s">
        <v>478</v>
      </c>
      <c r="C1106" t="s">
        <v>15</v>
      </c>
      <c r="D1106" t="s">
        <v>16</v>
      </c>
      <c r="E1106" t="s">
        <v>215</v>
      </c>
      <c r="F1106" t="s">
        <v>140</v>
      </c>
      <c r="G1106" t="s">
        <v>4770</v>
      </c>
      <c r="H1106" s="15">
        <v>948600</v>
      </c>
      <c r="I1106" s="15">
        <v>0</v>
      </c>
      <c r="J1106" t="s">
        <v>20</v>
      </c>
      <c r="K1106" t="s">
        <v>28</v>
      </c>
      <c r="L1106" s="2">
        <v>43739</v>
      </c>
      <c r="M1106" t="s">
        <v>4771</v>
      </c>
      <c r="N1106">
        <v>0</v>
      </c>
      <c r="O1106" t="s">
        <v>4903</v>
      </c>
      <c r="P1106">
        <v>0</v>
      </c>
      <c r="Q1106" t="s">
        <v>4903</v>
      </c>
      <c r="R1106" t="s">
        <v>4769</v>
      </c>
    </row>
    <row r="1107" spans="1:18" hidden="1" x14ac:dyDescent="0.25">
      <c r="A1107" t="s">
        <v>1763</v>
      </c>
      <c r="B1107" t="s">
        <v>24</v>
      </c>
      <c r="C1107" t="s">
        <v>15</v>
      </c>
      <c r="D1107" t="s">
        <v>16</v>
      </c>
      <c r="E1107" t="s">
        <v>215</v>
      </c>
      <c r="F1107" t="s">
        <v>34</v>
      </c>
      <c r="G1107" t="s">
        <v>3167</v>
      </c>
      <c r="H1107" s="15">
        <v>374851</v>
      </c>
      <c r="I1107" s="15">
        <v>0</v>
      </c>
      <c r="J1107" t="s">
        <v>154</v>
      </c>
      <c r="K1107" t="s">
        <v>21</v>
      </c>
      <c r="L1107" s="2">
        <v>43739</v>
      </c>
      <c r="M1107" t="s">
        <v>3168</v>
      </c>
      <c r="N1107">
        <v>1</v>
      </c>
      <c r="O1107" t="s">
        <v>4903</v>
      </c>
      <c r="P1107">
        <v>0</v>
      </c>
      <c r="Q1107" t="s">
        <v>4903</v>
      </c>
      <c r="R1107" t="s">
        <v>1763</v>
      </c>
    </row>
    <row r="1108" spans="1:18" hidden="1" x14ac:dyDescent="0.25">
      <c r="A1108" t="s">
        <v>762</v>
      </c>
      <c r="B1108" t="s">
        <v>190</v>
      </c>
      <c r="C1108" t="s">
        <v>15</v>
      </c>
      <c r="D1108" t="s">
        <v>16</v>
      </c>
      <c r="E1108" t="s">
        <v>215</v>
      </c>
      <c r="F1108" t="s">
        <v>26</v>
      </c>
      <c r="G1108" t="s">
        <v>4221</v>
      </c>
      <c r="H1108" s="15">
        <v>918000</v>
      </c>
      <c r="I1108" s="15">
        <v>0</v>
      </c>
      <c r="J1108" t="s">
        <v>20</v>
      </c>
      <c r="K1108" t="s">
        <v>28</v>
      </c>
      <c r="L1108" s="2">
        <v>43739</v>
      </c>
      <c r="M1108" t="s">
        <v>4222</v>
      </c>
      <c r="N1108">
        <v>0</v>
      </c>
      <c r="O1108" t="s">
        <v>4903</v>
      </c>
      <c r="P1108">
        <v>0</v>
      </c>
      <c r="Q1108" t="s">
        <v>4903</v>
      </c>
      <c r="R1108" t="s">
        <v>762</v>
      </c>
    </row>
    <row r="1109" spans="1:18" hidden="1" x14ac:dyDescent="0.25">
      <c r="A1109" t="s">
        <v>1108</v>
      </c>
      <c r="B1109" t="s">
        <v>520</v>
      </c>
      <c r="C1109" t="s">
        <v>521</v>
      </c>
      <c r="D1109" t="s">
        <v>16</v>
      </c>
      <c r="E1109" t="s">
        <v>215</v>
      </c>
      <c r="F1109" t="s">
        <v>42</v>
      </c>
      <c r="G1109" t="s">
        <v>1664</v>
      </c>
      <c r="H1109" s="15">
        <v>990676</v>
      </c>
      <c r="I1109" s="15">
        <v>0</v>
      </c>
      <c r="J1109" t="s">
        <v>20</v>
      </c>
      <c r="K1109" t="s">
        <v>28</v>
      </c>
      <c r="L1109" s="2">
        <v>43739</v>
      </c>
      <c r="M1109" t="s">
        <v>1665</v>
      </c>
      <c r="N1109">
        <v>0</v>
      </c>
      <c r="O1109" t="s">
        <v>4903</v>
      </c>
      <c r="P1109">
        <v>0</v>
      </c>
      <c r="Q1109" t="s">
        <v>4903</v>
      </c>
      <c r="R1109" t="s">
        <v>1108</v>
      </c>
    </row>
    <row r="1110" spans="1:18" hidden="1" x14ac:dyDescent="0.25">
      <c r="A1110" t="s">
        <v>3673</v>
      </c>
      <c r="B1110" t="s">
        <v>14</v>
      </c>
      <c r="C1110" t="s">
        <v>15</v>
      </c>
      <c r="D1110" t="s">
        <v>16</v>
      </c>
      <c r="E1110" t="s">
        <v>215</v>
      </c>
      <c r="F1110" t="s">
        <v>152</v>
      </c>
      <c r="G1110" t="s">
        <v>3674</v>
      </c>
      <c r="H1110" s="15">
        <v>1105426</v>
      </c>
      <c r="I1110" s="15">
        <v>0</v>
      </c>
      <c r="J1110" t="s">
        <v>20</v>
      </c>
      <c r="K1110" t="s">
        <v>28</v>
      </c>
      <c r="L1110" s="2">
        <v>43739</v>
      </c>
      <c r="M1110" t="s">
        <v>3675</v>
      </c>
      <c r="N1110">
        <v>0</v>
      </c>
      <c r="O1110" t="s">
        <v>4903</v>
      </c>
      <c r="P1110">
        <v>0</v>
      </c>
      <c r="Q1110" t="s">
        <v>4903</v>
      </c>
      <c r="R1110" t="s">
        <v>3673</v>
      </c>
    </row>
    <row r="1111" spans="1:18" hidden="1" x14ac:dyDescent="0.25">
      <c r="A1111" t="s">
        <v>4264</v>
      </c>
      <c r="B1111" t="s">
        <v>489</v>
      </c>
      <c r="C1111" t="s">
        <v>39</v>
      </c>
      <c r="D1111" t="s">
        <v>16</v>
      </c>
      <c r="E1111" t="s">
        <v>215</v>
      </c>
      <c r="F1111" t="s">
        <v>26</v>
      </c>
      <c r="G1111" t="s">
        <v>4265</v>
      </c>
      <c r="H1111" s="15">
        <v>761176</v>
      </c>
      <c r="I1111" s="15">
        <v>0</v>
      </c>
      <c r="J1111" t="s">
        <v>20</v>
      </c>
      <c r="K1111" t="s">
        <v>28</v>
      </c>
      <c r="L1111" s="2">
        <v>43739</v>
      </c>
      <c r="M1111" t="s">
        <v>4266</v>
      </c>
      <c r="N1111">
        <v>0</v>
      </c>
      <c r="O1111" t="s">
        <v>4903</v>
      </c>
      <c r="P1111">
        <v>0</v>
      </c>
      <c r="Q1111" t="s">
        <v>4903</v>
      </c>
      <c r="R1111" t="s">
        <v>4264</v>
      </c>
    </row>
    <row r="1112" spans="1:18" hidden="1" x14ac:dyDescent="0.25">
      <c r="A1112" t="s">
        <v>672</v>
      </c>
      <c r="B1112" t="s">
        <v>315</v>
      </c>
      <c r="C1112" t="s">
        <v>39</v>
      </c>
      <c r="D1112" t="s">
        <v>16</v>
      </c>
      <c r="E1112" t="s">
        <v>215</v>
      </c>
      <c r="F1112" t="s">
        <v>18</v>
      </c>
      <c r="G1112" t="s">
        <v>2712</v>
      </c>
      <c r="H1112" s="15">
        <v>520200</v>
      </c>
      <c r="I1112" s="15">
        <v>0</v>
      </c>
      <c r="J1112" t="s">
        <v>154</v>
      </c>
      <c r="K1112" t="s">
        <v>65</v>
      </c>
      <c r="L1112" s="2">
        <v>43739</v>
      </c>
      <c r="M1112" t="s">
        <v>2713</v>
      </c>
      <c r="N1112">
        <v>1</v>
      </c>
      <c r="O1112" t="s">
        <v>4903</v>
      </c>
      <c r="P1112">
        <v>0</v>
      </c>
      <c r="Q1112" t="s">
        <v>4903</v>
      </c>
      <c r="R1112" t="s">
        <v>672</v>
      </c>
    </row>
    <row r="1113" spans="1:18" hidden="1" x14ac:dyDescent="0.25">
      <c r="A1113" t="s">
        <v>1464</v>
      </c>
      <c r="B1113" t="s">
        <v>113</v>
      </c>
      <c r="C1113" t="s">
        <v>15</v>
      </c>
      <c r="D1113" t="s">
        <v>16</v>
      </c>
      <c r="E1113" t="s">
        <v>215</v>
      </c>
      <c r="F1113" t="s">
        <v>34</v>
      </c>
      <c r="G1113" t="s">
        <v>1465</v>
      </c>
      <c r="H1113" s="15">
        <v>910350</v>
      </c>
      <c r="I1113" s="15">
        <v>0</v>
      </c>
      <c r="J1113" t="s">
        <v>20</v>
      </c>
      <c r="K1113" t="s">
        <v>28</v>
      </c>
      <c r="L1113" s="2">
        <v>43739</v>
      </c>
      <c r="M1113" t="s">
        <v>1466</v>
      </c>
      <c r="N1113">
        <v>0</v>
      </c>
      <c r="O1113" t="s">
        <v>4903</v>
      </c>
      <c r="P1113">
        <v>0</v>
      </c>
      <c r="Q1113" t="s">
        <v>4903</v>
      </c>
      <c r="R1113" t="s">
        <v>1464</v>
      </c>
    </row>
    <row r="1114" spans="1:18" hidden="1" x14ac:dyDescent="0.25">
      <c r="A1114" t="s">
        <v>2241</v>
      </c>
      <c r="B1114" t="s">
        <v>24</v>
      </c>
      <c r="C1114" t="s">
        <v>15</v>
      </c>
      <c r="D1114" t="s">
        <v>16</v>
      </c>
      <c r="E1114" t="s">
        <v>215</v>
      </c>
      <c r="F1114" t="s">
        <v>34</v>
      </c>
      <c r="G1114" t="s">
        <v>2242</v>
      </c>
      <c r="H1114" s="15">
        <v>665550</v>
      </c>
      <c r="I1114" s="15">
        <v>0</v>
      </c>
      <c r="J1114" t="s">
        <v>20</v>
      </c>
      <c r="K1114" t="s">
        <v>100</v>
      </c>
      <c r="L1114" s="2">
        <v>43739</v>
      </c>
      <c r="M1114" t="s">
        <v>2243</v>
      </c>
      <c r="N1114">
        <v>0</v>
      </c>
      <c r="O1114" t="s">
        <v>4903</v>
      </c>
      <c r="P1114">
        <v>0</v>
      </c>
      <c r="Q1114" t="s">
        <v>4903</v>
      </c>
      <c r="R1114" t="s">
        <v>2241</v>
      </c>
    </row>
    <row r="1115" spans="1:18" hidden="1" x14ac:dyDescent="0.25">
      <c r="A1115" t="s">
        <v>2768</v>
      </c>
      <c r="B1115" t="s">
        <v>61</v>
      </c>
      <c r="C1115" t="s">
        <v>62</v>
      </c>
      <c r="D1115" t="s">
        <v>16</v>
      </c>
      <c r="E1115" t="s">
        <v>215</v>
      </c>
      <c r="F1115" t="s">
        <v>152</v>
      </c>
      <c r="G1115" t="s">
        <v>2769</v>
      </c>
      <c r="H1115" s="15">
        <v>822376</v>
      </c>
      <c r="I1115" s="15">
        <v>0</v>
      </c>
      <c r="J1115" t="s">
        <v>20</v>
      </c>
      <c r="K1115" t="s">
        <v>28</v>
      </c>
      <c r="L1115" s="2">
        <v>43739</v>
      </c>
      <c r="M1115" t="s">
        <v>2770</v>
      </c>
      <c r="N1115">
        <v>0</v>
      </c>
      <c r="O1115" t="s">
        <v>4903</v>
      </c>
      <c r="P1115">
        <v>0</v>
      </c>
      <c r="Q1115" t="s">
        <v>4903</v>
      </c>
      <c r="R1115" t="s">
        <v>2768</v>
      </c>
    </row>
    <row r="1116" spans="1:18" hidden="1" x14ac:dyDescent="0.25">
      <c r="A1116" t="s">
        <v>4574</v>
      </c>
      <c r="B1116" t="s">
        <v>47</v>
      </c>
      <c r="C1116" t="s">
        <v>48</v>
      </c>
      <c r="D1116" t="s">
        <v>16</v>
      </c>
      <c r="E1116" t="s">
        <v>215</v>
      </c>
      <c r="F1116" t="s">
        <v>18</v>
      </c>
      <c r="G1116" t="s">
        <v>4575</v>
      </c>
      <c r="H1116" s="15">
        <v>856800</v>
      </c>
      <c r="I1116" s="15">
        <v>0</v>
      </c>
      <c r="J1116" t="s">
        <v>154</v>
      </c>
      <c r="K1116" t="s">
        <v>100</v>
      </c>
      <c r="L1116" s="2">
        <v>43739</v>
      </c>
      <c r="M1116" t="s">
        <v>4576</v>
      </c>
      <c r="N1116">
        <v>0</v>
      </c>
      <c r="O1116" t="s">
        <v>4903</v>
      </c>
      <c r="P1116">
        <v>0</v>
      </c>
      <c r="Q1116" t="s">
        <v>4903</v>
      </c>
      <c r="R1116" t="s">
        <v>4574</v>
      </c>
    </row>
    <row r="1117" spans="1:18" hidden="1" x14ac:dyDescent="0.25">
      <c r="A1117" t="s">
        <v>441</v>
      </c>
      <c r="B1117" t="s">
        <v>77</v>
      </c>
      <c r="C1117" t="s">
        <v>15</v>
      </c>
      <c r="D1117" t="s">
        <v>16</v>
      </c>
      <c r="E1117" t="s">
        <v>215</v>
      </c>
      <c r="F1117" t="s">
        <v>26</v>
      </c>
      <c r="G1117" t="s">
        <v>547</v>
      </c>
      <c r="H1117" s="15">
        <v>906526</v>
      </c>
      <c r="I1117" s="15">
        <v>0</v>
      </c>
      <c r="J1117" t="s">
        <v>20</v>
      </c>
      <c r="K1117" t="s">
        <v>28</v>
      </c>
      <c r="L1117" s="2">
        <v>43739</v>
      </c>
      <c r="M1117" t="s">
        <v>548</v>
      </c>
      <c r="N1117">
        <v>0</v>
      </c>
      <c r="O1117" t="s">
        <v>4903</v>
      </c>
      <c r="P1117">
        <v>0</v>
      </c>
      <c r="Q1117" t="s">
        <v>4903</v>
      </c>
      <c r="R1117" t="s">
        <v>441</v>
      </c>
    </row>
    <row r="1118" spans="1:18" hidden="1" x14ac:dyDescent="0.25">
      <c r="A1118" t="s">
        <v>425</v>
      </c>
      <c r="B1118" t="s">
        <v>426</v>
      </c>
      <c r="C1118" t="s">
        <v>48</v>
      </c>
      <c r="D1118" t="s">
        <v>16</v>
      </c>
      <c r="E1118" t="s">
        <v>215</v>
      </c>
      <c r="F1118" t="s">
        <v>140</v>
      </c>
      <c r="G1118" t="s">
        <v>3557</v>
      </c>
      <c r="H1118" s="15">
        <v>784126</v>
      </c>
      <c r="I1118" s="15">
        <v>0</v>
      </c>
      <c r="J1118" t="s">
        <v>20</v>
      </c>
      <c r="K1118" t="s">
        <v>28</v>
      </c>
      <c r="L1118" s="2">
        <v>43739</v>
      </c>
      <c r="M1118" t="s">
        <v>3558</v>
      </c>
      <c r="N1118">
        <v>2</v>
      </c>
      <c r="O1118" t="s">
        <v>4903</v>
      </c>
      <c r="P1118">
        <v>0</v>
      </c>
      <c r="Q1118" t="s">
        <v>4903</v>
      </c>
      <c r="R1118" t="s">
        <v>425</v>
      </c>
    </row>
    <row r="1119" spans="1:18" hidden="1" x14ac:dyDescent="0.25">
      <c r="A1119" t="s">
        <v>1418</v>
      </c>
      <c r="B1119" t="s">
        <v>556</v>
      </c>
      <c r="C1119" t="s">
        <v>39</v>
      </c>
      <c r="D1119" t="s">
        <v>16</v>
      </c>
      <c r="E1119" t="s">
        <v>215</v>
      </c>
      <c r="F1119" t="s">
        <v>34</v>
      </c>
      <c r="G1119" t="s">
        <v>1419</v>
      </c>
      <c r="H1119" s="15">
        <v>772651</v>
      </c>
      <c r="I1119" s="15">
        <v>0</v>
      </c>
      <c r="J1119" t="s">
        <v>154</v>
      </c>
      <c r="K1119" t="s">
        <v>116</v>
      </c>
      <c r="L1119" s="2">
        <v>43739</v>
      </c>
      <c r="M1119" t="s">
        <v>1420</v>
      </c>
      <c r="N1119">
        <v>0</v>
      </c>
      <c r="O1119" t="s">
        <v>4903</v>
      </c>
      <c r="P1119">
        <v>0</v>
      </c>
      <c r="Q1119" t="s">
        <v>4903</v>
      </c>
      <c r="R1119" t="s">
        <v>1418</v>
      </c>
    </row>
    <row r="1120" spans="1:18" hidden="1" x14ac:dyDescent="0.25">
      <c r="A1120" t="s">
        <v>4452</v>
      </c>
      <c r="B1120" t="s">
        <v>676</v>
      </c>
      <c r="C1120" t="s">
        <v>39</v>
      </c>
      <c r="D1120" t="s">
        <v>16</v>
      </c>
      <c r="E1120" t="s">
        <v>4453</v>
      </c>
      <c r="F1120" t="s">
        <v>140</v>
      </c>
      <c r="G1120" t="s">
        <v>4454</v>
      </c>
      <c r="H1120" s="15">
        <v>100000</v>
      </c>
      <c r="I1120" s="15">
        <v>0</v>
      </c>
      <c r="J1120" t="s">
        <v>44</v>
      </c>
      <c r="K1120" t="s">
        <v>28</v>
      </c>
      <c r="L1120" s="2">
        <v>43739</v>
      </c>
      <c r="M1120" t="s">
        <v>4455</v>
      </c>
      <c r="N1120">
        <v>0</v>
      </c>
      <c r="O1120" t="s">
        <v>4903</v>
      </c>
      <c r="P1120">
        <v>0</v>
      </c>
      <c r="Q1120" t="s">
        <v>4903</v>
      </c>
      <c r="R1120" t="s">
        <v>4452</v>
      </c>
    </row>
    <row r="1121" spans="1:18" hidden="1" x14ac:dyDescent="0.25">
      <c r="A1121" t="s">
        <v>4452</v>
      </c>
      <c r="B1121" t="s">
        <v>676</v>
      </c>
      <c r="C1121" t="s">
        <v>39</v>
      </c>
      <c r="D1121" t="s">
        <v>16</v>
      </c>
      <c r="E1121" t="s">
        <v>215</v>
      </c>
      <c r="F1121" t="s">
        <v>140</v>
      </c>
      <c r="G1121" t="s">
        <v>4454</v>
      </c>
      <c r="H1121" s="15">
        <v>822376</v>
      </c>
      <c r="I1121" s="15">
        <v>0</v>
      </c>
      <c r="J1121" t="s">
        <v>20</v>
      </c>
      <c r="K1121" t="s">
        <v>28</v>
      </c>
      <c r="L1121" s="2">
        <v>43739</v>
      </c>
      <c r="M1121" t="s">
        <v>4455</v>
      </c>
      <c r="N1121">
        <v>0</v>
      </c>
      <c r="O1121" t="s">
        <v>4903</v>
      </c>
      <c r="P1121">
        <v>0</v>
      </c>
      <c r="Q1121" t="s">
        <v>4903</v>
      </c>
      <c r="R1121" t="s">
        <v>4452</v>
      </c>
    </row>
    <row r="1122" spans="1:18" hidden="1" x14ac:dyDescent="0.25">
      <c r="A1122" t="s">
        <v>209</v>
      </c>
      <c r="B1122" t="s">
        <v>38</v>
      </c>
      <c r="C1122" t="s">
        <v>39</v>
      </c>
      <c r="D1122" t="s">
        <v>16</v>
      </c>
      <c r="E1122" t="s">
        <v>215</v>
      </c>
      <c r="F1122" t="s">
        <v>26</v>
      </c>
      <c r="G1122" t="s">
        <v>216</v>
      </c>
      <c r="H1122" s="15">
        <v>573750</v>
      </c>
      <c r="I1122" s="15">
        <v>0</v>
      </c>
      <c r="J1122" t="s">
        <v>20</v>
      </c>
      <c r="K1122" t="s">
        <v>28</v>
      </c>
      <c r="L1122" s="2">
        <v>43739</v>
      </c>
      <c r="M1122" t="s">
        <v>217</v>
      </c>
      <c r="N1122">
        <v>0</v>
      </c>
      <c r="O1122" t="s">
        <v>4903</v>
      </c>
      <c r="P1122">
        <v>0</v>
      </c>
      <c r="Q1122" t="s">
        <v>4903</v>
      </c>
      <c r="R1122" t="s">
        <v>209</v>
      </c>
    </row>
    <row r="1123" spans="1:18" hidden="1" x14ac:dyDescent="0.25">
      <c r="A1123" t="s">
        <v>4489</v>
      </c>
      <c r="B1123" t="s">
        <v>923</v>
      </c>
      <c r="C1123" t="s">
        <v>15</v>
      </c>
      <c r="D1123" t="s">
        <v>16</v>
      </c>
      <c r="E1123" t="s">
        <v>215</v>
      </c>
      <c r="F1123" t="s">
        <v>152</v>
      </c>
      <c r="G1123" t="s">
        <v>4749</v>
      </c>
      <c r="H1123" s="15">
        <v>631126</v>
      </c>
      <c r="I1123" s="15">
        <v>0</v>
      </c>
      <c r="J1123" t="s">
        <v>20</v>
      </c>
      <c r="K1123" t="s">
        <v>28</v>
      </c>
      <c r="L1123" s="2">
        <v>43739</v>
      </c>
      <c r="M1123" t="s">
        <v>4750</v>
      </c>
      <c r="N1123">
        <v>0</v>
      </c>
      <c r="O1123" t="s">
        <v>4903</v>
      </c>
      <c r="P1123">
        <v>0</v>
      </c>
      <c r="Q1123" t="s">
        <v>4903</v>
      </c>
      <c r="R1123" t="s">
        <v>4489</v>
      </c>
    </row>
    <row r="1124" spans="1:18" hidden="1" x14ac:dyDescent="0.25">
      <c r="A1124" t="s">
        <v>1129</v>
      </c>
      <c r="B1124" t="s">
        <v>31</v>
      </c>
      <c r="C1124" t="s">
        <v>15</v>
      </c>
      <c r="D1124" t="s">
        <v>16</v>
      </c>
      <c r="E1124" t="s">
        <v>215</v>
      </c>
      <c r="F1124" t="s">
        <v>42</v>
      </c>
      <c r="G1124" t="s">
        <v>1130</v>
      </c>
      <c r="H1124" s="15">
        <v>761176</v>
      </c>
      <c r="I1124" s="15">
        <v>0</v>
      </c>
      <c r="J1124" t="s">
        <v>20</v>
      </c>
      <c r="K1124" t="s">
        <v>28</v>
      </c>
      <c r="L1124" s="2">
        <v>43739</v>
      </c>
      <c r="M1124" t="s">
        <v>1131</v>
      </c>
      <c r="N1124">
        <v>0</v>
      </c>
      <c r="O1124" t="s">
        <v>4903</v>
      </c>
      <c r="P1124">
        <v>0</v>
      </c>
      <c r="Q1124" t="s">
        <v>4903</v>
      </c>
      <c r="R1124" t="s">
        <v>1129</v>
      </c>
    </row>
    <row r="1125" spans="1:18" hidden="1" x14ac:dyDescent="0.25">
      <c r="A1125" t="s">
        <v>2004</v>
      </c>
      <c r="B1125" t="s">
        <v>47</v>
      </c>
      <c r="C1125" t="s">
        <v>48</v>
      </c>
      <c r="D1125" t="s">
        <v>2005</v>
      </c>
      <c r="E1125" t="s">
        <v>2006</v>
      </c>
      <c r="F1125" t="s">
        <v>26</v>
      </c>
      <c r="G1125" t="s">
        <v>2007</v>
      </c>
      <c r="H1125" s="15">
        <v>100000</v>
      </c>
      <c r="I1125" s="15">
        <v>0</v>
      </c>
      <c r="J1125" t="s">
        <v>44</v>
      </c>
      <c r="K1125" t="s">
        <v>28</v>
      </c>
      <c r="L1125" s="2">
        <v>43739</v>
      </c>
      <c r="M1125" t="s">
        <v>2008</v>
      </c>
      <c r="N1125">
        <v>0</v>
      </c>
      <c r="O1125" t="s">
        <v>4903</v>
      </c>
      <c r="P1125">
        <v>0</v>
      </c>
      <c r="Q1125" t="s">
        <v>4903</v>
      </c>
      <c r="R1125" t="s">
        <v>2004</v>
      </c>
    </row>
    <row r="1126" spans="1:18" hidden="1" x14ac:dyDescent="0.25">
      <c r="A1126" t="s">
        <v>3440</v>
      </c>
      <c r="B1126" t="s">
        <v>126</v>
      </c>
      <c r="C1126" t="s">
        <v>39</v>
      </c>
      <c r="D1126" t="s">
        <v>16</v>
      </c>
      <c r="E1126" t="s">
        <v>215</v>
      </c>
      <c r="F1126" t="s">
        <v>152</v>
      </c>
      <c r="G1126" t="s">
        <v>3441</v>
      </c>
      <c r="H1126" s="15">
        <v>956250</v>
      </c>
      <c r="I1126" s="15">
        <v>0</v>
      </c>
      <c r="J1126" t="s">
        <v>20</v>
      </c>
      <c r="K1126" t="s">
        <v>57</v>
      </c>
      <c r="L1126" s="2">
        <v>43739</v>
      </c>
      <c r="M1126" t="s">
        <v>3442</v>
      </c>
      <c r="N1126">
        <v>0</v>
      </c>
      <c r="O1126" t="s">
        <v>4903</v>
      </c>
      <c r="P1126">
        <v>0</v>
      </c>
      <c r="Q1126" t="s">
        <v>4903</v>
      </c>
      <c r="R1126" t="s">
        <v>3440</v>
      </c>
    </row>
    <row r="1127" spans="1:18" hidden="1" x14ac:dyDescent="0.25">
      <c r="A1127" t="s">
        <v>2275</v>
      </c>
      <c r="B1127" t="s">
        <v>47</v>
      </c>
      <c r="C1127" t="s">
        <v>48</v>
      </c>
      <c r="D1127" t="s">
        <v>16</v>
      </c>
      <c r="E1127" t="s">
        <v>215</v>
      </c>
      <c r="F1127" t="s">
        <v>34</v>
      </c>
      <c r="G1127" t="s">
        <v>2276</v>
      </c>
      <c r="H1127" s="15">
        <v>707626</v>
      </c>
      <c r="I1127" s="15">
        <v>0</v>
      </c>
      <c r="J1127" t="s">
        <v>20</v>
      </c>
      <c r="K1127" t="s">
        <v>116</v>
      </c>
      <c r="L1127" s="2">
        <v>43739</v>
      </c>
      <c r="M1127" t="s">
        <v>2277</v>
      </c>
      <c r="N1127">
        <v>0</v>
      </c>
      <c r="O1127" t="s">
        <v>4903</v>
      </c>
      <c r="P1127">
        <v>0</v>
      </c>
      <c r="Q1127" t="s">
        <v>4903</v>
      </c>
      <c r="R1127" t="s">
        <v>2275</v>
      </c>
    </row>
    <row r="1128" spans="1:18" hidden="1" x14ac:dyDescent="0.25">
      <c r="A1128" t="s">
        <v>3496</v>
      </c>
      <c r="B1128" t="s">
        <v>47</v>
      </c>
      <c r="C1128" t="s">
        <v>48</v>
      </c>
      <c r="D1128" t="s">
        <v>16</v>
      </c>
      <c r="E1128" t="s">
        <v>215</v>
      </c>
      <c r="F1128" t="s">
        <v>42</v>
      </c>
      <c r="G1128" t="s">
        <v>4195</v>
      </c>
      <c r="H1128" s="15">
        <v>963900</v>
      </c>
      <c r="I1128" s="15">
        <v>0</v>
      </c>
      <c r="J1128" t="s">
        <v>20</v>
      </c>
      <c r="K1128" t="s">
        <v>28</v>
      </c>
      <c r="L1128" s="2">
        <v>43739</v>
      </c>
      <c r="M1128" t="s">
        <v>4196</v>
      </c>
      <c r="N1128">
        <v>1</v>
      </c>
      <c r="O1128" t="s">
        <v>4903</v>
      </c>
      <c r="P1128">
        <v>0</v>
      </c>
      <c r="Q1128" t="s">
        <v>4903</v>
      </c>
      <c r="R1128" t="s">
        <v>3496</v>
      </c>
    </row>
    <row r="1129" spans="1:18" hidden="1" x14ac:dyDescent="0.25">
      <c r="A1129" t="s">
        <v>3482</v>
      </c>
      <c r="B1129" t="s">
        <v>635</v>
      </c>
      <c r="C1129" t="s">
        <v>39</v>
      </c>
      <c r="D1129" t="s">
        <v>16</v>
      </c>
      <c r="E1129" t="s">
        <v>215</v>
      </c>
      <c r="F1129" t="s">
        <v>140</v>
      </c>
      <c r="G1129" t="s">
        <v>3483</v>
      </c>
      <c r="H1129" s="15">
        <v>761176</v>
      </c>
      <c r="I1129" s="15">
        <v>0</v>
      </c>
      <c r="J1129" t="s">
        <v>20</v>
      </c>
      <c r="K1129" t="s">
        <v>28</v>
      </c>
      <c r="L1129" s="2">
        <v>43739</v>
      </c>
      <c r="M1129" t="s">
        <v>3484</v>
      </c>
      <c r="N1129">
        <v>1</v>
      </c>
      <c r="O1129" t="s">
        <v>4903</v>
      </c>
      <c r="P1129">
        <v>0</v>
      </c>
      <c r="Q1129" t="s">
        <v>4903</v>
      </c>
      <c r="R1129" t="s">
        <v>3482</v>
      </c>
    </row>
    <row r="1130" spans="1:18" hidden="1" x14ac:dyDescent="0.25">
      <c r="A1130" t="s">
        <v>699</v>
      </c>
      <c r="B1130" t="s">
        <v>84</v>
      </c>
      <c r="C1130" t="s">
        <v>15</v>
      </c>
      <c r="D1130" t="s">
        <v>16</v>
      </c>
      <c r="E1130" t="s">
        <v>215</v>
      </c>
      <c r="F1130" t="s">
        <v>18</v>
      </c>
      <c r="G1130" t="s">
        <v>1580</v>
      </c>
      <c r="H1130" s="15">
        <v>860626</v>
      </c>
      <c r="I1130" s="15">
        <v>0</v>
      </c>
      <c r="J1130" t="s">
        <v>20</v>
      </c>
      <c r="K1130" t="s">
        <v>21</v>
      </c>
      <c r="L1130" s="2">
        <v>43739</v>
      </c>
      <c r="M1130" t="s">
        <v>1581</v>
      </c>
      <c r="N1130">
        <v>0</v>
      </c>
      <c r="O1130" t="s">
        <v>4903</v>
      </c>
      <c r="P1130">
        <v>0</v>
      </c>
      <c r="Q1130" t="s">
        <v>4903</v>
      </c>
      <c r="R1130" t="s">
        <v>699</v>
      </c>
    </row>
    <row r="1131" spans="1:18" hidden="1" x14ac:dyDescent="0.25">
      <c r="A1131" t="s">
        <v>1495</v>
      </c>
      <c r="B1131" t="s">
        <v>84</v>
      </c>
      <c r="C1131" t="s">
        <v>15</v>
      </c>
      <c r="D1131" t="s">
        <v>16</v>
      </c>
      <c r="E1131" t="s">
        <v>215</v>
      </c>
      <c r="F1131" t="s">
        <v>42</v>
      </c>
      <c r="G1131" t="s">
        <v>2129</v>
      </c>
      <c r="H1131" s="15">
        <v>749700</v>
      </c>
      <c r="I1131" s="15">
        <v>0</v>
      </c>
      <c r="J1131" t="s">
        <v>89</v>
      </c>
      <c r="K1131" t="s">
        <v>28</v>
      </c>
      <c r="L1131" s="2">
        <v>43739</v>
      </c>
      <c r="M1131" t="s">
        <v>2130</v>
      </c>
      <c r="N1131">
        <v>2</v>
      </c>
      <c r="O1131" t="s">
        <v>4903</v>
      </c>
      <c r="P1131">
        <v>0</v>
      </c>
      <c r="Q1131" t="s">
        <v>4903</v>
      </c>
      <c r="R1131" t="s">
        <v>1495</v>
      </c>
    </row>
    <row r="1132" spans="1:18" hidden="1" x14ac:dyDescent="0.25">
      <c r="A1132" t="s">
        <v>1451</v>
      </c>
      <c r="B1132" t="s">
        <v>103</v>
      </c>
      <c r="C1132" t="s">
        <v>15</v>
      </c>
      <c r="D1132" t="s">
        <v>16</v>
      </c>
      <c r="E1132" t="s">
        <v>215</v>
      </c>
      <c r="F1132" t="s">
        <v>42</v>
      </c>
      <c r="G1132" t="s">
        <v>2015</v>
      </c>
      <c r="H1132" s="15">
        <v>860624</v>
      </c>
      <c r="I1132" s="15">
        <v>0</v>
      </c>
      <c r="J1132" t="s">
        <v>154</v>
      </c>
      <c r="K1132" t="s">
        <v>28</v>
      </c>
      <c r="L1132" s="2">
        <v>43739</v>
      </c>
      <c r="M1132" t="s">
        <v>2016</v>
      </c>
      <c r="N1132">
        <v>0</v>
      </c>
      <c r="O1132" t="s">
        <v>4903</v>
      </c>
      <c r="P1132">
        <v>0</v>
      </c>
      <c r="Q1132" t="s">
        <v>4903</v>
      </c>
      <c r="R1132" t="s">
        <v>1451</v>
      </c>
    </row>
    <row r="1133" spans="1:18" hidden="1" x14ac:dyDescent="0.25">
      <c r="A1133" t="s">
        <v>393</v>
      </c>
      <c r="B1133" t="s">
        <v>47</v>
      </c>
      <c r="C1133" t="s">
        <v>48</v>
      </c>
      <c r="D1133" t="s">
        <v>16</v>
      </c>
      <c r="E1133" t="s">
        <v>215</v>
      </c>
      <c r="F1133" t="s">
        <v>34</v>
      </c>
      <c r="G1133" t="s">
        <v>3009</v>
      </c>
      <c r="H1133" s="15">
        <v>711451</v>
      </c>
      <c r="I1133" s="15">
        <v>0</v>
      </c>
      <c r="J1133" t="s">
        <v>154</v>
      </c>
      <c r="K1133" t="s">
        <v>116</v>
      </c>
      <c r="L1133" s="2">
        <v>43739</v>
      </c>
      <c r="M1133" t="s">
        <v>3010</v>
      </c>
      <c r="N1133">
        <v>0</v>
      </c>
      <c r="O1133" t="s">
        <v>4903</v>
      </c>
      <c r="P1133">
        <v>0</v>
      </c>
      <c r="Q1133" t="s">
        <v>4903</v>
      </c>
      <c r="R1133" t="s">
        <v>393</v>
      </c>
    </row>
    <row r="1134" spans="1:18" hidden="1" x14ac:dyDescent="0.25">
      <c r="A1134" t="s">
        <v>3479</v>
      </c>
      <c r="B1134" t="s">
        <v>103</v>
      </c>
      <c r="C1134" t="s">
        <v>15</v>
      </c>
      <c r="D1134" t="s">
        <v>16</v>
      </c>
      <c r="E1134" t="s">
        <v>215</v>
      </c>
      <c r="F1134" t="s">
        <v>18</v>
      </c>
      <c r="G1134" t="s">
        <v>4080</v>
      </c>
      <c r="H1134" s="15">
        <v>684675</v>
      </c>
      <c r="I1134" s="15">
        <v>0</v>
      </c>
      <c r="J1134" t="s">
        <v>154</v>
      </c>
      <c r="K1134" t="s">
        <v>21</v>
      </c>
      <c r="L1134" s="2">
        <v>43739</v>
      </c>
      <c r="M1134" t="s">
        <v>4081</v>
      </c>
      <c r="N1134">
        <v>0</v>
      </c>
      <c r="O1134" t="s">
        <v>4903</v>
      </c>
      <c r="P1134">
        <v>0</v>
      </c>
      <c r="Q1134" t="s">
        <v>4903</v>
      </c>
      <c r="R1134" t="s">
        <v>3479</v>
      </c>
    </row>
    <row r="1135" spans="1:18" hidden="1" x14ac:dyDescent="0.25">
      <c r="A1135" t="s">
        <v>2684</v>
      </c>
      <c r="B1135" t="s">
        <v>2685</v>
      </c>
      <c r="C1135" t="s">
        <v>15</v>
      </c>
      <c r="D1135" t="s">
        <v>2686</v>
      </c>
      <c r="E1135" t="s">
        <v>2687</v>
      </c>
      <c r="F1135" t="s">
        <v>34</v>
      </c>
      <c r="G1135" t="s">
        <v>2688</v>
      </c>
      <c r="H1135" s="15">
        <v>77500</v>
      </c>
      <c r="I1135" s="15">
        <v>0</v>
      </c>
      <c r="J1135" t="s">
        <v>44</v>
      </c>
      <c r="K1135" t="s">
        <v>100</v>
      </c>
      <c r="L1135" s="2">
        <v>43891</v>
      </c>
      <c r="M1135" t="s">
        <v>2689</v>
      </c>
      <c r="N1135">
        <v>0</v>
      </c>
      <c r="O1135" t="s">
        <v>4903</v>
      </c>
      <c r="P1135">
        <v>0</v>
      </c>
      <c r="Q1135" t="s">
        <v>4903</v>
      </c>
      <c r="R1135" t="s">
        <v>2684</v>
      </c>
    </row>
    <row r="1136" spans="1:18" hidden="1" x14ac:dyDescent="0.25">
      <c r="A1136" t="s">
        <v>3521</v>
      </c>
      <c r="B1136" t="s">
        <v>61</v>
      </c>
      <c r="C1136" t="s">
        <v>62</v>
      </c>
      <c r="D1136" t="s">
        <v>2686</v>
      </c>
      <c r="E1136" t="s">
        <v>2687</v>
      </c>
      <c r="F1136" t="s">
        <v>34</v>
      </c>
      <c r="G1136" t="s">
        <v>3522</v>
      </c>
      <c r="H1136" s="15">
        <v>100000</v>
      </c>
      <c r="I1136" s="15">
        <v>0</v>
      </c>
      <c r="J1136" t="s">
        <v>44</v>
      </c>
      <c r="K1136" t="s">
        <v>116</v>
      </c>
      <c r="L1136" s="2">
        <v>43891</v>
      </c>
      <c r="M1136" t="s">
        <v>3523</v>
      </c>
      <c r="N1136">
        <v>0</v>
      </c>
      <c r="O1136" t="s">
        <v>4903</v>
      </c>
      <c r="P1136">
        <v>0</v>
      </c>
      <c r="Q1136" t="s">
        <v>4903</v>
      </c>
      <c r="R1136" t="s">
        <v>3521</v>
      </c>
    </row>
    <row r="1137" spans="1:18" hidden="1" x14ac:dyDescent="0.25">
      <c r="A1137" t="s">
        <v>3521</v>
      </c>
      <c r="B1137" t="s">
        <v>61</v>
      </c>
      <c r="C1137" t="s">
        <v>62</v>
      </c>
      <c r="D1137" t="s">
        <v>16</v>
      </c>
      <c r="E1137" t="s">
        <v>104</v>
      </c>
      <c r="F1137" t="s">
        <v>34</v>
      </c>
      <c r="G1137" t="s">
        <v>3522</v>
      </c>
      <c r="H1137" s="15">
        <v>711450</v>
      </c>
      <c r="I1137" s="15">
        <v>0</v>
      </c>
      <c r="J1137" t="s">
        <v>20</v>
      </c>
      <c r="K1137" t="s">
        <v>116</v>
      </c>
      <c r="L1137" s="2">
        <v>43891</v>
      </c>
      <c r="M1137" t="s">
        <v>3523</v>
      </c>
      <c r="N1137">
        <v>0</v>
      </c>
      <c r="O1137" t="s">
        <v>4903</v>
      </c>
      <c r="P1137">
        <v>0</v>
      </c>
      <c r="Q1137" t="s">
        <v>4903</v>
      </c>
      <c r="R1137" t="s">
        <v>3521</v>
      </c>
    </row>
    <row r="1138" spans="1:18" hidden="1" x14ac:dyDescent="0.25">
      <c r="A1138" t="s">
        <v>1334</v>
      </c>
      <c r="B1138" t="s">
        <v>315</v>
      </c>
      <c r="C1138" t="s">
        <v>39</v>
      </c>
      <c r="D1138" t="s">
        <v>85</v>
      </c>
      <c r="E1138" t="s">
        <v>544</v>
      </c>
      <c r="F1138" t="s">
        <v>87</v>
      </c>
      <c r="G1138" t="s">
        <v>1335</v>
      </c>
      <c r="H1138" s="15">
        <v>1214556</v>
      </c>
      <c r="I1138" s="15">
        <v>89250</v>
      </c>
      <c r="J1138" t="s">
        <v>89</v>
      </c>
      <c r="K1138" t="s">
        <v>28</v>
      </c>
      <c r="L1138" s="2">
        <v>43922</v>
      </c>
      <c r="M1138" t="s">
        <v>1336</v>
      </c>
      <c r="N1138">
        <v>0</v>
      </c>
      <c r="O1138" t="s">
        <v>4903</v>
      </c>
      <c r="P1138">
        <v>0</v>
      </c>
      <c r="Q1138" t="s">
        <v>4903</v>
      </c>
      <c r="R1138" t="s">
        <v>1334</v>
      </c>
    </row>
    <row r="1139" spans="1:18" hidden="1" x14ac:dyDescent="0.25">
      <c r="A1139" t="s">
        <v>607</v>
      </c>
      <c r="B1139" t="s">
        <v>47</v>
      </c>
      <c r="C1139" t="s">
        <v>48</v>
      </c>
      <c r="D1139" t="s">
        <v>85</v>
      </c>
      <c r="E1139" t="s">
        <v>544</v>
      </c>
      <c r="F1139" t="s">
        <v>87</v>
      </c>
      <c r="G1139" t="s">
        <v>3087</v>
      </c>
      <c r="H1139" s="15">
        <v>279550</v>
      </c>
      <c r="I1139" s="15">
        <v>0</v>
      </c>
      <c r="J1139" t="s">
        <v>89</v>
      </c>
      <c r="K1139" t="s">
        <v>28</v>
      </c>
      <c r="L1139" s="2">
        <v>43922</v>
      </c>
      <c r="M1139" t="s">
        <v>3088</v>
      </c>
      <c r="N1139">
        <v>1</v>
      </c>
      <c r="O1139" t="s">
        <v>4903</v>
      </c>
      <c r="P1139">
        <v>0</v>
      </c>
      <c r="Q1139" t="s">
        <v>4903</v>
      </c>
      <c r="R1139" t="s">
        <v>607</v>
      </c>
    </row>
    <row r="1140" spans="1:18" hidden="1" x14ac:dyDescent="0.25">
      <c r="A1140" t="s">
        <v>3573</v>
      </c>
      <c r="B1140" t="s">
        <v>14</v>
      </c>
      <c r="C1140" t="s">
        <v>15</v>
      </c>
      <c r="D1140" t="s">
        <v>16</v>
      </c>
      <c r="E1140" t="s">
        <v>574</v>
      </c>
      <c r="F1140" t="s">
        <v>140</v>
      </c>
      <c r="G1140" t="s">
        <v>3574</v>
      </c>
      <c r="H1140" s="15">
        <v>1051875</v>
      </c>
      <c r="I1140" s="15">
        <v>0</v>
      </c>
      <c r="J1140" t="s">
        <v>20</v>
      </c>
      <c r="K1140" t="s">
        <v>28</v>
      </c>
      <c r="L1140" s="2">
        <v>43922</v>
      </c>
      <c r="M1140" t="s">
        <v>3575</v>
      </c>
      <c r="N1140">
        <v>0</v>
      </c>
      <c r="O1140" t="s">
        <v>4903</v>
      </c>
      <c r="P1140">
        <v>0</v>
      </c>
      <c r="Q1140" t="s">
        <v>4903</v>
      </c>
      <c r="R1140" t="s">
        <v>3573</v>
      </c>
    </row>
    <row r="1141" spans="1:18" hidden="1" x14ac:dyDescent="0.25">
      <c r="A1141" t="s">
        <v>4152</v>
      </c>
      <c r="B1141" t="s">
        <v>84</v>
      </c>
      <c r="C1141" t="s">
        <v>15</v>
      </c>
      <c r="D1141" t="s">
        <v>16</v>
      </c>
      <c r="E1141" t="s">
        <v>574</v>
      </c>
      <c r="F1141" t="s">
        <v>42</v>
      </c>
      <c r="G1141" t="s">
        <v>4153</v>
      </c>
      <c r="H1141" s="15">
        <v>818550</v>
      </c>
      <c r="I1141" s="15">
        <v>0</v>
      </c>
      <c r="J1141" t="s">
        <v>20</v>
      </c>
      <c r="K1141" t="s">
        <v>28</v>
      </c>
      <c r="L1141" s="2">
        <v>43922</v>
      </c>
      <c r="M1141" t="s">
        <v>4154</v>
      </c>
      <c r="N1141">
        <v>0</v>
      </c>
      <c r="O1141" t="s">
        <v>4903</v>
      </c>
      <c r="P1141">
        <v>0</v>
      </c>
      <c r="Q1141" t="s">
        <v>4903</v>
      </c>
      <c r="R1141" t="s">
        <v>4152</v>
      </c>
    </row>
    <row r="1142" spans="1:18" hidden="1" x14ac:dyDescent="0.25">
      <c r="A1142" t="s">
        <v>2499</v>
      </c>
      <c r="B1142" t="s">
        <v>119</v>
      </c>
      <c r="C1142" t="s">
        <v>39</v>
      </c>
      <c r="D1142" t="s">
        <v>16</v>
      </c>
      <c r="E1142" t="s">
        <v>574</v>
      </c>
      <c r="F1142" t="s">
        <v>140</v>
      </c>
      <c r="G1142" t="s">
        <v>2500</v>
      </c>
      <c r="H1142" s="15">
        <v>753525</v>
      </c>
      <c r="I1142" s="15">
        <v>0</v>
      </c>
      <c r="J1142" t="s">
        <v>20</v>
      </c>
      <c r="K1142" t="s">
        <v>28</v>
      </c>
      <c r="L1142" s="2">
        <v>43922</v>
      </c>
      <c r="M1142" t="s">
        <v>2501</v>
      </c>
      <c r="N1142">
        <v>0</v>
      </c>
      <c r="O1142" t="s">
        <v>4903</v>
      </c>
      <c r="P1142">
        <v>0</v>
      </c>
      <c r="Q1142" t="s">
        <v>4903</v>
      </c>
      <c r="R1142" t="s">
        <v>2499</v>
      </c>
    </row>
    <row r="1143" spans="1:18" hidden="1" x14ac:dyDescent="0.25">
      <c r="A1143" t="s">
        <v>604</v>
      </c>
      <c r="B1143" t="s">
        <v>471</v>
      </c>
      <c r="C1143" t="s">
        <v>15</v>
      </c>
      <c r="D1143" t="s">
        <v>85</v>
      </c>
      <c r="E1143" t="s">
        <v>544</v>
      </c>
      <c r="F1143" t="s">
        <v>87</v>
      </c>
      <c r="G1143" t="s">
        <v>605</v>
      </c>
      <c r="H1143" s="15">
        <v>238045</v>
      </c>
      <c r="I1143" s="15">
        <v>6000</v>
      </c>
      <c r="J1143" t="s">
        <v>89</v>
      </c>
      <c r="K1143" t="s">
        <v>21</v>
      </c>
      <c r="L1143" s="2">
        <v>43922</v>
      </c>
      <c r="M1143" t="s">
        <v>606</v>
      </c>
      <c r="N1143">
        <v>0</v>
      </c>
      <c r="O1143" t="s">
        <v>4903</v>
      </c>
      <c r="P1143">
        <v>0</v>
      </c>
      <c r="Q1143" t="s">
        <v>4903</v>
      </c>
      <c r="R1143" t="s">
        <v>604</v>
      </c>
    </row>
    <row r="1144" spans="1:18" hidden="1" x14ac:dyDescent="0.25">
      <c r="A1144" t="s">
        <v>4106</v>
      </c>
      <c r="B1144" t="s">
        <v>973</v>
      </c>
      <c r="C1144" t="s">
        <v>15</v>
      </c>
      <c r="D1144" t="s">
        <v>16</v>
      </c>
      <c r="E1144" t="s">
        <v>574</v>
      </c>
      <c r="F1144" t="s">
        <v>26</v>
      </c>
      <c r="G1144" t="s">
        <v>4107</v>
      </c>
      <c r="H1144" s="15">
        <v>772650</v>
      </c>
      <c r="I1144" s="15">
        <v>0</v>
      </c>
      <c r="J1144" t="s">
        <v>20</v>
      </c>
      <c r="K1144" t="s">
        <v>28</v>
      </c>
      <c r="L1144" s="2">
        <v>43922</v>
      </c>
      <c r="M1144" t="s">
        <v>4108</v>
      </c>
      <c r="N1144">
        <v>1</v>
      </c>
      <c r="O1144" t="s">
        <v>4903</v>
      </c>
      <c r="P1144">
        <v>0</v>
      </c>
      <c r="Q1144" t="s">
        <v>4903</v>
      </c>
      <c r="R1144" t="s">
        <v>4106</v>
      </c>
    </row>
    <row r="1145" spans="1:18" hidden="1" x14ac:dyDescent="0.25">
      <c r="A1145" t="s">
        <v>976</v>
      </c>
      <c r="B1145" t="s">
        <v>77</v>
      </c>
      <c r="C1145" t="s">
        <v>15</v>
      </c>
      <c r="D1145" t="s">
        <v>16</v>
      </c>
      <c r="E1145" t="s">
        <v>574</v>
      </c>
      <c r="F1145" t="s">
        <v>140</v>
      </c>
      <c r="G1145" t="s">
        <v>977</v>
      </c>
      <c r="H1145" s="15">
        <v>1526175</v>
      </c>
      <c r="I1145" s="15">
        <v>0</v>
      </c>
      <c r="J1145" t="s">
        <v>20</v>
      </c>
      <c r="K1145" t="s">
        <v>28</v>
      </c>
      <c r="L1145" s="2">
        <v>43922</v>
      </c>
      <c r="M1145" t="s">
        <v>978</v>
      </c>
      <c r="N1145">
        <v>0</v>
      </c>
      <c r="O1145" t="s">
        <v>4903</v>
      </c>
      <c r="P1145">
        <v>0</v>
      </c>
      <c r="Q1145" t="s">
        <v>4903</v>
      </c>
      <c r="R1145" t="s">
        <v>976</v>
      </c>
    </row>
    <row r="1146" spans="1:18" hidden="1" x14ac:dyDescent="0.25">
      <c r="A1146" t="s">
        <v>4173</v>
      </c>
      <c r="B1146" t="s">
        <v>406</v>
      </c>
      <c r="C1146" t="s">
        <v>62</v>
      </c>
      <c r="D1146" t="s">
        <v>16</v>
      </c>
      <c r="E1146" t="s">
        <v>574</v>
      </c>
      <c r="F1146" t="s">
        <v>140</v>
      </c>
      <c r="G1146" t="s">
        <v>4174</v>
      </c>
      <c r="H1146" s="15">
        <v>937125</v>
      </c>
      <c r="I1146" s="15">
        <v>0</v>
      </c>
      <c r="J1146" t="s">
        <v>20</v>
      </c>
      <c r="K1146" t="s">
        <v>28</v>
      </c>
      <c r="L1146" s="2">
        <v>43922</v>
      </c>
      <c r="M1146" t="s">
        <v>4175</v>
      </c>
      <c r="N1146">
        <v>0</v>
      </c>
      <c r="O1146" t="s">
        <v>4903</v>
      </c>
      <c r="P1146">
        <v>0</v>
      </c>
      <c r="Q1146" t="s">
        <v>4903</v>
      </c>
      <c r="R1146" t="s">
        <v>4173</v>
      </c>
    </row>
    <row r="1147" spans="1:18" hidden="1" x14ac:dyDescent="0.25">
      <c r="A1147" t="s">
        <v>3787</v>
      </c>
      <c r="B1147" t="s">
        <v>119</v>
      </c>
      <c r="C1147" t="s">
        <v>39</v>
      </c>
      <c r="D1147" t="s">
        <v>16</v>
      </c>
      <c r="E1147" t="s">
        <v>574</v>
      </c>
      <c r="F1147" t="s">
        <v>140</v>
      </c>
      <c r="G1147" t="s">
        <v>3788</v>
      </c>
      <c r="H1147" s="15">
        <v>807075</v>
      </c>
      <c r="I1147" s="15">
        <v>0</v>
      </c>
      <c r="J1147" t="s">
        <v>20</v>
      </c>
      <c r="K1147" t="s">
        <v>28</v>
      </c>
      <c r="L1147" s="2">
        <v>43922</v>
      </c>
      <c r="M1147" t="s">
        <v>3789</v>
      </c>
      <c r="N1147">
        <v>0</v>
      </c>
      <c r="O1147" t="s">
        <v>4903</v>
      </c>
      <c r="P1147">
        <v>0</v>
      </c>
      <c r="Q1147" t="s">
        <v>4903</v>
      </c>
      <c r="R1147" t="s">
        <v>3787</v>
      </c>
    </row>
    <row r="1148" spans="1:18" hidden="1" x14ac:dyDescent="0.25">
      <c r="A1148" t="s">
        <v>2148</v>
      </c>
      <c r="B1148" t="s">
        <v>471</v>
      </c>
      <c r="C1148" t="s">
        <v>15</v>
      </c>
      <c r="D1148" t="s">
        <v>742</v>
      </c>
      <c r="E1148" t="s">
        <v>2175</v>
      </c>
      <c r="F1148" t="s">
        <v>18</v>
      </c>
      <c r="G1148" t="s">
        <v>2173</v>
      </c>
      <c r="H1148" s="15">
        <v>100000</v>
      </c>
      <c r="I1148" s="15">
        <v>0</v>
      </c>
      <c r="J1148" t="s">
        <v>44</v>
      </c>
      <c r="K1148" t="s">
        <v>65</v>
      </c>
      <c r="L1148" s="2">
        <v>43922</v>
      </c>
      <c r="M1148" t="s">
        <v>2174</v>
      </c>
      <c r="N1148">
        <v>0</v>
      </c>
      <c r="O1148" t="s">
        <v>4903</v>
      </c>
      <c r="P1148">
        <v>0</v>
      </c>
      <c r="Q1148" t="s">
        <v>4903</v>
      </c>
      <c r="R1148" t="s">
        <v>2148</v>
      </c>
    </row>
    <row r="1149" spans="1:18" hidden="1" x14ac:dyDescent="0.25">
      <c r="A1149" t="s">
        <v>2148</v>
      </c>
      <c r="B1149" t="s">
        <v>471</v>
      </c>
      <c r="C1149" t="s">
        <v>15</v>
      </c>
      <c r="D1149" t="s">
        <v>16</v>
      </c>
      <c r="E1149" t="s">
        <v>574</v>
      </c>
      <c r="F1149" t="s">
        <v>18</v>
      </c>
      <c r="G1149" t="s">
        <v>2173</v>
      </c>
      <c r="H1149" s="15">
        <v>826200</v>
      </c>
      <c r="I1149" s="15">
        <v>0</v>
      </c>
      <c r="J1149" t="s">
        <v>20</v>
      </c>
      <c r="K1149" t="s">
        <v>65</v>
      </c>
      <c r="L1149" s="2">
        <v>43922</v>
      </c>
      <c r="M1149" t="s">
        <v>2174</v>
      </c>
      <c r="N1149">
        <v>0</v>
      </c>
      <c r="O1149" t="s">
        <v>4903</v>
      </c>
      <c r="P1149">
        <v>0</v>
      </c>
      <c r="Q1149" t="s">
        <v>4903</v>
      </c>
      <c r="R1149" t="s">
        <v>2148</v>
      </c>
    </row>
    <row r="1150" spans="1:18" hidden="1" x14ac:dyDescent="0.25">
      <c r="A1150" t="s">
        <v>83</v>
      </c>
      <c r="B1150" t="s">
        <v>84</v>
      </c>
      <c r="C1150" t="s">
        <v>15</v>
      </c>
      <c r="D1150" t="s">
        <v>85</v>
      </c>
      <c r="E1150" t="s">
        <v>544</v>
      </c>
      <c r="F1150" t="s">
        <v>87</v>
      </c>
      <c r="G1150" t="s">
        <v>545</v>
      </c>
      <c r="H1150" s="15">
        <v>484151</v>
      </c>
      <c r="I1150" s="15">
        <v>0</v>
      </c>
      <c r="J1150" t="s">
        <v>89</v>
      </c>
      <c r="K1150" t="s">
        <v>28</v>
      </c>
      <c r="L1150" s="2">
        <v>43922</v>
      </c>
      <c r="M1150" t="s">
        <v>546</v>
      </c>
      <c r="N1150">
        <v>2</v>
      </c>
      <c r="O1150" t="s">
        <v>4903</v>
      </c>
      <c r="P1150">
        <v>0</v>
      </c>
      <c r="Q1150" t="s">
        <v>4903</v>
      </c>
      <c r="R1150" t="s">
        <v>83</v>
      </c>
    </row>
    <row r="1151" spans="1:18" hidden="1" x14ac:dyDescent="0.25">
      <c r="A1151" t="s">
        <v>2033</v>
      </c>
      <c r="B1151" t="s">
        <v>14</v>
      </c>
      <c r="C1151" t="s">
        <v>15</v>
      </c>
      <c r="D1151" t="s">
        <v>16</v>
      </c>
      <c r="E1151" t="s">
        <v>574</v>
      </c>
      <c r="F1151" t="s">
        <v>152</v>
      </c>
      <c r="G1151" t="s">
        <v>2034</v>
      </c>
      <c r="H1151" s="15">
        <v>944775</v>
      </c>
      <c r="I1151" s="15">
        <v>0</v>
      </c>
      <c r="J1151" t="s">
        <v>20</v>
      </c>
      <c r="K1151" t="s">
        <v>134</v>
      </c>
      <c r="L1151" s="2">
        <v>43922</v>
      </c>
      <c r="M1151" t="s">
        <v>2035</v>
      </c>
      <c r="N1151">
        <v>2</v>
      </c>
      <c r="O1151" t="s">
        <v>4903</v>
      </c>
      <c r="P1151">
        <v>0</v>
      </c>
      <c r="Q1151" t="s">
        <v>4903</v>
      </c>
      <c r="R1151" t="s">
        <v>2033</v>
      </c>
    </row>
    <row r="1152" spans="1:18" hidden="1" x14ac:dyDescent="0.25">
      <c r="A1152" t="s">
        <v>1214</v>
      </c>
      <c r="B1152" t="s">
        <v>77</v>
      </c>
      <c r="C1152" t="s">
        <v>15</v>
      </c>
      <c r="D1152" t="s">
        <v>16</v>
      </c>
      <c r="E1152" t="s">
        <v>574</v>
      </c>
      <c r="F1152" t="s">
        <v>42</v>
      </c>
      <c r="G1152" t="s">
        <v>2845</v>
      </c>
      <c r="H1152" s="15">
        <v>956250</v>
      </c>
      <c r="I1152" s="15">
        <v>0</v>
      </c>
      <c r="J1152" t="s">
        <v>20</v>
      </c>
      <c r="K1152" t="s">
        <v>28</v>
      </c>
      <c r="L1152" s="2">
        <v>43922</v>
      </c>
      <c r="M1152" t="s">
        <v>2846</v>
      </c>
      <c r="N1152">
        <v>1</v>
      </c>
      <c r="O1152" t="s">
        <v>4903</v>
      </c>
      <c r="P1152">
        <v>0</v>
      </c>
      <c r="Q1152" t="s">
        <v>4903</v>
      </c>
      <c r="R1152" t="s">
        <v>1214</v>
      </c>
    </row>
    <row r="1153" spans="1:18" hidden="1" x14ac:dyDescent="0.25">
      <c r="A1153" t="s">
        <v>1786</v>
      </c>
      <c r="B1153" t="s">
        <v>580</v>
      </c>
      <c r="C1153" t="s">
        <v>15</v>
      </c>
      <c r="D1153" t="s">
        <v>85</v>
      </c>
      <c r="E1153" t="s">
        <v>544</v>
      </c>
      <c r="F1153" t="s">
        <v>87</v>
      </c>
      <c r="G1153" t="s">
        <v>1787</v>
      </c>
      <c r="H1153" s="15">
        <v>392250</v>
      </c>
      <c r="I1153" s="15">
        <v>24000</v>
      </c>
      <c r="J1153" t="s">
        <v>89</v>
      </c>
      <c r="K1153" t="s">
        <v>21</v>
      </c>
      <c r="L1153" s="2">
        <v>43922</v>
      </c>
      <c r="M1153" t="s">
        <v>1788</v>
      </c>
      <c r="N1153">
        <v>0</v>
      </c>
      <c r="O1153" t="s">
        <v>4903</v>
      </c>
      <c r="P1153">
        <v>0</v>
      </c>
      <c r="Q1153" t="s">
        <v>4903</v>
      </c>
      <c r="R1153" t="s">
        <v>1786</v>
      </c>
    </row>
    <row r="1154" spans="1:18" hidden="1" x14ac:dyDescent="0.25">
      <c r="A1154" t="s">
        <v>4232</v>
      </c>
      <c r="B1154" t="s">
        <v>77</v>
      </c>
      <c r="C1154" t="s">
        <v>15</v>
      </c>
      <c r="D1154" t="s">
        <v>16</v>
      </c>
      <c r="E1154" t="s">
        <v>574</v>
      </c>
      <c r="F1154" t="s">
        <v>26</v>
      </c>
      <c r="G1154" t="s">
        <v>4233</v>
      </c>
      <c r="H1154" s="15">
        <v>956250</v>
      </c>
      <c r="I1154" s="15">
        <v>0</v>
      </c>
      <c r="J1154" t="s">
        <v>20</v>
      </c>
      <c r="K1154" t="s">
        <v>28</v>
      </c>
      <c r="L1154" s="2">
        <v>43922</v>
      </c>
      <c r="M1154" t="s">
        <v>4234</v>
      </c>
      <c r="N1154">
        <v>0</v>
      </c>
      <c r="O1154" t="s">
        <v>4903</v>
      </c>
      <c r="P1154">
        <v>0</v>
      </c>
      <c r="Q1154" t="s">
        <v>4903</v>
      </c>
      <c r="R1154" t="s">
        <v>4232</v>
      </c>
    </row>
    <row r="1155" spans="1:18" hidden="1" x14ac:dyDescent="0.25">
      <c r="A1155" t="s">
        <v>2424</v>
      </c>
      <c r="B1155" t="s">
        <v>47</v>
      </c>
      <c r="C1155" t="s">
        <v>48</v>
      </c>
      <c r="D1155" t="s">
        <v>85</v>
      </c>
      <c r="E1155" t="s">
        <v>544</v>
      </c>
      <c r="F1155" t="s">
        <v>87</v>
      </c>
      <c r="G1155" t="s">
        <v>2425</v>
      </c>
      <c r="H1155" s="15">
        <v>268658</v>
      </c>
      <c r="I1155" s="15">
        <v>0</v>
      </c>
      <c r="J1155" t="s">
        <v>89</v>
      </c>
      <c r="K1155" t="s">
        <v>116</v>
      </c>
      <c r="L1155" s="2">
        <v>43922</v>
      </c>
      <c r="M1155" t="s">
        <v>2426</v>
      </c>
      <c r="N1155">
        <v>0</v>
      </c>
      <c r="O1155" t="s">
        <v>4903</v>
      </c>
      <c r="P1155">
        <v>0</v>
      </c>
      <c r="Q1155" t="s">
        <v>4903</v>
      </c>
      <c r="R1155" t="s">
        <v>2424</v>
      </c>
    </row>
    <row r="1156" spans="1:18" hidden="1" x14ac:dyDescent="0.25">
      <c r="A1156" t="s">
        <v>2839</v>
      </c>
      <c r="B1156" t="s">
        <v>190</v>
      </c>
      <c r="C1156" t="s">
        <v>15</v>
      </c>
      <c r="D1156" t="s">
        <v>85</v>
      </c>
      <c r="E1156" t="s">
        <v>544</v>
      </c>
      <c r="F1156" t="s">
        <v>87</v>
      </c>
      <c r="G1156" t="s">
        <v>3837</v>
      </c>
      <c r="H1156" s="15">
        <v>337724</v>
      </c>
      <c r="I1156" s="15">
        <v>13988</v>
      </c>
      <c r="J1156" t="s">
        <v>89</v>
      </c>
      <c r="K1156" t="s">
        <v>28</v>
      </c>
      <c r="L1156" s="2">
        <v>43922</v>
      </c>
      <c r="M1156" t="s">
        <v>3838</v>
      </c>
      <c r="N1156">
        <v>0</v>
      </c>
      <c r="O1156" t="s">
        <v>4903</v>
      </c>
      <c r="P1156">
        <v>0</v>
      </c>
      <c r="Q1156" t="s">
        <v>4903</v>
      </c>
      <c r="R1156" t="s">
        <v>2839</v>
      </c>
    </row>
    <row r="1157" spans="1:18" hidden="1" x14ac:dyDescent="0.25">
      <c r="A1157" t="s">
        <v>966</v>
      </c>
      <c r="B1157" t="s">
        <v>725</v>
      </c>
      <c r="C1157" t="s">
        <v>726</v>
      </c>
      <c r="D1157" t="s">
        <v>85</v>
      </c>
      <c r="E1157" t="s">
        <v>544</v>
      </c>
      <c r="F1157" t="s">
        <v>87</v>
      </c>
      <c r="G1157" t="s">
        <v>1330</v>
      </c>
      <c r="H1157" s="15">
        <v>460441</v>
      </c>
      <c r="I1157" s="15">
        <v>31265</v>
      </c>
      <c r="J1157" t="s">
        <v>89</v>
      </c>
      <c r="K1157" t="s">
        <v>134</v>
      </c>
      <c r="L1157" s="2">
        <v>43922</v>
      </c>
      <c r="M1157" t="s">
        <v>1331</v>
      </c>
      <c r="N1157">
        <v>0</v>
      </c>
      <c r="O1157" t="s">
        <v>4903</v>
      </c>
      <c r="P1157">
        <v>0</v>
      </c>
      <c r="Q1157" t="s">
        <v>4903</v>
      </c>
      <c r="R1157" t="s">
        <v>966</v>
      </c>
    </row>
    <row r="1158" spans="1:18" hidden="1" x14ac:dyDescent="0.25">
      <c r="A1158" t="s">
        <v>3355</v>
      </c>
      <c r="B1158" t="s">
        <v>84</v>
      </c>
      <c r="C1158" t="s">
        <v>15</v>
      </c>
      <c r="D1158" t="s">
        <v>85</v>
      </c>
      <c r="E1158" t="s">
        <v>544</v>
      </c>
      <c r="F1158" t="s">
        <v>87</v>
      </c>
      <c r="G1158" t="s">
        <v>3377</v>
      </c>
      <c r="H1158" s="15">
        <v>360000</v>
      </c>
      <c r="I1158" s="15">
        <v>15000</v>
      </c>
      <c r="J1158" t="s">
        <v>89</v>
      </c>
      <c r="K1158" t="s">
        <v>116</v>
      </c>
      <c r="L1158" s="2">
        <v>43922</v>
      </c>
      <c r="M1158" t="s">
        <v>3378</v>
      </c>
      <c r="N1158">
        <v>1</v>
      </c>
      <c r="O1158" t="s">
        <v>4903</v>
      </c>
      <c r="P1158">
        <v>0</v>
      </c>
      <c r="Q1158" t="s">
        <v>4903</v>
      </c>
      <c r="R1158" t="s">
        <v>3355</v>
      </c>
    </row>
    <row r="1159" spans="1:18" hidden="1" x14ac:dyDescent="0.25">
      <c r="A1159" t="s">
        <v>957</v>
      </c>
      <c r="B1159" t="s">
        <v>471</v>
      </c>
      <c r="C1159" t="s">
        <v>15</v>
      </c>
      <c r="D1159" t="s">
        <v>85</v>
      </c>
      <c r="E1159" t="s">
        <v>544</v>
      </c>
      <c r="F1159" t="s">
        <v>87</v>
      </c>
      <c r="G1159" t="s">
        <v>1759</v>
      </c>
      <c r="H1159" s="15">
        <v>480060</v>
      </c>
      <c r="I1159" s="15">
        <v>13960</v>
      </c>
      <c r="J1159" t="s">
        <v>89</v>
      </c>
      <c r="K1159" t="s">
        <v>21</v>
      </c>
      <c r="L1159" s="2">
        <v>43922</v>
      </c>
      <c r="M1159" t="s">
        <v>1760</v>
      </c>
      <c r="N1159">
        <v>0</v>
      </c>
      <c r="O1159" t="s">
        <v>4903</v>
      </c>
      <c r="P1159">
        <v>0</v>
      </c>
      <c r="Q1159" t="s">
        <v>4903</v>
      </c>
      <c r="R1159" t="s">
        <v>957</v>
      </c>
    </row>
    <row r="1160" spans="1:18" hidden="1" x14ac:dyDescent="0.25">
      <c r="A1160" t="s">
        <v>3559</v>
      </c>
      <c r="B1160" t="s">
        <v>161</v>
      </c>
      <c r="C1160" t="s">
        <v>39</v>
      </c>
      <c r="D1160" t="s">
        <v>85</v>
      </c>
      <c r="E1160" t="s">
        <v>544</v>
      </c>
      <c r="F1160" t="s">
        <v>87</v>
      </c>
      <c r="G1160" t="s">
        <v>4342</v>
      </c>
      <c r="H1160" s="15">
        <v>306789</v>
      </c>
      <c r="I1160" s="15">
        <v>14300</v>
      </c>
      <c r="J1160" t="s">
        <v>89</v>
      </c>
      <c r="K1160" t="s">
        <v>100</v>
      </c>
      <c r="L1160" s="2">
        <v>43922</v>
      </c>
      <c r="M1160" t="s">
        <v>4343</v>
      </c>
      <c r="N1160">
        <v>3</v>
      </c>
      <c r="O1160" t="s">
        <v>4903</v>
      </c>
      <c r="P1160">
        <v>0</v>
      </c>
      <c r="Q1160" t="s">
        <v>4903</v>
      </c>
      <c r="R1160" t="s">
        <v>3559</v>
      </c>
    </row>
    <row r="1161" spans="1:18" hidden="1" x14ac:dyDescent="0.25">
      <c r="A1161" t="s">
        <v>1289</v>
      </c>
      <c r="B1161" t="s">
        <v>14</v>
      </c>
      <c r="C1161" t="s">
        <v>15</v>
      </c>
      <c r="D1161" t="s">
        <v>16</v>
      </c>
      <c r="E1161" t="s">
        <v>574</v>
      </c>
      <c r="F1161" t="s">
        <v>140</v>
      </c>
      <c r="G1161" t="s">
        <v>1290</v>
      </c>
      <c r="H1161" s="15">
        <v>608175</v>
      </c>
      <c r="I1161" s="15">
        <v>0</v>
      </c>
      <c r="J1161" t="s">
        <v>89</v>
      </c>
      <c r="K1161" t="s">
        <v>28</v>
      </c>
      <c r="L1161" s="2">
        <v>43922</v>
      </c>
      <c r="M1161" t="s">
        <v>1291</v>
      </c>
      <c r="N1161">
        <v>0</v>
      </c>
      <c r="O1161" t="s">
        <v>4903</v>
      </c>
      <c r="P1161">
        <v>0</v>
      </c>
      <c r="Q1161" t="s">
        <v>4903</v>
      </c>
      <c r="R1161" t="s">
        <v>1289</v>
      </c>
    </row>
    <row r="1162" spans="1:18" hidden="1" x14ac:dyDescent="0.25">
      <c r="A1162" t="s">
        <v>2528</v>
      </c>
      <c r="B1162" t="s">
        <v>38</v>
      </c>
      <c r="C1162" t="s">
        <v>39</v>
      </c>
      <c r="D1162" t="s">
        <v>16</v>
      </c>
      <c r="E1162" t="s">
        <v>574</v>
      </c>
      <c r="F1162" t="s">
        <v>42</v>
      </c>
      <c r="G1162" t="s">
        <v>2529</v>
      </c>
      <c r="H1162" s="15">
        <v>642600</v>
      </c>
      <c r="I1162" s="15">
        <v>0</v>
      </c>
      <c r="J1162" t="s">
        <v>20</v>
      </c>
      <c r="K1162" t="s">
        <v>28</v>
      </c>
      <c r="L1162" s="2">
        <v>43922</v>
      </c>
      <c r="M1162" t="s">
        <v>2530</v>
      </c>
      <c r="N1162">
        <v>0</v>
      </c>
      <c r="O1162" t="s">
        <v>4903</v>
      </c>
      <c r="P1162">
        <v>0</v>
      </c>
      <c r="Q1162" t="s">
        <v>4903</v>
      </c>
      <c r="R1162" t="s">
        <v>2528</v>
      </c>
    </row>
    <row r="1163" spans="1:18" hidden="1" x14ac:dyDescent="0.25">
      <c r="A1163" t="s">
        <v>185</v>
      </c>
      <c r="B1163" t="s">
        <v>47</v>
      </c>
      <c r="C1163" t="s">
        <v>48</v>
      </c>
      <c r="D1163" t="s">
        <v>16</v>
      </c>
      <c r="E1163" t="s">
        <v>574</v>
      </c>
      <c r="F1163" t="s">
        <v>26</v>
      </c>
      <c r="G1163" t="s">
        <v>4111</v>
      </c>
      <c r="H1163" s="15">
        <v>902700</v>
      </c>
      <c r="I1163" s="15">
        <v>0</v>
      </c>
      <c r="J1163" t="s">
        <v>20</v>
      </c>
      <c r="K1163" t="s">
        <v>28</v>
      </c>
      <c r="L1163" s="2">
        <v>43922</v>
      </c>
      <c r="M1163" t="s">
        <v>4112</v>
      </c>
      <c r="N1163">
        <v>0</v>
      </c>
      <c r="O1163" t="s">
        <v>4903</v>
      </c>
      <c r="P1163">
        <v>0</v>
      </c>
      <c r="Q1163" t="s">
        <v>4903</v>
      </c>
      <c r="R1163" t="s">
        <v>185</v>
      </c>
    </row>
    <row r="1164" spans="1:18" hidden="1" x14ac:dyDescent="0.25">
      <c r="A1164" t="s">
        <v>2727</v>
      </c>
      <c r="B1164" t="s">
        <v>47</v>
      </c>
      <c r="C1164" t="s">
        <v>48</v>
      </c>
      <c r="D1164" t="s">
        <v>16</v>
      </c>
      <c r="E1164" t="s">
        <v>574</v>
      </c>
      <c r="F1164" t="s">
        <v>42</v>
      </c>
      <c r="G1164" t="s">
        <v>2728</v>
      </c>
      <c r="H1164" s="15">
        <v>1090125</v>
      </c>
      <c r="I1164" s="15">
        <v>0</v>
      </c>
      <c r="J1164" t="s">
        <v>20</v>
      </c>
      <c r="K1164" t="s">
        <v>28</v>
      </c>
      <c r="L1164" s="2">
        <v>43922</v>
      </c>
      <c r="M1164" t="s">
        <v>2729</v>
      </c>
      <c r="N1164">
        <v>2</v>
      </c>
      <c r="O1164" t="s">
        <v>4903</v>
      </c>
      <c r="P1164">
        <v>0</v>
      </c>
      <c r="Q1164" t="s">
        <v>4903</v>
      </c>
      <c r="R1164" t="s">
        <v>2727</v>
      </c>
    </row>
    <row r="1165" spans="1:18" hidden="1" x14ac:dyDescent="0.25">
      <c r="A1165" t="s">
        <v>1666</v>
      </c>
      <c r="B1165" t="s">
        <v>61</v>
      </c>
      <c r="C1165" t="s">
        <v>62</v>
      </c>
      <c r="D1165" t="s">
        <v>16</v>
      </c>
      <c r="E1165" t="s">
        <v>574</v>
      </c>
      <c r="F1165" t="s">
        <v>18</v>
      </c>
      <c r="G1165" t="s">
        <v>1667</v>
      </c>
      <c r="H1165" s="15">
        <v>841500</v>
      </c>
      <c r="I1165" s="15">
        <v>0</v>
      </c>
      <c r="J1165" t="s">
        <v>20</v>
      </c>
      <c r="K1165" t="s">
        <v>65</v>
      </c>
      <c r="L1165" s="2">
        <v>43922</v>
      </c>
      <c r="M1165" t="s">
        <v>1668</v>
      </c>
      <c r="N1165">
        <v>0</v>
      </c>
      <c r="O1165" t="s">
        <v>4903</v>
      </c>
      <c r="P1165">
        <v>0</v>
      </c>
      <c r="Q1165" t="s">
        <v>4903</v>
      </c>
      <c r="R1165" t="s">
        <v>1666</v>
      </c>
    </row>
    <row r="1166" spans="1:18" hidden="1" x14ac:dyDescent="0.25">
      <c r="A1166" t="s">
        <v>2316</v>
      </c>
      <c r="B1166" t="s">
        <v>119</v>
      </c>
      <c r="C1166" t="s">
        <v>39</v>
      </c>
      <c r="D1166" t="s">
        <v>16</v>
      </c>
      <c r="E1166" t="s">
        <v>574</v>
      </c>
      <c r="F1166" t="s">
        <v>152</v>
      </c>
      <c r="G1166" t="s">
        <v>2317</v>
      </c>
      <c r="H1166" s="15">
        <v>902700</v>
      </c>
      <c r="I1166" s="15">
        <v>0</v>
      </c>
      <c r="J1166" t="s">
        <v>20</v>
      </c>
      <c r="K1166" t="s">
        <v>28</v>
      </c>
      <c r="L1166" s="2">
        <v>43922</v>
      </c>
      <c r="M1166" t="s">
        <v>2318</v>
      </c>
      <c r="N1166">
        <v>0</v>
      </c>
      <c r="O1166" t="s">
        <v>4903</v>
      </c>
      <c r="P1166">
        <v>0</v>
      </c>
      <c r="Q1166" t="s">
        <v>4903</v>
      </c>
      <c r="R1166" t="s">
        <v>2316</v>
      </c>
    </row>
    <row r="1167" spans="1:18" hidden="1" x14ac:dyDescent="0.25">
      <c r="A1167" t="s">
        <v>2635</v>
      </c>
      <c r="B1167" t="s">
        <v>24</v>
      </c>
      <c r="C1167" t="s">
        <v>15</v>
      </c>
      <c r="D1167" t="s">
        <v>16</v>
      </c>
      <c r="E1167" t="s">
        <v>574</v>
      </c>
      <c r="F1167" t="s">
        <v>140</v>
      </c>
      <c r="G1167" t="s">
        <v>2636</v>
      </c>
      <c r="H1167" s="15">
        <v>581400</v>
      </c>
      <c r="I1167" s="15">
        <v>0</v>
      </c>
      <c r="J1167" t="s">
        <v>154</v>
      </c>
      <c r="K1167" t="s">
        <v>28</v>
      </c>
      <c r="L1167" s="2">
        <v>43922</v>
      </c>
      <c r="M1167" t="s">
        <v>2637</v>
      </c>
      <c r="N1167">
        <v>0</v>
      </c>
      <c r="O1167" t="s">
        <v>4903</v>
      </c>
      <c r="P1167">
        <v>0</v>
      </c>
      <c r="Q1167" t="s">
        <v>4903</v>
      </c>
      <c r="R1167" t="s">
        <v>2635</v>
      </c>
    </row>
    <row r="1168" spans="1:18" hidden="1" x14ac:dyDescent="0.25">
      <c r="A1168" t="s">
        <v>2861</v>
      </c>
      <c r="B1168" t="s">
        <v>47</v>
      </c>
      <c r="C1168" t="s">
        <v>48</v>
      </c>
      <c r="D1168" t="s">
        <v>85</v>
      </c>
      <c r="E1168" t="s">
        <v>544</v>
      </c>
      <c r="F1168" t="s">
        <v>87</v>
      </c>
      <c r="G1168" t="s">
        <v>3093</v>
      </c>
      <c r="H1168" s="15">
        <v>361850</v>
      </c>
      <c r="I1168" s="15">
        <v>0</v>
      </c>
      <c r="J1168" t="s">
        <v>89</v>
      </c>
      <c r="K1168" t="s">
        <v>21</v>
      </c>
      <c r="L1168" s="2">
        <v>43922</v>
      </c>
      <c r="M1168" t="s">
        <v>3094</v>
      </c>
      <c r="N1168">
        <v>1</v>
      </c>
      <c r="O1168" t="s">
        <v>4903</v>
      </c>
      <c r="P1168">
        <v>0</v>
      </c>
      <c r="Q1168" t="s">
        <v>4903</v>
      </c>
      <c r="R1168" t="s">
        <v>2861</v>
      </c>
    </row>
    <row r="1169" spans="1:18" hidden="1" x14ac:dyDescent="0.25">
      <c r="A1169" t="s">
        <v>838</v>
      </c>
      <c r="B1169" t="s">
        <v>136</v>
      </c>
      <c r="C1169" t="s">
        <v>15</v>
      </c>
      <c r="D1169" t="s">
        <v>16</v>
      </c>
      <c r="E1169" t="s">
        <v>574</v>
      </c>
      <c r="F1169" t="s">
        <v>34</v>
      </c>
      <c r="G1169" t="s">
        <v>3402</v>
      </c>
      <c r="H1169" s="15">
        <v>803252</v>
      </c>
      <c r="I1169" s="15">
        <v>0</v>
      </c>
      <c r="J1169" t="s">
        <v>154</v>
      </c>
      <c r="K1169" t="s">
        <v>326</v>
      </c>
      <c r="L1169" s="2">
        <v>43922</v>
      </c>
      <c r="M1169" t="s">
        <v>3403</v>
      </c>
      <c r="N1169">
        <v>3</v>
      </c>
      <c r="O1169" t="s">
        <v>4903</v>
      </c>
      <c r="P1169">
        <v>0</v>
      </c>
      <c r="Q1169" t="s">
        <v>4903</v>
      </c>
      <c r="R1169" t="s">
        <v>838</v>
      </c>
    </row>
    <row r="1170" spans="1:18" hidden="1" x14ac:dyDescent="0.25">
      <c r="A1170" t="s">
        <v>4594</v>
      </c>
      <c r="B1170" t="s">
        <v>47</v>
      </c>
      <c r="C1170" t="s">
        <v>48</v>
      </c>
      <c r="D1170" t="s">
        <v>16</v>
      </c>
      <c r="E1170" t="s">
        <v>574</v>
      </c>
      <c r="F1170" t="s">
        <v>26</v>
      </c>
      <c r="G1170" t="s">
        <v>4595</v>
      </c>
      <c r="H1170" s="15">
        <v>952425</v>
      </c>
      <c r="I1170" s="15">
        <v>0</v>
      </c>
      <c r="J1170" t="s">
        <v>20</v>
      </c>
      <c r="K1170" t="s">
        <v>28</v>
      </c>
      <c r="L1170" s="2">
        <v>43922</v>
      </c>
      <c r="M1170" t="s">
        <v>4596</v>
      </c>
      <c r="N1170">
        <v>0</v>
      </c>
      <c r="O1170" t="s">
        <v>4903</v>
      </c>
      <c r="P1170">
        <v>0</v>
      </c>
      <c r="Q1170" t="s">
        <v>4903</v>
      </c>
      <c r="R1170" t="s">
        <v>4594</v>
      </c>
    </row>
    <row r="1171" spans="1:18" hidden="1" x14ac:dyDescent="0.25">
      <c r="A1171" t="s">
        <v>3736</v>
      </c>
      <c r="B1171" t="s">
        <v>2691</v>
      </c>
      <c r="C1171" t="s">
        <v>15</v>
      </c>
      <c r="D1171" t="s">
        <v>85</v>
      </c>
      <c r="E1171" t="s">
        <v>544</v>
      </c>
      <c r="F1171" t="s">
        <v>87</v>
      </c>
      <c r="G1171" t="s">
        <v>3737</v>
      </c>
      <c r="H1171" s="15">
        <v>174703</v>
      </c>
      <c r="I1171" s="15">
        <v>86730</v>
      </c>
      <c r="J1171" t="s">
        <v>89</v>
      </c>
      <c r="K1171" t="s">
        <v>74</v>
      </c>
      <c r="L1171" s="2">
        <v>43922</v>
      </c>
      <c r="M1171" t="s">
        <v>3738</v>
      </c>
      <c r="N1171">
        <v>0</v>
      </c>
      <c r="O1171" t="s">
        <v>4903</v>
      </c>
      <c r="P1171">
        <v>0</v>
      </c>
      <c r="Q1171" t="s">
        <v>4903</v>
      </c>
      <c r="R1171" t="s">
        <v>3736</v>
      </c>
    </row>
    <row r="1172" spans="1:18" hidden="1" x14ac:dyDescent="0.25">
      <c r="A1172" t="s">
        <v>3634</v>
      </c>
      <c r="B1172" t="s">
        <v>1020</v>
      </c>
      <c r="C1172" t="s">
        <v>15</v>
      </c>
      <c r="D1172" t="s">
        <v>16</v>
      </c>
      <c r="E1172" t="s">
        <v>399</v>
      </c>
      <c r="F1172" t="s">
        <v>34</v>
      </c>
      <c r="G1172" t="s">
        <v>3949</v>
      </c>
      <c r="H1172" s="15">
        <v>100000</v>
      </c>
      <c r="I1172" s="15">
        <v>0</v>
      </c>
      <c r="J1172" t="s">
        <v>44</v>
      </c>
      <c r="K1172" t="s">
        <v>21</v>
      </c>
      <c r="L1172" s="2">
        <v>43922</v>
      </c>
      <c r="M1172" t="s">
        <v>3950</v>
      </c>
      <c r="N1172">
        <v>0</v>
      </c>
      <c r="O1172" t="s">
        <v>4903</v>
      </c>
      <c r="P1172">
        <v>0</v>
      </c>
      <c r="Q1172" t="s">
        <v>4903</v>
      </c>
      <c r="R1172" t="s">
        <v>3634</v>
      </c>
    </row>
    <row r="1173" spans="1:18" hidden="1" x14ac:dyDescent="0.25">
      <c r="A1173" t="s">
        <v>3634</v>
      </c>
      <c r="B1173" t="s">
        <v>1020</v>
      </c>
      <c r="C1173" t="s">
        <v>15</v>
      </c>
      <c r="D1173" t="s">
        <v>16</v>
      </c>
      <c r="E1173" t="s">
        <v>574</v>
      </c>
      <c r="F1173" t="s">
        <v>34</v>
      </c>
      <c r="G1173" t="s">
        <v>3951</v>
      </c>
      <c r="H1173" s="15">
        <v>543152</v>
      </c>
      <c r="I1173" s="15">
        <v>0</v>
      </c>
      <c r="J1173" t="s">
        <v>154</v>
      </c>
      <c r="K1173" t="s">
        <v>21</v>
      </c>
      <c r="L1173" s="2">
        <v>43922</v>
      </c>
      <c r="M1173" t="s">
        <v>3952</v>
      </c>
      <c r="N1173">
        <v>0</v>
      </c>
      <c r="O1173" t="s">
        <v>4903</v>
      </c>
      <c r="P1173">
        <v>0</v>
      </c>
      <c r="Q1173" t="s">
        <v>4903</v>
      </c>
      <c r="R1173" t="s">
        <v>3634</v>
      </c>
    </row>
    <row r="1174" spans="1:18" hidden="1" x14ac:dyDescent="0.25">
      <c r="A1174" t="s">
        <v>1632</v>
      </c>
      <c r="B1174" t="s">
        <v>119</v>
      </c>
      <c r="C1174" t="s">
        <v>39</v>
      </c>
      <c r="D1174" t="s">
        <v>16</v>
      </c>
      <c r="E1174" t="s">
        <v>574</v>
      </c>
      <c r="F1174" t="s">
        <v>42</v>
      </c>
      <c r="G1174" t="s">
        <v>1633</v>
      </c>
      <c r="H1174" s="15">
        <v>573750</v>
      </c>
      <c r="I1174" s="15">
        <v>0</v>
      </c>
      <c r="J1174" t="s">
        <v>20</v>
      </c>
      <c r="K1174" t="s">
        <v>28</v>
      </c>
      <c r="L1174" s="2">
        <v>43922</v>
      </c>
      <c r="M1174" t="s">
        <v>1634</v>
      </c>
      <c r="N1174">
        <v>0</v>
      </c>
      <c r="O1174" t="s">
        <v>4903</v>
      </c>
      <c r="P1174">
        <v>0</v>
      </c>
      <c r="Q1174" t="s">
        <v>4903</v>
      </c>
      <c r="R1174" t="s">
        <v>1632</v>
      </c>
    </row>
    <row r="1175" spans="1:18" hidden="1" x14ac:dyDescent="0.25">
      <c r="A1175" t="s">
        <v>2629</v>
      </c>
      <c r="B1175" t="s">
        <v>47</v>
      </c>
      <c r="C1175" t="s">
        <v>48</v>
      </c>
      <c r="D1175" t="s">
        <v>16</v>
      </c>
      <c r="E1175" t="s">
        <v>574</v>
      </c>
      <c r="F1175" t="s">
        <v>42</v>
      </c>
      <c r="G1175" t="s">
        <v>4320</v>
      </c>
      <c r="H1175" s="15">
        <v>688500</v>
      </c>
      <c r="I1175" s="15">
        <v>0</v>
      </c>
      <c r="J1175" t="s">
        <v>89</v>
      </c>
      <c r="K1175" t="s">
        <v>28</v>
      </c>
      <c r="L1175" s="2">
        <v>43922</v>
      </c>
      <c r="M1175" t="s">
        <v>4321</v>
      </c>
      <c r="N1175">
        <v>0</v>
      </c>
      <c r="O1175" t="s">
        <v>4903</v>
      </c>
      <c r="P1175">
        <v>0</v>
      </c>
      <c r="Q1175" t="s">
        <v>4903</v>
      </c>
      <c r="R1175" t="s">
        <v>2629</v>
      </c>
    </row>
    <row r="1176" spans="1:18" hidden="1" x14ac:dyDescent="0.25">
      <c r="A1176" t="s">
        <v>4449</v>
      </c>
      <c r="B1176" t="s">
        <v>14</v>
      </c>
      <c r="C1176" t="s">
        <v>15</v>
      </c>
      <c r="D1176" t="s">
        <v>16</v>
      </c>
      <c r="E1176" t="s">
        <v>574</v>
      </c>
      <c r="F1176" t="s">
        <v>140</v>
      </c>
      <c r="G1176" t="s">
        <v>4450</v>
      </c>
      <c r="H1176" s="15">
        <v>984555</v>
      </c>
      <c r="I1176" s="15">
        <v>0</v>
      </c>
      <c r="J1176" t="s">
        <v>20</v>
      </c>
      <c r="K1176" t="s">
        <v>28</v>
      </c>
      <c r="L1176" s="2">
        <v>43922</v>
      </c>
      <c r="M1176" t="s">
        <v>4451</v>
      </c>
      <c r="N1176">
        <v>0</v>
      </c>
      <c r="O1176" t="s">
        <v>4903</v>
      </c>
      <c r="P1176">
        <v>0</v>
      </c>
      <c r="Q1176" t="s">
        <v>4903</v>
      </c>
      <c r="R1176" t="s">
        <v>4449</v>
      </c>
    </row>
    <row r="1177" spans="1:18" hidden="1" x14ac:dyDescent="0.25">
      <c r="A1177" t="s">
        <v>379</v>
      </c>
      <c r="B1177" t="s">
        <v>77</v>
      </c>
      <c r="C1177" t="s">
        <v>15</v>
      </c>
      <c r="D1177" t="s">
        <v>16</v>
      </c>
      <c r="E1177" t="s">
        <v>574</v>
      </c>
      <c r="F1177" t="s">
        <v>34</v>
      </c>
      <c r="G1177" t="s">
        <v>2051</v>
      </c>
      <c r="H1177" s="15">
        <v>722925</v>
      </c>
      <c r="I1177" s="15">
        <v>0</v>
      </c>
      <c r="J1177" t="s">
        <v>20</v>
      </c>
      <c r="K1177" t="s">
        <v>21</v>
      </c>
      <c r="L1177" s="2">
        <v>43922</v>
      </c>
      <c r="M1177" t="s">
        <v>2052</v>
      </c>
      <c r="N1177">
        <v>0</v>
      </c>
      <c r="O1177" t="s">
        <v>4903</v>
      </c>
      <c r="P1177">
        <v>0</v>
      </c>
      <c r="Q1177" t="s">
        <v>4903</v>
      </c>
      <c r="R1177" t="s">
        <v>379</v>
      </c>
    </row>
    <row r="1178" spans="1:18" hidden="1" x14ac:dyDescent="0.25">
      <c r="A1178" t="s">
        <v>610</v>
      </c>
      <c r="B1178" t="s">
        <v>24</v>
      </c>
      <c r="C1178" t="s">
        <v>15</v>
      </c>
      <c r="D1178" t="s">
        <v>16</v>
      </c>
      <c r="E1178" t="s">
        <v>574</v>
      </c>
      <c r="F1178" t="s">
        <v>34</v>
      </c>
      <c r="G1178" t="s">
        <v>4720</v>
      </c>
      <c r="H1178" s="15">
        <v>925650</v>
      </c>
      <c r="I1178" s="15">
        <v>0</v>
      </c>
      <c r="J1178" t="s">
        <v>20</v>
      </c>
      <c r="K1178" t="s">
        <v>28</v>
      </c>
      <c r="L1178" s="2">
        <v>43922</v>
      </c>
      <c r="M1178" t="s">
        <v>4721</v>
      </c>
      <c r="N1178">
        <v>0</v>
      </c>
      <c r="O1178" t="s">
        <v>4903</v>
      </c>
      <c r="P1178">
        <v>0</v>
      </c>
      <c r="Q1178" t="s">
        <v>4903</v>
      </c>
      <c r="R1178" t="s">
        <v>610</v>
      </c>
    </row>
    <row r="1179" spans="1:18" hidden="1" x14ac:dyDescent="0.25">
      <c r="A1179" t="s">
        <v>1753</v>
      </c>
      <c r="B1179" t="s">
        <v>84</v>
      </c>
      <c r="C1179" t="s">
        <v>15</v>
      </c>
      <c r="D1179" t="s">
        <v>16</v>
      </c>
      <c r="E1179" t="s">
        <v>574</v>
      </c>
      <c r="F1179" t="s">
        <v>18</v>
      </c>
      <c r="G1179" t="s">
        <v>4607</v>
      </c>
      <c r="H1179" s="15">
        <v>455176</v>
      </c>
      <c r="I1179" s="15">
        <v>0</v>
      </c>
      <c r="J1179" t="s">
        <v>154</v>
      </c>
      <c r="K1179" t="s">
        <v>28</v>
      </c>
      <c r="L1179" s="2">
        <v>43922</v>
      </c>
      <c r="M1179" t="s">
        <v>4608</v>
      </c>
      <c r="N1179">
        <v>0</v>
      </c>
      <c r="O1179" t="s">
        <v>4903</v>
      </c>
      <c r="P1179">
        <v>0</v>
      </c>
      <c r="Q1179" t="s">
        <v>4903</v>
      </c>
      <c r="R1179" t="s">
        <v>1753</v>
      </c>
    </row>
    <row r="1180" spans="1:18" hidden="1" x14ac:dyDescent="0.25">
      <c r="A1180" t="s">
        <v>1715</v>
      </c>
      <c r="B1180" t="s">
        <v>84</v>
      </c>
      <c r="C1180" t="s">
        <v>15</v>
      </c>
      <c r="D1180" t="s">
        <v>85</v>
      </c>
      <c r="E1180" t="s">
        <v>544</v>
      </c>
      <c r="F1180" t="s">
        <v>87</v>
      </c>
      <c r="G1180" t="s">
        <v>1716</v>
      </c>
      <c r="H1180" s="15">
        <v>551700</v>
      </c>
      <c r="I1180" s="15">
        <v>0</v>
      </c>
      <c r="J1180" t="s">
        <v>89</v>
      </c>
      <c r="K1180" t="s">
        <v>116</v>
      </c>
      <c r="L1180" s="2">
        <v>43922</v>
      </c>
      <c r="M1180" t="s">
        <v>1717</v>
      </c>
      <c r="N1180">
        <v>0</v>
      </c>
      <c r="O1180" t="s">
        <v>4903</v>
      </c>
      <c r="P1180">
        <v>0</v>
      </c>
      <c r="Q1180" t="s">
        <v>4903</v>
      </c>
      <c r="R1180" t="s">
        <v>1715</v>
      </c>
    </row>
    <row r="1181" spans="1:18" hidden="1" x14ac:dyDescent="0.25">
      <c r="A1181" t="s">
        <v>1295</v>
      </c>
      <c r="B1181" t="s">
        <v>84</v>
      </c>
      <c r="C1181" t="s">
        <v>15</v>
      </c>
      <c r="D1181" t="s">
        <v>85</v>
      </c>
      <c r="E1181" t="s">
        <v>544</v>
      </c>
      <c r="F1181" t="s">
        <v>87</v>
      </c>
      <c r="G1181" t="s">
        <v>1296</v>
      </c>
      <c r="H1181" s="15">
        <v>297385</v>
      </c>
      <c r="I1181" s="15">
        <v>4064</v>
      </c>
      <c r="J1181" t="s">
        <v>89</v>
      </c>
      <c r="K1181" t="s">
        <v>116</v>
      </c>
      <c r="L1181" s="2">
        <v>43922</v>
      </c>
      <c r="M1181" t="s">
        <v>1297</v>
      </c>
      <c r="N1181">
        <v>0</v>
      </c>
      <c r="O1181" t="s">
        <v>4903</v>
      </c>
      <c r="P1181">
        <v>0</v>
      </c>
      <c r="Q1181" t="s">
        <v>4903</v>
      </c>
      <c r="R1181" t="s">
        <v>1295</v>
      </c>
    </row>
    <row r="1182" spans="1:18" hidden="1" x14ac:dyDescent="0.25">
      <c r="A1182" t="s">
        <v>1097</v>
      </c>
      <c r="B1182" t="s">
        <v>47</v>
      </c>
      <c r="C1182" t="s">
        <v>48</v>
      </c>
      <c r="D1182" t="s">
        <v>16</v>
      </c>
      <c r="E1182" t="s">
        <v>574</v>
      </c>
      <c r="F1182" t="s">
        <v>26</v>
      </c>
      <c r="G1182" t="s">
        <v>2736</v>
      </c>
      <c r="H1182" s="15">
        <v>1193400</v>
      </c>
      <c r="I1182" s="15">
        <v>0</v>
      </c>
      <c r="J1182" t="s">
        <v>20</v>
      </c>
      <c r="K1182" t="s">
        <v>28</v>
      </c>
      <c r="L1182" s="2">
        <v>43922</v>
      </c>
      <c r="M1182" t="s">
        <v>2737</v>
      </c>
      <c r="N1182">
        <v>7</v>
      </c>
      <c r="O1182" t="s">
        <v>4903</v>
      </c>
      <c r="P1182">
        <v>0</v>
      </c>
      <c r="Q1182" t="s">
        <v>4903</v>
      </c>
      <c r="R1182" t="s">
        <v>1097</v>
      </c>
    </row>
    <row r="1183" spans="1:18" hidden="1" x14ac:dyDescent="0.25">
      <c r="A1183" t="s">
        <v>631</v>
      </c>
      <c r="B1183" t="s">
        <v>315</v>
      </c>
      <c r="C1183" t="s">
        <v>39</v>
      </c>
      <c r="D1183" t="s">
        <v>16</v>
      </c>
      <c r="E1183" t="s">
        <v>574</v>
      </c>
      <c r="F1183" t="s">
        <v>152</v>
      </c>
      <c r="G1183" t="s">
        <v>4466</v>
      </c>
      <c r="H1183" s="15">
        <v>673200</v>
      </c>
      <c r="I1183" s="15">
        <v>0</v>
      </c>
      <c r="J1183" t="s">
        <v>154</v>
      </c>
      <c r="K1183" t="s">
        <v>28</v>
      </c>
      <c r="L1183" s="2">
        <v>43922</v>
      </c>
      <c r="M1183" t="s">
        <v>4467</v>
      </c>
      <c r="N1183">
        <v>0</v>
      </c>
      <c r="O1183" t="s">
        <v>4903</v>
      </c>
      <c r="P1183">
        <v>0</v>
      </c>
      <c r="Q1183" t="s">
        <v>4903</v>
      </c>
      <c r="R1183" t="s">
        <v>631</v>
      </c>
    </row>
    <row r="1184" spans="1:18" hidden="1" x14ac:dyDescent="0.25">
      <c r="A1184" t="s">
        <v>3278</v>
      </c>
      <c r="B1184" t="s">
        <v>406</v>
      </c>
      <c r="C1184" t="s">
        <v>62</v>
      </c>
      <c r="D1184" t="s">
        <v>85</v>
      </c>
      <c r="E1184" t="s">
        <v>544</v>
      </c>
      <c r="F1184" t="s">
        <v>87</v>
      </c>
      <c r="G1184" t="s">
        <v>3279</v>
      </c>
      <c r="H1184" s="15">
        <v>387264</v>
      </c>
      <c r="I1184" s="15">
        <v>69700</v>
      </c>
      <c r="J1184" t="s">
        <v>89</v>
      </c>
      <c r="K1184" t="s">
        <v>21</v>
      </c>
      <c r="L1184" s="2">
        <v>43922</v>
      </c>
      <c r="M1184" t="s">
        <v>3280</v>
      </c>
      <c r="N1184">
        <v>0</v>
      </c>
      <c r="O1184" t="s">
        <v>4903</v>
      </c>
      <c r="P1184">
        <v>0</v>
      </c>
      <c r="Q1184" t="s">
        <v>4903</v>
      </c>
      <c r="R1184" t="s">
        <v>3278</v>
      </c>
    </row>
    <row r="1185" spans="1:18" hidden="1" x14ac:dyDescent="0.25">
      <c r="A1185" t="s">
        <v>4427</v>
      </c>
      <c r="B1185" t="s">
        <v>136</v>
      </c>
      <c r="C1185" t="s">
        <v>15</v>
      </c>
      <c r="D1185" t="s">
        <v>16</v>
      </c>
      <c r="E1185" t="s">
        <v>574</v>
      </c>
      <c r="F1185" t="s">
        <v>152</v>
      </c>
      <c r="G1185" t="s">
        <v>4428</v>
      </c>
      <c r="H1185" s="15">
        <v>979200</v>
      </c>
      <c r="I1185" s="15">
        <v>0</v>
      </c>
      <c r="J1185" t="s">
        <v>20</v>
      </c>
      <c r="K1185" t="s">
        <v>28</v>
      </c>
      <c r="L1185" s="2">
        <v>43922</v>
      </c>
      <c r="M1185" t="s">
        <v>4429</v>
      </c>
      <c r="N1185">
        <v>0</v>
      </c>
      <c r="O1185" t="s">
        <v>4903</v>
      </c>
      <c r="P1185">
        <v>0</v>
      </c>
      <c r="Q1185" t="s">
        <v>4903</v>
      </c>
      <c r="R1185" t="s">
        <v>4427</v>
      </c>
    </row>
    <row r="1186" spans="1:18" hidden="1" x14ac:dyDescent="0.25">
      <c r="A1186" t="s">
        <v>3512</v>
      </c>
      <c r="B1186" t="s">
        <v>38</v>
      </c>
      <c r="C1186" t="s">
        <v>39</v>
      </c>
      <c r="D1186" t="s">
        <v>16</v>
      </c>
      <c r="E1186" t="s">
        <v>574</v>
      </c>
      <c r="F1186" t="s">
        <v>18</v>
      </c>
      <c r="G1186" t="s">
        <v>3513</v>
      </c>
      <c r="H1186" s="15">
        <v>864450</v>
      </c>
      <c r="I1186" s="15">
        <v>0</v>
      </c>
      <c r="J1186" t="s">
        <v>20</v>
      </c>
      <c r="K1186" t="s">
        <v>65</v>
      </c>
      <c r="L1186" s="2">
        <v>43922</v>
      </c>
      <c r="M1186" t="s">
        <v>3514</v>
      </c>
      <c r="N1186">
        <v>0</v>
      </c>
      <c r="O1186" t="s">
        <v>4903</v>
      </c>
      <c r="P1186">
        <v>0</v>
      </c>
      <c r="Q1186" t="s">
        <v>4903</v>
      </c>
      <c r="R1186" t="s">
        <v>3512</v>
      </c>
    </row>
    <row r="1187" spans="1:18" hidden="1" x14ac:dyDescent="0.25">
      <c r="A1187" t="s">
        <v>4085</v>
      </c>
      <c r="B1187" t="s">
        <v>84</v>
      </c>
      <c r="C1187" t="s">
        <v>15</v>
      </c>
      <c r="D1187" t="s">
        <v>85</v>
      </c>
      <c r="E1187" t="s">
        <v>544</v>
      </c>
      <c r="F1187" t="s">
        <v>87</v>
      </c>
      <c r="G1187" t="s">
        <v>4086</v>
      </c>
      <c r="H1187" s="15">
        <v>450330</v>
      </c>
      <c r="I1187" s="15">
        <v>0</v>
      </c>
      <c r="J1187" t="s">
        <v>89</v>
      </c>
      <c r="K1187" t="s">
        <v>326</v>
      </c>
      <c r="L1187" s="2">
        <v>43922</v>
      </c>
      <c r="M1187" t="s">
        <v>4087</v>
      </c>
      <c r="N1187">
        <v>1</v>
      </c>
      <c r="O1187" t="s">
        <v>4903</v>
      </c>
      <c r="P1187">
        <v>0</v>
      </c>
      <c r="Q1187" t="s">
        <v>4903</v>
      </c>
      <c r="R1187" t="s">
        <v>4085</v>
      </c>
    </row>
    <row r="1188" spans="1:18" hidden="1" x14ac:dyDescent="0.25">
      <c r="A1188" t="s">
        <v>2980</v>
      </c>
      <c r="B1188" t="s">
        <v>14</v>
      </c>
      <c r="C1188" t="s">
        <v>15</v>
      </c>
      <c r="D1188" t="s">
        <v>16</v>
      </c>
      <c r="E1188" t="s">
        <v>574</v>
      </c>
      <c r="F1188" t="s">
        <v>152</v>
      </c>
      <c r="G1188" t="s">
        <v>2981</v>
      </c>
      <c r="H1188" s="15">
        <v>283051</v>
      </c>
      <c r="I1188" s="15">
        <v>0</v>
      </c>
      <c r="J1188" t="s">
        <v>89</v>
      </c>
      <c r="K1188" t="s">
        <v>28</v>
      </c>
      <c r="L1188" s="2">
        <v>43922</v>
      </c>
      <c r="M1188" t="s">
        <v>2982</v>
      </c>
      <c r="N1188">
        <v>0</v>
      </c>
      <c r="O1188" t="s">
        <v>4903</v>
      </c>
      <c r="P1188">
        <v>0</v>
      </c>
      <c r="Q1188" t="s">
        <v>4903</v>
      </c>
      <c r="R1188" t="s">
        <v>2980</v>
      </c>
    </row>
    <row r="1189" spans="1:18" hidden="1" x14ac:dyDescent="0.25">
      <c r="A1189" t="s">
        <v>1154</v>
      </c>
      <c r="B1189" t="s">
        <v>84</v>
      </c>
      <c r="C1189" t="s">
        <v>15</v>
      </c>
      <c r="D1189" t="s">
        <v>16</v>
      </c>
      <c r="E1189" t="s">
        <v>574</v>
      </c>
      <c r="F1189" t="s">
        <v>18</v>
      </c>
      <c r="G1189" t="s">
        <v>1672</v>
      </c>
      <c r="H1189" s="15">
        <v>852975</v>
      </c>
      <c r="I1189" s="15">
        <v>0</v>
      </c>
      <c r="J1189" t="s">
        <v>20</v>
      </c>
      <c r="K1189" t="s">
        <v>21</v>
      </c>
      <c r="L1189" s="2">
        <v>43922</v>
      </c>
      <c r="M1189" t="s">
        <v>1673</v>
      </c>
      <c r="N1189">
        <v>1</v>
      </c>
      <c r="O1189" t="s">
        <v>4903</v>
      </c>
      <c r="P1189">
        <v>0</v>
      </c>
      <c r="Q1189" t="s">
        <v>4903</v>
      </c>
      <c r="R1189" t="s">
        <v>1154</v>
      </c>
    </row>
    <row r="1190" spans="1:18" hidden="1" x14ac:dyDescent="0.25">
      <c r="A1190" t="s">
        <v>805</v>
      </c>
      <c r="B1190" t="s">
        <v>31</v>
      </c>
      <c r="C1190" t="s">
        <v>15</v>
      </c>
      <c r="D1190" t="s">
        <v>16</v>
      </c>
      <c r="E1190" t="s">
        <v>574</v>
      </c>
      <c r="F1190" t="s">
        <v>42</v>
      </c>
      <c r="G1190" t="s">
        <v>4601</v>
      </c>
      <c r="H1190" s="15">
        <v>807075</v>
      </c>
      <c r="I1190" s="15">
        <v>0</v>
      </c>
      <c r="J1190" t="s">
        <v>20</v>
      </c>
      <c r="K1190" t="s">
        <v>28</v>
      </c>
      <c r="L1190" s="2">
        <v>43922</v>
      </c>
      <c r="M1190" t="s">
        <v>4602</v>
      </c>
      <c r="N1190">
        <v>0</v>
      </c>
      <c r="O1190" t="s">
        <v>4903</v>
      </c>
      <c r="P1190">
        <v>0</v>
      </c>
      <c r="Q1190" t="s">
        <v>4903</v>
      </c>
      <c r="R1190" t="s">
        <v>805</v>
      </c>
    </row>
    <row r="1191" spans="1:18" hidden="1" x14ac:dyDescent="0.25">
      <c r="A1191" t="s">
        <v>573</v>
      </c>
      <c r="B1191" t="s">
        <v>103</v>
      </c>
      <c r="C1191" t="s">
        <v>15</v>
      </c>
      <c r="D1191" t="s">
        <v>16</v>
      </c>
      <c r="E1191" t="s">
        <v>574</v>
      </c>
      <c r="F1191" t="s">
        <v>18</v>
      </c>
      <c r="G1191" t="s">
        <v>575</v>
      </c>
      <c r="H1191" s="15">
        <v>761176</v>
      </c>
      <c r="I1191" s="15">
        <v>0</v>
      </c>
      <c r="J1191" t="s">
        <v>154</v>
      </c>
      <c r="K1191" t="s">
        <v>74</v>
      </c>
      <c r="L1191" s="2">
        <v>43922</v>
      </c>
      <c r="M1191" t="s">
        <v>576</v>
      </c>
      <c r="N1191">
        <v>0</v>
      </c>
      <c r="O1191" t="s">
        <v>4903</v>
      </c>
      <c r="P1191">
        <v>0</v>
      </c>
      <c r="Q1191" t="s">
        <v>4903</v>
      </c>
      <c r="R1191" t="s">
        <v>573</v>
      </c>
    </row>
    <row r="1192" spans="1:18" hidden="1" x14ac:dyDescent="0.25">
      <c r="A1192" t="s">
        <v>382</v>
      </c>
      <c r="B1192" t="s">
        <v>77</v>
      </c>
      <c r="C1192" t="s">
        <v>15</v>
      </c>
      <c r="D1192" t="s">
        <v>16</v>
      </c>
      <c r="E1192" t="s">
        <v>574</v>
      </c>
      <c r="F1192" t="s">
        <v>34</v>
      </c>
      <c r="G1192" t="s">
        <v>3505</v>
      </c>
      <c r="H1192" s="15">
        <v>891225</v>
      </c>
      <c r="I1192" s="15">
        <v>0</v>
      </c>
      <c r="J1192" t="s">
        <v>20</v>
      </c>
      <c r="K1192" t="s">
        <v>74</v>
      </c>
      <c r="L1192" s="2">
        <v>43922</v>
      </c>
      <c r="M1192" t="s">
        <v>3506</v>
      </c>
      <c r="N1192">
        <v>0</v>
      </c>
      <c r="O1192" t="s">
        <v>4903</v>
      </c>
      <c r="P1192">
        <v>0</v>
      </c>
      <c r="Q1192" t="s">
        <v>4903</v>
      </c>
      <c r="R1192" t="s">
        <v>382</v>
      </c>
    </row>
    <row r="1193" spans="1:18" hidden="1" x14ac:dyDescent="0.25">
      <c r="A1193" t="s">
        <v>2983</v>
      </c>
      <c r="B1193" t="s">
        <v>1020</v>
      </c>
      <c r="C1193" t="s">
        <v>15</v>
      </c>
      <c r="D1193" t="s">
        <v>16</v>
      </c>
      <c r="E1193" t="s">
        <v>574</v>
      </c>
      <c r="F1193" t="s">
        <v>34</v>
      </c>
      <c r="G1193" t="s">
        <v>2984</v>
      </c>
      <c r="H1193" s="15">
        <v>581246</v>
      </c>
      <c r="I1193" s="15">
        <v>0</v>
      </c>
      <c r="J1193" t="s">
        <v>89</v>
      </c>
      <c r="K1193" t="s">
        <v>21</v>
      </c>
      <c r="L1193" s="2">
        <v>43922</v>
      </c>
      <c r="M1193" t="s">
        <v>2985</v>
      </c>
      <c r="N1193">
        <v>1</v>
      </c>
      <c r="O1193" t="s">
        <v>4903</v>
      </c>
      <c r="P1193">
        <v>0</v>
      </c>
      <c r="Q1193" t="s">
        <v>4903</v>
      </c>
      <c r="R1193" t="s">
        <v>2983</v>
      </c>
    </row>
    <row r="1194" spans="1:18" hidden="1" x14ac:dyDescent="0.25">
      <c r="A1194" t="s">
        <v>1686</v>
      </c>
      <c r="B1194" t="s">
        <v>161</v>
      </c>
      <c r="C1194" t="s">
        <v>39</v>
      </c>
      <c r="D1194" t="s">
        <v>85</v>
      </c>
      <c r="E1194" t="s">
        <v>544</v>
      </c>
      <c r="F1194" t="s">
        <v>87</v>
      </c>
      <c r="G1194" t="s">
        <v>3276</v>
      </c>
      <c r="H1194" s="15">
        <v>278520</v>
      </c>
      <c r="I1194" s="15">
        <v>3500</v>
      </c>
      <c r="J1194" t="s">
        <v>89</v>
      </c>
      <c r="K1194" t="s">
        <v>21</v>
      </c>
      <c r="L1194" s="2">
        <v>43922</v>
      </c>
      <c r="M1194" t="s">
        <v>3277</v>
      </c>
      <c r="N1194">
        <v>0</v>
      </c>
      <c r="O1194" t="s">
        <v>4903</v>
      </c>
      <c r="P1194">
        <v>0</v>
      </c>
      <c r="Q1194" t="s">
        <v>4903</v>
      </c>
      <c r="R1194" t="s">
        <v>1686</v>
      </c>
    </row>
    <row r="1195" spans="1:18" hidden="1" x14ac:dyDescent="0.25">
      <c r="A1195" t="s">
        <v>3134</v>
      </c>
      <c r="B1195" t="s">
        <v>244</v>
      </c>
      <c r="C1195" t="s">
        <v>39</v>
      </c>
      <c r="D1195" t="s">
        <v>16</v>
      </c>
      <c r="E1195" t="s">
        <v>574</v>
      </c>
      <c r="F1195" t="s">
        <v>34</v>
      </c>
      <c r="G1195" t="s">
        <v>3135</v>
      </c>
      <c r="H1195" s="15">
        <v>579106</v>
      </c>
      <c r="I1195" s="15">
        <v>0</v>
      </c>
      <c r="J1195" t="s">
        <v>89</v>
      </c>
      <c r="K1195" t="s">
        <v>116</v>
      </c>
      <c r="L1195" s="2">
        <v>43922</v>
      </c>
      <c r="M1195" t="s">
        <v>3136</v>
      </c>
      <c r="N1195">
        <v>0</v>
      </c>
      <c r="O1195" t="s">
        <v>4903</v>
      </c>
      <c r="P1195">
        <v>0</v>
      </c>
      <c r="Q1195" t="s">
        <v>4903</v>
      </c>
      <c r="R1195" t="s">
        <v>3134</v>
      </c>
    </row>
    <row r="1196" spans="1:18" hidden="1" x14ac:dyDescent="0.25">
      <c r="A1196" t="s">
        <v>1531</v>
      </c>
      <c r="B1196" t="s">
        <v>635</v>
      </c>
      <c r="C1196" t="s">
        <v>39</v>
      </c>
      <c r="D1196" t="s">
        <v>16</v>
      </c>
      <c r="E1196" t="s">
        <v>574</v>
      </c>
      <c r="F1196" t="s">
        <v>26</v>
      </c>
      <c r="G1196" t="s">
        <v>1532</v>
      </c>
      <c r="H1196" s="15">
        <v>765000</v>
      </c>
      <c r="I1196" s="15">
        <v>0</v>
      </c>
      <c r="J1196" t="s">
        <v>20</v>
      </c>
      <c r="K1196" t="s">
        <v>28</v>
      </c>
      <c r="L1196" s="2">
        <v>43922</v>
      </c>
      <c r="M1196" t="s">
        <v>1533</v>
      </c>
      <c r="N1196">
        <v>0</v>
      </c>
      <c r="O1196" t="s">
        <v>4903</v>
      </c>
      <c r="P1196">
        <v>0</v>
      </c>
      <c r="Q1196" t="s">
        <v>4903</v>
      </c>
      <c r="R1196" t="s">
        <v>1531</v>
      </c>
    </row>
    <row r="1197" spans="1:18" hidden="1" x14ac:dyDescent="0.25">
      <c r="A1197" t="s">
        <v>777</v>
      </c>
      <c r="B1197" t="s">
        <v>244</v>
      </c>
      <c r="C1197" t="s">
        <v>39</v>
      </c>
      <c r="D1197" t="s">
        <v>16</v>
      </c>
      <c r="E1197" t="s">
        <v>574</v>
      </c>
      <c r="F1197" t="s">
        <v>26</v>
      </c>
      <c r="G1197" t="s">
        <v>778</v>
      </c>
      <c r="H1197" s="15">
        <v>948600</v>
      </c>
      <c r="I1197" s="15">
        <v>0</v>
      </c>
      <c r="J1197" t="s">
        <v>20</v>
      </c>
      <c r="K1197" t="s">
        <v>28</v>
      </c>
      <c r="L1197" s="2">
        <v>43922</v>
      </c>
      <c r="M1197" t="s">
        <v>779</v>
      </c>
      <c r="N1197">
        <v>0</v>
      </c>
      <c r="O1197" t="s">
        <v>4903</v>
      </c>
      <c r="P1197">
        <v>0</v>
      </c>
      <c r="Q1197" t="s">
        <v>4903</v>
      </c>
      <c r="R1197" t="s">
        <v>777</v>
      </c>
    </row>
    <row r="1198" spans="1:18" hidden="1" x14ac:dyDescent="0.25">
      <c r="A1198" t="s">
        <v>777</v>
      </c>
      <c r="B1198" t="s">
        <v>244</v>
      </c>
      <c r="C1198" t="s">
        <v>39</v>
      </c>
      <c r="D1198" t="s">
        <v>16</v>
      </c>
      <c r="E1198" t="s">
        <v>574</v>
      </c>
      <c r="F1198" t="s">
        <v>152</v>
      </c>
      <c r="G1198" t="s">
        <v>4643</v>
      </c>
      <c r="H1198" s="15">
        <v>975375</v>
      </c>
      <c r="I1198" s="15">
        <v>0</v>
      </c>
      <c r="J1198" t="s">
        <v>20</v>
      </c>
      <c r="K1198" t="s">
        <v>28</v>
      </c>
      <c r="L1198" s="2">
        <v>43922</v>
      </c>
      <c r="M1198" t="s">
        <v>4644</v>
      </c>
      <c r="N1198">
        <v>0</v>
      </c>
      <c r="O1198" t="s">
        <v>4903</v>
      </c>
      <c r="P1198">
        <v>0</v>
      </c>
      <c r="Q1198" t="s">
        <v>4903</v>
      </c>
      <c r="R1198" t="s">
        <v>777</v>
      </c>
    </row>
    <row r="1199" spans="1:18" hidden="1" x14ac:dyDescent="0.25">
      <c r="A1199" t="s">
        <v>3455</v>
      </c>
      <c r="B1199" t="s">
        <v>406</v>
      </c>
      <c r="C1199" t="s">
        <v>62</v>
      </c>
      <c r="D1199" t="s">
        <v>16</v>
      </c>
      <c r="E1199" t="s">
        <v>574</v>
      </c>
      <c r="F1199" t="s">
        <v>152</v>
      </c>
      <c r="G1199" t="s">
        <v>3459</v>
      </c>
      <c r="H1199" s="15">
        <v>940950</v>
      </c>
      <c r="I1199" s="15">
        <v>0</v>
      </c>
      <c r="J1199" t="s">
        <v>20</v>
      </c>
      <c r="K1199" t="s">
        <v>28</v>
      </c>
      <c r="L1199" s="2">
        <v>43922</v>
      </c>
      <c r="M1199" t="s">
        <v>3457</v>
      </c>
      <c r="N1199">
        <v>0</v>
      </c>
      <c r="O1199" t="s">
        <v>4903</v>
      </c>
      <c r="P1199">
        <v>0</v>
      </c>
      <c r="Q1199" t="s">
        <v>4903</v>
      </c>
      <c r="R1199" t="s">
        <v>3455</v>
      </c>
    </row>
    <row r="1200" spans="1:18" hidden="1" x14ac:dyDescent="0.25">
      <c r="A1200" t="s">
        <v>2329</v>
      </c>
      <c r="B1200" t="s">
        <v>47</v>
      </c>
      <c r="C1200" t="s">
        <v>48</v>
      </c>
      <c r="D1200" t="s">
        <v>85</v>
      </c>
      <c r="E1200" t="s">
        <v>544</v>
      </c>
      <c r="F1200" t="s">
        <v>87</v>
      </c>
      <c r="G1200" t="s">
        <v>2330</v>
      </c>
      <c r="H1200" s="15">
        <v>431290</v>
      </c>
      <c r="I1200" s="15">
        <v>0</v>
      </c>
      <c r="J1200" t="s">
        <v>89</v>
      </c>
      <c r="K1200" t="s">
        <v>21</v>
      </c>
      <c r="L1200" s="2">
        <v>43922</v>
      </c>
      <c r="M1200" t="s">
        <v>2331</v>
      </c>
      <c r="N1200">
        <v>3</v>
      </c>
      <c r="O1200" t="s">
        <v>4903</v>
      </c>
      <c r="P1200">
        <v>0</v>
      </c>
      <c r="Q1200" t="s">
        <v>4903</v>
      </c>
      <c r="R1200" t="s">
        <v>2329</v>
      </c>
    </row>
    <row r="1201" spans="1:18" hidden="1" x14ac:dyDescent="0.25">
      <c r="A1201" t="s">
        <v>922</v>
      </c>
      <c r="B1201" t="s">
        <v>923</v>
      </c>
      <c r="C1201" t="s">
        <v>15</v>
      </c>
      <c r="D1201" t="s">
        <v>85</v>
      </c>
      <c r="E1201" t="s">
        <v>544</v>
      </c>
      <c r="F1201" t="s">
        <v>87</v>
      </c>
      <c r="G1201" t="s">
        <v>924</v>
      </c>
      <c r="H1201" s="15">
        <v>280788</v>
      </c>
      <c r="I1201" s="15">
        <v>25000</v>
      </c>
      <c r="J1201" t="s">
        <v>89</v>
      </c>
      <c r="K1201" t="s">
        <v>21</v>
      </c>
      <c r="L1201" s="2">
        <v>43922</v>
      </c>
      <c r="M1201" t="s">
        <v>925</v>
      </c>
      <c r="N1201">
        <v>0</v>
      </c>
      <c r="O1201" t="s">
        <v>4903</v>
      </c>
      <c r="P1201">
        <v>0</v>
      </c>
      <c r="Q1201" t="s">
        <v>4903</v>
      </c>
      <c r="R1201" t="s">
        <v>922</v>
      </c>
    </row>
    <row r="1202" spans="1:18" hidden="1" x14ac:dyDescent="0.25">
      <c r="A1202" t="s">
        <v>2882</v>
      </c>
      <c r="B1202" t="s">
        <v>406</v>
      </c>
      <c r="C1202" t="s">
        <v>62</v>
      </c>
      <c r="D1202" t="s">
        <v>16</v>
      </c>
      <c r="E1202" t="s">
        <v>574</v>
      </c>
      <c r="F1202" t="s">
        <v>34</v>
      </c>
      <c r="G1202" t="s">
        <v>3400</v>
      </c>
      <c r="H1202" s="15">
        <v>551542</v>
      </c>
      <c r="I1202" s="15">
        <v>0</v>
      </c>
      <c r="J1202" t="s">
        <v>154</v>
      </c>
      <c r="K1202" t="s">
        <v>28</v>
      </c>
      <c r="L1202" s="2">
        <v>43922</v>
      </c>
      <c r="M1202" t="s">
        <v>3401</v>
      </c>
      <c r="N1202">
        <v>1</v>
      </c>
      <c r="O1202" t="s">
        <v>4903</v>
      </c>
      <c r="P1202">
        <v>0</v>
      </c>
      <c r="Q1202" t="s">
        <v>4903</v>
      </c>
      <c r="R1202" t="s">
        <v>2882</v>
      </c>
    </row>
    <row r="1203" spans="1:18" hidden="1" x14ac:dyDescent="0.25">
      <c r="A1203" t="s">
        <v>2082</v>
      </c>
      <c r="B1203" t="s">
        <v>47</v>
      </c>
      <c r="C1203" t="s">
        <v>48</v>
      </c>
      <c r="D1203" t="s">
        <v>16</v>
      </c>
      <c r="E1203" t="s">
        <v>574</v>
      </c>
      <c r="F1203" t="s">
        <v>26</v>
      </c>
      <c r="G1203" t="s">
        <v>4435</v>
      </c>
      <c r="H1203" s="15">
        <v>841500</v>
      </c>
      <c r="I1203" s="15">
        <v>0</v>
      </c>
      <c r="J1203" t="s">
        <v>20</v>
      </c>
      <c r="K1203" t="s">
        <v>28</v>
      </c>
      <c r="L1203" s="2">
        <v>43922</v>
      </c>
      <c r="M1203" t="s">
        <v>4436</v>
      </c>
      <c r="N1203">
        <v>0</v>
      </c>
      <c r="O1203" t="s">
        <v>4903</v>
      </c>
      <c r="P1203">
        <v>0</v>
      </c>
      <c r="Q1203" t="s">
        <v>4903</v>
      </c>
      <c r="R1203" t="s">
        <v>2082</v>
      </c>
    </row>
    <row r="1204" spans="1:18" x14ac:dyDescent="0.25">
      <c r="A1204" t="s">
        <v>1374</v>
      </c>
      <c r="B1204" t="s">
        <v>289</v>
      </c>
      <c r="C1204" t="s">
        <v>15</v>
      </c>
      <c r="D1204" t="s">
        <v>96</v>
      </c>
      <c r="E1204" t="s">
        <v>249</v>
      </c>
      <c r="F1204" t="s">
        <v>98</v>
      </c>
      <c r="G1204" t="s">
        <v>1375</v>
      </c>
      <c r="H1204" s="15">
        <v>968389</v>
      </c>
      <c r="I1204" s="15">
        <v>0</v>
      </c>
      <c r="J1204" t="s">
        <v>154</v>
      </c>
      <c r="K1204" t="s">
        <v>28</v>
      </c>
      <c r="L1204" s="2">
        <v>41000</v>
      </c>
      <c r="M1204" t="s">
        <v>1376</v>
      </c>
      <c r="N1204">
        <v>15</v>
      </c>
      <c r="O1204" t="s">
        <v>4808</v>
      </c>
      <c r="P1204">
        <v>1</v>
      </c>
      <c r="Q1204" t="s">
        <v>4809</v>
      </c>
      <c r="R1204" t="s">
        <v>1374</v>
      </c>
    </row>
    <row r="1205" spans="1:18" hidden="1" x14ac:dyDescent="0.25">
      <c r="A1205" t="s">
        <v>624</v>
      </c>
      <c r="B1205" t="s">
        <v>103</v>
      </c>
      <c r="C1205" t="s">
        <v>15</v>
      </c>
      <c r="D1205" t="s">
        <v>253</v>
      </c>
      <c r="E1205" t="s">
        <v>254</v>
      </c>
      <c r="F1205" t="s">
        <v>255</v>
      </c>
      <c r="G1205" t="s">
        <v>625</v>
      </c>
      <c r="H1205" s="15">
        <v>1089205</v>
      </c>
      <c r="I1205" s="15">
        <v>0</v>
      </c>
      <c r="J1205" t="s">
        <v>626</v>
      </c>
      <c r="K1205" t="s">
        <v>21</v>
      </c>
      <c r="L1205" s="2">
        <v>43983</v>
      </c>
      <c r="M1205" t="s">
        <v>627</v>
      </c>
      <c r="N1205">
        <v>0</v>
      </c>
      <c r="O1205" t="s">
        <v>4903</v>
      </c>
      <c r="P1205">
        <v>0</v>
      </c>
      <c r="Q1205" t="s">
        <v>4903</v>
      </c>
      <c r="R1205" t="s">
        <v>624</v>
      </c>
    </row>
    <row r="1206" spans="1:18" hidden="1" x14ac:dyDescent="0.25">
      <c r="A1206" t="s">
        <v>2581</v>
      </c>
      <c r="B1206" t="s">
        <v>3922</v>
      </c>
      <c r="C1206" t="s">
        <v>39</v>
      </c>
      <c r="D1206" t="s">
        <v>842</v>
      </c>
      <c r="E1206" t="s">
        <v>843</v>
      </c>
      <c r="F1206" t="s">
        <v>844</v>
      </c>
      <c r="G1206" t="s">
        <v>3923</v>
      </c>
      <c r="H1206" s="15">
        <v>622782</v>
      </c>
      <c r="I1206" s="15">
        <v>0</v>
      </c>
      <c r="J1206" t="s">
        <v>44</v>
      </c>
      <c r="K1206" t="s">
        <v>134</v>
      </c>
      <c r="L1206" s="2">
        <v>43983</v>
      </c>
      <c r="M1206" t="s">
        <v>3924</v>
      </c>
      <c r="N1206">
        <v>2</v>
      </c>
      <c r="O1206" t="s">
        <v>4903</v>
      </c>
      <c r="P1206">
        <v>0</v>
      </c>
      <c r="Q1206" t="s">
        <v>4903</v>
      </c>
      <c r="R1206" t="s">
        <v>2581</v>
      </c>
    </row>
    <row r="1207" spans="1:18" hidden="1" x14ac:dyDescent="0.25">
      <c r="A1207" t="s">
        <v>252</v>
      </c>
      <c r="B1207" t="s">
        <v>103</v>
      </c>
      <c r="C1207" t="s">
        <v>15</v>
      </c>
      <c r="D1207" t="s">
        <v>253</v>
      </c>
      <c r="E1207" t="s">
        <v>254</v>
      </c>
      <c r="F1207" t="s">
        <v>255</v>
      </c>
      <c r="G1207" t="s">
        <v>256</v>
      </c>
      <c r="H1207" s="15">
        <v>2972273</v>
      </c>
      <c r="I1207" s="15">
        <v>0</v>
      </c>
      <c r="J1207" t="s">
        <v>44</v>
      </c>
      <c r="K1207" t="s">
        <v>21</v>
      </c>
      <c r="L1207" s="2">
        <v>43983</v>
      </c>
      <c r="M1207" t="s">
        <v>257</v>
      </c>
      <c r="N1207">
        <v>0</v>
      </c>
      <c r="O1207" t="s">
        <v>4903</v>
      </c>
      <c r="P1207">
        <v>0</v>
      </c>
      <c r="Q1207" t="s">
        <v>4903</v>
      </c>
      <c r="R1207" t="s">
        <v>252</v>
      </c>
    </row>
    <row r="1208" spans="1:18" hidden="1" x14ac:dyDescent="0.25">
      <c r="A1208" t="s">
        <v>1484</v>
      </c>
      <c r="B1208" t="s">
        <v>1485</v>
      </c>
      <c r="C1208" t="s">
        <v>334</v>
      </c>
      <c r="D1208" t="s">
        <v>78</v>
      </c>
      <c r="E1208" t="s">
        <v>79</v>
      </c>
      <c r="F1208" t="s">
        <v>80</v>
      </c>
      <c r="G1208" t="s">
        <v>1486</v>
      </c>
      <c r="H1208" s="15">
        <v>937950</v>
      </c>
      <c r="I1208" s="15">
        <v>0</v>
      </c>
      <c r="J1208" t="s">
        <v>44</v>
      </c>
      <c r="K1208" t="s">
        <v>57</v>
      </c>
      <c r="L1208" s="2">
        <v>43983</v>
      </c>
      <c r="M1208" t="s">
        <v>1487</v>
      </c>
      <c r="N1208">
        <v>0</v>
      </c>
      <c r="O1208" t="s">
        <v>4903</v>
      </c>
      <c r="P1208">
        <v>0</v>
      </c>
      <c r="Q1208" t="s">
        <v>4903</v>
      </c>
      <c r="R1208" t="s">
        <v>1484</v>
      </c>
    </row>
    <row r="1209" spans="1:18" hidden="1" x14ac:dyDescent="0.25">
      <c r="A1209" t="s">
        <v>1374</v>
      </c>
      <c r="B1209" t="s">
        <v>289</v>
      </c>
      <c r="C1209" t="s">
        <v>15</v>
      </c>
      <c r="D1209" t="s">
        <v>842</v>
      </c>
      <c r="E1209" t="s">
        <v>843</v>
      </c>
      <c r="F1209" t="s">
        <v>844</v>
      </c>
      <c r="G1209" t="s">
        <v>1504</v>
      </c>
      <c r="H1209" s="15">
        <v>1936150</v>
      </c>
      <c r="I1209" s="15">
        <v>0</v>
      </c>
      <c r="J1209" t="s">
        <v>44</v>
      </c>
      <c r="K1209" t="s">
        <v>134</v>
      </c>
      <c r="L1209" s="2">
        <v>43983</v>
      </c>
      <c r="M1209" t="s">
        <v>1505</v>
      </c>
      <c r="N1209">
        <v>1</v>
      </c>
      <c r="O1209" t="s">
        <v>4903</v>
      </c>
      <c r="P1209">
        <v>0</v>
      </c>
      <c r="Q1209" t="s">
        <v>4903</v>
      </c>
      <c r="R1209" t="s">
        <v>1374</v>
      </c>
    </row>
    <row r="1210" spans="1:18" hidden="1" x14ac:dyDescent="0.25">
      <c r="A1210" t="s">
        <v>1006</v>
      </c>
      <c r="B1210" t="s">
        <v>47</v>
      </c>
      <c r="C1210" t="s">
        <v>48</v>
      </c>
      <c r="D1210" t="s">
        <v>253</v>
      </c>
      <c r="E1210" t="s">
        <v>254</v>
      </c>
      <c r="F1210" t="s">
        <v>255</v>
      </c>
      <c r="G1210" t="s">
        <v>1007</v>
      </c>
      <c r="H1210" s="15">
        <v>2109120</v>
      </c>
      <c r="I1210" s="15">
        <v>0</v>
      </c>
      <c r="J1210" t="s">
        <v>44</v>
      </c>
      <c r="K1210" t="s">
        <v>134</v>
      </c>
      <c r="L1210" s="2">
        <v>43983</v>
      </c>
      <c r="M1210" t="s">
        <v>1008</v>
      </c>
      <c r="N1210">
        <v>0</v>
      </c>
      <c r="O1210" t="s">
        <v>4903</v>
      </c>
      <c r="P1210">
        <v>0</v>
      </c>
      <c r="Q1210" t="s">
        <v>4903</v>
      </c>
      <c r="R1210" t="s">
        <v>1006</v>
      </c>
    </row>
    <row r="1211" spans="1:18" hidden="1" x14ac:dyDescent="0.25">
      <c r="A1211" t="s">
        <v>2434</v>
      </c>
      <c r="B1211" t="s">
        <v>520</v>
      </c>
      <c r="C1211" t="s">
        <v>521</v>
      </c>
      <c r="D1211" t="s">
        <v>253</v>
      </c>
      <c r="E1211" t="s">
        <v>254</v>
      </c>
      <c r="F1211" t="s">
        <v>255</v>
      </c>
      <c r="G1211" t="s">
        <v>2435</v>
      </c>
      <c r="H1211" s="15">
        <v>790162</v>
      </c>
      <c r="I1211" s="15">
        <v>0</v>
      </c>
      <c r="J1211" t="s">
        <v>44</v>
      </c>
      <c r="K1211" t="s">
        <v>134</v>
      </c>
      <c r="L1211" s="2">
        <v>43983</v>
      </c>
      <c r="M1211" t="s">
        <v>2436</v>
      </c>
      <c r="N1211">
        <v>0</v>
      </c>
      <c r="O1211" t="s">
        <v>4903</v>
      </c>
      <c r="P1211">
        <v>0</v>
      </c>
      <c r="Q1211" t="s">
        <v>4903</v>
      </c>
      <c r="R1211" t="s">
        <v>2434</v>
      </c>
    </row>
    <row r="1212" spans="1:18" hidden="1" x14ac:dyDescent="0.25">
      <c r="A1212" t="s">
        <v>1197</v>
      </c>
      <c r="B1212" t="s">
        <v>47</v>
      </c>
      <c r="C1212" t="s">
        <v>48</v>
      </c>
      <c r="D1212" t="s">
        <v>253</v>
      </c>
      <c r="E1212" t="s">
        <v>254</v>
      </c>
      <c r="F1212" t="s">
        <v>255</v>
      </c>
      <c r="G1212" t="s">
        <v>2611</v>
      </c>
      <c r="H1212" s="15">
        <v>237445</v>
      </c>
      <c r="I1212" s="15">
        <v>0</v>
      </c>
      <c r="J1212" t="s">
        <v>44</v>
      </c>
      <c r="K1212" t="s">
        <v>134</v>
      </c>
      <c r="L1212" s="2">
        <v>43983</v>
      </c>
      <c r="M1212" t="s">
        <v>2612</v>
      </c>
      <c r="N1212">
        <v>0</v>
      </c>
      <c r="O1212" t="s">
        <v>4903</v>
      </c>
      <c r="P1212">
        <v>0</v>
      </c>
      <c r="Q1212" t="s">
        <v>4903</v>
      </c>
      <c r="R1212" t="s">
        <v>1197</v>
      </c>
    </row>
    <row r="1213" spans="1:18" hidden="1" x14ac:dyDescent="0.25">
      <c r="A1213" t="s">
        <v>3460</v>
      </c>
      <c r="B1213" t="s">
        <v>406</v>
      </c>
      <c r="C1213" t="s">
        <v>62</v>
      </c>
      <c r="D1213" t="s">
        <v>78</v>
      </c>
      <c r="E1213" t="s">
        <v>79</v>
      </c>
      <c r="F1213" t="s">
        <v>80</v>
      </c>
      <c r="G1213" t="s">
        <v>3461</v>
      </c>
      <c r="H1213" s="15">
        <v>955694</v>
      </c>
      <c r="I1213" s="15">
        <v>0</v>
      </c>
      <c r="J1213" t="s">
        <v>44</v>
      </c>
      <c r="K1213" t="s">
        <v>134</v>
      </c>
      <c r="L1213" s="2">
        <v>43983</v>
      </c>
      <c r="M1213" t="s">
        <v>3462</v>
      </c>
      <c r="N1213">
        <v>0</v>
      </c>
      <c r="O1213" t="s">
        <v>4903</v>
      </c>
      <c r="P1213">
        <v>0</v>
      </c>
      <c r="Q1213" t="s">
        <v>4903</v>
      </c>
      <c r="R1213" t="s">
        <v>3460</v>
      </c>
    </row>
    <row r="1214" spans="1:18" hidden="1" x14ac:dyDescent="0.25">
      <c r="A1214" t="s">
        <v>3548</v>
      </c>
      <c r="B1214" t="s">
        <v>38</v>
      </c>
      <c r="C1214" t="s">
        <v>39</v>
      </c>
      <c r="D1214" t="s">
        <v>253</v>
      </c>
      <c r="E1214" t="s">
        <v>254</v>
      </c>
      <c r="F1214" t="s">
        <v>255</v>
      </c>
      <c r="G1214" t="s">
        <v>3549</v>
      </c>
      <c r="H1214" s="15">
        <v>4224996</v>
      </c>
      <c r="I1214" s="15">
        <v>0</v>
      </c>
      <c r="J1214" t="s">
        <v>44</v>
      </c>
      <c r="K1214" t="s">
        <v>326</v>
      </c>
      <c r="L1214" s="2">
        <v>43983</v>
      </c>
      <c r="M1214" t="s">
        <v>3550</v>
      </c>
      <c r="N1214">
        <v>0</v>
      </c>
      <c r="O1214" t="s">
        <v>4903</v>
      </c>
      <c r="P1214">
        <v>0</v>
      </c>
      <c r="Q1214" t="s">
        <v>4903</v>
      </c>
      <c r="R1214" t="s">
        <v>3548</v>
      </c>
    </row>
    <row r="1215" spans="1:18" hidden="1" x14ac:dyDescent="0.25">
      <c r="A1215" t="s">
        <v>3958</v>
      </c>
      <c r="B1215" t="s">
        <v>14</v>
      </c>
      <c r="C1215" t="s">
        <v>15</v>
      </c>
      <c r="D1215" t="s">
        <v>253</v>
      </c>
      <c r="E1215" t="s">
        <v>254</v>
      </c>
      <c r="F1215" t="s">
        <v>255</v>
      </c>
      <c r="G1215" t="s">
        <v>3959</v>
      </c>
      <c r="H1215" s="15">
        <v>664145</v>
      </c>
      <c r="I1215" s="15">
        <v>0</v>
      </c>
      <c r="J1215" t="s">
        <v>44</v>
      </c>
      <c r="K1215" t="s">
        <v>21</v>
      </c>
      <c r="L1215" s="2">
        <v>43983</v>
      </c>
      <c r="M1215" t="s">
        <v>3960</v>
      </c>
      <c r="N1215">
        <v>0</v>
      </c>
      <c r="O1215" t="s">
        <v>4903</v>
      </c>
      <c r="P1215">
        <v>0</v>
      </c>
      <c r="Q1215" t="s">
        <v>4903</v>
      </c>
      <c r="R1215" t="s">
        <v>3958</v>
      </c>
    </row>
    <row r="1216" spans="1:18" hidden="1" x14ac:dyDescent="0.25">
      <c r="A1216" t="s">
        <v>516</v>
      </c>
      <c r="B1216" t="s">
        <v>103</v>
      </c>
      <c r="C1216" t="s">
        <v>15</v>
      </c>
      <c r="D1216" t="s">
        <v>253</v>
      </c>
      <c r="E1216" t="s">
        <v>254</v>
      </c>
      <c r="F1216" t="s">
        <v>255</v>
      </c>
      <c r="G1216" t="s">
        <v>517</v>
      </c>
      <c r="H1216" s="15">
        <v>2937119</v>
      </c>
      <c r="I1216" s="15">
        <v>0</v>
      </c>
      <c r="J1216" t="s">
        <v>44</v>
      </c>
      <c r="K1216" t="s">
        <v>134</v>
      </c>
      <c r="L1216" s="2">
        <v>43983</v>
      </c>
      <c r="M1216" t="s">
        <v>518</v>
      </c>
      <c r="N1216">
        <v>0</v>
      </c>
      <c r="O1216" t="s">
        <v>4903</v>
      </c>
      <c r="P1216">
        <v>0</v>
      </c>
      <c r="Q1216" t="s">
        <v>4903</v>
      </c>
      <c r="R1216" t="s">
        <v>516</v>
      </c>
    </row>
    <row r="1217" spans="1:18" hidden="1" x14ac:dyDescent="0.25">
      <c r="A1217" t="s">
        <v>4736</v>
      </c>
      <c r="B1217" t="s">
        <v>333</v>
      </c>
      <c r="C1217" t="s">
        <v>334</v>
      </c>
      <c r="D1217" t="s">
        <v>842</v>
      </c>
      <c r="E1217" t="s">
        <v>843</v>
      </c>
      <c r="F1217" t="s">
        <v>844</v>
      </c>
      <c r="G1217" t="s">
        <v>4737</v>
      </c>
      <c r="H1217" s="15">
        <v>1459325</v>
      </c>
      <c r="I1217" s="15">
        <v>0</v>
      </c>
      <c r="J1217" t="s">
        <v>44</v>
      </c>
      <c r="K1217" t="s">
        <v>134</v>
      </c>
      <c r="L1217" s="2">
        <v>43983</v>
      </c>
      <c r="M1217" t="s">
        <v>4738</v>
      </c>
      <c r="N1217">
        <v>0</v>
      </c>
      <c r="O1217" t="s">
        <v>4903</v>
      </c>
      <c r="P1217">
        <v>0</v>
      </c>
      <c r="Q1217" t="s">
        <v>4903</v>
      </c>
      <c r="R1217" t="s">
        <v>4736</v>
      </c>
    </row>
    <row r="1218" spans="1:18" hidden="1" x14ac:dyDescent="0.25">
      <c r="A1218" t="s">
        <v>1045</v>
      </c>
      <c r="B1218" t="s">
        <v>126</v>
      </c>
      <c r="C1218" t="s">
        <v>39</v>
      </c>
      <c r="D1218" t="s">
        <v>253</v>
      </c>
      <c r="E1218" t="s">
        <v>254</v>
      </c>
      <c r="F1218" t="s">
        <v>255</v>
      </c>
      <c r="G1218" t="s">
        <v>1046</v>
      </c>
      <c r="H1218" s="15">
        <v>226625</v>
      </c>
      <c r="I1218" s="15">
        <v>0</v>
      </c>
      <c r="J1218" t="s">
        <v>44</v>
      </c>
      <c r="K1218" t="s">
        <v>134</v>
      </c>
      <c r="L1218" s="2">
        <v>43983</v>
      </c>
      <c r="M1218" t="s">
        <v>1047</v>
      </c>
      <c r="N1218">
        <v>0</v>
      </c>
      <c r="O1218" t="s">
        <v>4903</v>
      </c>
      <c r="P1218">
        <v>0</v>
      </c>
      <c r="Q1218" t="s">
        <v>4903</v>
      </c>
      <c r="R1218" t="s">
        <v>1045</v>
      </c>
    </row>
    <row r="1219" spans="1:18" hidden="1" x14ac:dyDescent="0.25">
      <c r="A1219" t="s">
        <v>1488</v>
      </c>
      <c r="B1219" t="s">
        <v>244</v>
      </c>
      <c r="C1219" t="s">
        <v>39</v>
      </c>
      <c r="D1219" t="s">
        <v>253</v>
      </c>
      <c r="E1219" t="s">
        <v>254</v>
      </c>
      <c r="F1219" t="s">
        <v>255</v>
      </c>
      <c r="G1219" t="s">
        <v>1489</v>
      </c>
      <c r="H1219" s="15">
        <v>360377</v>
      </c>
      <c r="I1219" s="15">
        <v>0</v>
      </c>
      <c r="J1219" t="s">
        <v>44</v>
      </c>
      <c r="K1219" t="s">
        <v>134</v>
      </c>
      <c r="L1219" s="2">
        <v>43983</v>
      </c>
      <c r="M1219" t="s">
        <v>1490</v>
      </c>
      <c r="N1219">
        <v>0</v>
      </c>
      <c r="O1219" t="s">
        <v>4903</v>
      </c>
      <c r="P1219">
        <v>0</v>
      </c>
      <c r="Q1219" t="s">
        <v>4903</v>
      </c>
      <c r="R1219" t="s">
        <v>1488</v>
      </c>
    </row>
    <row r="1220" spans="1:18" hidden="1" x14ac:dyDescent="0.25">
      <c r="A1220" t="s">
        <v>1023</v>
      </c>
      <c r="B1220" t="s">
        <v>47</v>
      </c>
      <c r="C1220" t="s">
        <v>48</v>
      </c>
      <c r="D1220" t="s">
        <v>253</v>
      </c>
      <c r="E1220" t="s">
        <v>254</v>
      </c>
      <c r="F1220" t="s">
        <v>255</v>
      </c>
      <c r="G1220" t="s">
        <v>1024</v>
      </c>
      <c r="H1220" s="15">
        <v>172414</v>
      </c>
      <c r="I1220" s="15">
        <v>0</v>
      </c>
      <c r="J1220" t="s">
        <v>44</v>
      </c>
      <c r="K1220" t="s">
        <v>57</v>
      </c>
      <c r="L1220" s="2">
        <v>43983</v>
      </c>
      <c r="M1220" t="s">
        <v>1025</v>
      </c>
      <c r="N1220">
        <v>0</v>
      </c>
      <c r="O1220" t="s">
        <v>4903</v>
      </c>
      <c r="P1220">
        <v>0</v>
      </c>
      <c r="Q1220" t="s">
        <v>4903</v>
      </c>
      <c r="R1220" t="s">
        <v>1023</v>
      </c>
    </row>
    <row r="1221" spans="1:18" hidden="1" x14ac:dyDescent="0.25">
      <c r="A1221" t="s">
        <v>1528</v>
      </c>
      <c r="B1221" t="s">
        <v>47</v>
      </c>
      <c r="C1221" t="s">
        <v>48</v>
      </c>
      <c r="D1221" t="s">
        <v>78</v>
      </c>
      <c r="E1221" t="s">
        <v>79</v>
      </c>
      <c r="F1221" t="s">
        <v>80</v>
      </c>
      <c r="G1221" t="s">
        <v>1529</v>
      </c>
      <c r="H1221" s="15">
        <v>422084</v>
      </c>
      <c r="I1221" s="15">
        <v>0</v>
      </c>
      <c r="J1221" t="s">
        <v>44</v>
      </c>
      <c r="K1221" t="s">
        <v>134</v>
      </c>
      <c r="L1221" s="2">
        <v>43983</v>
      </c>
      <c r="M1221" t="s">
        <v>1530</v>
      </c>
      <c r="N1221">
        <v>0</v>
      </c>
      <c r="O1221" t="s">
        <v>4903</v>
      </c>
      <c r="P1221">
        <v>0</v>
      </c>
      <c r="Q1221" t="s">
        <v>4903</v>
      </c>
      <c r="R1221" t="s">
        <v>1528</v>
      </c>
    </row>
    <row r="1222" spans="1:18" hidden="1" x14ac:dyDescent="0.25">
      <c r="A1222" t="s">
        <v>262</v>
      </c>
      <c r="B1222" t="s">
        <v>14</v>
      </c>
      <c r="C1222" t="s">
        <v>15</v>
      </c>
      <c r="D1222" t="s">
        <v>253</v>
      </c>
      <c r="E1222" t="s">
        <v>254</v>
      </c>
      <c r="F1222" t="s">
        <v>255</v>
      </c>
      <c r="G1222" t="s">
        <v>263</v>
      </c>
      <c r="H1222" s="15">
        <v>887006</v>
      </c>
      <c r="I1222" s="15">
        <v>0</v>
      </c>
      <c r="J1222" t="s">
        <v>44</v>
      </c>
      <c r="K1222" t="s">
        <v>134</v>
      </c>
      <c r="L1222" s="2">
        <v>43983</v>
      </c>
      <c r="M1222" t="s">
        <v>264</v>
      </c>
      <c r="N1222">
        <v>0</v>
      </c>
      <c r="O1222" t="s">
        <v>4903</v>
      </c>
      <c r="P1222">
        <v>0</v>
      </c>
      <c r="Q1222" t="s">
        <v>4903</v>
      </c>
      <c r="R1222" t="s">
        <v>262</v>
      </c>
    </row>
    <row r="1223" spans="1:18" hidden="1" x14ac:dyDescent="0.25">
      <c r="A1223" t="s">
        <v>1048</v>
      </c>
      <c r="B1223" t="s">
        <v>103</v>
      </c>
      <c r="C1223" t="s">
        <v>15</v>
      </c>
      <c r="D1223" t="s">
        <v>78</v>
      </c>
      <c r="E1223" t="s">
        <v>79</v>
      </c>
      <c r="F1223" t="s">
        <v>80</v>
      </c>
      <c r="G1223" t="s">
        <v>1049</v>
      </c>
      <c r="H1223" s="15">
        <v>1173325</v>
      </c>
      <c r="I1223" s="15">
        <v>0</v>
      </c>
      <c r="J1223" t="s">
        <v>44</v>
      </c>
      <c r="K1223" t="s">
        <v>21</v>
      </c>
      <c r="L1223" s="2">
        <v>43983</v>
      </c>
      <c r="M1223" t="s">
        <v>1050</v>
      </c>
      <c r="N1223">
        <v>0</v>
      </c>
      <c r="O1223" t="s">
        <v>4903</v>
      </c>
      <c r="P1223">
        <v>0</v>
      </c>
      <c r="Q1223" t="s">
        <v>4903</v>
      </c>
      <c r="R1223" t="s">
        <v>1048</v>
      </c>
    </row>
    <row r="1224" spans="1:18" hidden="1" x14ac:dyDescent="0.25">
      <c r="A1224" t="s">
        <v>2265</v>
      </c>
      <c r="B1224" t="s">
        <v>61</v>
      </c>
      <c r="C1224" t="s">
        <v>62</v>
      </c>
      <c r="D1224" t="s">
        <v>253</v>
      </c>
      <c r="E1224" t="s">
        <v>254</v>
      </c>
      <c r="F1224" t="s">
        <v>255</v>
      </c>
      <c r="G1224" t="s">
        <v>2266</v>
      </c>
      <c r="H1224" s="15">
        <v>1271404</v>
      </c>
      <c r="I1224" s="15">
        <v>0</v>
      </c>
      <c r="J1224" t="s">
        <v>44</v>
      </c>
      <c r="K1224" t="s">
        <v>134</v>
      </c>
      <c r="L1224" s="2">
        <v>43983</v>
      </c>
      <c r="M1224" t="s">
        <v>2267</v>
      </c>
      <c r="N1224">
        <v>0</v>
      </c>
      <c r="O1224" t="s">
        <v>4903</v>
      </c>
      <c r="P1224">
        <v>0</v>
      </c>
      <c r="Q1224" t="s">
        <v>4903</v>
      </c>
      <c r="R1224" t="s">
        <v>2265</v>
      </c>
    </row>
    <row r="1225" spans="1:18" hidden="1" x14ac:dyDescent="0.25">
      <c r="A1225" t="s">
        <v>493</v>
      </c>
      <c r="B1225" t="s">
        <v>471</v>
      </c>
      <c r="C1225" t="s">
        <v>15</v>
      </c>
      <c r="D1225" t="s">
        <v>78</v>
      </c>
      <c r="E1225" t="s">
        <v>79</v>
      </c>
      <c r="F1225" t="s">
        <v>80</v>
      </c>
      <c r="G1225" t="s">
        <v>494</v>
      </c>
      <c r="H1225" s="15">
        <v>2112500</v>
      </c>
      <c r="I1225" s="15">
        <v>0</v>
      </c>
      <c r="J1225" t="s">
        <v>44</v>
      </c>
      <c r="K1225" t="s">
        <v>134</v>
      </c>
      <c r="L1225" s="2">
        <v>43983</v>
      </c>
      <c r="M1225" t="s">
        <v>495</v>
      </c>
      <c r="N1225">
        <v>0</v>
      </c>
      <c r="O1225" t="s">
        <v>4903</v>
      </c>
      <c r="P1225">
        <v>0</v>
      </c>
      <c r="Q1225" t="s">
        <v>4903</v>
      </c>
      <c r="R1225" t="s">
        <v>493</v>
      </c>
    </row>
    <row r="1226" spans="1:18" hidden="1" x14ac:dyDescent="0.25">
      <c r="A1226" t="s">
        <v>736</v>
      </c>
      <c r="B1226" t="s">
        <v>333</v>
      </c>
      <c r="C1226" t="s">
        <v>334</v>
      </c>
      <c r="D1226" t="s">
        <v>253</v>
      </c>
      <c r="E1226" t="s">
        <v>254</v>
      </c>
      <c r="F1226" t="s">
        <v>255</v>
      </c>
      <c r="G1226" t="s">
        <v>737</v>
      </c>
      <c r="H1226" s="15">
        <v>267258</v>
      </c>
      <c r="I1226" s="15">
        <v>0</v>
      </c>
      <c r="J1226" t="s">
        <v>44</v>
      </c>
      <c r="K1226" t="s">
        <v>134</v>
      </c>
      <c r="L1226" s="2">
        <v>43983</v>
      </c>
      <c r="M1226" t="s">
        <v>738</v>
      </c>
      <c r="N1226">
        <v>0</v>
      </c>
      <c r="O1226" t="s">
        <v>4903</v>
      </c>
      <c r="P1226">
        <v>0</v>
      </c>
      <c r="Q1226" t="s">
        <v>4903</v>
      </c>
      <c r="R1226" t="s">
        <v>736</v>
      </c>
    </row>
    <row r="1227" spans="1:18" hidden="1" x14ac:dyDescent="0.25">
      <c r="A1227" t="s">
        <v>3295</v>
      </c>
      <c r="B1227" t="s">
        <v>406</v>
      </c>
      <c r="C1227" t="s">
        <v>62</v>
      </c>
      <c r="D1227" t="s">
        <v>253</v>
      </c>
      <c r="E1227" t="s">
        <v>254</v>
      </c>
      <c r="F1227" t="s">
        <v>255</v>
      </c>
      <c r="G1227" t="s">
        <v>3296</v>
      </c>
      <c r="H1227" s="15">
        <v>585228</v>
      </c>
      <c r="I1227" s="15">
        <v>0</v>
      </c>
      <c r="J1227" t="s">
        <v>44</v>
      </c>
      <c r="K1227" t="s">
        <v>134</v>
      </c>
      <c r="L1227" s="2">
        <v>43983</v>
      </c>
      <c r="M1227" t="s">
        <v>3297</v>
      </c>
      <c r="N1227">
        <v>3</v>
      </c>
      <c r="O1227" t="s">
        <v>4903</v>
      </c>
      <c r="P1227">
        <v>0</v>
      </c>
      <c r="Q1227" t="s">
        <v>4903</v>
      </c>
      <c r="R1227" t="s">
        <v>3295</v>
      </c>
    </row>
    <row r="1228" spans="1:18" hidden="1" x14ac:dyDescent="0.25">
      <c r="A1228" t="s">
        <v>265</v>
      </c>
      <c r="B1228" t="s">
        <v>103</v>
      </c>
      <c r="C1228" t="s">
        <v>15</v>
      </c>
      <c r="D1228" t="s">
        <v>78</v>
      </c>
      <c r="E1228" t="s">
        <v>79</v>
      </c>
      <c r="F1228" t="s">
        <v>80</v>
      </c>
      <c r="G1228" t="s">
        <v>266</v>
      </c>
      <c r="H1228" s="15">
        <v>1314083</v>
      </c>
      <c r="I1228" s="15">
        <v>0</v>
      </c>
      <c r="J1228" t="s">
        <v>44</v>
      </c>
      <c r="K1228" t="s">
        <v>134</v>
      </c>
      <c r="L1228" s="2">
        <v>43983</v>
      </c>
      <c r="M1228" t="s">
        <v>267</v>
      </c>
      <c r="N1228">
        <v>9</v>
      </c>
      <c r="O1228" t="s">
        <v>4903</v>
      </c>
      <c r="P1228">
        <v>0</v>
      </c>
      <c r="Q1228" t="s">
        <v>4903</v>
      </c>
      <c r="R1228" t="s">
        <v>265</v>
      </c>
    </row>
    <row r="1229" spans="1:18" hidden="1" x14ac:dyDescent="0.25">
      <c r="A1229" t="s">
        <v>76</v>
      </c>
      <c r="B1229" t="s">
        <v>77</v>
      </c>
      <c r="C1229" t="s">
        <v>15</v>
      </c>
      <c r="D1229" t="s">
        <v>78</v>
      </c>
      <c r="E1229" t="s">
        <v>79</v>
      </c>
      <c r="F1229" t="s">
        <v>80</v>
      </c>
      <c r="G1229" t="s">
        <v>81</v>
      </c>
      <c r="H1229" s="15">
        <v>583472</v>
      </c>
      <c r="I1229" s="15">
        <v>0</v>
      </c>
      <c r="J1229" t="s">
        <v>44</v>
      </c>
      <c r="K1229" t="s">
        <v>21</v>
      </c>
      <c r="L1229" s="2">
        <v>43983</v>
      </c>
      <c r="M1229" t="s">
        <v>82</v>
      </c>
      <c r="N1229">
        <v>0</v>
      </c>
      <c r="O1229" t="s">
        <v>4903</v>
      </c>
      <c r="P1229">
        <v>0</v>
      </c>
      <c r="Q1229" t="s">
        <v>4903</v>
      </c>
      <c r="R1229" t="s">
        <v>76</v>
      </c>
    </row>
    <row r="1230" spans="1:18" hidden="1" x14ac:dyDescent="0.25">
      <c r="A1230" t="s">
        <v>1481</v>
      </c>
      <c r="B1230" t="s">
        <v>84</v>
      </c>
      <c r="C1230" t="s">
        <v>15</v>
      </c>
      <c r="D1230" t="s">
        <v>842</v>
      </c>
      <c r="E1230" t="s">
        <v>843</v>
      </c>
      <c r="F1230" t="s">
        <v>844</v>
      </c>
      <c r="G1230" t="s">
        <v>1482</v>
      </c>
      <c r="H1230" s="15">
        <v>416483</v>
      </c>
      <c r="I1230" s="15">
        <v>0</v>
      </c>
      <c r="J1230" t="s">
        <v>44</v>
      </c>
      <c r="K1230" t="s">
        <v>134</v>
      </c>
      <c r="L1230" s="2">
        <v>43983</v>
      </c>
      <c r="M1230" t="s">
        <v>1483</v>
      </c>
      <c r="N1230">
        <v>2</v>
      </c>
      <c r="O1230" t="s">
        <v>4903</v>
      </c>
      <c r="P1230">
        <v>0</v>
      </c>
      <c r="Q1230" t="s">
        <v>4903</v>
      </c>
      <c r="R1230" t="s">
        <v>1481</v>
      </c>
    </row>
    <row r="1231" spans="1:18" hidden="1" x14ac:dyDescent="0.25">
      <c r="A1231" t="s">
        <v>1382</v>
      </c>
      <c r="B1231" t="s">
        <v>84</v>
      </c>
      <c r="C1231" t="s">
        <v>15</v>
      </c>
      <c r="D1231" t="s">
        <v>78</v>
      </c>
      <c r="E1231" t="s">
        <v>79</v>
      </c>
      <c r="F1231" t="s">
        <v>80</v>
      </c>
      <c r="G1231" t="s">
        <v>1383</v>
      </c>
      <c r="H1231" s="15">
        <v>179140</v>
      </c>
      <c r="I1231" s="15">
        <v>0</v>
      </c>
      <c r="J1231" t="s">
        <v>44</v>
      </c>
      <c r="K1231" t="s">
        <v>134</v>
      </c>
      <c r="L1231" s="2">
        <v>43983</v>
      </c>
      <c r="M1231" t="s">
        <v>1384</v>
      </c>
      <c r="N1231">
        <v>0</v>
      </c>
      <c r="O1231" t="s">
        <v>4903</v>
      </c>
      <c r="P1231">
        <v>0</v>
      </c>
      <c r="Q1231" t="s">
        <v>4903</v>
      </c>
      <c r="R1231" t="s">
        <v>1382</v>
      </c>
    </row>
    <row r="1232" spans="1:18" hidden="1" x14ac:dyDescent="0.25">
      <c r="A1232" t="s">
        <v>3999</v>
      </c>
      <c r="B1232" t="s">
        <v>47</v>
      </c>
      <c r="C1232" t="s">
        <v>48</v>
      </c>
      <c r="D1232" t="s">
        <v>253</v>
      </c>
      <c r="E1232" t="s">
        <v>254</v>
      </c>
      <c r="F1232" t="s">
        <v>255</v>
      </c>
      <c r="G1232" t="s">
        <v>4403</v>
      </c>
      <c r="H1232" s="15">
        <v>150072</v>
      </c>
      <c r="I1232" s="15">
        <v>0</v>
      </c>
      <c r="J1232" t="s">
        <v>44</v>
      </c>
      <c r="K1232" t="s">
        <v>134</v>
      </c>
      <c r="L1232" s="2">
        <v>43983</v>
      </c>
      <c r="M1232" t="s">
        <v>4404</v>
      </c>
      <c r="N1232">
        <v>1</v>
      </c>
      <c r="O1232" t="s">
        <v>4903</v>
      </c>
      <c r="P1232">
        <v>0</v>
      </c>
      <c r="Q1232" t="s">
        <v>4903</v>
      </c>
      <c r="R1232" t="s">
        <v>3999</v>
      </c>
    </row>
    <row r="1233" spans="1:18" hidden="1" x14ac:dyDescent="0.25">
      <c r="A1233" t="s">
        <v>2888</v>
      </c>
      <c r="B1233" t="s">
        <v>406</v>
      </c>
      <c r="C1233" t="s">
        <v>62</v>
      </c>
      <c r="D1233" t="s">
        <v>78</v>
      </c>
      <c r="E1233" t="s">
        <v>79</v>
      </c>
      <c r="F1233" t="s">
        <v>80</v>
      </c>
      <c r="G1233" t="s">
        <v>2889</v>
      </c>
      <c r="H1233" s="15">
        <v>342369</v>
      </c>
      <c r="I1233" s="15">
        <v>0</v>
      </c>
      <c r="J1233" t="s">
        <v>44</v>
      </c>
      <c r="K1233" t="s">
        <v>21</v>
      </c>
      <c r="L1233" s="2">
        <v>43983</v>
      </c>
      <c r="M1233" t="s">
        <v>2890</v>
      </c>
      <c r="N1233">
        <v>0</v>
      </c>
      <c r="O1233" t="s">
        <v>4903</v>
      </c>
      <c r="P1233">
        <v>0</v>
      </c>
      <c r="Q1233" t="s">
        <v>4903</v>
      </c>
      <c r="R1233" t="s">
        <v>2888</v>
      </c>
    </row>
    <row r="1234" spans="1:18" hidden="1" x14ac:dyDescent="0.25">
      <c r="A1234" t="s">
        <v>2778</v>
      </c>
      <c r="B1234" t="s">
        <v>47</v>
      </c>
      <c r="C1234" t="s">
        <v>48</v>
      </c>
      <c r="D1234" t="s">
        <v>253</v>
      </c>
      <c r="E1234" t="s">
        <v>254</v>
      </c>
      <c r="F1234" t="s">
        <v>255</v>
      </c>
      <c r="G1234" t="s">
        <v>2779</v>
      </c>
      <c r="H1234" s="15">
        <v>578090</v>
      </c>
      <c r="I1234" s="15">
        <v>0</v>
      </c>
      <c r="J1234" t="s">
        <v>44</v>
      </c>
      <c r="K1234" t="s">
        <v>21</v>
      </c>
      <c r="L1234" s="2">
        <v>43983</v>
      </c>
      <c r="M1234" t="s">
        <v>2780</v>
      </c>
      <c r="N1234">
        <v>4</v>
      </c>
      <c r="O1234" t="s">
        <v>4903</v>
      </c>
      <c r="P1234">
        <v>0</v>
      </c>
      <c r="Q1234" t="s">
        <v>4903</v>
      </c>
      <c r="R1234" t="s">
        <v>2778</v>
      </c>
    </row>
    <row r="1235" spans="1:18" hidden="1" x14ac:dyDescent="0.25">
      <c r="A1235" t="s">
        <v>429</v>
      </c>
      <c r="B1235" t="s">
        <v>47</v>
      </c>
      <c r="C1235" t="s">
        <v>48</v>
      </c>
      <c r="D1235" t="s">
        <v>253</v>
      </c>
      <c r="E1235" t="s">
        <v>254</v>
      </c>
      <c r="F1235" t="s">
        <v>255</v>
      </c>
      <c r="G1235" t="s">
        <v>3370</v>
      </c>
      <c r="H1235" s="15">
        <v>167056</v>
      </c>
      <c r="I1235" s="15">
        <v>0</v>
      </c>
      <c r="J1235" t="s">
        <v>44</v>
      </c>
      <c r="K1235" t="s">
        <v>134</v>
      </c>
      <c r="L1235" s="2">
        <v>43983</v>
      </c>
      <c r="M1235" t="s">
        <v>3371</v>
      </c>
      <c r="N1235">
        <v>0</v>
      </c>
      <c r="O1235" t="s">
        <v>4903</v>
      </c>
      <c r="P1235">
        <v>0</v>
      </c>
      <c r="Q1235" t="s">
        <v>4903</v>
      </c>
      <c r="R1235" t="s">
        <v>429</v>
      </c>
    </row>
    <row r="1236" spans="1:18" hidden="1" x14ac:dyDescent="0.25">
      <c r="A1236" t="s">
        <v>3794</v>
      </c>
      <c r="B1236" t="s">
        <v>38</v>
      </c>
      <c r="C1236" t="s">
        <v>39</v>
      </c>
      <c r="D1236" t="s">
        <v>78</v>
      </c>
      <c r="E1236" t="s">
        <v>79</v>
      </c>
      <c r="F1236" t="s">
        <v>80</v>
      </c>
      <c r="G1236" t="s">
        <v>3795</v>
      </c>
      <c r="H1236" s="15">
        <v>2112471</v>
      </c>
      <c r="I1236" s="15">
        <v>0</v>
      </c>
      <c r="J1236" t="s">
        <v>44</v>
      </c>
      <c r="K1236" t="s">
        <v>201</v>
      </c>
      <c r="L1236" s="2">
        <v>43983</v>
      </c>
      <c r="M1236" t="s">
        <v>3796</v>
      </c>
      <c r="N1236">
        <v>0</v>
      </c>
      <c r="O1236" t="s">
        <v>4903</v>
      </c>
      <c r="P1236">
        <v>0</v>
      </c>
      <c r="Q1236" t="s">
        <v>4903</v>
      </c>
      <c r="R1236" t="s">
        <v>3794</v>
      </c>
    </row>
    <row r="1237" spans="1:18" hidden="1" x14ac:dyDescent="0.25">
      <c r="A1237" t="s">
        <v>1324</v>
      </c>
      <c r="B1237" t="s">
        <v>113</v>
      </c>
      <c r="C1237" t="s">
        <v>15</v>
      </c>
      <c r="D1237" t="s">
        <v>78</v>
      </c>
      <c r="E1237" t="s">
        <v>79</v>
      </c>
      <c r="F1237" t="s">
        <v>80</v>
      </c>
      <c r="G1237" t="s">
        <v>1325</v>
      </c>
      <c r="H1237" s="15">
        <v>264908</v>
      </c>
      <c r="I1237" s="15">
        <v>0</v>
      </c>
      <c r="J1237" t="s">
        <v>44</v>
      </c>
      <c r="K1237" t="s">
        <v>134</v>
      </c>
      <c r="L1237" s="2">
        <v>43983</v>
      </c>
      <c r="M1237" t="s">
        <v>1326</v>
      </c>
      <c r="N1237">
        <v>0</v>
      </c>
      <c r="O1237" t="s">
        <v>4903</v>
      </c>
      <c r="P1237">
        <v>0</v>
      </c>
      <c r="Q1237" t="s">
        <v>4903</v>
      </c>
      <c r="R1237" t="s">
        <v>1324</v>
      </c>
    </row>
    <row r="1238" spans="1:18" hidden="1" x14ac:dyDescent="0.25">
      <c r="A1238" t="s">
        <v>1885</v>
      </c>
      <c r="B1238" t="s">
        <v>725</v>
      </c>
      <c r="C1238" t="s">
        <v>726</v>
      </c>
      <c r="D1238" t="s">
        <v>842</v>
      </c>
      <c r="E1238" t="s">
        <v>843</v>
      </c>
      <c r="F1238" t="s">
        <v>844</v>
      </c>
      <c r="G1238" t="s">
        <v>1886</v>
      </c>
      <c r="H1238" s="15">
        <v>138097</v>
      </c>
      <c r="I1238" s="15">
        <v>0</v>
      </c>
      <c r="J1238" t="s">
        <v>44</v>
      </c>
      <c r="K1238" t="s">
        <v>134</v>
      </c>
      <c r="L1238" s="2">
        <v>43983</v>
      </c>
      <c r="M1238" t="s">
        <v>1887</v>
      </c>
      <c r="N1238">
        <v>0</v>
      </c>
      <c r="O1238" t="s">
        <v>4903</v>
      </c>
      <c r="P1238">
        <v>0</v>
      </c>
      <c r="Q1238" t="s">
        <v>4903</v>
      </c>
      <c r="R1238" t="s">
        <v>1885</v>
      </c>
    </row>
    <row r="1239" spans="1:18" hidden="1" x14ac:dyDescent="0.25">
      <c r="A1239" t="s">
        <v>1362</v>
      </c>
      <c r="B1239" t="s">
        <v>14</v>
      </c>
      <c r="C1239" t="s">
        <v>15</v>
      </c>
      <c r="D1239" t="s">
        <v>78</v>
      </c>
      <c r="E1239" t="s">
        <v>79</v>
      </c>
      <c r="F1239" t="s">
        <v>80</v>
      </c>
      <c r="G1239" t="s">
        <v>1363</v>
      </c>
      <c r="H1239" s="15">
        <v>215475</v>
      </c>
      <c r="I1239" s="15">
        <v>0</v>
      </c>
      <c r="J1239" t="s">
        <v>44</v>
      </c>
      <c r="K1239" t="s">
        <v>134</v>
      </c>
      <c r="L1239" s="2">
        <v>43983</v>
      </c>
      <c r="M1239" t="s">
        <v>1364</v>
      </c>
      <c r="N1239">
        <v>0</v>
      </c>
      <c r="O1239" t="s">
        <v>4903</v>
      </c>
      <c r="P1239">
        <v>0</v>
      </c>
      <c r="Q1239" t="s">
        <v>4903</v>
      </c>
      <c r="R1239" t="s">
        <v>1362</v>
      </c>
    </row>
    <row r="1240" spans="1:18" hidden="1" x14ac:dyDescent="0.25">
      <c r="A1240" t="s">
        <v>845</v>
      </c>
      <c r="B1240" t="s">
        <v>676</v>
      </c>
      <c r="C1240" t="s">
        <v>39</v>
      </c>
      <c r="D1240" t="s">
        <v>253</v>
      </c>
      <c r="E1240" t="s">
        <v>254</v>
      </c>
      <c r="F1240" t="s">
        <v>255</v>
      </c>
      <c r="G1240" t="s">
        <v>846</v>
      </c>
      <c r="H1240" s="15">
        <v>502775</v>
      </c>
      <c r="I1240" s="15">
        <v>0</v>
      </c>
      <c r="J1240" t="s">
        <v>44</v>
      </c>
      <c r="K1240" t="s">
        <v>65</v>
      </c>
      <c r="L1240" s="2">
        <v>43983</v>
      </c>
      <c r="M1240" t="s">
        <v>847</v>
      </c>
      <c r="N1240">
        <v>0</v>
      </c>
      <c r="O1240" t="s">
        <v>4903</v>
      </c>
      <c r="P1240">
        <v>0</v>
      </c>
      <c r="Q1240" t="s">
        <v>4903</v>
      </c>
      <c r="R1240" t="s">
        <v>845</v>
      </c>
    </row>
    <row r="1241" spans="1:18" hidden="1" x14ac:dyDescent="0.25">
      <c r="A1241" t="s">
        <v>2085</v>
      </c>
      <c r="B1241" t="s">
        <v>47</v>
      </c>
      <c r="C1241" t="s">
        <v>48</v>
      </c>
      <c r="D1241" t="s">
        <v>253</v>
      </c>
      <c r="E1241" t="s">
        <v>254</v>
      </c>
      <c r="F1241" t="s">
        <v>255</v>
      </c>
      <c r="G1241" t="s">
        <v>2086</v>
      </c>
      <c r="H1241" s="15">
        <v>3456541</v>
      </c>
      <c r="I1241" s="15">
        <v>0</v>
      </c>
      <c r="J1241" t="s">
        <v>44</v>
      </c>
      <c r="K1241" t="s">
        <v>21</v>
      </c>
      <c r="L1241" s="2">
        <v>43983</v>
      </c>
      <c r="M1241" t="s">
        <v>2087</v>
      </c>
      <c r="N1241">
        <v>0</v>
      </c>
      <c r="O1241" t="s">
        <v>4903</v>
      </c>
      <c r="P1241">
        <v>0</v>
      </c>
      <c r="Q1241" t="s">
        <v>4903</v>
      </c>
      <c r="R1241" t="s">
        <v>2085</v>
      </c>
    </row>
    <row r="1242" spans="1:18" hidden="1" x14ac:dyDescent="0.25">
      <c r="A1242" t="s">
        <v>2454</v>
      </c>
      <c r="B1242" t="s">
        <v>315</v>
      </c>
      <c r="C1242" t="s">
        <v>39</v>
      </c>
      <c r="D1242" t="s">
        <v>253</v>
      </c>
      <c r="E1242" t="s">
        <v>254</v>
      </c>
      <c r="F1242" t="s">
        <v>255</v>
      </c>
      <c r="G1242" t="s">
        <v>2455</v>
      </c>
      <c r="H1242" s="15">
        <v>745124</v>
      </c>
      <c r="I1242" s="15">
        <v>0</v>
      </c>
      <c r="J1242" t="s">
        <v>44</v>
      </c>
      <c r="K1242" t="s">
        <v>134</v>
      </c>
      <c r="L1242" s="2">
        <v>43983</v>
      </c>
      <c r="M1242" t="s">
        <v>2456</v>
      </c>
      <c r="N1242">
        <v>0</v>
      </c>
      <c r="O1242" t="s">
        <v>4903</v>
      </c>
      <c r="P1242">
        <v>0</v>
      </c>
      <c r="Q1242" t="s">
        <v>4903</v>
      </c>
      <c r="R1242" t="s">
        <v>2454</v>
      </c>
    </row>
    <row r="1243" spans="1:18" hidden="1" x14ac:dyDescent="0.25">
      <c r="A1243" t="s">
        <v>2151</v>
      </c>
      <c r="B1243" t="s">
        <v>923</v>
      </c>
      <c r="C1243" t="s">
        <v>15</v>
      </c>
      <c r="D1243" t="s">
        <v>253</v>
      </c>
      <c r="E1243" t="s">
        <v>254</v>
      </c>
      <c r="F1243" t="s">
        <v>255</v>
      </c>
      <c r="G1243" t="s">
        <v>2152</v>
      </c>
      <c r="H1243" s="15">
        <v>211250</v>
      </c>
      <c r="I1243" s="15">
        <v>0</v>
      </c>
      <c r="J1243" t="s">
        <v>44</v>
      </c>
      <c r="K1243" t="s">
        <v>134</v>
      </c>
      <c r="L1243" s="2">
        <v>43983</v>
      </c>
      <c r="M1243" t="s">
        <v>2153</v>
      </c>
      <c r="N1243">
        <v>0</v>
      </c>
      <c r="O1243" t="s">
        <v>4903</v>
      </c>
      <c r="P1243">
        <v>0</v>
      </c>
      <c r="Q1243" t="s">
        <v>4903</v>
      </c>
      <c r="R1243" t="s">
        <v>2151</v>
      </c>
    </row>
    <row r="1244" spans="1:18" hidden="1" x14ac:dyDescent="0.25">
      <c r="A1244" t="s">
        <v>809</v>
      </c>
      <c r="B1244" t="s">
        <v>289</v>
      </c>
      <c r="C1244" t="s">
        <v>15</v>
      </c>
      <c r="D1244" t="s">
        <v>253</v>
      </c>
      <c r="E1244" t="s">
        <v>254</v>
      </c>
      <c r="F1244" t="s">
        <v>255</v>
      </c>
      <c r="G1244" t="s">
        <v>810</v>
      </c>
      <c r="H1244" s="15">
        <v>1860523</v>
      </c>
      <c r="I1244" s="15">
        <v>0</v>
      </c>
      <c r="J1244" t="s">
        <v>44</v>
      </c>
      <c r="K1244" t="s">
        <v>21</v>
      </c>
      <c r="L1244" s="2">
        <v>43983</v>
      </c>
      <c r="M1244" t="s">
        <v>811</v>
      </c>
      <c r="N1244">
        <v>0</v>
      </c>
      <c r="O1244" t="s">
        <v>4903</v>
      </c>
      <c r="P1244">
        <v>0</v>
      </c>
      <c r="Q1244" t="s">
        <v>4903</v>
      </c>
      <c r="R1244" t="s">
        <v>809</v>
      </c>
    </row>
    <row r="1245" spans="1:18" hidden="1" x14ac:dyDescent="0.25">
      <c r="A1245" t="s">
        <v>641</v>
      </c>
      <c r="B1245" t="s">
        <v>47</v>
      </c>
      <c r="C1245" t="s">
        <v>48</v>
      </c>
      <c r="D1245" t="s">
        <v>253</v>
      </c>
      <c r="E1245" t="s">
        <v>254</v>
      </c>
      <c r="F1245" t="s">
        <v>255</v>
      </c>
      <c r="G1245" t="s">
        <v>642</v>
      </c>
      <c r="H1245" s="15">
        <v>403065</v>
      </c>
      <c r="I1245" s="15">
        <v>0</v>
      </c>
      <c r="J1245" t="s">
        <v>44</v>
      </c>
      <c r="K1245" t="s">
        <v>134</v>
      </c>
      <c r="L1245" s="2">
        <v>43983</v>
      </c>
      <c r="M1245" t="s">
        <v>643</v>
      </c>
      <c r="N1245">
        <v>0</v>
      </c>
      <c r="O1245" t="s">
        <v>4903</v>
      </c>
      <c r="P1245">
        <v>0</v>
      </c>
      <c r="Q1245" t="s">
        <v>4903</v>
      </c>
      <c r="R1245" t="s">
        <v>641</v>
      </c>
    </row>
    <row r="1246" spans="1:18" hidden="1" x14ac:dyDescent="0.25">
      <c r="A1246" t="s">
        <v>2394</v>
      </c>
      <c r="B1246" t="s">
        <v>47</v>
      </c>
      <c r="C1246" t="s">
        <v>48</v>
      </c>
      <c r="D1246" t="s">
        <v>78</v>
      </c>
      <c r="E1246" t="s">
        <v>79</v>
      </c>
      <c r="F1246" t="s">
        <v>80</v>
      </c>
      <c r="G1246" t="s">
        <v>3435</v>
      </c>
      <c r="H1246" s="15">
        <v>260326</v>
      </c>
      <c r="I1246" s="15">
        <v>0</v>
      </c>
      <c r="J1246" t="s">
        <v>44</v>
      </c>
      <c r="K1246" t="s">
        <v>21</v>
      </c>
      <c r="L1246" s="2">
        <v>43983</v>
      </c>
      <c r="M1246" t="s">
        <v>3436</v>
      </c>
      <c r="N1246">
        <v>0</v>
      </c>
      <c r="O1246" t="s">
        <v>4903</v>
      </c>
      <c r="P1246">
        <v>0</v>
      </c>
      <c r="Q1246" t="s">
        <v>4903</v>
      </c>
      <c r="R1246" t="s">
        <v>2394</v>
      </c>
    </row>
    <row r="1247" spans="1:18" hidden="1" x14ac:dyDescent="0.25">
      <c r="A1247" t="s">
        <v>405</v>
      </c>
      <c r="B1247" t="s">
        <v>406</v>
      </c>
      <c r="C1247" t="s">
        <v>62</v>
      </c>
      <c r="D1247" t="s">
        <v>253</v>
      </c>
      <c r="E1247" t="s">
        <v>254</v>
      </c>
      <c r="F1247" t="s">
        <v>255</v>
      </c>
      <c r="G1247" t="s">
        <v>861</v>
      </c>
      <c r="H1247" s="15">
        <v>499775</v>
      </c>
      <c r="I1247" s="15">
        <v>0</v>
      </c>
      <c r="J1247" t="s">
        <v>44</v>
      </c>
      <c r="K1247" t="s">
        <v>134</v>
      </c>
      <c r="L1247" s="2">
        <v>43983</v>
      </c>
      <c r="M1247" t="s">
        <v>862</v>
      </c>
      <c r="N1247">
        <v>0</v>
      </c>
      <c r="O1247" t="s">
        <v>4903</v>
      </c>
      <c r="P1247">
        <v>0</v>
      </c>
      <c r="Q1247" t="s">
        <v>4903</v>
      </c>
      <c r="R1247" t="s">
        <v>405</v>
      </c>
    </row>
    <row r="1248" spans="1:18" hidden="1" x14ac:dyDescent="0.25">
      <c r="A1248" t="s">
        <v>405</v>
      </c>
      <c r="B1248" t="s">
        <v>406</v>
      </c>
      <c r="C1248" t="s">
        <v>62</v>
      </c>
      <c r="D1248" t="s">
        <v>253</v>
      </c>
      <c r="E1248" t="s">
        <v>254</v>
      </c>
      <c r="F1248" t="s">
        <v>255</v>
      </c>
      <c r="G1248" t="s">
        <v>407</v>
      </c>
      <c r="H1248" s="15">
        <v>904236</v>
      </c>
      <c r="I1248" s="15">
        <v>0</v>
      </c>
      <c r="J1248" t="s">
        <v>44</v>
      </c>
      <c r="K1248" t="s">
        <v>134</v>
      </c>
      <c r="L1248" s="2">
        <v>43983</v>
      </c>
      <c r="M1248" t="s">
        <v>408</v>
      </c>
      <c r="N1248">
        <v>2</v>
      </c>
      <c r="O1248" t="s">
        <v>4903</v>
      </c>
      <c r="P1248">
        <v>0</v>
      </c>
      <c r="Q1248" t="s">
        <v>4903</v>
      </c>
      <c r="R1248" t="s">
        <v>405</v>
      </c>
    </row>
    <row r="1249" spans="1:18" hidden="1" x14ac:dyDescent="0.25">
      <c r="A1249" t="s">
        <v>1973</v>
      </c>
      <c r="B1249" t="s">
        <v>426</v>
      </c>
      <c r="C1249" t="s">
        <v>48</v>
      </c>
      <c r="D1249" t="s">
        <v>78</v>
      </c>
      <c r="E1249" t="s">
        <v>79</v>
      </c>
      <c r="F1249" t="s">
        <v>80</v>
      </c>
      <c r="G1249" t="s">
        <v>1974</v>
      </c>
      <c r="H1249" s="15">
        <v>82026</v>
      </c>
      <c r="I1249" s="15">
        <v>0</v>
      </c>
      <c r="J1249" t="s">
        <v>44</v>
      </c>
      <c r="K1249" t="s">
        <v>134</v>
      </c>
      <c r="L1249" s="2">
        <v>43983</v>
      </c>
      <c r="M1249" t="s">
        <v>1975</v>
      </c>
      <c r="N1249">
        <v>1</v>
      </c>
      <c r="O1249" t="s">
        <v>4903</v>
      </c>
      <c r="P1249">
        <v>0</v>
      </c>
      <c r="Q1249" t="s">
        <v>4903</v>
      </c>
      <c r="R1249" t="s">
        <v>1973</v>
      </c>
    </row>
    <row r="1250" spans="1:18" hidden="1" x14ac:dyDescent="0.25">
      <c r="A1250" t="s">
        <v>4536</v>
      </c>
      <c r="B1250" t="s">
        <v>84</v>
      </c>
      <c r="C1250" t="s">
        <v>15</v>
      </c>
      <c r="D1250" t="s">
        <v>842</v>
      </c>
      <c r="E1250" t="s">
        <v>843</v>
      </c>
      <c r="F1250" t="s">
        <v>844</v>
      </c>
      <c r="G1250" t="s">
        <v>4537</v>
      </c>
      <c r="H1250" s="15">
        <v>1069730</v>
      </c>
      <c r="I1250" s="15">
        <v>0</v>
      </c>
      <c r="J1250" t="s">
        <v>44</v>
      </c>
      <c r="K1250" t="s">
        <v>134</v>
      </c>
      <c r="L1250" s="2">
        <v>43983</v>
      </c>
      <c r="M1250" t="s">
        <v>4538</v>
      </c>
      <c r="N1250">
        <v>0</v>
      </c>
      <c r="O1250" t="s">
        <v>4903</v>
      </c>
      <c r="P1250">
        <v>0</v>
      </c>
      <c r="Q1250" t="s">
        <v>4903</v>
      </c>
      <c r="R1250" t="s">
        <v>4536</v>
      </c>
    </row>
    <row r="1251" spans="1:18" hidden="1" x14ac:dyDescent="0.25">
      <c r="A1251" t="s">
        <v>3925</v>
      </c>
      <c r="B1251" t="s">
        <v>333</v>
      </c>
      <c r="C1251" t="s">
        <v>334</v>
      </c>
      <c r="D1251" t="s">
        <v>253</v>
      </c>
      <c r="E1251" t="s">
        <v>254</v>
      </c>
      <c r="F1251" t="s">
        <v>255</v>
      </c>
      <c r="G1251" t="s">
        <v>3926</v>
      </c>
      <c r="H1251" s="15">
        <v>449276</v>
      </c>
      <c r="I1251" s="15">
        <v>0</v>
      </c>
      <c r="J1251" t="s">
        <v>44</v>
      </c>
      <c r="K1251" t="s">
        <v>134</v>
      </c>
      <c r="L1251" s="2">
        <v>43983</v>
      </c>
      <c r="M1251" t="s">
        <v>3927</v>
      </c>
      <c r="N1251">
        <v>0</v>
      </c>
      <c r="O1251" t="s">
        <v>4903</v>
      </c>
      <c r="P1251">
        <v>0</v>
      </c>
      <c r="Q1251" t="s">
        <v>4903</v>
      </c>
      <c r="R1251" t="s">
        <v>3925</v>
      </c>
    </row>
    <row r="1252" spans="1:18" hidden="1" x14ac:dyDescent="0.25">
      <c r="A1252" t="s">
        <v>664</v>
      </c>
      <c r="B1252" t="s">
        <v>103</v>
      </c>
      <c r="C1252" t="s">
        <v>15</v>
      </c>
      <c r="D1252" t="s">
        <v>842</v>
      </c>
      <c r="E1252" t="s">
        <v>843</v>
      </c>
      <c r="F1252" t="s">
        <v>844</v>
      </c>
      <c r="G1252" t="s">
        <v>3684</v>
      </c>
      <c r="H1252" s="15">
        <v>1920985</v>
      </c>
      <c r="I1252" s="15">
        <v>0</v>
      </c>
      <c r="J1252" t="s">
        <v>44</v>
      </c>
      <c r="K1252" t="s">
        <v>134</v>
      </c>
      <c r="L1252" s="2">
        <v>43983</v>
      </c>
      <c r="M1252" t="s">
        <v>3685</v>
      </c>
      <c r="N1252">
        <v>2</v>
      </c>
      <c r="O1252" t="s">
        <v>4903</v>
      </c>
      <c r="P1252">
        <v>0</v>
      </c>
      <c r="Q1252" t="s">
        <v>4903</v>
      </c>
      <c r="R1252" t="s">
        <v>664</v>
      </c>
    </row>
    <row r="1253" spans="1:18" hidden="1" x14ac:dyDescent="0.25">
      <c r="A1253" t="s">
        <v>519</v>
      </c>
      <c r="B1253" t="s">
        <v>520</v>
      </c>
      <c r="C1253" t="s">
        <v>521</v>
      </c>
      <c r="D1253" t="s">
        <v>253</v>
      </c>
      <c r="E1253" t="s">
        <v>254</v>
      </c>
      <c r="F1253" t="s">
        <v>255</v>
      </c>
      <c r="G1253" t="s">
        <v>522</v>
      </c>
      <c r="H1253" s="15">
        <v>3573336</v>
      </c>
      <c r="I1253" s="15">
        <v>0</v>
      </c>
      <c r="J1253" t="s">
        <v>44</v>
      </c>
      <c r="K1253" t="s">
        <v>21</v>
      </c>
      <c r="L1253" s="2">
        <v>43983</v>
      </c>
      <c r="M1253" t="s">
        <v>523</v>
      </c>
      <c r="N1253">
        <v>0</v>
      </c>
      <c r="O1253" t="s">
        <v>4903</v>
      </c>
      <c r="P1253">
        <v>0</v>
      </c>
      <c r="Q1253" t="s">
        <v>4903</v>
      </c>
      <c r="R1253" t="s">
        <v>519</v>
      </c>
    </row>
    <row r="1254" spans="1:18" hidden="1" x14ac:dyDescent="0.25">
      <c r="A1254" t="s">
        <v>3963</v>
      </c>
      <c r="B1254" t="s">
        <v>676</v>
      </c>
      <c r="C1254" t="s">
        <v>39</v>
      </c>
      <c r="D1254" t="s">
        <v>16</v>
      </c>
      <c r="E1254" t="s">
        <v>104</v>
      </c>
      <c r="F1254" t="s">
        <v>26</v>
      </c>
      <c r="G1254" t="s">
        <v>3964</v>
      </c>
      <c r="H1254" s="15">
        <v>719101</v>
      </c>
      <c r="I1254" s="15">
        <v>0</v>
      </c>
      <c r="J1254" t="s">
        <v>154</v>
      </c>
      <c r="K1254" t="s">
        <v>28</v>
      </c>
      <c r="L1254" s="2">
        <v>44105</v>
      </c>
      <c r="M1254" t="s">
        <v>3965</v>
      </c>
      <c r="N1254">
        <v>0</v>
      </c>
      <c r="O1254" t="s">
        <v>4903</v>
      </c>
      <c r="P1254">
        <v>0</v>
      </c>
      <c r="Q1254" t="s">
        <v>4903</v>
      </c>
      <c r="R1254" t="s">
        <v>3963</v>
      </c>
    </row>
    <row r="1255" spans="1:18" hidden="1" x14ac:dyDescent="0.25">
      <c r="A1255" t="s">
        <v>464</v>
      </c>
      <c r="B1255" t="s">
        <v>126</v>
      </c>
      <c r="C1255" t="s">
        <v>39</v>
      </c>
      <c r="D1255" t="s">
        <v>16</v>
      </c>
      <c r="E1255" t="s">
        <v>104</v>
      </c>
      <c r="F1255" t="s">
        <v>34</v>
      </c>
      <c r="G1255" t="s">
        <v>4338</v>
      </c>
      <c r="H1255" s="15">
        <v>715276</v>
      </c>
      <c r="I1255" s="15">
        <v>0</v>
      </c>
      <c r="J1255" t="s">
        <v>20</v>
      </c>
      <c r="K1255" t="s">
        <v>28</v>
      </c>
      <c r="L1255" s="2">
        <v>44105</v>
      </c>
      <c r="M1255" t="s">
        <v>4339</v>
      </c>
      <c r="N1255">
        <v>0</v>
      </c>
      <c r="O1255" t="s">
        <v>4903</v>
      </c>
      <c r="P1255">
        <v>0</v>
      </c>
      <c r="Q1255" t="s">
        <v>4903</v>
      </c>
      <c r="R1255" t="s">
        <v>464</v>
      </c>
    </row>
    <row r="1256" spans="1:18" hidden="1" x14ac:dyDescent="0.25">
      <c r="A1256" t="s">
        <v>3909</v>
      </c>
      <c r="B1256" t="s">
        <v>190</v>
      </c>
      <c r="C1256" t="s">
        <v>15</v>
      </c>
      <c r="D1256" t="s">
        <v>16</v>
      </c>
      <c r="E1256" t="s">
        <v>104</v>
      </c>
      <c r="F1256" t="s">
        <v>42</v>
      </c>
      <c r="G1256" t="s">
        <v>4219</v>
      </c>
      <c r="H1256" s="15">
        <v>765000</v>
      </c>
      <c r="I1256" s="15">
        <v>0</v>
      </c>
      <c r="J1256" t="s">
        <v>20</v>
      </c>
      <c r="K1256" t="s">
        <v>28</v>
      </c>
      <c r="L1256" s="2">
        <v>44105</v>
      </c>
      <c r="M1256" t="s">
        <v>4220</v>
      </c>
      <c r="N1256">
        <v>0</v>
      </c>
      <c r="O1256" t="s">
        <v>4903</v>
      </c>
      <c r="P1256">
        <v>0</v>
      </c>
      <c r="Q1256" t="s">
        <v>4903</v>
      </c>
      <c r="R1256" t="s">
        <v>3909</v>
      </c>
    </row>
    <row r="1257" spans="1:18" hidden="1" x14ac:dyDescent="0.25">
      <c r="A1257" t="s">
        <v>1255</v>
      </c>
      <c r="B1257" t="s">
        <v>14</v>
      </c>
      <c r="C1257" t="s">
        <v>15</v>
      </c>
      <c r="D1257" t="s">
        <v>16</v>
      </c>
      <c r="E1257" t="s">
        <v>104</v>
      </c>
      <c r="F1257" t="s">
        <v>26</v>
      </c>
      <c r="G1257" t="s">
        <v>4660</v>
      </c>
      <c r="H1257" s="15">
        <v>612000</v>
      </c>
      <c r="I1257" s="15">
        <v>0</v>
      </c>
      <c r="J1257" t="s">
        <v>154</v>
      </c>
      <c r="K1257" t="s">
        <v>28</v>
      </c>
      <c r="L1257" s="2">
        <v>44105</v>
      </c>
      <c r="M1257" t="s">
        <v>4661</v>
      </c>
      <c r="N1257">
        <v>1</v>
      </c>
      <c r="O1257" t="s">
        <v>4903</v>
      </c>
      <c r="P1257">
        <v>0</v>
      </c>
      <c r="Q1257" t="s">
        <v>4903</v>
      </c>
      <c r="R1257" t="s">
        <v>1255</v>
      </c>
    </row>
    <row r="1258" spans="1:18" hidden="1" x14ac:dyDescent="0.25">
      <c r="A1258" t="s">
        <v>2561</v>
      </c>
      <c r="B1258" t="s">
        <v>103</v>
      </c>
      <c r="C1258" t="s">
        <v>15</v>
      </c>
      <c r="D1258" t="s">
        <v>16</v>
      </c>
      <c r="E1258" t="s">
        <v>104</v>
      </c>
      <c r="F1258" t="s">
        <v>140</v>
      </c>
      <c r="G1258" t="s">
        <v>2562</v>
      </c>
      <c r="H1258" s="15">
        <v>807076</v>
      </c>
      <c r="I1258" s="15">
        <v>0</v>
      </c>
      <c r="J1258" t="s">
        <v>20</v>
      </c>
      <c r="K1258" t="s">
        <v>28</v>
      </c>
      <c r="L1258" s="2">
        <v>44105</v>
      </c>
      <c r="M1258" t="s">
        <v>2563</v>
      </c>
      <c r="N1258">
        <v>0</v>
      </c>
      <c r="O1258" t="s">
        <v>4903</v>
      </c>
      <c r="P1258">
        <v>0</v>
      </c>
      <c r="Q1258" t="s">
        <v>4903</v>
      </c>
      <c r="R1258" t="s">
        <v>2561</v>
      </c>
    </row>
    <row r="1259" spans="1:18" hidden="1" x14ac:dyDescent="0.25">
      <c r="A1259" t="s">
        <v>601</v>
      </c>
      <c r="B1259" t="s">
        <v>14</v>
      </c>
      <c r="C1259" t="s">
        <v>15</v>
      </c>
      <c r="D1259" t="s">
        <v>16</v>
      </c>
      <c r="E1259" t="s">
        <v>104</v>
      </c>
      <c r="F1259" t="s">
        <v>140</v>
      </c>
      <c r="G1259" t="s">
        <v>2682</v>
      </c>
      <c r="H1259" s="15">
        <v>830024</v>
      </c>
      <c r="I1259" s="15">
        <v>0</v>
      </c>
      <c r="J1259" t="s">
        <v>154</v>
      </c>
      <c r="K1259" t="s">
        <v>28</v>
      </c>
      <c r="L1259" s="2">
        <v>44105</v>
      </c>
      <c r="M1259" t="s">
        <v>2683</v>
      </c>
      <c r="N1259">
        <v>0</v>
      </c>
      <c r="O1259" t="s">
        <v>4903</v>
      </c>
      <c r="P1259">
        <v>0</v>
      </c>
      <c r="Q1259" t="s">
        <v>4903</v>
      </c>
      <c r="R1259" t="s">
        <v>601</v>
      </c>
    </row>
    <row r="1260" spans="1:18" hidden="1" x14ac:dyDescent="0.25">
      <c r="A1260" t="s">
        <v>539</v>
      </c>
      <c r="B1260" t="s">
        <v>61</v>
      </c>
      <c r="C1260" t="s">
        <v>62</v>
      </c>
      <c r="D1260" t="s">
        <v>16</v>
      </c>
      <c r="E1260" t="s">
        <v>104</v>
      </c>
      <c r="F1260" t="s">
        <v>34</v>
      </c>
      <c r="G1260" t="s">
        <v>1600</v>
      </c>
      <c r="H1260" s="15">
        <v>856800</v>
      </c>
      <c r="I1260" s="15">
        <v>0</v>
      </c>
      <c r="J1260" t="s">
        <v>20</v>
      </c>
      <c r="K1260" t="s">
        <v>116</v>
      </c>
      <c r="L1260" s="2">
        <v>44105</v>
      </c>
      <c r="M1260" t="s">
        <v>1601</v>
      </c>
      <c r="N1260">
        <v>0</v>
      </c>
      <c r="O1260" t="s">
        <v>4903</v>
      </c>
      <c r="P1260">
        <v>0</v>
      </c>
      <c r="Q1260" t="s">
        <v>4903</v>
      </c>
      <c r="R1260" t="s">
        <v>539</v>
      </c>
    </row>
    <row r="1261" spans="1:18" hidden="1" x14ac:dyDescent="0.25">
      <c r="A1261" t="s">
        <v>509</v>
      </c>
      <c r="B1261" t="s">
        <v>126</v>
      </c>
      <c r="C1261" t="s">
        <v>39</v>
      </c>
      <c r="D1261" t="s">
        <v>16</v>
      </c>
      <c r="E1261" t="s">
        <v>104</v>
      </c>
      <c r="F1261" t="s">
        <v>18</v>
      </c>
      <c r="G1261" t="s">
        <v>510</v>
      </c>
      <c r="H1261" s="15">
        <v>765000</v>
      </c>
      <c r="I1261" s="15">
        <v>0</v>
      </c>
      <c r="J1261" t="s">
        <v>20</v>
      </c>
      <c r="K1261" t="s">
        <v>28</v>
      </c>
      <c r="L1261" s="2">
        <v>44105</v>
      </c>
      <c r="M1261" t="s">
        <v>511</v>
      </c>
      <c r="N1261">
        <v>0</v>
      </c>
      <c r="O1261" t="s">
        <v>4903</v>
      </c>
      <c r="P1261">
        <v>0</v>
      </c>
      <c r="Q1261" t="s">
        <v>4903</v>
      </c>
      <c r="R1261" t="s">
        <v>509</v>
      </c>
    </row>
    <row r="1262" spans="1:18" hidden="1" x14ac:dyDescent="0.25">
      <c r="A1262" t="s">
        <v>1226</v>
      </c>
      <c r="B1262" t="s">
        <v>1227</v>
      </c>
      <c r="C1262" t="s">
        <v>48</v>
      </c>
      <c r="D1262" t="s">
        <v>16</v>
      </c>
      <c r="E1262" t="s">
        <v>104</v>
      </c>
      <c r="F1262" t="s">
        <v>18</v>
      </c>
      <c r="G1262" t="s">
        <v>1228</v>
      </c>
      <c r="H1262" s="15">
        <v>378676</v>
      </c>
      <c r="I1262" s="15">
        <v>0</v>
      </c>
      <c r="J1262" t="s">
        <v>20</v>
      </c>
      <c r="K1262" t="s">
        <v>65</v>
      </c>
      <c r="L1262" s="2">
        <v>44105</v>
      </c>
      <c r="M1262" t="s">
        <v>1229</v>
      </c>
      <c r="N1262">
        <v>0</v>
      </c>
      <c r="O1262" t="s">
        <v>4903</v>
      </c>
      <c r="P1262">
        <v>0</v>
      </c>
      <c r="Q1262" t="s">
        <v>4903</v>
      </c>
      <c r="R1262" t="s">
        <v>1226</v>
      </c>
    </row>
    <row r="1263" spans="1:18" hidden="1" x14ac:dyDescent="0.25">
      <c r="A1263" t="s">
        <v>2163</v>
      </c>
      <c r="B1263" t="s">
        <v>47</v>
      </c>
      <c r="C1263" t="s">
        <v>48</v>
      </c>
      <c r="D1263" t="s">
        <v>16</v>
      </c>
      <c r="E1263" t="s">
        <v>104</v>
      </c>
      <c r="F1263" t="s">
        <v>42</v>
      </c>
      <c r="G1263" t="s">
        <v>2164</v>
      </c>
      <c r="H1263" s="15">
        <v>413100</v>
      </c>
      <c r="I1263" s="15">
        <v>0</v>
      </c>
      <c r="J1263" t="s">
        <v>89</v>
      </c>
      <c r="K1263" t="s">
        <v>28</v>
      </c>
      <c r="L1263" s="2">
        <v>44105</v>
      </c>
      <c r="M1263" t="s">
        <v>2165</v>
      </c>
      <c r="N1263">
        <v>0</v>
      </c>
      <c r="O1263" t="s">
        <v>4903</v>
      </c>
      <c r="P1263">
        <v>0</v>
      </c>
      <c r="Q1263" t="s">
        <v>4903</v>
      </c>
      <c r="R1263" t="s">
        <v>2163</v>
      </c>
    </row>
    <row r="1264" spans="1:18" hidden="1" x14ac:dyDescent="0.25">
      <c r="A1264" t="s">
        <v>907</v>
      </c>
      <c r="B1264" t="s">
        <v>61</v>
      </c>
      <c r="C1264" t="s">
        <v>62</v>
      </c>
      <c r="D1264" t="s">
        <v>16</v>
      </c>
      <c r="E1264" t="s">
        <v>104</v>
      </c>
      <c r="F1264" t="s">
        <v>152</v>
      </c>
      <c r="G1264" t="s">
        <v>2070</v>
      </c>
      <c r="H1264" s="15">
        <v>940950</v>
      </c>
      <c r="I1264" s="15">
        <v>0</v>
      </c>
      <c r="J1264" t="s">
        <v>20</v>
      </c>
      <c r="K1264" t="s">
        <v>28</v>
      </c>
      <c r="L1264" s="2">
        <v>44105</v>
      </c>
      <c r="M1264" t="s">
        <v>2071</v>
      </c>
      <c r="N1264">
        <v>0</v>
      </c>
      <c r="O1264" t="s">
        <v>4903</v>
      </c>
      <c r="P1264">
        <v>0</v>
      </c>
      <c r="Q1264" t="s">
        <v>4903</v>
      </c>
      <c r="R1264" t="s">
        <v>907</v>
      </c>
    </row>
    <row r="1265" spans="1:18" hidden="1" x14ac:dyDescent="0.25">
      <c r="A1265" t="s">
        <v>2740</v>
      </c>
      <c r="B1265" t="s">
        <v>190</v>
      </c>
      <c r="C1265" t="s">
        <v>15</v>
      </c>
      <c r="D1265" t="s">
        <v>16</v>
      </c>
      <c r="E1265" t="s">
        <v>104</v>
      </c>
      <c r="F1265" t="s">
        <v>152</v>
      </c>
      <c r="G1265" t="s">
        <v>3899</v>
      </c>
      <c r="H1265" s="15">
        <v>1086300</v>
      </c>
      <c r="I1265" s="15">
        <v>0</v>
      </c>
      <c r="J1265" t="s">
        <v>20</v>
      </c>
      <c r="K1265" t="s">
        <v>28</v>
      </c>
      <c r="L1265" s="2">
        <v>44105</v>
      </c>
      <c r="M1265" t="s">
        <v>3900</v>
      </c>
      <c r="N1265">
        <v>0</v>
      </c>
      <c r="O1265" t="s">
        <v>4903</v>
      </c>
      <c r="P1265">
        <v>0</v>
      </c>
      <c r="Q1265" t="s">
        <v>4903</v>
      </c>
      <c r="R1265" t="s">
        <v>2740</v>
      </c>
    </row>
    <row r="1266" spans="1:18" hidden="1" x14ac:dyDescent="0.25">
      <c r="A1266" t="s">
        <v>724</v>
      </c>
      <c r="B1266" t="s">
        <v>725</v>
      </c>
      <c r="C1266" t="s">
        <v>726</v>
      </c>
      <c r="D1266" t="s">
        <v>16</v>
      </c>
      <c r="E1266" t="s">
        <v>104</v>
      </c>
      <c r="F1266" t="s">
        <v>152</v>
      </c>
      <c r="G1266" t="s">
        <v>727</v>
      </c>
      <c r="H1266" s="15">
        <v>1063350</v>
      </c>
      <c r="I1266" s="15">
        <v>0</v>
      </c>
      <c r="J1266" t="s">
        <v>20</v>
      </c>
      <c r="K1266" t="s">
        <v>28</v>
      </c>
      <c r="L1266" s="2">
        <v>44105</v>
      </c>
      <c r="M1266" t="s">
        <v>728</v>
      </c>
      <c r="N1266">
        <v>0</v>
      </c>
      <c r="O1266" t="s">
        <v>4903</v>
      </c>
      <c r="P1266">
        <v>0</v>
      </c>
      <c r="Q1266" t="s">
        <v>4903</v>
      </c>
      <c r="R1266" t="s">
        <v>724</v>
      </c>
    </row>
    <row r="1267" spans="1:18" hidden="1" x14ac:dyDescent="0.25">
      <c r="A1267" t="s">
        <v>1611</v>
      </c>
      <c r="B1267" t="s">
        <v>315</v>
      </c>
      <c r="C1267" t="s">
        <v>39</v>
      </c>
      <c r="D1267" t="s">
        <v>16</v>
      </c>
      <c r="E1267" t="s">
        <v>104</v>
      </c>
      <c r="F1267" t="s">
        <v>140</v>
      </c>
      <c r="G1267" t="s">
        <v>1852</v>
      </c>
      <c r="H1267" s="15">
        <v>952426</v>
      </c>
      <c r="I1267" s="15">
        <v>0</v>
      </c>
      <c r="J1267" t="s">
        <v>20</v>
      </c>
      <c r="K1267" t="s">
        <v>28</v>
      </c>
      <c r="L1267" s="2">
        <v>44105</v>
      </c>
      <c r="M1267" t="s">
        <v>1853</v>
      </c>
      <c r="N1267">
        <v>0</v>
      </c>
      <c r="O1267" t="s">
        <v>4903</v>
      </c>
      <c r="P1267">
        <v>0</v>
      </c>
      <c r="Q1267" t="s">
        <v>4903</v>
      </c>
      <c r="R1267" t="s">
        <v>1611</v>
      </c>
    </row>
    <row r="1268" spans="1:18" hidden="1" x14ac:dyDescent="0.25">
      <c r="A1268" t="s">
        <v>1780</v>
      </c>
      <c r="B1268" t="s">
        <v>77</v>
      </c>
      <c r="C1268" t="s">
        <v>15</v>
      </c>
      <c r="D1268" t="s">
        <v>16</v>
      </c>
      <c r="E1268" t="s">
        <v>104</v>
      </c>
      <c r="F1268" t="s">
        <v>140</v>
      </c>
      <c r="G1268" t="s">
        <v>1781</v>
      </c>
      <c r="H1268" s="15">
        <v>918000</v>
      </c>
      <c r="I1268" s="15">
        <v>0</v>
      </c>
      <c r="J1268" t="s">
        <v>20</v>
      </c>
      <c r="K1268" t="s">
        <v>28</v>
      </c>
      <c r="L1268" s="2">
        <v>44105</v>
      </c>
      <c r="M1268" t="s">
        <v>1782</v>
      </c>
      <c r="N1268">
        <v>0</v>
      </c>
      <c r="O1268" t="s">
        <v>4903</v>
      </c>
      <c r="P1268">
        <v>0</v>
      </c>
      <c r="Q1268" t="s">
        <v>4903</v>
      </c>
      <c r="R1268" t="s">
        <v>1780</v>
      </c>
    </row>
    <row r="1269" spans="1:18" hidden="1" x14ac:dyDescent="0.25">
      <c r="A1269" t="s">
        <v>175</v>
      </c>
      <c r="B1269" t="s">
        <v>14</v>
      </c>
      <c r="C1269" t="s">
        <v>15</v>
      </c>
      <c r="D1269" t="s">
        <v>16</v>
      </c>
      <c r="E1269" t="s">
        <v>104</v>
      </c>
      <c r="F1269" t="s">
        <v>26</v>
      </c>
      <c r="G1269" t="s">
        <v>4362</v>
      </c>
      <c r="H1269" s="15">
        <v>504901</v>
      </c>
      <c r="I1269" s="15">
        <v>0</v>
      </c>
      <c r="J1269" t="s">
        <v>154</v>
      </c>
      <c r="K1269" t="s">
        <v>28</v>
      </c>
      <c r="L1269" s="2">
        <v>44105</v>
      </c>
      <c r="M1269" t="s">
        <v>4363</v>
      </c>
      <c r="N1269">
        <v>0</v>
      </c>
      <c r="O1269" t="s">
        <v>4903</v>
      </c>
      <c r="P1269">
        <v>0</v>
      </c>
      <c r="Q1269" t="s">
        <v>4903</v>
      </c>
      <c r="R1269" t="s">
        <v>175</v>
      </c>
    </row>
    <row r="1270" spans="1:18" hidden="1" x14ac:dyDescent="0.25">
      <c r="A1270" t="s">
        <v>2861</v>
      </c>
      <c r="B1270" t="s">
        <v>47</v>
      </c>
      <c r="C1270" t="s">
        <v>48</v>
      </c>
      <c r="D1270" t="s">
        <v>16</v>
      </c>
      <c r="E1270" t="s">
        <v>104</v>
      </c>
      <c r="F1270" t="s">
        <v>18</v>
      </c>
      <c r="G1270" t="s">
        <v>3180</v>
      </c>
      <c r="H1270" s="15">
        <v>918000</v>
      </c>
      <c r="I1270" s="15">
        <v>0</v>
      </c>
      <c r="J1270" t="s">
        <v>20</v>
      </c>
      <c r="K1270" t="s">
        <v>134</v>
      </c>
      <c r="L1270" s="2">
        <v>44105</v>
      </c>
      <c r="M1270" t="s">
        <v>3181</v>
      </c>
      <c r="N1270">
        <v>1</v>
      </c>
      <c r="O1270" t="s">
        <v>4903</v>
      </c>
      <c r="P1270">
        <v>0</v>
      </c>
      <c r="Q1270" t="s">
        <v>4903</v>
      </c>
      <c r="R1270" t="s">
        <v>2861</v>
      </c>
    </row>
    <row r="1271" spans="1:18" hidden="1" x14ac:dyDescent="0.25">
      <c r="A1271" t="s">
        <v>1635</v>
      </c>
      <c r="B1271" t="s">
        <v>898</v>
      </c>
      <c r="C1271" t="s">
        <v>39</v>
      </c>
      <c r="D1271" t="s">
        <v>16</v>
      </c>
      <c r="E1271" t="s">
        <v>104</v>
      </c>
      <c r="F1271" t="s">
        <v>34</v>
      </c>
      <c r="G1271" t="s">
        <v>4634</v>
      </c>
      <c r="H1271" s="15">
        <v>761176</v>
      </c>
      <c r="I1271" s="15">
        <v>0</v>
      </c>
      <c r="J1271" t="s">
        <v>20</v>
      </c>
      <c r="K1271" t="s">
        <v>21</v>
      </c>
      <c r="L1271" s="2">
        <v>44105</v>
      </c>
      <c r="M1271" t="s">
        <v>4635</v>
      </c>
      <c r="N1271">
        <v>0</v>
      </c>
      <c r="O1271" t="s">
        <v>4903</v>
      </c>
      <c r="P1271">
        <v>0</v>
      </c>
      <c r="Q1271" t="s">
        <v>4903</v>
      </c>
      <c r="R1271" t="s">
        <v>1635</v>
      </c>
    </row>
    <row r="1272" spans="1:18" hidden="1" x14ac:dyDescent="0.25">
      <c r="A1272" t="s">
        <v>3310</v>
      </c>
      <c r="B1272" t="s">
        <v>14</v>
      </c>
      <c r="C1272" t="s">
        <v>15</v>
      </c>
      <c r="D1272" t="s">
        <v>16</v>
      </c>
      <c r="E1272" t="s">
        <v>104</v>
      </c>
      <c r="F1272" t="s">
        <v>140</v>
      </c>
      <c r="G1272" t="s">
        <v>3311</v>
      </c>
      <c r="H1272" s="15">
        <v>1147500</v>
      </c>
      <c r="I1272" s="15">
        <v>0</v>
      </c>
      <c r="J1272" t="s">
        <v>20</v>
      </c>
      <c r="K1272" t="s">
        <v>28</v>
      </c>
      <c r="L1272" s="2">
        <v>44105</v>
      </c>
      <c r="M1272" t="s">
        <v>3312</v>
      </c>
      <c r="N1272">
        <v>0</v>
      </c>
      <c r="O1272" t="s">
        <v>4903</v>
      </c>
      <c r="P1272">
        <v>0</v>
      </c>
      <c r="Q1272" t="s">
        <v>4903</v>
      </c>
      <c r="R1272" t="s">
        <v>3310</v>
      </c>
    </row>
    <row r="1273" spans="1:18" hidden="1" x14ac:dyDescent="0.25">
      <c r="A1273" t="s">
        <v>2022</v>
      </c>
      <c r="B1273" t="s">
        <v>84</v>
      </c>
      <c r="C1273" t="s">
        <v>15</v>
      </c>
      <c r="D1273" t="s">
        <v>16</v>
      </c>
      <c r="E1273" t="s">
        <v>104</v>
      </c>
      <c r="F1273" t="s">
        <v>152</v>
      </c>
      <c r="G1273" t="s">
        <v>2023</v>
      </c>
      <c r="H1273" s="15">
        <v>1005976</v>
      </c>
      <c r="I1273" s="15">
        <v>0</v>
      </c>
      <c r="J1273" t="s">
        <v>20</v>
      </c>
      <c r="K1273" t="s">
        <v>28</v>
      </c>
      <c r="L1273" s="2">
        <v>44105</v>
      </c>
      <c r="M1273" t="s">
        <v>2024</v>
      </c>
      <c r="N1273">
        <v>1</v>
      </c>
      <c r="O1273" t="s">
        <v>4903</v>
      </c>
      <c r="P1273">
        <v>0</v>
      </c>
      <c r="Q1273" t="s">
        <v>4903</v>
      </c>
      <c r="R1273" t="s">
        <v>2022</v>
      </c>
    </row>
    <row r="1274" spans="1:18" hidden="1" x14ac:dyDescent="0.25">
      <c r="A1274" t="s">
        <v>1582</v>
      </c>
      <c r="B1274" t="s">
        <v>315</v>
      </c>
      <c r="C1274" t="s">
        <v>39</v>
      </c>
      <c r="D1274" t="s">
        <v>16</v>
      </c>
      <c r="E1274" t="s">
        <v>104</v>
      </c>
      <c r="F1274" t="s">
        <v>26</v>
      </c>
      <c r="G1274" t="s">
        <v>3327</v>
      </c>
      <c r="H1274" s="15">
        <v>1338750</v>
      </c>
      <c r="I1274" s="15">
        <v>0</v>
      </c>
      <c r="J1274" t="s">
        <v>20</v>
      </c>
      <c r="K1274" t="s">
        <v>28</v>
      </c>
      <c r="L1274" s="2">
        <v>44105</v>
      </c>
      <c r="M1274" t="s">
        <v>3328</v>
      </c>
      <c r="N1274">
        <v>0</v>
      </c>
      <c r="O1274" t="s">
        <v>4903</v>
      </c>
      <c r="P1274">
        <v>0</v>
      </c>
      <c r="Q1274" t="s">
        <v>4903</v>
      </c>
      <c r="R1274" t="s">
        <v>1582</v>
      </c>
    </row>
    <row r="1275" spans="1:18" hidden="1" x14ac:dyDescent="0.25">
      <c r="A1275" t="s">
        <v>2204</v>
      </c>
      <c r="B1275" t="s">
        <v>84</v>
      </c>
      <c r="C1275" t="s">
        <v>15</v>
      </c>
      <c r="D1275" t="s">
        <v>16</v>
      </c>
      <c r="E1275" t="s">
        <v>104</v>
      </c>
      <c r="F1275" t="s">
        <v>152</v>
      </c>
      <c r="G1275" t="s">
        <v>2205</v>
      </c>
      <c r="H1275" s="15">
        <v>956250</v>
      </c>
      <c r="I1275" s="15">
        <v>0</v>
      </c>
      <c r="J1275" t="s">
        <v>20</v>
      </c>
      <c r="K1275" t="s">
        <v>28</v>
      </c>
      <c r="L1275" s="2">
        <v>44105</v>
      </c>
      <c r="M1275" t="s">
        <v>2206</v>
      </c>
      <c r="N1275">
        <v>1</v>
      </c>
      <c r="O1275" t="s">
        <v>4903</v>
      </c>
      <c r="P1275">
        <v>0</v>
      </c>
      <c r="Q1275" t="s">
        <v>4903</v>
      </c>
      <c r="R1275" t="s">
        <v>2204</v>
      </c>
    </row>
    <row r="1276" spans="1:18" hidden="1" x14ac:dyDescent="0.25">
      <c r="A1276" t="s">
        <v>1144</v>
      </c>
      <c r="B1276" t="s">
        <v>31</v>
      </c>
      <c r="C1276" t="s">
        <v>15</v>
      </c>
      <c r="D1276" t="s">
        <v>2750</v>
      </c>
      <c r="E1276" t="s">
        <v>2751</v>
      </c>
      <c r="F1276" t="s">
        <v>26</v>
      </c>
      <c r="G1276" t="s">
        <v>2752</v>
      </c>
      <c r="H1276" s="15">
        <v>100000</v>
      </c>
      <c r="I1276" s="15">
        <v>0</v>
      </c>
      <c r="J1276" t="s">
        <v>44</v>
      </c>
      <c r="K1276" t="s">
        <v>28</v>
      </c>
      <c r="L1276" s="2">
        <v>44105</v>
      </c>
      <c r="M1276" t="s">
        <v>2753</v>
      </c>
      <c r="N1276">
        <v>1</v>
      </c>
      <c r="O1276" t="s">
        <v>4903</v>
      </c>
      <c r="P1276">
        <v>0</v>
      </c>
      <c r="Q1276" t="s">
        <v>4903</v>
      </c>
      <c r="R1276" t="s">
        <v>1144</v>
      </c>
    </row>
    <row r="1277" spans="1:18" hidden="1" x14ac:dyDescent="0.25">
      <c r="A1277" t="s">
        <v>1777</v>
      </c>
      <c r="B1277" t="s">
        <v>14</v>
      </c>
      <c r="C1277" t="s">
        <v>15</v>
      </c>
      <c r="D1277" t="s">
        <v>16</v>
      </c>
      <c r="E1277" t="s">
        <v>104</v>
      </c>
      <c r="F1277" t="s">
        <v>42</v>
      </c>
      <c r="G1277" t="s">
        <v>2694</v>
      </c>
      <c r="H1277" s="15">
        <v>814726</v>
      </c>
      <c r="I1277" s="15">
        <v>0</v>
      </c>
      <c r="J1277" t="s">
        <v>20</v>
      </c>
      <c r="K1277" t="s">
        <v>28</v>
      </c>
      <c r="L1277" s="2">
        <v>44105</v>
      </c>
      <c r="M1277" t="s">
        <v>2695</v>
      </c>
      <c r="N1277">
        <v>0</v>
      </c>
      <c r="O1277" t="s">
        <v>4903</v>
      </c>
      <c r="P1277">
        <v>0</v>
      </c>
      <c r="Q1277" t="s">
        <v>4903</v>
      </c>
      <c r="R1277" t="s">
        <v>1777</v>
      </c>
    </row>
    <row r="1278" spans="1:18" hidden="1" x14ac:dyDescent="0.25">
      <c r="A1278" t="s">
        <v>2323</v>
      </c>
      <c r="B1278" t="s">
        <v>47</v>
      </c>
      <c r="C1278" t="s">
        <v>48</v>
      </c>
      <c r="D1278" t="s">
        <v>16</v>
      </c>
      <c r="E1278" t="s">
        <v>104</v>
      </c>
      <c r="F1278" t="s">
        <v>34</v>
      </c>
      <c r="G1278" t="s">
        <v>2324</v>
      </c>
      <c r="H1278" s="15">
        <v>898876</v>
      </c>
      <c r="I1278" s="15">
        <v>0</v>
      </c>
      <c r="J1278" t="s">
        <v>20</v>
      </c>
      <c r="K1278" t="s">
        <v>28</v>
      </c>
      <c r="L1278" s="2">
        <v>44105</v>
      </c>
      <c r="M1278" t="s">
        <v>2325</v>
      </c>
      <c r="N1278">
        <v>0</v>
      </c>
      <c r="O1278" t="s">
        <v>4903</v>
      </c>
      <c r="P1278">
        <v>0</v>
      </c>
      <c r="Q1278" t="s">
        <v>4903</v>
      </c>
      <c r="R1278" t="s">
        <v>2323</v>
      </c>
    </row>
    <row r="1279" spans="1:18" hidden="1" x14ac:dyDescent="0.25">
      <c r="A1279" t="s">
        <v>1086</v>
      </c>
      <c r="B1279" t="s">
        <v>24</v>
      </c>
      <c r="C1279" t="s">
        <v>15</v>
      </c>
      <c r="D1279" t="s">
        <v>16</v>
      </c>
      <c r="E1279" t="s">
        <v>104</v>
      </c>
      <c r="F1279" t="s">
        <v>42</v>
      </c>
      <c r="G1279" t="s">
        <v>3600</v>
      </c>
      <c r="H1279" s="15">
        <v>1235476</v>
      </c>
      <c r="I1279" s="15">
        <v>0</v>
      </c>
      <c r="J1279" t="s">
        <v>230</v>
      </c>
      <c r="K1279" t="s">
        <v>28</v>
      </c>
      <c r="L1279" s="2">
        <v>44105</v>
      </c>
      <c r="M1279" t="s">
        <v>3601</v>
      </c>
      <c r="N1279">
        <v>0</v>
      </c>
      <c r="O1279" t="s">
        <v>4903</v>
      </c>
      <c r="P1279">
        <v>0</v>
      </c>
      <c r="Q1279" t="s">
        <v>4903</v>
      </c>
      <c r="R1279" t="s">
        <v>1086</v>
      </c>
    </row>
    <row r="1280" spans="1:18" hidden="1" x14ac:dyDescent="0.25">
      <c r="A1280" t="s">
        <v>37</v>
      </c>
      <c r="B1280" t="s">
        <v>38</v>
      </c>
      <c r="C1280" t="s">
        <v>39</v>
      </c>
      <c r="D1280" t="s">
        <v>40</v>
      </c>
      <c r="E1280" t="s">
        <v>41</v>
      </c>
      <c r="F1280" t="s">
        <v>42</v>
      </c>
      <c r="G1280" t="s">
        <v>43</v>
      </c>
      <c r="H1280" s="15">
        <v>100000</v>
      </c>
      <c r="I1280" s="15">
        <v>0</v>
      </c>
      <c r="J1280" t="s">
        <v>44</v>
      </c>
      <c r="K1280" t="s">
        <v>28</v>
      </c>
      <c r="L1280" s="2">
        <v>44105</v>
      </c>
      <c r="M1280" t="s">
        <v>45</v>
      </c>
      <c r="N1280">
        <v>0</v>
      </c>
      <c r="O1280" t="s">
        <v>4903</v>
      </c>
      <c r="P1280">
        <v>0</v>
      </c>
      <c r="Q1280" t="s">
        <v>4903</v>
      </c>
      <c r="R1280" t="s">
        <v>37</v>
      </c>
    </row>
    <row r="1281" spans="1:18" hidden="1" x14ac:dyDescent="0.25">
      <c r="A1281" t="s">
        <v>2761</v>
      </c>
      <c r="B1281" t="s">
        <v>635</v>
      </c>
      <c r="C1281" t="s">
        <v>39</v>
      </c>
      <c r="D1281" t="s">
        <v>16</v>
      </c>
      <c r="E1281" t="s">
        <v>104</v>
      </c>
      <c r="F1281" t="s">
        <v>42</v>
      </c>
      <c r="G1281" t="s">
        <v>3564</v>
      </c>
      <c r="H1281" s="15">
        <v>1021276</v>
      </c>
      <c r="I1281" s="15">
        <v>0</v>
      </c>
      <c r="J1281" t="s">
        <v>20</v>
      </c>
      <c r="K1281" t="s">
        <v>28</v>
      </c>
      <c r="L1281" s="2">
        <v>44105</v>
      </c>
      <c r="M1281" t="s">
        <v>3565</v>
      </c>
      <c r="N1281">
        <v>0</v>
      </c>
      <c r="O1281" t="s">
        <v>4903</v>
      </c>
      <c r="P1281">
        <v>0</v>
      </c>
      <c r="Q1281" t="s">
        <v>4903</v>
      </c>
      <c r="R1281" t="s">
        <v>2761</v>
      </c>
    </row>
    <row r="1282" spans="1:18" hidden="1" x14ac:dyDescent="0.25">
      <c r="A1282" t="s">
        <v>2201</v>
      </c>
      <c r="B1282" t="s">
        <v>478</v>
      </c>
      <c r="C1282" t="s">
        <v>15</v>
      </c>
      <c r="D1282" t="s">
        <v>16</v>
      </c>
      <c r="E1282" t="s">
        <v>104</v>
      </c>
      <c r="F1282" t="s">
        <v>42</v>
      </c>
      <c r="G1282" t="s">
        <v>2370</v>
      </c>
      <c r="H1282" s="15">
        <v>1071000</v>
      </c>
      <c r="I1282" s="15">
        <v>0</v>
      </c>
      <c r="J1282" t="s">
        <v>20</v>
      </c>
      <c r="K1282" t="s">
        <v>28</v>
      </c>
      <c r="L1282" s="2">
        <v>44105</v>
      </c>
      <c r="M1282" t="s">
        <v>2371</v>
      </c>
      <c r="N1282">
        <v>0</v>
      </c>
      <c r="O1282" t="s">
        <v>4903</v>
      </c>
      <c r="P1282">
        <v>0</v>
      </c>
      <c r="Q1282" t="s">
        <v>4903</v>
      </c>
      <c r="R1282" t="s">
        <v>2201</v>
      </c>
    </row>
    <row r="1283" spans="1:18" hidden="1" x14ac:dyDescent="0.25">
      <c r="A1283" t="s">
        <v>102</v>
      </c>
      <c r="B1283" t="s">
        <v>103</v>
      </c>
      <c r="C1283" t="s">
        <v>15</v>
      </c>
      <c r="D1283" t="s">
        <v>16</v>
      </c>
      <c r="E1283" t="s">
        <v>104</v>
      </c>
      <c r="F1283" t="s">
        <v>18</v>
      </c>
      <c r="G1283" t="s">
        <v>105</v>
      </c>
      <c r="H1283" s="15">
        <v>699976</v>
      </c>
      <c r="I1283" s="15">
        <v>0</v>
      </c>
      <c r="J1283" t="s">
        <v>20</v>
      </c>
      <c r="K1283" t="s">
        <v>100</v>
      </c>
      <c r="L1283" s="2">
        <v>44105</v>
      </c>
      <c r="M1283" t="s">
        <v>106</v>
      </c>
      <c r="N1283">
        <v>0</v>
      </c>
      <c r="O1283" t="s">
        <v>4903</v>
      </c>
      <c r="P1283">
        <v>0</v>
      </c>
      <c r="Q1283" t="s">
        <v>4903</v>
      </c>
      <c r="R1283" t="s">
        <v>102</v>
      </c>
    </row>
    <row r="1284" spans="1:18" hidden="1" x14ac:dyDescent="0.25">
      <c r="A1284" t="s">
        <v>1686</v>
      </c>
      <c r="B1284" t="s">
        <v>635</v>
      </c>
      <c r="C1284" t="s">
        <v>39</v>
      </c>
      <c r="D1284" t="s">
        <v>16</v>
      </c>
      <c r="E1284" t="s">
        <v>104</v>
      </c>
      <c r="F1284" t="s">
        <v>34</v>
      </c>
      <c r="G1284" t="s">
        <v>2662</v>
      </c>
      <c r="H1284" s="15">
        <v>619651</v>
      </c>
      <c r="I1284" s="15">
        <v>0</v>
      </c>
      <c r="J1284" t="s">
        <v>154</v>
      </c>
      <c r="K1284" t="s">
        <v>28</v>
      </c>
      <c r="L1284" s="2">
        <v>44105</v>
      </c>
      <c r="M1284" t="s">
        <v>2663</v>
      </c>
      <c r="N1284">
        <v>0</v>
      </c>
      <c r="O1284" t="s">
        <v>4903</v>
      </c>
      <c r="P1284">
        <v>0</v>
      </c>
      <c r="Q1284" t="s">
        <v>4903</v>
      </c>
      <c r="R1284" t="s">
        <v>1686</v>
      </c>
    </row>
    <row r="1285" spans="1:18" hidden="1" x14ac:dyDescent="0.25">
      <c r="A1285" t="s">
        <v>2151</v>
      </c>
      <c r="B1285" t="s">
        <v>923</v>
      </c>
      <c r="C1285" t="s">
        <v>15</v>
      </c>
      <c r="D1285" t="s">
        <v>16</v>
      </c>
      <c r="E1285" t="s">
        <v>104</v>
      </c>
      <c r="F1285" t="s">
        <v>26</v>
      </c>
      <c r="G1285" t="s">
        <v>4187</v>
      </c>
      <c r="H1285" s="15">
        <v>367200</v>
      </c>
      <c r="I1285" s="15">
        <v>0</v>
      </c>
      <c r="J1285" t="s">
        <v>89</v>
      </c>
      <c r="K1285" t="s">
        <v>28</v>
      </c>
      <c r="L1285" s="2">
        <v>44105</v>
      </c>
      <c r="M1285" t="s">
        <v>4188</v>
      </c>
      <c r="N1285">
        <v>1</v>
      </c>
      <c r="O1285" t="s">
        <v>4903</v>
      </c>
      <c r="P1285">
        <v>0</v>
      </c>
      <c r="Q1285" t="s">
        <v>4903</v>
      </c>
      <c r="R1285" t="s">
        <v>2151</v>
      </c>
    </row>
    <row r="1286" spans="1:18" hidden="1" x14ac:dyDescent="0.25">
      <c r="A1286" t="s">
        <v>715</v>
      </c>
      <c r="B1286" t="s">
        <v>24</v>
      </c>
      <c r="C1286" t="s">
        <v>15</v>
      </c>
      <c r="D1286" t="s">
        <v>16</v>
      </c>
      <c r="E1286" t="s">
        <v>104</v>
      </c>
      <c r="F1286" t="s">
        <v>34</v>
      </c>
      <c r="G1286" t="s">
        <v>3819</v>
      </c>
      <c r="H1286" s="15">
        <v>849150</v>
      </c>
      <c r="I1286" s="15">
        <v>0</v>
      </c>
      <c r="J1286" t="s">
        <v>20</v>
      </c>
      <c r="K1286" t="s">
        <v>116</v>
      </c>
      <c r="L1286" s="2">
        <v>44105</v>
      </c>
      <c r="M1286" t="s">
        <v>3820</v>
      </c>
      <c r="N1286">
        <v>0</v>
      </c>
      <c r="O1286" t="s">
        <v>4903</v>
      </c>
      <c r="P1286">
        <v>0</v>
      </c>
      <c r="Q1286" t="s">
        <v>4903</v>
      </c>
      <c r="R1286" t="s">
        <v>715</v>
      </c>
    </row>
    <row r="1287" spans="1:18" hidden="1" x14ac:dyDescent="0.25">
      <c r="A1287" t="s">
        <v>2207</v>
      </c>
      <c r="B1287" t="s">
        <v>1516</v>
      </c>
      <c r="C1287" t="s">
        <v>15</v>
      </c>
      <c r="D1287" t="s">
        <v>16</v>
      </c>
      <c r="E1287" t="s">
        <v>104</v>
      </c>
      <c r="F1287" t="s">
        <v>152</v>
      </c>
      <c r="G1287" t="s">
        <v>2306</v>
      </c>
      <c r="H1287" s="15">
        <v>1013626</v>
      </c>
      <c r="I1287" s="15">
        <v>0</v>
      </c>
      <c r="J1287" t="s">
        <v>20</v>
      </c>
      <c r="K1287" t="s">
        <v>28</v>
      </c>
      <c r="L1287" s="2">
        <v>44105</v>
      </c>
      <c r="M1287" t="s">
        <v>2307</v>
      </c>
      <c r="N1287">
        <v>0</v>
      </c>
      <c r="O1287" t="s">
        <v>4903</v>
      </c>
      <c r="P1287">
        <v>0</v>
      </c>
      <c r="Q1287" t="s">
        <v>4903</v>
      </c>
      <c r="R1287" t="s">
        <v>2207</v>
      </c>
    </row>
    <row r="1288" spans="1:18" hidden="1" x14ac:dyDescent="0.25">
      <c r="A1288" t="s">
        <v>137</v>
      </c>
      <c r="B1288" t="s">
        <v>47</v>
      </c>
      <c r="C1288" t="s">
        <v>48</v>
      </c>
      <c r="D1288" t="s">
        <v>16</v>
      </c>
      <c r="E1288" t="s">
        <v>104</v>
      </c>
      <c r="F1288" t="s">
        <v>42</v>
      </c>
      <c r="G1288" t="s">
        <v>4422</v>
      </c>
      <c r="H1288" s="15">
        <v>765000</v>
      </c>
      <c r="I1288" s="15">
        <v>0</v>
      </c>
      <c r="J1288" t="s">
        <v>154</v>
      </c>
      <c r="K1288" t="s">
        <v>28</v>
      </c>
      <c r="L1288" s="2">
        <v>44105</v>
      </c>
      <c r="M1288" t="s">
        <v>4423</v>
      </c>
      <c r="N1288">
        <v>0</v>
      </c>
      <c r="O1288" t="s">
        <v>4903</v>
      </c>
      <c r="P1288">
        <v>0</v>
      </c>
      <c r="Q1288" t="s">
        <v>4903</v>
      </c>
      <c r="R1288" t="s">
        <v>137</v>
      </c>
    </row>
    <row r="1289" spans="1:18" hidden="1" x14ac:dyDescent="0.25">
      <c r="A1289" t="s">
        <v>1932</v>
      </c>
      <c r="B1289" t="s">
        <v>520</v>
      </c>
      <c r="C1289" t="s">
        <v>521</v>
      </c>
      <c r="D1289" t="s">
        <v>16</v>
      </c>
      <c r="E1289" t="s">
        <v>104</v>
      </c>
      <c r="F1289" t="s">
        <v>140</v>
      </c>
      <c r="G1289" t="s">
        <v>3214</v>
      </c>
      <c r="H1289" s="15">
        <v>1208700</v>
      </c>
      <c r="I1289" s="15">
        <v>0</v>
      </c>
      <c r="J1289" t="s">
        <v>20</v>
      </c>
      <c r="K1289" t="s">
        <v>28</v>
      </c>
      <c r="L1289" s="2">
        <v>44105</v>
      </c>
      <c r="M1289" t="s">
        <v>3215</v>
      </c>
      <c r="N1289">
        <v>0</v>
      </c>
      <c r="O1289" t="s">
        <v>4903</v>
      </c>
      <c r="P1289">
        <v>0</v>
      </c>
      <c r="Q1289" t="s">
        <v>4903</v>
      </c>
      <c r="R1289" t="s">
        <v>1932</v>
      </c>
    </row>
    <row r="1290" spans="1:18" hidden="1" x14ac:dyDescent="0.25">
      <c r="A1290" t="s">
        <v>4544</v>
      </c>
      <c r="B1290" t="s">
        <v>406</v>
      </c>
      <c r="C1290" t="s">
        <v>62</v>
      </c>
      <c r="D1290" t="s">
        <v>16</v>
      </c>
      <c r="E1290" t="s">
        <v>104</v>
      </c>
      <c r="F1290" t="s">
        <v>34</v>
      </c>
      <c r="G1290" t="s">
        <v>4545</v>
      </c>
      <c r="H1290" s="15">
        <v>550800</v>
      </c>
      <c r="I1290" s="15">
        <v>0</v>
      </c>
      <c r="J1290" t="s">
        <v>20</v>
      </c>
      <c r="K1290" t="s">
        <v>28</v>
      </c>
      <c r="L1290" s="2">
        <v>44105</v>
      </c>
      <c r="M1290" t="s">
        <v>4546</v>
      </c>
      <c r="N1290">
        <v>0</v>
      </c>
      <c r="O1290" t="s">
        <v>4903</v>
      </c>
      <c r="P1290">
        <v>0</v>
      </c>
      <c r="Q1290" t="s">
        <v>4903</v>
      </c>
      <c r="R1290" t="s">
        <v>4544</v>
      </c>
    </row>
    <row r="1291" spans="1:18" hidden="1" x14ac:dyDescent="0.25">
      <c r="A1291" t="s">
        <v>1808</v>
      </c>
      <c r="B1291" t="s">
        <v>14</v>
      </c>
      <c r="C1291" t="s">
        <v>15</v>
      </c>
      <c r="D1291" t="s">
        <v>16</v>
      </c>
      <c r="E1291" t="s">
        <v>104</v>
      </c>
      <c r="F1291" t="s">
        <v>26</v>
      </c>
      <c r="G1291" t="s">
        <v>1809</v>
      </c>
      <c r="H1291" s="15">
        <v>902700</v>
      </c>
      <c r="I1291" s="15">
        <v>0</v>
      </c>
      <c r="J1291" t="s">
        <v>20</v>
      </c>
      <c r="K1291" t="s">
        <v>28</v>
      </c>
      <c r="L1291" s="2">
        <v>44105</v>
      </c>
      <c r="M1291" t="s">
        <v>1810</v>
      </c>
      <c r="N1291">
        <v>0</v>
      </c>
      <c r="O1291" t="s">
        <v>4903</v>
      </c>
      <c r="P1291">
        <v>0</v>
      </c>
      <c r="Q1291" t="s">
        <v>4903</v>
      </c>
      <c r="R1291" t="s">
        <v>1808</v>
      </c>
    </row>
    <row r="1292" spans="1:18" hidden="1" x14ac:dyDescent="0.25">
      <c r="A1292" t="s">
        <v>295</v>
      </c>
      <c r="B1292" t="s">
        <v>24</v>
      </c>
      <c r="C1292" t="s">
        <v>15</v>
      </c>
      <c r="D1292" t="s">
        <v>296</v>
      </c>
      <c r="E1292" t="s">
        <v>297</v>
      </c>
      <c r="F1292" t="s">
        <v>42</v>
      </c>
      <c r="G1292" t="s">
        <v>298</v>
      </c>
      <c r="H1292" s="15">
        <v>100000</v>
      </c>
      <c r="I1292" s="15">
        <v>0</v>
      </c>
      <c r="J1292" t="s">
        <v>44</v>
      </c>
      <c r="K1292" t="s">
        <v>28</v>
      </c>
      <c r="L1292" s="2">
        <v>44256</v>
      </c>
      <c r="M1292" t="s">
        <v>299</v>
      </c>
      <c r="N1292">
        <v>1</v>
      </c>
      <c r="O1292" t="s">
        <v>4903</v>
      </c>
      <c r="P1292">
        <v>0</v>
      </c>
      <c r="Q1292" t="s">
        <v>4903</v>
      </c>
      <c r="R1292" t="s">
        <v>295</v>
      </c>
    </row>
    <row r="1293" spans="1:18" hidden="1" x14ac:dyDescent="0.25">
      <c r="A1293" t="s">
        <v>1447</v>
      </c>
      <c r="B1293" t="s">
        <v>31</v>
      </c>
      <c r="C1293" t="s">
        <v>15</v>
      </c>
      <c r="D1293" t="s">
        <v>296</v>
      </c>
      <c r="E1293" t="s">
        <v>297</v>
      </c>
      <c r="F1293" t="s">
        <v>34</v>
      </c>
      <c r="G1293" t="s">
        <v>1450</v>
      </c>
      <c r="H1293" s="15">
        <v>100000</v>
      </c>
      <c r="I1293" s="15">
        <v>0</v>
      </c>
      <c r="J1293" t="s">
        <v>44</v>
      </c>
      <c r="K1293" t="s">
        <v>28</v>
      </c>
      <c r="L1293" s="2">
        <v>44256</v>
      </c>
      <c r="M1293" t="s">
        <v>1449</v>
      </c>
      <c r="N1293">
        <v>0</v>
      </c>
      <c r="O1293" t="s">
        <v>4903</v>
      </c>
      <c r="P1293">
        <v>0</v>
      </c>
      <c r="Q1293" t="s">
        <v>4903</v>
      </c>
      <c r="R1293" t="s">
        <v>1447</v>
      </c>
    </row>
    <row r="1294" spans="1:18" hidden="1" x14ac:dyDescent="0.25">
      <c r="A1294" t="s">
        <v>1653</v>
      </c>
      <c r="B1294" t="s">
        <v>190</v>
      </c>
      <c r="C1294" t="s">
        <v>15</v>
      </c>
      <c r="D1294" t="s">
        <v>16</v>
      </c>
      <c r="E1294" t="s">
        <v>819</v>
      </c>
      <c r="F1294" t="s">
        <v>42</v>
      </c>
      <c r="G1294" t="s">
        <v>1654</v>
      </c>
      <c r="H1294" s="15">
        <v>1071000</v>
      </c>
      <c r="I1294" s="15">
        <v>0</v>
      </c>
      <c r="J1294" t="s">
        <v>20</v>
      </c>
      <c r="K1294" t="s">
        <v>28</v>
      </c>
      <c r="L1294" s="2">
        <v>44287</v>
      </c>
      <c r="M1294" t="s">
        <v>1655</v>
      </c>
      <c r="N1294">
        <v>0</v>
      </c>
      <c r="O1294" t="s">
        <v>4903</v>
      </c>
      <c r="P1294">
        <v>0</v>
      </c>
      <c r="Q1294" t="s">
        <v>4903</v>
      </c>
      <c r="R1294" t="s">
        <v>1653</v>
      </c>
    </row>
    <row r="1295" spans="1:18" hidden="1" x14ac:dyDescent="0.25">
      <c r="A1295" t="s">
        <v>2699</v>
      </c>
      <c r="B1295" t="s">
        <v>47</v>
      </c>
      <c r="C1295" t="s">
        <v>48</v>
      </c>
      <c r="D1295" t="s">
        <v>16</v>
      </c>
      <c r="E1295" t="s">
        <v>819</v>
      </c>
      <c r="F1295" t="s">
        <v>18</v>
      </c>
      <c r="G1295" t="s">
        <v>2700</v>
      </c>
      <c r="H1295" s="15">
        <v>367200</v>
      </c>
      <c r="I1295" s="15">
        <v>0</v>
      </c>
      <c r="J1295" t="s">
        <v>89</v>
      </c>
      <c r="K1295" t="s">
        <v>28</v>
      </c>
      <c r="L1295" s="2">
        <v>44287</v>
      </c>
      <c r="M1295" t="s">
        <v>2701</v>
      </c>
      <c r="N1295">
        <v>0</v>
      </c>
      <c r="O1295" t="s">
        <v>4903</v>
      </c>
      <c r="P1295">
        <v>0</v>
      </c>
      <c r="Q1295" t="s">
        <v>4903</v>
      </c>
      <c r="R1295" t="s">
        <v>2699</v>
      </c>
    </row>
    <row r="1296" spans="1:18" hidden="1" x14ac:dyDescent="0.25">
      <c r="A1296" t="s">
        <v>2388</v>
      </c>
      <c r="B1296" t="s">
        <v>31</v>
      </c>
      <c r="C1296" t="s">
        <v>15</v>
      </c>
      <c r="D1296" t="s">
        <v>16</v>
      </c>
      <c r="E1296" t="s">
        <v>819</v>
      </c>
      <c r="F1296" t="s">
        <v>26</v>
      </c>
      <c r="G1296" t="s">
        <v>2389</v>
      </c>
      <c r="H1296" s="15">
        <v>872100</v>
      </c>
      <c r="I1296" s="15">
        <v>0</v>
      </c>
      <c r="J1296" t="s">
        <v>20</v>
      </c>
      <c r="K1296" t="s">
        <v>28</v>
      </c>
      <c r="L1296" s="2">
        <v>44287</v>
      </c>
      <c r="M1296" t="s">
        <v>2390</v>
      </c>
      <c r="N1296">
        <v>0</v>
      </c>
      <c r="O1296" t="s">
        <v>4903</v>
      </c>
      <c r="P1296">
        <v>0</v>
      </c>
      <c r="Q1296" t="s">
        <v>4903</v>
      </c>
      <c r="R1296" t="s">
        <v>2388</v>
      </c>
    </row>
    <row r="1297" spans="1:18" hidden="1" x14ac:dyDescent="0.25">
      <c r="A1297" t="s">
        <v>570</v>
      </c>
      <c r="B1297" t="s">
        <v>47</v>
      </c>
      <c r="C1297" t="s">
        <v>48</v>
      </c>
      <c r="D1297" t="s">
        <v>16</v>
      </c>
      <c r="E1297" t="s">
        <v>819</v>
      </c>
      <c r="F1297" t="s">
        <v>34</v>
      </c>
      <c r="G1297" t="s">
        <v>3604</v>
      </c>
      <c r="H1297" s="15">
        <v>906525</v>
      </c>
      <c r="I1297" s="15">
        <v>0</v>
      </c>
      <c r="J1297" t="s">
        <v>20</v>
      </c>
      <c r="K1297" t="s">
        <v>28</v>
      </c>
      <c r="L1297" s="2">
        <v>44287</v>
      </c>
      <c r="M1297" t="s">
        <v>3605</v>
      </c>
      <c r="N1297">
        <v>0</v>
      </c>
      <c r="O1297" t="s">
        <v>4903</v>
      </c>
      <c r="P1297">
        <v>0</v>
      </c>
      <c r="Q1297" t="s">
        <v>4903</v>
      </c>
      <c r="R1297" t="s">
        <v>570</v>
      </c>
    </row>
    <row r="1298" spans="1:18" hidden="1" x14ac:dyDescent="0.25">
      <c r="A1298" t="s">
        <v>3365</v>
      </c>
      <c r="B1298" t="s">
        <v>350</v>
      </c>
      <c r="C1298" t="s">
        <v>39</v>
      </c>
      <c r="D1298" t="s">
        <v>16</v>
      </c>
      <c r="E1298" t="s">
        <v>819</v>
      </c>
      <c r="F1298" t="s">
        <v>18</v>
      </c>
      <c r="G1298" t="s">
        <v>3804</v>
      </c>
      <c r="H1298" s="15">
        <v>1143675</v>
      </c>
      <c r="I1298" s="15">
        <v>0</v>
      </c>
      <c r="J1298" t="s">
        <v>20</v>
      </c>
      <c r="K1298" t="s">
        <v>116</v>
      </c>
      <c r="L1298" s="2">
        <v>44287</v>
      </c>
      <c r="M1298" t="s">
        <v>3805</v>
      </c>
      <c r="N1298">
        <v>0</v>
      </c>
      <c r="O1298" t="s">
        <v>4903</v>
      </c>
      <c r="P1298">
        <v>0</v>
      </c>
      <c r="Q1298" t="s">
        <v>4903</v>
      </c>
      <c r="R1298" t="s">
        <v>3365</v>
      </c>
    </row>
    <row r="1299" spans="1:18" hidden="1" x14ac:dyDescent="0.25">
      <c r="A1299" t="s">
        <v>1349</v>
      </c>
      <c r="B1299" t="s">
        <v>31</v>
      </c>
      <c r="C1299" t="s">
        <v>15</v>
      </c>
      <c r="D1299" t="s">
        <v>16</v>
      </c>
      <c r="E1299" t="s">
        <v>819</v>
      </c>
      <c r="F1299" t="s">
        <v>140</v>
      </c>
      <c r="G1299" t="s">
        <v>1350</v>
      </c>
      <c r="H1299" s="15">
        <v>722925</v>
      </c>
      <c r="I1299" s="15">
        <v>0</v>
      </c>
      <c r="J1299" t="s">
        <v>20</v>
      </c>
      <c r="K1299" t="s">
        <v>28</v>
      </c>
      <c r="L1299" s="2">
        <v>44287</v>
      </c>
      <c r="M1299" t="s">
        <v>1351</v>
      </c>
      <c r="N1299">
        <v>0</v>
      </c>
      <c r="O1299" t="s">
        <v>4903</v>
      </c>
      <c r="P1299">
        <v>0</v>
      </c>
      <c r="Q1299" t="s">
        <v>4903</v>
      </c>
      <c r="R1299" t="s">
        <v>1349</v>
      </c>
    </row>
    <row r="1300" spans="1:18" hidden="1" x14ac:dyDescent="0.25">
      <c r="A1300" t="s">
        <v>4517</v>
      </c>
      <c r="B1300" t="s">
        <v>635</v>
      </c>
      <c r="C1300" t="s">
        <v>39</v>
      </c>
      <c r="D1300" t="s">
        <v>16</v>
      </c>
      <c r="E1300" t="s">
        <v>819</v>
      </c>
      <c r="F1300" t="s">
        <v>152</v>
      </c>
      <c r="G1300" t="s">
        <v>4518</v>
      </c>
      <c r="H1300" s="15">
        <v>768825</v>
      </c>
      <c r="I1300" s="15">
        <v>0</v>
      </c>
      <c r="J1300" t="s">
        <v>20</v>
      </c>
      <c r="K1300" t="s">
        <v>28</v>
      </c>
      <c r="L1300" s="2">
        <v>44287</v>
      </c>
      <c r="M1300" t="s">
        <v>4519</v>
      </c>
      <c r="N1300">
        <v>0</v>
      </c>
      <c r="O1300" t="s">
        <v>4903</v>
      </c>
      <c r="P1300">
        <v>0</v>
      </c>
      <c r="Q1300" t="s">
        <v>4903</v>
      </c>
      <c r="R1300" t="s">
        <v>4517</v>
      </c>
    </row>
    <row r="1301" spans="1:18" hidden="1" x14ac:dyDescent="0.25">
      <c r="A1301" t="s">
        <v>1557</v>
      </c>
      <c r="B1301" t="s">
        <v>14</v>
      </c>
      <c r="C1301" t="s">
        <v>15</v>
      </c>
      <c r="D1301" t="s">
        <v>16</v>
      </c>
      <c r="E1301" t="s">
        <v>819</v>
      </c>
      <c r="F1301" t="s">
        <v>42</v>
      </c>
      <c r="G1301" t="s">
        <v>1558</v>
      </c>
      <c r="H1301" s="15">
        <v>895050</v>
      </c>
      <c r="I1301" s="15">
        <v>0</v>
      </c>
      <c r="J1301" t="s">
        <v>20</v>
      </c>
      <c r="K1301" t="s">
        <v>28</v>
      </c>
      <c r="L1301" s="2">
        <v>44287</v>
      </c>
      <c r="M1301" t="s">
        <v>1559</v>
      </c>
      <c r="N1301">
        <v>0</v>
      </c>
      <c r="O1301" t="s">
        <v>4903</v>
      </c>
      <c r="P1301">
        <v>0</v>
      </c>
      <c r="Q1301" t="s">
        <v>4903</v>
      </c>
      <c r="R1301" t="s">
        <v>1557</v>
      </c>
    </row>
    <row r="1302" spans="1:18" hidden="1" x14ac:dyDescent="0.25">
      <c r="A1302" t="s">
        <v>2403</v>
      </c>
      <c r="B1302" t="s">
        <v>14</v>
      </c>
      <c r="C1302" t="s">
        <v>15</v>
      </c>
      <c r="D1302" t="s">
        <v>16</v>
      </c>
      <c r="E1302" t="s">
        <v>819</v>
      </c>
      <c r="F1302" t="s">
        <v>140</v>
      </c>
      <c r="G1302" t="s">
        <v>3814</v>
      </c>
      <c r="H1302" s="15">
        <v>573752</v>
      </c>
      <c r="I1302" s="15">
        <v>0</v>
      </c>
      <c r="J1302" t="s">
        <v>154</v>
      </c>
      <c r="K1302" t="s">
        <v>28</v>
      </c>
      <c r="L1302" s="2">
        <v>44287</v>
      </c>
      <c r="M1302" t="s">
        <v>3815</v>
      </c>
      <c r="N1302">
        <v>0</v>
      </c>
      <c r="O1302" t="s">
        <v>4903</v>
      </c>
      <c r="P1302">
        <v>0</v>
      </c>
      <c r="Q1302" t="s">
        <v>4903</v>
      </c>
      <c r="R1302" t="s">
        <v>2403</v>
      </c>
    </row>
    <row r="1303" spans="1:18" hidden="1" x14ac:dyDescent="0.25">
      <c r="A1303" t="s">
        <v>4621</v>
      </c>
      <c r="B1303" t="s">
        <v>47</v>
      </c>
      <c r="C1303" t="s">
        <v>48</v>
      </c>
      <c r="D1303" t="s">
        <v>16</v>
      </c>
      <c r="E1303" t="s">
        <v>819</v>
      </c>
      <c r="F1303" t="s">
        <v>42</v>
      </c>
      <c r="G1303" t="s">
        <v>4622</v>
      </c>
      <c r="H1303" s="15">
        <v>1147500</v>
      </c>
      <c r="I1303" s="15">
        <v>0</v>
      </c>
      <c r="J1303" t="s">
        <v>20</v>
      </c>
      <c r="K1303" t="s">
        <v>28</v>
      </c>
      <c r="L1303" s="2">
        <v>44287</v>
      </c>
      <c r="M1303" t="s">
        <v>4623</v>
      </c>
      <c r="N1303">
        <v>0</v>
      </c>
      <c r="O1303" t="s">
        <v>4903</v>
      </c>
      <c r="P1303">
        <v>0</v>
      </c>
      <c r="Q1303" t="s">
        <v>4903</v>
      </c>
      <c r="R1303" t="s">
        <v>4621</v>
      </c>
    </row>
    <row r="1304" spans="1:18" hidden="1" x14ac:dyDescent="0.25">
      <c r="A1304" t="s">
        <v>2300</v>
      </c>
      <c r="B1304" t="s">
        <v>190</v>
      </c>
      <c r="C1304" t="s">
        <v>15</v>
      </c>
      <c r="D1304" t="s">
        <v>16</v>
      </c>
      <c r="E1304" t="s">
        <v>819</v>
      </c>
      <c r="F1304" t="s">
        <v>152</v>
      </c>
      <c r="G1304" t="s">
        <v>2301</v>
      </c>
      <c r="H1304" s="15">
        <v>872865</v>
      </c>
      <c r="I1304" s="15">
        <v>0</v>
      </c>
      <c r="J1304" t="s">
        <v>20</v>
      </c>
      <c r="K1304" t="s">
        <v>28</v>
      </c>
      <c r="L1304" s="2">
        <v>44287</v>
      </c>
      <c r="M1304" t="s">
        <v>2302</v>
      </c>
      <c r="N1304">
        <v>0</v>
      </c>
      <c r="O1304" t="s">
        <v>4903</v>
      </c>
      <c r="P1304">
        <v>0</v>
      </c>
      <c r="Q1304" t="s">
        <v>4903</v>
      </c>
      <c r="R1304" t="s">
        <v>2300</v>
      </c>
    </row>
    <row r="1305" spans="1:18" hidden="1" x14ac:dyDescent="0.25">
      <c r="A1305" t="s">
        <v>1801</v>
      </c>
      <c r="B1305" t="s">
        <v>14</v>
      </c>
      <c r="C1305" t="s">
        <v>15</v>
      </c>
      <c r="D1305" t="s">
        <v>16</v>
      </c>
      <c r="E1305" t="s">
        <v>819</v>
      </c>
      <c r="F1305" t="s">
        <v>18</v>
      </c>
      <c r="G1305" t="s">
        <v>1802</v>
      </c>
      <c r="H1305" s="15">
        <v>803252</v>
      </c>
      <c r="I1305" s="15">
        <v>0</v>
      </c>
      <c r="J1305" t="s">
        <v>154</v>
      </c>
      <c r="K1305" t="s">
        <v>21</v>
      </c>
      <c r="L1305" s="2">
        <v>44287</v>
      </c>
      <c r="M1305" t="s">
        <v>1803</v>
      </c>
      <c r="N1305">
        <v>1</v>
      </c>
      <c r="O1305" t="s">
        <v>4903</v>
      </c>
      <c r="P1305">
        <v>0</v>
      </c>
      <c r="Q1305" t="s">
        <v>4903</v>
      </c>
      <c r="R1305" t="s">
        <v>1801</v>
      </c>
    </row>
    <row r="1306" spans="1:18" hidden="1" x14ac:dyDescent="0.25">
      <c r="A1306" t="s">
        <v>1947</v>
      </c>
      <c r="B1306" t="s">
        <v>24</v>
      </c>
      <c r="C1306" t="s">
        <v>15</v>
      </c>
      <c r="D1306" t="s">
        <v>16</v>
      </c>
      <c r="E1306" t="s">
        <v>819</v>
      </c>
      <c r="F1306" t="s">
        <v>34</v>
      </c>
      <c r="G1306" t="s">
        <v>1948</v>
      </c>
      <c r="H1306" s="15">
        <v>757350</v>
      </c>
      <c r="I1306" s="15">
        <v>0</v>
      </c>
      <c r="J1306" t="s">
        <v>20</v>
      </c>
      <c r="K1306" t="s">
        <v>116</v>
      </c>
      <c r="L1306" s="2">
        <v>44287</v>
      </c>
      <c r="M1306" t="s">
        <v>1949</v>
      </c>
      <c r="N1306">
        <v>0</v>
      </c>
      <c r="O1306" t="s">
        <v>4903</v>
      </c>
      <c r="P1306">
        <v>0</v>
      </c>
      <c r="Q1306" t="s">
        <v>4903</v>
      </c>
      <c r="R1306" t="s">
        <v>1947</v>
      </c>
    </row>
    <row r="1307" spans="1:18" hidden="1" x14ac:dyDescent="0.25">
      <c r="A1307" t="s">
        <v>4095</v>
      </c>
      <c r="B1307" t="s">
        <v>14</v>
      </c>
      <c r="C1307" t="s">
        <v>15</v>
      </c>
      <c r="D1307" t="s">
        <v>16</v>
      </c>
      <c r="E1307" t="s">
        <v>819</v>
      </c>
      <c r="F1307" t="s">
        <v>42</v>
      </c>
      <c r="G1307" t="s">
        <v>4096</v>
      </c>
      <c r="H1307" s="15">
        <v>1082474</v>
      </c>
      <c r="I1307" s="15">
        <v>0</v>
      </c>
      <c r="J1307" t="s">
        <v>230</v>
      </c>
      <c r="K1307" t="s">
        <v>28</v>
      </c>
      <c r="L1307" s="2">
        <v>44287</v>
      </c>
      <c r="M1307" t="s">
        <v>4097</v>
      </c>
      <c r="N1307">
        <v>0</v>
      </c>
      <c r="O1307" t="s">
        <v>4903</v>
      </c>
      <c r="P1307">
        <v>0</v>
      </c>
      <c r="Q1307" t="s">
        <v>4903</v>
      </c>
      <c r="R1307" t="s">
        <v>4095</v>
      </c>
    </row>
    <row r="1308" spans="1:18" hidden="1" x14ac:dyDescent="0.25">
      <c r="A1308" t="s">
        <v>1337</v>
      </c>
      <c r="B1308" t="s">
        <v>14</v>
      </c>
      <c r="C1308" t="s">
        <v>15</v>
      </c>
      <c r="D1308" t="s">
        <v>16</v>
      </c>
      <c r="E1308" t="s">
        <v>819</v>
      </c>
      <c r="F1308" t="s">
        <v>152</v>
      </c>
      <c r="G1308" t="s">
        <v>1491</v>
      </c>
      <c r="H1308" s="15">
        <v>1438200</v>
      </c>
      <c r="I1308" s="15">
        <v>0</v>
      </c>
      <c r="J1308" t="s">
        <v>20</v>
      </c>
      <c r="K1308" t="s">
        <v>134</v>
      </c>
      <c r="L1308" s="2">
        <v>44287</v>
      </c>
      <c r="M1308" t="s">
        <v>1492</v>
      </c>
      <c r="N1308">
        <v>4</v>
      </c>
      <c r="O1308" t="s">
        <v>4903</v>
      </c>
      <c r="P1308">
        <v>0</v>
      </c>
      <c r="Q1308" t="s">
        <v>4903</v>
      </c>
      <c r="R1308" t="s">
        <v>1337</v>
      </c>
    </row>
    <row r="1309" spans="1:18" hidden="1" x14ac:dyDescent="0.25">
      <c r="A1309" t="s">
        <v>1744</v>
      </c>
      <c r="B1309" t="s">
        <v>47</v>
      </c>
      <c r="C1309" t="s">
        <v>48</v>
      </c>
      <c r="D1309" t="s">
        <v>16</v>
      </c>
      <c r="E1309" t="s">
        <v>819</v>
      </c>
      <c r="F1309" t="s">
        <v>152</v>
      </c>
      <c r="G1309" t="s">
        <v>2593</v>
      </c>
      <c r="H1309" s="15">
        <v>642600</v>
      </c>
      <c r="I1309" s="15">
        <v>0</v>
      </c>
      <c r="J1309" t="s">
        <v>154</v>
      </c>
      <c r="K1309" t="s">
        <v>28</v>
      </c>
      <c r="L1309" s="2">
        <v>44287</v>
      </c>
      <c r="M1309" t="s">
        <v>2594</v>
      </c>
      <c r="N1309">
        <v>0</v>
      </c>
      <c r="O1309" t="s">
        <v>4903</v>
      </c>
      <c r="P1309">
        <v>0</v>
      </c>
      <c r="Q1309" t="s">
        <v>4903</v>
      </c>
      <c r="R1309" t="s">
        <v>1744</v>
      </c>
    </row>
    <row r="1310" spans="1:18" hidden="1" x14ac:dyDescent="0.25">
      <c r="A1310" t="s">
        <v>4140</v>
      </c>
      <c r="B1310" t="s">
        <v>478</v>
      </c>
      <c r="C1310" t="s">
        <v>15</v>
      </c>
      <c r="D1310" t="s">
        <v>16</v>
      </c>
      <c r="E1310" t="s">
        <v>819</v>
      </c>
      <c r="F1310" t="s">
        <v>140</v>
      </c>
      <c r="G1310" t="s">
        <v>4141</v>
      </c>
      <c r="H1310" s="15">
        <v>1097775</v>
      </c>
      <c r="I1310" s="15">
        <v>0</v>
      </c>
      <c r="J1310" t="s">
        <v>20</v>
      </c>
      <c r="K1310" t="s">
        <v>28</v>
      </c>
      <c r="L1310" s="2">
        <v>44287</v>
      </c>
      <c r="M1310" t="s">
        <v>4142</v>
      </c>
      <c r="N1310">
        <v>0</v>
      </c>
      <c r="O1310" t="s">
        <v>4903</v>
      </c>
      <c r="P1310">
        <v>0</v>
      </c>
      <c r="Q1310" t="s">
        <v>4903</v>
      </c>
      <c r="R1310" t="s">
        <v>4140</v>
      </c>
    </row>
    <row r="1311" spans="1:18" hidden="1" x14ac:dyDescent="0.25">
      <c r="A1311" t="s">
        <v>818</v>
      </c>
      <c r="B1311" t="s">
        <v>14</v>
      </c>
      <c r="C1311" t="s">
        <v>15</v>
      </c>
      <c r="D1311" t="s">
        <v>16</v>
      </c>
      <c r="E1311" t="s">
        <v>819</v>
      </c>
      <c r="F1311" t="s">
        <v>42</v>
      </c>
      <c r="G1311" t="s">
        <v>820</v>
      </c>
      <c r="H1311" s="15">
        <v>921825</v>
      </c>
      <c r="I1311" s="15">
        <v>0</v>
      </c>
      <c r="J1311" t="s">
        <v>20</v>
      </c>
      <c r="K1311" t="s">
        <v>28</v>
      </c>
      <c r="L1311" s="2">
        <v>44287</v>
      </c>
      <c r="M1311" t="s">
        <v>821</v>
      </c>
      <c r="N1311">
        <v>0</v>
      </c>
      <c r="O1311" t="s">
        <v>4903</v>
      </c>
      <c r="P1311">
        <v>0</v>
      </c>
      <c r="Q1311" t="s">
        <v>4903</v>
      </c>
      <c r="R1311" t="s">
        <v>818</v>
      </c>
    </row>
    <row r="1312" spans="1:18" hidden="1" x14ac:dyDescent="0.25">
      <c r="A1312" t="s">
        <v>2251</v>
      </c>
      <c r="B1312" t="s">
        <v>898</v>
      </c>
      <c r="C1312" t="s">
        <v>39</v>
      </c>
      <c r="D1312" t="s">
        <v>16</v>
      </c>
      <c r="E1312" t="s">
        <v>819</v>
      </c>
      <c r="F1312" t="s">
        <v>34</v>
      </c>
      <c r="G1312" t="s">
        <v>3007</v>
      </c>
      <c r="H1312" s="15">
        <v>543150</v>
      </c>
      <c r="I1312" s="15">
        <v>0</v>
      </c>
      <c r="J1312" t="s">
        <v>20</v>
      </c>
      <c r="K1312" t="s">
        <v>21</v>
      </c>
      <c r="L1312" s="2">
        <v>44287</v>
      </c>
      <c r="M1312" t="s">
        <v>3008</v>
      </c>
      <c r="N1312">
        <v>0</v>
      </c>
      <c r="O1312" t="s">
        <v>4903</v>
      </c>
      <c r="P1312">
        <v>0</v>
      </c>
      <c r="Q1312" t="s">
        <v>4903</v>
      </c>
      <c r="R1312" t="s">
        <v>2251</v>
      </c>
    </row>
    <row r="1313" spans="1:18" hidden="1" x14ac:dyDescent="0.25">
      <c r="A1313" t="s">
        <v>2967</v>
      </c>
      <c r="B1313" t="s">
        <v>24</v>
      </c>
      <c r="C1313" t="s">
        <v>15</v>
      </c>
      <c r="D1313" t="s">
        <v>16</v>
      </c>
      <c r="E1313" t="s">
        <v>819</v>
      </c>
      <c r="F1313" t="s">
        <v>34</v>
      </c>
      <c r="G1313" t="s">
        <v>2968</v>
      </c>
      <c r="H1313" s="15">
        <v>558450</v>
      </c>
      <c r="I1313" s="15">
        <v>0</v>
      </c>
      <c r="J1313" t="s">
        <v>20</v>
      </c>
      <c r="K1313" t="s">
        <v>28</v>
      </c>
      <c r="L1313" s="2">
        <v>44287</v>
      </c>
      <c r="M1313" t="s">
        <v>2969</v>
      </c>
      <c r="N1313">
        <v>0</v>
      </c>
      <c r="O1313" t="s">
        <v>4903</v>
      </c>
      <c r="P1313">
        <v>0</v>
      </c>
      <c r="Q1313" t="s">
        <v>4903</v>
      </c>
      <c r="R1313" t="s">
        <v>2967</v>
      </c>
    </row>
    <row r="1314" spans="1:18" hidden="1" x14ac:dyDescent="0.25">
      <c r="A1314" t="s">
        <v>292</v>
      </c>
      <c r="B1314" t="s">
        <v>84</v>
      </c>
      <c r="C1314" t="s">
        <v>15</v>
      </c>
      <c r="D1314" t="s">
        <v>16</v>
      </c>
      <c r="E1314" t="s">
        <v>819</v>
      </c>
      <c r="F1314" t="s">
        <v>42</v>
      </c>
      <c r="G1314" t="s">
        <v>1100</v>
      </c>
      <c r="H1314" s="15">
        <v>669375</v>
      </c>
      <c r="I1314" s="15">
        <v>0</v>
      </c>
      <c r="J1314" t="s">
        <v>20</v>
      </c>
      <c r="K1314" t="s">
        <v>28</v>
      </c>
      <c r="L1314" s="2">
        <v>44287</v>
      </c>
      <c r="M1314" t="s">
        <v>1101</v>
      </c>
      <c r="N1314">
        <v>0</v>
      </c>
      <c r="O1314" t="s">
        <v>4903</v>
      </c>
      <c r="P1314">
        <v>0</v>
      </c>
      <c r="Q1314" t="s">
        <v>4903</v>
      </c>
      <c r="R1314" t="s">
        <v>292</v>
      </c>
    </row>
    <row r="1315" spans="1:18" hidden="1" x14ac:dyDescent="0.25">
      <c r="A1315" t="s">
        <v>2182</v>
      </c>
      <c r="B1315" t="s">
        <v>14</v>
      </c>
      <c r="C1315" t="s">
        <v>15</v>
      </c>
      <c r="D1315" t="s">
        <v>16</v>
      </c>
      <c r="E1315" t="s">
        <v>819</v>
      </c>
      <c r="F1315" t="s">
        <v>140</v>
      </c>
      <c r="G1315" t="s">
        <v>2183</v>
      </c>
      <c r="H1315" s="15">
        <v>650252</v>
      </c>
      <c r="I1315" s="15">
        <v>0</v>
      </c>
      <c r="J1315" t="s">
        <v>154</v>
      </c>
      <c r="K1315" t="s">
        <v>28</v>
      </c>
      <c r="L1315" s="2">
        <v>44287</v>
      </c>
      <c r="M1315" t="s">
        <v>2184</v>
      </c>
      <c r="N1315">
        <v>0</v>
      </c>
      <c r="O1315" t="s">
        <v>4903</v>
      </c>
      <c r="P1315">
        <v>0</v>
      </c>
      <c r="Q1315" t="s">
        <v>4903</v>
      </c>
      <c r="R1315" t="s">
        <v>2182</v>
      </c>
    </row>
    <row r="1316" spans="1:18" hidden="1" x14ac:dyDescent="0.25">
      <c r="A1316" t="s">
        <v>2036</v>
      </c>
      <c r="B1316" t="s">
        <v>61</v>
      </c>
      <c r="C1316" t="s">
        <v>62</v>
      </c>
      <c r="D1316" t="s">
        <v>16</v>
      </c>
      <c r="E1316" t="s">
        <v>819</v>
      </c>
      <c r="F1316" t="s">
        <v>152</v>
      </c>
      <c r="G1316" t="s">
        <v>2037</v>
      </c>
      <c r="H1316" s="15">
        <v>1071000</v>
      </c>
      <c r="I1316" s="15">
        <v>0</v>
      </c>
      <c r="J1316" t="s">
        <v>20</v>
      </c>
      <c r="K1316" t="s">
        <v>28</v>
      </c>
      <c r="L1316" s="2">
        <v>44287</v>
      </c>
      <c r="M1316" t="s">
        <v>2038</v>
      </c>
      <c r="N1316">
        <v>0</v>
      </c>
      <c r="O1316" t="s">
        <v>4903</v>
      </c>
      <c r="P1316">
        <v>0</v>
      </c>
      <c r="Q1316" t="s">
        <v>4903</v>
      </c>
      <c r="R1316" t="s">
        <v>2036</v>
      </c>
    </row>
    <row r="1317" spans="1:18" hidden="1" x14ac:dyDescent="0.25">
      <c r="A1317" t="s">
        <v>2308</v>
      </c>
      <c r="B1317" t="s">
        <v>14</v>
      </c>
      <c r="C1317" t="s">
        <v>15</v>
      </c>
      <c r="D1317" t="s">
        <v>16</v>
      </c>
      <c r="E1317" t="s">
        <v>819</v>
      </c>
      <c r="F1317" t="s">
        <v>26</v>
      </c>
      <c r="G1317" t="s">
        <v>2309</v>
      </c>
      <c r="H1317" s="15">
        <v>765000</v>
      </c>
      <c r="I1317" s="15">
        <v>0</v>
      </c>
      <c r="J1317" t="s">
        <v>20</v>
      </c>
      <c r="K1317" t="s">
        <v>28</v>
      </c>
      <c r="L1317" s="2">
        <v>44287</v>
      </c>
      <c r="M1317" t="s">
        <v>2310</v>
      </c>
      <c r="N1317">
        <v>0</v>
      </c>
      <c r="O1317" t="s">
        <v>4903</v>
      </c>
      <c r="P1317">
        <v>0</v>
      </c>
      <c r="Q1317" t="s">
        <v>4903</v>
      </c>
      <c r="R1317" t="s">
        <v>2308</v>
      </c>
    </row>
    <row r="1318" spans="1:18" hidden="1" x14ac:dyDescent="0.25">
      <c r="A1318" t="s">
        <v>2407</v>
      </c>
      <c r="B1318" t="s">
        <v>14</v>
      </c>
      <c r="C1318" t="s">
        <v>15</v>
      </c>
      <c r="D1318" t="s">
        <v>16</v>
      </c>
      <c r="E1318" t="s">
        <v>819</v>
      </c>
      <c r="F1318" t="s">
        <v>140</v>
      </c>
      <c r="G1318" t="s">
        <v>2916</v>
      </c>
      <c r="H1318" s="15">
        <v>960075</v>
      </c>
      <c r="I1318" s="15">
        <v>0</v>
      </c>
      <c r="J1318" t="s">
        <v>20</v>
      </c>
      <c r="K1318" t="s">
        <v>28</v>
      </c>
      <c r="L1318" s="2">
        <v>44287</v>
      </c>
      <c r="M1318" t="s">
        <v>2917</v>
      </c>
      <c r="N1318">
        <v>0</v>
      </c>
      <c r="O1318" t="s">
        <v>4903</v>
      </c>
      <c r="P1318">
        <v>0</v>
      </c>
      <c r="Q1318" t="s">
        <v>4903</v>
      </c>
      <c r="R1318" t="s">
        <v>2407</v>
      </c>
    </row>
    <row r="1319" spans="1:18" hidden="1" x14ac:dyDescent="0.25">
      <c r="A1319" t="s">
        <v>1618</v>
      </c>
      <c r="B1319" t="s">
        <v>898</v>
      </c>
      <c r="C1319" t="s">
        <v>39</v>
      </c>
      <c r="D1319" t="s">
        <v>16</v>
      </c>
      <c r="E1319" t="s">
        <v>819</v>
      </c>
      <c r="F1319" t="s">
        <v>34</v>
      </c>
      <c r="G1319" t="s">
        <v>1621</v>
      </c>
      <c r="H1319" s="15">
        <v>673200</v>
      </c>
      <c r="I1319" s="15">
        <v>0</v>
      </c>
      <c r="J1319" t="s">
        <v>20</v>
      </c>
      <c r="K1319" t="s">
        <v>21</v>
      </c>
      <c r="L1319" s="2">
        <v>44287</v>
      </c>
      <c r="M1319" t="s">
        <v>1622</v>
      </c>
      <c r="N1319">
        <v>2</v>
      </c>
      <c r="O1319" t="s">
        <v>4903</v>
      </c>
      <c r="P1319">
        <v>0</v>
      </c>
      <c r="Q1319" t="s">
        <v>4903</v>
      </c>
      <c r="R1319" t="s">
        <v>1618</v>
      </c>
    </row>
    <row r="1320" spans="1:18" hidden="1" x14ac:dyDescent="0.25">
      <c r="A1320" t="s">
        <v>1626</v>
      </c>
      <c r="B1320" t="s">
        <v>14</v>
      </c>
      <c r="C1320" t="s">
        <v>15</v>
      </c>
      <c r="D1320" t="s">
        <v>16</v>
      </c>
      <c r="E1320" t="s">
        <v>819</v>
      </c>
      <c r="F1320" t="s">
        <v>140</v>
      </c>
      <c r="G1320" t="s">
        <v>4647</v>
      </c>
      <c r="H1320" s="15">
        <v>990676</v>
      </c>
      <c r="I1320" s="15">
        <v>0</v>
      </c>
      <c r="J1320" t="s">
        <v>154</v>
      </c>
      <c r="K1320" t="s">
        <v>28</v>
      </c>
      <c r="L1320" s="2">
        <v>44287</v>
      </c>
      <c r="M1320" t="s">
        <v>4648</v>
      </c>
      <c r="N1320">
        <v>0</v>
      </c>
      <c r="O1320" t="s">
        <v>4903</v>
      </c>
      <c r="P1320">
        <v>0</v>
      </c>
      <c r="Q1320" t="s">
        <v>4903</v>
      </c>
      <c r="R1320" t="s">
        <v>1626</v>
      </c>
    </row>
    <row r="1321" spans="1:18" hidden="1" x14ac:dyDescent="0.25">
      <c r="A1321" t="s">
        <v>1650</v>
      </c>
      <c r="B1321" t="s">
        <v>489</v>
      </c>
      <c r="C1321" t="s">
        <v>39</v>
      </c>
      <c r="D1321" t="s">
        <v>16</v>
      </c>
      <c r="E1321" t="s">
        <v>819</v>
      </c>
      <c r="F1321" t="s">
        <v>26</v>
      </c>
      <c r="G1321" t="s">
        <v>1857</v>
      </c>
      <c r="H1321" s="15">
        <v>1067175</v>
      </c>
      <c r="I1321" s="15">
        <v>0</v>
      </c>
      <c r="J1321" t="s">
        <v>20</v>
      </c>
      <c r="K1321" t="s">
        <v>28</v>
      </c>
      <c r="L1321" s="2">
        <v>44287</v>
      </c>
      <c r="M1321" t="s">
        <v>1858</v>
      </c>
      <c r="N1321">
        <v>0</v>
      </c>
      <c r="O1321" t="s">
        <v>4903</v>
      </c>
      <c r="P1321">
        <v>0</v>
      </c>
      <c r="Q1321" t="s">
        <v>4903</v>
      </c>
      <c r="R1321" t="s">
        <v>1650</v>
      </c>
    </row>
    <row r="1322" spans="1:18" hidden="1" x14ac:dyDescent="0.25">
      <c r="A1322" t="s">
        <v>2141</v>
      </c>
      <c r="B1322" t="s">
        <v>84</v>
      </c>
      <c r="C1322" t="s">
        <v>15</v>
      </c>
      <c r="D1322" t="s">
        <v>16</v>
      </c>
      <c r="E1322" t="s">
        <v>819</v>
      </c>
      <c r="F1322" t="s">
        <v>26</v>
      </c>
      <c r="G1322" t="s">
        <v>2142</v>
      </c>
      <c r="H1322" s="15">
        <v>898875</v>
      </c>
      <c r="I1322" s="15">
        <v>0</v>
      </c>
      <c r="J1322" t="s">
        <v>20</v>
      </c>
      <c r="K1322" t="s">
        <v>28</v>
      </c>
      <c r="L1322" s="2">
        <v>44287</v>
      </c>
      <c r="M1322" t="s">
        <v>2143</v>
      </c>
      <c r="N1322">
        <v>0</v>
      </c>
      <c r="O1322" t="s">
        <v>4903</v>
      </c>
      <c r="P1322">
        <v>0</v>
      </c>
      <c r="Q1322" t="s">
        <v>4903</v>
      </c>
      <c r="R1322" t="s">
        <v>2141</v>
      </c>
    </row>
    <row r="1323" spans="1:18" hidden="1" x14ac:dyDescent="0.25">
      <c r="A1323" t="s">
        <v>1929</v>
      </c>
      <c r="B1323" t="s">
        <v>77</v>
      </c>
      <c r="C1323" t="s">
        <v>15</v>
      </c>
      <c r="D1323" t="s">
        <v>16</v>
      </c>
      <c r="E1323" t="s">
        <v>819</v>
      </c>
      <c r="F1323" t="s">
        <v>34</v>
      </c>
      <c r="G1323" t="s">
        <v>2660</v>
      </c>
      <c r="H1323" s="15">
        <v>627635</v>
      </c>
      <c r="I1323" s="15">
        <v>0</v>
      </c>
      <c r="J1323" t="s">
        <v>20</v>
      </c>
      <c r="K1323" t="s">
        <v>21</v>
      </c>
      <c r="L1323" s="2">
        <v>44287</v>
      </c>
      <c r="M1323" t="s">
        <v>2661</v>
      </c>
      <c r="N1323">
        <v>0</v>
      </c>
      <c r="O1323" t="s">
        <v>4903</v>
      </c>
      <c r="P1323">
        <v>0</v>
      </c>
      <c r="Q1323" t="s">
        <v>4903</v>
      </c>
      <c r="R1323" t="s">
        <v>1929</v>
      </c>
    </row>
    <row r="1324" spans="1:18" hidden="1" x14ac:dyDescent="0.25">
      <c r="A1324" t="s">
        <v>919</v>
      </c>
      <c r="B1324" t="s">
        <v>315</v>
      </c>
      <c r="C1324" t="s">
        <v>39</v>
      </c>
      <c r="D1324" t="s">
        <v>16</v>
      </c>
      <c r="E1324" t="s">
        <v>819</v>
      </c>
      <c r="F1324" t="s">
        <v>26</v>
      </c>
      <c r="G1324" t="s">
        <v>2239</v>
      </c>
      <c r="H1324" s="15">
        <v>1032750</v>
      </c>
      <c r="I1324" s="15">
        <v>0</v>
      </c>
      <c r="J1324" t="s">
        <v>20</v>
      </c>
      <c r="K1324" t="s">
        <v>28</v>
      </c>
      <c r="L1324" s="2">
        <v>44287</v>
      </c>
      <c r="M1324" t="s">
        <v>2240</v>
      </c>
      <c r="N1324">
        <v>0</v>
      </c>
      <c r="O1324" t="s">
        <v>4903</v>
      </c>
      <c r="P1324">
        <v>0</v>
      </c>
      <c r="Q1324" t="s">
        <v>4903</v>
      </c>
      <c r="R1324" t="s">
        <v>919</v>
      </c>
    </row>
    <row r="1325" spans="1:18" hidden="1" x14ac:dyDescent="0.25">
      <c r="A1325" t="s">
        <v>699</v>
      </c>
      <c r="B1325" t="s">
        <v>84</v>
      </c>
      <c r="C1325" t="s">
        <v>15</v>
      </c>
      <c r="D1325" t="s">
        <v>16</v>
      </c>
      <c r="E1325" t="s">
        <v>819</v>
      </c>
      <c r="F1325" t="s">
        <v>18</v>
      </c>
      <c r="G1325" t="s">
        <v>3281</v>
      </c>
      <c r="H1325" s="15">
        <v>929475</v>
      </c>
      <c r="I1325" s="15">
        <v>0</v>
      </c>
      <c r="J1325" t="s">
        <v>20</v>
      </c>
      <c r="K1325" t="s">
        <v>21</v>
      </c>
      <c r="L1325" s="2">
        <v>44287</v>
      </c>
      <c r="M1325" t="s">
        <v>3282</v>
      </c>
      <c r="N1325">
        <v>1</v>
      </c>
      <c r="O1325" t="s">
        <v>4903</v>
      </c>
      <c r="P1325">
        <v>0</v>
      </c>
      <c r="Q1325" t="s">
        <v>4903</v>
      </c>
      <c r="R1325" t="s">
        <v>699</v>
      </c>
    </row>
    <row r="1326" spans="1:18" hidden="1" x14ac:dyDescent="0.25">
      <c r="A1326" t="s">
        <v>1019</v>
      </c>
      <c r="B1326" t="s">
        <v>1020</v>
      </c>
      <c r="C1326" t="s">
        <v>15</v>
      </c>
      <c r="D1326" t="s">
        <v>16</v>
      </c>
      <c r="E1326" t="s">
        <v>819</v>
      </c>
      <c r="F1326" t="s">
        <v>34</v>
      </c>
      <c r="G1326" t="s">
        <v>1332</v>
      </c>
      <c r="H1326" s="15">
        <v>631125</v>
      </c>
      <c r="I1326" s="15">
        <v>0</v>
      </c>
      <c r="J1326" t="s">
        <v>20</v>
      </c>
      <c r="K1326" t="s">
        <v>21</v>
      </c>
      <c r="L1326" s="2">
        <v>44287</v>
      </c>
      <c r="M1326" t="s">
        <v>1333</v>
      </c>
      <c r="N1326">
        <v>0</v>
      </c>
      <c r="O1326" t="s">
        <v>4903</v>
      </c>
      <c r="P1326">
        <v>0</v>
      </c>
      <c r="Q1326" t="s">
        <v>4903</v>
      </c>
      <c r="R1326" t="s">
        <v>1019</v>
      </c>
    </row>
    <row r="1327" spans="1:18" hidden="1" x14ac:dyDescent="0.25">
      <c r="A1327" t="s">
        <v>1935</v>
      </c>
      <c r="B1327" t="s">
        <v>14</v>
      </c>
      <c r="C1327" t="s">
        <v>15</v>
      </c>
      <c r="D1327" t="s">
        <v>16</v>
      </c>
      <c r="E1327" t="s">
        <v>819</v>
      </c>
      <c r="F1327" t="s">
        <v>152</v>
      </c>
      <c r="G1327" t="s">
        <v>4329</v>
      </c>
      <c r="H1327" s="15">
        <v>1224000</v>
      </c>
      <c r="I1327" s="15">
        <v>0</v>
      </c>
      <c r="J1327" t="s">
        <v>20</v>
      </c>
      <c r="K1327" t="s">
        <v>28</v>
      </c>
      <c r="L1327" s="2">
        <v>44287</v>
      </c>
      <c r="M1327" t="s">
        <v>4330</v>
      </c>
      <c r="N1327">
        <v>0</v>
      </c>
      <c r="O1327" t="s">
        <v>4903</v>
      </c>
      <c r="P1327">
        <v>0</v>
      </c>
      <c r="Q1327" t="s">
        <v>4903</v>
      </c>
      <c r="R1327" t="s">
        <v>1935</v>
      </c>
    </row>
    <row r="1328" spans="1:18" hidden="1" x14ac:dyDescent="0.25">
      <c r="A1328" t="s">
        <v>1079</v>
      </c>
      <c r="B1328" t="s">
        <v>47</v>
      </c>
      <c r="C1328" t="s">
        <v>48</v>
      </c>
      <c r="D1328" t="s">
        <v>16</v>
      </c>
      <c r="E1328" t="s">
        <v>819</v>
      </c>
      <c r="F1328" t="s">
        <v>140</v>
      </c>
      <c r="G1328" t="s">
        <v>4007</v>
      </c>
      <c r="H1328" s="15">
        <v>1120725</v>
      </c>
      <c r="I1328" s="15">
        <v>0</v>
      </c>
      <c r="J1328" t="s">
        <v>20</v>
      </c>
      <c r="K1328" t="s">
        <v>28</v>
      </c>
      <c r="L1328" s="2">
        <v>44287</v>
      </c>
      <c r="M1328" t="s">
        <v>4008</v>
      </c>
      <c r="N1328">
        <v>0</v>
      </c>
      <c r="O1328" t="s">
        <v>4903</v>
      </c>
      <c r="P1328">
        <v>0</v>
      </c>
      <c r="Q1328" t="s">
        <v>4903</v>
      </c>
      <c r="R1328" t="s">
        <v>1079</v>
      </c>
    </row>
    <row r="1329" spans="1:18" hidden="1" x14ac:dyDescent="0.25">
      <c r="A1329" t="s">
        <v>1205</v>
      </c>
      <c r="B1329" t="s">
        <v>406</v>
      </c>
      <c r="C1329" t="s">
        <v>62</v>
      </c>
      <c r="D1329" t="s">
        <v>16</v>
      </c>
      <c r="E1329" t="s">
        <v>819</v>
      </c>
      <c r="F1329" t="s">
        <v>18</v>
      </c>
      <c r="G1329" t="s">
        <v>4088</v>
      </c>
      <c r="H1329" s="15">
        <v>757350</v>
      </c>
      <c r="I1329" s="15">
        <v>0</v>
      </c>
      <c r="J1329" t="s">
        <v>20</v>
      </c>
      <c r="K1329" t="s">
        <v>28</v>
      </c>
      <c r="L1329" s="2">
        <v>44287</v>
      </c>
      <c r="M1329" t="s">
        <v>4089</v>
      </c>
      <c r="N1329">
        <v>0</v>
      </c>
      <c r="O1329" t="s">
        <v>4903</v>
      </c>
      <c r="P1329">
        <v>0</v>
      </c>
      <c r="Q1329" t="s">
        <v>4903</v>
      </c>
      <c r="R1329" t="s">
        <v>1205</v>
      </c>
    </row>
    <row r="1330" spans="1:18" hidden="1" x14ac:dyDescent="0.25">
      <c r="A1330" t="s">
        <v>3258</v>
      </c>
      <c r="B1330" t="s">
        <v>14</v>
      </c>
      <c r="C1330" t="s">
        <v>15</v>
      </c>
      <c r="D1330" t="s">
        <v>16</v>
      </c>
      <c r="E1330" t="s">
        <v>819</v>
      </c>
      <c r="F1330" t="s">
        <v>34</v>
      </c>
      <c r="G1330" t="s">
        <v>3966</v>
      </c>
      <c r="H1330" s="15">
        <v>956250</v>
      </c>
      <c r="I1330" s="15">
        <v>0</v>
      </c>
      <c r="J1330" t="s">
        <v>20</v>
      </c>
      <c r="K1330" t="s">
        <v>28</v>
      </c>
      <c r="L1330" s="2">
        <v>44287</v>
      </c>
      <c r="M1330" t="s">
        <v>3967</v>
      </c>
      <c r="N1330">
        <v>0</v>
      </c>
      <c r="O1330" t="s">
        <v>4903</v>
      </c>
      <c r="P1330">
        <v>0</v>
      </c>
      <c r="Q1330" t="s">
        <v>4903</v>
      </c>
      <c r="R1330" t="s">
        <v>3258</v>
      </c>
    </row>
    <row r="1331" spans="1:18" hidden="1" x14ac:dyDescent="0.25">
      <c r="A1331" t="s">
        <v>1808</v>
      </c>
      <c r="B1331" t="s">
        <v>14</v>
      </c>
      <c r="C1331" t="s">
        <v>15</v>
      </c>
      <c r="D1331" t="s">
        <v>16</v>
      </c>
      <c r="E1331" t="s">
        <v>819</v>
      </c>
      <c r="F1331" t="s">
        <v>26</v>
      </c>
      <c r="G1331" t="s">
        <v>2605</v>
      </c>
      <c r="H1331" s="15">
        <v>1147500</v>
      </c>
      <c r="I1331" s="15">
        <v>0</v>
      </c>
      <c r="J1331" t="s">
        <v>20</v>
      </c>
      <c r="K1331" t="s">
        <v>28</v>
      </c>
      <c r="L1331" s="2">
        <v>44287</v>
      </c>
      <c r="M1331" t="s">
        <v>2606</v>
      </c>
      <c r="N1331">
        <v>1</v>
      </c>
      <c r="O1331" t="s">
        <v>4903</v>
      </c>
      <c r="P1331">
        <v>0</v>
      </c>
      <c r="Q1331" t="s">
        <v>4903</v>
      </c>
      <c r="R1331" t="s">
        <v>1808</v>
      </c>
    </row>
    <row r="1332" spans="1:18" hidden="1" x14ac:dyDescent="0.25">
      <c r="A1332" t="s">
        <v>2489</v>
      </c>
      <c r="B1332" t="s">
        <v>406</v>
      </c>
      <c r="C1332" t="s">
        <v>62</v>
      </c>
      <c r="D1332" t="s">
        <v>16</v>
      </c>
      <c r="E1332" t="s">
        <v>92</v>
      </c>
      <c r="F1332" t="s">
        <v>152</v>
      </c>
      <c r="G1332" t="s">
        <v>2490</v>
      </c>
      <c r="H1332" s="15">
        <v>508726</v>
      </c>
      <c r="I1332" s="15">
        <v>0</v>
      </c>
      <c r="J1332" t="s">
        <v>20</v>
      </c>
      <c r="K1332" t="s">
        <v>28</v>
      </c>
      <c r="L1332" s="2">
        <v>44470</v>
      </c>
      <c r="M1332" t="s">
        <v>2491</v>
      </c>
      <c r="N1332">
        <v>0</v>
      </c>
      <c r="O1332" t="s">
        <v>4903</v>
      </c>
      <c r="P1332">
        <v>0</v>
      </c>
      <c r="Q1332" t="s">
        <v>4903</v>
      </c>
      <c r="R1332" t="s">
        <v>2489</v>
      </c>
    </row>
    <row r="1333" spans="1:18" hidden="1" x14ac:dyDescent="0.25">
      <c r="A1333" t="s">
        <v>2117</v>
      </c>
      <c r="B1333" t="s">
        <v>47</v>
      </c>
      <c r="C1333" t="s">
        <v>48</v>
      </c>
      <c r="D1333" t="s">
        <v>16</v>
      </c>
      <c r="E1333" t="s">
        <v>92</v>
      </c>
      <c r="F1333" t="s">
        <v>42</v>
      </c>
      <c r="G1333" t="s">
        <v>4132</v>
      </c>
      <c r="H1333" s="15">
        <v>979200</v>
      </c>
      <c r="I1333" s="15">
        <v>0</v>
      </c>
      <c r="J1333" t="s">
        <v>20</v>
      </c>
      <c r="K1333" t="s">
        <v>28</v>
      </c>
      <c r="L1333" s="2">
        <v>44470</v>
      </c>
      <c r="M1333" t="s">
        <v>4133</v>
      </c>
      <c r="N1333">
        <v>0</v>
      </c>
      <c r="O1333" t="s">
        <v>4903</v>
      </c>
      <c r="P1333">
        <v>0</v>
      </c>
      <c r="Q1333" t="s">
        <v>4903</v>
      </c>
      <c r="R1333" t="s">
        <v>2117</v>
      </c>
    </row>
    <row r="1334" spans="1:18" hidden="1" x14ac:dyDescent="0.25">
      <c r="A1334" t="s">
        <v>2462</v>
      </c>
      <c r="B1334" t="s">
        <v>113</v>
      </c>
      <c r="C1334" t="s">
        <v>15</v>
      </c>
      <c r="D1334" t="s">
        <v>16</v>
      </c>
      <c r="E1334" t="s">
        <v>92</v>
      </c>
      <c r="F1334" t="s">
        <v>34</v>
      </c>
      <c r="G1334" t="s">
        <v>3271</v>
      </c>
      <c r="H1334" s="15">
        <v>592876</v>
      </c>
      <c r="I1334" s="15">
        <v>0</v>
      </c>
      <c r="J1334" t="s">
        <v>20</v>
      </c>
      <c r="K1334" t="s">
        <v>116</v>
      </c>
      <c r="L1334" s="2">
        <v>44470</v>
      </c>
      <c r="M1334" t="s">
        <v>3272</v>
      </c>
      <c r="N1334">
        <v>0</v>
      </c>
      <c r="O1334" t="s">
        <v>4903</v>
      </c>
      <c r="P1334">
        <v>0</v>
      </c>
      <c r="Q1334" t="s">
        <v>4903</v>
      </c>
      <c r="R1334" t="s">
        <v>2462</v>
      </c>
    </row>
    <row r="1335" spans="1:18" hidden="1" x14ac:dyDescent="0.25">
      <c r="A1335" t="s">
        <v>2578</v>
      </c>
      <c r="B1335" t="s">
        <v>126</v>
      </c>
      <c r="C1335" t="s">
        <v>39</v>
      </c>
      <c r="D1335" t="s">
        <v>4512</v>
      </c>
      <c r="E1335" t="s">
        <v>4513</v>
      </c>
      <c r="F1335" t="s">
        <v>18</v>
      </c>
      <c r="G1335" t="s">
        <v>4510</v>
      </c>
      <c r="H1335" s="15">
        <v>100000</v>
      </c>
      <c r="I1335" s="15">
        <v>0</v>
      </c>
      <c r="J1335" t="s">
        <v>44</v>
      </c>
      <c r="K1335" t="s">
        <v>322</v>
      </c>
      <c r="L1335" s="2">
        <v>44470</v>
      </c>
      <c r="M1335" t="s">
        <v>4511</v>
      </c>
      <c r="N1335">
        <v>0</v>
      </c>
      <c r="O1335" t="s">
        <v>4903</v>
      </c>
      <c r="P1335">
        <v>0</v>
      </c>
      <c r="Q1335" t="s">
        <v>4903</v>
      </c>
      <c r="R1335" t="s">
        <v>2578</v>
      </c>
    </row>
    <row r="1336" spans="1:18" hidden="1" x14ac:dyDescent="0.25">
      <c r="A1336" t="s">
        <v>2578</v>
      </c>
      <c r="B1336" t="s">
        <v>126</v>
      </c>
      <c r="C1336" t="s">
        <v>39</v>
      </c>
      <c r="D1336" t="s">
        <v>16</v>
      </c>
      <c r="E1336" t="s">
        <v>92</v>
      </c>
      <c r="F1336" t="s">
        <v>18</v>
      </c>
      <c r="G1336" t="s">
        <v>4510</v>
      </c>
      <c r="H1336" s="15">
        <v>868276</v>
      </c>
      <c r="I1336" s="15">
        <v>0</v>
      </c>
      <c r="J1336" t="s">
        <v>20</v>
      </c>
      <c r="K1336" t="s">
        <v>322</v>
      </c>
      <c r="L1336" s="2">
        <v>44470</v>
      </c>
      <c r="M1336" t="s">
        <v>4511</v>
      </c>
      <c r="N1336">
        <v>0</v>
      </c>
      <c r="O1336" t="s">
        <v>4903</v>
      </c>
      <c r="P1336">
        <v>0</v>
      </c>
      <c r="Q1336" t="s">
        <v>4903</v>
      </c>
      <c r="R1336" t="s">
        <v>2578</v>
      </c>
    </row>
    <row r="1337" spans="1:18" hidden="1" x14ac:dyDescent="0.25">
      <c r="A1337" t="s">
        <v>60</v>
      </c>
      <c r="B1337" t="s">
        <v>61</v>
      </c>
      <c r="C1337" t="s">
        <v>62</v>
      </c>
      <c r="D1337" t="s">
        <v>16</v>
      </c>
      <c r="E1337" t="s">
        <v>92</v>
      </c>
      <c r="F1337" t="s">
        <v>34</v>
      </c>
      <c r="G1337" t="s">
        <v>3510</v>
      </c>
      <c r="H1337" s="15">
        <v>963900</v>
      </c>
      <c r="I1337" s="15">
        <v>0</v>
      </c>
      <c r="J1337" t="s">
        <v>20</v>
      </c>
      <c r="K1337" t="s">
        <v>65</v>
      </c>
      <c r="L1337" s="2">
        <v>44470</v>
      </c>
      <c r="M1337" t="s">
        <v>3511</v>
      </c>
      <c r="N1337">
        <v>0</v>
      </c>
      <c r="O1337" t="s">
        <v>4903</v>
      </c>
      <c r="P1337">
        <v>0</v>
      </c>
      <c r="Q1337" t="s">
        <v>4903</v>
      </c>
      <c r="R1337" t="s">
        <v>60</v>
      </c>
    </row>
    <row r="1338" spans="1:18" hidden="1" x14ac:dyDescent="0.25">
      <c r="A1338" t="s">
        <v>1854</v>
      </c>
      <c r="B1338" t="s">
        <v>38</v>
      </c>
      <c r="C1338" t="s">
        <v>39</v>
      </c>
      <c r="D1338" t="s">
        <v>16</v>
      </c>
      <c r="E1338" t="s">
        <v>92</v>
      </c>
      <c r="F1338" t="s">
        <v>42</v>
      </c>
      <c r="G1338" t="s">
        <v>1855</v>
      </c>
      <c r="H1338" s="15">
        <v>944776</v>
      </c>
      <c r="I1338" s="15">
        <v>0</v>
      </c>
      <c r="J1338" t="s">
        <v>20</v>
      </c>
      <c r="K1338" t="s">
        <v>28</v>
      </c>
      <c r="L1338" s="2">
        <v>44470</v>
      </c>
      <c r="M1338" t="s">
        <v>1856</v>
      </c>
      <c r="N1338">
        <v>0</v>
      </c>
      <c r="O1338" t="s">
        <v>4903</v>
      </c>
      <c r="P1338">
        <v>0</v>
      </c>
      <c r="Q1338" t="s">
        <v>4903</v>
      </c>
      <c r="R1338" t="s">
        <v>1854</v>
      </c>
    </row>
    <row r="1339" spans="1:18" hidden="1" x14ac:dyDescent="0.25">
      <c r="A1339" t="s">
        <v>1467</v>
      </c>
      <c r="B1339" t="s">
        <v>489</v>
      </c>
      <c r="C1339" t="s">
        <v>39</v>
      </c>
      <c r="D1339" t="s">
        <v>16</v>
      </c>
      <c r="E1339" t="s">
        <v>92</v>
      </c>
      <c r="F1339" t="s">
        <v>34</v>
      </c>
      <c r="G1339" t="s">
        <v>2613</v>
      </c>
      <c r="H1339" s="15">
        <v>692326</v>
      </c>
      <c r="I1339" s="15">
        <v>0</v>
      </c>
      <c r="J1339" t="s">
        <v>20</v>
      </c>
      <c r="K1339" t="s">
        <v>116</v>
      </c>
      <c r="L1339" s="2">
        <v>44470</v>
      </c>
      <c r="M1339" t="s">
        <v>2614</v>
      </c>
      <c r="N1339">
        <v>0</v>
      </c>
      <c r="O1339" t="s">
        <v>4903</v>
      </c>
      <c r="P1339">
        <v>0</v>
      </c>
      <c r="Q1339" t="s">
        <v>4903</v>
      </c>
      <c r="R1339" t="s">
        <v>1467</v>
      </c>
    </row>
    <row r="1340" spans="1:18" hidden="1" x14ac:dyDescent="0.25">
      <c r="A1340" t="s">
        <v>3909</v>
      </c>
      <c r="B1340" t="s">
        <v>190</v>
      </c>
      <c r="C1340" t="s">
        <v>15</v>
      </c>
      <c r="D1340" t="s">
        <v>16</v>
      </c>
      <c r="E1340" t="s">
        <v>92</v>
      </c>
      <c r="F1340" t="s">
        <v>26</v>
      </c>
      <c r="G1340" t="s">
        <v>4567</v>
      </c>
      <c r="H1340" s="15">
        <v>911116</v>
      </c>
      <c r="I1340" s="15">
        <v>0</v>
      </c>
      <c r="J1340" t="s">
        <v>20</v>
      </c>
      <c r="K1340" t="s">
        <v>28</v>
      </c>
      <c r="L1340" s="2">
        <v>44470</v>
      </c>
      <c r="M1340" t="s">
        <v>4568</v>
      </c>
      <c r="N1340">
        <v>1</v>
      </c>
      <c r="O1340" t="s">
        <v>4903</v>
      </c>
      <c r="P1340">
        <v>0</v>
      </c>
      <c r="Q1340" t="s">
        <v>4903</v>
      </c>
      <c r="R1340" t="s">
        <v>3909</v>
      </c>
    </row>
    <row r="1341" spans="1:18" hidden="1" x14ac:dyDescent="0.25">
      <c r="A1341" t="s">
        <v>2400</v>
      </c>
      <c r="B1341" t="s">
        <v>244</v>
      </c>
      <c r="C1341" t="s">
        <v>39</v>
      </c>
      <c r="D1341" t="s">
        <v>16</v>
      </c>
      <c r="E1341" t="s">
        <v>92</v>
      </c>
      <c r="F1341" t="s">
        <v>140</v>
      </c>
      <c r="G1341" t="s">
        <v>4191</v>
      </c>
      <c r="H1341" s="15">
        <v>715276</v>
      </c>
      <c r="I1341" s="15">
        <v>0</v>
      </c>
      <c r="J1341" t="s">
        <v>20</v>
      </c>
      <c r="K1341" t="s">
        <v>28</v>
      </c>
      <c r="L1341" s="2">
        <v>44470</v>
      </c>
      <c r="M1341" t="s">
        <v>4192</v>
      </c>
      <c r="N1341">
        <v>0</v>
      </c>
      <c r="O1341" t="s">
        <v>4903</v>
      </c>
      <c r="P1341">
        <v>0</v>
      </c>
      <c r="Q1341" t="s">
        <v>4903</v>
      </c>
      <c r="R1341" t="s">
        <v>2400</v>
      </c>
    </row>
    <row r="1342" spans="1:18" hidden="1" x14ac:dyDescent="0.25">
      <c r="A1342" t="s">
        <v>3485</v>
      </c>
      <c r="B1342" t="s">
        <v>61</v>
      </c>
      <c r="C1342" t="s">
        <v>62</v>
      </c>
      <c r="D1342" t="s">
        <v>16</v>
      </c>
      <c r="E1342" t="s">
        <v>92</v>
      </c>
      <c r="F1342" t="s">
        <v>18</v>
      </c>
      <c r="G1342" t="s">
        <v>3486</v>
      </c>
      <c r="H1342" s="15">
        <v>661725</v>
      </c>
      <c r="I1342" s="15">
        <v>0</v>
      </c>
      <c r="J1342" t="s">
        <v>154</v>
      </c>
      <c r="K1342" t="s">
        <v>21</v>
      </c>
      <c r="L1342" s="2">
        <v>44470</v>
      </c>
      <c r="M1342" t="s">
        <v>3487</v>
      </c>
      <c r="N1342">
        <v>3</v>
      </c>
      <c r="O1342" t="s">
        <v>4903</v>
      </c>
      <c r="P1342">
        <v>0</v>
      </c>
      <c r="Q1342" t="s">
        <v>4903</v>
      </c>
      <c r="R1342" t="s">
        <v>3485</v>
      </c>
    </row>
    <row r="1343" spans="1:18" hidden="1" x14ac:dyDescent="0.25">
      <c r="A1343" t="s">
        <v>601</v>
      </c>
      <c r="B1343" t="s">
        <v>14</v>
      </c>
      <c r="C1343" t="s">
        <v>15</v>
      </c>
      <c r="D1343" t="s">
        <v>16</v>
      </c>
      <c r="E1343" t="s">
        <v>92</v>
      </c>
      <c r="F1343" t="s">
        <v>34</v>
      </c>
      <c r="G1343" t="s">
        <v>602</v>
      </c>
      <c r="H1343" s="15">
        <v>680851</v>
      </c>
      <c r="I1343" s="15">
        <v>0</v>
      </c>
      <c r="J1343" t="s">
        <v>154</v>
      </c>
      <c r="K1343" t="s">
        <v>28</v>
      </c>
      <c r="L1343" s="2">
        <v>44470</v>
      </c>
      <c r="M1343" t="s">
        <v>603</v>
      </c>
      <c r="N1343">
        <v>0</v>
      </c>
      <c r="O1343" t="s">
        <v>4903</v>
      </c>
      <c r="P1343">
        <v>0</v>
      </c>
      <c r="Q1343" t="s">
        <v>4903</v>
      </c>
      <c r="R1343" t="s">
        <v>601</v>
      </c>
    </row>
    <row r="1344" spans="1:18" hidden="1" x14ac:dyDescent="0.25">
      <c r="A1344" t="s">
        <v>1214</v>
      </c>
      <c r="B1344" t="s">
        <v>77</v>
      </c>
      <c r="C1344" t="s">
        <v>15</v>
      </c>
      <c r="D1344" t="s">
        <v>16</v>
      </c>
      <c r="E1344" t="s">
        <v>92</v>
      </c>
      <c r="F1344" t="s">
        <v>42</v>
      </c>
      <c r="G1344" t="s">
        <v>4547</v>
      </c>
      <c r="H1344" s="15">
        <v>956250</v>
      </c>
      <c r="I1344" s="15">
        <v>0</v>
      </c>
      <c r="J1344" t="s">
        <v>20</v>
      </c>
      <c r="K1344" t="s">
        <v>28</v>
      </c>
      <c r="L1344" s="2">
        <v>44470</v>
      </c>
      <c r="M1344" t="s">
        <v>4548</v>
      </c>
      <c r="N1344">
        <v>0</v>
      </c>
      <c r="O1344" t="s">
        <v>4903</v>
      </c>
      <c r="P1344">
        <v>0</v>
      </c>
      <c r="Q1344" t="s">
        <v>4903</v>
      </c>
      <c r="R1344" t="s">
        <v>1214</v>
      </c>
    </row>
    <row r="1345" spans="1:18" hidden="1" x14ac:dyDescent="0.25">
      <c r="A1345" t="s">
        <v>1181</v>
      </c>
      <c r="B1345" t="s">
        <v>47</v>
      </c>
      <c r="C1345" t="s">
        <v>48</v>
      </c>
      <c r="D1345" t="s">
        <v>16</v>
      </c>
      <c r="E1345" t="s">
        <v>92</v>
      </c>
      <c r="F1345" t="s">
        <v>152</v>
      </c>
      <c r="G1345" t="s">
        <v>1182</v>
      </c>
      <c r="H1345" s="15">
        <v>910350</v>
      </c>
      <c r="I1345" s="15">
        <v>0</v>
      </c>
      <c r="J1345" t="s">
        <v>20</v>
      </c>
      <c r="K1345" t="s">
        <v>28</v>
      </c>
      <c r="L1345" s="2">
        <v>44470</v>
      </c>
      <c r="M1345" t="s">
        <v>1183</v>
      </c>
      <c r="N1345">
        <v>0</v>
      </c>
      <c r="O1345" t="s">
        <v>4903</v>
      </c>
      <c r="P1345">
        <v>0</v>
      </c>
      <c r="Q1345" t="s">
        <v>4903</v>
      </c>
      <c r="R1345" t="s">
        <v>1181</v>
      </c>
    </row>
    <row r="1346" spans="1:18" hidden="1" x14ac:dyDescent="0.25">
      <c r="A1346" t="s">
        <v>481</v>
      </c>
      <c r="B1346" t="s">
        <v>77</v>
      </c>
      <c r="C1346" t="s">
        <v>15</v>
      </c>
      <c r="D1346" t="s">
        <v>16</v>
      </c>
      <c r="E1346" t="s">
        <v>92</v>
      </c>
      <c r="F1346" t="s">
        <v>18</v>
      </c>
      <c r="G1346" t="s">
        <v>542</v>
      </c>
      <c r="H1346" s="15">
        <v>405450</v>
      </c>
      <c r="I1346" s="15">
        <v>0</v>
      </c>
      <c r="J1346" t="s">
        <v>89</v>
      </c>
      <c r="K1346" t="s">
        <v>74</v>
      </c>
      <c r="L1346" s="2">
        <v>44470</v>
      </c>
      <c r="M1346" t="s">
        <v>543</v>
      </c>
      <c r="N1346">
        <v>1</v>
      </c>
      <c r="O1346" t="s">
        <v>4903</v>
      </c>
      <c r="P1346">
        <v>0</v>
      </c>
      <c r="Q1346" t="s">
        <v>4903</v>
      </c>
      <c r="R1346" t="s">
        <v>481</v>
      </c>
    </row>
    <row r="1347" spans="1:18" hidden="1" x14ac:dyDescent="0.25">
      <c r="A1347" t="s">
        <v>1585</v>
      </c>
      <c r="B1347" t="s">
        <v>61</v>
      </c>
      <c r="C1347" t="s">
        <v>62</v>
      </c>
      <c r="D1347" t="s">
        <v>16</v>
      </c>
      <c r="E1347" t="s">
        <v>92</v>
      </c>
      <c r="F1347" t="s">
        <v>18</v>
      </c>
      <c r="G1347" t="s">
        <v>1586</v>
      </c>
      <c r="H1347" s="15">
        <v>634950</v>
      </c>
      <c r="I1347" s="15">
        <v>0</v>
      </c>
      <c r="J1347" t="s">
        <v>20</v>
      </c>
      <c r="K1347" t="s">
        <v>28</v>
      </c>
      <c r="L1347" s="2">
        <v>44470</v>
      </c>
      <c r="M1347" t="s">
        <v>1587</v>
      </c>
      <c r="N1347">
        <v>0</v>
      </c>
      <c r="O1347" t="s">
        <v>4903</v>
      </c>
      <c r="P1347">
        <v>0</v>
      </c>
      <c r="Q1347" t="s">
        <v>4903</v>
      </c>
      <c r="R1347" t="s">
        <v>1585</v>
      </c>
    </row>
    <row r="1348" spans="1:18" hidden="1" x14ac:dyDescent="0.25">
      <c r="A1348" t="s">
        <v>2570</v>
      </c>
      <c r="B1348" t="s">
        <v>350</v>
      </c>
      <c r="C1348" t="s">
        <v>39</v>
      </c>
      <c r="D1348" t="s">
        <v>16</v>
      </c>
      <c r="E1348" t="s">
        <v>92</v>
      </c>
      <c r="F1348" t="s">
        <v>140</v>
      </c>
      <c r="G1348" t="s">
        <v>2571</v>
      </c>
      <c r="H1348" s="15">
        <v>891226</v>
      </c>
      <c r="I1348" s="15">
        <v>0</v>
      </c>
      <c r="J1348" t="s">
        <v>20</v>
      </c>
      <c r="K1348" t="s">
        <v>28</v>
      </c>
      <c r="L1348" s="2">
        <v>44470</v>
      </c>
      <c r="M1348" t="s">
        <v>2572</v>
      </c>
      <c r="N1348">
        <v>0</v>
      </c>
      <c r="O1348" t="s">
        <v>4903</v>
      </c>
      <c r="P1348">
        <v>0</v>
      </c>
      <c r="Q1348" t="s">
        <v>4903</v>
      </c>
      <c r="R1348" t="s">
        <v>2570</v>
      </c>
    </row>
    <row r="1349" spans="1:18" hidden="1" x14ac:dyDescent="0.25">
      <c r="A1349" t="s">
        <v>1436</v>
      </c>
      <c r="B1349" t="s">
        <v>31</v>
      </c>
      <c r="C1349" t="s">
        <v>15</v>
      </c>
      <c r="D1349" t="s">
        <v>16</v>
      </c>
      <c r="E1349" t="s">
        <v>92</v>
      </c>
      <c r="F1349" t="s">
        <v>34</v>
      </c>
      <c r="G1349" t="s">
        <v>1437</v>
      </c>
      <c r="H1349" s="15">
        <v>535500</v>
      </c>
      <c r="I1349" s="15">
        <v>0</v>
      </c>
      <c r="J1349" t="s">
        <v>20</v>
      </c>
      <c r="K1349" t="s">
        <v>28</v>
      </c>
      <c r="L1349" s="2">
        <v>44470</v>
      </c>
      <c r="M1349" t="s">
        <v>1438</v>
      </c>
      <c r="N1349">
        <v>0</v>
      </c>
      <c r="O1349" t="s">
        <v>4903</v>
      </c>
      <c r="P1349">
        <v>0</v>
      </c>
      <c r="Q1349" t="s">
        <v>4903</v>
      </c>
      <c r="R1349" t="s">
        <v>1436</v>
      </c>
    </row>
    <row r="1350" spans="1:18" hidden="1" x14ac:dyDescent="0.25">
      <c r="A1350" t="s">
        <v>1137</v>
      </c>
      <c r="B1350" t="s">
        <v>77</v>
      </c>
      <c r="C1350" t="s">
        <v>15</v>
      </c>
      <c r="D1350" t="s">
        <v>16</v>
      </c>
      <c r="E1350" t="s">
        <v>92</v>
      </c>
      <c r="F1350" t="s">
        <v>26</v>
      </c>
      <c r="G1350" t="s">
        <v>2476</v>
      </c>
      <c r="H1350" s="15">
        <v>1051876</v>
      </c>
      <c r="I1350" s="15">
        <v>0</v>
      </c>
      <c r="J1350" t="s">
        <v>20</v>
      </c>
      <c r="K1350" t="s">
        <v>28</v>
      </c>
      <c r="L1350" s="2">
        <v>44470</v>
      </c>
      <c r="M1350" t="s">
        <v>2477</v>
      </c>
      <c r="N1350">
        <v>0</v>
      </c>
      <c r="O1350" t="s">
        <v>4903</v>
      </c>
      <c r="P1350">
        <v>0</v>
      </c>
      <c r="Q1350" t="s">
        <v>4903</v>
      </c>
      <c r="R1350" t="s">
        <v>1137</v>
      </c>
    </row>
    <row r="1351" spans="1:18" hidden="1" x14ac:dyDescent="0.25">
      <c r="A1351" t="s">
        <v>1157</v>
      </c>
      <c r="B1351" t="s">
        <v>77</v>
      </c>
      <c r="C1351" t="s">
        <v>15</v>
      </c>
      <c r="D1351" t="s">
        <v>16</v>
      </c>
      <c r="E1351" t="s">
        <v>92</v>
      </c>
      <c r="F1351" t="s">
        <v>140</v>
      </c>
      <c r="G1351" t="s">
        <v>1158</v>
      </c>
      <c r="H1351" s="15">
        <v>967726</v>
      </c>
      <c r="I1351" s="15">
        <v>0</v>
      </c>
      <c r="J1351" t="s">
        <v>20</v>
      </c>
      <c r="K1351" t="s">
        <v>28</v>
      </c>
      <c r="L1351" s="2">
        <v>44470</v>
      </c>
      <c r="M1351" t="s">
        <v>1159</v>
      </c>
      <c r="N1351">
        <v>0</v>
      </c>
      <c r="O1351" t="s">
        <v>4903</v>
      </c>
      <c r="P1351">
        <v>0</v>
      </c>
      <c r="Q1351" t="s">
        <v>4903</v>
      </c>
      <c r="R1351" t="s">
        <v>1157</v>
      </c>
    </row>
    <row r="1352" spans="1:18" hidden="1" x14ac:dyDescent="0.25">
      <c r="A1352" t="s">
        <v>3880</v>
      </c>
      <c r="B1352" t="s">
        <v>676</v>
      </c>
      <c r="C1352" t="s">
        <v>39</v>
      </c>
      <c r="D1352" t="s">
        <v>3881</v>
      </c>
      <c r="E1352" t="s">
        <v>3882</v>
      </c>
      <c r="F1352" t="s">
        <v>42</v>
      </c>
      <c r="G1352" t="s">
        <v>3883</v>
      </c>
      <c r="H1352" s="15">
        <v>100000</v>
      </c>
      <c r="I1352" s="15">
        <v>0</v>
      </c>
      <c r="J1352" t="s">
        <v>44</v>
      </c>
      <c r="K1352" t="s">
        <v>28</v>
      </c>
      <c r="L1352" s="2">
        <v>44470</v>
      </c>
      <c r="M1352" t="s">
        <v>3884</v>
      </c>
      <c r="N1352">
        <v>0</v>
      </c>
      <c r="O1352" t="s">
        <v>4903</v>
      </c>
      <c r="P1352">
        <v>0</v>
      </c>
      <c r="Q1352" t="s">
        <v>4903</v>
      </c>
      <c r="R1352" t="s">
        <v>3880</v>
      </c>
    </row>
    <row r="1353" spans="1:18" hidden="1" x14ac:dyDescent="0.25">
      <c r="A1353" t="s">
        <v>1245</v>
      </c>
      <c r="B1353" t="s">
        <v>471</v>
      </c>
      <c r="C1353" t="s">
        <v>15</v>
      </c>
      <c r="D1353" t="s">
        <v>16</v>
      </c>
      <c r="E1353" t="s">
        <v>92</v>
      </c>
      <c r="F1353" t="s">
        <v>152</v>
      </c>
      <c r="G1353" t="s">
        <v>2127</v>
      </c>
      <c r="H1353" s="15">
        <v>918000</v>
      </c>
      <c r="I1353" s="15">
        <v>0</v>
      </c>
      <c r="J1353" t="s">
        <v>20</v>
      </c>
      <c r="K1353" t="s">
        <v>28</v>
      </c>
      <c r="L1353" s="2">
        <v>44470</v>
      </c>
      <c r="M1353" t="s">
        <v>2128</v>
      </c>
      <c r="N1353">
        <v>0</v>
      </c>
      <c r="O1353" t="s">
        <v>4903</v>
      </c>
      <c r="P1353">
        <v>0</v>
      </c>
      <c r="Q1353" t="s">
        <v>4903</v>
      </c>
      <c r="R1353" t="s">
        <v>1245</v>
      </c>
    </row>
    <row r="1354" spans="1:18" hidden="1" x14ac:dyDescent="0.25">
      <c r="A1354" t="s">
        <v>2617</v>
      </c>
      <c r="B1354" t="s">
        <v>24</v>
      </c>
      <c r="C1354" t="s">
        <v>15</v>
      </c>
      <c r="D1354" t="s">
        <v>16</v>
      </c>
      <c r="E1354" t="s">
        <v>92</v>
      </c>
      <c r="F1354" t="s">
        <v>34</v>
      </c>
      <c r="G1354" t="s">
        <v>2618</v>
      </c>
      <c r="H1354" s="15">
        <v>863530</v>
      </c>
      <c r="I1354" s="15">
        <v>0</v>
      </c>
      <c r="J1354" t="s">
        <v>20</v>
      </c>
      <c r="K1354" t="s">
        <v>116</v>
      </c>
      <c r="L1354" s="2">
        <v>44470</v>
      </c>
      <c r="M1354" t="s">
        <v>2619</v>
      </c>
      <c r="N1354">
        <v>1</v>
      </c>
      <c r="O1354" t="s">
        <v>4903</v>
      </c>
      <c r="P1354">
        <v>0</v>
      </c>
      <c r="Q1354" t="s">
        <v>4903</v>
      </c>
      <c r="R1354" t="s">
        <v>2617</v>
      </c>
    </row>
    <row r="1355" spans="1:18" hidden="1" x14ac:dyDescent="0.25">
      <c r="A1355" t="s">
        <v>2629</v>
      </c>
      <c r="B1355" t="s">
        <v>47</v>
      </c>
      <c r="C1355" t="s">
        <v>48</v>
      </c>
      <c r="D1355" t="s">
        <v>16</v>
      </c>
      <c r="E1355" t="s">
        <v>92</v>
      </c>
      <c r="F1355" t="s">
        <v>42</v>
      </c>
      <c r="G1355" t="s">
        <v>4652</v>
      </c>
      <c r="H1355" s="15">
        <v>956250</v>
      </c>
      <c r="I1355" s="15">
        <v>0</v>
      </c>
      <c r="J1355" t="s">
        <v>20</v>
      </c>
      <c r="K1355" t="s">
        <v>28</v>
      </c>
      <c r="L1355" s="2">
        <v>44470</v>
      </c>
      <c r="M1355" t="s">
        <v>4653</v>
      </c>
      <c r="N1355">
        <v>0</v>
      </c>
      <c r="O1355" t="s">
        <v>4903</v>
      </c>
      <c r="P1355">
        <v>0</v>
      </c>
      <c r="Q1355" t="s">
        <v>4903</v>
      </c>
      <c r="R1355" t="s">
        <v>2629</v>
      </c>
    </row>
    <row r="1356" spans="1:18" hidden="1" x14ac:dyDescent="0.25">
      <c r="A1356" t="s">
        <v>46</v>
      </c>
      <c r="B1356" t="s">
        <v>47</v>
      </c>
      <c r="C1356" t="s">
        <v>48</v>
      </c>
      <c r="D1356" t="s">
        <v>16</v>
      </c>
      <c r="E1356" t="s">
        <v>92</v>
      </c>
      <c r="F1356" t="s">
        <v>34</v>
      </c>
      <c r="G1356" t="s">
        <v>1523</v>
      </c>
      <c r="H1356" s="15">
        <v>386326</v>
      </c>
      <c r="I1356" s="15">
        <v>0</v>
      </c>
      <c r="J1356" t="s">
        <v>89</v>
      </c>
      <c r="K1356" t="s">
        <v>28</v>
      </c>
      <c r="L1356" s="2">
        <v>44470</v>
      </c>
      <c r="M1356" t="s">
        <v>1524</v>
      </c>
      <c r="N1356">
        <v>1</v>
      </c>
      <c r="O1356" t="s">
        <v>4903</v>
      </c>
      <c r="P1356">
        <v>0</v>
      </c>
      <c r="Q1356" t="s">
        <v>4903</v>
      </c>
      <c r="R1356" t="s">
        <v>46</v>
      </c>
    </row>
    <row r="1357" spans="1:18" hidden="1" x14ac:dyDescent="0.25">
      <c r="A1357" t="s">
        <v>1220</v>
      </c>
      <c r="B1357" t="s">
        <v>61</v>
      </c>
      <c r="C1357" t="s">
        <v>62</v>
      </c>
      <c r="D1357" t="s">
        <v>16</v>
      </c>
      <c r="E1357" t="s">
        <v>92</v>
      </c>
      <c r="F1357" t="s">
        <v>152</v>
      </c>
      <c r="G1357" t="s">
        <v>1221</v>
      </c>
      <c r="H1357" s="15">
        <v>975376</v>
      </c>
      <c r="I1357" s="15">
        <v>0</v>
      </c>
      <c r="J1357" t="s">
        <v>20</v>
      </c>
      <c r="K1357" t="s">
        <v>28</v>
      </c>
      <c r="L1357" s="2">
        <v>44470</v>
      </c>
      <c r="M1357" t="s">
        <v>1222</v>
      </c>
      <c r="N1357">
        <v>0</v>
      </c>
      <c r="O1357" t="s">
        <v>4903</v>
      </c>
      <c r="P1357">
        <v>0</v>
      </c>
      <c r="Q1357" t="s">
        <v>4903</v>
      </c>
      <c r="R1357" t="s">
        <v>1220</v>
      </c>
    </row>
    <row r="1358" spans="1:18" hidden="1" x14ac:dyDescent="0.25">
      <c r="A1358" t="s">
        <v>1906</v>
      </c>
      <c r="B1358" t="s">
        <v>47</v>
      </c>
      <c r="C1358" t="s">
        <v>48</v>
      </c>
      <c r="D1358" t="s">
        <v>16</v>
      </c>
      <c r="E1358" t="s">
        <v>92</v>
      </c>
      <c r="F1358" t="s">
        <v>42</v>
      </c>
      <c r="G1358" t="s">
        <v>1907</v>
      </c>
      <c r="H1358" s="15">
        <v>918000</v>
      </c>
      <c r="I1358" s="15">
        <v>0</v>
      </c>
      <c r="J1358" t="s">
        <v>154</v>
      </c>
      <c r="K1358" t="s">
        <v>28</v>
      </c>
      <c r="L1358" s="2">
        <v>44470</v>
      </c>
      <c r="M1358" t="s">
        <v>1908</v>
      </c>
      <c r="N1358">
        <v>0</v>
      </c>
      <c r="O1358" t="s">
        <v>4903</v>
      </c>
      <c r="P1358">
        <v>0</v>
      </c>
      <c r="Q1358" t="s">
        <v>4903</v>
      </c>
      <c r="R1358" t="s">
        <v>1906</v>
      </c>
    </row>
    <row r="1359" spans="1:18" hidden="1" x14ac:dyDescent="0.25">
      <c r="A1359" t="s">
        <v>243</v>
      </c>
      <c r="B1359" t="s">
        <v>244</v>
      </c>
      <c r="C1359" t="s">
        <v>39</v>
      </c>
      <c r="D1359" t="s">
        <v>16</v>
      </c>
      <c r="E1359" t="s">
        <v>92</v>
      </c>
      <c r="F1359" t="s">
        <v>26</v>
      </c>
      <c r="G1359" t="s">
        <v>245</v>
      </c>
      <c r="H1359" s="15">
        <v>1514700</v>
      </c>
      <c r="I1359" s="15">
        <v>0</v>
      </c>
      <c r="J1359" t="s">
        <v>246</v>
      </c>
      <c r="K1359" t="s">
        <v>28</v>
      </c>
      <c r="L1359" s="2">
        <v>44470</v>
      </c>
      <c r="M1359" t="s">
        <v>247</v>
      </c>
      <c r="N1359">
        <v>0</v>
      </c>
      <c r="O1359" t="s">
        <v>4903</v>
      </c>
      <c r="P1359">
        <v>0</v>
      </c>
      <c r="Q1359" t="s">
        <v>4903</v>
      </c>
      <c r="R1359" t="s">
        <v>243</v>
      </c>
    </row>
    <row r="1360" spans="1:18" hidden="1" x14ac:dyDescent="0.25">
      <c r="A1360" t="s">
        <v>2507</v>
      </c>
      <c r="B1360" t="s">
        <v>190</v>
      </c>
      <c r="C1360" t="s">
        <v>15</v>
      </c>
      <c r="D1360" t="s">
        <v>16</v>
      </c>
      <c r="E1360" t="s">
        <v>92</v>
      </c>
      <c r="F1360" t="s">
        <v>42</v>
      </c>
      <c r="G1360" t="s">
        <v>2508</v>
      </c>
      <c r="H1360" s="15">
        <v>887400</v>
      </c>
      <c r="I1360" s="15">
        <v>0</v>
      </c>
      <c r="J1360" t="s">
        <v>20</v>
      </c>
      <c r="K1360" t="s">
        <v>28</v>
      </c>
      <c r="L1360" s="2">
        <v>44470</v>
      </c>
      <c r="M1360" t="s">
        <v>2509</v>
      </c>
      <c r="N1360">
        <v>0</v>
      </c>
      <c r="O1360" t="s">
        <v>4903</v>
      </c>
      <c r="P1360">
        <v>0</v>
      </c>
      <c r="Q1360" t="s">
        <v>4903</v>
      </c>
      <c r="R1360" t="s">
        <v>2507</v>
      </c>
    </row>
    <row r="1361" spans="1:18" hidden="1" x14ac:dyDescent="0.25">
      <c r="A1361" t="s">
        <v>3744</v>
      </c>
      <c r="B1361" t="s">
        <v>14</v>
      </c>
      <c r="C1361" t="s">
        <v>15</v>
      </c>
      <c r="D1361" t="s">
        <v>16</v>
      </c>
      <c r="E1361" t="s">
        <v>92</v>
      </c>
      <c r="F1361" t="s">
        <v>140</v>
      </c>
      <c r="G1361" t="s">
        <v>4239</v>
      </c>
      <c r="H1361" s="15">
        <v>1002150</v>
      </c>
      <c r="I1361" s="15">
        <v>0</v>
      </c>
      <c r="J1361" t="s">
        <v>20</v>
      </c>
      <c r="K1361" t="s">
        <v>28</v>
      </c>
      <c r="L1361" s="2">
        <v>44470</v>
      </c>
      <c r="M1361" t="s">
        <v>4240</v>
      </c>
      <c r="N1361">
        <v>0</v>
      </c>
      <c r="O1361" t="s">
        <v>4903</v>
      </c>
      <c r="P1361">
        <v>0</v>
      </c>
      <c r="Q1361" t="s">
        <v>4903</v>
      </c>
      <c r="R1361" t="s">
        <v>3744</v>
      </c>
    </row>
    <row r="1362" spans="1:18" hidden="1" x14ac:dyDescent="0.25">
      <c r="A1362" t="s">
        <v>2311</v>
      </c>
      <c r="B1362" t="s">
        <v>315</v>
      </c>
      <c r="C1362" t="s">
        <v>39</v>
      </c>
      <c r="D1362" t="s">
        <v>16</v>
      </c>
      <c r="E1362" t="s">
        <v>92</v>
      </c>
      <c r="F1362" t="s">
        <v>152</v>
      </c>
      <c r="G1362" t="s">
        <v>4193</v>
      </c>
      <c r="H1362" s="15">
        <v>948600</v>
      </c>
      <c r="I1362" s="15">
        <v>0</v>
      </c>
      <c r="J1362" t="s">
        <v>20</v>
      </c>
      <c r="K1362" t="s">
        <v>28</v>
      </c>
      <c r="L1362" s="2">
        <v>44470</v>
      </c>
      <c r="M1362" t="s">
        <v>4194</v>
      </c>
      <c r="N1362">
        <v>0</v>
      </c>
      <c r="O1362" t="s">
        <v>4903</v>
      </c>
      <c r="P1362">
        <v>0</v>
      </c>
      <c r="Q1362" t="s">
        <v>4903</v>
      </c>
      <c r="R1362" t="s">
        <v>2311</v>
      </c>
    </row>
    <row r="1363" spans="1:18" hidden="1" x14ac:dyDescent="0.25">
      <c r="A1363" t="s">
        <v>433</v>
      </c>
      <c r="B1363" t="s">
        <v>84</v>
      </c>
      <c r="C1363" t="s">
        <v>15</v>
      </c>
      <c r="D1363" t="s">
        <v>16</v>
      </c>
      <c r="E1363" t="s">
        <v>92</v>
      </c>
      <c r="F1363" t="s">
        <v>140</v>
      </c>
      <c r="G1363" t="s">
        <v>434</v>
      </c>
      <c r="H1363" s="15">
        <v>581400</v>
      </c>
      <c r="I1363" s="15">
        <v>0</v>
      </c>
      <c r="J1363" t="s">
        <v>154</v>
      </c>
      <c r="K1363" t="s">
        <v>28</v>
      </c>
      <c r="L1363" s="2">
        <v>44470</v>
      </c>
      <c r="M1363" t="s">
        <v>435</v>
      </c>
      <c r="N1363">
        <v>0</v>
      </c>
      <c r="O1363" t="s">
        <v>4903</v>
      </c>
      <c r="P1363">
        <v>0</v>
      </c>
      <c r="Q1363" t="s">
        <v>4903</v>
      </c>
      <c r="R1363" t="s">
        <v>433</v>
      </c>
    </row>
    <row r="1364" spans="1:18" hidden="1" x14ac:dyDescent="0.25">
      <c r="A1364" t="s">
        <v>1447</v>
      </c>
      <c r="B1364" t="s">
        <v>31</v>
      </c>
      <c r="C1364" t="s">
        <v>15</v>
      </c>
      <c r="D1364" t="s">
        <v>16</v>
      </c>
      <c r="E1364" t="s">
        <v>92</v>
      </c>
      <c r="F1364" t="s">
        <v>34</v>
      </c>
      <c r="G1364" t="s">
        <v>1448</v>
      </c>
      <c r="H1364" s="15">
        <v>799426</v>
      </c>
      <c r="I1364" s="15">
        <v>0</v>
      </c>
      <c r="J1364" t="s">
        <v>20</v>
      </c>
      <c r="K1364" t="s">
        <v>28</v>
      </c>
      <c r="L1364" s="2">
        <v>44470</v>
      </c>
      <c r="M1364" t="s">
        <v>1449</v>
      </c>
      <c r="N1364">
        <v>0</v>
      </c>
      <c r="O1364" t="s">
        <v>4903</v>
      </c>
      <c r="P1364">
        <v>0</v>
      </c>
      <c r="Q1364" t="s">
        <v>4903</v>
      </c>
      <c r="R1364" t="s">
        <v>1447</v>
      </c>
    </row>
    <row r="1365" spans="1:18" hidden="1" x14ac:dyDescent="0.25">
      <c r="A1365" t="s">
        <v>2207</v>
      </c>
      <c r="B1365" t="s">
        <v>1516</v>
      </c>
      <c r="C1365" t="s">
        <v>15</v>
      </c>
      <c r="D1365" t="s">
        <v>16</v>
      </c>
      <c r="E1365" t="s">
        <v>92</v>
      </c>
      <c r="F1365" t="s">
        <v>140</v>
      </c>
      <c r="G1365" t="s">
        <v>3566</v>
      </c>
      <c r="H1365" s="15">
        <v>1128376</v>
      </c>
      <c r="I1365" s="15">
        <v>0</v>
      </c>
      <c r="J1365" t="s">
        <v>20</v>
      </c>
      <c r="K1365" t="s">
        <v>28</v>
      </c>
      <c r="L1365" s="2">
        <v>44470</v>
      </c>
      <c r="M1365" t="s">
        <v>3567</v>
      </c>
      <c r="N1365">
        <v>0</v>
      </c>
      <c r="O1365" t="s">
        <v>4903</v>
      </c>
      <c r="P1365">
        <v>0</v>
      </c>
      <c r="Q1365" t="s">
        <v>4903</v>
      </c>
      <c r="R1365" t="s">
        <v>2207</v>
      </c>
    </row>
    <row r="1366" spans="1:18" hidden="1" x14ac:dyDescent="0.25">
      <c r="A1366" t="s">
        <v>679</v>
      </c>
      <c r="B1366" t="s">
        <v>77</v>
      </c>
      <c r="C1366" t="s">
        <v>15</v>
      </c>
      <c r="D1366" t="s">
        <v>16</v>
      </c>
      <c r="E1366" t="s">
        <v>92</v>
      </c>
      <c r="F1366" t="s">
        <v>26</v>
      </c>
      <c r="G1366" t="s">
        <v>1578</v>
      </c>
      <c r="H1366" s="15">
        <v>1300500</v>
      </c>
      <c r="I1366" s="15">
        <v>0</v>
      </c>
      <c r="J1366" t="s">
        <v>20</v>
      </c>
      <c r="K1366" t="s">
        <v>28</v>
      </c>
      <c r="L1366" s="2">
        <v>44470</v>
      </c>
      <c r="M1366" t="s">
        <v>1579</v>
      </c>
      <c r="N1366">
        <v>0</v>
      </c>
      <c r="O1366" t="s">
        <v>4903</v>
      </c>
      <c r="P1366">
        <v>0</v>
      </c>
      <c r="Q1366" t="s">
        <v>4903</v>
      </c>
      <c r="R1366" t="s">
        <v>679</v>
      </c>
    </row>
    <row r="1367" spans="1:18" hidden="1" x14ac:dyDescent="0.25">
      <c r="A1367" t="s">
        <v>457</v>
      </c>
      <c r="B1367" t="s">
        <v>315</v>
      </c>
      <c r="C1367" t="s">
        <v>39</v>
      </c>
      <c r="D1367" t="s">
        <v>16</v>
      </c>
      <c r="E1367" t="s">
        <v>92</v>
      </c>
      <c r="F1367" t="s">
        <v>18</v>
      </c>
      <c r="G1367" t="s">
        <v>1014</v>
      </c>
      <c r="H1367" s="15">
        <v>849150</v>
      </c>
      <c r="I1367" s="15">
        <v>0</v>
      </c>
      <c r="J1367" t="s">
        <v>20</v>
      </c>
      <c r="K1367" t="s">
        <v>326</v>
      </c>
      <c r="L1367" s="2">
        <v>44470</v>
      </c>
      <c r="M1367" t="s">
        <v>1015</v>
      </c>
      <c r="N1367">
        <v>0</v>
      </c>
      <c r="O1367" t="s">
        <v>4903</v>
      </c>
      <c r="P1367">
        <v>0</v>
      </c>
      <c r="Q1367" t="s">
        <v>4903</v>
      </c>
      <c r="R1367" t="s">
        <v>457</v>
      </c>
    </row>
    <row r="1368" spans="1:18" hidden="1" x14ac:dyDescent="0.25">
      <c r="A1368" t="s">
        <v>2268</v>
      </c>
      <c r="B1368" t="s">
        <v>406</v>
      </c>
      <c r="C1368" t="s">
        <v>62</v>
      </c>
      <c r="D1368" t="s">
        <v>16</v>
      </c>
      <c r="E1368" t="s">
        <v>92</v>
      </c>
      <c r="F1368" t="s">
        <v>34</v>
      </c>
      <c r="G1368" t="s">
        <v>3642</v>
      </c>
      <c r="H1368" s="15">
        <v>755440</v>
      </c>
      <c r="I1368" s="15">
        <v>0</v>
      </c>
      <c r="J1368" t="s">
        <v>20</v>
      </c>
      <c r="K1368" t="s">
        <v>28</v>
      </c>
      <c r="L1368" s="2">
        <v>44470</v>
      </c>
      <c r="M1368" t="s">
        <v>3643</v>
      </c>
      <c r="N1368">
        <v>1</v>
      </c>
      <c r="O1368" t="s">
        <v>4903</v>
      </c>
      <c r="P1368">
        <v>0</v>
      </c>
      <c r="Q1368" t="s">
        <v>4903</v>
      </c>
      <c r="R1368" t="s">
        <v>2268</v>
      </c>
    </row>
    <row r="1369" spans="1:18" hidden="1" x14ac:dyDescent="0.25">
      <c r="A1369" t="s">
        <v>2516</v>
      </c>
      <c r="B1369" t="s">
        <v>580</v>
      </c>
      <c r="C1369" t="s">
        <v>15</v>
      </c>
      <c r="D1369" t="s">
        <v>16</v>
      </c>
      <c r="E1369" t="s">
        <v>92</v>
      </c>
      <c r="F1369" t="s">
        <v>152</v>
      </c>
      <c r="G1369" t="s">
        <v>2517</v>
      </c>
      <c r="H1369" s="15">
        <v>841500</v>
      </c>
      <c r="I1369" s="15">
        <v>0</v>
      </c>
      <c r="J1369" t="s">
        <v>20</v>
      </c>
      <c r="K1369" t="s">
        <v>28</v>
      </c>
      <c r="L1369" s="2">
        <v>44470</v>
      </c>
      <c r="M1369" t="s">
        <v>2518</v>
      </c>
      <c r="N1369">
        <v>0</v>
      </c>
      <c r="O1369" t="s">
        <v>4903</v>
      </c>
      <c r="P1369">
        <v>0</v>
      </c>
      <c r="Q1369" t="s">
        <v>4903</v>
      </c>
      <c r="R1369" t="s">
        <v>2516</v>
      </c>
    </row>
    <row r="1370" spans="1:18" hidden="1" x14ac:dyDescent="0.25">
      <c r="A1370" t="s">
        <v>4216</v>
      </c>
      <c r="B1370" t="s">
        <v>126</v>
      </c>
      <c r="C1370" t="s">
        <v>39</v>
      </c>
      <c r="D1370" t="s">
        <v>16</v>
      </c>
      <c r="E1370" t="s">
        <v>92</v>
      </c>
      <c r="F1370" t="s">
        <v>26</v>
      </c>
      <c r="G1370" t="s">
        <v>4217</v>
      </c>
      <c r="H1370" s="15">
        <v>822376</v>
      </c>
      <c r="I1370" s="15">
        <v>0</v>
      </c>
      <c r="J1370" t="s">
        <v>20</v>
      </c>
      <c r="K1370" t="s">
        <v>28</v>
      </c>
      <c r="L1370" s="2">
        <v>44470</v>
      </c>
      <c r="M1370" t="s">
        <v>4218</v>
      </c>
      <c r="N1370">
        <v>0</v>
      </c>
      <c r="O1370" t="s">
        <v>4903</v>
      </c>
      <c r="P1370">
        <v>0</v>
      </c>
      <c r="Q1370" t="s">
        <v>4903</v>
      </c>
      <c r="R1370" t="s">
        <v>4216</v>
      </c>
    </row>
    <row r="1371" spans="1:18" hidden="1" x14ac:dyDescent="0.25">
      <c r="A1371" t="s">
        <v>1164</v>
      </c>
      <c r="B1371" t="s">
        <v>406</v>
      </c>
      <c r="C1371" t="s">
        <v>62</v>
      </c>
      <c r="D1371" t="s">
        <v>16</v>
      </c>
      <c r="E1371" t="s">
        <v>92</v>
      </c>
      <c r="F1371" t="s">
        <v>18</v>
      </c>
      <c r="G1371" t="s">
        <v>3368</v>
      </c>
      <c r="H1371" s="15">
        <v>589050</v>
      </c>
      <c r="I1371" s="15">
        <v>0</v>
      </c>
      <c r="J1371" t="s">
        <v>20</v>
      </c>
      <c r="K1371" t="s">
        <v>100</v>
      </c>
      <c r="L1371" s="2">
        <v>44470</v>
      </c>
      <c r="M1371" t="s">
        <v>3369</v>
      </c>
      <c r="N1371">
        <v>1</v>
      </c>
      <c r="O1371" t="s">
        <v>4903</v>
      </c>
      <c r="P1371">
        <v>0</v>
      </c>
      <c r="Q1371" t="s">
        <v>4903</v>
      </c>
      <c r="R1371" t="s">
        <v>1164</v>
      </c>
    </row>
    <row r="1372" spans="1:18" hidden="1" x14ac:dyDescent="0.25">
      <c r="A1372" t="s">
        <v>2195</v>
      </c>
      <c r="B1372" t="s">
        <v>333</v>
      </c>
      <c r="C1372" t="s">
        <v>334</v>
      </c>
      <c r="D1372" t="s">
        <v>16</v>
      </c>
      <c r="E1372" t="s">
        <v>92</v>
      </c>
      <c r="F1372" t="s">
        <v>140</v>
      </c>
      <c r="G1372" t="s">
        <v>2196</v>
      </c>
      <c r="H1372" s="15">
        <v>983026</v>
      </c>
      <c r="I1372" s="15">
        <v>0</v>
      </c>
      <c r="J1372" t="s">
        <v>20</v>
      </c>
      <c r="K1372" t="s">
        <v>28</v>
      </c>
      <c r="L1372" s="2">
        <v>44470</v>
      </c>
      <c r="M1372" t="s">
        <v>2197</v>
      </c>
      <c r="N1372">
        <v>0</v>
      </c>
      <c r="O1372" t="s">
        <v>4903</v>
      </c>
      <c r="P1372">
        <v>0</v>
      </c>
      <c r="Q1372" t="s">
        <v>4903</v>
      </c>
      <c r="R1372" t="s">
        <v>2195</v>
      </c>
    </row>
    <row r="1373" spans="1:18" hidden="1" x14ac:dyDescent="0.25">
      <c r="A1373" t="s">
        <v>91</v>
      </c>
      <c r="B1373" t="s">
        <v>47</v>
      </c>
      <c r="C1373" t="s">
        <v>48</v>
      </c>
      <c r="D1373" t="s">
        <v>16</v>
      </c>
      <c r="E1373" t="s">
        <v>92</v>
      </c>
      <c r="F1373" t="s">
        <v>18</v>
      </c>
      <c r="G1373" t="s">
        <v>93</v>
      </c>
      <c r="H1373" s="15">
        <v>833850</v>
      </c>
      <c r="I1373" s="15">
        <v>0</v>
      </c>
      <c r="J1373" t="s">
        <v>20</v>
      </c>
      <c r="K1373" t="s">
        <v>65</v>
      </c>
      <c r="L1373" s="2">
        <v>44470</v>
      </c>
      <c r="M1373" t="s">
        <v>94</v>
      </c>
      <c r="N1373">
        <v>0</v>
      </c>
      <c r="O1373" t="s">
        <v>4903</v>
      </c>
      <c r="P1373">
        <v>0</v>
      </c>
      <c r="Q1373" t="s">
        <v>4903</v>
      </c>
      <c r="R1373" t="s">
        <v>91</v>
      </c>
    </row>
    <row r="1374" spans="1:18" hidden="1" x14ac:dyDescent="0.25">
      <c r="A1374" t="s">
        <v>1849</v>
      </c>
      <c r="B1374" t="s">
        <v>47</v>
      </c>
      <c r="C1374" t="s">
        <v>48</v>
      </c>
      <c r="D1374" t="s">
        <v>16</v>
      </c>
      <c r="E1374" t="s">
        <v>92</v>
      </c>
      <c r="F1374" t="s">
        <v>42</v>
      </c>
      <c r="G1374" t="s">
        <v>1850</v>
      </c>
      <c r="H1374" s="15">
        <v>688501</v>
      </c>
      <c r="I1374" s="15">
        <v>0</v>
      </c>
      <c r="J1374" t="s">
        <v>154</v>
      </c>
      <c r="K1374" t="s">
        <v>28</v>
      </c>
      <c r="L1374" s="2">
        <v>44470</v>
      </c>
      <c r="M1374" t="s">
        <v>1851</v>
      </c>
      <c r="N1374">
        <v>0</v>
      </c>
      <c r="O1374" t="s">
        <v>4903</v>
      </c>
      <c r="P1374">
        <v>0</v>
      </c>
      <c r="Q1374" t="s">
        <v>4903</v>
      </c>
      <c r="R1374" t="s">
        <v>1849</v>
      </c>
    </row>
    <row r="1375" spans="1:18" hidden="1" x14ac:dyDescent="0.25">
      <c r="A1375" t="s">
        <v>1117</v>
      </c>
      <c r="B1375" t="s">
        <v>315</v>
      </c>
      <c r="C1375" t="s">
        <v>39</v>
      </c>
      <c r="D1375" t="s">
        <v>16</v>
      </c>
      <c r="E1375" t="s">
        <v>92</v>
      </c>
      <c r="F1375" t="s">
        <v>26</v>
      </c>
      <c r="G1375" t="s">
        <v>2542</v>
      </c>
      <c r="H1375" s="15">
        <v>803250</v>
      </c>
      <c r="I1375" s="15">
        <v>0</v>
      </c>
      <c r="J1375" t="s">
        <v>20</v>
      </c>
      <c r="K1375" t="s">
        <v>28</v>
      </c>
      <c r="L1375" s="2">
        <v>44470</v>
      </c>
      <c r="M1375" t="s">
        <v>2543</v>
      </c>
      <c r="N1375">
        <v>0</v>
      </c>
      <c r="O1375" t="s">
        <v>4903</v>
      </c>
      <c r="P1375">
        <v>0</v>
      </c>
      <c r="Q1375" t="s">
        <v>4903</v>
      </c>
      <c r="R1375" t="s">
        <v>1117</v>
      </c>
    </row>
    <row r="1376" spans="1:18" hidden="1" x14ac:dyDescent="0.25">
      <c r="A1376" t="s">
        <v>2001</v>
      </c>
      <c r="B1376" t="s">
        <v>47</v>
      </c>
      <c r="C1376" t="s">
        <v>48</v>
      </c>
      <c r="D1376" t="s">
        <v>16</v>
      </c>
      <c r="E1376" t="s">
        <v>92</v>
      </c>
      <c r="F1376" t="s">
        <v>26</v>
      </c>
      <c r="G1376" t="s">
        <v>2002</v>
      </c>
      <c r="H1376" s="15">
        <v>734400</v>
      </c>
      <c r="I1376" s="15">
        <v>0</v>
      </c>
      <c r="J1376" t="s">
        <v>89</v>
      </c>
      <c r="K1376" t="s">
        <v>28</v>
      </c>
      <c r="L1376" s="2">
        <v>44470</v>
      </c>
      <c r="M1376" t="s">
        <v>2003</v>
      </c>
      <c r="N1376">
        <v>0</v>
      </c>
      <c r="O1376" t="s">
        <v>4903</v>
      </c>
      <c r="P1376">
        <v>0</v>
      </c>
      <c r="Q1376" t="s">
        <v>4903</v>
      </c>
      <c r="R1376" t="s">
        <v>2001</v>
      </c>
    </row>
    <row r="1377" spans="1:18" hidden="1" x14ac:dyDescent="0.25">
      <c r="A1377" t="s">
        <v>1739</v>
      </c>
      <c r="B1377" t="s">
        <v>103</v>
      </c>
      <c r="C1377" t="s">
        <v>15</v>
      </c>
      <c r="D1377" t="s">
        <v>16</v>
      </c>
      <c r="E1377" t="s">
        <v>104</v>
      </c>
      <c r="F1377" t="s">
        <v>18</v>
      </c>
      <c r="G1377" t="s">
        <v>1740</v>
      </c>
      <c r="H1377" s="15">
        <v>692326</v>
      </c>
      <c r="I1377" s="15">
        <v>0</v>
      </c>
      <c r="J1377" t="s">
        <v>20</v>
      </c>
      <c r="K1377" t="s">
        <v>28</v>
      </c>
      <c r="L1377" s="2">
        <v>44470</v>
      </c>
      <c r="M1377" t="s">
        <v>1741</v>
      </c>
      <c r="N1377">
        <v>0</v>
      </c>
      <c r="O1377" t="s">
        <v>4903</v>
      </c>
      <c r="P1377">
        <v>0</v>
      </c>
      <c r="Q1377" t="s">
        <v>4903</v>
      </c>
      <c r="R1377" t="s">
        <v>1739</v>
      </c>
    </row>
    <row r="1378" spans="1:18" hidden="1" x14ac:dyDescent="0.25">
      <c r="A1378" t="s">
        <v>150</v>
      </c>
      <c r="B1378" t="s">
        <v>14</v>
      </c>
      <c r="C1378" t="s">
        <v>15</v>
      </c>
      <c r="D1378" t="s">
        <v>16</v>
      </c>
      <c r="E1378" t="s">
        <v>92</v>
      </c>
      <c r="F1378" t="s">
        <v>140</v>
      </c>
      <c r="G1378" t="s">
        <v>3074</v>
      </c>
      <c r="H1378" s="15">
        <v>956250</v>
      </c>
      <c r="I1378" s="15">
        <v>0</v>
      </c>
      <c r="J1378" t="s">
        <v>20</v>
      </c>
      <c r="K1378" t="s">
        <v>28</v>
      </c>
      <c r="L1378" s="2">
        <v>44470</v>
      </c>
      <c r="M1378" t="s">
        <v>3075</v>
      </c>
      <c r="N1378">
        <v>0</v>
      </c>
      <c r="O1378" t="s">
        <v>4903</v>
      </c>
      <c r="P1378">
        <v>0</v>
      </c>
      <c r="Q1378" t="s">
        <v>4903</v>
      </c>
      <c r="R1378" t="s">
        <v>150</v>
      </c>
    </row>
    <row r="1379" spans="1:18" hidden="1" x14ac:dyDescent="0.25">
      <c r="A1379" t="s">
        <v>1795</v>
      </c>
      <c r="B1379" t="s">
        <v>406</v>
      </c>
      <c r="C1379" t="s">
        <v>62</v>
      </c>
      <c r="D1379" t="s">
        <v>439</v>
      </c>
      <c r="E1379" t="s">
        <v>1721</v>
      </c>
      <c r="F1379" t="s">
        <v>42</v>
      </c>
      <c r="G1379" t="s">
        <v>1796</v>
      </c>
      <c r="H1379" s="15">
        <v>100000</v>
      </c>
      <c r="I1379" s="15">
        <v>0</v>
      </c>
      <c r="J1379" t="s">
        <v>44</v>
      </c>
      <c r="K1379" t="s">
        <v>28</v>
      </c>
      <c r="L1379" s="2">
        <v>44621</v>
      </c>
      <c r="M1379" t="s">
        <v>1797</v>
      </c>
      <c r="N1379">
        <v>0</v>
      </c>
      <c r="O1379" t="s">
        <v>4903</v>
      </c>
      <c r="P1379">
        <v>0</v>
      </c>
      <c r="Q1379" t="s">
        <v>4903</v>
      </c>
      <c r="R1379" t="s">
        <v>1795</v>
      </c>
    </row>
    <row r="1380" spans="1:18" hidden="1" x14ac:dyDescent="0.25">
      <c r="A1380" t="s">
        <v>1795</v>
      </c>
      <c r="B1380" t="s">
        <v>406</v>
      </c>
      <c r="C1380" t="s">
        <v>62</v>
      </c>
      <c r="D1380" t="s">
        <v>439</v>
      </c>
      <c r="E1380" t="s">
        <v>1798</v>
      </c>
      <c r="F1380" t="s">
        <v>140</v>
      </c>
      <c r="G1380" t="s">
        <v>1796</v>
      </c>
      <c r="H1380" s="15">
        <v>100000</v>
      </c>
      <c r="I1380" s="15">
        <v>0</v>
      </c>
      <c r="J1380" t="s">
        <v>44</v>
      </c>
      <c r="K1380" t="s">
        <v>28</v>
      </c>
      <c r="L1380" s="2">
        <v>44621</v>
      </c>
      <c r="M1380" t="s">
        <v>1797</v>
      </c>
      <c r="N1380">
        <v>0</v>
      </c>
      <c r="O1380" t="s">
        <v>4903</v>
      </c>
      <c r="P1380">
        <v>0</v>
      </c>
      <c r="Q1380" t="s">
        <v>4903</v>
      </c>
      <c r="R1380" t="s">
        <v>1795</v>
      </c>
    </row>
    <row r="1381" spans="1:18" hidden="1" x14ac:dyDescent="0.25">
      <c r="A1381" t="s">
        <v>1795</v>
      </c>
      <c r="B1381" t="s">
        <v>406</v>
      </c>
      <c r="C1381" t="s">
        <v>62</v>
      </c>
      <c r="D1381" t="s">
        <v>16</v>
      </c>
      <c r="E1381" t="s">
        <v>17</v>
      </c>
      <c r="F1381" t="s">
        <v>140</v>
      </c>
      <c r="G1381" t="s">
        <v>1796</v>
      </c>
      <c r="H1381" s="15">
        <v>749700</v>
      </c>
      <c r="I1381" s="15">
        <v>0</v>
      </c>
      <c r="J1381" t="s">
        <v>20</v>
      </c>
      <c r="K1381" t="s">
        <v>28</v>
      </c>
      <c r="L1381" s="2">
        <v>44621</v>
      </c>
      <c r="M1381" t="s">
        <v>1797</v>
      </c>
      <c r="N1381">
        <v>0</v>
      </c>
      <c r="O1381" t="s">
        <v>4903</v>
      </c>
      <c r="P1381">
        <v>0</v>
      </c>
      <c r="Q1381" t="s">
        <v>4903</v>
      </c>
      <c r="R1381" t="s">
        <v>1795</v>
      </c>
    </row>
    <row r="1382" spans="1:18" hidden="1" x14ac:dyDescent="0.25">
      <c r="A1382" t="s">
        <v>4129</v>
      </c>
      <c r="B1382" t="s">
        <v>489</v>
      </c>
      <c r="C1382" t="s">
        <v>39</v>
      </c>
      <c r="D1382" t="s">
        <v>439</v>
      </c>
      <c r="E1382" t="s">
        <v>1721</v>
      </c>
      <c r="F1382" t="s">
        <v>140</v>
      </c>
      <c r="G1382" t="s">
        <v>4130</v>
      </c>
      <c r="H1382" s="15">
        <v>100000</v>
      </c>
      <c r="I1382" s="15">
        <v>0</v>
      </c>
      <c r="J1382" t="s">
        <v>44</v>
      </c>
      <c r="K1382" t="s">
        <v>28</v>
      </c>
      <c r="L1382" s="2">
        <v>44621</v>
      </c>
      <c r="M1382" t="s">
        <v>4131</v>
      </c>
      <c r="N1382">
        <v>0</v>
      </c>
      <c r="O1382" t="s">
        <v>4903</v>
      </c>
      <c r="P1382">
        <v>0</v>
      </c>
      <c r="Q1382" t="s">
        <v>4903</v>
      </c>
      <c r="R1382" t="s">
        <v>4129</v>
      </c>
    </row>
    <row r="1383" spans="1:18" hidden="1" x14ac:dyDescent="0.25">
      <c r="A1383" t="s">
        <v>238</v>
      </c>
      <c r="B1383" t="s">
        <v>113</v>
      </c>
      <c r="C1383" t="s">
        <v>15</v>
      </c>
      <c r="D1383" t="s">
        <v>239</v>
      </c>
      <c r="E1383" t="s">
        <v>240</v>
      </c>
      <c r="F1383" t="s">
        <v>18</v>
      </c>
      <c r="G1383" t="s">
        <v>241</v>
      </c>
      <c r="H1383" s="15">
        <v>100000</v>
      </c>
      <c r="I1383" s="15">
        <v>0</v>
      </c>
      <c r="J1383" t="s">
        <v>44</v>
      </c>
      <c r="K1383" t="s">
        <v>65</v>
      </c>
      <c r="L1383" s="2">
        <v>44621</v>
      </c>
      <c r="M1383" t="s">
        <v>242</v>
      </c>
      <c r="N1383">
        <v>0</v>
      </c>
      <c r="O1383" t="s">
        <v>4903</v>
      </c>
      <c r="P1383">
        <v>0</v>
      </c>
      <c r="Q1383" t="s">
        <v>4903</v>
      </c>
      <c r="R1383" t="s">
        <v>238</v>
      </c>
    </row>
    <row r="1384" spans="1:18" hidden="1" x14ac:dyDescent="0.25">
      <c r="A1384" t="s">
        <v>777</v>
      </c>
      <c r="B1384" t="s">
        <v>244</v>
      </c>
      <c r="C1384" t="s">
        <v>39</v>
      </c>
      <c r="D1384" t="s">
        <v>439</v>
      </c>
      <c r="E1384" t="s">
        <v>1721</v>
      </c>
      <c r="F1384" t="s">
        <v>140</v>
      </c>
      <c r="G1384" t="s">
        <v>2384</v>
      </c>
      <c r="H1384" s="15">
        <v>100000</v>
      </c>
      <c r="I1384" s="15">
        <v>0</v>
      </c>
      <c r="J1384" t="s">
        <v>44</v>
      </c>
      <c r="K1384" t="s">
        <v>28</v>
      </c>
      <c r="L1384" s="2">
        <v>44621</v>
      </c>
      <c r="M1384" t="s">
        <v>2385</v>
      </c>
      <c r="N1384">
        <v>0</v>
      </c>
      <c r="O1384" t="s">
        <v>4903</v>
      </c>
      <c r="P1384">
        <v>0</v>
      </c>
      <c r="Q1384" t="s">
        <v>4903</v>
      </c>
      <c r="R1384" t="s">
        <v>777</v>
      </c>
    </row>
    <row r="1385" spans="1:18" hidden="1" x14ac:dyDescent="0.25">
      <c r="A1385" t="s">
        <v>939</v>
      </c>
      <c r="B1385" t="s">
        <v>725</v>
      </c>
      <c r="C1385" t="s">
        <v>726</v>
      </c>
      <c r="D1385" t="s">
        <v>16</v>
      </c>
      <c r="E1385" t="s">
        <v>223</v>
      </c>
      <c r="F1385" t="s">
        <v>34</v>
      </c>
      <c r="G1385" t="s">
        <v>940</v>
      </c>
      <c r="H1385" s="15">
        <v>313652</v>
      </c>
      <c r="I1385" s="15">
        <v>0</v>
      </c>
      <c r="J1385" t="s">
        <v>154</v>
      </c>
      <c r="K1385" t="s">
        <v>74</v>
      </c>
      <c r="L1385" s="2">
        <v>44652</v>
      </c>
      <c r="M1385" t="s">
        <v>941</v>
      </c>
      <c r="N1385">
        <v>2</v>
      </c>
      <c r="O1385" t="s">
        <v>4903</v>
      </c>
      <c r="P1385">
        <v>0</v>
      </c>
      <c r="Q1385" t="s">
        <v>4903</v>
      </c>
      <c r="R1385" t="s">
        <v>939</v>
      </c>
    </row>
    <row r="1386" spans="1:18" hidden="1" x14ac:dyDescent="0.25">
      <c r="A1386" t="s">
        <v>3877</v>
      </c>
      <c r="B1386" t="s">
        <v>244</v>
      </c>
      <c r="C1386" t="s">
        <v>39</v>
      </c>
      <c r="D1386" t="s">
        <v>16</v>
      </c>
      <c r="E1386" t="s">
        <v>223</v>
      </c>
      <c r="F1386" t="s">
        <v>18</v>
      </c>
      <c r="G1386" t="s">
        <v>3878</v>
      </c>
      <c r="H1386" s="15">
        <v>699975</v>
      </c>
      <c r="I1386" s="15">
        <v>0</v>
      </c>
      <c r="J1386" t="s">
        <v>20</v>
      </c>
      <c r="K1386" t="s">
        <v>65</v>
      </c>
      <c r="L1386" s="2">
        <v>44652</v>
      </c>
      <c r="M1386" t="s">
        <v>3879</v>
      </c>
      <c r="N1386">
        <v>0</v>
      </c>
      <c r="O1386" t="s">
        <v>4903</v>
      </c>
      <c r="P1386">
        <v>0</v>
      </c>
      <c r="Q1386" t="s">
        <v>4903</v>
      </c>
      <c r="R1386" t="s">
        <v>3877</v>
      </c>
    </row>
    <row r="1387" spans="1:18" hidden="1" x14ac:dyDescent="0.25">
      <c r="A1387" t="s">
        <v>2825</v>
      </c>
      <c r="B1387" t="s">
        <v>31</v>
      </c>
      <c r="C1387" t="s">
        <v>15</v>
      </c>
      <c r="D1387" t="s">
        <v>16</v>
      </c>
      <c r="E1387" t="s">
        <v>223</v>
      </c>
      <c r="F1387" t="s">
        <v>34</v>
      </c>
      <c r="G1387" t="s">
        <v>2826</v>
      </c>
      <c r="H1387" s="15">
        <v>581400</v>
      </c>
      <c r="I1387" s="15">
        <v>0</v>
      </c>
      <c r="J1387" t="s">
        <v>20</v>
      </c>
      <c r="K1387" t="s">
        <v>116</v>
      </c>
      <c r="L1387" s="2">
        <v>44652</v>
      </c>
      <c r="M1387" t="s">
        <v>2827</v>
      </c>
      <c r="N1387">
        <v>0</v>
      </c>
      <c r="O1387" t="s">
        <v>4903</v>
      </c>
      <c r="P1387">
        <v>0</v>
      </c>
      <c r="Q1387" t="s">
        <v>4903</v>
      </c>
      <c r="R1387" t="s">
        <v>2825</v>
      </c>
    </row>
    <row r="1388" spans="1:18" hidden="1" x14ac:dyDescent="0.25">
      <c r="A1388" t="s">
        <v>436</v>
      </c>
      <c r="B1388" t="s">
        <v>244</v>
      </c>
      <c r="C1388" t="s">
        <v>39</v>
      </c>
      <c r="D1388" t="s">
        <v>16</v>
      </c>
      <c r="E1388" t="s">
        <v>223</v>
      </c>
      <c r="F1388" t="s">
        <v>26</v>
      </c>
      <c r="G1388" t="s">
        <v>4169</v>
      </c>
      <c r="H1388" s="15">
        <v>1009800</v>
      </c>
      <c r="I1388" s="15">
        <v>0</v>
      </c>
      <c r="J1388" t="s">
        <v>20</v>
      </c>
      <c r="K1388" t="s">
        <v>28</v>
      </c>
      <c r="L1388" s="2">
        <v>44652</v>
      </c>
      <c r="M1388" t="s">
        <v>4170</v>
      </c>
      <c r="N1388">
        <v>0</v>
      </c>
      <c r="O1388" t="s">
        <v>4903</v>
      </c>
      <c r="P1388">
        <v>0</v>
      </c>
      <c r="Q1388" t="s">
        <v>4903</v>
      </c>
      <c r="R1388" t="s">
        <v>436</v>
      </c>
    </row>
    <row r="1389" spans="1:18" hidden="1" x14ac:dyDescent="0.25">
      <c r="A1389" t="s">
        <v>4541</v>
      </c>
      <c r="B1389" t="s">
        <v>126</v>
      </c>
      <c r="C1389" t="s">
        <v>39</v>
      </c>
      <c r="D1389" t="s">
        <v>16</v>
      </c>
      <c r="E1389" t="s">
        <v>223</v>
      </c>
      <c r="F1389" t="s">
        <v>34</v>
      </c>
      <c r="G1389" t="s">
        <v>4542</v>
      </c>
      <c r="H1389" s="15">
        <v>960075</v>
      </c>
      <c r="I1389" s="15">
        <v>0</v>
      </c>
      <c r="J1389" t="s">
        <v>20</v>
      </c>
      <c r="K1389" t="s">
        <v>28</v>
      </c>
      <c r="L1389" s="2">
        <v>44652</v>
      </c>
      <c r="M1389" t="s">
        <v>4543</v>
      </c>
      <c r="N1389">
        <v>0</v>
      </c>
      <c r="O1389" t="s">
        <v>4903</v>
      </c>
      <c r="P1389">
        <v>0</v>
      </c>
      <c r="Q1389" t="s">
        <v>4903</v>
      </c>
      <c r="R1389" t="s">
        <v>4541</v>
      </c>
    </row>
    <row r="1390" spans="1:18" hidden="1" x14ac:dyDescent="0.25">
      <c r="A1390" t="s">
        <v>488</v>
      </c>
      <c r="B1390" t="s">
        <v>489</v>
      </c>
      <c r="C1390" t="s">
        <v>39</v>
      </c>
      <c r="D1390" t="s">
        <v>16</v>
      </c>
      <c r="E1390" t="s">
        <v>223</v>
      </c>
      <c r="F1390" t="s">
        <v>34</v>
      </c>
      <c r="G1390" t="s">
        <v>490</v>
      </c>
      <c r="H1390" s="15">
        <v>179775</v>
      </c>
      <c r="I1390" s="15">
        <v>0</v>
      </c>
      <c r="J1390" t="s">
        <v>491</v>
      </c>
      <c r="K1390" t="s">
        <v>57</v>
      </c>
      <c r="L1390" s="2">
        <v>44652</v>
      </c>
      <c r="M1390" t="s">
        <v>492</v>
      </c>
      <c r="N1390">
        <v>0</v>
      </c>
      <c r="O1390" t="s">
        <v>4903</v>
      </c>
      <c r="P1390">
        <v>0</v>
      </c>
      <c r="Q1390" t="s">
        <v>4903</v>
      </c>
      <c r="R1390" t="s">
        <v>488</v>
      </c>
    </row>
    <row r="1391" spans="1:18" hidden="1" x14ac:dyDescent="0.25">
      <c r="A1391" t="s">
        <v>2045</v>
      </c>
      <c r="B1391" t="s">
        <v>688</v>
      </c>
      <c r="C1391" t="s">
        <v>39</v>
      </c>
      <c r="D1391" t="s">
        <v>16</v>
      </c>
      <c r="E1391" t="s">
        <v>223</v>
      </c>
      <c r="F1391" t="s">
        <v>26</v>
      </c>
      <c r="G1391" t="s">
        <v>2514</v>
      </c>
      <c r="H1391" s="15">
        <v>990675</v>
      </c>
      <c r="I1391" s="15">
        <v>0</v>
      </c>
      <c r="J1391" t="s">
        <v>20</v>
      </c>
      <c r="K1391" t="s">
        <v>57</v>
      </c>
      <c r="L1391" s="2">
        <v>44652</v>
      </c>
      <c r="M1391" t="s">
        <v>2515</v>
      </c>
      <c r="N1391">
        <v>0</v>
      </c>
      <c r="O1391" t="s">
        <v>4903</v>
      </c>
      <c r="P1391">
        <v>0</v>
      </c>
      <c r="Q1391" t="s">
        <v>4903</v>
      </c>
      <c r="R1391" t="s">
        <v>2045</v>
      </c>
    </row>
    <row r="1392" spans="1:18" hidden="1" x14ac:dyDescent="0.25">
      <c r="A1392" t="s">
        <v>2495</v>
      </c>
      <c r="B1392" t="s">
        <v>161</v>
      </c>
      <c r="C1392" t="s">
        <v>39</v>
      </c>
      <c r="D1392" t="s">
        <v>40</v>
      </c>
      <c r="E1392" t="s">
        <v>41</v>
      </c>
      <c r="F1392" t="s">
        <v>42</v>
      </c>
      <c r="G1392" t="s">
        <v>2496</v>
      </c>
      <c r="H1392" s="15">
        <v>100000</v>
      </c>
      <c r="I1392" s="15">
        <v>0</v>
      </c>
      <c r="J1392" t="s">
        <v>44</v>
      </c>
      <c r="K1392" t="s">
        <v>28</v>
      </c>
      <c r="L1392" s="2">
        <v>44652</v>
      </c>
      <c r="M1392" t="s">
        <v>2497</v>
      </c>
      <c r="N1392">
        <v>0</v>
      </c>
      <c r="O1392" t="s">
        <v>4903</v>
      </c>
      <c r="P1392">
        <v>0</v>
      </c>
      <c r="Q1392" t="s">
        <v>4903</v>
      </c>
      <c r="R1392" t="s">
        <v>2495</v>
      </c>
    </row>
    <row r="1393" spans="1:18" hidden="1" x14ac:dyDescent="0.25">
      <c r="A1393" t="s">
        <v>2495</v>
      </c>
      <c r="B1393" t="s">
        <v>161</v>
      </c>
      <c r="C1393" t="s">
        <v>39</v>
      </c>
      <c r="D1393" t="s">
        <v>40</v>
      </c>
      <c r="E1393" t="s">
        <v>2498</v>
      </c>
      <c r="F1393" t="s">
        <v>140</v>
      </c>
      <c r="G1393" t="s">
        <v>2496</v>
      </c>
      <c r="H1393" s="15">
        <v>100000</v>
      </c>
      <c r="I1393" s="15">
        <v>0</v>
      </c>
      <c r="J1393" t="s">
        <v>44</v>
      </c>
      <c r="K1393" t="s">
        <v>28</v>
      </c>
      <c r="L1393" s="2">
        <v>44652</v>
      </c>
      <c r="M1393" t="s">
        <v>2497</v>
      </c>
      <c r="N1393">
        <v>0</v>
      </c>
      <c r="O1393" t="s">
        <v>4903</v>
      </c>
      <c r="P1393">
        <v>0</v>
      </c>
      <c r="Q1393" t="s">
        <v>4903</v>
      </c>
      <c r="R1393" t="s">
        <v>2495</v>
      </c>
    </row>
    <row r="1394" spans="1:18" hidden="1" x14ac:dyDescent="0.25">
      <c r="A1394" t="s">
        <v>2495</v>
      </c>
      <c r="B1394" t="s">
        <v>161</v>
      </c>
      <c r="C1394" t="s">
        <v>39</v>
      </c>
      <c r="D1394" t="s">
        <v>16</v>
      </c>
      <c r="E1394" t="s">
        <v>223</v>
      </c>
      <c r="F1394" t="s">
        <v>140</v>
      </c>
      <c r="G1394" t="s">
        <v>2496</v>
      </c>
      <c r="H1394" s="15">
        <v>619650</v>
      </c>
      <c r="I1394" s="15">
        <v>0</v>
      </c>
      <c r="J1394" t="s">
        <v>20</v>
      </c>
      <c r="K1394" t="s">
        <v>28</v>
      </c>
      <c r="L1394" s="2">
        <v>44652</v>
      </c>
      <c r="M1394" t="s">
        <v>2497</v>
      </c>
      <c r="N1394">
        <v>0</v>
      </c>
      <c r="O1394" t="s">
        <v>4903</v>
      </c>
      <c r="P1394">
        <v>0</v>
      </c>
      <c r="Q1394" t="s">
        <v>4903</v>
      </c>
      <c r="R1394" t="s">
        <v>2495</v>
      </c>
    </row>
    <row r="1395" spans="1:18" hidden="1" x14ac:dyDescent="0.25">
      <c r="A1395" t="s">
        <v>3568</v>
      </c>
      <c r="B1395" t="s">
        <v>406</v>
      </c>
      <c r="C1395" t="s">
        <v>62</v>
      </c>
      <c r="D1395" t="s">
        <v>16</v>
      </c>
      <c r="E1395" t="s">
        <v>223</v>
      </c>
      <c r="F1395" t="s">
        <v>152</v>
      </c>
      <c r="G1395" t="s">
        <v>3569</v>
      </c>
      <c r="H1395" s="15">
        <v>944775</v>
      </c>
      <c r="I1395" s="15">
        <v>0</v>
      </c>
      <c r="J1395" t="s">
        <v>20</v>
      </c>
      <c r="K1395" t="s">
        <v>28</v>
      </c>
      <c r="L1395" s="2">
        <v>44652</v>
      </c>
      <c r="M1395" t="s">
        <v>3570</v>
      </c>
      <c r="N1395">
        <v>0</v>
      </c>
      <c r="O1395" t="s">
        <v>4903</v>
      </c>
      <c r="P1395">
        <v>0</v>
      </c>
      <c r="Q1395" t="s">
        <v>4903</v>
      </c>
      <c r="R1395" t="s">
        <v>3568</v>
      </c>
    </row>
    <row r="1396" spans="1:18" hidden="1" x14ac:dyDescent="0.25">
      <c r="A1396" t="s">
        <v>1214</v>
      </c>
      <c r="B1396" t="s">
        <v>77</v>
      </c>
      <c r="C1396" t="s">
        <v>15</v>
      </c>
      <c r="D1396" t="s">
        <v>16</v>
      </c>
      <c r="E1396" t="s">
        <v>223</v>
      </c>
      <c r="F1396" t="s">
        <v>152</v>
      </c>
      <c r="G1396" t="s">
        <v>1215</v>
      </c>
      <c r="H1396" s="15">
        <v>1147500</v>
      </c>
      <c r="I1396" s="15">
        <v>0</v>
      </c>
      <c r="J1396" t="s">
        <v>20</v>
      </c>
      <c r="K1396" t="s">
        <v>28</v>
      </c>
      <c r="L1396" s="2">
        <v>44652</v>
      </c>
      <c r="M1396" t="s">
        <v>1216</v>
      </c>
      <c r="N1396">
        <v>0</v>
      </c>
      <c r="O1396" t="s">
        <v>4903</v>
      </c>
      <c r="P1396">
        <v>0</v>
      </c>
      <c r="Q1396" t="s">
        <v>4903</v>
      </c>
      <c r="R1396" t="s">
        <v>1214</v>
      </c>
    </row>
    <row r="1397" spans="1:18" hidden="1" x14ac:dyDescent="0.25">
      <c r="A1397" t="s">
        <v>3784</v>
      </c>
      <c r="B1397" t="s">
        <v>489</v>
      </c>
      <c r="C1397" t="s">
        <v>39</v>
      </c>
      <c r="D1397" t="s">
        <v>16</v>
      </c>
      <c r="E1397" t="s">
        <v>223</v>
      </c>
      <c r="F1397" t="s">
        <v>152</v>
      </c>
      <c r="G1397" t="s">
        <v>3809</v>
      </c>
      <c r="H1397" s="15">
        <v>929475</v>
      </c>
      <c r="I1397" s="15">
        <v>0</v>
      </c>
      <c r="J1397" t="s">
        <v>20</v>
      </c>
      <c r="K1397" t="s">
        <v>28</v>
      </c>
      <c r="L1397" s="2">
        <v>44652</v>
      </c>
      <c r="M1397" t="s">
        <v>3810</v>
      </c>
      <c r="N1397">
        <v>0</v>
      </c>
      <c r="O1397" t="s">
        <v>4903</v>
      </c>
      <c r="P1397">
        <v>0</v>
      </c>
      <c r="Q1397" t="s">
        <v>4903</v>
      </c>
      <c r="R1397" t="s">
        <v>3784</v>
      </c>
    </row>
    <row r="1398" spans="1:18" hidden="1" x14ac:dyDescent="0.25">
      <c r="A1398" t="s">
        <v>1703</v>
      </c>
      <c r="B1398" t="s">
        <v>126</v>
      </c>
      <c r="C1398" t="s">
        <v>39</v>
      </c>
      <c r="D1398" t="s">
        <v>16</v>
      </c>
      <c r="E1398" t="s">
        <v>223</v>
      </c>
      <c r="F1398" t="s">
        <v>18</v>
      </c>
      <c r="G1398" t="s">
        <v>1704</v>
      </c>
      <c r="H1398" s="15">
        <v>837675</v>
      </c>
      <c r="I1398" s="15">
        <v>0</v>
      </c>
      <c r="J1398" t="s">
        <v>20</v>
      </c>
      <c r="K1398" t="s">
        <v>65</v>
      </c>
      <c r="L1398" s="2">
        <v>44652</v>
      </c>
      <c r="M1398" t="s">
        <v>1705</v>
      </c>
      <c r="N1398">
        <v>0</v>
      </c>
      <c r="O1398" t="s">
        <v>4903</v>
      </c>
      <c r="P1398">
        <v>0</v>
      </c>
      <c r="Q1398" t="s">
        <v>4903</v>
      </c>
      <c r="R1398" t="s">
        <v>1703</v>
      </c>
    </row>
    <row r="1399" spans="1:18" hidden="1" x14ac:dyDescent="0.25">
      <c r="A1399" t="s">
        <v>4691</v>
      </c>
      <c r="B1399" t="s">
        <v>126</v>
      </c>
      <c r="C1399" t="s">
        <v>39</v>
      </c>
      <c r="D1399" t="s">
        <v>16</v>
      </c>
      <c r="E1399" t="s">
        <v>223</v>
      </c>
      <c r="F1399" t="s">
        <v>42</v>
      </c>
      <c r="G1399" t="s">
        <v>4692</v>
      </c>
      <c r="H1399" s="15">
        <v>891225</v>
      </c>
      <c r="I1399" s="15">
        <v>0</v>
      </c>
      <c r="J1399" t="s">
        <v>20</v>
      </c>
      <c r="K1399" t="s">
        <v>28</v>
      </c>
      <c r="L1399" s="2">
        <v>44652</v>
      </c>
      <c r="M1399" t="s">
        <v>4693</v>
      </c>
      <c r="N1399">
        <v>0</v>
      </c>
      <c r="O1399" t="s">
        <v>4903</v>
      </c>
      <c r="P1399">
        <v>0</v>
      </c>
      <c r="Q1399" t="s">
        <v>4903</v>
      </c>
      <c r="R1399" t="s">
        <v>4691</v>
      </c>
    </row>
    <row r="1400" spans="1:18" hidden="1" x14ac:dyDescent="0.25">
      <c r="A1400" t="s">
        <v>3352</v>
      </c>
      <c r="B1400" t="s">
        <v>1516</v>
      </c>
      <c r="C1400" t="s">
        <v>15</v>
      </c>
      <c r="D1400" t="s">
        <v>16</v>
      </c>
      <c r="E1400" t="s">
        <v>223</v>
      </c>
      <c r="F1400" t="s">
        <v>140</v>
      </c>
      <c r="G1400" t="s">
        <v>3353</v>
      </c>
      <c r="H1400" s="15">
        <v>975375</v>
      </c>
      <c r="I1400" s="15">
        <v>0</v>
      </c>
      <c r="J1400" t="s">
        <v>20</v>
      </c>
      <c r="K1400" t="s">
        <v>28</v>
      </c>
      <c r="L1400" s="2">
        <v>44652</v>
      </c>
      <c r="M1400" t="s">
        <v>3354</v>
      </c>
      <c r="N1400">
        <v>0</v>
      </c>
      <c r="O1400" t="s">
        <v>4903</v>
      </c>
      <c r="P1400">
        <v>0</v>
      </c>
      <c r="Q1400" t="s">
        <v>4903</v>
      </c>
      <c r="R1400" t="s">
        <v>3352</v>
      </c>
    </row>
    <row r="1401" spans="1:18" hidden="1" x14ac:dyDescent="0.25">
      <c r="A1401" t="s">
        <v>444</v>
      </c>
      <c r="B1401" t="s">
        <v>38</v>
      </c>
      <c r="C1401" t="s">
        <v>39</v>
      </c>
      <c r="D1401" t="s">
        <v>3070</v>
      </c>
      <c r="E1401" t="s">
        <v>3071</v>
      </c>
      <c r="F1401" t="s">
        <v>152</v>
      </c>
      <c r="G1401" t="s">
        <v>3072</v>
      </c>
      <c r="H1401" s="15">
        <v>460000</v>
      </c>
      <c r="I1401" s="15">
        <v>0</v>
      </c>
      <c r="J1401" t="s">
        <v>455</v>
      </c>
      <c r="K1401" t="s">
        <v>28</v>
      </c>
      <c r="L1401" s="2">
        <v>44652</v>
      </c>
      <c r="M1401" t="s">
        <v>3073</v>
      </c>
      <c r="N1401">
        <v>0</v>
      </c>
      <c r="O1401" t="s">
        <v>4903</v>
      </c>
      <c r="P1401">
        <v>0</v>
      </c>
      <c r="Q1401" t="s">
        <v>4903</v>
      </c>
      <c r="R1401" t="s">
        <v>444</v>
      </c>
    </row>
    <row r="1402" spans="1:18" hidden="1" x14ac:dyDescent="0.25">
      <c r="A1402" t="s">
        <v>3628</v>
      </c>
      <c r="B1402" t="s">
        <v>24</v>
      </c>
      <c r="C1402" t="s">
        <v>15</v>
      </c>
      <c r="D1402" t="s">
        <v>16</v>
      </c>
      <c r="E1402" t="s">
        <v>223</v>
      </c>
      <c r="F1402" t="s">
        <v>18</v>
      </c>
      <c r="G1402" t="s">
        <v>3629</v>
      </c>
      <c r="H1402" s="15">
        <v>636180</v>
      </c>
      <c r="I1402" s="15">
        <v>0</v>
      </c>
      <c r="J1402" t="s">
        <v>20</v>
      </c>
      <c r="K1402" t="s">
        <v>65</v>
      </c>
      <c r="L1402" s="2">
        <v>44652</v>
      </c>
      <c r="M1402" t="s">
        <v>3630</v>
      </c>
      <c r="N1402">
        <v>0</v>
      </c>
      <c r="O1402" t="s">
        <v>4903</v>
      </c>
      <c r="P1402">
        <v>0</v>
      </c>
      <c r="Q1402" t="s">
        <v>4903</v>
      </c>
      <c r="R1402" t="s">
        <v>3628</v>
      </c>
    </row>
    <row r="1403" spans="1:18" hidden="1" x14ac:dyDescent="0.25">
      <c r="A1403" t="s">
        <v>222</v>
      </c>
      <c r="B1403" t="s">
        <v>47</v>
      </c>
      <c r="C1403" t="s">
        <v>48</v>
      </c>
      <c r="D1403" t="s">
        <v>16</v>
      </c>
      <c r="E1403" t="s">
        <v>223</v>
      </c>
      <c r="F1403" t="s">
        <v>152</v>
      </c>
      <c r="G1403" t="s">
        <v>224</v>
      </c>
      <c r="H1403" s="15">
        <v>1667700</v>
      </c>
      <c r="I1403" s="15">
        <v>0</v>
      </c>
      <c r="J1403" t="s">
        <v>154</v>
      </c>
      <c r="K1403" t="s">
        <v>28</v>
      </c>
      <c r="L1403" s="2">
        <v>44652</v>
      </c>
      <c r="M1403" t="s">
        <v>225</v>
      </c>
      <c r="N1403">
        <v>0</v>
      </c>
      <c r="O1403" t="s">
        <v>4903</v>
      </c>
      <c r="P1403">
        <v>0</v>
      </c>
      <c r="Q1403" t="s">
        <v>4903</v>
      </c>
      <c r="R1403" t="s">
        <v>222</v>
      </c>
    </row>
    <row r="1404" spans="1:18" hidden="1" x14ac:dyDescent="0.25">
      <c r="A1404" t="s">
        <v>1792</v>
      </c>
      <c r="B1404" t="s">
        <v>14</v>
      </c>
      <c r="C1404" t="s">
        <v>15</v>
      </c>
      <c r="D1404" t="s">
        <v>16</v>
      </c>
      <c r="E1404" t="s">
        <v>223</v>
      </c>
      <c r="F1404" t="s">
        <v>140</v>
      </c>
      <c r="G1404" t="s">
        <v>1921</v>
      </c>
      <c r="H1404" s="15">
        <v>998325</v>
      </c>
      <c r="I1404" s="15">
        <v>0</v>
      </c>
      <c r="J1404" t="s">
        <v>20</v>
      </c>
      <c r="K1404" t="s">
        <v>28</v>
      </c>
      <c r="L1404" s="2">
        <v>44652</v>
      </c>
      <c r="M1404" t="s">
        <v>1922</v>
      </c>
      <c r="N1404">
        <v>0</v>
      </c>
      <c r="O1404" t="s">
        <v>4903</v>
      </c>
      <c r="P1404">
        <v>0</v>
      </c>
      <c r="Q1404" t="s">
        <v>4903</v>
      </c>
      <c r="R1404" t="s">
        <v>1792</v>
      </c>
    </row>
    <row r="1405" spans="1:18" hidden="1" x14ac:dyDescent="0.25">
      <c r="A1405" t="s">
        <v>733</v>
      </c>
      <c r="B1405" t="s">
        <v>315</v>
      </c>
      <c r="C1405" t="s">
        <v>39</v>
      </c>
      <c r="D1405" t="s">
        <v>16</v>
      </c>
      <c r="E1405" t="s">
        <v>223</v>
      </c>
      <c r="F1405" t="s">
        <v>18</v>
      </c>
      <c r="G1405" t="s">
        <v>3982</v>
      </c>
      <c r="H1405" s="15">
        <v>895050</v>
      </c>
      <c r="I1405" s="15">
        <v>0</v>
      </c>
      <c r="J1405" t="s">
        <v>20</v>
      </c>
      <c r="K1405" t="s">
        <v>28</v>
      </c>
      <c r="L1405" s="2">
        <v>44652</v>
      </c>
      <c r="M1405" t="s">
        <v>3983</v>
      </c>
      <c r="N1405">
        <v>0</v>
      </c>
      <c r="O1405" t="s">
        <v>4903</v>
      </c>
      <c r="P1405">
        <v>0</v>
      </c>
      <c r="Q1405" t="s">
        <v>4903</v>
      </c>
      <c r="R1405" t="s">
        <v>733</v>
      </c>
    </row>
    <row r="1406" spans="1:18" hidden="1" x14ac:dyDescent="0.25">
      <c r="A1406" t="s">
        <v>3730</v>
      </c>
      <c r="B1406" t="s">
        <v>14</v>
      </c>
      <c r="C1406" t="s">
        <v>15</v>
      </c>
      <c r="D1406" t="s">
        <v>16</v>
      </c>
      <c r="E1406" t="s">
        <v>223</v>
      </c>
      <c r="F1406" t="s">
        <v>152</v>
      </c>
      <c r="G1406" t="s">
        <v>3731</v>
      </c>
      <c r="H1406" s="15">
        <v>860625</v>
      </c>
      <c r="I1406" s="15">
        <v>0</v>
      </c>
      <c r="J1406" t="s">
        <v>20</v>
      </c>
      <c r="K1406" t="s">
        <v>28</v>
      </c>
      <c r="L1406" s="2">
        <v>44652</v>
      </c>
      <c r="M1406" t="s">
        <v>3732</v>
      </c>
      <c r="N1406">
        <v>0</v>
      </c>
      <c r="O1406" t="s">
        <v>4903</v>
      </c>
      <c r="P1406">
        <v>0</v>
      </c>
      <c r="Q1406" t="s">
        <v>4903</v>
      </c>
      <c r="R1406" t="s">
        <v>3730</v>
      </c>
    </row>
    <row r="1407" spans="1:18" hidden="1" x14ac:dyDescent="0.25">
      <c r="A1407" t="s">
        <v>2904</v>
      </c>
      <c r="B1407" t="s">
        <v>119</v>
      </c>
      <c r="C1407" t="s">
        <v>39</v>
      </c>
      <c r="D1407" t="s">
        <v>16</v>
      </c>
      <c r="E1407" t="s">
        <v>223</v>
      </c>
      <c r="F1407" t="s">
        <v>42</v>
      </c>
      <c r="G1407" t="s">
        <v>3612</v>
      </c>
      <c r="H1407" s="15">
        <v>1132200</v>
      </c>
      <c r="I1407" s="15">
        <v>0</v>
      </c>
      <c r="J1407" t="s">
        <v>20</v>
      </c>
      <c r="K1407" t="s">
        <v>28</v>
      </c>
      <c r="L1407" s="2">
        <v>44652</v>
      </c>
      <c r="M1407" t="s">
        <v>3613</v>
      </c>
      <c r="N1407">
        <v>0</v>
      </c>
      <c r="O1407" t="s">
        <v>4903</v>
      </c>
      <c r="P1407">
        <v>0</v>
      </c>
      <c r="Q1407" t="s">
        <v>4903</v>
      </c>
      <c r="R1407" t="s">
        <v>2904</v>
      </c>
    </row>
    <row r="1408" spans="1:18" hidden="1" x14ac:dyDescent="0.25">
      <c r="A1408" t="s">
        <v>555</v>
      </c>
      <c r="B1408" t="s">
        <v>676</v>
      </c>
      <c r="C1408" t="s">
        <v>39</v>
      </c>
      <c r="D1408" t="s">
        <v>16</v>
      </c>
      <c r="E1408" t="s">
        <v>223</v>
      </c>
      <c r="F1408" t="s">
        <v>34</v>
      </c>
      <c r="G1408" t="s">
        <v>2285</v>
      </c>
      <c r="H1408" s="15">
        <v>1002150</v>
      </c>
      <c r="I1408" s="15">
        <v>0</v>
      </c>
      <c r="J1408" t="s">
        <v>20</v>
      </c>
      <c r="K1408" t="s">
        <v>116</v>
      </c>
      <c r="L1408" s="2">
        <v>44652</v>
      </c>
      <c r="M1408" t="s">
        <v>2286</v>
      </c>
      <c r="N1408">
        <v>0</v>
      </c>
      <c r="O1408" t="s">
        <v>4903</v>
      </c>
      <c r="P1408">
        <v>0</v>
      </c>
      <c r="Q1408" t="s">
        <v>4903</v>
      </c>
      <c r="R1408" t="s">
        <v>555</v>
      </c>
    </row>
    <row r="1409" spans="1:18" hidden="1" x14ac:dyDescent="0.25">
      <c r="A1409" t="s">
        <v>2901</v>
      </c>
      <c r="B1409" t="s">
        <v>47</v>
      </c>
      <c r="C1409" t="s">
        <v>48</v>
      </c>
      <c r="D1409" t="s">
        <v>16</v>
      </c>
      <c r="E1409" t="s">
        <v>223</v>
      </c>
      <c r="F1409" t="s">
        <v>18</v>
      </c>
      <c r="G1409" t="s">
        <v>4351</v>
      </c>
      <c r="H1409" s="15">
        <v>726750</v>
      </c>
      <c r="I1409" s="15">
        <v>0</v>
      </c>
      <c r="J1409" t="s">
        <v>20</v>
      </c>
      <c r="K1409" t="s">
        <v>21</v>
      </c>
      <c r="L1409" s="2">
        <v>44652</v>
      </c>
      <c r="M1409" t="s">
        <v>4352</v>
      </c>
      <c r="N1409">
        <v>0</v>
      </c>
      <c r="O1409" t="s">
        <v>4903</v>
      </c>
      <c r="P1409">
        <v>0</v>
      </c>
      <c r="Q1409" t="s">
        <v>4903</v>
      </c>
      <c r="R1409" t="s">
        <v>2901</v>
      </c>
    </row>
    <row r="1410" spans="1:18" hidden="1" x14ac:dyDescent="0.25">
      <c r="A1410" t="s">
        <v>672</v>
      </c>
      <c r="B1410" t="s">
        <v>315</v>
      </c>
      <c r="C1410" t="s">
        <v>39</v>
      </c>
      <c r="D1410" t="s">
        <v>16</v>
      </c>
      <c r="E1410" t="s">
        <v>223</v>
      </c>
      <c r="F1410" t="s">
        <v>18</v>
      </c>
      <c r="G1410" t="s">
        <v>673</v>
      </c>
      <c r="H1410" s="15">
        <v>677025</v>
      </c>
      <c r="I1410" s="15">
        <v>0</v>
      </c>
      <c r="J1410" t="s">
        <v>20</v>
      </c>
      <c r="K1410" t="s">
        <v>21</v>
      </c>
      <c r="L1410" s="2">
        <v>44652</v>
      </c>
      <c r="M1410" t="s">
        <v>674</v>
      </c>
      <c r="N1410">
        <v>0</v>
      </c>
      <c r="O1410" t="s">
        <v>4903</v>
      </c>
      <c r="P1410">
        <v>0</v>
      </c>
      <c r="Q1410" t="s">
        <v>4903</v>
      </c>
      <c r="R1410" t="s">
        <v>672</v>
      </c>
    </row>
    <row r="1411" spans="1:18" hidden="1" x14ac:dyDescent="0.25">
      <c r="A1411" t="s">
        <v>3102</v>
      </c>
      <c r="B1411" t="s">
        <v>47</v>
      </c>
      <c r="C1411" t="s">
        <v>48</v>
      </c>
      <c r="D1411" t="s">
        <v>16</v>
      </c>
      <c r="E1411" t="s">
        <v>223</v>
      </c>
      <c r="F1411" t="s">
        <v>42</v>
      </c>
      <c r="G1411" t="s">
        <v>3620</v>
      </c>
      <c r="H1411" s="15">
        <v>730575</v>
      </c>
      <c r="I1411" s="15">
        <v>0</v>
      </c>
      <c r="J1411" t="s">
        <v>20</v>
      </c>
      <c r="K1411" t="s">
        <v>28</v>
      </c>
      <c r="L1411" s="2">
        <v>44652</v>
      </c>
      <c r="M1411" t="s">
        <v>3621</v>
      </c>
      <c r="N1411">
        <v>0</v>
      </c>
      <c r="O1411" t="s">
        <v>4903</v>
      </c>
      <c r="P1411">
        <v>0</v>
      </c>
      <c r="Q1411" t="s">
        <v>4903</v>
      </c>
      <c r="R1411" t="s">
        <v>3102</v>
      </c>
    </row>
    <row r="1412" spans="1:18" hidden="1" x14ac:dyDescent="0.25">
      <c r="A1412" t="s">
        <v>288</v>
      </c>
      <c r="B1412" t="s">
        <v>289</v>
      </c>
      <c r="C1412" t="s">
        <v>15</v>
      </c>
      <c r="D1412" t="s">
        <v>16</v>
      </c>
      <c r="E1412" t="s">
        <v>223</v>
      </c>
      <c r="F1412" t="s">
        <v>140</v>
      </c>
      <c r="G1412" t="s">
        <v>290</v>
      </c>
      <c r="H1412" s="15">
        <v>738225</v>
      </c>
      <c r="I1412" s="15">
        <v>0</v>
      </c>
      <c r="J1412" t="s">
        <v>20</v>
      </c>
      <c r="K1412" t="s">
        <v>28</v>
      </c>
      <c r="L1412" s="2">
        <v>44652</v>
      </c>
      <c r="M1412" t="s">
        <v>291</v>
      </c>
      <c r="N1412">
        <v>0</v>
      </c>
      <c r="O1412" t="s">
        <v>4903</v>
      </c>
      <c r="P1412">
        <v>0</v>
      </c>
      <c r="Q1412" t="s">
        <v>4903</v>
      </c>
      <c r="R1412" t="s">
        <v>288</v>
      </c>
    </row>
    <row r="1413" spans="1:18" hidden="1" x14ac:dyDescent="0.25">
      <c r="A1413" t="s">
        <v>441</v>
      </c>
      <c r="B1413" t="s">
        <v>77</v>
      </c>
      <c r="C1413" t="s">
        <v>15</v>
      </c>
      <c r="D1413" t="s">
        <v>16</v>
      </c>
      <c r="E1413" t="s">
        <v>223</v>
      </c>
      <c r="F1413" t="s">
        <v>140</v>
      </c>
      <c r="G1413" t="s">
        <v>442</v>
      </c>
      <c r="H1413" s="15">
        <v>860625</v>
      </c>
      <c r="I1413" s="15">
        <v>0</v>
      </c>
      <c r="J1413" t="s">
        <v>20</v>
      </c>
      <c r="K1413" t="s">
        <v>28</v>
      </c>
      <c r="L1413" s="2">
        <v>44652</v>
      </c>
      <c r="M1413" t="s">
        <v>443</v>
      </c>
      <c r="N1413">
        <v>0</v>
      </c>
      <c r="O1413" t="s">
        <v>4903</v>
      </c>
      <c r="P1413">
        <v>0</v>
      </c>
      <c r="Q1413" t="s">
        <v>4903</v>
      </c>
      <c r="R1413" t="s">
        <v>441</v>
      </c>
    </row>
    <row r="1414" spans="1:18" hidden="1" x14ac:dyDescent="0.25">
      <c r="A1414" t="s">
        <v>2391</v>
      </c>
      <c r="B1414" t="s">
        <v>489</v>
      </c>
      <c r="C1414" t="s">
        <v>39</v>
      </c>
      <c r="D1414" t="s">
        <v>16</v>
      </c>
      <c r="E1414" t="s">
        <v>223</v>
      </c>
      <c r="F1414" t="s">
        <v>152</v>
      </c>
      <c r="G1414" t="s">
        <v>2392</v>
      </c>
      <c r="H1414" s="15">
        <v>868275</v>
      </c>
      <c r="I1414" s="15">
        <v>0</v>
      </c>
      <c r="J1414" t="s">
        <v>20</v>
      </c>
      <c r="K1414" t="s">
        <v>28</v>
      </c>
      <c r="L1414" s="2">
        <v>44652</v>
      </c>
      <c r="M1414" t="s">
        <v>2393</v>
      </c>
      <c r="N1414">
        <v>0</v>
      </c>
      <c r="O1414" t="s">
        <v>4903</v>
      </c>
      <c r="P1414">
        <v>0</v>
      </c>
      <c r="Q1414" t="s">
        <v>4903</v>
      </c>
      <c r="R1414" t="s">
        <v>2391</v>
      </c>
    </row>
    <row r="1415" spans="1:18" hidden="1" x14ac:dyDescent="0.25">
      <c r="A1415" t="s">
        <v>1906</v>
      </c>
      <c r="B1415" t="s">
        <v>47</v>
      </c>
      <c r="C1415" t="s">
        <v>48</v>
      </c>
      <c r="D1415" t="s">
        <v>16</v>
      </c>
      <c r="E1415" t="s">
        <v>223</v>
      </c>
      <c r="F1415" t="s">
        <v>42</v>
      </c>
      <c r="G1415" t="s">
        <v>2796</v>
      </c>
      <c r="H1415" s="15">
        <v>677024</v>
      </c>
      <c r="I1415" s="15">
        <v>0</v>
      </c>
      <c r="J1415" t="s">
        <v>154</v>
      </c>
      <c r="K1415" t="s">
        <v>28</v>
      </c>
      <c r="L1415" s="2">
        <v>44652</v>
      </c>
      <c r="M1415" t="s">
        <v>2797</v>
      </c>
      <c r="N1415">
        <v>1</v>
      </c>
      <c r="O1415" t="s">
        <v>4903</v>
      </c>
      <c r="P1415">
        <v>0</v>
      </c>
      <c r="Q1415" t="s">
        <v>4903</v>
      </c>
      <c r="R1415" t="s">
        <v>1906</v>
      </c>
    </row>
    <row r="1416" spans="1:18" hidden="1" x14ac:dyDescent="0.25">
      <c r="A1416" t="s">
        <v>705</v>
      </c>
      <c r="B1416" t="s">
        <v>47</v>
      </c>
      <c r="C1416" t="s">
        <v>48</v>
      </c>
      <c r="D1416" t="s">
        <v>16</v>
      </c>
      <c r="E1416" t="s">
        <v>223</v>
      </c>
      <c r="F1416" t="s">
        <v>18</v>
      </c>
      <c r="G1416" t="s">
        <v>4062</v>
      </c>
      <c r="H1416" s="15">
        <v>795600</v>
      </c>
      <c r="I1416" s="15">
        <v>0</v>
      </c>
      <c r="J1416" t="s">
        <v>20</v>
      </c>
      <c r="K1416" t="s">
        <v>65</v>
      </c>
      <c r="L1416" s="2">
        <v>44652</v>
      </c>
      <c r="M1416" t="s">
        <v>4063</v>
      </c>
      <c r="N1416">
        <v>0</v>
      </c>
      <c r="O1416" t="s">
        <v>4903</v>
      </c>
      <c r="P1416">
        <v>0</v>
      </c>
      <c r="Q1416" t="s">
        <v>4903</v>
      </c>
      <c r="R1416" t="s">
        <v>705</v>
      </c>
    </row>
    <row r="1417" spans="1:18" hidden="1" x14ac:dyDescent="0.25">
      <c r="A1417" t="s">
        <v>2533</v>
      </c>
      <c r="B1417" t="s">
        <v>103</v>
      </c>
      <c r="C1417" t="s">
        <v>15</v>
      </c>
      <c r="D1417" t="s">
        <v>16</v>
      </c>
      <c r="E1417" t="s">
        <v>223</v>
      </c>
      <c r="F1417" t="s">
        <v>34</v>
      </c>
      <c r="G1417" t="s">
        <v>2534</v>
      </c>
      <c r="H1417" s="15">
        <v>459000</v>
      </c>
      <c r="I1417" s="15">
        <v>0</v>
      </c>
      <c r="J1417" t="s">
        <v>154</v>
      </c>
      <c r="K1417" t="s">
        <v>65</v>
      </c>
      <c r="L1417" s="2">
        <v>44652</v>
      </c>
      <c r="M1417" t="s">
        <v>2535</v>
      </c>
      <c r="N1417">
        <v>0</v>
      </c>
      <c r="O1417" t="s">
        <v>4903</v>
      </c>
      <c r="P1417">
        <v>0</v>
      </c>
      <c r="Q1417" t="s">
        <v>4903</v>
      </c>
      <c r="R1417" t="s">
        <v>2533</v>
      </c>
    </row>
    <row r="1418" spans="1:18" hidden="1" x14ac:dyDescent="0.25">
      <c r="A1418" t="s">
        <v>1824</v>
      </c>
      <c r="B1418" t="s">
        <v>244</v>
      </c>
      <c r="C1418" t="s">
        <v>39</v>
      </c>
      <c r="D1418" t="s">
        <v>16</v>
      </c>
      <c r="E1418" t="s">
        <v>223</v>
      </c>
      <c r="F1418" t="s">
        <v>42</v>
      </c>
      <c r="G1418" t="s">
        <v>1825</v>
      </c>
      <c r="H1418" s="15">
        <v>860625</v>
      </c>
      <c r="I1418" s="15">
        <v>0</v>
      </c>
      <c r="J1418" t="s">
        <v>20</v>
      </c>
      <c r="K1418" t="s">
        <v>28</v>
      </c>
      <c r="L1418" s="2">
        <v>44652</v>
      </c>
      <c r="M1418" t="s">
        <v>1826</v>
      </c>
      <c r="N1418">
        <v>0</v>
      </c>
      <c r="O1418" t="s">
        <v>4903</v>
      </c>
      <c r="P1418">
        <v>0</v>
      </c>
      <c r="Q1418" t="s">
        <v>4903</v>
      </c>
      <c r="R1418" t="s">
        <v>1824</v>
      </c>
    </row>
    <row r="1419" spans="1:18" hidden="1" x14ac:dyDescent="0.25">
      <c r="A1419" t="s">
        <v>4147</v>
      </c>
      <c r="B1419" t="s">
        <v>161</v>
      </c>
      <c r="C1419" t="s">
        <v>39</v>
      </c>
      <c r="D1419" t="s">
        <v>16</v>
      </c>
      <c r="E1419" t="s">
        <v>223</v>
      </c>
      <c r="F1419" t="s">
        <v>42</v>
      </c>
      <c r="G1419" t="s">
        <v>4148</v>
      </c>
      <c r="H1419" s="15">
        <v>921825</v>
      </c>
      <c r="I1419" s="15">
        <v>0</v>
      </c>
      <c r="J1419" t="s">
        <v>20</v>
      </c>
      <c r="K1419" t="s">
        <v>28</v>
      </c>
      <c r="L1419" s="2">
        <v>44652</v>
      </c>
      <c r="M1419" t="s">
        <v>4149</v>
      </c>
      <c r="N1419">
        <v>0</v>
      </c>
      <c r="O1419" t="s">
        <v>4903</v>
      </c>
      <c r="P1419">
        <v>0</v>
      </c>
      <c r="Q1419" t="s">
        <v>4903</v>
      </c>
      <c r="R1419" t="s">
        <v>4147</v>
      </c>
    </row>
    <row r="1420" spans="1:18" hidden="1" x14ac:dyDescent="0.25">
      <c r="A1420" t="s">
        <v>3662</v>
      </c>
      <c r="B1420" t="s">
        <v>61</v>
      </c>
      <c r="C1420" t="s">
        <v>62</v>
      </c>
      <c r="D1420" t="s">
        <v>16</v>
      </c>
      <c r="E1420" t="s">
        <v>223</v>
      </c>
      <c r="F1420" t="s">
        <v>18</v>
      </c>
      <c r="G1420" t="s">
        <v>3663</v>
      </c>
      <c r="H1420" s="15">
        <v>608175</v>
      </c>
      <c r="I1420" s="15">
        <v>0</v>
      </c>
      <c r="J1420" t="s">
        <v>20</v>
      </c>
      <c r="K1420" t="s">
        <v>116</v>
      </c>
      <c r="L1420" s="2">
        <v>44652</v>
      </c>
      <c r="M1420" t="s">
        <v>3664</v>
      </c>
      <c r="N1420">
        <v>1</v>
      </c>
      <c r="O1420" t="s">
        <v>4903</v>
      </c>
      <c r="P1420">
        <v>0</v>
      </c>
      <c r="Q1420" t="s">
        <v>4903</v>
      </c>
      <c r="R1420" t="s">
        <v>3662</v>
      </c>
    </row>
    <row r="1421" spans="1:18" hidden="1" x14ac:dyDescent="0.25">
      <c r="A1421" t="s">
        <v>4657</v>
      </c>
      <c r="B1421" t="s">
        <v>161</v>
      </c>
      <c r="C1421" t="s">
        <v>39</v>
      </c>
      <c r="D1421" t="s">
        <v>16</v>
      </c>
      <c r="E1421" t="s">
        <v>223</v>
      </c>
      <c r="F1421" t="s">
        <v>26</v>
      </c>
      <c r="G1421" t="s">
        <v>4658</v>
      </c>
      <c r="H1421" s="15">
        <v>908438</v>
      </c>
      <c r="I1421" s="15">
        <v>0</v>
      </c>
      <c r="J1421" t="s">
        <v>20</v>
      </c>
      <c r="K1421" t="s">
        <v>28</v>
      </c>
      <c r="L1421" s="2">
        <v>44652</v>
      </c>
      <c r="M1421" t="s">
        <v>4659</v>
      </c>
      <c r="N1421">
        <v>0</v>
      </c>
      <c r="O1421" t="s">
        <v>4903</v>
      </c>
      <c r="P1421">
        <v>0</v>
      </c>
      <c r="Q1421" t="s">
        <v>4903</v>
      </c>
      <c r="R1421" t="s">
        <v>4657</v>
      </c>
    </row>
    <row r="1422" spans="1:18" hidden="1" x14ac:dyDescent="0.25">
      <c r="A1422" t="s">
        <v>4098</v>
      </c>
      <c r="B1422" t="s">
        <v>520</v>
      </c>
      <c r="C1422" t="s">
        <v>521</v>
      </c>
      <c r="D1422" t="s">
        <v>16</v>
      </c>
      <c r="E1422" t="s">
        <v>223</v>
      </c>
      <c r="F1422" t="s">
        <v>42</v>
      </c>
      <c r="G1422" t="s">
        <v>4099</v>
      </c>
      <c r="H1422" s="15">
        <v>956250</v>
      </c>
      <c r="I1422" s="15">
        <v>0</v>
      </c>
      <c r="J1422" t="s">
        <v>20</v>
      </c>
      <c r="K1422" t="s">
        <v>28</v>
      </c>
      <c r="L1422" s="2">
        <v>44652</v>
      </c>
      <c r="M1422" t="s">
        <v>4100</v>
      </c>
      <c r="N1422">
        <v>0</v>
      </c>
      <c r="O1422" t="s">
        <v>4903</v>
      </c>
      <c r="P1422">
        <v>0</v>
      </c>
      <c r="Q1422" t="s">
        <v>4903</v>
      </c>
      <c r="R1422" t="s">
        <v>4098</v>
      </c>
    </row>
    <row r="1423" spans="1:18" hidden="1" x14ac:dyDescent="0.25">
      <c r="A1423" t="s">
        <v>2378</v>
      </c>
      <c r="B1423" t="s">
        <v>478</v>
      </c>
      <c r="C1423" t="s">
        <v>15</v>
      </c>
      <c r="D1423" t="s">
        <v>16</v>
      </c>
      <c r="E1423" t="s">
        <v>223</v>
      </c>
      <c r="F1423" t="s">
        <v>26</v>
      </c>
      <c r="G1423" t="s">
        <v>2379</v>
      </c>
      <c r="H1423" s="15">
        <v>1300882</v>
      </c>
      <c r="I1423" s="15">
        <v>0</v>
      </c>
      <c r="J1423" t="s">
        <v>20</v>
      </c>
      <c r="K1423" t="s">
        <v>28</v>
      </c>
      <c r="L1423" s="2">
        <v>44652</v>
      </c>
      <c r="M1423" t="s">
        <v>2380</v>
      </c>
      <c r="N1423">
        <v>0</v>
      </c>
      <c r="O1423" t="s">
        <v>4903</v>
      </c>
      <c r="P1423">
        <v>0</v>
      </c>
      <c r="Q1423" t="s">
        <v>4903</v>
      </c>
      <c r="R1423" t="s">
        <v>2378</v>
      </c>
    </row>
    <row r="1424" spans="1:18" hidden="1" x14ac:dyDescent="0.25">
      <c r="A1424" t="s">
        <v>2154</v>
      </c>
      <c r="B1424" t="s">
        <v>315</v>
      </c>
      <c r="C1424" t="s">
        <v>39</v>
      </c>
      <c r="D1424" t="s">
        <v>16</v>
      </c>
      <c r="E1424" t="s">
        <v>223</v>
      </c>
      <c r="F1424" t="s">
        <v>42</v>
      </c>
      <c r="G1424" t="s">
        <v>2155</v>
      </c>
      <c r="H1424" s="15">
        <v>665550</v>
      </c>
      <c r="I1424" s="15">
        <v>0</v>
      </c>
      <c r="J1424" t="s">
        <v>20</v>
      </c>
      <c r="K1424" t="s">
        <v>28</v>
      </c>
      <c r="L1424" s="2">
        <v>44652</v>
      </c>
      <c r="M1424" t="s">
        <v>2156</v>
      </c>
      <c r="N1424">
        <v>0</v>
      </c>
      <c r="O1424" t="s">
        <v>4903</v>
      </c>
      <c r="P1424">
        <v>0</v>
      </c>
      <c r="Q1424" t="s">
        <v>4903</v>
      </c>
      <c r="R1424" t="s">
        <v>2154</v>
      </c>
    </row>
    <row r="1425" spans="1:18" hidden="1" x14ac:dyDescent="0.25">
      <c r="A1425" t="s">
        <v>1019</v>
      </c>
      <c r="B1425" t="s">
        <v>1020</v>
      </c>
      <c r="C1425" t="s">
        <v>15</v>
      </c>
      <c r="D1425" t="s">
        <v>16</v>
      </c>
      <c r="E1425" t="s">
        <v>223</v>
      </c>
      <c r="F1425" t="s">
        <v>34</v>
      </c>
      <c r="G1425" t="s">
        <v>1598</v>
      </c>
      <c r="H1425" s="15">
        <v>612000</v>
      </c>
      <c r="I1425" s="15">
        <v>0</v>
      </c>
      <c r="J1425" t="s">
        <v>20</v>
      </c>
      <c r="K1425" t="s">
        <v>100</v>
      </c>
      <c r="L1425" s="2">
        <v>44652</v>
      </c>
      <c r="M1425" t="s">
        <v>1599</v>
      </c>
      <c r="N1425">
        <v>0</v>
      </c>
      <c r="O1425" t="s">
        <v>4903</v>
      </c>
      <c r="P1425">
        <v>0</v>
      </c>
      <c r="Q1425" t="s">
        <v>4903</v>
      </c>
      <c r="R1425" t="s">
        <v>1019</v>
      </c>
    </row>
    <row r="1426" spans="1:18" hidden="1" x14ac:dyDescent="0.25">
      <c r="A1426" t="s">
        <v>1102</v>
      </c>
      <c r="B1426" t="s">
        <v>635</v>
      </c>
      <c r="C1426" t="s">
        <v>39</v>
      </c>
      <c r="D1426" t="s">
        <v>16</v>
      </c>
      <c r="E1426" t="s">
        <v>223</v>
      </c>
      <c r="F1426" t="s">
        <v>140</v>
      </c>
      <c r="G1426" t="s">
        <v>4230</v>
      </c>
      <c r="H1426" s="15">
        <v>765000</v>
      </c>
      <c r="I1426" s="15">
        <v>0</v>
      </c>
      <c r="J1426" t="s">
        <v>20</v>
      </c>
      <c r="K1426" t="s">
        <v>28</v>
      </c>
      <c r="L1426" s="2">
        <v>44652</v>
      </c>
      <c r="M1426" t="s">
        <v>4231</v>
      </c>
      <c r="N1426">
        <v>0</v>
      </c>
      <c r="O1426" t="s">
        <v>4903</v>
      </c>
      <c r="P1426">
        <v>0</v>
      </c>
      <c r="Q1426" t="s">
        <v>4903</v>
      </c>
      <c r="R1426" t="s">
        <v>1102</v>
      </c>
    </row>
    <row r="1427" spans="1:18" hidden="1" x14ac:dyDescent="0.25">
      <c r="A1427" t="s">
        <v>979</v>
      </c>
      <c r="B1427" t="s">
        <v>24</v>
      </c>
      <c r="C1427" t="s">
        <v>15</v>
      </c>
      <c r="D1427" t="s">
        <v>16</v>
      </c>
      <c r="E1427" t="s">
        <v>223</v>
      </c>
      <c r="F1427" t="s">
        <v>34</v>
      </c>
      <c r="G1427" t="s">
        <v>3728</v>
      </c>
      <c r="H1427" s="15">
        <v>830024</v>
      </c>
      <c r="I1427" s="15">
        <v>0</v>
      </c>
      <c r="J1427" t="s">
        <v>230</v>
      </c>
      <c r="K1427" t="s">
        <v>28</v>
      </c>
      <c r="L1427" s="2">
        <v>44652</v>
      </c>
      <c r="M1427" t="s">
        <v>3729</v>
      </c>
      <c r="N1427">
        <v>0</v>
      </c>
      <c r="O1427" t="s">
        <v>4903</v>
      </c>
      <c r="P1427">
        <v>0</v>
      </c>
      <c r="Q1427" t="s">
        <v>4903</v>
      </c>
      <c r="R1427" t="s">
        <v>979</v>
      </c>
    </row>
    <row r="1428" spans="1:18" hidden="1" x14ac:dyDescent="0.25">
      <c r="A1428" t="s">
        <v>2168</v>
      </c>
      <c r="B1428" t="s">
        <v>14</v>
      </c>
      <c r="C1428" t="s">
        <v>15</v>
      </c>
      <c r="D1428" t="s">
        <v>16</v>
      </c>
      <c r="E1428" t="s">
        <v>223</v>
      </c>
      <c r="F1428" t="s">
        <v>26</v>
      </c>
      <c r="G1428" t="s">
        <v>2169</v>
      </c>
      <c r="H1428" s="15">
        <v>1128375</v>
      </c>
      <c r="I1428" s="15">
        <v>0</v>
      </c>
      <c r="J1428" t="s">
        <v>20</v>
      </c>
      <c r="K1428" t="s">
        <v>28</v>
      </c>
      <c r="L1428" s="2">
        <v>44652</v>
      </c>
      <c r="M1428" t="s">
        <v>2170</v>
      </c>
      <c r="N1428">
        <v>0</v>
      </c>
      <c r="O1428" t="s">
        <v>4903</v>
      </c>
      <c r="P1428">
        <v>0</v>
      </c>
      <c r="Q1428" t="s">
        <v>4903</v>
      </c>
      <c r="R1428" t="s">
        <v>2168</v>
      </c>
    </row>
    <row r="1429" spans="1:18" hidden="1" x14ac:dyDescent="0.25">
      <c r="A1429" t="s">
        <v>3955</v>
      </c>
      <c r="B1429" t="s">
        <v>47</v>
      </c>
      <c r="C1429" t="s">
        <v>48</v>
      </c>
      <c r="D1429" t="s">
        <v>16</v>
      </c>
      <c r="E1429" t="s">
        <v>223</v>
      </c>
      <c r="F1429" t="s">
        <v>152</v>
      </c>
      <c r="G1429" t="s">
        <v>3956</v>
      </c>
      <c r="H1429" s="15">
        <v>1139850</v>
      </c>
      <c r="I1429" s="15">
        <v>0</v>
      </c>
      <c r="J1429" t="s">
        <v>20</v>
      </c>
      <c r="K1429" t="s">
        <v>28</v>
      </c>
      <c r="L1429" s="2">
        <v>44652</v>
      </c>
      <c r="M1429" t="s">
        <v>3957</v>
      </c>
      <c r="N1429">
        <v>0</v>
      </c>
      <c r="O1429" t="s">
        <v>4903</v>
      </c>
      <c r="P1429">
        <v>0</v>
      </c>
      <c r="Q1429" t="s">
        <v>4903</v>
      </c>
      <c r="R1429" t="s">
        <v>3955</v>
      </c>
    </row>
    <row r="1430" spans="1:18" hidden="1" x14ac:dyDescent="0.25">
      <c r="A1430" t="s">
        <v>1117</v>
      </c>
      <c r="B1430" t="s">
        <v>315</v>
      </c>
      <c r="C1430" t="s">
        <v>39</v>
      </c>
      <c r="D1430" t="s">
        <v>16</v>
      </c>
      <c r="E1430" t="s">
        <v>223</v>
      </c>
      <c r="F1430" t="s">
        <v>140</v>
      </c>
      <c r="G1430" t="s">
        <v>1118</v>
      </c>
      <c r="H1430" s="15">
        <v>990675</v>
      </c>
      <c r="I1430" s="15">
        <v>0</v>
      </c>
      <c r="J1430" t="s">
        <v>20</v>
      </c>
      <c r="K1430" t="s">
        <v>28</v>
      </c>
      <c r="L1430" s="2">
        <v>44652</v>
      </c>
      <c r="M1430" t="s">
        <v>1119</v>
      </c>
      <c r="N1430">
        <v>0</v>
      </c>
      <c r="O1430" t="s">
        <v>4903</v>
      </c>
      <c r="P1430">
        <v>0</v>
      </c>
      <c r="Q1430" t="s">
        <v>4903</v>
      </c>
      <c r="R1430" t="s">
        <v>1117</v>
      </c>
    </row>
    <row r="1431" spans="1:18" hidden="1" x14ac:dyDescent="0.25">
      <c r="A1431" t="s">
        <v>2262</v>
      </c>
      <c r="B1431" t="s">
        <v>406</v>
      </c>
      <c r="C1431" t="s">
        <v>62</v>
      </c>
      <c r="D1431" t="s">
        <v>16</v>
      </c>
      <c r="E1431" t="s">
        <v>223</v>
      </c>
      <c r="F1431" t="s">
        <v>34</v>
      </c>
      <c r="G1431" t="s">
        <v>3800</v>
      </c>
      <c r="H1431" s="15">
        <v>753525</v>
      </c>
      <c r="I1431" s="15">
        <v>0</v>
      </c>
      <c r="J1431" t="s">
        <v>20</v>
      </c>
      <c r="K1431" t="s">
        <v>116</v>
      </c>
      <c r="L1431" s="2">
        <v>44652</v>
      </c>
      <c r="M1431" t="s">
        <v>3801</v>
      </c>
      <c r="N1431">
        <v>0</v>
      </c>
      <c r="O1431" t="s">
        <v>4903</v>
      </c>
      <c r="P1431">
        <v>0</v>
      </c>
      <c r="Q1431" t="s">
        <v>4903</v>
      </c>
      <c r="R1431" t="s">
        <v>2262</v>
      </c>
    </row>
    <row r="1432" spans="1:18" hidden="1" x14ac:dyDescent="0.25">
      <c r="A1432" t="s">
        <v>2893</v>
      </c>
      <c r="B1432" t="s">
        <v>47</v>
      </c>
      <c r="C1432" t="s">
        <v>48</v>
      </c>
      <c r="D1432" t="s">
        <v>16</v>
      </c>
      <c r="E1432" t="s">
        <v>223</v>
      </c>
      <c r="F1432" t="s">
        <v>152</v>
      </c>
      <c r="G1432" t="s">
        <v>2894</v>
      </c>
      <c r="H1432" s="15">
        <v>948600</v>
      </c>
      <c r="I1432" s="15">
        <v>0</v>
      </c>
      <c r="J1432" t="s">
        <v>20</v>
      </c>
      <c r="K1432" t="s">
        <v>28</v>
      </c>
      <c r="L1432" s="2">
        <v>44652</v>
      </c>
      <c r="M1432" t="s">
        <v>2895</v>
      </c>
      <c r="N1432">
        <v>0</v>
      </c>
      <c r="O1432" t="s">
        <v>4903</v>
      </c>
      <c r="P1432">
        <v>0</v>
      </c>
      <c r="Q1432" t="s">
        <v>4903</v>
      </c>
      <c r="R1432" t="s">
        <v>2893</v>
      </c>
    </row>
    <row r="1433" spans="1:18" hidden="1" x14ac:dyDescent="0.25">
      <c r="A1433" t="s">
        <v>2001</v>
      </c>
      <c r="B1433" t="s">
        <v>47</v>
      </c>
      <c r="C1433" t="s">
        <v>48</v>
      </c>
      <c r="D1433" t="s">
        <v>16</v>
      </c>
      <c r="E1433" t="s">
        <v>223</v>
      </c>
      <c r="F1433" t="s">
        <v>26</v>
      </c>
      <c r="G1433" t="s">
        <v>3742</v>
      </c>
      <c r="H1433" s="15">
        <v>841500</v>
      </c>
      <c r="I1433" s="15">
        <v>0</v>
      </c>
      <c r="J1433" t="s">
        <v>154</v>
      </c>
      <c r="K1433" t="s">
        <v>28</v>
      </c>
      <c r="L1433" s="2">
        <v>44652</v>
      </c>
      <c r="M1433" t="s">
        <v>3743</v>
      </c>
      <c r="N1433">
        <v>1</v>
      </c>
      <c r="O1433" t="s">
        <v>4903</v>
      </c>
      <c r="P1433">
        <v>0</v>
      </c>
      <c r="Q1433" t="s">
        <v>4903</v>
      </c>
      <c r="R1433" t="s">
        <v>2001</v>
      </c>
    </row>
    <row r="1434" spans="1:18" hidden="1" x14ac:dyDescent="0.25">
      <c r="A1434" t="s">
        <v>3408</v>
      </c>
      <c r="B1434" t="s">
        <v>14</v>
      </c>
      <c r="C1434" t="s">
        <v>15</v>
      </c>
      <c r="D1434" t="s">
        <v>16</v>
      </c>
      <c r="E1434" t="s">
        <v>223</v>
      </c>
      <c r="F1434" t="s">
        <v>34</v>
      </c>
      <c r="G1434" t="s">
        <v>3409</v>
      </c>
      <c r="H1434" s="15">
        <v>677025</v>
      </c>
      <c r="I1434" s="15">
        <v>0</v>
      </c>
      <c r="J1434" t="s">
        <v>20</v>
      </c>
      <c r="K1434" t="s">
        <v>28</v>
      </c>
      <c r="L1434" s="2">
        <v>44652</v>
      </c>
      <c r="M1434" t="s">
        <v>3410</v>
      </c>
      <c r="N1434">
        <v>1</v>
      </c>
      <c r="O1434" t="s">
        <v>4903</v>
      </c>
      <c r="P1434">
        <v>0</v>
      </c>
      <c r="Q1434" t="s">
        <v>4903</v>
      </c>
      <c r="R1434" t="s">
        <v>3408</v>
      </c>
    </row>
    <row r="1435" spans="1:18" hidden="1" x14ac:dyDescent="0.25">
      <c r="A1435" t="s">
        <v>1944</v>
      </c>
      <c r="B1435" t="s">
        <v>478</v>
      </c>
      <c r="C1435" t="s">
        <v>15</v>
      </c>
      <c r="D1435" t="s">
        <v>16</v>
      </c>
      <c r="E1435" t="s">
        <v>92</v>
      </c>
      <c r="F1435" t="s">
        <v>152</v>
      </c>
      <c r="G1435" t="s">
        <v>4636</v>
      </c>
      <c r="H1435" s="15">
        <v>882046</v>
      </c>
      <c r="I1435" s="15">
        <v>0</v>
      </c>
      <c r="J1435" t="s">
        <v>20</v>
      </c>
      <c r="K1435" t="s">
        <v>28</v>
      </c>
      <c r="L1435" s="2">
        <v>44743</v>
      </c>
      <c r="M1435" t="s">
        <v>4637</v>
      </c>
      <c r="N1435">
        <v>1</v>
      </c>
      <c r="O1435" t="s">
        <v>4903</v>
      </c>
      <c r="P1435">
        <v>0</v>
      </c>
      <c r="Q1435" t="s">
        <v>4903</v>
      </c>
      <c r="R1435" t="s">
        <v>1944</v>
      </c>
    </row>
    <row r="1436" spans="1:18" hidden="1" x14ac:dyDescent="0.25">
      <c r="A1436" t="s">
        <v>752</v>
      </c>
      <c r="B1436" t="s">
        <v>84</v>
      </c>
      <c r="C1436" t="s">
        <v>15</v>
      </c>
      <c r="D1436" t="s">
        <v>16</v>
      </c>
      <c r="E1436" t="s">
        <v>223</v>
      </c>
      <c r="F1436" t="s">
        <v>18</v>
      </c>
      <c r="G1436" t="s">
        <v>4760</v>
      </c>
      <c r="H1436" s="15">
        <v>573752</v>
      </c>
      <c r="I1436" s="15">
        <v>0</v>
      </c>
      <c r="J1436" t="s">
        <v>154</v>
      </c>
      <c r="K1436" t="s">
        <v>116</v>
      </c>
      <c r="L1436" s="2">
        <v>44743</v>
      </c>
      <c r="M1436" t="s">
        <v>4761</v>
      </c>
      <c r="N1436">
        <v>0</v>
      </c>
      <c r="O1436" t="s">
        <v>4903</v>
      </c>
      <c r="P1436">
        <v>0</v>
      </c>
      <c r="Q1436" t="s">
        <v>4903</v>
      </c>
      <c r="R1436" t="s">
        <v>752</v>
      </c>
    </row>
    <row r="1437" spans="1:18" hidden="1" x14ac:dyDescent="0.25">
      <c r="A1437" t="s">
        <v>3991</v>
      </c>
      <c r="B1437" t="s">
        <v>688</v>
      </c>
      <c r="C1437" t="s">
        <v>39</v>
      </c>
      <c r="D1437" t="s">
        <v>16</v>
      </c>
      <c r="E1437" t="s">
        <v>92</v>
      </c>
      <c r="F1437" t="s">
        <v>152</v>
      </c>
      <c r="G1437" t="s">
        <v>4160</v>
      </c>
      <c r="H1437" s="15">
        <v>956250</v>
      </c>
      <c r="I1437" s="15">
        <v>0</v>
      </c>
      <c r="J1437" t="s">
        <v>20</v>
      </c>
      <c r="K1437" t="s">
        <v>134</v>
      </c>
      <c r="L1437" s="2">
        <v>44743</v>
      </c>
      <c r="M1437" t="s">
        <v>4161</v>
      </c>
      <c r="N1437">
        <v>0</v>
      </c>
      <c r="O1437" t="s">
        <v>4903</v>
      </c>
      <c r="P1437">
        <v>0</v>
      </c>
      <c r="Q1437" t="s">
        <v>4903</v>
      </c>
      <c r="R1437" t="s">
        <v>3991</v>
      </c>
    </row>
    <row r="1438" spans="1:18" x14ac:dyDescent="0.25">
      <c r="A1438" t="s">
        <v>3471</v>
      </c>
      <c r="B1438" t="s">
        <v>103</v>
      </c>
      <c r="C1438" t="s">
        <v>15</v>
      </c>
      <c r="D1438" t="s">
        <v>32</v>
      </c>
      <c r="E1438" t="s">
        <v>370</v>
      </c>
      <c r="F1438" t="s">
        <v>152</v>
      </c>
      <c r="G1438" t="s">
        <v>3472</v>
      </c>
      <c r="H1438" s="15">
        <v>724820</v>
      </c>
      <c r="I1438" s="15">
        <v>0</v>
      </c>
      <c r="J1438" t="s">
        <v>20</v>
      </c>
      <c r="K1438" t="s">
        <v>28</v>
      </c>
      <c r="L1438" s="2">
        <v>41183</v>
      </c>
      <c r="M1438" t="s">
        <v>3473</v>
      </c>
      <c r="N1438">
        <v>1</v>
      </c>
      <c r="O1438" t="s">
        <v>4808</v>
      </c>
      <c r="P1438">
        <v>1</v>
      </c>
      <c r="Q1438" t="s">
        <v>4809</v>
      </c>
      <c r="R1438" t="s">
        <v>3471</v>
      </c>
    </row>
    <row r="1439" spans="1:18" hidden="1" x14ac:dyDescent="0.25">
      <c r="A1439" t="s">
        <v>607</v>
      </c>
      <c r="B1439" t="s">
        <v>47</v>
      </c>
      <c r="C1439" t="s">
        <v>48</v>
      </c>
      <c r="D1439" t="s">
        <v>16</v>
      </c>
      <c r="E1439" t="s">
        <v>25</v>
      </c>
      <c r="F1439" t="s">
        <v>34</v>
      </c>
      <c r="G1439" t="s">
        <v>608</v>
      </c>
      <c r="H1439" s="15">
        <v>1005976</v>
      </c>
      <c r="I1439" s="15">
        <v>0</v>
      </c>
      <c r="J1439" t="s">
        <v>20</v>
      </c>
      <c r="K1439" t="s">
        <v>100</v>
      </c>
      <c r="L1439" s="2">
        <v>44835</v>
      </c>
      <c r="M1439" t="s">
        <v>609</v>
      </c>
      <c r="N1439">
        <v>0</v>
      </c>
      <c r="O1439" t="s">
        <v>4903</v>
      </c>
      <c r="P1439">
        <v>0</v>
      </c>
      <c r="Q1439" t="s">
        <v>4903</v>
      </c>
      <c r="R1439" t="s">
        <v>607</v>
      </c>
    </row>
    <row r="1440" spans="1:18" hidden="1" x14ac:dyDescent="0.25">
      <c r="A1440" t="s">
        <v>3534</v>
      </c>
      <c r="B1440" t="s">
        <v>1516</v>
      </c>
      <c r="C1440" t="s">
        <v>15</v>
      </c>
      <c r="D1440" t="s">
        <v>16</v>
      </c>
      <c r="E1440" t="s">
        <v>25</v>
      </c>
      <c r="F1440" t="s">
        <v>42</v>
      </c>
      <c r="G1440" t="s">
        <v>3535</v>
      </c>
      <c r="H1440" s="15">
        <v>1147500</v>
      </c>
      <c r="I1440" s="15">
        <v>0</v>
      </c>
      <c r="J1440" t="s">
        <v>20</v>
      </c>
      <c r="K1440" t="s">
        <v>28</v>
      </c>
      <c r="L1440" s="2">
        <v>44835</v>
      </c>
      <c r="M1440" t="s">
        <v>3536</v>
      </c>
      <c r="N1440">
        <v>0</v>
      </c>
      <c r="O1440" t="s">
        <v>4903</v>
      </c>
      <c r="P1440">
        <v>0</v>
      </c>
      <c r="Q1440" t="s">
        <v>4903</v>
      </c>
      <c r="R1440" t="s">
        <v>3534</v>
      </c>
    </row>
    <row r="1441" spans="1:18" hidden="1" x14ac:dyDescent="0.25">
      <c r="A1441" t="s">
        <v>3747</v>
      </c>
      <c r="B1441" t="s">
        <v>244</v>
      </c>
      <c r="C1441" t="s">
        <v>39</v>
      </c>
      <c r="D1441" t="s">
        <v>16</v>
      </c>
      <c r="E1441" t="s">
        <v>25</v>
      </c>
      <c r="F1441" t="s">
        <v>42</v>
      </c>
      <c r="G1441" t="s">
        <v>3750</v>
      </c>
      <c r="H1441" s="15">
        <v>906526</v>
      </c>
      <c r="I1441" s="15">
        <v>0</v>
      </c>
      <c r="J1441" t="s">
        <v>20</v>
      </c>
      <c r="K1441" t="s">
        <v>28</v>
      </c>
      <c r="L1441" s="2">
        <v>44835</v>
      </c>
      <c r="M1441" t="s">
        <v>3751</v>
      </c>
      <c r="N1441">
        <v>0</v>
      </c>
      <c r="O1441" t="s">
        <v>4903</v>
      </c>
      <c r="P1441">
        <v>0</v>
      </c>
      <c r="Q1441" t="s">
        <v>4903</v>
      </c>
      <c r="R1441" t="s">
        <v>3747</v>
      </c>
    </row>
    <row r="1442" spans="1:18" hidden="1" x14ac:dyDescent="0.25">
      <c r="A1442" t="s">
        <v>3904</v>
      </c>
      <c r="B1442" t="s">
        <v>478</v>
      </c>
      <c r="C1442" t="s">
        <v>15</v>
      </c>
      <c r="D1442" t="s">
        <v>16</v>
      </c>
      <c r="E1442" t="s">
        <v>25</v>
      </c>
      <c r="F1442" t="s">
        <v>42</v>
      </c>
      <c r="G1442" t="s">
        <v>3905</v>
      </c>
      <c r="H1442" s="15">
        <v>902700</v>
      </c>
      <c r="I1442" s="15">
        <v>0</v>
      </c>
      <c r="J1442" t="s">
        <v>20</v>
      </c>
      <c r="K1442" t="s">
        <v>57</v>
      </c>
      <c r="L1442" s="2">
        <v>44835</v>
      </c>
      <c r="M1442" t="s">
        <v>3906</v>
      </c>
      <c r="N1442">
        <v>0</v>
      </c>
      <c r="O1442" t="s">
        <v>4903</v>
      </c>
      <c r="P1442">
        <v>0</v>
      </c>
      <c r="Q1442" t="s">
        <v>4903</v>
      </c>
      <c r="R1442" t="s">
        <v>3904</v>
      </c>
    </row>
    <row r="1443" spans="1:18" hidden="1" x14ac:dyDescent="0.25">
      <c r="A1443" t="s">
        <v>3488</v>
      </c>
      <c r="B1443" t="s">
        <v>725</v>
      </c>
      <c r="C1443" t="s">
        <v>726</v>
      </c>
      <c r="D1443" t="s">
        <v>16</v>
      </c>
      <c r="E1443" t="s">
        <v>25</v>
      </c>
      <c r="F1443" t="s">
        <v>59</v>
      </c>
      <c r="G1443" t="s">
        <v>3489</v>
      </c>
      <c r="H1443" s="15">
        <v>596700</v>
      </c>
      <c r="I1443" s="15">
        <v>0</v>
      </c>
      <c r="J1443" t="s">
        <v>20</v>
      </c>
      <c r="K1443" t="s">
        <v>28</v>
      </c>
      <c r="L1443" s="2">
        <v>44835</v>
      </c>
      <c r="M1443" t="s">
        <v>3490</v>
      </c>
      <c r="N1443">
        <v>2</v>
      </c>
      <c r="O1443" t="s">
        <v>4903</v>
      </c>
      <c r="P1443">
        <v>0</v>
      </c>
      <c r="Q1443" t="s">
        <v>4903</v>
      </c>
      <c r="R1443" t="s">
        <v>3488</v>
      </c>
    </row>
    <row r="1444" spans="1:18" hidden="1" x14ac:dyDescent="0.25">
      <c r="A1444" t="s">
        <v>1718</v>
      </c>
      <c r="B1444" t="s">
        <v>315</v>
      </c>
      <c r="C1444" t="s">
        <v>39</v>
      </c>
      <c r="D1444" t="s">
        <v>439</v>
      </c>
      <c r="E1444" t="s">
        <v>1721</v>
      </c>
      <c r="F1444" t="s">
        <v>18</v>
      </c>
      <c r="G1444" t="s">
        <v>1719</v>
      </c>
      <c r="H1444" s="15">
        <v>100000</v>
      </c>
      <c r="I1444" s="15">
        <v>0</v>
      </c>
      <c r="J1444" t="s">
        <v>44</v>
      </c>
      <c r="K1444" t="s">
        <v>28</v>
      </c>
      <c r="L1444" s="2">
        <v>44835</v>
      </c>
      <c r="M1444" t="s">
        <v>1720</v>
      </c>
      <c r="N1444">
        <v>0</v>
      </c>
      <c r="O1444" t="s">
        <v>4903</v>
      </c>
      <c r="P1444">
        <v>0</v>
      </c>
      <c r="Q1444" t="s">
        <v>4903</v>
      </c>
      <c r="R1444" t="s">
        <v>1718</v>
      </c>
    </row>
    <row r="1445" spans="1:18" hidden="1" x14ac:dyDescent="0.25">
      <c r="A1445" t="s">
        <v>1718</v>
      </c>
      <c r="B1445" t="s">
        <v>315</v>
      </c>
      <c r="C1445" t="s">
        <v>39</v>
      </c>
      <c r="D1445" t="s">
        <v>16</v>
      </c>
      <c r="E1445" t="s">
        <v>25</v>
      </c>
      <c r="F1445" t="s">
        <v>59</v>
      </c>
      <c r="G1445" t="s">
        <v>1719</v>
      </c>
      <c r="H1445" s="15">
        <v>787950</v>
      </c>
      <c r="I1445" s="15">
        <v>0</v>
      </c>
      <c r="J1445" t="s">
        <v>20</v>
      </c>
      <c r="K1445" t="s">
        <v>28</v>
      </c>
      <c r="L1445" s="2">
        <v>44835</v>
      </c>
      <c r="M1445" t="s">
        <v>1720</v>
      </c>
      <c r="N1445">
        <v>0</v>
      </c>
      <c r="O1445" t="s">
        <v>4903</v>
      </c>
      <c r="P1445">
        <v>0</v>
      </c>
      <c r="Q1445" t="s">
        <v>4903</v>
      </c>
      <c r="R1445" t="s">
        <v>1718</v>
      </c>
    </row>
    <row r="1446" spans="1:18" hidden="1" x14ac:dyDescent="0.25">
      <c r="A1446" t="s">
        <v>4391</v>
      </c>
      <c r="B1446" t="s">
        <v>406</v>
      </c>
      <c r="C1446" t="s">
        <v>62</v>
      </c>
      <c r="D1446" t="s">
        <v>16</v>
      </c>
      <c r="E1446" t="s">
        <v>25</v>
      </c>
      <c r="F1446" t="s">
        <v>152</v>
      </c>
      <c r="G1446" t="s">
        <v>4392</v>
      </c>
      <c r="H1446" s="15">
        <v>918000</v>
      </c>
      <c r="I1446" s="15">
        <v>0</v>
      </c>
      <c r="J1446" t="s">
        <v>20</v>
      </c>
      <c r="K1446" t="s">
        <v>28</v>
      </c>
      <c r="L1446" s="2">
        <v>44835</v>
      </c>
      <c r="M1446" t="s">
        <v>4393</v>
      </c>
      <c r="N1446">
        <v>0</v>
      </c>
      <c r="O1446" t="s">
        <v>4903</v>
      </c>
      <c r="P1446">
        <v>0</v>
      </c>
      <c r="Q1446" t="s">
        <v>4903</v>
      </c>
      <c r="R1446" t="s">
        <v>4391</v>
      </c>
    </row>
    <row r="1447" spans="1:18" hidden="1" x14ac:dyDescent="0.25">
      <c r="A1447" t="s">
        <v>913</v>
      </c>
      <c r="B1447" t="s">
        <v>14</v>
      </c>
      <c r="C1447" t="s">
        <v>15</v>
      </c>
      <c r="D1447" t="s">
        <v>16</v>
      </c>
      <c r="E1447" t="s">
        <v>25</v>
      </c>
      <c r="F1447" t="s">
        <v>140</v>
      </c>
      <c r="G1447" t="s">
        <v>4583</v>
      </c>
      <c r="H1447" s="15">
        <v>1086300</v>
      </c>
      <c r="I1447" s="15">
        <v>0</v>
      </c>
      <c r="J1447" t="s">
        <v>20</v>
      </c>
      <c r="K1447" t="s">
        <v>28</v>
      </c>
      <c r="L1447" s="2">
        <v>44835</v>
      </c>
      <c r="M1447" t="s">
        <v>4584</v>
      </c>
      <c r="N1447">
        <v>0</v>
      </c>
      <c r="O1447" t="s">
        <v>4903</v>
      </c>
      <c r="P1447">
        <v>0</v>
      </c>
      <c r="Q1447" t="s">
        <v>4903</v>
      </c>
      <c r="R1447" t="s">
        <v>913</v>
      </c>
    </row>
    <row r="1448" spans="1:18" hidden="1" x14ac:dyDescent="0.25">
      <c r="A1448" t="s">
        <v>2190</v>
      </c>
      <c r="B1448" t="s">
        <v>119</v>
      </c>
      <c r="C1448" t="s">
        <v>39</v>
      </c>
      <c r="D1448" t="s">
        <v>16</v>
      </c>
      <c r="E1448" t="s">
        <v>25</v>
      </c>
      <c r="F1448" t="s">
        <v>152</v>
      </c>
      <c r="G1448" t="s">
        <v>2191</v>
      </c>
      <c r="H1448" s="15">
        <v>898876</v>
      </c>
      <c r="I1448" s="15">
        <v>0</v>
      </c>
      <c r="J1448" t="s">
        <v>20</v>
      </c>
      <c r="K1448" t="s">
        <v>28</v>
      </c>
      <c r="L1448" s="2">
        <v>44835</v>
      </c>
      <c r="M1448" t="s">
        <v>2192</v>
      </c>
      <c r="N1448">
        <v>0</v>
      </c>
      <c r="O1448" t="s">
        <v>4903</v>
      </c>
      <c r="P1448">
        <v>0</v>
      </c>
      <c r="Q1448" t="s">
        <v>4903</v>
      </c>
      <c r="R1448" t="s">
        <v>2190</v>
      </c>
    </row>
    <row r="1449" spans="1:18" hidden="1" x14ac:dyDescent="0.25">
      <c r="A1449" t="s">
        <v>2598</v>
      </c>
      <c r="B1449" t="s">
        <v>47</v>
      </c>
      <c r="C1449" t="s">
        <v>48</v>
      </c>
      <c r="D1449" t="s">
        <v>16</v>
      </c>
      <c r="E1449" t="s">
        <v>25</v>
      </c>
      <c r="F1449" t="s">
        <v>152</v>
      </c>
      <c r="G1449" t="s">
        <v>2599</v>
      </c>
      <c r="H1449" s="15">
        <v>745876</v>
      </c>
      <c r="I1449" s="15">
        <v>0</v>
      </c>
      <c r="J1449" t="s">
        <v>20</v>
      </c>
      <c r="K1449" t="s">
        <v>28</v>
      </c>
      <c r="L1449" s="2">
        <v>44835</v>
      </c>
      <c r="M1449" t="s">
        <v>2600</v>
      </c>
      <c r="N1449">
        <v>1</v>
      </c>
      <c r="O1449" t="s">
        <v>4903</v>
      </c>
      <c r="P1449">
        <v>0</v>
      </c>
      <c r="Q1449" t="s">
        <v>4903</v>
      </c>
      <c r="R1449" t="s">
        <v>2598</v>
      </c>
    </row>
    <row r="1450" spans="1:18" hidden="1" x14ac:dyDescent="0.25">
      <c r="A1450" t="s">
        <v>2758</v>
      </c>
      <c r="B1450" t="s">
        <v>635</v>
      </c>
      <c r="C1450" t="s">
        <v>39</v>
      </c>
      <c r="D1450" t="s">
        <v>16</v>
      </c>
      <c r="E1450" t="s">
        <v>25</v>
      </c>
      <c r="F1450" t="s">
        <v>42</v>
      </c>
      <c r="G1450" t="s">
        <v>4214</v>
      </c>
      <c r="H1450" s="15">
        <v>879750</v>
      </c>
      <c r="I1450" s="15">
        <v>0</v>
      </c>
      <c r="J1450" t="s">
        <v>20</v>
      </c>
      <c r="K1450" t="s">
        <v>28</v>
      </c>
      <c r="L1450" s="2">
        <v>44835</v>
      </c>
      <c r="M1450" t="s">
        <v>4215</v>
      </c>
      <c r="N1450">
        <v>0</v>
      </c>
      <c r="O1450" t="s">
        <v>4903</v>
      </c>
      <c r="P1450">
        <v>0</v>
      </c>
      <c r="Q1450" t="s">
        <v>4903</v>
      </c>
      <c r="R1450" t="s">
        <v>2758</v>
      </c>
    </row>
    <row r="1451" spans="1:18" hidden="1" x14ac:dyDescent="0.25">
      <c r="A1451" t="s">
        <v>966</v>
      </c>
      <c r="B1451" t="s">
        <v>725</v>
      </c>
      <c r="C1451" t="s">
        <v>726</v>
      </c>
      <c r="D1451" t="s">
        <v>16</v>
      </c>
      <c r="E1451" t="s">
        <v>25</v>
      </c>
      <c r="F1451" t="s">
        <v>59</v>
      </c>
      <c r="G1451" t="s">
        <v>967</v>
      </c>
      <c r="H1451" s="15">
        <v>952426</v>
      </c>
      <c r="I1451" s="15">
        <v>0</v>
      </c>
      <c r="J1451" t="s">
        <v>20</v>
      </c>
      <c r="K1451" t="s">
        <v>116</v>
      </c>
      <c r="L1451" s="2">
        <v>44835</v>
      </c>
      <c r="M1451" t="s">
        <v>968</v>
      </c>
      <c r="N1451">
        <v>0</v>
      </c>
      <c r="O1451" t="s">
        <v>4903</v>
      </c>
      <c r="P1451">
        <v>0</v>
      </c>
      <c r="Q1451" t="s">
        <v>4903</v>
      </c>
      <c r="R1451" t="s">
        <v>966</v>
      </c>
    </row>
    <row r="1452" spans="1:18" hidden="1" x14ac:dyDescent="0.25">
      <c r="A1452" t="s">
        <v>3722</v>
      </c>
      <c r="B1452" t="s">
        <v>61</v>
      </c>
      <c r="C1452" t="s">
        <v>62</v>
      </c>
      <c r="D1452" t="s">
        <v>210</v>
      </c>
      <c r="E1452" t="s">
        <v>211</v>
      </c>
      <c r="F1452" t="s">
        <v>26</v>
      </c>
      <c r="G1452" t="s">
        <v>3723</v>
      </c>
      <c r="H1452" s="15">
        <v>390000</v>
      </c>
      <c r="I1452" s="15">
        <v>0</v>
      </c>
      <c r="J1452" t="s">
        <v>213</v>
      </c>
      <c r="K1452" t="s">
        <v>28</v>
      </c>
      <c r="L1452" s="2">
        <v>44835</v>
      </c>
      <c r="M1452" t="s">
        <v>3724</v>
      </c>
      <c r="N1452">
        <v>0</v>
      </c>
      <c r="O1452" t="s">
        <v>4903</v>
      </c>
      <c r="P1452">
        <v>0</v>
      </c>
      <c r="Q1452" t="s">
        <v>4903</v>
      </c>
      <c r="R1452" t="s">
        <v>3722</v>
      </c>
    </row>
    <row r="1453" spans="1:18" hidden="1" x14ac:dyDescent="0.25">
      <c r="A1453" t="s">
        <v>1071</v>
      </c>
      <c r="B1453" t="s">
        <v>119</v>
      </c>
      <c r="C1453" t="s">
        <v>39</v>
      </c>
      <c r="D1453" t="s">
        <v>16</v>
      </c>
      <c r="E1453" t="s">
        <v>25</v>
      </c>
      <c r="F1453" t="s">
        <v>18</v>
      </c>
      <c r="G1453" t="s">
        <v>1072</v>
      </c>
      <c r="H1453" s="15">
        <v>784126</v>
      </c>
      <c r="I1453" s="15">
        <v>0</v>
      </c>
      <c r="J1453" t="s">
        <v>20</v>
      </c>
      <c r="K1453" t="s">
        <v>65</v>
      </c>
      <c r="L1453" s="2">
        <v>44835</v>
      </c>
      <c r="M1453" t="s">
        <v>1073</v>
      </c>
      <c r="N1453">
        <v>0</v>
      </c>
      <c r="O1453" t="s">
        <v>4903</v>
      </c>
      <c r="P1453">
        <v>0</v>
      </c>
      <c r="Q1453" t="s">
        <v>4903</v>
      </c>
      <c r="R1453" t="s">
        <v>1071</v>
      </c>
    </row>
    <row r="1454" spans="1:18" hidden="1" x14ac:dyDescent="0.25">
      <c r="A1454" t="s">
        <v>3175</v>
      </c>
      <c r="B1454" t="s">
        <v>14</v>
      </c>
      <c r="C1454" t="s">
        <v>15</v>
      </c>
      <c r="D1454" t="s">
        <v>16</v>
      </c>
      <c r="E1454" t="s">
        <v>25</v>
      </c>
      <c r="F1454" t="s">
        <v>140</v>
      </c>
      <c r="G1454" t="s">
        <v>3176</v>
      </c>
      <c r="H1454" s="15">
        <v>956250</v>
      </c>
      <c r="I1454" s="15">
        <v>0</v>
      </c>
      <c r="J1454" t="s">
        <v>20</v>
      </c>
      <c r="K1454" t="s">
        <v>28</v>
      </c>
      <c r="L1454" s="2">
        <v>44835</v>
      </c>
      <c r="M1454" t="s">
        <v>3177</v>
      </c>
      <c r="N1454">
        <v>0</v>
      </c>
      <c r="O1454" t="s">
        <v>4903</v>
      </c>
      <c r="P1454">
        <v>0</v>
      </c>
      <c r="Q1454" t="s">
        <v>4903</v>
      </c>
      <c r="R1454" t="s">
        <v>3175</v>
      </c>
    </row>
    <row r="1455" spans="1:18" hidden="1" x14ac:dyDescent="0.25">
      <c r="A1455" t="s">
        <v>1137</v>
      </c>
      <c r="B1455" t="s">
        <v>77</v>
      </c>
      <c r="C1455" t="s">
        <v>15</v>
      </c>
      <c r="D1455" t="s">
        <v>16</v>
      </c>
      <c r="E1455" t="s">
        <v>25</v>
      </c>
      <c r="F1455" t="s">
        <v>26</v>
      </c>
      <c r="G1455" t="s">
        <v>3095</v>
      </c>
      <c r="H1455" s="15">
        <v>1342576</v>
      </c>
      <c r="I1455" s="15">
        <v>0</v>
      </c>
      <c r="J1455" t="s">
        <v>20</v>
      </c>
      <c r="K1455" t="s">
        <v>28</v>
      </c>
      <c r="L1455" s="2">
        <v>44835</v>
      </c>
      <c r="M1455" t="s">
        <v>3096</v>
      </c>
      <c r="N1455">
        <v>0</v>
      </c>
      <c r="O1455" t="s">
        <v>4903</v>
      </c>
      <c r="P1455">
        <v>0</v>
      </c>
      <c r="Q1455" t="s">
        <v>4903</v>
      </c>
      <c r="R1455" t="s">
        <v>1137</v>
      </c>
    </row>
    <row r="1456" spans="1:18" hidden="1" x14ac:dyDescent="0.25">
      <c r="A1456" t="s">
        <v>477</v>
      </c>
      <c r="B1456" t="s">
        <v>478</v>
      </c>
      <c r="C1456" t="s">
        <v>15</v>
      </c>
      <c r="D1456" t="s">
        <v>16</v>
      </c>
      <c r="E1456" t="s">
        <v>25</v>
      </c>
      <c r="F1456" t="s">
        <v>18</v>
      </c>
      <c r="G1456" t="s">
        <v>479</v>
      </c>
      <c r="H1456" s="15">
        <v>1170450</v>
      </c>
      <c r="I1456" s="15">
        <v>0</v>
      </c>
      <c r="J1456" t="s">
        <v>20</v>
      </c>
      <c r="K1456" t="s">
        <v>65</v>
      </c>
      <c r="L1456" s="2">
        <v>44835</v>
      </c>
      <c r="M1456" t="s">
        <v>480</v>
      </c>
      <c r="N1456">
        <v>0</v>
      </c>
      <c r="O1456" t="s">
        <v>4903</v>
      </c>
      <c r="P1456">
        <v>0</v>
      </c>
      <c r="Q1456" t="s">
        <v>4903</v>
      </c>
      <c r="R1456" t="s">
        <v>477</v>
      </c>
    </row>
    <row r="1457" spans="1:18" hidden="1" x14ac:dyDescent="0.25">
      <c r="A1457" t="s">
        <v>945</v>
      </c>
      <c r="B1457" t="s">
        <v>47</v>
      </c>
      <c r="C1457" t="s">
        <v>48</v>
      </c>
      <c r="D1457" t="s">
        <v>16</v>
      </c>
      <c r="E1457" t="s">
        <v>25</v>
      </c>
      <c r="F1457" t="s">
        <v>26</v>
      </c>
      <c r="G1457" t="s">
        <v>946</v>
      </c>
      <c r="H1457" s="15">
        <v>1025100</v>
      </c>
      <c r="I1457" s="15">
        <v>0</v>
      </c>
      <c r="J1457" t="s">
        <v>20</v>
      </c>
      <c r="K1457" t="s">
        <v>28</v>
      </c>
      <c r="L1457" s="2">
        <v>44835</v>
      </c>
      <c r="M1457" t="s">
        <v>947</v>
      </c>
      <c r="N1457">
        <v>0</v>
      </c>
      <c r="O1457" t="s">
        <v>4903</v>
      </c>
      <c r="P1457">
        <v>0</v>
      </c>
      <c r="Q1457" t="s">
        <v>4903</v>
      </c>
      <c r="R1457" t="s">
        <v>945</v>
      </c>
    </row>
    <row r="1458" spans="1:18" hidden="1" x14ac:dyDescent="0.25">
      <c r="A1458" t="s">
        <v>2674</v>
      </c>
      <c r="B1458" t="s">
        <v>84</v>
      </c>
      <c r="C1458" t="s">
        <v>15</v>
      </c>
      <c r="D1458" t="s">
        <v>2675</v>
      </c>
      <c r="E1458" t="s">
        <v>2676</v>
      </c>
      <c r="F1458" t="s">
        <v>59</v>
      </c>
      <c r="G1458" t="s">
        <v>2677</v>
      </c>
      <c r="H1458" s="15">
        <v>300000</v>
      </c>
      <c r="I1458" s="15">
        <v>0</v>
      </c>
      <c r="J1458" t="s">
        <v>89</v>
      </c>
      <c r="K1458" t="s">
        <v>134</v>
      </c>
      <c r="L1458" s="2">
        <v>44835</v>
      </c>
      <c r="M1458" t="s">
        <v>2678</v>
      </c>
      <c r="N1458">
        <v>0</v>
      </c>
      <c r="O1458" t="s">
        <v>4903</v>
      </c>
      <c r="P1458">
        <v>0</v>
      </c>
      <c r="Q1458" t="s">
        <v>4903</v>
      </c>
      <c r="R1458" t="s">
        <v>2674</v>
      </c>
    </row>
    <row r="1459" spans="1:18" hidden="1" x14ac:dyDescent="0.25">
      <c r="A1459" t="s">
        <v>991</v>
      </c>
      <c r="B1459" t="s">
        <v>61</v>
      </c>
      <c r="C1459" t="s">
        <v>62</v>
      </c>
      <c r="D1459" t="s">
        <v>16</v>
      </c>
      <c r="E1459" t="s">
        <v>25</v>
      </c>
      <c r="F1459" t="s">
        <v>18</v>
      </c>
      <c r="G1459" t="s">
        <v>992</v>
      </c>
      <c r="H1459" s="15">
        <v>114750</v>
      </c>
      <c r="I1459" s="15">
        <v>0</v>
      </c>
      <c r="J1459" t="s">
        <v>44</v>
      </c>
      <c r="K1459" t="s">
        <v>21</v>
      </c>
      <c r="L1459" s="2">
        <v>44835</v>
      </c>
      <c r="M1459" t="s">
        <v>993</v>
      </c>
      <c r="N1459">
        <v>0</v>
      </c>
      <c r="O1459" t="s">
        <v>4903</v>
      </c>
      <c r="P1459">
        <v>0</v>
      </c>
      <c r="Q1459" t="s">
        <v>4903</v>
      </c>
      <c r="R1459" t="s">
        <v>991</v>
      </c>
    </row>
    <row r="1460" spans="1:18" hidden="1" x14ac:dyDescent="0.25">
      <c r="A1460" t="s">
        <v>2940</v>
      </c>
      <c r="B1460" t="s">
        <v>47</v>
      </c>
      <c r="C1460" t="s">
        <v>48</v>
      </c>
      <c r="D1460" t="s">
        <v>16</v>
      </c>
      <c r="E1460" t="s">
        <v>25</v>
      </c>
      <c r="F1460" t="s">
        <v>140</v>
      </c>
      <c r="G1460" t="s">
        <v>4171</v>
      </c>
      <c r="H1460" s="15">
        <v>914176</v>
      </c>
      <c r="I1460" s="15">
        <v>0</v>
      </c>
      <c r="J1460" t="s">
        <v>20</v>
      </c>
      <c r="K1460" t="s">
        <v>28</v>
      </c>
      <c r="L1460" s="2">
        <v>44835</v>
      </c>
      <c r="M1460" t="s">
        <v>4172</v>
      </c>
      <c r="N1460">
        <v>0</v>
      </c>
      <c r="O1460" t="s">
        <v>4903</v>
      </c>
      <c r="P1460">
        <v>0</v>
      </c>
      <c r="Q1460" t="s">
        <v>4903</v>
      </c>
      <c r="R1460" t="s">
        <v>2940</v>
      </c>
    </row>
    <row r="1461" spans="1:18" hidden="1" x14ac:dyDescent="0.25">
      <c r="A1461" t="s">
        <v>23</v>
      </c>
      <c r="B1461" t="s">
        <v>24</v>
      </c>
      <c r="C1461" t="s">
        <v>15</v>
      </c>
      <c r="D1461" t="s">
        <v>16</v>
      </c>
      <c r="E1461" t="s">
        <v>25</v>
      </c>
      <c r="F1461" t="s">
        <v>26</v>
      </c>
      <c r="G1461" t="s">
        <v>27</v>
      </c>
      <c r="H1461" s="15">
        <v>1637100</v>
      </c>
      <c r="I1461" s="15">
        <v>0</v>
      </c>
      <c r="J1461" t="s">
        <v>20</v>
      </c>
      <c r="K1461" t="s">
        <v>28</v>
      </c>
      <c r="L1461" s="2">
        <v>44835</v>
      </c>
      <c r="M1461" t="s">
        <v>29</v>
      </c>
      <c r="N1461">
        <v>1</v>
      </c>
      <c r="O1461" t="s">
        <v>4903</v>
      </c>
      <c r="P1461">
        <v>0</v>
      </c>
      <c r="Q1461" t="s">
        <v>4903</v>
      </c>
      <c r="R1461" t="s">
        <v>23</v>
      </c>
    </row>
    <row r="1462" spans="1:18" hidden="1" x14ac:dyDescent="0.25">
      <c r="A1462" t="s">
        <v>3717</v>
      </c>
      <c r="B1462" t="s">
        <v>725</v>
      </c>
      <c r="C1462" t="s">
        <v>726</v>
      </c>
      <c r="D1462" t="s">
        <v>16</v>
      </c>
      <c r="E1462" t="s">
        <v>25</v>
      </c>
      <c r="F1462" t="s">
        <v>26</v>
      </c>
      <c r="G1462" t="s">
        <v>3718</v>
      </c>
      <c r="H1462" s="15">
        <v>573750</v>
      </c>
      <c r="I1462" s="15">
        <v>0</v>
      </c>
      <c r="J1462" t="s">
        <v>20</v>
      </c>
      <c r="K1462" t="s">
        <v>28</v>
      </c>
      <c r="L1462" s="2">
        <v>44835</v>
      </c>
      <c r="M1462" t="s">
        <v>3719</v>
      </c>
      <c r="N1462">
        <v>0</v>
      </c>
      <c r="O1462" t="s">
        <v>4903</v>
      </c>
      <c r="P1462">
        <v>0</v>
      </c>
      <c r="Q1462" t="s">
        <v>4903</v>
      </c>
      <c r="R1462" t="s">
        <v>3717</v>
      </c>
    </row>
    <row r="1463" spans="1:18" hidden="1" x14ac:dyDescent="0.25">
      <c r="A1463" t="s">
        <v>2187</v>
      </c>
      <c r="B1463" t="s">
        <v>61</v>
      </c>
      <c r="C1463" t="s">
        <v>62</v>
      </c>
      <c r="D1463" t="s">
        <v>16</v>
      </c>
      <c r="E1463" t="s">
        <v>25</v>
      </c>
      <c r="F1463" t="s">
        <v>34</v>
      </c>
      <c r="G1463" t="s">
        <v>2188</v>
      </c>
      <c r="H1463" s="15">
        <v>631126</v>
      </c>
      <c r="I1463" s="15">
        <v>0</v>
      </c>
      <c r="J1463" t="s">
        <v>20</v>
      </c>
      <c r="K1463" t="s">
        <v>116</v>
      </c>
      <c r="L1463" s="2">
        <v>44835</v>
      </c>
      <c r="M1463" t="s">
        <v>2189</v>
      </c>
      <c r="N1463">
        <v>0</v>
      </c>
      <c r="O1463" t="s">
        <v>4903</v>
      </c>
      <c r="P1463">
        <v>0</v>
      </c>
      <c r="Q1463" t="s">
        <v>4903</v>
      </c>
      <c r="R1463" t="s">
        <v>2187</v>
      </c>
    </row>
    <row r="1464" spans="1:18" hidden="1" x14ac:dyDescent="0.25">
      <c r="A1464" t="s">
        <v>638</v>
      </c>
      <c r="B1464" t="s">
        <v>47</v>
      </c>
      <c r="C1464" t="s">
        <v>48</v>
      </c>
      <c r="D1464" t="s">
        <v>16</v>
      </c>
      <c r="E1464" t="s">
        <v>25</v>
      </c>
      <c r="F1464" t="s">
        <v>59</v>
      </c>
      <c r="G1464" t="s">
        <v>639</v>
      </c>
      <c r="H1464" s="15">
        <v>864450</v>
      </c>
      <c r="I1464" s="15">
        <v>0</v>
      </c>
      <c r="J1464" t="s">
        <v>20</v>
      </c>
      <c r="K1464" t="s">
        <v>28</v>
      </c>
      <c r="L1464" s="2">
        <v>44835</v>
      </c>
      <c r="M1464" t="s">
        <v>640</v>
      </c>
      <c r="N1464">
        <v>0</v>
      </c>
      <c r="O1464" t="s">
        <v>4903</v>
      </c>
      <c r="P1464">
        <v>0</v>
      </c>
      <c r="Q1464" t="s">
        <v>4903</v>
      </c>
      <c r="R1464" t="s">
        <v>638</v>
      </c>
    </row>
    <row r="1465" spans="1:18" hidden="1" x14ac:dyDescent="0.25">
      <c r="A1465" t="s">
        <v>610</v>
      </c>
      <c r="B1465" t="s">
        <v>24</v>
      </c>
      <c r="C1465" t="s">
        <v>15</v>
      </c>
      <c r="D1465" t="s">
        <v>16</v>
      </c>
      <c r="E1465" t="s">
        <v>25</v>
      </c>
      <c r="F1465" t="s">
        <v>34</v>
      </c>
      <c r="G1465" t="s">
        <v>4706</v>
      </c>
      <c r="H1465" s="15">
        <v>887400</v>
      </c>
      <c r="I1465" s="15">
        <v>0</v>
      </c>
      <c r="J1465" t="s">
        <v>20</v>
      </c>
      <c r="K1465" t="s">
        <v>28</v>
      </c>
      <c r="L1465" s="2">
        <v>44835</v>
      </c>
      <c r="M1465" t="s">
        <v>4707</v>
      </c>
      <c r="N1465">
        <v>0</v>
      </c>
      <c r="O1465" t="s">
        <v>4903</v>
      </c>
      <c r="P1465">
        <v>0</v>
      </c>
      <c r="Q1465" t="s">
        <v>4903</v>
      </c>
      <c r="R1465" t="s">
        <v>610</v>
      </c>
    </row>
    <row r="1466" spans="1:18" hidden="1" x14ac:dyDescent="0.25">
      <c r="A1466" t="s">
        <v>4715</v>
      </c>
      <c r="B1466" t="s">
        <v>77</v>
      </c>
      <c r="C1466" t="s">
        <v>15</v>
      </c>
      <c r="D1466" t="s">
        <v>16</v>
      </c>
      <c r="E1466" t="s">
        <v>25</v>
      </c>
      <c r="F1466" t="s">
        <v>59</v>
      </c>
      <c r="G1466" t="s">
        <v>4716</v>
      </c>
      <c r="H1466" s="15">
        <v>657900</v>
      </c>
      <c r="I1466" s="15">
        <v>0</v>
      </c>
      <c r="J1466" t="s">
        <v>89</v>
      </c>
      <c r="K1466" t="s">
        <v>21</v>
      </c>
      <c r="L1466" s="2">
        <v>44835</v>
      </c>
      <c r="M1466" t="s">
        <v>4717</v>
      </c>
      <c r="N1466">
        <v>0</v>
      </c>
      <c r="O1466" t="s">
        <v>4903</v>
      </c>
      <c r="P1466">
        <v>0</v>
      </c>
      <c r="Q1466" t="s">
        <v>4903</v>
      </c>
      <c r="R1466" t="s">
        <v>4715</v>
      </c>
    </row>
    <row r="1467" spans="1:18" hidden="1" x14ac:dyDescent="0.25">
      <c r="A1467" t="s">
        <v>1882</v>
      </c>
      <c r="B1467" t="s">
        <v>244</v>
      </c>
      <c r="C1467" t="s">
        <v>39</v>
      </c>
      <c r="D1467" t="s">
        <v>16</v>
      </c>
      <c r="E1467" t="s">
        <v>25</v>
      </c>
      <c r="F1467" t="s">
        <v>152</v>
      </c>
      <c r="G1467" t="s">
        <v>1883</v>
      </c>
      <c r="H1467" s="15">
        <v>841500</v>
      </c>
      <c r="I1467" s="15">
        <v>0</v>
      </c>
      <c r="J1467" t="s">
        <v>20</v>
      </c>
      <c r="K1467" t="s">
        <v>28</v>
      </c>
      <c r="L1467" s="2">
        <v>44835</v>
      </c>
      <c r="M1467" t="s">
        <v>1884</v>
      </c>
      <c r="N1467">
        <v>0</v>
      </c>
      <c r="O1467" t="s">
        <v>4903</v>
      </c>
      <c r="P1467">
        <v>0</v>
      </c>
      <c r="Q1467" t="s">
        <v>4903</v>
      </c>
      <c r="R1467" t="s">
        <v>1882</v>
      </c>
    </row>
    <row r="1468" spans="1:18" hidden="1" x14ac:dyDescent="0.25">
      <c r="A1468" t="s">
        <v>3273</v>
      </c>
      <c r="B1468" t="s">
        <v>77</v>
      </c>
      <c r="C1468" t="s">
        <v>15</v>
      </c>
      <c r="D1468" t="s">
        <v>210</v>
      </c>
      <c r="E1468" t="s">
        <v>211</v>
      </c>
      <c r="F1468" t="s">
        <v>42</v>
      </c>
      <c r="G1468" t="s">
        <v>3274</v>
      </c>
      <c r="H1468" s="15">
        <v>545625</v>
      </c>
      <c r="I1468" s="15">
        <v>0</v>
      </c>
      <c r="J1468" t="s">
        <v>213</v>
      </c>
      <c r="K1468" t="s">
        <v>28</v>
      </c>
      <c r="L1468" s="2">
        <v>44835</v>
      </c>
      <c r="M1468" t="s">
        <v>3275</v>
      </c>
      <c r="N1468">
        <v>0</v>
      </c>
      <c r="O1468" t="s">
        <v>4903</v>
      </c>
      <c r="P1468">
        <v>0</v>
      </c>
      <c r="Q1468" t="s">
        <v>4903</v>
      </c>
      <c r="R1468" t="s">
        <v>3273</v>
      </c>
    </row>
    <row r="1469" spans="1:18" hidden="1" x14ac:dyDescent="0.25">
      <c r="A1469" t="s">
        <v>425</v>
      </c>
      <c r="B1469" t="s">
        <v>426</v>
      </c>
      <c r="C1469" t="s">
        <v>48</v>
      </c>
      <c r="D1469" t="s">
        <v>16</v>
      </c>
      <c r="E1469" t="s">
        <v>25</v>
      </c>
      <c r="F1469" t="s">
        <v>26</v>
      </c>
      <c r="G1469" t="s">
        <v>427</v>
      </c>
      <c r="H1469" s="15">
        <v>1017450</v>
      </c>
      <c r="I1469" s="15">
        <v>0</v>
      </c>
      <c r="J1469" t="s">
        <v>20</v>
      </c>
      <c r="K1469" t="s">
        <v>28</v>
      </c>
      <c r="L1469" s="2">
        <v>44835</v>
      </c>
      <c r="M1469" t="s">
        <v>428</v>
      </c>
      <c r="N1469">
        <v>0</v>
      </c>
      <c r="O1469" t="s">
        <v>4903</v>
      </c>
      <c r="P1469">
        <v>0</v>
      </c>
      <c r="Q1469" t="s">
        <v>4903</v>
      </c>
      <c r="R1469" t="s">
        <v>425</v>
      </c>
    </row>
    <row r="1470" spans="1:18" hidden="1" x14ac:dyDescent="0.25">
      <c r="A1470" t="s">
        <v>1418</v>
      </c>
      <c r="B1470" t="s">
        <v>24</v>
      </c>
      <c r="C1470" t="s">
        <v>15</v>
      </c>
      <c r="D1470" t="s">
        <v>16</v>
      </c>
      <c r="E1470" t="s">
        <v>25</v>
      </c>
      <c r="F1470" t="s">
        <v>34</v>
      </c>
      <c r="G1470" t="s">
        <v>3107</v>
      </c>
      <c r="H1470" s="15">
        <v>940950</v>
      </c>
      <c r="I1470" s="15">
        <v>0</v>
      </c>
      <c r="J1470" t="s">
        <v>20</v>
      </c>
      <c r="K1470" t="s">
        <v>100</v>
      </c>
      <c r="L1470" s="2">
        <v>44835</v>
      </c>
      <c r="M1470" t="s">
        <v>3108</v>
      </c>
      <c r="N1470">
        <v>0</v>
      </c>
      <c r="O1470" t="s">
        <v>4903</v>
      </c>
      <c r="P1470">
        <v>0</v>
      </c>
      <c r="Q1470" t="s">
        <v>4903</v>
      </c>
      <c r="R1470" t="s">
        <v>1418</v>
      </c>
    </row>
    <row r="1471" spans="1:18" hidden="1" x14ac:dyDescent="0.25">
      <c r="A1471" t="s">
        <v>1144</v>
      </c>
      <c r="B1471" t="s">
        <v>31</v>
      </c>
      <c r="C1471" t="s">
        <v>15</v>
      </c>
      <c r="D1471" t="s">
        <v>1145</v>
      </c>
      <c r="E1471" t="s">
        <v>1146</v>
      </c>
      <c r="F1471" t="s">
        <v>140</v>
      </c>
      <c r="G1471" t="s">
        <v>1147</v>
      </c>
      <c r="H1471" s="15">
        <v>100000</v>
      </c>
      <c r="I1471" s="15">
        <v>0</v>
      </c>
      <c r="J1471" t="s">
        <v>44</v>
      </c>
      <c r="K1471" t="s">
        <v>28</v>
      </c>
      <c r="L1471" s="2">
        <v>44835</v>
      </c>
      <c r="M1471" t="s">
        <v>1148</v>
      </c>
      <c r="N1471">
        <v>1</v>
      </c>
      <c r="O1471" t="s">
        <v>4903</v>
      </c>
      <c r="P1471">
        <v>0</v>
      </c>
      <c r="Q1471" t="s">
        <v>4903</v>
      </c>
      <c r="R1471" t="s">
        <v>1144</v>
      </c>
    </row>
    <row r="1472" spans="1:18" hidden="1" x14ac:dyDescent="0.25">
      <c r="A1472" t="s">
        <v>209</v>
      </c>
      <c r="B1472" t="s">
        <v>38</v>
      </c>
      <c r="C1472" t="s">
        <v>39</v>
      </c>
      <c r="D1472" t="s">
        <v>210</v>
      </c>
      <c r="E1472" t="s">
        <v>211</v>
      </c>
      <c r="F1472" t="s">
        <v>42</v>
      </c>
      <c r="G1472" t="s">
        <v>212</v>
      </c>
      <c r="H1472" s="15">
        <v>463500</v>
      </c>
      <c r="I1472" s="15">
        <v>0</v>
      </c>
      <c r="J1472" t="s">
        <v>213</v>
      </c>
      <c r="K1472" t="s">
        <v>28</v>
      </c>
      <c r="L1472" s="2">
        <v>44835</v>
      </c>
      <c r="M1472" t="s">
        <v>214</v>
      </c>
      <c r="N1472">
        <v>0</v>
      </c>
      <c r="O1472" t="s">
        <v>4903</v>
      </c>
      <c r="P1472">
        <v>0</v>
      </c>
      <c r="Q1472" t="s">
        <v>4903</v>
      </c>
      <c r="R1472" t="s">
        <v>209</v>
      </c>
    </row>
    <row r="1473" spans="1:18" hidden="1" x14ac:dyDescent="0.25">
      <c r="A1473" t="s">
        <v>1327</v>
      </c>
      <c r="B1473" t="s">
        <v>77</v>
      </c>
      <c r="C1473" t="s">
        <v>15</v>
      </c>
      <c r="D1473" t="s">
        <v>16</v>
      </c>
      <c r="E1473" t="s">
        <v>25</v>
      </c>
      <c r="F1473" t="s">
        <v>18</v>
      </c>
      <c r="G1473" t="s">
        <v>1445</v>
      </c>
      <c r="H1473" s="15">
        <v>742050</v>
      </c>
      <c r="I1473" s="15">
        <v>0</v>
      </c>
      <c r="J1473" t="s">
        <v>20</v>
      </c>
      <c r="K1473" t="s">
        <v>74</v>
      </c>
      <c r="L1473" s="2">
        <v>44835</v>
      </c>
      <c r="M1473" t="s">
        <v>1446</v>
      </c>
      <c r="N1473">
        <v>0</v>
      </c>
      <c r="O1473" t="s">
        <v>4903</v>
      </c>
      <c r="P1473">
        <v>0</v>
      </c>
      <c r="Q1473" t="s">
        <v>4903</v>
      </c>
      <c r="R1473" t="s">
        <v>1327</v>
      </c>
    </row>
    <row r="1474" spans="1:18" hidden="1" x14ac:dyDescent="0.25">
      <c r="A1474" t="s">
        <v>417</v>
      </c>
      <c r="B1474" t="s">
        <v>14</v>
      </c>
      <c r="C1474" t="s">
        <v>15</v>
      </c>
      <c r="D1474" t="s">
        <v>16</v>
      </c>
      <c r="E1474" t="s">
        <v>25</v>
      </c>
      <c r="F1474" t="s">
        <v>34</v>
      </c>
      <c r="G1474" t="s">
        <v>931</v>
      </c>
      <c r="H1474" s="15">
        <v>711450</v>
      </c>
      <c r="I1474" s="15">
        <v>0</v>
      </c>
      <c r="J1474" t="s">
        <v>20</v>
      </c>
      <c r="K1474" t="s">
        <v>28</v>
      </c>
      <c r="L1474" s="2">
        <v>44835</v>
      </c>
      <c r="M1474" t="s">
        <v>932</v>
      </c>
      <c r="N1474">
        <v>0</v>
      </c>
      <c r="O1474" t="s">
        <v>4903</v>
      </c>
      <c r="P1474">
        <v>0</v>
      </c>
      <c r="Q1474" t="s">
        <v>4903</v>
      </c>
      <c r="R1474" t="s">
        <v>417</v>
      </c>
    </row>
    <row r="1475" spans="1:18" hidden="1" x14ac:dyDescent="0.25">
      <c r="A1475" t="s">
        <v>954</v>
      </c>
      <c r="B1475" t="s">
        <v>119</v>
      </c>
      <c r="C1475" t="s">
        <v>39</v>
      </c>
      <c r="D1475" t="s">
        <v>16</v>
      </c>
      <c r="E1475" t="s">
        <v>25</v>
      </c>
      <c r="F1475" t="s">
        <v>140</v>
      </c>
      <c r="G1475" t="s">
        <v>4150</v>
      </c>
      <c r="H1475" s="15">
        <v>956250</v>
      </c>
      <c r="I1475" s="15">
        <v>0</v>
      </c>
      <c r="J1475" t="s">
        <v>20</v>
      </c>
      <c r="K1475" t="s">
        <v>28</v>
      </c>
      <c r="L1475" s="2">
        <v>44835</v>
      </c>
      <c r="M1475" t="s">
        <v>4151</v>
      </c>
      <c r="N1475">
        <v>0</v>
      </c>
      <c r="O1475" t="s">
        <v>4903</v>
      </c>
      <c r="P1475">
        <v>0</v>
      </c>
      <c r="Q1475" t="s">
        <v>4903</v>
      </c>
      <c r="R1475" t="s">
        <v>954</v>
      </c>
    </row>
    <row r="1476" spans="1:18" hidden="1" x14ac:dyDescent="0.25">
      <c r="A1476" t="s">
        <v>2275</v>
      </c>
      <c r="B1476" t="s">
        <v>47</v>
      </c>
      <c r="C1476" t="s">
        <v>48</v>
      </c>
      <c r="D1476" t="s">
        <v>16</v>
      </c>
      <c r="E1476" t="s">
        <v>25</v>
      </c>
      <c r="F1476" t="s">
        <v>34</v>
      </c>
      <c r="G1476" t="s">
        <v>3654</v>
      </c>
      <c r="H1476" s="15">
        <v>275400</v>
      </c>
      <c r="I1476" s="15">
        <v>0</v>
      </c>
      <c r="J1476" t="s">
        <v>89</v>
      </c>
      <c r="K1476" t="s">
        <v>116</v>
      </c>
      <c r="L1476" s="2">
        <v>44835</v>
      </c>
      <c r="M1476" t="s">
        <v>3655</v>
      </c>
      <c r="N1476">
        <v>0</v>
      </c>
      <c r="O1476" t="s">
        <v>4903</v>
      </c>
      <c r="P1476">
        <v>0</v>
      </c>
      <c r="Q1476" t="s">
        <v>4903</v>
      </c>
      <c r="R1476" t="s">
        <v>2275</v>
      </c>
    </row>
    <row r="1477" spans="1:18" hidden="1" x14ac:dyDescent="0.25">
      <c r="A1477" t="s">
        <v>3606</v>
      </c>
      <c r="B1477" t="s">
        <v>2063</v>
      </c>
      <c r="C1477" t="s">
        <v>15</v>
      </c>
      <c r="D1477" t="s">
        <v>16</v>
      </c>
      <c r="E1477" t="s">
        <v>25</v>
      </c>
      <c r="F1477" t="s">
        <v>34</v>
      </c>
      <c r="G1477" t="s">
        <v>3607</v>
      </c>
      <c r="H1477" s="15">
        <v>738226</v>
      </c>
      <c r="I1477" s="15">
        <v>0</v>
      </c>
      <c r="J1477" t="s">
        <v>20</v>
      </c>
      <c r="K1477" t="s">
        <v>28</v>
      </c>
      <c r="L1477" s="2">
        <v>44835</v>
      </c>
      <c r="M1477" t="s">
        <v>3608</v>
      </c>
      <c r="N1477">
        <v>0</v>
      </c>
      <c r="O1477" t="s">
        <v>4903</v>
      </c>
      <c r="P1477">
        <v>0</v>
      </c>
      <c r="Q1477" t="s">
        <v>4903</v>
      </c>
      <c r="R1477" t="s">
        <v>3606</v>
      </c>
    </row>
    <row r="1478" spans="1:18" hidden="1" x14ac:dyDescent="0.25">
      <c r="A1478" t="s">
        <v>2869</v>
      </c>
      <c r="B1478" t="s">
        <v>14</v>
      </c>
      <c r="C1478" t="s">
        <v>15</v>
      </c>
      <c r="D1478" t="s">
        <v>16</v>
      </c>
      <c r="E1478" t="s">
        <v>25</v>
      </c>
      <c r="F1478" t="s">
        <v>152</v>
      </c>
      <c r="G1478" t="s">
        <v>2870</v>
      </c>
      <c r="H1478" s="15">
        <v>516376</v>
      </c>
      <c r="I1478" s="15">
        <v>0</v>
      </c>
      <c r="J1478" t="s">
        <v>20</v>
      </c>
      <c r="K1478" t="s">
        <v>28</v>
      </c>
      <c r="L1478" s="2">
        <v>44835</v>
      </c>
      <c r="M1478" t="s">
        <v>2871</v>
      </c>
      <c r="N1478">
        <v>0</v>
      </c>
      <c r="O1478" t="s">
        <v>4903</v>
      </c>
      <c r="P1478">
        <v>0</v>
      </c>
      <c r="Q1478" t="s">
        <v>4903</v>
      </c>
      <c r="R1478" t="s">
        <v>2869</v>
      </c>
    </row>
    <row r="1479" spans="1:18" hidden="1" x14ac:dyDescent="0.25">
      <c r="A1479" t="s">
        <v>1421</v>
      </c>
      <c r="B1479" t="s">
        <v>244</v>
      </c>
      <c r="C1479" t="s">
        <v>39</v>
      </c>
      <c r="D1479" t="s">
        <v>16</v>
      </c>
      <c r="E1479" t="s">
        <v>25</v>
      </c>
      <c r="F1479" t="s">
        <v>140</v>
      </c>
      <c r="G1479" t="s">
        <v>1422</v>
      </c>
      <c r="H1479" s="15">
        <v>1109251</v>
      </c>
      <c r="I1479" s="15">
        <v>0</v>
      </c>
      <c r="J1479" t="s">
        <v>154</v>
      </c>
      <c r="K1479" t="s">
        <v>28</v>
      </c>
      <c r="L1479" s="2">
        <v>44835</v>
      </c>
      <c r="M1479" t="s">
        <v>1423</v>
      </c>
      <c r="N1479">
        <v>2</v>
      </c>
      <c r="O1479" t="s">
        <v>4903</v>
      </c>
      <c r="P1479">
        <v>0</v>
      </c>
      <c r="Q1479" t="s">
        <v>4903</v>
      </c>
      <c r="R1479" t="s">
        <v>1421</v>
      </c>
    </row>
    <row r="1480" spans="1:18" hidden="1" x14ac:dyDescent="0.25">
      <c r="A1480" t="s">
        <v>2956</v>
      </c>
      <c r="B1480" t="s">
        <v>14</v>
      </c>
      <c r="C1480" t="s">
        <v>15</v>
      </c>
      <c r="D1480" t="s">
        <v>16</v>
      </c>
      <c r="E1480" t="s">
        <v>25</v>
      </c>
      <c r="F1480" t="s">
        <v>34</v>
      </c>
      <c r="G1480" t="s">
        <v>4539</v>
      </c>
      <c r="H1480" s="15">
        <v>1369352</v>
      </c>
      <c r="I1480" s="15">
        <v>0</v>
      </c>
      <c r="J1480" t="s">
        <v>154</v>
      </c>
      <c r="K1480" t="s">
        <v>28</v>
      </c>
      <c r="L1480" s="2">
        <v>44835</v>
      </c>
      <c r="M1480" t="s">
        <v>4540</v>
      </c>
      <c r="N1480">
        <v>0</v>
      </c>
      <c r="O1480" t="s">
        <v>4903</v>
      </c>
      <c r="P1480">
        <v>0</v>
      </c>
      <c r="Q1480" t="s">
        <v>4903</v>
      </c>
      <c r="R1480" t="s">
        <v>2956</v>
      </c>
    </row>
    <row r="1481" spans="1:18" hidden="1" x14ac:dyDescent="0.25">
      <c r="A1481" t="s">
        <v>53</v>
      </c>
      <c r="B1481" t="s">
        <v>47</v>
      </c>
      <c r="C1481" t="s">
        <v>48</v>
      </c>
      <c r="D1481" t="s">
        <v>54</v>
      </c>
      <c r="E1481" t="s">
        <v>55</v>
      </c>
      <c r="F1481" t="s">
        <v>18</v>
      </c>
      <c r="G1481" t="s">
        <v>56</v>
      </c>
      <c r="H1481" s="15">
        <v>100000</v>
      </c>
      <c r="I1481" s="15">
        <v>0</v>
      </c>
      <c r="J1481" t="s">
        <v>44</v>
      </c>
      <c r="K1481" t="s">
        <v>57</v>
      </c>
      <c r="L1481" s="2">
        <v>44835</v>
      </c>
      <c r="M1481" t="s">
        <v>58</v>
      </c>
      <c r="N1481">
        <v>0</v>
      </c>
      <c r="O1481" t="s">
        <v>4903</v>
      </c>
      <c r="P1481">
        <v>0</v>
      </c>
      <c r="Q1481" t="s">
        <v>4903</v>
      </c>
      <c r="R1481" t="s">
        <v>53</v>
      </c>
    </row>
    <row r="1482" spans="1:18" hidden="1" x14ac:dyDescent="0.25">
      <c r="A1482" t="s">
        <v>53</v>
      </c>
      <c r="B1482" t="s">
        <v>47</v>
      </c>
      <c r="C1482" t="s">
        <v>48</v>
      </c>
      <c r="D1482" t="s">
        <v>16</v>
      </c>
      <c r="E1482" t="s">
        <v>25</v>
      </c>
      <c r="F1482" t="s">
        <v>59</v>
      </c>
      <c r="G1482" t="s">
        <v>56</v>
      </c>
      <c r="H1482" s="15">
        <v>963900</v>
      </c>
      <c r="I1482" s="15">
        <v>0</v>
      </c>
      <c r="J1482" t="s">
        <v>20</v>
      </c>
      <c r="K1482" t="s">
        <v>57</v>
      </c>
      <c r="L1482" s="2">
        <v>44835</v>
      </c>
      <c r="M1482" t="s">
        <v>58</v>
      </c>
      <c r="N1482">
        <v>0</v>
      </c>
      <c r="O1482" t="s">
        <v>4903</v>
      </c>
      <c r="P1482">
        <v>0</v>
      </c>
      <c r="Q1482" t="s">
        <v>4903</v>
      </c>
      <c r="R1482" t="s">
        <v>53</v>
      </c>
    </row>
    <row r="1483" spans="1:18" hidden="1" x14ac:dyDescent="0.25">
      <c r="A1483" t="s">
        <v>1891</v>
      </c>
      <c r="B1483" t="s">
        <v>47</v>
      </c>
      <c r="C1483" t="s">
        <v>48</v>
      </c>
      <c r="D1483" t="s">
        <v>16</v>
      </c>
      <c r="E1483" t="s">
        <v>25</v>
      </c>
      <c r="F1483" t="s">
        <v>140</v>
      </c>
      <c r="G1483" t="s">
        <v>1892</v>
      </c>
      <c r="H1483" s="15">
        <v>841500</v>
      </c>
      <c r="I1483" s="15">
        <v>0</v>
      </c>
      <c r="J1483" t="s">
        <v>20</v>
      </c>
      <c r="K1483" t="s">
        <v>28</v>
      </c>
      <c r="L1483" s="2">
        <v>44835</v>
      </c>
      <c r="M1483" t="s">
        <v>1893</v>
      </c>
      <c r="N1483">
        <v>0</v>
      </c>
      <c r="O1483" t="s">
        <v>4903</v>
      </c>
      <c r="P1483">
        <v>0</v>
      </c>
      <c r="Q1483" t="s">
        <v>4903</v>
      </c>
      <c r="R1483" t="s">
        <v>1891</v>
      </c>
    </row>
    <row r="1484" spans="1:18" hidden="1" x14ac:dyDescent="0.25">
      <c r="A1484" t="s">
        <v>3991</v>
      </c>
      <c r="B1484" t="s">
        <v>688</v>
      </c>
      <c r="C1484" t="s">
        <v>39</v>
      </c>
      <c r="D1484" t="s">
        <v>16</v>
      </c>
      <c r="E1484" t="s">
        <v>25</v>
      </c>
      <c r="F1484" t="s">
        <v>152</v>
      </c>
      <c r="G1484" t="s">
        <v>3992</v>
      </c>
      <c r="H1484" s="15">
        <v>956250</v>
      </c>
      <c r="I1484" s="15">
        <v>0</v>
      </c>
      <c r="J1484" t="s">
        <v>20</v>
      </c>
      <c r="K1484" t="s">
        <v>134</v>
      </c>
      <c r="L1484" s="2">
        <v>44835</v>
      </c>
      <c r="M1484" t="s">
        <v>3993</v>
      </c>
      <c r="N1484">
        <v>0</v>
      </c>
      <c r="O1484" t="s">
        <v>4903</v>
      </c>
      <c r="P1484">
        <v>0</v>
      </c>
      <c r="Q1484" t="s">
        <v>4903</v>
      </c>
      <c r="R1484" t="s">
        <v>3991</v>
      </c>
    </row>
    <row r="1485" spans="1:18" hidden="1" x14ac:dyDescent="0.25">
      <c r="A1485" t="s">
        <v>1808</v>
      </c>
      <c r="B1485" t="s">
        <v>14</v>
      </c>
      <c r="C1485" t="s">
        <v>15</v>
      </c>
      <c r="D1485" t="s">
        <v>16</v>
      </c>
      <c r="E1485" t="s">
        <v>25</v>
      </c>
      <c r="F1485" t="s">
        <v>26</v>
      </c>
      <c r="G1485" t="s">
        <v>4629</v>
      </c>
      <c r="H1485" s="15">
        <v>1051876</v>
      </c>
      <c r="I1485" s="15">
        <v>0</v>
      </c>
      <c r="J1485" t="s">
        <v>20</v>
      </c>
      <c r="K1485" t="s">
        <v>28</v>
      </c>
      <c r="L1485" s="2">
        <v>44835</v>
      </c>
      <c r="M1485" t="s">
        <v>4630</v>
      </c>
      <c r="N1485">
        <v>0</v>
      </c>
      <c r="O1485" t="s">
        <v>4903</v>
      </c>
      <c r="P1485">
        <v>0</v>
      </c>
      <c r="Q1485" t="s">
        <v>4903</v>
      </c>
      <c r="R1485" t="s">
        <v>1808</v>
      </c>
    </row>
    <row r="1486" spans="1:18" hidden="1" x14ac:dyDescent="0.25">
      <c r="A1486" t="s">
        <v>655</v>
      </c>
      <c r="B1486" t="s">
        <v>84</v>
      </c>
      <c r="C1486" t="s">
        <v>15</v>
      </c>
      <c r="D1486" t="s">
        <v>16</v>
      </c>
      <c r="E1486" t="s">
        <v>25</v>
      </c>
      <c r="F1486" t="s">
        <v>18</v>
      </c>
      <c r="G1486" t="s">
        <v>656</v>
      </c>
      <c r="H1486" s="15">
        <v>822376</v>
      </c>
      <c r="I1486" s="15">
        <v>0</v>
      </c>
      <c r="J1486" t="s">
        <v>20</v>
      </c>
      <c r="K1486" t="s">
        <v>116</v>
      </c>
      <c r="L1486" s="2">
        <v>44835</v>
      </c>
      <c r="M1486" t="s">
        <v>657</v>
      </c>
      <c r="N1486">
        <v>0</v>
      </c>
      <c r="O1486" t="s">
        <v>4903</v>
      </c>
      <c r="P1486">
        <v>0</v>
      </c>
      <c r="Q1486" t="s">
        <v>4903</v>
      </c>
      <c r="R1486" t="s">
        <v>655</v>
      </c>
    </row>
    <row r="1487" spans="1:18" hidden="1" x14ac:dyDescent="0.25">
      <c r="A1487" t="s">
        <v>4755</v>
      </c>
      <c r="B1487" t="s">
        <v>973</v>
      </c>
      <c r="C1487" t="s">
        <v>15</v>
      </c>
      <c r="D1487" t="s">
        <v>439</v>
      </c>
      <c r="E1487" t="s">
        <v>855</v>
      </c>
      <c r="F1487" t="s">
        <v>152</v>
      </c>
      <c r="G1487" t="s">
        <v>4756</v>
      </c>
      <c r="H1487" s="15">
        <v>100000</v>
      </c>
      <c r="I1487" s="15">
        <v>0</v>
      </c>
      <c r="J1487" t="s">
        <v>44</v>
      </c>
      <c r="K1487" t="s">
        <v>28</v>
      </c>
      <c r="L1487" s="2">
        <v>44986</v>
      </c>
      <c r="M1487" t="s">
        <v>4757</v>
      </c>
      <c r="N1487">
        <v>0</v>
      </c>
      <c r="O1487" t="s">
        <v>4903</v>
      </c>
      <c r="P1487">
        <v>0</v>
      </c>
      <c r="Q1487" t="s">
        <v>4903</v>
      </c>
      <c r="R1487" t="s">
        <v>4755</v>
      </c>
    </row>
    <row r="1488" spans="1:18" hidden="1" x14ac:dyDescent="0.25">
      <c r="A1488" t="s">
        <v>1656</v>
      </c>
      <c r="B1488" t="s">
        <v>126</v>
      </c>
      <c r="C1488" t="s">
        <v>39</v>
      </c>
      <c r="D1488" t="s">
        <v>210</v>
      </c>
      <c r="E1488" t="s">
        <v>1517</v>
      </c>
      <c r="F1488" t="s">
        <v>152</v>
      </c>
      <c r="G1488" t="s">
        <v>4666</v>
      </c>
      <c r="H1488" s="15">
        <v>100000</v>
      </c>
      <c r="I1488" s="15">
        <v>0</v>
      </c>
      <c r="J1488" t="s">
        <v>44</v>
      </c>
      <c r="K1488" t="s">
        <v>28</v>
      </c>
      <c r="L1488" s="2">
        <v>44986</v>
      </c>
      <c r="M1488" t="s">
        <v>4667</v>
      </c>
      <c r="N1488">
        <v>0</v>
      </c>
      <c r="O1488" t="s">
        <v>4903</v>
      </c>
      <c r="P1488">
        <v>0</v>
      </c>
      <c r="Q1488" t="s">
        <v>4903</v>
      </c>
      <c r="R1488" t="s">
        <v>1656</v>
      </c>
    </row>
    <row r="1489" spans="1:18" hidden="1" x14ac:dyDescent="0.25">
      <c r="A1489" t="s">
        <v>2053</v>
      </c>
      <c r="B1489" t="s">
        <v>126</v>
      </c>
      <c r="C1489" t="s">
        <v>39</v>
      </c>
      <c r="D1489" t="s">
        <v>394</v>
      </c>
      <c r="E1489" t="s">
        <v>2054</v>
      </c>
      <c r="F1489" t="s">
        <v>140</v>
      </c>
      <c r="G1489" t="s">
        <v>2055</v>
      </c>
      <c r="H1489" s="15">
        <v>100000</v>
      </c>
      <c r="I1489" s="15">
        <v>0</v>
      </c>
      <c r="J1489" t="s">
        <v>44</v>
      </c>
      <c r="K1489" t="s">
        <v>28</v>
      </c>
      <c r="L1489" s="2">
        <v>44986</v>
      </c>
      <c r="M1489" t="s">
        <v>2056</v>
      </c>
      <c r="N1489">
        <v>0</v>
      </c>
      <c r="O1489" t="s">
        <v>4903</v>
      </c>
      <c r="P1489">
        <v>0</v>
      </c>
      <c r="Q1489" t="s">
        <v>4903</v>
      </c>
      <c r="R1489" t="s">
        <v>2053</v>
      </c>
    </row>
    <row r="1490" spans="1:18" hidden="1" x14ac:dyDescent="0.25">
      <c r="A1490" t="s">
        <v>2403</v>
      </c>
      <c r="B1490" t="s">
        <v>14</v>
      </c>
      <c r="C1490" t="s">
        <v>15</v>
      </c>
      <c r="D1490" t="s">
        <v>394</v>
      </c>
      <c r="E1490" t="s">
        <v>2054</v>
      </c>
      <c r="F1490" t="s">
        <v>140</v>
      </c>
      <c r="G1490" t="s">
        <v>3897</v>
      </c>
      <c r="H1490" s="15">
        <v>100000</v>
      </c>
      <c r="I1490" s="15">
        <v>0</v>
      </c>
      <c r="J1490" t="s">
        <v>44</v>
      </c>
      <c r="K1490" t="s">
        <v>28</v>
      </c>
      <c r="L1490" s="2">
        <v>44986</v>
      </c>
      <c r="M1490" t="s">
        <v>3898</v>
      </c>
      <c r="N1490">
        <v>0</v>
      </c>
      <c r="O1490" t="s">
        <v>4903</v>
      </c>
      <c r="P1490">
        <v>0</v>
      </c>
      <c r="Q1490" t="s">
        <v>4903</v>
      </c>
      <c r="R1490" t="s">
        <v>2403</v>
      </c>
    </row>
    <row r="1491" spans="1:18" hidden="1" x14ac:dyDescent="0.25">
      <c r="A1491" t="s">
        <v>4271</v>
      </c>
      <c r="B1491" t="s">
        <v>126</v>
      </c>
      <c r="C1491" t="s">
        <v>39</v>
      </c>
      <c r="D1491" t="s">
        <v>439</v>
      </c>
      <c r="E1491" t="s">
        <v>855</v>
      </c>
      <c r="F1491" t="s">
        <v>140</v>
      </c>
      <c r="G1491" t="s">
        <v>4272</v>
      </c>
      <c r="H1491" s="15">
        <v>100000</v>
      </c>
      <c r="I1491" s="15">
        <v>0</v>
      </c>
      <c r="J1491" t="s">
        <v>44</v>
      </c>
      <c r="K1491" t="s">
        <v>28</v>
      </c>
      <c r="L1491" s="2">
        <v>44986</v>
      </c>
      <c r="M1491" t="s">
        <v>4273</v>
      </c>
      <c r="N1491">
        <v>0</v>
      </c>
      <c r="O1491" t="s">
        <v>4903</v>
      </c>
      <c r="P1491">
        <v>0</v>
      </c>
      <c r="Q1491" t="s">
        <v>4903</v>
      </c>
      <c r="R1491" t="s">
        <v>4271</v>
      </c>
    </row>
    <row r="1492" spans="1:18" hidden="1" x14ac:dyDescent="0.25">
      <c r="A1492" t="s">
        <v>366</v>
      </c>
      <c r="B1492" t="s">
        <v>38</v>
      </c>
      <c r="C1492" t="s">
        <v>39</v>
      </c>
      <c r="D1492" t="s">
        <v>210</v>
      </c>
      <c r="E1492" t="s">
        <v>1517</v>
      </c>
      <c r="F1492" t="s">
        <v>152</v>
      </c>
      <c r="G1492" t="s">
        <v>3389</v>
      </c>
      <c r="H1492" s="15">
        <v>100000</v>
      </c>
      <c r="I1492" s="15">
        <v>0</v>
      </c>
      <c r="J1492" t="s">
        <v>44</v>
      </c>
      <c r="K1492" t="s">
        <v>28</v>
      </c>
      <c r="L1492" s="2">
        <v>44986</v>
      </c>
      <c r="M1492" t="s">
        <v>3388</v>
      </c>
      <c r="N1492">
        <v>0</v>
      </c>
      <c r="O1492" t="s">
        <v>4903</v>
      </c>
      <c r="P1492">
        <v>0</v>
      </c>
      <c r="Q1492" t="s">
        <v>4903</v>
      </c>
      <c r="R1492" t="s">
        <v>366</v>
      </c>
    </row>
    <row r="1493" spans="1:18" hidden="1" x14ac:dyDescent="0.25">
      <c r="A1493" t="s">
        <v>1783</v>
      </c>
      <c r="B1493" t="s">
        <v>119</v>
      </c>
      <c r="C1493" t="s">
        <v>39</v>
      </c>
      <c r="D1493" t="s">
        <v>210</v>
      </c>
      <c r="E1493" t="s">
        <v>1517</v>
      </c>
      <c r="F1493" t="s">
        <v>140</v>
      </c>
      <c r="G1493" t="s">
        <v>1784</v>
      </c>
      <c r="H1493" s="15">
        <v>100000</v>
      </c>
      <c r="I1493" s="15">
        <v>0</v>
      </c>
      <c r="J1493" t="s">
        <v>44</v>
      </c>
      <c r="K1493" t="s">
        <v>28</v>
      </c>
      <c r="L1493" s="2">
        <v>44986</v>
      </c>
      <c r="M1493" t="s">
        <v>1785</v>
      </c>
      <c r="N1493">
        <v>0</v>
      </c>
      <c r="O1493" t="s">
        <v>4903</v>
      </c>
      <c r="P1493">
        <v>0</v>
      </c>
      <c r="Q1493" t="s">
        <v>4903</v>
      </c>
      <c r="R1493" t="s">
        <v>1783</v>
      </c>
    </row>
    <row r="1494" spans="1:18" hidden="1" x14ac:dyDescent="0.25">
      <c r="A1494" t="s">
        <v>1167</v>
      </c>
      <c r="B1494" t="s">
        <v>126</v>
      </c>
      <c r="C1494" t="s">
        <v>39</v>
      </c>
      <c r="D1494" t="s">
        <v>1170</v>
      </c>
      <c r="E1494" t="s">
        <v>1171</v>
      </c>
      <c r="F1494" t="s">
        <v>18</v>
      </c>
      <c r="G1494" t="s">
        <v>1172</v>
      </c>
      <c r="H1494" s="15">
        <v>100000</v>
      </c>
      <c r="I1494" s="15">
        <v>0</v>
      </c>
      <c r="J1494" t="s">
        <v>44</v>
      </c>
      <c r="K1494" t="s">
        <v>65</v>
      </c>
      <c r="L1494" s="2">
        <v>44986</v>
      </c>
      <c r="M1494" t="s">
        <v>1173</v>
      </c>
      <c r="N1494">
        <v>0</v>
      </c>
      <c r="O1494" t="s">
        <v>4903</v>
      </c>
      <c r="P1494">
        <v>0</v>
      </c>
      <c r="Q1494" t="s">
        <v>4903</v>
      </c>
      <c r="R1494" t="s">
        <v>1167</v>
      </c>
    </row>
    <row r="1495" spans="1:18" hidden="1" x14ac:dyDescent="0.25">
      <c r="A1495" t="s">
        <v>2629</v>
      </c>
      <c r="B1495" t="s">
        <v>47</v>
      </c>
      <c r="C1495" t="s">
        <v>48</v>
      </c>
      <c r="D1495" t="s">
        <v>138</v>
      </c>
      <c r="E1495" t="s">
        <v>139</v>
      </c>
      <c r="F1495" t="s">
        <v>152</v>
      </c>
      <c r="G1495" t="s">
        <v>4002</v>
      </c>
      <c r="H1495" s="15">
        <v>100000</v>
      </c>
      <c r="I1495" s="15">
        <v>0</v>
      </c>
      <c r="J1495" t="s">
        <v>44</v>
      </c>
      <c r="K1495" t="s">
        <v>28</v>
      </c>
      <c r="L1495" s="2">
        <v>44986</v>
      </c>
      <c r="M1495" t="s">
        <v>4003</v>
      </c>
      <c r="N1495">
        <v>0</v>
      </c>
      <c r="O1495" t="s">
        <v>4903</v>
      </c>
      <c r="P1495">
        <v>0</v>
      </c>
      <c r="Q1495" t="s">
        <v>4903</v>
      </c>
      <c r="R1495" t="s">
        <v>2629</v>
      </c>
    </row>
    <row r="1496" spans="1:18" hidden="1" x14ac:dyDescent="0.25">
      <c r="A1496" t="s">
        <v>2943</v>
      </c>
      <c r="B1496" t="s">
        <v>315</v>
      </c>
      <c r="C1496" t="s">
        <v>39</v>
      </c>
      <c r="D1496" t="s">
        <v>3394</v>
      </c>
      <c r="E1496" t="s">
        <v>3395</v>
      </c>
      <c r="F1496" t="s">
        <v>59</v>
      </c>
      <c r="G1496" t="s">
        <v>3396</v>
      </c>
      <c r="H1496" s="15">
        <v>100000</v>
      </c>
      <c r="I1496" s="15">
        <v>0</v>
      </c>
      <c r="J1496" t="s">
        <v>44</v>
      </c>
      <c r="K1496" t="s">
        <v>134</v>
      </c>
      <c r="L1496" s="2">
        <v>44986</v>
      </c>
      <c r="M1496" t="s">
        <v>3397</v>
      </c>
      <c r="N1496">
        <v>1</v>
      </c>
      <c r="O1496" t="s">
        <v>4903</v>
      </c>
      <c r="P1496">
        <v>0</v>
      </c>
      <c r="Q1496" t="s">
        <v>4903</v>
      </c>
      <c r="R1496" t="s">
        <v>2943</v>
      </c>
    </row>
    <row r="1497" spans="1:18" hidden="1" x14ac:dyDescent="0.25">
      <c r="A1497" t="s">
        <v>1122</v>
      </c>
      <c r="B1497" t="s">
        <v>725</v>
      </c>
      <c r="C1497" t="s">
        <v>726</v>
      </c>
      <c r="D1497" t="s">
        <v>439</v>
      </c>
      <c r="E1497" t="s">
        <v>855</v>
      </c>
      <c r="F1497" t="s">
        <v>26</v>
      </c>
      <c r="G1497" t="s">
        <v>2166</v>
      </c>
      <c r="H1497" s="15">
        <v>100000</v>
      </c>
      <c r="I1497" s="15">
        <v>0</v>
      </c>
      <c r="J1497" t="s">
        <v>44</v>
      </c>
      <c r="K1497" t="s">
        <v>28</v>
      </c>
      <c r="L1497" s="2">
        <v>44986</v>
      </c>
      <c r="M1497" t="s">
        <v>2167</v>
      </c>
      <c r="N1497">
        <v>0</v>
      </c>
      <c r="O1497" t="s">
        <v>4903</v>
      </c>
      <c r="P1497">
        <v>0</v>
      </c>
      <c r="Q1497" t="s">
        <v>4903</v>
      </c>
      <c r="R1497" t="s">
        <v>1122</v>
      </c>
    </row>
    <row r="1498" spans="1:18" hidden="1" x14ac:dyDescent="0.25">
      <c r="A1498" t="s">
        <v>3426</v>
      </c>
      <c r="B1498" t="s">
        <v>47</v>
      </c>
      <c r="C1498" t="s">
        <v>48</v>
      </c>
      <c r="D1498" t="s">
        <v>439</v>
      </c>
      <c r="E1498" t="s">
        <v>855</v>
      </c>
      <c r="F1498" t="s">
        <v>152</v>
      </c>
      <c r="G1498" t="s">
        <v>3427</v>
      </c>
      <c r="H1498" s="15">
        <v>100000</v>
      </c>
      <c r="I1498" s="15">
        <v>0</v>
      </c>
      <c r="J1498" t="s">
        <v>44</v>
      </c>
      <c r="K1498" t="s">
        <v>28</v>
      </c>
      <c r="L1498" s="2">
        <v>44986</v>
      </c>
      <c r="M1498" t="s">
        <v>3428</v>
      </c>
      <c r="N1498">
        <v>0</v>
      </c>
      <c r="O1498" t="s">
        <v>4903</v>
      </c>
      <c r="P1498">
        <v>0</v>
      </c>
      <c r="Q1498" t="s">
        <v>4903</v>
      </c>
      <c r="R1498" t="s">
        <v>3426</v>
      </c>
    </row>
    <row r="1499" spans="1:18" hidden="1" x14ac:dyDescent="0.25">
      <c r="A1499" t="s">
        <v>447</v>
      </c>
      <c r="B1499" t="s">
        <v>77</v>
      </c>
      <c r="C1499" t="s">
        <v>15</v>
      </c>
      <c r="D1499" t="s">
        <v>138</v>
      </c>
      <c r="E1499" t="s">
        <v>139</v>
      </c>
      <c r="F1499" t="s">
        <v>26</v>
      </c>
      <c r="G1499" t="s">
        <v>448</v>
      </c>
      <c r="H1499" s="15">
        <v>100000</v>
      </c>
      <c r="I1499" s="15">
        <v>0</v>
      </c>
      <c r="J1499" t="s">
        <v>44</v>
      </c>
      <c r="K1499" t="s">
        <v>28</v>
      </c>
      <c r="L1499" s="2">
        <v>44986</v>
      </c>
      <c r="M1499" t="s">
        <v>449</v>
      </c>
      <c r="N1499">
        <v>0</v>
      </c>
      <c r="O1499" t="s">
        <v>4903</v>
      </c>
      <c r="P1499">
        <v>0</v>
      </c>
      <c r="Q1499" t="s">
        <v>4903</v>
      </c>
      <c r="R1499" t="s">
        <v>447</v>
      </c>
    </row>
    <row r="1500" spans="1:18" hidden="1" x14ac:dyDescent="0.25">
      <c r="A1500" t="s">
        <v>565</v>
      </c>
      <c r="B1500" t="s">
        <v>47</v>
      </c>
      <c r="C1500" t="s">
        <v>48</v>
      </c>
      <c r="D1500" t="s">
        <v>566</v>
      </c>
      <c r="E1500" t="s">
        <v>567</v>
      </c>
      <c r="F1500" t="s">
        <v>34</v>
      </c>
      <c r="G1500" t="s">
        <v>568</v>
      </c>
      <c r="H1500" s="15">
        <v>100000</v>
      </c>
      <c r="I1500" s="15">
        <v>0</v>
      </c>
      <c r="J1500" t="s">
        <v>44</v>
      </c>
      <c r="K1500" t="s">
        <v>148</v>
      </c>
      <c r="L1500" s="2">
        <v>44986</v>
      </c>
      <c r="M1500" t="s">
        <v>569</v>
      </c>
      <c r="N1500">
        <v>0</v>
      </c>
      <c r="O1500" t="s">
        <v>4903</v>
      </c>
      <c r="P1500">
        <v>0</v>
      </c>
      <c r="Q1500" t="s">
        <v>4903</v>
      </c>
      <c r="R1500" t="s">
        <v>565</v>
      </c>
    </row>
    <row r="1501" spans="1:18" hidden="1" x14ac:dyDescent="0.25">
      <c r="A1501" t="s">
        <v>2407</v>
      </c>
      <c r="B1501" t="s">
        <v>14</v>
      </c>
      <c r="C1501" t="s">
        <v>15</v>
      </c>
      <c r="D1501" t="s">
        <v>138</v>
      </c>
      <c r="E1501" t="s">
        <v>139</v>
      </c>
      <c r="F1501" t="s">
        <v>152</v>
      </c>
      <c r="G1501" t="s">
        <v>2408</v>
      </c>
      <c r="H1501" s="15">
        <v>100000</v>
      </c>
      <c r="I1501" s="15">
        <v>0</v>
      </c>
      <c r="J1501" t="s">
        <v>44</v>
      </c>
      <c r="K1501" t="s">
        <v>28</v>
      </c>
      <c r="L1501" s="2">
        <v>44986</v>
      </c>
      <c r="M1501" t="s">
        <v>2409</v>
      </c>
      <c r="N1501">
        <v>0</v>
      </c>
      <c r="O1501" t="s">
        <v>4903</v>
      </c>
      <c r="P1501">
        <v>0</v>
      </c>
      <c r="Q1501" t="s">
        <v>4903</v>
      </c>
      <c r="R1501" t="s">
        <v>2407</v>
      </c>
    </row>
    <row r="1502" spans="1:18" hidden="1" x14ac:dyDescent="0.25">
      <c r="A1502" t="s">
        <v>1515</v>
      </c>
      <c r="B1502" t="s">
        <v>1516</v>
      </c>
      <c r="C1502" t="s">
        <v>15</v>
      </c>
      <c r="D1502" t="s">
        <v>210</v>
      </c>
      <c r="E1502" t="s">
        <v>1517</v>
      </c>
      <c r="F1502" t="s">
        <v>26</v>
      </c>
      <c r="G1502" t="s">
        <v>1518</v>
      </c>
      <c r="H1502" s="15">
        <v>100000</v>
      </c>
      <c r="I1502" s="15">
        <v>0</v>
      </c>
      <c r="J1502" t="s">
        <v>44</v>
      </c>
      <c r="K1502" t="s">
        <v>28</v>
      </c>
      <c r="L1502" s="2">
        <v>44986</v>
      </c>
      <c r="M1502" t="s">
        <v>1519</v>
      </c>
      <c r="N1502">
        <v>0</v>
      </c>
      <c r="O1502" t="s">
        <v>4903</v>
      </c>
      <c r="P1502">
        <v>0</v>
      </c>
      <c r="Q1502" t="s">
        <v>4903</v>
      </c>
      <c r="R1502" t="s">
        <v>1515</v>
      </c>
    </row>
    <row r="1503" spans="1:18" hidden="1" x14ac:dyDescent="0.25">
      <c r="A1503" t="s">
        <v>854</v>
      </c>
      <c r="B1503" t="s">
        <v>315</v>
      </c>
      <c r="C1503" t="s">
        <v>39</v>
      </c>
      <c r="D1503" t="s">
        <v>439</v>
      </c>
      <c r="E1503" t="s">
        <v>855</v>
      </c>
      <c r="F1503" t="s">
        <v>140</v>
      </c>
      <c r="G1503" t="s">
        <v>856</v>
      </c>
      <c r="H1503" s="15">
        <v>100000</v>
      </c>
      <c r="I1503" s="15">
        <v>0</v>
      </c>
      <c r="J1503" t="s">
        <v>44</v>
      </c>
      <c r="K1503" t="s">
        <v>28</v>
      </c>
      <c r="L1503" s="2">
        <v>44986</v>
      </c>
      <c r="M1503" t="s">
        <v>857</v>
      </c>
      <c r="N1503">
        <v>0</v>
      </c>
      <c r="O1503" t="s">
        <v>4903</v>
      </c>
      <c r="P1503">
        <v>0</v>
      </c>
      <c r="Q1503" t="s">
        <v>4903</v>
      </c>
      <c r="R1503" t="s">
        <v>854</v>
      </c>
    </row>
    <row r="1504" spans="1:18" hidden="1" x14ac:dyDescent="0.25">
      <c r="A1504" t="s">
        <v>1129</v>
      </c>
      <c r="B1504" t="s">
        <v>31</v>
      </c>
      <c r="C1504" t="s">
        <v>15</v>
      </c>
      <c r="D1504" t="s">
        <v>138</v>
      </c>
      <c r="E1504" t="s">
        <v>139</v>
      </c>
      <c r="F1504" t="s">
        <v>152</v>
      </c>
      <c r="G1504" t="s">
        <v>4592</v>
      </c>
      <c r="H1504" s="15">
        <v>100000</v>
      </c>
      <c r="I1504" s="15">
        <v>0</v>
      </c>
      <c r="J1504" t="s">
        <v>44</v>
      </c>
      <c r="K1504" t="s">
        <v>28</v>
      </c>
      <c r="L1504" s="2">
        <v>44986</v>
      </c>
      <c r="M1504" t="s">
        <v>4593</v>
      </c>
      <c r="N1504">
        <v>0</v>
      </c>
      <c r="O1504" t="s">
        <v>4903</v>
      </c>
      <c r="P1504">
        <v>0</v>
      </c>
      <c r="Q1504" t="s">
        <v>4903</v>
      </c>
      <c r="R1504" t="s">
        <v>1129</v>
      </c>
    </row>
    <row r="1505" spans="1:18" hidden="1" x14ac:dyDescent="0.25">
      <c r="A1505" t="s">
        <v>37</v>
      </c>
      <c r="B1505" t="s">
        <v>38</v>
      </c>
      <c r="C1505" t="s">
        <v>39</v>
      </c>
      <c r="D1505" t="s">
        <v>210</v>
      </c>
      <c r="E1505" t="s">
        <v>1517</v>
      </c>
      <c r="F1505" t="s">
        <v>152</v>
      </c>
      <c r="G1505" t="s">
        <v>1791</v>
      </c>
      <c r="H1505" s="15">
        <v>100000</v>
      </c>
      <c r="I1505" s="15">
        <v>0</v>
      </c>
      <c r="J1505" t="s">
        <v>44</v>
      </c>
      <c r="K1505" t="s">
        <v>28</v>
      </c>
      <c r="L1505" s="2">
        <v>44986</v>
      </c>
      <c r="M1505" t="s">
        <v>1790</v>
      </c>
      <c r="N1505">
        <v>0</v>
      </c>
      <c r="O1505" t="s">
        <v>4903</v>
      </c>
      <c r="P1505">
        <v>0</v>
      </c>
      <c r="Q1505" t="s">
        <v>4903</v>
      </c>
      <c r="R1505" t="s">
        <v>37</v>
      </c>
    </row>
    <row r="1506" spans="1:18" hidden="1" x14ac:dyDescent="0.25">
      <c r="A1506" t="s">
        <v>863</v>
      </c>
      <c r="B1506" t="s">
        <v>864</v>
      </c>
      <c r="C1506" t="s">
        <v>865</v>
      </c>
      <c r="D1506" t="s">
        <v>138</v>
      </c>
      <c r="E1506" t="s">
        <v>139</v>
      </c>
      <c r="F1506" t="s">
        <v>26</v>
      </c>
      <c r="G1506" t="s">
        <v>866</v>
      </c>
      <c r="H1506" s="15">
        <v>100000</v>
      </c>
      <c r="I1506" s="15">
        <v>0</v>
      </c>
      <c r="J1506" t="s">
        <v>44</v>
      </c>
      <c r="K1506" t="s">
        <v>28</v>
      </c>
      <c r="L1506" s="2">
        <v>44986</v>
      </c>
      <c r="M1506" t="s">
        <v>867</v>
      </c>
      <c r="N1506">
        <v>0</v>
      </c>
      <c r="O1506" t="s">
        <v>4903</v>
      </c>
      <c r="P1506">
        <v>0</v>
      </c>
      <c r="Q1506" t="s">
        <v>4903</v>
      </c>
      <c r="R1506" t="s">
        <v>863</v>
      </c>
    </row>
    <row r="1507" spans="1:18" hidden="1" x14ac:dyDescent="0.25">
      <c r="A1507" t="s">
        <v>1233</v>
      </c>
      <c r="B1507" t="s">
        <v>923</v>
      </c>
      <c r="C1507" t="s">
        <v>15</v>
      </c>
      <c r="D1507" t="s">
        <v>138</v>
      </c>
      <c r="E1507" t="s">
        <v>139</v>
      </c>
      <c r="F1507" t="s">
        <v>140</v>
      </c>
      <c r="G1507" t="s">
        <v>1413</v>
      </c>
      <c r="H1507" s="15">
        <v>100000</v>
      </c>
      <c r="I1507" s="15">
        <v>0</v>
      </c>
      <c r="J1507" t="s">
        <v>44</v>
      </c>
      <c r="K1507" t="s">
        <v>28</v>
      </c>
      <c r="L1507" s="2">
        <v>44986</v>
      </c>
      <c r="M1507" t="s">
        <v>1414</v>
      </c>
      <c r="N1507">
        <v>0</v>
      </c>
      <c r="O1507" t="s">
        <v>4903</v>
      </c>
      <c r="P1507">
        <v>0</v>
      </c>
      <c r="Q1507" t="s">
        <v>4903</v>
      </c>
      <c r="R1507" t="s">
        <v>1233</v>
      </c>
    </row>
    <row r="1508" spans="1:18" hidden="1" x14ac:dyDescent="0.25">
      <c r="A1508" t="s">
        <v>874</v>
      </c>
      <c r="B1508" t="s">
        <v>47</v>
      </c>
      <c r="C1508" t="s">
        <v>48</v>
      </c>
      <c r="D1508" t="s">
        <v>439</v>
      </c>
      <c r="E1508" t="s">
        <v>855</v>
      </c>
      <c r="F1508" t="s">
        <v>26</v>
      </c>
      <c r="G1508" t="s">
        <v>875</v>
      </c>
      <c r="H1508" s="15">
        <v>100000</v>
      </c>
      <c r="I1508" s="15">
        <v>0</v>
      </c>
      <c r="J1508" t="s">
        <v>44</v>
      </c>
      <c r="K1508" t="s">
        <v>28</v>
      </c>
      <c r="L1508" s="2">
        <v>44986</v>
      </c>
      <c r="M1508" t="s">
        <v>876</v>
      </c>
      <c r="N1508">
        <v>0</v>
      </c>
      <c r="O1508" t="s">
        <v>4903</v>
      </c>
      <c r="P1508">
        <v>0</v>
      </c>
      <c r="Q1508" t="s">
        <v>4903</v>
      </c>
      <c r="R1508" t="s">
        <v>874</v>
      </c>
    </row>
    <row r="1509" spans="1:18" hidden="1" x14ac:dyDescent="0.25">
      <c r="A1509" t="s">
        <v>137</v>
      </c>
      <c r="B1509" t="s">
        <v>47</v>
      </c>
      <c r="C1509" t="s">
        <v>48</v>
      </c>
      <c r="D1509" t="s">
        <v>138</v>
      </c>
      <c r="E1509" t="s">
        <v>139</v>
      </c>
      <c r="F1509" t="s">
        <v>140</v>
      </c>
      <c r="G1509" t="s">
        <v>141</v>
      </c>
      <c r="H1509" s="15">
        <v>100000</v>
      </c>
      <c r="I1509" s="15">
        <v>0</v>
      </c>
      <c r="J1509" t="s">
        <v>44</v>
      </c>
      <c r="K1509" t="s">
        <v>28</v>
      </c>
      <c r="L1509" s="2">
        <v>44986</v>
      </c>
      <c r="M1509" t="s">
        <v>142</v>
      </c>
      <c r="N1509">
        <v>0</v>
      </c>
      <c r="O1509" t="s">
        <v>4903</v>
      </c>
      <c r="P1509">
        <v>0</v>
      </c>
      <c r="Q1509" t="s">
        <v>4903</v>
      </c>
      <c r="R1509" t="s">
        <v>137</v>
      </c>
    </row>
    <row r="1510" spans="1:18" x14ac:dyDescent="0.25">
      <c r="A1510" t="s">
        <v>3250</v>
      </c>
      <c r="B1510" t="s">
        <v>973</v>
      </c>
      <c r="C1510" t="s">
        <v>15</v>
      </c>
      <c r="D1510" t="s">
        <v>32</v>
      </c>
      <c r="E1510" t="s">
        <v>2743</v>
      </c>
      <c r="F1510" t="s">
        <v>152</v>
      </c>
      <c r="G1510" t="s">
        <v>3251</v>
      </c>
      <c r="H1510" s="15">
        <v>100000</v>
      </c>
      <c r="I1510" s="15">
        <v>0</v>
      </c>
      <c r="J1510" t="s">
        <v>44</v>
      </c>
      <c r="K1510" t="s">
        <v>28</v>
      </c>
      <c r="L1510" s="2">
        <v>41913</v>
      </c>
      <c r="M1510" t="s">
        <v>3252</v>
      </c>
      <c r="N1510">
        <v>7</v>
      </c>
      <c r="O1510" t="s">
        <v>4808</v>
      </c>
      <c r="P1510">
        <v>1</v>
      </c>
      <c r="Q1510" t="s">
        <v>4809</v>
      </c>
      <c r="R1510" t="s">
        <v>3250</v>
      </c>
    </row>
    <row r="1511" spans="1:18" hidden="1" x14ac:dyDescent="0.25">
      <c r="A1511" t="s">
        <v>3573</v>
      </c>
      <c r="B1511" t="s">
        <v>14</v>
      </c>
      <c r="C1511" t="s">
        <v>15</v>
      </c>
      <c r="D1511" t="s">
        <v>16</v>
      </c>
      <c r="E1511" t="s">
        <v>186</v>
      </c>
      <c r="F1511" t="s">
        <v>140</v>
      </c>
      <c r="G1511" t="s">
        <v>4205</v>
      </c>
      <c r="H1511" s="15">
        <v>100000</v>
      </c>
      <c r="I1511" s="15">
        <v>0</v>
      </c>
      <c r="J1511" t="s">
        <v>44</v>
      </c>
      <c r="K1511" t="s">
        <v>28</v>
      </c>
      <c r="L1511" s="2">
        <v>45017</v>
      </c>
      <c r="M1511" t="s">
        <v>4206</v>
      </c>
      <c r="N1511">
        <v>0</v>
      </c>
      <c r="O1511" t="s">
        <v>4903</v>
      </c>
      <c r="P1511">
        <v>0</v>
      </c>
      <c r="Q1511" t="s">
        <v>4903</v>
      </c>
      <c r="R1511" t="s">
        <v>3573</v>
      </c>
    </row>
    <row r="1512" spans="1:18" hidden="1" x14ac:dyDescent="0.25">
      <c r="A1512" t="s">
        <v>3573</v>
      </c>
      <c r="B1512" t="s">
        <v>14</v>
      </c>
      <c r="C1512" t="s">
        <v>15</v>
      </c>
      <c r="D1512" t="s">
        <v>16</v>
      </c>
      <c r="E1512" t="s">
        <v>17</v>
      </c>
      <c r="F1512" t="s">
        <v>26</v>
      </c>
      <c r="G1512" t="s">
        <v>4205</v>
      </c>
      <c r="H1512" s="15">
        <v>776475</v>
      </c>
      <c r="I1512" s="15">
        <v>0</v>
      </c>
      <c r="J1512" t="s">
        <v>20</v>
      </c>
      <c r="K1512" t="s">
        <v>28</v>
      </c>
      <c r="L1512" s="2">
        <v>45017</v>
      </c>
      <c r="M1512" t="s">
        <v>4206</v>
      </c>
      <c r="N1512">
        <v>0</v>
      </c>
      <c r="O1512" t="s">
        <v>4903</v>
      </c>
      <c r="P1512">
        <v>0</v>
      </c>
      <c r="Q1512" t="s">
        <v>4903</v>
      </c>
      <c r="R1512" t="s">
        <v>3573</v>
      </c>
    </row>
    <row r="1513" spans="1:18" hidden="1" x14ac:dyDescent="0.25">
      <c r="A1513" t="s">
        <v>1111</v>
      </c>
      <c r="B1513" t="s">
        <v>47</v>
      </c>
      <c r="C1513" t="s">
        <v>48</v>
      </c>
      <c r="D1513" t="s">
        <v>16</v>
      </c>
      <c r="E1513" t="s">
        <v>373</v>
      </c>
      <c r="F1513" t="s">
        <v>140</v>
      </c>
      <c r="G1513" t="s">
        <v>1112</v>
      </c>
      <c r="H1513" s="15">
        <v>646424</v>
      </c>
      <c r="I1513" s="15">
        <v>0</v>
      </c>
      <c r="J1513" t="s">
        <v>89</v>
      </c>
      <c r="K1513" t="s">
        <v>28</v>
      </c>
      <c r="L1513" s="2">
        <v>45017</v>
      </c>
      <c r="M1513" t="s">
        <v>1113</v>
      </c>
      <c r="N1513">
        <v>0</v>
      </c>
      <c r="O1513" t="s">
        <v>4903</v>
      </c>
      <c r="P1513">
        <v>0</v>
      </c>
      <c r="Q1513" t="s">
        <v>4903</v>
      </c>
      <c r="R1513" t="s">
        <v>1111</v>
      </c>
    </row>
    <row r="1514" spans="1:18" hidden="1" x14ac:dyDescent="0.25">
      <c r="A1514" t="s">
        <v>891</v>
      </c>
      <c r="B1514" t="s">
        <v>406</v>
      </c>
      <c r="C1514" t="s">
        <v>62</v>
      </c>
      <c r="D1514" t="s">
        <v>16</v>
      </c>
      <c r="E1514" t="s">
        <v>373</v>
      </c>
      <c r="F1514" t="s">
        <v>152</v>
      </c>
      <c r="G1514" t="s">
        <v>2028</v>
      </c>
      <c r="H1514" s="15">
        <v>956250</v>
      </c>
      <c r="I1514" s="15">
        <v>0</v>
      </c>
      <c r="J1514" t="s">
        <v>20</v>
      </c>
      <c r="K1514" t="s">
        <v>28</v>
      </c>
      <c r="L1514" s="2">
        <v>45017</v>
      </c>
      <c r="M1514" t="s">
        <v>2029</v>
      </c>
      <c r="N1514">
        <v>0</v>
      </c>
      <c r="O1514" t="s">
        <v>4903</v>
      </c>
      <c r="P1514">
        <v>0</v>
      </c>
      <c r="Q1514" t="s">
        <v>4903</v>
      </c>
      <c r="R1514" t="s">
        <v>891</v>
      </c>
    </row>
    <row r="1515" spans="1:18" hidden="1" x14ac:dyDescent="0.25">
      <c r="A1515" t="s">
        <v>684</v>
      </c>
      <c r="B1515" t="s">
        <v>126</v>
      </c>
      <c r="C1515" t="s">
        <v>39</v>
      </c>
      <c r="D1515" t="s">
        <v>16</v>
      </c>
      <c r="E1515" t="s">
        <v>373</v>
      </c>
      <c r="F1515" t="s">
        <v>26</v>
      </c>
      <c r="G1515" t="s">
        <v>3895</v>
      </c>
      <c r="H1515" s="15">
        <v>891225</v>
      </c>
      <c r="I1515" s="15">
        <v>0</v>
      </c>
      <c r="J1515" t="s">
        <v>20</v>
      </c>
      <c r="K1515" t="s">
        <v>28</v>
      </c>
      <c r="L1515" s="2">
        <v>45017</v>
      </c>
      <c r="M1515" t="s">
        <v>3896</v>
      </c>
      <c r="N1515">
        <v>0</v>
      </c>
      <c r="O1515" t="s">
        <v>4903</v>
      </c>
      <c r="P1515">
        <v>0</v>
      </c>
      <c r="Q1515" t="s">
        <v>4903</v>
      </c>
      <c r="R1515" t="s">
        <v>684</v>
      </c>
    </row>
    <row r="1516" spans="1:18" hidden="1" x14ac:dyDescent="0.25">
      <c r="A1516" t="s">
        <v>4207</v>
      </c>
      <c r="B1516" t="s">
        <v>84</v>
      </c>
      <c r="C1516" t="s">
        <v>15</v>
      </c>
      <c r="D1516" t="s">
        <v>16</v>
      </c>
      <c r="E1516" t="s">
        <v>186</v>
      </c>
      <c r="F1516" t="s">
        <v>152</v>
      </c>
      <c r="G1516" t="s">
        <v>4210</v>
      </c>
      <c r="H1516" s="15">
        <v>100000</v>
      </c>
      <c r="I1516" s="15">
        <v>0</v>
      </c>
      <c r="J1516" t="s">
        <v>44</v>
      </c>
      <c r="K1516" t="s">
        <v>28</v>
      </c>
      <c r="L1516" s="2">
        <v>45017</v>
      </c>
      <c r="M1516" t="s">
        <v>4211</v>
      </c>
      <c r="N1516">
        <v>0</v>
      </c>
      <c r="O1516" t="s">
        <v>4903</v>
      </c>
      <c r="P1516">
        <v>0</v>
      </c>
      <c r="Q1516" t="s">
        <v>4903</v>
      </c>
      <c r="R1516" t="s">
        <v>4207</v>
      </c>
    </row>
    <row r="1517" spans="1:18" hidden="1" x14ac:dyDescent="0.25">
      <c r="A1517" t="s">
        <v>2225</v>
      </c>
      <c r="B1517" t="s">
        <v>973</v>
      </c>
      <c r="C1517" t="s">
        <v>15</v>
      </c>
      <c r="D1517" t="s">
        <v>16</v>
      </c>
      <c r="E1517" t="s">
        <v>373</v>
      </c>
      <c r="F1517" t="s">
        <v>140</v>
      </c>
      <c r="G1517" t="s">
        <v>2226</v>
      </c>
      <c r="H1517" s="15">
        <v>910350</v>
      </c>
      <c r="I1517" s="15">
        <v>0</v>
      </c>
      <c r="J1517" t="s">
        <v>20</v>
      </c>
      <c r="K1517" t="s">
        <v>28</v>
      </c>
      <c r="L1517" s="2">
        <v>45017</v>
      </c>
      <c r="M1517" t="s">
        <v>2227</v>
      </c>
      <c r="N1517">
        <v>0</v>
      </c>
      <c r="O1517" t="s">
        <v>4903</v>
      </c>
      <c r="P1517">
        <v>0</v>
      </c>
      <c r="Q1517" t="s">
        <v>4903</v>
      </c>
      <c r="R1517" t="s">
        <v>2225</v>
      </c>
    </row>
    <row r="1518" spans="1:18" hidden="1" x14ac:dyDescent="0.25">
      <c r="A1518" t="s">
        <v>1608</v>
      </c>
      <c r="B1518" t="s">
        <v>1020</v>
      </c>
      <c r="C1518" t="s">
        <v>15</v>
      </c>
      <c r="D1518" t="s">
        <v>16</v>
      </c>
      <c r="E1518" t="s">
        <v>373</v>
      </c>
      <c r="F1518" t="s">
        <v>59</v>
      </c>
      <c r="G1518" t="s">
        <v>1609</v>
      </c>
      <c r="H1518" s="15">
        <v>344250</v>
      </c>
      <c r="I1518" s="15">
        <v>0</v>
      </c>
      <c r="J1518" t="s">
        <v>89</v>
      </c>
      <c r="K1518" t="s">
        <v>21</v>
      </c>
      <c r="L1518" s="2">
        <v>45017</v>
      </c>
      <c r="M1518" t="s">
        <v>1610</v>
      </c>
      <c r="N1518">
        <v>0</v>
      </c>
      <c r="O1518" t="s">
        <v>4903</v>
      </c>
      <c r="P1518">
        <v>0</v>
      </c>
      <c r="Q1518" t="s">
        <v>4903</v>
      </c>
      <c r="R1518" t="s">
        <v>1608</v>
      </c>
    </row>
    <row r="1519" spans="1:18" hidden="1" x14ac:dyDescent="0.25">
      <c r="A1519" t="s">
        <v>976</v>
      </c>
      <c r="B1519" t="s">
        <v>77</v>
      </c>
      <c r="C1519" t="s">
        <v>15</v>
      </c>
      <c r="D1519" t="s">
        <v>16</v>
      </c>
      <c r="E1519" t="s">
        <v>373</v>
      </c>
      <c r="F1519" t="s">
        <v>140</v>
      </c>
      <c r="G1519" t="s">
        <v>4698</v>
      </c>
      <c r="H1519" s="15">
        <v>1377000</v>
      </c>
      <c r="I1519" s="15">
        <v>0</v>
      </c>
      <c r="J1519" t="s">
        <v>20</v>
      </c>
      <c r="K1519" t="s">
        <v>28</v>
      </c>
      <c r="L1519" s="2">
        <v>45017</v>
      </c>
      <c r="M1519" t="s">
        <v>4699</v>
      </c>
      <c r="N1519">
        <v>0</v>
      </c>
      <c r="O1519" t="s">
        <v>4903</v>
      </c>
      <c r="P1519">
        <v>0</v>
      </c>
      <c r="Q1519" t="s">
        <v>4903</v>
      </c>
      <c r="R1519" t="s">
        <v>976</v>
      </c>
    </row>
    <row r="1520" spans="1:18" hidden="1" x14ac:dyDescent="0.25">
      <c r="A1520" t="s">
        <v>3004</v>
      </c>
      <c r="B1520" t="s">
        <v>898</v>
      </c>
      <c r="C1520" t="s">
        <v>39</v>
      </c>
      <c r="D1520" t="s">
        <v>16</v>
      </c>
      <c r="E1520" t="s">
        <v>373</v>
      </c>
      <c r="F1520" t="s">
        <v>18</v>
      </c>
      <c r="G1520" t="s">
        <v>3124</v>
      </c>
      <c r="H1520" s="15">
        <v>470476</v>
      </c>
      <c r="I1520" s="15">
        <v>0</v>
      </c>
      <c r="J1520" t="s">
        <v>154</v>
      </c>
      <c r="K1520" t="s">
        <v>65</v>
      </c>
      <c r="L1520" s="2">
        <v>45017</v>
      </c>
      <c r="M1520" t="s">
        <v>3125</v>
      </c>
      <c r="N1520">
        <v>0</v>
      </c>
      <c r="O1520" t="s">
        <v>4903</v>
      </c>
      <c r="P1520">
        <v>0</v>
      </c>
      <c r="Q1520" t="s">
        <v>4903</v>
      </c>
      <c r="R1520" t="s">
        <v>3004</v>
      </c>
    </row>
    <row r="1521" spans="1:18" hidden="1" x14ac:dyDescent="0.25">
      <c r="A1521" t="s">
        <v>2564</v>
      </c>
      <c r="B1521" t="s">
        <v>47</v>
      </c>
      <c r="C1521" t="s">
        <v>48</v>
      </c>
      <c r="D1521" t="s">
        <v>16</v>
      </c>
      <c r="E1521" t="s">
        <v>373</v>
      </c>
      <c r="F1521" t="s">
        <v>18</v>
      </c>
      <c r="G1521" t="s">
        <v>3048</v>
      </c>
      <c r="H1521" s="15">
        <v>539324</v>
      </c>
      <c r="I1521" s="15">
        <v>0</v>
      </c>
      <c r="J1521" t="s">
        <v>154</v>
      </c>
      <c r="K1521" t="s">
        <v>65</v>
      </c>
      <c r="L1521" s="2">
        <v>45017</v>
      </c>
      <c r="M1521" t="s">
        <v>3049</v>
      </c>
      <c r="N1521">
        <v>0</v>
      </c>
      <c r="O1521" t="s">
        <v>4903</v>
      </c>
      <c r="P1521">
        <v>0</v>
      </c>
      <c r="Q1521" t="s">
        <v>4903</v>
      </c>
      <c r="R1521" t="s">
        <v>2564</v>
      </c>
    </row>
    <row r="1522" spans="1:18" hidden="1" x14ac:dyDescent="0.25">
      <c r="A1522" t="s">
        <v>1197</v>
      </c>
      <c r="B1522" t="s">
        <v>47</v>
      </c>
      <c r="C1522" t="s">
        <v>48</v>
      </c>
      <c r="D1522" t="s">
        <v>16</v>
      </c>
      <c r="E1522" t="s">
        <v>373</v>
      </c>
      <c r="F1522" t="s">
        <v>59</v>
      </c>
      <c r="G1522" t="s">
        <v>3085</v>
      </c>
      <c r="H1522" s="15">
        <v>1057421</v>
      </c>
      <c r="I1522" s="15">
        <v>0</v>
      </c>
      <c r="J1522" t="s">
        <v>20</v>
      </c>
      <c r="K1522" t="s">
        <v>57</v>
      </c>
      <c r="L1522" s="2">
        <v>45017</v>
      </c>
      <c r="M1522" t="s">
        <v>3086</v>
      </c>
      <c r="N1522">
        <v>0</v>
      </c>
      <c r="O1522" t="s">
        <v>4903</v>
      </c>
      <c r="P1522">
        <v>0</v>
      </c>
      <c r="Q1522" t="s">
        <v>4903</v>
      </c>
      <c r="R1522" t="s">
        <v>1197</v>
      </c>
    </row>
    <row r="1523" spans="1:18" hidden="1" x14ac:dyDescent="0.25">
      <c r="A1523" t="s">
        <v>1499</v>
      </c>
      <c r="B1523" t="s">
        <v>47</v>
      </c>
      <c r="C1523" t="s">
        <v>48</v>
      </c>
      <c r="D1523" t="s">
        <v>16</v>
      </c>
      <c r="E1523" t="s">
        <v>373</v>
      </c>
      <c r="F1523" t="s">
        <v>26</v>
      </c>
      <c r="G1523" t="s">
        <v>2522</v>
      </c>
      <c r="H1523" s="15">
        <v>956250</v>
      </c>
      <c r="I1523" s="15">
        <v>0</v>
      </c>
      <c r="J1523" t="s">
        <v>20</v>
      </c>
      <c r="K1523" t="s">
        <v>28</v>
      </c>
      <c r="L1523" s="2">
        <v>45017</v>
      </c>
      <c r="M1523" t="s">
        <v>2523</v>
      </c>
      <c r="N1523">
        <v>0</v>
      </c>
      <c r="O1523" t="s">
        <v>4903</v>
      </c>
      <c r="P1523">
        <v>0</v>
      </c>
      <c r="Q1523" t="s">
        <v>4903</v>
      </c>
      <c r="R1523" t="s">
        <v>1499</v>
      </c>
    </row>
    <row r="1524" spans="1:18" hidden="1" x14ac:dyDescent="0.25">
      <c r="A1524" t="s">
        <v>481</v>
      </c>
      <c r="B1524" t="s">
        <v>77</v>
      </c>
      <c r="C1524" t="s">
        <v>15</v>
      </c>
      <c r="D1524" t="s">
        <v>16</v>
      </c>
      <c r="E1524" t="s">
        <v>373</v>
      </c>
      <c r="F1524" t="s">
        <v>18</v>
      </c>
      <c r="G1524" t="s">
        <v>2830</v>
      </c>
      <c r="H1524" s="15">
        <v>397800</v>
      </c>
      <c r="I1524" s="15">
        <v>0</v>
      </c>
      <c r="J1524" t="s">
        <v>154</v>
      </c>
      <c r="K1524" t="s">
        <v>74</v>
      </c>
      <c r="L1524" s="2">
        <v>45017</v>
      </c>
      <c r="M1524" t="s">
        <v>2831</v>
      </c>
      <c r="N1524">
        <v>0</v>
      </c>
      <c r="O1524" t="s">
        <v>4903</v>
      </c>
      <c r="P1524">
        <v>0</v>
      </c>
      <c r="Q1524" t="s">
        <v>4903</v>
      </c>
      <c r="R1524" t="s">
        <v>481</v>
      </c>
    </row>
    <row r="1525" spans="1:18" hidden="1" x14ac:dyDescent="0.25">
      <c r="A1525" t="s">
        <v>481</v>
      </c>
      <c r="B1525" t="s">
        <v>77</v>
      </c>
      <c r="C1525" t="s">
        <v>15</v>
      </c>
      <c r="D1525" t="s">
        <v>16</v>
      </c>
      <c r="E1525" t="s">
        <v>373</v>
      </c>
      <c r="F1525" t="s">
        <v>34</v>
      </c>
      <c r="G1525" t="s">
        <v>482</v>
      </c>
      <c r="H1525" s="15">
        <v>612000</v>
      </c>
      <c r="I1525" s="15">
        <v>0</v>
      </c>
      <c r="J1525" t="s">
        <v>154</v>
      </c>
      <c r="K1525" t="s">
        <v>74</v>
      </c>
      <c r="L1525" s="2">
        <v>45017</v>
      </c>
      <c r="M1525" t="s">
        <v>483</v>
      </c>
      <c r="N1525">
        <v>0</v>
      </c>
      <c r="O1525" t="s">
        <v>4903</v>
      </c>
      <c r="P1525">
        <v>0</v>
      </c>
      <c r="Q1525" t="s">
        <v>4903</v>
      </c>
      <c r="R1525" t="s">
        <v>481</v>
      </c>
    </row>
    <row r="1526" spans="1:18" hidden="1" x14ac:dyDescent="0.25">
      <c r="A1526" t="s">
        <v>1426</v>
      </c>
      <c r="B1526" t="s">
        <v>119</v>
      </c>
      <c r="C1526" t="s">
        <v>39</v>
      </c>
      <c r="D1526" t="s">
        <v>16</v>
      </c>
      <c r="E1526" t="s">
        <v>373</v>
      </c>
      <c r="F1526" t="s">
        <v>34</v>
      </c>
      <c r="G1526" t="s">
        <v>1427</v>
      </c>
      <c r="H1526" s="15">
        <v>1147500</v>
      </c>
      <c r="I1526" s="15">
        <v>0</v>
      </c>
      <c r="J1526" t="s">
        <v>20</v>
      </c>
      <c r="K1526" t="s">
        <v>74</v>
      </c>
      <c r="L1526" s="2">
        <v>45017</v>
      </c>
      <c r="M1526" t="s">
        <v>1428</v>
      </c>
      <c r="N1526">
        <v>0</v>
      </c>
      <c r="O1526" t="s">
        <v>4903</v>
      </c>
      <c r="P1526">
        <v>0</v>
      </c>
      <c r="Q1526" t="s">
        <v>4903</v>
      </c>
      <c r="R1526" t="s">
        <v>1426</v>
      </c>
    </row>
    <row r="1527" spans="1:18" hidden="1" x14ac:dyDescent="0.25">
      <c r="A1527" t="s">
        <v>2858</v>
      </c>
      <c r="B1527" t="s">
        <v>24</v>
      </c>
      <c r="C1527" t="s">
        <v>15</v>
      </c>
      <c r="D1527" t="s">
        <v>16</v>
      </c>
      <c r="E1527" t="s">
        <v>373</v>
      </c>
      <c r="F1527" t="s">
        <v>34</v>
      </c>
      <c r="G1527" t="s">
        <v>2859</v>
      </c>
      <c r="H1527" s="15">
        <v>1328230</v>
      </c>
      <c r="I1527" s="15">
        <v>0</v>
      </c>
      <c r="J1527" t="s">
        <v>20</v>
      </c>
      <c r="K1527" t="s">
        <v>116</v>
      </c>
      <c r="L1527" s="2">
        <v>45017</v>
      </c>
      <c r="M1527" t="s">
        <v>2860</v>
      </c>
      <c r="N1527">
        <v>0</v>
      </c>
      <c r="O1527" t="s">
        <v>4903</v>
      </c>
      <c r="P1527">
        <v>0</v>
      </c>
      <c r="Q1527" t="s">
        <v>4903</v>
      </c>
      <c r="R1527" t="s">
        <v>2858</v>
      </c>
    </row>
    <row r="1528" spans="1:18" hidden="1" x14ac:dyDescent="0.25">
      <c r="A1528" t="s">
        <v>3175</v>
      </c>
      <c r="B1528" t="s">
        <v>14</v>
      </c>
      <c r="C1528" t="s">
        <v>15</v>
      </c>
      <c r="D1528" t="s">
        <v>16</v>
      </c>
      <c r="E1528" t="s">
        <v>373</v>
      </c>
      <c r="F1528" t="s">
        <v>140</v>
      </c>
      <c r="G1528" t="s">
        <v>4262</v>
      </c>
      <c r="H1528" s="15">
        <v>956250</v>
      </c>
      <c r="I1528" s="15">
        <v>0</v>
      </c>
      <c r="J1528" t="s">
        <v>20</v>
      </c>
      <c r="K1528" t="s">
        <v>28</v>
      </c>
      <c r="L1528" s="2">
        <v>45017</v>
      </c>
      <c r="M1528" t="s">
        <v>4263</v>
      </c>
      <c r="N1528">
        <v>0</v>
      </c>
      <c r="O1528" t="s">
        <v>4903</v>
      </c>
      <c r="P1528">
        <v>0</v>
      </c>
      <c r="Q1528" t="s">
        <v>4903</v>
      </c>
      <c r="R1528" t="s">
        <v>3175</v>
      </c>
    </row>
    <row r="1529" spans="1:18" hidden="1" x14ac:dyDescent="0.25">
      <c r="A1529" t="s">
        <v>1680</v>
      </c>
      <c r="B1529" t="s">
        <v>315</v>
      </c>
      <c r="C1529" t="s">
        <v>39</v>
      </c>
      <c r="D1529" t="s">
        <v>16</v>
      </c>
      <c r="E1529" t="s">
        <v>373</v>
      </c>
      <c r="F1529" t="s">
        <v>59</v>
      </c>
      <c r="G1529" t="s">
        <v>1695</v>
      </c>
      <c r="H1529" s="15">
        <v>797156</v>
      </c>
      <c r="I1529" s="15">
        <v>0</v>
      </c>
      <c r="J1529" t="s">
        <v>20</v>
      </c>
      <c r="K1529" t="s">
        <v>326</v>
      </c>
      <c r="L1529" s="2">
        <v>45017</v>
      </c>
      <c r="M1529" t="s">
        <v>1696</v>
      </c>
      <c r="N1529">
        <v>1</v>
      </c>
      <c r="O1529" t="s">
        <v>4903</v>
      </c>
      <c r="P1529">
        <v>0</v>
      </c>
      <c r="Q1529" t="s">
        <v>4903</v>
      </c>
      <c r="R1529" t="s">
        <v>1680</v>
      </c>
    </row>
    <row r="1530" spans="1:18" hidden="1" x14ac:dyDescent="0.25">
      <c r="A1530" t="s">
        <v>886</v>
      </c>
      <c r="B1530" t="s">
        <v>14</v>
      </c>
      <c r="C1530" t="s">
        <v>15</v>
      </c>
      <c r="D1530" t="s">
        <v>16</v>
      </c>
      <c r="E1530" t="s">
        <v>373</v>
      </c>
      <c r="F1530" t="s">
        <v>140</v>
      </c>
      <c r="G1530" t="s">
        <v>887</v>
      </c>
      <c r="H1530" s="15">
        <v>956250</v>
      </c>
      <c r="I1530" s="15">
        <v>0</v>
      </c>
      <c r="J1530" t="s">
        <v>20</v>
      </c>
      <c r="K1530" t="s">
        <v>28</v>
      </c>
      <c r="L1530" s="2">
        <v>45017</v>
      </c>
      <c r="M1530" t="s">
        <v>888</v>
      </c>
      <c r="N1530">
        <v>0</v>
      </c>
      <c r="O1530" t="s">
        <v>4903</v>
      </c>
      <c r="P1530">
        <v>0</v>
      </c>
      <c r="Q1530" t="s">
        <v>4903</v>
      </c>
      <c r="R1530" t="s">
        <v>886</v>
      </c>
    </row>
    <row r="1531" spans="1:18" hidden="1" x14ac:dyDescent="0.25">
      <c r="A1531" t="s">
        <v>185</v>
      </c>
      <c r="B1531" t="s">
        <v>47</v>
      </c>
      <c r="C1531" t="s">
        <v>48</v>
      </c>
      <c r="D1531" t="s">
        <v>16</v>
      </c>
      <c r="E1531" t="s">
        <v>186</v>
      </c>
      <c r="F1531" t="s">
        <v>140</v>
      </c>
      <c r="G1531" t="s">
        <v>187</v>
      </c>
      <c r="H1531" s="15">
        <v>100000</v>
      </c>
      <c r="I1531" s="15">
        <v>0</v>
      </c>
      <c r="J1531" t="s">
        <v>44</v>
      </c>
      <c r="K1531" t="s">
        <v>28</v>
      </c>
      <c r="L1531" s="2">
        <v>45017</v>
      </c>
      <c r="M1531" t="s">
        <v>188</v>
      </c>
      <c r="N1531">
        <v>0</v>
      </c>
      <c r="O1531" t="s">
        <v>4903</v>
      </c>
      <c r="P1531">
        <v>0</v>
      </c>
      <c r="Q1531" t="s">
        <v>4903</v>
      </c>
      <c r="R1531" t="s">
        <v>185</v>
      </c>
    </row>
    <row r="1532" spans="1:18" hidden="1" x14ac:dyDescent="0.25">
      <c r="A1532" t="s">
        <v>387</v>
      </c>
      <c r="B1532" t="s">
        <v>47</v>
      </c>
      <c r="C1532" t="s">
        <v>48</v>
      </c>
      <c r="D1532" t="s">
        <v>16</v>
      </c>
      <c r="E1532" t="s">
        <v>186</v>
      </c>
      <c r="F1532" t="s">
        <v>34</v>
      </c>
      <c r="G1532" t="s">
        <v>388</v>
      </c>
      <c r="H1532" s="15">
        <v>100000</v>
      </c>
      <c r="I1532" s="15">
        <v>0</v>
      </c>
      <c r="J1532" t="s">
        <v>44</v>
      </c>
      <c r="K1532" t="s">
        <v>100</v>
      </c>
      <c r="L1532" s="2">
        <v>45017</v>
      </c>
      <c r="M1532" t="s">
        <v>389</v>
      </c>
      <c r="N1532">
        <v>0</v>
      </c>
      <c r="O1532" t="s">
        <v>4903</v>
      </c>
      <c r="P1532">
        <v>0</v>
      </c>
      <c r="Q1532" t="s">
        <v>4903</v>
      </c>
      <c r="R1532" t="s">
        <v>387</v>
      </c>
    </row>
    <row r="1533" spans="1:18" hidden="1" x14ac:dyDescent="0.25">
      <c r="A1533" t="s">
        <v>1439</v>
      </c>
      <c r="B1533" t="s">
        <v>136</v>
      </c>
      <c r="C1533" t="s">
        <v>15</v>
      </c>
      <c r="D1533" t="s">
        <v>16</v>
      </c>
      <c r="E1533" t="s">
        <v>373</v>
      </c>
      <c r="F1533" t="s">
        <v>34</v>
      </c>
      <c r="G1533" t="s">
        <v>1440</v>
      </c>
      <c r="H1533" s="15">
        <v>699975</v>
      </c>
      <c r="I1533" s="15">
        <v>0</v>
      </c>
      <c r="J1533" t="s">
        <v>20</v>
      </c>
      <c r="K1533" t="s">
        <v>21</v>
      </c>
      <c r="L1533" s="2">
        <v>45017</v>
      </c>
      <c r="M1533" t="s">
        <v>1441</v>
      </c>
      <c r="N1533">
        <v>0</v>
      </c>
      <c r="O1533" t="s">
        <v>4903</v>
      </c>
      <c r="P1533">
        <v>0</v>
      </c>
      <c r="Q1533" t="s">
        <v>4903</v>
      </c>
      <c r="R1533" t="s">
        <v>1439</v>
      </c>
    </row>
    <row r="1534" spans="1:18" hidden="1" x14ac:dyDescent="0.25">
      <c r="A1534" t="s">
        <v>2198</v>
      </c>
      <c r="B1534" t="s">
        <v>14</v>
      </c>
      <c r="C1534" t="s">
        <v>15</v>
      </c>
      <c r="D1534" t="s">
        <v>16</v>
      </c>
      <c r="E1534" t="s">
        <v>373</v>
      </c>
      <c r="F1534" t="s">
        <v>152</v>
      </c>
      <c r="G1534" t="s">
        <v>4445</v>
      </c>
      <c r="H1534" s="15">
        <v>1032750</v>
      </c>
      <c r="I1534" s="15">
        <v>0</v>
      </c>
      <c r="J1534" t="s">
        <v>20</v>
      </c>
      <c r="K1534" t="s">
        <v>28</v>
      </c>
      <c r="L1534" s="2">
        <v>45017</v>
      </c>
      <c r="M1534" t="s">
        <v>4446</v>
      </c>
      <c r="N1534">
        <v>1</v>
      </c>
      <c r="O1534" t="s">
        <v>4903</v>
      </c>
      <c r="P1534">
        <v>0</v>
      </c>
      <c r="Q1534" t="s">
        <v>4903</v>
      </c>
      <c r="R1534" t="s">
        <v>2198</v>
      </c>
    </row>
    <row r="1535" spans="1:18" hidden="1" x14ac:dyDescent="0.25">
      <c r="A1535" t="s">
        <v>4670</v>
      </c>
      <c r="B1535" t="s">
        <v>244</v>
      </c>
      <c r="C1535" t="s">
        <v>39</v>
      </c>
      <c r="D1535" t="s">
        <v>16</v>
      </c>
      <c r="E1535" t="s">
        <v>373</v>
      </c>
      <c r="F1535" t="s">
        <v>140</v>
      </c>
      <c r="G1535" t="s">
        <v>4671</v>
      </c>
      <c r="H1535" s="15">
        <v>929475</v>
      </c>
      <c r="I1535" s="15">
        <v>0</v>
      </c>
      <c r="J1535" t="s">
        <v>20</v>
      </c>
      <c r="K1535" t="s">
        <v>28</v>
      </c>
      <c r="L1535" s="2">
        <v>45017</v>
      </c>
      <c r="M1535" t="s">
        <v>4672</v>
      </c>
      <c r="N1535">
        <v>0</v>
      </c>
      <c r="O1535" t="s">
        <v>4903</v>
      </c>
      <c r="P1535">
        <v>0</v>
      </c>
      <c r="Q1535" t="s">
        <v>4903</v>
      </c>
      <c r="R1535" t="s">
        <v>4670</v>
      </c>
    </row>
    <row r="1536" spans="1:18" hidden="1" x14ac:dyDescent="0.25">
      <c r="A1536" t="s">
        <v>1605</v>
      </c>
      <c r="B1536" t="s">
        <v>688</v>
      </c>
      <c r="C1536" t="s">
        <v>39</v>
      </c>
      <c r="D1536" t="s">
        <v>16</v>
      </c>
      <c r="E1536" t="s">
        <v>373</v>
      </c>
      <c r="F1536" t="s">
        <v>152</v>
      </c>
      <c r="G1536" t="s">
        <v>4485</v>
      </c>
      <c r="H1536" s="15">
        <v>992014</v>
      </c>
      <c r="I1536" s="15">
        <v>0</v>
      </c>
      <c r="J1536" t="s">
        <v>20</v>
      </c>
      <c r="K1536" t="s">
        <v>28</v>
      </c>
      <c r="L1536" s="2">
        <v>45017</v>
      </c>
      <c r="M1536" t="s">
        <v>4486</v>
      </c>
      <c r="N1536">
        <v>0</v>
      </c>
      <c r="O1536" t="s">
        <v>4903</v>
      </c>
      <c r="P1536">
        <v>0</v>
      </c>
      <c r="Q1536" t="s">
        <v>4903</v>
      </c>
      <c r="R1536" t="s">
        <v>1605</v>
      </c>
    </row>
    <row r="1537" spans="1:18" hidden="1" x14ac:dyDescent="0.25">
      <c r="A1537" t="s">
        <v>3994</v>
      </c>
      <c r="B1537" t="s">
        <v>244</v>
      </c>
      <c r="C1537" t="s">
        <v>39</v>
      </c>
      <c r="D1537" t="s">
        <v>16</v>
      </c>
      <c r="E1537" t="s">
        <v>373</v>
      </c>
      <c r="F1537" t="s">
        <v>18</v>
      </c>
      <c r="G1537" t="s">
        <v>3995</v>
      </c>
      <c r="H1537" s="15">
        <v>734400</v>
      </c>
      <c r="I1537" s="15">
        <v>0</v>
      </c>
      <c r="J1537" t="s">
        <v>20</v>
      </c>
      <c r="K1537" t="s">
        <v>100</v>
      </c>
      <c r="L1537" s="2">
        <v>45017</v>
      </c>
      <c r="M1537" t="s">
        <v>3996</v>
      </c>
      <c r="N1537">
        <v>0</v>
      </c>
      <c r="O1537" t="s">
        <v>4903</v>
      </c>
      <c r="P1537">
        <v>0</v>
      </c>
      <c r="Q1537" t="s">
        <v>4903</v>
      </c>
      <c r="R1537" t="s">
        <v>3994</v>
      </c>
    </row>
    <row r="1538" spans="1:18" hidden="1" x14ac:dyDescent="0.25">
      <c r="A1538" t="s">
        <v>1097</v>
      </c>
      <c r="B1538" t="s">
        <v>47</v>
      </c>
      <c r="C1538" t="s">
        <v>48</v>
      </c>
      <c r="D1538" t="s">
        <v>16</v>
      </c>
      <c r="E1538" t="s">
        <v>373</v>
      </c>
      <c r="F1538" t="s">
        <v>152</v>
      </c>
      <c r="G1538" t="s">
        <v>1098</v>
      </c>
      <c r="H1538" s="15">
        <v>983025</v>
      </c>
      <c r="I1538" s="15">
        <v>0</v>
      </c>
      <c r="J1538" t="s">
        <v>20</v>
      </c>
      <c r="K1538" t="s">
        <v>28</v>
      </c>
      <c r="L1538" s="2">
        <v>45017</v>
      </c>
      <c r="M1538" t="s">
        <v>1099</v>
      </c>
      <c r="N1538">
        <v>0</v>
      </c>
      <c r="O1538" t="s">
        <v>4903</v>
      </c>
      <c r="P1538">
        <v>0</v>
      </c>
      <c r="Q1538" t="s">
        <v>4903</v>
      </c>
      <c r="R1538" t="s">
        <v>1097</v>
      </c>
    </row>
    <row r="1539" spans="1:18" hidden="1" x14ac:dyDescent="0.25">
      <c r="A1539" t="s">
        <v>1144</v>
      </c>
      <c r="B1539" t="s">
        <v>31</v>
      </c>
      <c r="C1539" t="s">
        <v>15</v>
      </c>
      <c r="D1539" t="s">
        <v>16</v>
      </c>
      <c r="E1539" t="s">
        <v>373</v>
      </c>
      <c r="F1539" t="s">
        <v>140</v>
      </c>
      <c r="G1539" t="s">
        <v>4101</v>
      </c>
      <c r="H1539" s="15">
        <v>990675</v>
      </c>
      <c r="I1539" s="15">
        <v>0</v>
      </c>
      <c r="J1539" t="s">
        <v>20</v>
      </c>
      <c r="K1539" t="s">
        <v>28</v>
      </c>
      <c r="L1539" s="2">
        <v>45017</v>
      </c>
      <c r="M1539" t="s">
        <v>4102</v>
      </c>
      <c r="N1539">
        <v>0</v>
      </c>
      <c r="O1539" t="s">
        <v>4903</v>
      </c>
      <c r="P1539">
        <v>0</v>
      </c>
      <c r="Q1539" t="s">
        <v>4903</v>
      </c>
      <c r="R1539" t="s">
        <v>1144</v>
      </c>
    </row>
    <row r="1540" spans="1:18" hidden="1" x14ac:dyDescent="0.25">
      <c r="A1540" t="s">
        <v>1804</v>
      </c>
      <c r="B1540" t="s">
        <v>24</v>
      </c>
      <c r="C1540" t="s">
        <v>15</v>
      </c>
      <c r="D1540" t="s">
        <v>16</v>
      </c>
      <c r="E1540" t="s">
        <v>186</v>
      </c>
      <c r="F1540" t="s">
        <v>34</v>
      </c>
      <c r="G1540" t="s">
        <v>1805</v>
      </c>
      <c r="H1540" s="15">
        <v>100000</v>
      </c>
      <c r="I1540" s="15">
        <v>0</v>
      </c>
      <c r="J1540" t="s">
        <v>44</v>
      </c>
      <c r="K1540" t="s">
        <v>116</v>
      </c>
      <c r="L1540" s="2">
        <v>45017</v>
      </c>
      <c r="M1540" t="s">
        <v>1806</v>
      </c>
      <c r="N1540">
        <v>0</v>
      </c>
      <c r="O1540" t="s">
        <v>4903</v>
      </c>
      <c r="P1540">
        <v>0</v>
      </c>
      <c r="Q1540" t="s">
        <v>4903</v>
      </c>
      <c r="R1540" t="s">
        <v>1804</v>
      </c>
    </row>
    <row r="1541" spans="1:18" hidden="1" x14ac:dyDescent="0.25">
      <c r="A1541" t="s">
        <v>1804</v>
      </c>
      <c r="B1541" t="s">
        <v>24</v>
      </c>
      <c r="C1541" t="s">
        <v>15</v>
      </c>
      <c r="D1541" t="s">
        <v>16</v>
      </c>
      <c r="E1541" t="s">
        <v>219</v>
      </c>
      <c r="F1541" t="s">
        <v>34</v>
      </c>
      <c r="G1541" t="s">
        <v>1807</v>
      </c>
      <c r="H1541" s="15">
        <v>860626</v>
      </c>
      <c r="I1541" s="15">
        <v>0</v>
      </c>
      <c r="J1541" t="s">
        <v>20</v>
      </c>
      <c r="K1541" t="s">
        <v>116</v>
      </c>
      <c r="L1541" s="2">
        <v>45017</v>
      </c>
      <c r="M1541" t="s">
        <v>1806</v>
      </c>
      <c r="N1541">
        <v>0</v>
      </c>
      <c r="O1541" t="s">
        <v>4903</v>
      </c>
      <c r="P1541">
        <v>0</v>
      </c>
      <c r="Q1541" t="s">
        <v>4903</v>
      </c>
      <c r="R1541" t="s">
        <v>1804</v>
      </c>
    </row>
    <row r="1542" spans="1:18" hidden="1" x14ac:dyDescent="0.25">
      <c r="A1542" t="s">
        <v>2303</v>
      </c>
      <c r="B1542" t="s">
        <v>161</v>
      </c>
      <c r="C1542" t="s">
        <v>39</v>
      </c>
      <c r="D1542" t="s">
        <v>16</v>
      </c>
      <c r="E1542" t="s">
        <v>373</v>
      </c>
      <c r="F1542" t="s">
        <v>152</v>
      </c>
      <c r="G1542" t="s">
        <v>2304</v>
      </c>
      <c r="H1542" s="15">
        <v>956250</v>
      </c>
      <c r="I1542" s="15">
        <v>0</v>
      </c>
      <c r="J1542" t="s">
        <v>20</v>
      </c>
      <c r="K1542" t="s">
        <v>28</v>
      </c>
      <c r="L1542" s="2">
        <v>45017</v>
      </c>
      <c r="M1542" t="s">
        <v>2305</v>
      </c>
      <c r="N1542">
        <v>1</v>
      </c>
      <c r="O1542" t="s">
        <v>4903</v>
      </c>
      <c r="P1542">
        <v>0</v>
      </c>
      <c r="Q1542" t="s">
        <v>4903</v>
      </c>
      <c r="R1542" t="s">
        <v>2303</v>
      </c>
    </row>
    <row r="1543" spans="1:18" hidden="1" x14ac:dyDescent="0.25">
      <c r="A1543" t="s">
        <v>1086</v>
      </c>
      <c r="B1543" t="s">
        <v>24</v>
      </c>
      <c r="C1543" t="s">
        <v>15</v>
      </c>
      <c r="D1543" t="s">
        <v>16</v>
      </c>
      <c r="E1543" t="s">
        <v>373</v>
      </c>
      <c r="F1543" t="s">
        <v>152</v>
      </c>
      <c r="G1543" t="s">
        <v>4742</v>
      </c>
      <c r="H1543" s="15">
        <v>1981352</v>
      </c>
      <c r="I1543" s="15">
        <v>0</v>
      </c>
      <c r="J1543" t="s">
        <v>154</v>
      </c>
      <c r="K1543" t="s">
        <v>28</v>
      </c>
      <c r="L1543" s="2">
        <v>45017</v>
      </c>
      <c r="M1543" t="s">
        <v>4743</v>
      </c>
      <c r="N1543">
        <v>0</v>
      </c>
      <c r="O1543" t="s">
        <v>4903</v>
      </c>
      <c r="P1543">
        <v>0</v>
      </c>
      <c r="Q1543" t="s">
        <v>4903</v>
      </c>
      <c r="R1543" t="s">
        <v>1086</v>
      </c>
    </row>
    <row r="1544" spans="1:18" hidden="1" x14ac:dyDescent="0.25">
      <c r="A1544" t="s">
        <v>1864</v>
      </c>
      <c r="B1544" t="s">
        <v>77</v>
      </c>
      <c r="C1544" t="s">
        <v>15</v>
      </c>
      <c r="D1544" t="s">
        <v>16</v>
      </c>
      <c r="E1544" t="s">
        <v>373</v>
      </c>
      <c r="F1544" t="s">
        <v>26</v>
      </c>
      <c r="G1544" t="s">
        <v>1865</v>
      </c>
      <c r="H1544" s="15">
        <v>1285200</v>
      </c>
      <c r="I1544" s="15">
        <v>0</v>
      </c>
      <c r="J1544" t="s">
        <v>20</v>
      </c>
      <c r="K1544" t="s">
        <v>28</v>
      </c>
      <c r="L1544" s="2">
        <v>45017</v>
      </c>
      <c r="M1544" t="s">
        <v>1866</v>
      </c>
      <c r="N1544">
        <v>0</v>
      </c>
      <c r="O1544" t="s">
        <v>4903</v>
      </c>
      <c r="P1544">
        <v>0</v>
      </c>
      <c r="Q1544" t="s">
        <v>4903</v>
      </c>
      <c r="R1544" t="s">
        <v>1864</v>
      </c>
    </row>
    <row r="1545" spans="1:18" hidden="1" x14ac:dyDescent="0.25">
      <c r="A1545" t="s">
        <v>300</v>
      </c>
      <c r="B1545" t="s">
        <v>14</v>
      </c>
      <c r="C1545" t="s">
        <v>15</v>
      </c>
      <c r="D1545" t="s">
        <v>16</v>
      </c>
      <c r="E1545" t="s">
        <v>373</v>
      </c>
      <c r="F1545" t="s">
        <v>34</v>
      </c>
      <c r="G1545" t="s">
        <v>423</v>
      </c>
      <c r="H1545" s="15">
        <v>837675</v>
      </c>
      <c r="I1545" s="15">
        <v>0</v>
      </c>
      <c r="J1545" t="s">
        <v>20</v>
      </c>
      <c r="K1545" t="s">
        <v>28</v>
      </c>
      <c r="L1545" s="2">
        <v>45017</v>
      </c>
      <c r="M1545" t="s">
        <v>424</v>
      </c>
      <c r="N1545">
        <v>0</v>
      </c>
      <c r="O1545" t="s">
        <v>4903</v>
      </c>
      <c r="P1545">
        <v>0</v>
      </c>
      <c r="Q1545" t="s">
        <v>4903</v>
      </c>
      <c r="R1545" t="s">
        <v>300</v>
      </c>
    </row>
    <row r="1546" spans="1:18" hidden="1" x14ac:dyDescent="0.25">
      <c r="A1546" t="s">
        <v>4688</v>
      </c>
      <c r="B1546" t="s">
        <v>315</v>
      </c>
      <c r="C1546" t="s">
        <v>39</v>
      </c>
      <c r="D1546" t="s">
        <v>16</v>
      </c>
      <c r="E1546" t="s">
        <v>373</v>
      </c>
      <c r="F1546" t="s">
        <v>34</v>
      </c>
      <c r="G1546" t="s">
        <v>4689</v>
      </c>
      <c r="H1546" s="15">
        <v>914175</v>
      </c>
      <c r="I1546" s="15">
        <v>0</v>
      </c>
      <c r="J1546" t="s">
        <v>20</v>
      </c>
      <c r="K1546" t="s">
        <v>116</v>
      </c>
      <c r="L1546" s="2">
        <v>45017</v>
      </c>
      <c r="M1546" t="s">
        <v>4690</v>
      </c>
      <c r="N1546">
        <v>0</v>
      </c>
      <c r="O1546" t="s">
        <v>4903</v>
      </c>
      <c r="P1546">
        <v>0</v>
      </c>
      <c r="Q1546" t="s">
        <v>4903</v>
      </c>
      <c r="R1546" t="s">
        <v>4688</v>
      </c>
    </row>
    <row r="1547" spans="1:18" hidden="1" x14ac:dyDescent="0.25">
      <c r="A1547" t="s">
        <v>1769</v>
      </c>
      <c r="B1547" t="s">
        <v>77</v>
      </c>
      <c r="C1547" t="s">
        <v>15</v>
      </c>
      <c r="D1547" t="s">
        <v>16</v>
      </c>
      <c r="E1547" t="s">
        <v>186</v>
      </c>
      <c r="F1547" t="s">
        <v>140</v>
      </c>
      <c r="G1547" t="s">
        <v>1811</v>
      </c>
      <c r="H1547" s="15">
        <v>100000</v>
      </c>
      <c r="I1547" s="15">
        <v>0</v>
      </c>
      <c r="J1547" t="s">
        <v>44</v>
      </c>
      <c r="K1547" t="s">
        <v>28</v>
      </c>
      <c r="L1547" s="2">
        <v>45017</v>
      </c>
      <c r="M1547" t="s">
        <v>1812</v>
      </c>
      <c r="N1547">
        <v>0</v>
      </c>
      <c r="O1547" t="s">
        <v>4903</v>
      </c>
      <c r="P1547">
        <v>0</v>
      </c>
      <c r="Q1547" t="s">
        <v>4903</v>
      </c>
      <c r="R1547" t="s">
        <v>1769</v>
      </c>
    </row>
    <row r="1548" spans="1:18" hidden="1" x14ac:dyDescent="0.25">
      <c r="A1548" t="s">
        <v>4496</v>
      </c>
      <c r="B1548" t="s">
        <v>1912</v>
      </c>
      <c r="C1548" t="s">
        <v>15</v>
      </c>
      <c r="D1548" t="s">
        <v>16</v>
      </c>
      <c r="E1548" t="s">
        <v>373</v>
      </c>
      <c r="F1548" t="s">
        <v>18</v>
      </c>
      <c r="G1548" t="s">
        <v>4497</v>
      </c>
      <c r="H1548" s="15">
        <v>730575</v>
      </c>
      <c r="I1548" s="15">
        <v>0</v>
      </c>
      <c r="J1548" t="s">
        <v>20</v>
      </c>
      <c r="K1548" t="s">
        <v>28</v>
      </c>
      <c r="L1548" s="2">
        <v>45017</v>
      </c>
      <c r="M1548" t="s">
        <v>4498</v>
      </c>
      <c r="N1548">
        <v>0</v>
      </c>
      <c r="O1548" t="s">
        <v>4903</v>
      </c>
      <c r="P1548">
        <v>0</v>
      </c>
      <c r="Q1548" t="s">
        <v>4903</v>
      </c>
      <c r="R1548" t="s">
        <v>4496</v>
      </c>
    </row>
    <row r="1549" spans="1:18" hidden="1" x14ac:dyDescent="0.25">
      <c r="A1549" t="s">
        <v>13</v>
      </c>
      <c r="B1549" t="s">
        <v>14</v>
      </c>
      <c r="C1549" t="s">
        <v>15</v>
      </c>
      <c r="D1549" t="s">
        <v>16</v>
      </c>
      <c r="E1549" t="s">
        <v>373</v>
      </c>
      <c r="F1549" t="s">
        <v>59</v>
      </c>
      <c r="G1549" t="s">
        <v>374</v>
      </c>
      <c r="H1549" s="15">
        <v>726750</v>
      </c>
      <c r="I1549" s="15">
        <v>0</v>
      </c>
      <c r="J1549" t="s">
        <v>20</v>
      </c>
      <c r="K1549" t="s">
        <v>21</v>
      </c>
      <c r="L1549" s="2">
        <v>45017</v>
      </c>
      <c r="M1549" t="s">
        <v>375</v>
      </c>
      <c r="N1549">
        <v>1</v>
      </c>
      <c r="O1549" t="s">
        <v>4903</v>
      </c>
      <c r="P1549">
        <v>0</v>
      </c>
      <c r="Q1549" t="s">
        <v>4903</v>
      </c>
      <c r="R1549" t="s">
        <v>13</v>
      </c>
    </row>
    <row r="1550" spans="1:18" hidden="1" x14ac:dyDescent="0.25">
      <c r="A1550" t="s">
        <v>2141</v>
      </c>
      <c r="B1550" t="s">
        <v>84</v>
      </c>
      <c r="C1550" t="s">
        <v>15</v>
      </c>
      <c r="D1550" t="s">
        <v>16</v>
      </c>
      <c r="E1550" t="s">
        <v>186</v>
      </c>
      <c r="F1550" t="s">
        <v>26</v>
      </c>
      <c r="G1550" t="s">
        <v>2474</v>
      </c>
      <c r="H1550" s="15">
        <v>100000</v>
      </c>
      <c r="I1550" s="15">
        <v>0</v>
      </c>
      <c r="J1550" t="s">
        <v>44</v>
      </c>
      <c r="K1550" t="s">
        <v>28</v>
      </c>
      <c r="L1550" s="2">
        <v>45017</v>
      </c>
      <c r="M1550" t="s">
        <v>2475</v>
      </c>
      <c r="N1550">
        <v>0</v>
      </c>
      <c r="O1550" t="s">
        <v>4903</v>
      </c>
      <c r="P1550">
        <v>0</v>
      </c>
      <c r="Q1550" t="s">
        <v>4903</v>
      </c>
      <c r="R1550" t="s">
        <v>2141</v>
      </c>
    </row>
    <row r="1551" spans="1:18" hidden="1" x14ac:dyDescent="0.25">
      <c r="A1551" t="s">
        <v>2201</v>
      </c>
      <c r="B1551" t="s">
        <v>478</v>
      </c>
      <c r="C1551" t="s">
        <v>15</v>
      </c>
      <c r="D1551" t="s">
        <v>16</v>
      </c>
      <c r="E1551" t="s">
        <v>186</v>
      </c>
      <c r="F1551" t="s">
        <v>26</v>
      </c>
      <c r="G1551" t="s">
        <v>2222</v>
      </c>
      <c r="H1551" s="15">
        <v>100000</v>
      </c>
      <c r="I1551" s="15">
        <v>0</v>
      </c>
      <c r="J1551" t="s">
        <v>44</v>
      </c>
      <c r="K1551" t="s">
        <v>28</v>
      </c>
      <c r="L1551" s="2">
        <v>45017</v>
      </c>
      <c r="M1551" t="s">
        <v>2223</v>
      </c>
      <c r="N1551">
        <v>0</v>
      </c>
      <c r="O1551" t="s">
        <v>4903</v>
      </c>
      <c r="P1551">
        <v>0</v>
      </c>
      <c r="Q1551" t="s">
        <v>4903</v>
      </c>
      <c r="R1551" t="s">
        <v>2201</v>
      </c>
    </row>
    <row r="1552" spans="1:18" hidden="1" x14ac:dyDescent="0.25">
      <c r="A1552" t="s">
        <v>752</v>
      </c>
      <c r="B1552" t="s">
        <v>84</v>
      </c>
      <c r="C1552" t="s">
        <v>15</v>
      </c>
      <c r="D1552" t="s">
        <v>16</v>
      </c>
      <c r="E1552" t="s">
        <v>373</v>
      </c>
      <c r="F1552" t="s">
        <v>59</v>
      </c>
      <c r="G1552" t="s">
        <v>3325</v>
      </c>
      <c r="H1552" s="15">
        <v>665552</v>
      </c>
      <c r="I1552" s="15">
        <v>0</v>
      </c>
      <c r="J1552" t="s">
        <v>154</v>
      </c>
      <c r="K1552" t="s">
        <v>28</v>
      </c>
      <c r="L1552" s="2">
        <v>45017</v>
      </c>
      <c r="M1552" t="s">
        <v>3326</v>
      </c>
      <c r="N1552">
        <v>0</v>
      </c>
      <c r="O1552" t="s">
        <v>4903</v>
      </c>
      <c r="P1552">
        <v>0</v>
      </c>
      <c r="Q1552" t="s">
        <v>4903</v>
      </c>
      <c r="R1552" t="s">
        <v>752</v>
      </c>
    </row>
    <row r="1553" spans="1:18" hidden="1" x14ac:dyDescent="0.25">
      <c r="A1553" t="s">
        <v>919</v>
      </c>
      <c r="B1553" t="s">
        <v>315</v>
      </c>
      <c r="C1553" t="s">
        <v>39</v>
      </c>
      <c r="D1553" t="s">
        <v>16</v>
      </c>
      <c r="E1553" t="s">
        <v>373</v>
      </c>
      <c r="F1553" t="s">
        <v>152</v>
      </c>
      <c r="G1553" t="s">
        <v>1120</v>
      </c>
      <c r="H1553" s="15">
        <v>994500</v>
      </c>
      <c r="I1553" s="15">
        <v>0</v>
      </c>
      <c r="J1553" t="s">
        <v>20</v>
      </c>
      <c r="K1553" t="s">
        <v>28</v>
      </c>
      <c r="L1553" s="2">
        <v>45017</v>
      </c>
      <c r="M1553" t="s">
        <v>1121</v>
      </c>
      <c r="N1553">
        <v>0</v>
      </c>
      <c r="O1553" t="s">
        <v>4903</v>
      </c>
      <c r="P1553">
        <v>0</v>
      </c>
      <c r="Q1553" t="s">
        <v>4903</v>
      </c>
      <c r="R1553" t="s">
        <v>919</v>
      </c>
    </row>
    <row r="1554" spans="1:18" hidden="1" x14ac:dyDescent="0.25">
      <c r="A1554" t="s">
        <v>942</v>
      </c>
      <c r="B1554" t="s">
        <v>103</v>
      </c>
      <c r="C1554" t="s">
        <v>15</v>
      </c>
      <c r="D1554" t="s">
        <v>16</v>
      </c>
      <c r="E1554" t="s">
        <v>373</v>
      </c>
      <c r="F1554" t="s">
        <v>152</v>
      </c>
      <c r="G1554" t="s">
        <v>1614</v>
      </c>
      <c r="H1554" s="15">
        <v>841500</v>
      </c>
      <c r="I1554" s="15">
        <v>0</v>
      </c>
      <c r="J1554" t="s">
        <v>20</v>
      </c>
      <c r="K1554" t="s">
        <v>28</v>
      </c>
      <c r="L1554" s="2">
        <v>45017</v>
      </c>
      <c r="M1554" t="s">
        <v>1615</v>
      </c>
      <c r="N1554">
        <v>1</v>
      </c>
      <c r="O1554" t="s">
        <v>4903</v>
      </c>
      <c r="P1554">
        <v>0</v>
      </c>
      <c r="Q1554" t="s">
        <v>4903</v>
      </c>
      <c r="R1554" t="s">
        <v>942</v>
      </c>
    </row>
    <row r="1555" spans="1:18" hidden="1" x14ac:dyDescent="0.25">
      <c r="A1555" t="s">
        <v>679</v>
      </c>
      <c r="B1555" t="s">
        <v>77</v>
      </c>
      <c r="C1555" t="s">
        <v>15</v>
      </c>
      <c r="D1555" t="s">
        <v>16</v>
      </c>
      <c r="E1555" t="s">
        <v>373</v>
      </c>
      <c r="F1555" t="s">
        <v>26</v>
      </c>
      <c r="G1555" t="s">
        <v>4627</v>
      </c>
      <c r="H1555" s="15">
        <v>1147500</v>
      </c>
      <c r="I1555" s="15">
        <v>0</v>
      </c>
      <c r="J1555" t="s">
        <v>20</v>
      </c>
      <c r="K1555" t="s">
        <v>201</v>
      </c>
      <c r="L1555" s="2">
        <v>45017</v>
      </c>
      <c r="M1555" t="s">
        <v>4628</v>
      </c>
      <c r="N1555">
        <v>1</v>
      </c>
      <c r="O1555" t="s">
        <v>4903</v>
      </c>
      <c r="P1555">
        <v>0</v>
      </c>
      <c r="Q1555" t="s">
        <v>4903</v>
      </c>
      <c r="R1555" t="s">
        <v>679</v>
      </c>
    </row>
    <row r="1556" spans="1:18" hidden="1" x14ac:dyDescent="0.25">
      <c r="A1556" t="s">
        <v>1766</v>
      </c>
      <c r="B1556" t="s">
        <v>289</v>
      </c>
      <c r="C1556" t="s">
        <v>15</v>
      </c>
      <c r="D1556" t="s">
        <v>16</v>
      </c>
      <c r="E1556" t="s">
        <v>373</v>
      </c>
      <c r="F1556" t="s">
        <v>152</v>
      </c>
      <c r="G1556" t="s">
        <v>2376</v>
      </c>
      <c r="H1556" s="15">
        <v>906525</v>
      </c>
      <c r="I1556" s="15">
        <v>0</v>
      </c>
      <c r="J1556" t="s">
        <v>20</v>
      </c>
      <c r="K1556" t="s">
        <v>28</v>
      </c>
      <c r="L1556" s="2">
        <v>45017</v>
      </c>
      <c r="M1556" t="s">
        <v>2377</v>
      </c>
      <c r="N1556">
        <v>0</v>
      </c>
      <c r="O1556" t="s">
        <v>4903</v>
      </c>
      <c r="P1556">
        <v>0</v>
      </c>
      <c r="Q1556" t="s">
        <v>4903</v>
      </c>
      <c r="R1556" t="s">
        <v>1766</v>
      </c>
    </row>
    <row r="1557" spans="1:18" hidden="1" x14ac:dyDescent="0.25">
      <c r="A1557" t="s">
        <v>1117</v>
      </c>
      <c r="B1557" t="s">
        <v>315</v>
      </c>
      <c r="C1557" t="s">
        <v>39</v>
      </c>
      <c r="D1557" t="s">
        <v>16</v>
      </c>
      <c r="E1557" t="s">
        <v>373</v>
      </c>
      <c r="F1557" t="s">
        <v>26</v>
      </c>
      <c r="G1557" t="s">
        <v>2157</v>
      </c>
      <c r="H1557" s="15">
        <v>1422900</v>
      </c>
      <c r="I1557" s="15">
        <v>0</v>
      </c>
      <c r="J1557" t="s">
        <v>20</v>
      </c>
      <c r="K1557" t="s">
        <v>28</v>
      </c>
      <c r="L1557" s="2">
        <v>45017</v>
      </c>
      <c r="M1557" t="s">
        <v>2158</v>
      </c>
      <c r="N1557">
        <v>0</v>
      </c>
      <c r="O1557" t="s">
        <v>4903</v>
      </c>
      <c r="P1557">
        <v>0</v>
      </c>
      <c r="Q1557" t="s">
        <v>4903</v>
      </c>
      <c r="R1557" t="s">
        <v>1117</v>
      </c>
    </row>
    <row r="1558" spans="1:18" hidden="1" x14ac:dyDescent="0.25">
      <c r="A1558" t="s">
        <v>4727</v>
      </c>
      <c r="B1558" t="s">
        <v>47</v>
      </c>
      <c r="C1558" t="s">
        <v>48</v>
      </c>
      <c r="D1558" t="s">
        <v>16</v>
      </c>
      <c r="E1558" t="s">
        <v>373</v>
      </c>
      <c r="F1558" t="s">
        <v>18</v>
      </c>
      <c r="G1558" t="s">
        <v>4728</v>
      </c>
      <c r="H1558" s="15">
        <v>1293201</v>
      </c>
      <c r="I1558" s="15">
        <v>0</v>
      </c>
      <c r="J1558" t="s">
        <v>154</v>
      </c>
      <c r="K1558" t="s">
        <v>116</v>
      </c>
      <c r="L1558" s="2">
        <v>45017</v>
      </c>
      <c r="M1558" t="s">
        <v>4729</v>
      </c>
      <c r="N1558">
        <v>0</v>
      </c>
      <c r="O1558" t="s">
        <v>4903</v>
      </c>
      <c r="P1558">
        <v>0</v>
      </c>
      <c r="Q1558" t="s">
        <v>4903</v>
      </c>
      <c r="R1558" t="s">
        <v>4727</v>
      </c>
    </row>
    <row r="1559" spans="1:18" hidden="1" x14ac:dyDescent="0.25">
      <c r="A1559" t="s">
        <v>2504</v>
      </c>
      <c r="B1559" t="s">
        <v>190</v>
      </c>
      <c r="C1559" t="s">
        <v>15</v>
      </c>
      <c r="D1559" t="s">
        <v>16</v>
      </c>
      <c r="E1559" t="s">
        <v>373</v>
      </c>
      <c r="F1559" t="s">
        <v>26</v>
      </c>
      <c r="G1559" t="s">
        <v>2505</v>
      </c>
      <c r="H1559" s="15">
        <v>956250</v>
      </c>
      <c r="I1559" s="15">
        <v>0</v>
      </c>
      <c r="J1559" t="s">
        <v>20</v>
      </c>
      <c r="K1559" t="s">
        <v>28</v>
      </c>
      <c r="L1559" s="2">
        <v>45017</v>
      </c>
      <c r="M1559" t="s">
        <v>2506</v>
      </c>
      <c r="N1559">
        <v>0</v>
      </c>
      <c r="O1559" t="s">
        <v>4903</v>
      </c>
      <c r="P1559">
        <v>0</v>
      </c>
      <c r="Q1559" t="s">
        <v>4903</v>
      </c>
      <c r="R1559" t="s">
        <v>2504</v>
      </c>
    </row>
    <row r="1560" spans="1:18" hidden="1" x14ac:dyDescent="0.25">
      <c r="A1560" t="s">
        <v>2210</v>
      </c>
      <c r="B1560" t="s">
        <v>31</v>
      </c>
      <c r="C1560" t="s">
        <v>15</v>
      </c>
      <c r="D1560" t="s">
        <v>204</v>
      </c>
      <c r="E1560" t="s">
        <v>205</v>
      </c>
      <c r="F1560" t="s">
        <v>206</v>
      </c>
      <c r="G1560" t="s">
        <v>2211</v>
      </c>
      <c r="H1560" s="15">
        <v>149115</v>
      </c>
      <c r="I1560" s="15">
        <v>0</v>
      </c>
      <c r="J1560" t="s">
        <v>44</v>
      </c>
      <c r="K1560" t="s">
        <v>322</v>
      </c>
      <c r="L1560" s="2">
        <v>45047</v>
      </c>
      <c r="M1560" t="s">
        <v>2212</v>
      </c>
      <c r="N1560">
        <v>0</v>
      </c>
      <c r="O1560" t="s">
        <v>4903</v>
      </c>
      <c r="P1560">
        <v>0</v>
      </c>
      <c r="Q1560" t="s">
        <v>4903</v>
      </c>
      <c r="R1560" t="s">
        <v>2210</v>
      </c>
    </row>
    <row r="1561" spans="1:18" hidden="1" x14ac:dyDescent="0.25">
      <c r="A1561" t="s">
        <v>1197</v>
      </c>
      <c r="B1561" t="s">
        <v>47</v>
      </c>
      <c r="C1561" t="s">
        <v>48</v>
      </c>
      <c r="D1561" t="s">
        <v>16</v>
      </c>
      <c r="E1561" t="s">
        <v>25</v>
      </c>
      <c r="F1561" t="s">
        <v>42</v>
      </c>
      <c r="G1561" t="s">
        <v>1429</v>
      </c>
      <c r="H1561" s="15">
        <v>856800</v>
      </c>
      <c r="I1561" s="15">
        <v>0</v>
      </c>
      <c r="J1561" t="s">
        <v>20</v>
      </c>
      <c r="K1561" t="s">
        <v>28</v>
      </c>
      <c r="L1561" s="2">
        <v>45108</v>
      </c>
      <c r="M1561" t="s">
        <v>1430</v>
      </c>
      <c r="N1561">
        <v>0</v>
      </c>
      <c r="O1561" t="s">
        <v>4903</v>
      </c>
      <c r="P1561">
        <v>0</v>
      </c>
      <c r="Q1561" t="s">
        <v>4903</v>
      </c>
      <c r="R1561" t="s">
        <v>1197</v>
      </c>
    </row>
    <row r="1562" spans="1:18" hidden="1" x14ac:dyDescent="0.25">
      <c r="A1562" t="s">
        <v>969</v>
      </c>
      <c r="B1562" t="s">
        <v>31</v>
      </c>
      <c r="C1562" t="s">
        <v>15</v>
      </c>
      <c r="D1562" t="s">
        <v>16</v>
      </c>
      <c r="E1562" t="s">
        <v>373</v>
      </c>
      <c r="F1562" t="s">
        <v>34</v>
      </c>
      <c r="G1562" t="s">
        <v>970</v>
      </c>
      <c r="H1562" s="15">
        <v>807075</v>
      </c>
      <c r="I1562" s="15">
        <v>0</v>
      </c>
      <c r="J1562" t="s">
        <v>20</v>
      </c>
      <c r="K1562" t="s">
        <v>28</v>
      </c>
      <c r="L1562" s="2">
        <v>45108</v>
      </c>
      <c r="M1562" t="s">
        <v>971</v>
      </c>
      <c r="N1562">
        <v>0</v>
      </c>
      <c r="O1562" t="s">
        <v>4903</v>
      </c>
      <c r="P1562">
        <v>0</v>
      </c>
      <c r="Q1562" t="s">
        <v>4903</v>
      </c>
      <c r="R1562" t="s">
        <v>969</v>
      </c>
    </row>
    <row r="1563" spans="1:18" hidden="1" x14ac:dyDescent="0.25">
      <c r="A1563" t="s">
        <v>1605</v>
      </c>
      <c r="B1563" t="s">
        <v>688</v>
      </c>
      <c r="C1563" t="s">
        <v>39</v>
      </c>
      <c r="D1563" t="s">
        <v>16</v>
      </c>
      <c r="E1563" t="s">
        <v>25</v>
      </c>
      <c r="F1563" t="s">
        <v>152</v>
      </c>
      <c r="G1563" t="s">
        <v>4440</v>
      </c>
      <c r="H1563" s="15">
        <v>1162800</v>
      </c>
      <c r="I1563" s="15">
        <v>0</v>
      </c>
      <c r="J1563" t="s">
        <v>20</v>
      </c>
      <c r="K1563" t="s">
        <v>28</v>
      </c>
      <c r="L1563" s="2">
        <v>45108</v>
      </c>
      <c r="M1563" t="s">
        <v>4441</v>
      </c>
      <c r="N1563">
        <v>0</v>
      </c>
      <c r="O1563" t="s">
        <v>4903</v>
      </c>
      <c r="P1563">
        <v>0</v>
      </c>
      <c r="Q1563" t="s">
        <v>4903</v>
      </c>
      <c r="R1563" t="s">
        <v>1605</v>
      </c>
    </row>
    <row r="1564" spans="1:18" hidden="1" x14ac:dyDescent="0.25">
      <c r="A1564" t="s">
        <v>2855</v>
      </c>
      <c r="B1564" t="s">
        <v>315</v>
      </c>
      <c r="C1564" t="s">
        <v>39</v>
      </c>
      <c r="D1564" t="s">
        <v>16</v>
      </c>
      <c r="E1564" t="s">
        <v>25</v>
      </c>
      <c r="F1564" t="s">
        <v>140</v>
      </c>
      <c r="G1564" t="s">
        <v>4253</v>
      </c>
      <c r="H1564" s="15">
        <v>772650</v>
      </c>
      <c r="I1564" s="15">
        <v>0</v>
      </c>
      <c r="J1564" t="s">
        <v>20</v>
      </c>
      <c r="K1564" t="s">
        <v>28</v>
      </c>
      <c r="L1564" s="2">
        <v>45108</v>
      </c>
      <c r="M1564" t="s">
        <v>4254</v>
      </c>
      <c r="N1564">
        <v>0</v>
      </c>
      <c r="O1564" t="s">
        <v>4903</v>
      </c>
      <c r="P1564">
        <v>0</v>
      </c>
      <c r="Q1564" t="s">
        <v>4903</v>
      </c>
      <c r="R1564" t="s">
        <v>2855</v>
      </c>
    </row>
    <row r="1565" spans="1:18" hidden="1" x14ac:dyDescent="0.25">
      <c r="A1565" t="s">
        <v>1539</v>
      </c>
      <c r="B1565" t="s">
        <v>14</v>
      </c>
      <c r="C1565" t="s">
        <v>15</v>
      </c>
      <c r="D1565" t="s">
        <v>16</v>
      </c>
      <c r="E1565" t="s">
        <v>373</v>
      </c>
      <c r="F1565" t="s">
        <v>26</v>
      </c>
      <c r="G1565" t="s">
        <v>3527</v>
      </c>
      <c r="H1565" s="15">
        <v>1224000</v>
      </c>
      <c r="I1565" s="15">
        <v>0</v>
      </c>
      <c r="J1565" t="s">
        <v>20</v>
      </c>
      <c r="K1565" t="s">
        <v>28</v>
      </c>
      <c r="L1565" s="2">
        <v>45108</v>
      </c>
      <c r="M1565" t="s">
        <v>3528</v>
      </c>
      <c r="N1565">
        <v>0</v>
      </c>
      <c r="O1565" t="s">
        <v>4903</v>
      </c>
      <c r="P1565">
        <v>0</v>
      </c>
      <c r="Q1565" t="s">
        <v>4903</v>
      </c>
      <c r="R1565" t="s">
        <v>1539</v>
      </c>
    </row>
    <row r="1566" spans="1:18" x14ac:dyDescent="0.25">
      <c r="A1566" t="s">
        <v>2730</v>
      </c>
      <c r="B1566" t="s">
        <v>126</v>
      </c>
      <c r="C1566" t="s">
        <v>39</v>
      </c>
      <c r="D1566" t="s">
        <v>581</v>
      </c>
      <c r="E1566" t="s">
        <v>773</v>
      </c>
      <c r="F1566" t="s">
        <v>98</v>
      </c>
      <c r="G1566" t="s">
        <v>2731</v>
      </c>
      <c r="H1566" s="15">
        <v>228975</v>
      </c>
      <c r="I1566" s="15">
        <v>0</v>
      </c>
      <c r="J1566" t="s">
        <v>89</v>
      </c>
      <c r="K1566" t="s">
        <v>134</v>
      </c>
      <c r="L1566" s="2">
        <v>40634</v>
      </c>
      <c r="M1566" t="s">
        <v>2732</v>
      </c>
      <c r="N1566">
        <v>10</v>
      </c>
      <c r="O1566" t="s">
        <v>4880</v>
      </c>
      <c r="P1566">
        <v>1</v>
      </c>
      <c r="Q1566" t="s">
        <v>4809</v>
      </c>
      <c r="R1566" t="s">
        <v>2730</v>
      </c>
    </row>
    <row r="1567" spans="1:18" hidden="1" x14ac:dyDescent="0.25">
      <c r="A1567" t="s">
        <v>2724</v>
      </c>
      <c r="B1567" t="s">
        <v>47</v>
      </c>
      <c r="C1567" t="s">
        <v>48</v>
      </c>
      <c r="D1567" t="s">
        <v>16</v>
      </c>
      <c r="E1567" t="s">
        <v>219</v>
      </c>
      <c r="F1567" t="s">
        <v>140</v>
      </c>
      <c r="G1567" t="s">
        <v>2725</v>
      </c>
      <c r="H1567" s="15">
        <v>1048050</v>
      </c>
      <c r="I1567" s="15">
        <v>0</v>
      </c>
      <c r="J1567" t="s">
        <v>20</v>
      </c>
      <c r="K1567" t="s">
        <v>28</v>
      </c>
      <c r="L1567" s="2">
        <v>45200</v>
      </c>
      <c r="M1567" t="s">
        <v>2726</v>
      </c>
      <c r="N1567">
        <v>0</v>
      </c>
      <c r="O1567" t="s">
        <v>4903</v>
      </c>
      <c r="P1567">
        <v>0</v>
      </c>
      <c r="Q1567" t="s">
        <v>4903</v>
      </c>
      <c r="R1567" t="s">
        <v>2724</v>
      </c>
    </row>
    <row r="1568" spans="1:18" hidden="1" x14ac:dyDescent="0.25">
      <c r="A1568" t="s">
        <v>675</v>
      </c>
      <c r="B1568" t="s">
        <v>676</v>
      </c>
      <c r="C1568" t="s">
        <v>39</v>
      </c>
      <c r="D1568" t="s">
        <v>16</v>
      </c>
      <c r="E1568" t="s">
        <v>219</v>
      </c>
      <c r="F1568" t="s">
        <v>152</v>
      </c>
      <c r="G1568" t="s">
        <v>677</v>
      </c>
      <c r="H1568" s="15">
        <v>986850</v>
      </c>
      <c r="I1568" s="15">
        <v>0</v>
      </c>
      <c r="J1568" t="s">
        <v>20</v>
      </c>
      <c r="K1568" t="s">
        <v>28</v>
      </c>
      <c r="L1568" s="2">
        <v>45200</v>
      </c>
      <c r="M1568" t="s">
        <v>678</v>
      </c>
      <c r="N1568">
        <v>0</v>
      </c>
      <c r="O1568" t="s">
        <v>4903</v>
      </c>
      <c r="P1568">
        <v>0</v>
      </c>
      <c r="Q1568" t="s">
        <v>4903</v>
      </c>
      <c r="R1568" t="s">
        <v>675</v>
      </c>
    </row>
    <row r="1569" spans="1:18" hidden="1" x14ac:dyDescent="0.25">
      <c r="A1569" t="s">
        <v>1374</v>
      </c>
      <c r="B1569" t="s">
        <v>289</v>
      </c>
      <c r="C1569" t="s">
        <v>15</v>
      </c>
      <c r="D1569" t="s">
        <v>16</v>
      </c>
      <c r="E1569" t="s">
        <v>3322</v>
      </c>
      <c r="F1569" t="s">
        <v>152</v>
      </c>
      <c r="G1569" t="s">
        <v>3323</v>
      </c>
      <c r="H1569" s="15">
        <v>100000</v>
      </c>
      <c r="I1569" s="15">
        <v>0</v>
      </c>
      <c r="J1569" t="s">
        <v>44</v>
      </c>
      <c r="K1569" t="s">
        <v>28</v>
      </c>
      <c r="L1569" s="2">
        <v>45200</v>
      </c>
      <c r="M1569" t="s">
        <v>3324</v>
      </c>
      <c r="N1569">
        <v>2</v>
      </c>
      <c r="O1569" t="s">
        <v>4903</v>
      </c>
      <c r="P1569">
        <v>0</v>
      </c>
      <c r="Q1569" t="s">
        <v>4903</v>
      </c>
      <c r="R1569" t="s">
        <v>1374</v>
      </c>
    </row>
    <row r="1570" spans="1:18" hidden="1" x14ac:dyDescent="0.25">
      <c r="A1570" t="s">
        <v>1725</v>
      </c>
      <c r="B1570" t="s">
        <v>47</v>
      </c>
      <c r="C1570" t="s">
        <v>48</v>
      </c>
      <c r="D1570" t="s">
        <v>16</v>
      </c>
      <c r="E1570" t="s">
        <v>219</v>
      </c>
      <c r="F1570" t="s">
        <v>59</v>
      </c>
      <c r="G1570" t="s">
        <v>1726</v>
      </c>
      <c r="H1570" s="15">
        <v>795600</v>
      </c>
      <c r="I1570" s="15">
        <v>0</v>
      </c>
      <c r="J1570" t="s">
        <v>20</v>
      </c>
      <c r="K1570" t="s">
        <v>134</v>
      </c>
      <c r="L1570" s="2">
        <v>45200</v>
      </c>
      <c r="M1570" t="s">
        <v>1727</v>
      </c>
      <c r="N1570">
        <v>0</v>
      </c>
      <c r="O1570" t="s">
        <v>4903</v>
      </c>
      <c r="P1570">
        <v>0</v>
      </c>
      <c r="Q1570" t="s">
        <v>4903</v>
      </c>
      <c r="R1570" t="s">
        <v>1725</v>
      </c>
    </row>
    <row r="1571" spans="1:18" hidden="1" x14ac:dyDescent="0.25">
      <c r="A1571" t="s">
        <v>2623</v>
      </c>
      <c r="B1571" t="s">
        <v>161</v>
      </c>
      <c r="C1571" t="s">
        <v>39</v>
      </c>
      <c r="D1571" t="s">
        <v>16</v>
      </c>
      <c r="E1571" t="s">
        <v>219</v>
      </c>
      <c r="F1571" t="s">
        <v>59</v>
      </c>
      <c r="G1571" t="s">
        <v>2624</v>
      </c>
      <c r="H1571" s="15">
        <v>661725</v>
      </c>
      <c r="I1571" s="15">
        <v>0</v>
      </c>
      <c r="J1571" t="s">
        <v>154</v>
      </c>
      <c r="K1571" t="s">
        <v>326</v>
      </c>
      <c r="L1571" s="2">
        <v>45200</v>
      </c>
      <c r="M1571" t="s">
        <v>2625</v>
      </c>
      <c r="N1571">
        <v>0</v>
      </c>
      <c r="O1571" t="s">
        <v>4903</v>
      </c>
      <c r="P1571">
        <v>0</v>
      </c>
      <c r="Q1571" t="s">
        <v>4903</v>
      </c>
      <c r="R1571" t="s">
        <v>2623</v>
      </c>
    </row>
    <row r="1572" spans="1:18" hidden="1" x14ac:dyDescent="0.25">
      <c r="A1572" t="s">
        <v>2850</v>
      </c>
      <c r="B1572" t="s">
        <v>119</v>
      </c>
      <c r="C1572" t="s">
        <v>39</v>
      </c>
      <c r="D1572" t="s">
        <v>16</v>
      </c>
      <c r="E1572" t="s">
        <v>219</v>
      </c>
      <c r="F1572" t="s">
        <v>140</v>
      </c>
      <c r="G1572" t="s">
        <v>2851</v>
      </c>
      <c r="H1572" s="15">
        <v>960076</v>
      </c>
      <c r="I1572" s="15">
        <v>0</v>
      </c>
      <c r="J1572" t="s">
        <v>20</v>
      </c>
      <c r="K1572" t="s">
        <v>28</v>
      </c>
      <c r="L1572" s="2">
        <v>45200</v>
      </c>
      <c r="M1572" t="s">
        <v>2852</v>
      </c>
      <c r="N1572">
        <v>0</v>
      </c>
      <c r="O1572" t="s">
        <v>4903</v>
      </c>
      <c r="P1572">
        <v>0</v>
      </c>
      <c r="Q1572" t="s">
        <v>4903</v>
      </c>
      <c r="R1572" t="s">
        <v>2850</v>
      </c>
    </row>
    <row r="1573" spans="1:18" hidden="1" x14ac:dyDescent="0.25">
      <c r="A1573" t="s">
        <v>3307</v>
      </c>
      <c r="B1573" t="s">
        <v>350</v>
      </c>
      <c r="C1573" t="s">
        <v>39</v>
      </c>
      <c r="D1573" t="s">
        <v>16</v>
      </c>
      <c r="E1573" t="s">
        <v>219</v>
      </c>
      <c r="F1573" t="s">
        <v>59</v>
      </c>
      <c r="G1573" t="s">
        <v>3308</v>
      </c>
      <c r="H1573" s="15">
        <v>669376</v>
      </c>
      <c r="I1573" s="15">
        <v>0</v>
      </c>
      <c r="J1573" t="s">
        <v>20</v>
      </c>
      <c r="K1573" t="s">
        <v>28</v>
      </c>
      <c r="L1573" s="2">
        <v>45200</v>
      </c>
      <c r="M1573" t="s">
        <v>3309</v>
      </c>
      <c r="N1573">
        <v>0</v>
      </c>
      <c r="O1573" t="s">
        <v>4903</v>
      </c>
      <c r="P1573">
        <v>0</v>
      </c>
      <c r="Q1573" t="s">
        <v>4903</v>
      </c>
      <c r="R1573" t="s">
        <v>3307</v>
      </c>
    </row>
    <row r="1574" spans="1:18" hidden="1" x14ac:dyDescent="0.25">
      <c r="A1574" t="s">
        <v>1192</v>
      </c>
      <c r="B1574" t="s">
        <v>635</v>
      </c>
      <c r="C1574" t="s">
        <v>39</v>
      </c>
      <c r="D1574" t="s">
        <v>16</v>
      </c>
      <c r="E1574" t="s">
        <v>219</v>
      </c>
      <c r="F1574" t="s">
        <v>34</v>
      </c>
      <c r="G1574" t="s">
        <v>2386</v>
      </c>
      <c r="H1574" s="15">
        <v>726750</v>
      </c>
      <c r="I1574" s="15">
        <v>0</v>
      </c>
      <c r="J1574" t="s">
        <v>20</v>
      </c>
      <c r="K1574" t="s">
        <v>100</v>
      </c>
      <c r="L1574" s="2">
        <v>45200</v>
      </c>
      <c r="M1574" t="s">
        <v>2387</v>
      </c>
      <c r="N1574">
        <v>0</v>
      </c>
      <c r="O1574" t="s">
        <v>4903</v>
      </c>
      <c r="P1574">
        <v>0</v>
      </c>
      <c r="Q1574" t="s">
        <v>4903</v>
      </c>
      <c r="R1574" t="s">
        <v>1192</v>
      </c>
    </row>
    <row r="1575" spans="1:18" hidden="1" x14ac:dyDescent="0.25">
      <c r="A1575" t="s">
        <v>328</v>
      </c>
      <c r="B1575" t="s">
        <v>315</v>
      </c>
      <c r="C1575" t="s">
        <v>39</v>
      </c>
      <c r="D1575" t="s">
        <v>16</v>
      </c>
      <c r="E1575" t="s">
        <v>219</v>
      </c>
      <c r="F1575" t="s">
        <v>34</v>
      </c>
      <c r="G1575" t="s">
        <v>3668</v>
      </c>
      <c r="H1575" s="15">
        <v>1200286</v>
      </c>
      <c r="I1575" s="15">
        <v>0</v>
      </c>
      <c r="J1575" t="s">
        <v>20</v>
      </c>
      <c r="K1575" t="s">
        <v>28</v>
      </c>
      <c r="L1575" s="2">
        <v>45200</v>
      </c>
      <c r="M1575" t="s">
        <v>3669</v>
      </c>
      <c r="N1575">
        <v>0</v>
      </c>
      <c r="O1575" t="s">
        <v>4903</v>
      </c>
      <c r="P1575">
        <v>0</v>
      </c>
      <c r="Q1575" t="s">
        <v>4903</v>
      </c>
      <c r="R1575" t="s">
        <v>328</v>
      </c>
    </row>
    <row r="1576" spans="1:18" hidden="1" x14ac:dyDescent="0.25">
      <c r="A1576" t="s">
        <v>822</v>
      </c>
      <c r="B1576" t="s">
        <v>24</v>
      </c>
      <c r="C1576" t="s">
        <v>15</v>
      </c>
      <c r="D1576" t="s">
        <v>16</v>
      </c>
      <c r="E1576" t="s">
        <v>219</v>
      </c>
      <c r="F1576" t="s">
        <v>34</v>
      </c>
      <c r="G1576" t="s">
        <v>2273</v>
      </c>
      <c r="H1576" s="15">
        <v>875925</v>
      </c>
      <c r="I1576" s="15">
        <v>0</v>
      </c>
      <c r="J1576" t="s">
        <v>154</v>
      </c>
      <c r="K1576" t="s">
        <v>28</v>
      </c>
      <c r="L1576" s="2">
        <v>45200</v>
      </c>
      <c r="M1576" t="s">
        <v>2274</v>
      </c>
      <c r="N1576">
        <v>0</v>
      </c>
      <c r="O1576" t="s">
        <v>4903</v>
      </c>
      <c r="P1576">
        <v>0</v>
      </c>
      <c r="Q1576" t="s">
        <v>4903</v>
      </c>
      <c r="R1576" t="s">
        <v>822</v>
      </c>
    </row>
    <row r="1577" spans="1:18" hidden="1" x14ac:dyDescent="0.25">
      <c r="A1577" t="s">
        <v>1214</v>
      </c>
      <c r="B1577" t="s">
        <v>77</v>
      </c>
      <c r="C1577" t="s">
        <v>15</v>
      </c>
      <c r="D1577" t="s">
        <v>210</v>
      </c>
      <c r="E1577" t="s">
        <v>2419</v>
      </c>
      <c r="F1577" t="s">
        <v>152</v>
      </c>
      <c r="G1577" t="s">
        <v>2420</v>
      </c>
      <c r="H1577" s="15">
        <v>100000</v>
      </c>
      <c r="I1577" s="15">
        <v>0</v>
      </c>
      <c r="J1577" t="s">
        <v>44</v>
      </c>
      <c r="K1577" t="s">
        <v>28</v>
      </c>
      <c r="L1577" s="2">
        <v>45200</v>
      </c>
      <c r="M1577" t="s">
        <v>2421</v>
      </c>
      <c r="N1577">
        <v>0</v>
      </c>
      <c r="O1577" t="s">
        <v>4903</v>
      </c>
      <c r="P1577">
        <v>0</v>
      </c>
      <c r="Q1577" t="s">
        <v>4903</v>
      </c>
      <c r="R1577" t="s">
        <v>1214</v>
      </c>
    </row>
    <row r="1578" spans="1:18" hidden="1" x14ac:dyDescent="0.25">
      <c r="A1578" t="s">
        <v>366</v>
      </c>
      <c r="B1578" t="s">
        <v>38</v>
      </c>
      <c r="C1578" t="s">
        <v>39</v>
      </c>
      <c r="D1578" t="s">
        <v>210</v>
      </c>
      <c r="E1578" t="s">
        <v>2419</v>
      </c>
      <c r="F1578" t="s">
        <v>152</v>
      </c>
      <c r="G1578" t="s">
        <v>3387</v>
      </c>
      <c r="H1578" s="15">
        <v>100000</v>
      </c>
      <c r="I1578" s="15">
        <v>0</v>
      </c>
      <c r="J1578" t="s">
        <v>44</v>
      </c>
      <c r="K1578" t="s">
        <v>28</v>
      </c>
      <c r="L1578" s="2">
        <v>45200</v>
      </c>
      <c r="M1578" t="s">
        <v>3388</v>
      </c>
      <c r="N1578">
        <v>0</v>
      </c>
      <c r="O1578" t="s">
        <v>4903</v>
      </c>
      <c r="P1578">
        <v>0</v>
      </c>
      <c r="Q1578" t="s">
        <v>4903</v>
      </c>
      <c r="R1578" t="s">
        <v>366</v>
      </c>
    </row>
    <row r="1579" spans="1:18" hidden="1" x14ac:dyDescent="0.25">
      <c r="A1579" t="s">
        <v>3631</v>
      </c>
      <c r="B1579" t="s">
        <v>61</v>
      </c>
      <c r="C1579" t="s">
        <v>62</v>
      </c>
      <c r="D1579" t="s">
        <v>16</v>
      </c>
      <c r="E1579" t="s">
        <v>219</v>
      </c>
      <c r="F1579" t="s">
        <v>18</v>
      </c>
      <c r="G1579" t="s">
        <v>3632</v>
      </c>
      <c r="H1579" s="15">
        <v>650250</v>
      </c>
      <c r="I1579" s="15">
        <v>0</v>
      </c>
      <c r="J1579" t="s">
        <v>20</v>
      </c>
      <c r="K1579" t="s">
        <v>65</v>
      </c>
      <c r="L1579" s="2">
        <v>45200</v>
      </c>
      <c r="M1579" t="s">
        <v>3633</v>
      </c>
      <c r="N1579">
        <v>0</v>
      </c>
      <c r="O1579" t="s">
        <v>4903</v>
      </c>
      <c r="P1579">
        <v>0</v>
      </c>
      <c r="Q1579" t="s">
        <v>4903</v>
      </c>
      <c r="R1579" t="s">
        <v>3631</v>
      </c>
    </row>
    <row r="1580" spans="1:18" hidden="1" x14ac:dyDescent="0.25">
      <c r="A1580" t="s">
        <v>2847</v>
      </c>
      <c r="B1580" t="s">
        <v>315</v>
      </c>
      <c r="C1580" t="s">
        <v>39</v>
      </c>
      <c r="D1580" t="s">
        <v>16</v>
      </c>
      <c r="E1580" t="s">
        <v>219</v>
      </c>
      <c r="F1580" t="s">
        <v>18</v>
      </c>
      <c r="G1580" t="s">
        <v>2848</v>
      </c>
      <c r="H1580" s="15">
        <v>876690</v>
      </c>
      <c r="I1580" s="15">
        <v>0</v>
      </c>
      <c r="J1580" t="s">
        <v>20</v>
      </c>
      <c r="K1580" t="s">
        <v>74</v>
      </c>
      <c r="L1580" s="2">
        <v>45200</v>
      </c>
      <c r="M1580" t="s">
        <v>2849</v>
      </c>
      <c r="N1580">
        <v>0</v>
      </c>
      <c r="O1580" t="s">
        <v>4903</v>
      </c>
      <c r="P1580">
        <v>0</v>
      </c>
      <c r="Q1580" t="s">
        <v>4903</v>
      </c>
      <c r="R1580" t="s">
        <v>2847</v>
      </c>
    </row>
    <row r="1581" spans="1:18" hidden="1" x14ac:dyDescent="0.25">
      <c r="A1581" t="s">
        <v>1167</v>
      </c>
      <c r="B1581" t="s">
        <v>126</v>
      </c>
      <c r="C1581" t="s">
        <v>39</v>
      </c>
      <c r="D1581" t="s">
        <v>16</v>
      </c>
      <c r="E1581" t="s">
        <v>219</v>
      </c>
      <c r="F1581" t="s">
        <v>18</v>
      </c>
      <c r="G1581" t="s">
        <v>1168</v>
      </c>
      <c r="H1581" s="15">
        <v>1113076</v>
      </c>
      <c r="I1581" s="15">
        <v>0</v>
      </c>
      <c r="J1581" t="s">
        <v>20</v>
      </c>
      <c r="K1581" t="s">
        <v>65</v>
      </c>
      <c r="L1581" s="2">
        <v>45200</v>
      </c>
      <c r="M1581" t="s">
        <v>1169</v>
      </c>
      <c r="N1581">
        <v>0</v>
      </c>
      <c r="O1581" t="s">
        <v>4903</v>
      </c>
      <c r="P1581">
        <v>0</v>
      </c>
      <c r="Q1581" t="s">
        <v>4903</v>
      </c>
      <c r="R1581" t="s">
        <v>1167</v>
      </c>
    </row>
    <row r="1582" spans="1:18" hidden="1" x14ac:dyDescent="0.25">
      <c r="A1582" t="s">
        <v>4463</v>
      </c>
      <c r="B1582" t="s">
        <v>190</v>
      </c>
      <c r="C1582" t="s">
        <v>15</v>
      </c>
      <c r="D1582" t="s">
        <v>16</v>
      </c>
      <c r="E1582" t="s">
        <v>219</v>
      </c>
      <c r="F1582" t="s">
        <v>152</v>
      </c>
      <c r="G1582" t="s">
        <v>4464</v>
      </c>
      <c r="H1582" s="15">
        <v>3056176</v>
      </c>
      <c r="I1582" s="15">
        <v>0</v>
      </c>
      <c r="J1582" t="s">
        <v>20</v>
      </c>
      <c r="K1582" t="s">
        <v>28</v>
      </c>
      <c r="L1582" s="2">
        <v>45200</v>
      </c>
      <c r="M1582" t="s">
        <v>4465</v>
      </c>
      <c r="N1582">
        <v>0</v>
      </c>
      <c r="O1582" t="s">
        <v>4903</v>
      </c>
      <c r="P1582">
        <v>0</v>
      </c>
      <c r="Q1582" t="s">
        <v>4903</v>
      </c>
      <c r="R1582" t="s">
        <v>4463</v>
      </c>
    </row>
    <row r="1583" spans="1:18" hidden="1" x14ac:dyDescent="0.25">
      <c r="A1583" t="s">
        <v>4615</v>
      </c>
      <c r="B1583" t="s">
        <v>2089</v>
      </c>
      <c r="C1583" t="s">
        <v>39</v>
      </c>
      <c r="D1583" t="s">
        <v>16</v>
      </c>
      <c r="E1583" t="s">
        <v>219</v>
      </c>
      <c r="F1583" t="s">
        <v>34</v>
      </c>
      <c r="G1583" t="s">
        <v>4616</v>
      </c>
      <c r="H1583" s="15">
        <v>355726</v>
      </c>
      <c r="I1583" s="15">
        <v>0</v>
      </c>
      <c r="J1583" t="s">
        <v>89</v>
      </c>
      <c r="K1583" t="s">
        <v>21</v>
      </c>
      <c r="L1583" s="2">
        <v>45200</v>
      </c>
      <c r="M1583" t="s">
        <v>4617</v>
      </c>
      <c r="N1583">
        <v>0</v>
      </c>
      <c r="O1583" t="s">
        <v>4903</v>
      </c>
      <c r="P1583">
        <v>0</v>
      </c>
      <c r="Q1583" t="s">
        <v>4903</v>
      </c>
      <c r="R1583" t="s">
        <v>4615</v>
      </c>
    </row>
    <row r="1584" spans="1:18" hidden="1" x14ac:dyDescent="0.25">
      <c r="A1584" t="s">
        <v>1337</v>
      </c>
      <c r="B1584" t="s">
        <v>14</v>
      </c>
      <c r="C1584" t="s">
        <v>15</v>
      </c>
      <c r="D1584" t="s">
        <v>16</v>
      </c>
      <c r="E1584" t="s">
        <v>219</v>
      </c>
      <c r="F1584" t="s">
        <v>152</v>
      </c>
      <c r="G1584" t="s">
        <v>1408</v>
      </c>
      <c r="H1584" s="15">
        <v>1017450</v>
      </c>
      <c r="I1584" s="15">
        <v>0</v>
      </c>
      <c r="J1584" t="s">
        <v>20</v>
      </c>
      <c r="K1584" t="s">
        <v>28</v>
      </c>
      <c r="L1584" s="2">
        <v>45200</v>
      </c>
      <c r="M1584" t="s">
        <v>1409</v>
      </c>
      <c r="N1584">
        <v>0</v>
      </c>
      <c r="O1584" t="s">
        <v>4903</v>
      </c>
      <c r="P1584">
        <v>0</v>
      </c>
      <c r="Q1584" t="s">
        <v>4903</v>
      </c>
      <c r="R1584" t="s">
        <v>1337</v>
      </c>
    </row>
    <row r="1585" spans="1:18" hidden="1" x14ac:dyDescent="0.25">
      <c r="A1585" t="s">
        <v>4631</v>
      </c>
      <c r="B1585" t="s">
        <v>161</v>
      </c>
      <c r="C1585" t="s">
        <v>39</v>
      </c>
      <c r="D1585" t="s">
        <v>16</v>
      </c>
      <c r="E1585" t="s">
        <v>219</v>
      </c>
      <c r="F1585" t="s">
        <v>152</v>
      </c>
      <c r="G1585" t="s">
        <v>4632</v>
      </c>
      <c r="H1585" s="15">
        <v>856800</v>
      </c>
      <c r="I1585" s="15">
        <v>0</v>
      </c>
      <c r="J1585" t="s">
        <v>20</v>
      </c>
      <c r="K1585" t="s">
        <v>28</v>
      </c>
      <c r="L1585" s="2">
        <v>45200</v>
      </c>
      <c r="M1585" t="s">
        <v>4633</v>
      </c>
      <c r="N1585">
        <v>0</v>
      </c>
      <c r="O1585" t="s">
        <v>4903</v>
      </c>
      <c r="P1585">
        <v>0</v>
      </c>
      <c r="Q1585" t="s">
        <v>4903</v>
      </c>
      <c r="R1585" t="s">
        <v>4631</v>
      </c>
    </row>
    <row r="1586" spans="1:18" hidden="1" x14ac:dyDescent="0.25">
      <c r="A1586" t="s">
        <v>2017</v>
      </c>
      <c r="B1586" t="s">
        <v>47</v>
      </c>
      <c r="C1586" t="s">
        <v>48</v>
      </c>
      <c r="D1586" t="s">
        <v>16</v>
      </c>
      <c r="E1586" t="s">
        <v>219</v>
      </c>
      <c r="F1586" t="s">
        <v>152</v>
      </c>
      <c r="G1586" t="s">
        <v>2018</v>
      </c>
      <c r="H1586" s="15">
        <v>983026</v>
      </c>
      <c r="I1586" s="15">
        <v>0</v>
      </c>
      <c r="J1586" t="s">
        <v>20</v>
      </c>
      <c r="K1586" t="s">
        <v>28</v>
      </c>
      <c r="L1586" s="2">
        <v>45200</v>
      </c>
      <c r="M1586" t="s">
        <v>2019</v>
      </c>
      <c r="N1586">
        <v>0</v>
      </c>
      <c r="O1586" t="s">
        <v>4903</v>
      </c>
      <c r="P1586">
        <v>0</v>
      </c>
      <c r="Q1586" t="s">
        <v>4903</v>
      </c>
      <c r="R1586" t="s">
        <v>2017</v>
      </c>
    </row>
    <row r="1587" spans="1:18" hidden="1" x14ac:dyDescent="0.25">
      <c r="A1587" t="s">
        <v>1223</v>
      </c>
      <c r="B1587" t="s">
        <v>14</v>
      </c>
      <c r="C1587" t="s">
        <v>15</v>
      </c>
      <c r="D1587" t="s">
        <v>16</v>
      </c>
      <c r="E1587" t="s">
        <v>219</v>
      </c>
      <c r="F1587" t="s">
        <v>18</v>
      </c>
      <c r="G1587" t="s">
        <v>1224</v>
      </c>
      <c r="H1587" s="15">
        <v>841500</v>
      </c>
      <c r="I1587" s="15">
        <v>0</v>
      </c>
      <c r="J1587" t="s">
        <v>20</v>
      </c>
      <c r="K1587" t="s">
        <v>116</v>
      </c>
      <c r="L1587" s="2">
        <v>45200</v>
      </c>
      <c r="M1587" t="s">
        <v>1225</v>
      </c>
      <c r="N1587">
        <v>1</v>
      </c>
      <c r="O1587" t="s">
        <v>4903</v>
      </c>
      <c r="P1587">
        <v>0</v>
      </c>
      <c r="Q1587" t="s">
        <v>4903</v>
      </c>
      <c r="R1587" t="s">
        <v>1223</v>
      </c>
    </row>
    <row r="1588" spans="1:18" hidden="1" x14ac:dyDescent="0.25">
      <c r="A1588" t="s">
        <v>3129</v>
      </c>
      <c r="B1588" t="s">
        <v>24</v>
      </c>
      <c r="C1588" t="s">
        <v>15</v>
      </c>
      <c r="D1588" t="s">
        <v>16</v>
      </c>
      <c r="E1588" t="s">
        <v>219</v>
      </c>
      <c r="F1588" t="s">
        <v>140</v>
      </c>
      <c r="G1588" t="s">
        <v>3553</v>
      </c>
      <c r="H1588" s="15">
        <v>883576</v>
      </c>
      <c r="I1588" s="15">
        <v>0</v>
      </c>
      <c r="J1588" t="s">
        <v>20</v>
      </c>
      <c r="K1588" t="s">
        <v>28</v>
      </c>
      <c r="L1588" s="2">
        <v>45200</v>
      </c>
      <c r="M1588" t="s">
        <v>3554</v>
      </c>
      <c r="N1588">
        <v>0</v>
      </c>
      <c r="O1588" t="s">
        <v>4903</v>
      </c>
      <c r="P1588">
        <v>0</v>
      </c>
      <c r="Q1588" t="s">
        <v>4903</v>
      </c>
      <c r="R1588" t="s">
        <v>3129</v>
      </c>
    </row>
    <row r="1589" spans="1:18" hidden="1" x14ac:dyDescent="0.25">
      <c r="A1589" t="s">
        <v>379</v>
      </c>
      <c r="B1589" t="s">
        <v>77</v>
      </c>
      <c r="C1589" t="s">
        <v>15</v>
      </c>
      <c r="D1589" t="s">
        <v>16</v>
      </c>
      <c r="E1589" t="s">
        <v>219</v>
      </c>
      <c r="F1589" t="s">
        <v>34</v>
      </c>
      <c r="G1589" t="s">
        <v>380</v>
      </c>
      <c r="H1589" s="15">
        <v>1048050</v>
      </c>
      <c r="I1589" s="15">
        <v>0</v>
      </c>
      <c r="J1589" t="s">
        <v>20</v>
      </c>
      <c r="K1589" t="s">
        <v>21</v>
      </c>
      <c r="L1589" s="2">
        <v>45200</v>
      </c>
      <c r="M1589" t="s">
        <v>381</v>
      </c>
      <c r="N1589">
        <v>0</v>
      </c>
      <c r="O1589" t="s">
        <v>4903</v>
      </c>
      <c r="P1589">
        <v>0</v>
      </c>
      <c r="Q1589" t="s">
        <v>4903</v>
      </c>
      <c r="R1589" t="s">
        <v>379</v>
      </c>
    </row>
    <row r="1590" spans="1:18" hidden="1" x14ac:dyDescent="0.25">
      <c r="A1590" t="s">
        <v>1242</v>
      </c>
      <c r="B1590" t="s">
        <v>77</v>
      </c>
      <c r="C1590" t="s">
        <v>15</v>
      </c>
      <c r="D1590" t="s">
        <v>16</v>
      </c>
      <c r="E1590" t="s">
        <v>219</v>
      </c>
      <c r="F1590" t="s">
        <v>140</v>
      </c>
      <c r="G1590" t="s">
        <v>1243</v>
      </c>
      <c r="H1590" s="15">
        <v>906526</v>
      </c>
      <c r="I1590" s="15">
        <v>0</v>
      </c>
      <c r="J1590" t="s">
        <v>20</v>
      </c>
      <c r="K1590" t="s">
        <v>28</v>
      </c>
      <c r="L1590" s="2">
        <v>45200</v>
      </c>
      <c r="M1590" t="s">
        <v>1244</v>
      </c>
      <c r="N1590">
        <v>0</v>
      </c>
      <c r="O1590" t="s">
        <v>4903</v>
      </c>
      <c r="P1590">
        <v>0</v>
      </c>
      <c r="Q1590" t="s">
        <v>4903</v>
      </c>
      <c r="R1590" t="s">
        <v>1242</v>
      </c>
    </row>
    <row r="1591" spans="1:18" hidden="1" x14ac:dyDescent="0.25">
      <c r="A1591" t="s">
        <v>1122</v>
      </c>
      <c r="B1591" t="s">
        <v>725</v>
      </c>
      <c r="C1591" t="s">
        <v>726</v>
      </c>
      <c r="D1591" t="s">
        <v>16</v>
      </c>
      <c r="E1591" t="s">
        <v>219</v>
      </c>
      <c r="F1591" t="s">
        <v>140</v>
      </c>
      <c r="G1591" t="s">
        <v>2510</v>
      </c>
      <c r="H1591" s="15">
        <v>1093950</v>
      </c>
      <c r="I1591" s="15">
        <v>0</v>
      </c>
      <c r="J1591" t="s">
        <v>20</v>
      </c>
      <c r="K1591" t="s">
        <v>28</v>
      </c>
      <c r="L1591" s="2">
        <v>45200</v>
      </c>
      <c r="M1591" t="s">
        <v>2511</v>
      </c>
      <c r="N1591">
        <v>0</v>
      </c>
      <c r="O1591" t="s">
        <v>4903</v>
      </c>
      <c r="P1591">
        <v>0</v>
      </c>
      <c r="Q1591" t="s">
        <v>4903</v>
      </c>
      <c r="R1591" t="s">
        <v>1122</v>
      </c>
    </row>
    <row r="1592" spans="1:18" hidden="1" x14ac:dyDescent="0.25">
      <c r="A1592" t="s">
        <v>1605</v>
      </c>
      <c r="B1592" t="s">
        <v>688</v>
      </c>
      <c r="C1592" t="s">
        <v>39</v>
      </c>
      <c r="D1592" t="s">
        <v>210</v>
      </c>
      <c r="E1592" t="s">
        <v>2419</v>
      </c>
      <c r="F1592" t="s">
        <v>152</v>
      </c>
      <c r="G1592" t="s">
        <v>4353</v>
      </c>
      <c r="H1592" s="15">
        <v>100000</v>
      </c>
      <c r="I1592" s="15">
        <v>0</v>
      </c>
      <c r="J1592" t="s">
        <v>44</v>
      </c>
      <c r="K1592" t="s">
        <v>28</v>
      </c>
      <c r="L1592" s="2">
        <v>45200</v>
      </c>
      <c r="M1592" t="s">
        <v>4354</v>
      </c>
      <c r="N1592">
        <v>0</v>
      </c>
      <c r="O1592" t="s">
        <v>4903</v>
      </c>
      <c r="P1592">
        <v>0</v>
      </c>
      <c r="Q1592" t="s">
        <v>4903</v>
      </c>
      <c r="R1592" t="s">
        <v>1605</v>
      </c>
    </row>
    <row r="1593" spans="1:18" hidden="1" x14ac:dyDescent="0.25">
      <c r="A1593" t="s">
        <v>467</v>
      </c>
      <c r="B1593" t="s">
        <v>190</v>
      </c>
      <c r="C1593" t="s">
        <v>15</v>
      </c>
      <c r="D1593" t="s">
        <v>16</v>
      </c>
      <c r="E1593" t="s">
        <v>219</v>
      </c>
      <c r="F1593" t="s">
        <v>34</v>
      </c>
      <c r="G1593" t="s">
        <v>3709</v>
      </c>
      <c r="H1593" s="15">
        <v>692326</v>
      </c>
      <c r="I1593" s="15">
        <v>0</v>
      </c>
      <c r="J1593" t="s">
        <v>20</v>
      </c>
      <c r="K1593" t="s">
        <v>28</v>
      </c>
      <c r="L1593" s="2">
        <v>45200</v>
      </c>
      <c r="M1593" t="s">
        <v>3710</v>
      </c>
      <c r="N1593">
        <v>0</v>
      </c>
      <c r="O1593" t="s">
        <v>4903</v>
      </c>
      <c r="P1593">
        <v>0</v>
      </c>
      <c r="Q1593" t="s">
        <v>4903</v>
      </c>
      <c r="R1593" t="s">
        <v>467</v>
      </c>
    </row>
    <row r="1594" spans="1:18" hidden="1" x14ac:dyDescent="0.25">
      <c r="A1594" t="s">
        <v>894</v>
      </c>
      <c r="B1594" t="s">
        <v>315</v>
      </c>
      <c r="C1594" t="s">
        <v>39</v>
      </c>
      <c r="D1594" t="s">
        <v>439</v>
      </c>
      <c r="E1594" t="s">
        <v>855</v>
      </c>
      <c r="F1594" t="s">
        <v>152</v>
      </c>
      <c r="G1594" t="s">
        <v>895</v>
      </c>
      <c r="H1594" s="15">
        <v>100000</v>
      </c>
      <c r="I1594" s="15">
        <v>0</v>
      </c>
      <c r="J1594" t="s">
        <v>44</v>
      </c>
      <c r="K1594" t="s">
        <v>28</v>
      </c>
      <c r="L1594" s="2">
        <v>45200</v>
      </c>
      <c r="M1594" t="s">
        <v>896</v>
      </c>
      <c r="N1594">
        <v>0</v>
      </c>
      <c r="O1594" t="s">
        <v>4903</v>
      </c>
      <c r="P1594">
        <v>0</v>
      </c>
      <c r="Q1594" t="s">
        <v>4903</v>
      </c>
      <c r="R1594" t="s">
        <v>894</v>
      </c>
    </row>
    <row r="1595" spans="1:18" hidden="1" x14ac:dyDescent="0.25">
      <c r="A1595" t="s">
        <v>894</v>
      </c>
      <c r="B1595" t="s">
        <v>315</v>
      </c>
      <c r="C1595" t="s">
        <v>39</v>
      </c>
      <c r="D1595" t="s">
        <v>16</v>
      </c>
      <c r="E1595" t="s">
        <v>219</v>
      </c>
      <c r="F1595" t="s">
        <v>152</v>
      </c>
      <c r="G1595" t="s">
        <v>895</v>
      </c>
      <c r="H1595" s="15">
        <v>1277550</v>
      </c>
      <c r="I1595" s="15">
        <v>0</v>
      </c>
      <c r="J1595" t="s">
        <v>20</v>
      </c>
      <c r="K1595" t="s">
        <v>28</v>
      </c>
      <c r="L1595" s="2">
        <v>45200</v>
      </c>
      <c r="M1595" t="s">
        <v>896</v>
      </c>
      <c r="N1595">
        <v>0</v>
      </c>
      <c r="O1595" t="s">
        <v>4903</v>
      </c>
      <c r="P1595">
        <v>0</v>
      </c>
      <c r="Q1595" t="s">
        <v>4903</v>
      </c>
      <c r="R1595" t="s">
        <v>894</v>
      </c>
    </row>
    <row r="1596" spans="1:18" hidden="1" x14ac:dyDescent="0.25">
      <c r="A1596" t="s">
        <v>1062</v>
      </c>
      <c r="B1596" t="s">
        <v>47</v>
      </c>
      <c r="C1596" t="s">
        <v>48</v>
      </c>
      <c r="D1596" t="s">
        <v>210</v>
      </c>
      <c r="E1596" t="s">
        <v>1517</v>
      </c>
      <c r="F1596" t="s">
        <v>26</v>
      </c>
      <c r="G1596" t="s">
        <v>4565</v>
      </c>
      <c r="H1596" s="15">
        <v>100000</v>
      </c>
      <c r="I1596" s="15">
        <v>0</v>
      </c>
      <c r="J1596" t="s">
        <v>44</v>
      </c>
      <c r="K1596" t="s">
        <v>28</v>
      </c>
      <c r="L1596" s="2">
        <v>45200</v>
      </c>
      <c r="M1596" t="s">
        <v>4566</v>
      </c>
      <c r="N1596">
        <v>0</v>
      </c>
      <c r="O1596" t="s">
        <v>4903</v>
      </c>
      <c r="P1596">
        <v>0</v>
      </c>
      <c r="Q1596" t="s">
        <v>4903</v>
      </c>
      <c r="R1596" t="s">
        <v>1062</v>
      </c>
    </row>
    <row r="1597" spans="1:18" hidden="1" x14ac:dyDescent="0.25">
      <c r="A1597" t="s">
        <v>1062</v>
      </c>
      <c r="B1597" t="s">
        <v>47</v>
      </c>
      <c r="C1597" t="s">
        <v>48</v>
      </c>
      <c r="D1597" t="s">
        <v>16</v>
      </c>
      <c r="E1597" t="s">
        <v>219</v>
      </c>
      <c r="F1597" t="s">
        <v>140</v>
      </c>
      <c r="G1597" t="s">
        <v>4565</v>
      </c>
      <c r="H1597" s="15">
        <v>948600</v>
      </c>
      <c r="I1597" s="15">
        <v>0</v>
      </c>
      <c r="J1597" t="s">
        <v>20</v>
      </c>
      <c r="K1597" t="s">
        <v>28</v>
      </c>
      <c r="L1597" s="2">
        <v>45200</v>
      </c>
      <c r="M1597" t="s">
        <v>4566</v>
      </c>
      <c r="N1597">
        <v>0</v>
      </c>
      <c r="O1597" t="s">
        <v>4903</v>
      </c>
      <c r="P1597">
        <v>0</v>
      </c>
      <c r="Q1597" t="s">
        <v>4903</v>
      </c>
      <c r="R1597" t="s">
        <v>1062</v>
      </c>
    </row>
    <row r="1598" spans="1:18" hidden="1" x14ac:dyDescent="0.25">
      <c r="A1598" t="s">
        <v>910</v>
      </c>
      <c r="B1598" t="s">
        <v>315</v>
      </c>
      <c r="C1598" t="s">
        <v>39</v>
      </c>
      <c r="D1598" t="s">
        <v>16</v>
      </c>
      <c r="E1598" t="s">
        <v>219</v>
      </c>
      <c r="F1598" t="s">
        <v>140</v>
      </c>
      <c r="G1598" t="s">
        <v>911</v>
      </c>
      <c r="H1598" s="15">
        <v>761176</v>
      </c>
      <c r="I1598" s="15">
        <v>0</v>
      </c>
      <c r="J1598" t="s">
        <v>20</v>
      </c>
      <c r="K1598" t="s">
        <v>28</v>
      </c>
      <c r="L1598" s="2">
        <v>45200</v>
      </c>
      <c r="M1598" t="s">
        <v>912</v>
      </c>
      <c r="N1598">
        <v>0</v>
      </c>
      <c r="O1598" t="s">
        <v>4903</v>
      </c>
      <c r="P1598">
        <v>0</v>
      </c>
      <c r="Q1598" t="s">
        <v>4903</v>
      </c>
      <c r="R1598" t="s">
        <v>910</v>
      </c>
    </row>
    <row r="1599" spans="1:18" hidden="1" x14ac:dyDescent="0.25">
      <c r="A1599" t="s">
        <v>1777</v>
      </c>
      <c r="B1599" t="s">
        <v>14</v>
      </c>
      <c r="C1599" t="s">
        <v>15</v>
      </c>
      <c r="D1599" t="s">
        <v>16</v>
      </c>
      <c r="E1599" t="s">
        <v>219</v>
      </c>
      <c r="F1599" t="s">
        <v>152</v>
      </c>
      <c r="G1599" t="s">
        <v>1778</v>
      </c>
      <c r="H1599" s="15">
        <v>784126</v>
      </c>
      <c r="I1599" s="15">
        <v>0</v>
      </c>
      <c r="J1599" t="s">
        <v>20</v>
      </c>
      <c r="K1599" t="s">
        <v>28</v>
      </c>
      <c r="L1599" s="2">
        <v>45200</v>
      </c>
      <c r="M1599" t="s">
        <v>1779</v>
      </c>
      <c r="N1599">
        <v>0</v>
      </c>
      <c r="O1599" t="s">
        <v>4903</v>
      </c>
      <c r="P1599">
        <v>0</v>
      </c>
      <c r="Q1599" t="s">
        <v>4903</v>
      </c>
      <c r="R1599" t="s">
        <v>1777</v>
      </c>
    </row>
    <row r="1600" spans="1:18" hidden="1" x14ac:dyDescent="0.25">
      <c r="A1600" t="s">
        <v>1327</v>
      </c>
      <c r="B1600" t="s">
        <v>77</v>
      </c>
      <c r="C1600" t="s">
        <v>15</v>
      </c>
      <c r="D1600" t="s">
        <v>16</v>
      </c>
      <c r="E1600" t="s">
        <v>219</v>
      </c>
      <c r="F1600" t="s">
        <v>18</v>
      </c>
      <c r="G1600" t="s">
        <v>1328</v>
      </c>
      <c r="H1600" s="15">
        <v>864450</v>
      </c>
      <c r="I1600" s="15">
        <v>0</v>
      </c>
      <c r="J1600" t="s">
        <v>20</v>
      </c>
      <c r="K1600" t="s">
        <v>74</v>
      </c>
      <c r="L1600" s="2">
        <v>45200</v>
      </c>
      <c r="M1600" t="s">
        <v>1329</v>
      </c>
      <c r="N1600">
        <v>1</v>
      </c>
      <c r="O1600" t="s">
        <v>4903</v>
      </c>
      <c r="P1600">
        <v>0</v>
      </c>
      <c r="Q1600" t="s">
        <v>4903</v>
      </c>
      <c r="R1600" t="s">
        <v>1327</v>
      </c>
    </row>
    <row r="1601" spans="1:18" hidden="1" x14ac:dyDescent="0.25">
      <c r="A1601" t="s">
        <v>4587</v>
      </c>
      <c r="B1601" t="s">
        <v>333</v>
      </c>
      <c r="C1601" t="s">
        <v>334</v>
      </c>
      <c r="D1601" t="s">
        <v>16</v>
      </c>
      <c r="E1601" t="s">
        <v>219</v>
      </c>
      <c r="F1601" t="s">
        <v>34</v>
      </c>
      <c r="G1601" t="s">
        <v>4588</v>
      </c>
      <c r="H1601" s="15">
        <v>963900</v>
      </c>
      <c r="I1601" s="15">
        <v>0</v>
      </c>
      <c r="J1601" t="s">
        <v>20</v>
      </c>
      <c r="K1601" t="s">
        <v>28</v>
      </c>
      <c r="L1601" s="2">
        <v>45200</v>
      </c>
      <c r="M1601" t="s">
        <v>4589</v>
      </c>
      <c r="N1601">
        <v>0</v>
      </c>
      <c r="O1601" t="s">
        <v>4903</v>
      </c>
      <c r="P1601">
        <v>0</v>
      </c>
      <c r="Q1601" t="s">
        <v>4903</v>
      </c>
      <c r="R1601" t="s">
        <v>4587</v>
      </c>
    </row>
    <row r="1602" spans="1:18" hidden="1" x14ac:dyDescent="0.25">
      <c r="A1602" t="s">
        <v>4241</v>
      </c>
      <c r="B1602" t="s">
        <v>84</v>
      </c>
      <c r="C1602" t="s">
        <v>15</v>
      </c>
      <c r="D1602" t="s">
        <v>16</v>
      </c>
      <c r="E1602" t="s">
        <v>219</v>
      </c>
      <c r="F1602" t="s">
        <v>152</v>
      </c>
      <c r="G1602" t="s">
        <v>4242</v>
      </c>
      <c r="H1602" s="15">
        <v>990676</v>
      </c>
      <c r="I1602" s="15">
        <v>0</v>
      </c>
      <c r="J1602" t="s">
        <v>20</v>
      </c>
      <c r="K1602" t="s">
        <v>28</v>
      </c>
      <c r="L1602" s="2">
        <v>45200</v>
      </c>
      <c r="M1602" t="s">
        <v>4243</v>
      </c>
      <c r="N1602">
        <v>0</v>
      </c>
      <c r="O1602" t="s">
        <v>4903</v>
      </c>
      <c r="P1602">
        <v>0</v>
      </c>
      <c r="Q1602" t="s">
        <v>4903</v>
      </c>
      <c r="R1602" t="s">
        <v>4241</v>
      </c>
    </row>
    <row r="1603" spans="1:18" hidden="1" x14ac:dyDescent="0.25">
      <c r="A1603" t="s">
        <v>2244</v>
      </c>
      <c r="B1603" t="s">
        <v>47</v>
      </c>
      <c r="C1603" t="s">
        <v>48</v>
      </c>
      <c r="D1603" t="s">
        <v>16</v>
      </c>
      <c r="E1603" t="s">
        <v>219</v>
      </c>
      <c r="F1603" t="s">
        <v>34</v>
      </c>
      <c r="G1603" t="s">
        <v>2988</v>
      </c>
      <c r="H1603" s="15">
        <v>625770</v>
      </c>
      <c r="I1603" s="15">
        <v>0</v>
      </c>
      <c r="J1603" t="s">
        <v>20</v>
      </c>
      <c r="K1603" t="s">
        <v>326</v>
      </c>
      <c r="L1603" s="2">
        <v>45200</v>
      </c>
      <c r="M1603" t="s">
        <v>2989</v>
      </c>
      <c r="N1603">
        <v>0</v>
      </c>
      <c r="O1603" t="s">
        <v>4903</v>
      </c>
      <c r="P1603">
        <v>0</v>
      </c>
      <c r="Q1603" t="s">
        <v>4903</v>
      </c>
      <c r="R1603" t="s">
        <v>2244</v>
      </c>
    </row>
    <row r="1604" spans="1:18" hidden="1" x14ac:dyDescent="0.25">
      <c r="A1604" t="s">
        <v>2397</v>
      </c>
      <c r="B1604" t="s">
        <v>14</v>
      </c>
      <c r="C1604" t="s">
        <v>15</v>
      </c>
      <c r="D1604" t="s">
        <v>54</v>
      </c>
      <c r="E1604" t="s">
        <v>4335</v>
      </c>
      <c r="F1604" t="s">
        <v>140</v>
      </c>
      <c r="G1604" t="s">
        <v>4336</v>
      </c>
      <c r="H1604" s="15">
        <v>100000</v>
      </c>
      <c r="I1604" s="15">
        <v>0</v>
      </c>
      <c r="J1604" t="s">
        <v>44</v>
      </c>
      <c r="K1604" t="s">
        <v>57</v>
      </c>
      <c r="L1604" s="2">
        <v>45200</v>
      </c>
      <c r="M1604" t="s">
        <v>4337</v>
      </c>
      <c r="N1604">
        <v>0</v>
      </c>
      <c r="O1604" t="s">
        <v>4903</v>
      </c>
      <c r="P1604">
        <v>0</v>
      </c>
      <c r="Q1604" t="s">
        <v>4903</v>
      </c>
      <c r="R1604" t="s">
        <v>2397</v>
      </c>
    </row>
    <row r="1605" spans="1:18" hidden="1" x14ac:dyDescent="0.25">
      <c r="A1605" t="s">
        <v>2201</v>
      </c>
      <c r="B1605" t="s">
        <v>478</v>
      </c>
      <c r="C1605" t="s">
        <v>15</v>
      </c>
      <c r="D1605" t="s">
        <v>16</v>
      </c>
      <c r="E1605" t="s">
        <v>219</v>
      </c>
      <c r="F1605" t="s">
        <v>140</v>
      </c>
      <c r="G1605" t="s">
        <v>2202</v>
      </c>
      <c r="H1605" s="15">
        <v>1063350</v>
      </c>
      <c r="I1605" s="15">
        <v>0</v>
      </c>
      <c r="J1605" t="s">
        <v>20</v>
      </c>
      <c r="K1605" t="s">
        <v>28</v>
      </c>
      <c r="L1605" s="2">
        <v>45200</v>
      </c>
      <c r="M1605" t="s">
        <v>2203</v>
      </c>
      <c r="N1605">
        <v>0</v>
      </c>
      <c r="O1605" t="s">
        <v>4903</v>
      </c>
      <c r="P1605">
        <v>0</v>
      </c>
      <c r="Q1605" t="s">
        <v>4903</v>
      </c>
      <c r="R1605" t="s">
        <v>2201</v>
      </c>
    </row>
    <row r="1606" spans="1:18" hidden="1" x14ac:dyDescent="0.25">
      <c r="A1606" t="s">
        <v>390</v>
      </c>
      <c r="B1606" t="s">
        <v>47</v>
      </c>
      <c r="C1606" t="s">
        <v>48</v>
      </c>
      <c r="D1606" t="s">
        <v>16</v>
      </c>
      <c r="E1606" t="s">
        <v>219</v>
      </c>
      <c r="F1606" t="s">
        <v>18</v>
      </c>
      <c r="G1606" t="s">
        <v>391</v>
      </c>
      <c r="H1606" s="15">
        <v>669376</v>
      </c>
      <c r="I1606" s="15">
        <v>0</v>
      </c>
      <c r="J1606" t="s">
        <v>154</v>
      </c>
      <c r="K1606" t="s">
        <v>21</v>
      </c>
      <c r="L1606" s="2">
        <v>45200</v>
      </c>
      <c r="M1606" t="s">
        <v>392</v>
      </c>
      <c r="N1606">
        <v>0</v>
      </c>
      <c r="O1606" t="s">
        <v>4903</v>
      </c>
      <c r="P1606">
        <v>0</v>
      </c>
      <c r="Q1606" t="s">
        <v>4903</v>
      </c>
      <c r="R1606" t="s">
        <v>390</v>
      </c>
    </row>
    <row r="1607" spans="1:18" hidden="1" x14ac:dyDescent="0.25">
      <c r="A1607" t="s">
        <v>218</v>
      </c>
      <c r="B1607" t="s">
        <v>61</v>
      </c>
      <c r="C1607" t="s">
        <v>62</v>
      </c>
      <c r="D1607" t="s">
        <v>16</v>
      </c>
      <c r="E1607" t="s">
        <v>219</v>
      </c>
      <c r="F1607" t="s">
        <v>152</v>
      </c>
      <c r="G1607" t="s">
        <v>220</v>
      </c>
      <c r="H1607" s="15">
        <v>2796075</v>
      </c>
      <c r="I1607" s="15">
        <v>0</v>
      </c>
      <c r="J1607" t="s">
        <v>154</v>
      </c>
      <c r="K1607" t="s">
        <v>28</v>
      </c>
      <c r="L1607" s="2">
        <v>45200</v>
      </c>
      <c r="M1607" t="s">
        <v>221</v>
      </c>
      <c r="N1607">
        <v>0</v>
      </c>
      <c r="O1607" t="s">
        <v>4903</v>
      </c>
      <c r="P1607">
        <v>0</v>
      </c>
      <c r="Q1607" t="s">
        <v>4903</v>
      </c>
      <c r="R1607" t="s">
        <v>218</v>
      </c>
    </row>
    <row r="1608" spans="1:18" hidden="1" x14ac:dyDescent="0.25">
      <c r="A1608" t="s">
        <v>3887</v>
      </c>
      <c r="B1608" t="s">
        <v>119</v>
      </c>
      <c r="C1608" t="s">
        <v>39</v>
      </c>
      <c r="D1608" t="s">
        <v>16</v>
      </c>
      <c r="E1608" t="s">
        <v>219</v>
      </c>
      <c r="F1608" t="s">
        <v>140</v>
      </c>
      <c r="G1608" t="s">
        <v>3888</v>
      </c>
      <c r="H1608" s="15">
        <v>1162800</v>
      </c>
      <c r="I1608" s="15">
        <v>0</v>
      </c>
      <c r="J1608" t="s">
        <v>20</v>
      </c>
      <c r="K1608" t="s">
        <v>28</v>
      </c>
      <c r="L1608" s="2">
        <v>45200</v>
      </c>
      <c r="M1608" t="s">
        <v>3889</v>
      </c>
      <c r="N1608">
        <v>0</v>
      </c>
      <c r="O1608" t="s">
        <v>4903</v>
      </c>
      <c r="P1608">
        <v>0</v>
      </c>
      <c r="Q1608" t="s">
        <v>4903</v>
      </c>
      <c r="R1608" t="s">
        <v>3887</v>
      </c>
    </row>
    <row r="1609" spans="1:18" hidden="1" x14ac:dyDescent="0.25">
      <c r="A1609" t="s">
        <v>1903</v>
      </c>
      <c r="B1609" t="s">
        <v>136</v>
      </c>
      <c r="C1609" t="s">
        <v>15</v>
      </c>
      <c r="D1609" t="s">
        <v>16</v>
      </c>
      <c r="E1609" t="s">
        <v>219</v>
      </c>
      <c r="F1609" t="s">
        <v>34</v>
      </c>
      <c r="G1609" t="s">
        <v>1904</v>
      </c>
      <c r="H1609" s="15">
        <v>906526</v>
      </c>
      <c r="I1609" s="15">
        <v>0</v>
      </c>
      <c r="J1609" t="s">
        <v>20</v>
      </c>
      <c r="K1609" t="s">
        <v>74</v>
      </c>
      <c r="L1609" s="2">
        <v>45200</v>
      </c>
      <c r="M1609" t="s">
        <v>1905</v>
      </c>
      <c r="N1609">
        <v>0</v>
      </c>
      <c r="O1609" t="s">
        <v>4903</v>
      </c>
      <c r="P1609">
        <v>0</v>
      </c>
      <c r="Q1609" t="s">
        <v>4903</v>
      </c>
      <c r="R1609" t="s">
        <v>1903</v>
      </c>
    </row>
    <row r="1610" spans="1:18" hidden="1" x14ac:dyDescent="0.25">
      <c r="A1610" t="s">
        <v>4255</v>
      </c>
      <c r="B1610" t="s">
        <v>315</v>
      </c>
      <c r="C1610" t="s">
        <v>39</v>
      </c>
      <c r="D1610" t="s">
        <v>16</v>
      </c>
      <c r="E1610" t="s">
        <v>186</v>
      </c>
      <c r="F1610" t="s">
        <v>26</v>
      </c>
      <c r="G1610" t="s">
        <v>4256</v>
      </c>
      <c r="H1610" s="15">
        <v>100000</v>
      </c>
      <c r="I1610" s="15">
        <v>0</v>
      </c>
      <c r="J1610" t="s">
        <v>44</v>
      </c>
      <c r="K1610" t="s">
        <v>28</v>
      </c>
      <c r="L1610" s="2">
        <v>45200</v>
      </c>
      <c r="M1610" t="s">
        <v>4257</v>
      </c>
      <c r="N1610">
        <v>0</v>
      </c>
      <c r="O1610" t="s">
        <v>4903</v>
      </c>
      <c r="P1610">
        <v>0</v>
      </c>
      <c r="Q1610" t="s">
        <v>4903</v>
      </c>
      <c r="R1610" t="s">
        <v>4255</v>
      </c>
    </row>
    <row r="1611" spans="1:18" hidden="1" x14ac:dyDescent="0.25">
      <c r="A1611" t="s">
        <v>4255</v>
      </c>
      <c r="B1611" t="s">
        <v>315</v>
      </c>
      <c r="C1611" t="s">
        <v>39</v>
      </c>
      <c r="D1611" t="s">
        <v>16</v>
      </c>
      <c r="E1611" t="s">
        <v>219</v>
      </c>
      <c r="F1611" t="s">
        <v>140</v>
      </c>
      <c r="G1611" t="s">
        <v>4256</v>
      </c>
      <c r="H1611" s="15">
        <v>1120726</v>
      </c>
      <c r="I1611" s="15">
        <v>0</v>
      </c>
      <c r="J1611" t="s">
        <v>20</v>
      </c>
      <c r="K1611" t="s">
        <v>28</v>
      </c>
      <c r="L1611" s="2">
        <v>45200</v>
      </c>
      <c r="M1611" t="s">
        <v>4257</v>
      </c>
      <c r="N1611">
        <v>0</v>
      </c>
      <c r="O1611" t="s">
        <v>4903</v>
      </c>
      <c r="P1611">
        <v>0</v>
      </c>
      <c r="Q1611" t="s">
        <v>4903</v>
      </c>
      <c r="R1611" t="s">
        <v>4255</v>
      </c>
    </row>
    <row r="1612" spans="1:18" hidden="1" x14ac:dyDescent="0.25">
      <c r="A1612" t="s">
        <v>549</v>
      </c>
      <c r="B1612" t="s">
        <v>136</v>
      </c>
      <c r="C1612" t="s">
        <v>15</v>
      </c>
      <c r="D1612" t="s">
        <v>16</v>
      </c>
      <c r="E1612" t="s">
        <v>219</v>
      </c>
      <c r="F1612" t="s">
        <v>59</v>
      </c>
      <c r="G1612" t="s">
        <v>550</v>
      </c>
      <c r="H1612" s="15">
        <v>749700</v>
      </c>
      <c r="I1612" s="15">
        <v>0</v>
      </c>
      <c r="J1612" t="s">
        <v>20</v>
      </c>
      <c r="K1612" t="s">
        <v>28</v>
      </c>
      <c r="L1612" s="2">
        <v>45200</v>
      </c>
      <c r="M1612" t="s">
        <v>551</v>
      </c>
      <c r="N1612">
        <v>1</v>
      </c>
      <c r="O1612" t="s">
        <v>4903</v>
      </c>
      <c r="P1612">
        <v>0</v>
      </c>
      <c r="Q1612" t="s">
        <v>4903</v>
      </c>
      <c r="R1612" t="s">
        <v>549</v>
      </c>
    </row>
    <row r="1613" spans="1:18" hidden="1" x14ac:dyDescent="0.25">
      <c r="A1613" t="s">
        <v>2072</v>
      </c>
      <c r="B1613" t="s">
        <v>31</v>
      </c>
      <c r="C1613" t="s">
        <v>15</v>
      </c>
      <c r="D1613" t="s">
        <v>16</v>
      </c>
      <c r="E1613" t="s">
        <v>219</v>
      </c>
      <c r="F1613" t="s">
        <v>34</v>
      </c>
      <c r="G1613" t="s">
        <v>2073</v>
      </c>
      <c r="H1613" s="15">
        <v>592876</v>
      </c>
      <c r="I1613" s="15">
        <v>0</v>
      </c>
      <c r="J1613" t="s">
        <v>20</v>
      </c>
      <c r="K1613" t="s">
        <v>28</v>
      </c>
      <c r="L1613" s="2">
        <v>45200</v>
      </c>
      <c r="M1613" t="s">
        <v>2074</v>
      </c>
      <c r="N1613">
        <v>0</v>
      </c>
      <c r="O1613" t="s">
        <v>4903</v>
      </c>
      <c r="P1613">
        <v>0</v>
      </c>
      <c r="Q1613" t="s">
        <v>4903</v>
      </c>
      <c r="R1613" t="s">
        <v>2072</v>
      </c>
    </row>
    <row r="1614" spans="1:18" hidden="1" x14ac:dyDescent="0.25">
      <c r="A1614" t="s">
        <v>1774</v>
      </c>
      <c r="B1614" t="s">
        <v>244</v>
      </c>
      <c r="C1614" t="s">
        <v>39</v>
      </c>
      <c r="D1614" t="s">
        <v>439</v>
      </c>
      <c r="E1614" t="s">
        <v>855</v>
      </c>
      <c r="F1614" t="s">
        <v>140</v>
      </c>
      <c r="G1614" t="s">
        <v>4138</v>
      </c>
      <c r="H1614" s="15">
        <v>100000</v>
      </c>
      <c r="I1614" s="15">
        <v>0</v>
      </c>
      <c r="J1614" t="s">
        <v>44</v>
      </c>
      <c r="K1614" t="s">
        <v>28</v>
      </c>
      <c r="L1614" s="2">
        <v>45200</v>
      </c>
      <c r="M1614" t="s">
        <v>4139</v>
      </c>
      <c r="N1614">
        <v>0</v>
      </c>
      <c r="O1614" t="s">
        <v>4903</v>
      </c>
      <c r="P1614">
        <v>0</v>
      </c>
      <c r="Q1614" t="s">
        <v>4903</v>
      </c>
      <c r="R1614" t="s">
        <v>1774</v>
      </c>
    </row>
    <row r="1615" spans="1:18" hidden="1" x14ac:dyDescent="0.25">
      <c r="A1615" t="s">
        <v>1774</v>
      </c>
      <c r="B1615" t="s">
        <v>244</v>
      </c>
      <c r="C1615" t="s">
        <v>39</v>
      </c>
      <c r="D1615" t="s">
        <v>439</v>
      </c>
      <c r="E1615" t="s">
        <v>1798</v>
      </c>
      <c r="F1615" t="s">
        <v>140</v>
      </c>
      <c r="G1615" t="s">
        <v>4138</v>
      </c>
      <c r="H1615" s="15">
        <v>100000</v>
      </c>
      <c r="I1615" s="15">
        <v>0</v>
      </c>
      <c r="J1615" t="s">
        <v>44</v>
      </c>
      <c r="K1615" t="s">
        <v>28</v>
      </c>
      <c r="L1615" s="2">
        <v>45200</v>
      </c>
      <c r="M1615" t="s">
        <v>4139</v>
      </c>
      <c r="N1615">
        <v>0</v>
      </c>
      <c r="O1615" t="s">
        <v>4903</v>
      </c>
      <c r="P1615">
        <v>0</v>
      </c>
      <c r="Q1615" t="s">
        <v>4903</v>
      </c>
      <c r="R1615" t="s">
        <v>1774</v>
      </c>
    </row>
    <row r="1616" spans="1:18" hidden="1" x14ac:dyDescent="0.25">
      <c r="A1616" t="s">
        <v>1774</v>
      </c>
      <c r="B1616" t="s">
        <v>244</v>
      </c>
      <c r="C1616" t="s">
        <v>39</v>
      </c>
      <c r="D1616" t="s">
        <v>16</v>
      </c>
      <c r="E1616" t="s">
        <v>17</v>
      </c>
      <c r="F1616" t="s">
        <v>26</v>
      </c>
      <c r="G1616" t="s">
        <v>4138</v>
      </c>
      <c r="H1616" s="15">
        <v>1097775</v>
      </c>
      <c r="I1616" s="15">
        <v>0</v>
      </c>
      <c r="J1616" t="s">
        <v>20</v>
      </c>
      <c r="K1616" t="s">
        <v>28</v>
      </c>
      <c r="L1616" s="2">
        <v>45200</v>
      </c>
      <c r="M1616" t="s">
        <v>4139</v>
      </c>
      <c r="N1616">
        <v>0</v>
      </c>
      <c r="O1616" t="s">
        <v>4903</v>
      </c>
      <c r="P1616">
        <v>0</v>
      </c>
      <c r="Q1616" t="s">
        <v>4903</v>
      </c>
      <c r="R1616" t="s">
        <v>1774</v>
      </c>
    </row>
    <row r="1617" spans="1:18" hidden="1" x14ac:dyDescent="0.25">
      <c r="A1617" t="s">
        <v>4685</v>
      </c>
      <c r="B1617" t="s">
        <v>923</v>
      </c>
      <c r="C1617" t="s">
        <v>15</v>
      </c>
      <c r="D1617" t="s">
        <v>16</v>
      </c>
      <c r="E1617" t="s">
        <v>186</v>
      </c>
      <c r="F1617" t="s">
        <v>152</v>
      </c>
      <c r="G1617" t="s">
        <v>4686</v>
      </c>
      <c r="H1617" s="15">
        <v>100000</v>
      </c>
      <c r="I1617" s="15">
        <v>0</v>
      </c>
      <c r="J1617" t="s">
        <v>44</v>
      </c>
      <c r="K1617" t="s">
        <v>28</v>
      </c>
      <c r="L1617" s="2">
        <v>45200</v>
      </c>
      <c r="M1617" t="s">
        <v>4687</v>
      </c>
      <c r="N1617">
        <v>0</v>
      </c>
      <c r="O1617" t="s">
        <v>4903</v>
      </c>
      <c r="P1617">
        <v>0</v>
      </c>
      <c r="Q1617" t="s">
        <v>4903</v>
      </c>
      <c r="R1617" t="s">
        <v>4685</v>
      </c>
    </row>
    <row r="1618" spans="1:18" hidden="1" x14ac:dyDescent="0.25">
      <c r="A1618" t="s">
        <v>4685</v>
      </c>
      <c r="B1618" t="s">
        <v>923</v>
      </c>
      <c r="C1618" t="s">
        <v>15</v>
      </c>
      <c r="D1618" t="s">
        <v>16</v>
      </c>
      <c r="E1618" t="s">
        <v>219</v>
      </c>
      <c r="F1618" t="s">
        <v>152</v>
      </c>
      <c r="G1618" t="s">
        <v>4686</v>
      </c>
      <c r="H1618" s="15">
        <v>925650</v>
      </c>
      <c r="I1618" s="15">
        <v>0</v>
      </c>
      <c r="J1618" t="s">
        <v>20</v>
      </c>
      <c r="K1618" t="s">
        <v>28</v>
      </c>
      <c r="L1618" s="2">
        <v>45200</v>
      </c>
      <c r="M1618" t="s">
        <v>4687</v>
      </c>
      <c r="N1618">
        <v>0</v>
      </c>
      <c r="O1618" t="s">
        <v>4903</v>
      </c>
      <c r="P1618">
        <v>0</v>
      </c>
      <c r="Q1618" t="s">
        <v>4903</v>
      </c>
      <c r="R1618" t="s">
        <v>4685</v>
      </c>
    </row>
    <row r="1619" spans="1:18" hidden="1" x14ac:dyDescent="0.25">
      <c r="A1619" t="s">
        <v>667</v>
      </c>
      <c r="B1619" t="s">
        <v>113</v>
      </c>
      <c r="C1619" t="s">
        <v>15</v>
      </c>
      <c r="D1619" t="s">
        <v>16</v>
      </c>
      <c r="E1619" t="s">
        <v>219</v>
      </c>
      <c r="F1619" t="s">
        <v>18</v>
      </c>
      <c r="G1619" t="s">
        <v>668</v>
      </c>
      <c r="H1619" s="15">
        <v>1086300</v>
      </c>
      <c r="I1619" s="15">
        <v>0</v>
      </c>
      <c r="J1619" t="s">
        <v>20</v>
      </c>
      <c r="K1619" t="s">
        <v>21</v>
      </c>
      <c r="L1619" s="2">
        <v>45200</v>
      </c>
      <c r="M1619" t="s">
        <v>669</v>
      </c>
      <c r="N1619">
        <v>0</v>
      </c>
      <c r="O1619" t="s">
        <v>4903</v>
      </c>
      <c r="P1619">
        <v>0</v>
      </c>
      <c r="Q1619" t="s">
        <v>4903</v>
      </c>
      <c r="R1619" t="s">
        <v>667</v>
      </c>
    </row>
    <row r="1620" spans="1:18" hidden="1" x14ac:dyDescent="0.25">
      <c r="A1620" t="s">
        <v>2339</v>
      </c>
      <c r="B1620" t="s">
        <v>14</v>
      </c>
      <c r="C1620" t="s">
        <v>15</v>
      </c>
      <c r="D1620" t="s">
        <v>16</v>
      </c>
      <c r="E1620" t="s">
        <v>219</v>
      </c>
      <c r="F1620" t="s">
        <v>59</v>
      </c>
      <c r="G1620" t="s">
        <v>3076</v>
      </c>
      <c r="H1620" s="15">
        <v>837676</v>
      </c>
      <c r="I1620" s="15">
        <v>0</v>
      </c>
      <c r="J1620" t="s">
        <v>20</v>
      </c>
      <c r="K1620" t="s">
        <v>134</v>
      </c>
      <c r="L1620" s="2">
        <v>45200</v>
      </c>
      <c r="M1620" t="s">
        <v>3077</v>
      </c>
      <c r="N1620">
        <v>0</v>
      </c>
      <c r="O1620" t="s">
        <v>4903</v>
      </c>
      <c r="P1620">
        <v>0</v>
      </c>
      <c r="Q1620" t="s">
        <v>4903</v>
      </c>
      <c r="R1620" t="s">
        <v>2339</v>
      </c>
    </row>
    <row r="1621" spans="1:18" hidden="1" x14ac:dyDescent="0.25">
      <c r="A1621" t="s">
        <v>1876</v>
      </c>
      <c r="B1621" t="s">
        <v>61</v>
      </c>
      <c r="C1621" t="s">
        <v>62</v>
      </c>
      <c r="D1621" t="s">
        <v>204</v>
      </c>
      <c r="E1621" t="s">
        <v>205</v>
      </c>
      <c r="F1621" t="s">
        <v>206</v>
      </c>
      <c r="G1621" t="s">
        <v>1877</v>
      </c>
      <c r="H1621" s="15">
        <v>150000</v>
      </c>
      <c r="I1621" s="15">
        <v>0</v>
      </c>
      <c r="J1621" t="s">
        <v>44</v>
      </c>
      <c r="K1621" t="s">
        <v>100</v>
      </c>
      <c r="L1621" s="2">
        <v>45323</v>
      </c>
      <c r="M1621" t="s">
        <v>1878</v>
      </c>
      <c r="N1621">
        <v>0</v>
      </c>
      <c r="O1621" t="s">
        <v>4903</v>
      </c>
      <c r="P1621">
        <v>0</v>
      </c>
      <c r="Q1621" t="s">
        <v>4903</v>
      </c>
      <c r="R1621" t="s">
        <v>1876</v>
      </c>
    </row>
    <row r="1622" spans="1:18" hidden="1" x14ac:dyDescent="0.25">
      <c r="A1622" t="s">
        <v>4157</v>
      </c>
      <c r="B1622" t="s">
        <v>315</v>
      </c>
      <c r="C1622" t="s">
        <v>39</v>
      </c>
      <c r="D1622" t="s">
        <v>204</v>
      </c>
      <c r="E1622" t="s">
        <v>205</v>
      </c>
      <c r="F1622" t="s">
        <v>206</v>
      </c>
      <c r="G1622" t="s">
        <v>4158</v>
      </c>
      <c r="H1622" s="15">
        <v>117400</v>
      </c>
      <c r="I1622" s="15">
        <v>0</v>
      </c>
      <c r="J1622" t="s">
        <v>44</v>
      </c>
      <c r="K1622" t="s">
        <v>74</v>
      </c>
      <c r="L1622" s="2">
        <v>45323</v>
      </c>
      <c r="M1622" t="s">
        <v>4159</v>
      </c>
      <c r="N1622">
        <v>0</v>
      </c>
      <c r="O1622" t="s">
        <v>4903</v>
      </c>
      <c r="P1622">
        <v>0</v>
      </c>
      <c r="Q1622" t="s">
        <v>4903</v>
      </c>
      <c r="R1622" t="s">
        <v>4157</v>
      </c>
    </row>
    <row r="1623" spans="1:18" hidden="1" x14ac:dyDescent="0.25">
      <c r="A1623" t="s">
        <v>880</v>
      </c>
      <c r="B1623" t="s">
        <v>61</v>
      </c>
      <c r="C1623" t="s">
        <v>62</v>
      </c>
      <c r="D1623" t="s">
        <v>204</v>
      </c>
      <c r="E1623" t="s">
        <v>205</v>
      </c>
      <c r="F1623" t="s">
        <v>206</v>
      </c>
      <c r="G1623" t="s">
        <v>881</v>
      </c>
      <c r="H1623" s="15">
        <v>150000</v>
      </c>
      <c r="I1623" s="15">
        <v>0</v>
      </c>
      <c r="J1623" t="s">
        <v>44</v>
      </c>
      <c r="K1623" t="s">
        <v>322</v>
      </c>
      <c r="L1623" s="2">
        <v>45323</v>
      </c>
      <c r="M1623" t="s">
        <v>882</v>
      </c>
      <c r="N1623">
        <v>0</v>
      </c>
      <c r="O1623" t="s">
        <v>4903</v>
      </c>
      <c r="P1623">
        <v>0</v>
      </c>
      <c r="Q1623" t="s">
        <v>4903</v>
      </c>
      <c r="R1623" t="s">
        <v>880</v>
      </c>
    </row>
    <row r="1624" spans="1:18" hidden="1" x14ac:dyDescent="0.25">
      <c r="A1624" t="s">
        <v>4624</v>
      </c>
      <c r="B1624" t="s">
        <v>273</v>
      </c>
      <c r="C1624" t="s">
        <v>15</v>
      </c>
      <c r="D1624" t="s">
        <v>204</v>
      </c>
      <c r="E1624" t="s">
        <v>205</v>
      </c>
      <c r="F1624" t="s">
        <v>206</v>
      </c>
      <c r="G1624" t="s">
        <v>4625</v>
      </c>
      <c r="H1624" s="15">
        <v>149500</v>
      </c>
      <c r="I1624" s="15">
        <v>0</v>
      </c>
      <c r="J1624" t="s">
        <v>44</v>
      </c>
      <c r="K1624" t="s">
        <v>57</v>
      </c>
      <c r="L1624" s="2">
        <v>45323</v>
      </c>
      <c r="M1624" t="s">
        <v>4626</v>
      </c>
      <c r="N1624">
        <v>0</v>
      </c>
      <c r="O1624" t="s">
        <v>4903</v>
      </c>
      <c r="P1624">
        <v>0</v>
      </c>
      <c r="Q1624" t="s">
        <v>4903</v>
      </c>
      <c r="R1624" t="s">
        <v>4624</v>
      </c>
    </row>
    <row r="1625" spans="1:18" hidden="1" x14ac:dyDescent="0.25">
      <c r="A1625" t="s">
        <v>4366</v>
      </c>
      <c r="B1625" t="s">
        <v>1227</v>
      </c>
      <c r="C1625" t="s">
        <v>48</v>
      </c>
      <c r="D1625" t="s">
        <v>204</v>
      </c>
      <c r="E1625" t="s">
        <v>205</v>
      </c>
      <c r="F1625" t="s">
        <v>206</v>
      </c>
      <c r="G1625" t="s">
        <v>4367</v>
      </c>
      <c r="H1625" s="15">
        <v>150000</v>
      </c>
      <c r="I1625" s="15">
        <v>0</v>
      </c>
      <c r="J1625" t="s">
        <v>44</v>
      </c>
      <c r="K1625" t="s">
        <v>322</v>
      </c>
      <c r="L1625" s="2">
        <v>45323</v>
      </c>
      <c r="M1625" t="s">
        <v>4368</v>
      </c>
      <c r="N1625">
        <v>0</v>
      </c>
      <c r="O1625" t="s">
        <v>4903</v>
      </c>
      <c r="P1625">
        <v>0</v>
      </c>
      <c r="Q1625" t="s">
        <v>4903</v>
      </c>
      <c r="R1625" t="s">
        <v>4366</v>
      </c>
    </row>
    <row r="1626" spans="1:18" hidden="1" x14ac:dyDescent="0.25">
      <c r="A1626" t="s">
        <v>203</v>
      </c>
      <c r="B1626" t="s">
        <v>190</v>
      </c>
      <c r="C1626" t="s">
        <v>15</v>
      </c>
      <c r="D1626" t="s">
        <v>204</v>
      </c>
      <c r="E1626" t="s">
        <v>205</v>
      </c>
      <c r="F1626" t="s">
        <v>206</v>
      </c>
      <c r="G1626" t="s">
        <v>207</v>
      </c>
      <c r="H1626" s="15">
        <v>150000</v>
      </c>
      <c r="I1626" s="15">
        <v>0</v>
      </c>
      <c r="J1626" t="s">
        <v>44</v>
      </c>
      <c r="K1626" t="s">
        <v>134</v>
      </c>
      <c r="L1626" s="2">
        <v>45323</v>
      </c>
      <c r="M1626" t="s">
        <v>208</v>
      </c>
      <c r="N1626">
        <v>0</v>
      </c>
      <c r="O1626" t="s">
        <v>4903</v>
      </c>
      <c r="P1626">
        <v>0</v>
      </c>
      <c r="Q1626" t="s">
        <v>4903</v>
      </c>
      <c r="R1626" t="s">
        <v>203</v>
      </c>
    </row>
    <row r="1627" spans="1:18" hidden="1" x14ac:dyDescent="0.25">
      <c r="A1627" t="s">
        <v>319</v>
      </c>
      <c r="B1627" t="s">
        <v>320</v>
      </c>
      <c r="C1627" t="s">
        <v>39</v>
      </c>
      <c r="D1627" t="s">
        <v>204</v>
      </c>
      <c r="E1627" t="s">
        <v>205</v>
      </c>
      <c r="F1627" t="s">
        <v>206</v>
      </c>
      <c r="G1627" t="s">
        <v>321</v>
      </c>
      <c r="H1627" s="15">
        <v>149489</v>
      </c>
      <c r="I1627" s="15">
        <v>0</v>
      </c>
      <c r="J1627" t="s">
        <v>44</v>
      </c>
      <c r="K1627" t="s">
        <v>322</v>
      </c>
      <c r="L1627" s="2">
        <v>45323</v>
      </c>
      <c r="M1627" t="s">
        <v>323</v>
      </c>
      <c r="N1627">
        <v>0</v>
      </c>
      <c r="O1627" t="s">
        <v>4903</v>
      </c>
      <c r="P1627">
        <v>0</v>
      </c>
      <c r="Q1627" t="s">
        <v>4903</v>
      </c>
      <c r="R1627" t="s">
        <v>319</v>
      </c>
    </row>
    <row r="1628" spans="1:18" hidden="1" x14ac:dyDescent="0.25">
      <c r="A1628" t="s">
        <v>828</v>
      </c>
      <c r="B1628" t="s">
        <v>829</v>
      </c>
      <c r="C1628" t="s">
        <v>39</v>
      </c>
      <c r="D1628" t="s">
        <v>204</v>
      </c>
      <c r="E1628" t="s">
        <v>205</v>
      </c>
      <c r="F1628" t="s">
        <v>206</v>
      </c>
      <c r="G1628" t="s">
        <v>830</v>
      </c>
      <c r="H1628" s="15">
        <v>150000</v>
      </c>
      <c r="I1628" s="15">
        <v>0</v>
      </c>
      <c r="J1628" t="s">
        <v>44</v>
      </c>
      <c r="K1628" t="s">
        <v>326</v>
      </c>
      <c r="L1628" s="2">
        <v>45323</v>
      </c>
      <c r="M1628" t="s">
        <v>831</v>
      </c>
      <c r="N1628">
        <v>0</v>
      </c>
      <c r="O1628" t="s">
        <v>4903</v>
      </c>
      <c r="P1628">
        <v>0</v>
      </c>
      <c r="Q1628" t="s">
        <v>4903</v>
      </c>
      <c r="R1628" t="s">
        <v>828</v>
      </c>
    </row>
    <row r="1629" spans="1:18" hidden="1" x14ac:dyDescent="0.25">
      <c r="A1629" t="s">
        <v>2218</v>
      </c>
      <c r="B1629" t="s">
        <v>2219</v>
      </c>
      <c r="C1629" t="s">
        <v>15</v>
      </c>
      <c r="D1629" t="s">
        <v>204</v>
      </c>
      <c r="E1629" t="s">
        <v>205</v>
      </c>
      <c r="F1629" t="s">
        <v>206</v>
      </c>
      <c r="G1629" t="s">
        <v>2220</v>
      </c>
      <c r="H1629" s="15">
        <v>146230</v>
      </c>
      <c r="I1629" s="15">
        <v>0</v>
      </c>
      <c r="J1629" t="s">
        <v>44</v>
      </c>
      <c r="K1629" t="s">
        <v>322</v>
      </c>
      <c r="L1629" s="2">
        <v>45323</v>
      </c>
      <c r="M1629" t="s">
        <v>2221</v>
      </c>
      <c r="N1629">
        <v>0</v>
      </c>
      <c r="O1629" t="s">
        <v>4903</v>
      </c>
      <c r="P1629">
        <v>0</v>
      </c>
      <c r="Q1629" t="s">
        <v>4903</v>
      </c>
      <c r="R1629" t="s">
        <v>2218</v>
      </c>
    </row>
    <row r="1630" spans="1:18" hidden="1" x14ac:dyDescent="0.25">
      <c r="A1630" t="s">
        <v>3970</v>
      </c>
      <c r="B1630" t="s">
        <v>119</v>
      </c>
      <c r="C1630" t="s">
        <v>39</v>
      </c>
      <c r="D1630" t="s">
        <v>204</v>
      </c>
      <c r="E1630" t="s">
        <v>205</v>
      </c>
      <c r="F1630" t="s">
        <v>206</v>
      </c>
      <c r="G1630" t="s">
        <v>3971</v>
      </c>
      <c r="H1630" s="15">
        <v>150000</v>
      </c>
      <c r="I1630" s="15">
        <v>0</v>
      </c>
      <c r="J1630" t="s">
        <v>44</v>
      </c>
      <c r="K1630" t="s">
        <v>28</v>
      </c>
      <c r="L1630" s="2">
        <v>45323</v>
      </c>
      <c r="M1630" t="s">
        <v>3972</v>
      </c>
      <c r="N1630">
        <v>0</v>
      </c>
      <c r="O1630" t="s">
        <v>4903</v>
      </c>
      <c r="P1630">
        <v>0</v>
      </c>
      <c r="Q1630" t="s">
        <v>4903</v>
      </c>
      <c r="R1630" t="s">
        <v>3970</v>
      </c>
    </row>
    <row r="1631" spans="1:18" hidden="1" x14ac:dyDescent="0.25">
      <c r="A1631" t="s">
        <v>4123</v>
      </c>
      <c r="B1631" t="s">
        <v>2219</v>
      </c>
      <c r="C1631" t="s">
        <v>15</v>
      </c>
      <c r="D1631" t="s">
        <v>204</v>
      </c>
      <c r="E1631" t="s">
        <v>205</v>
      </c>
      <c r="F1631" t="s">
        <v>206</v>
      </c>
      <c r="G1631" t="s">
        <v>4124</v>
      </c>
      <c r="H1631" s="15">
        <v>130000</v>
      </c>
      <c r="I1631" s="15">
        <v>0</v>
      </c>
      <c r="J1631" t="s">
        <v>44</v>
      </c>
      <c r="K1631" t="s">
        <v>116</v>
      </c>
      <c r="L1631" s="2">
        <v>45323</v>
      </c>
      <c r="M1631" t="s">
        <v>4125</v>
      </c>
      <c r="N1631">
        <v>0</v>
      </c>
      <c r="O1631" t="s">
        <v>4903</v>
      </c>
      <c r="P1631">
        <v>0</v>
      </c>
      <c r="Q1631" t="s">
        <v>4903</v>
      </c>
      <c r="R1631" t="s">
        <v>4123</v>
      </c>
    </row>
    <row r="1632" spans="1:18" hidden="1" x14ac:dyDescent="0.25">
      <c r="A1632" t="s">
        <v>3725</v>
      </c>
      <c r="B1632" t="s">
        <v>478</v>
      </c>
      <c r="C1632" t="s">
        <v>15</v>
      </c>
      <c r="D1632" t="s">
        <v>204</v>
      </c>
      <c r="E1632" t="s">
        <v>205</v>
      </c>
      <c r="F1632" t="s">
        <v>206</v>
      </c>
      <c r="G1632" t="s">
        <v>3726</v>
      </c>
      <c r="H1632" s="15">
        <v>123234</v>
      </c>
      <c r="I1632" s="15">
        <v>0</v>
      </c>
      <c r="J1632" t="s">
        <v>44</v>
      </c>
      <c r="K1632" t="s">
        <v>21</v>
      </c>
      <c r="L1632" s="2">
        <v>45323</v>
      </c>
      <c r="M1632" t="s">
        <v>3727</v>
      </c>
      <c r="N1632">
        <v>0</v>
      </c>
      <c r="O1632" t="s">
        <v>4903</v>
      </c>
      <c r="P1632">
        <v>0</v>
      </c>
      <c r="Q1632" t="s">
        <v>4903</v>
      </c>
      <c r="R1632" t="s">
        <v>3725</v>
      </c>
    </row>
    <row r="1633" spans="1:18" hidden="1" x14ac:dyDescent="0.25">
      <c r="A1633" t="s">
        <v>4694</v>
      </c>
      <c r="B1633" t="s">
        <v>4695</v>
      </c>
      <c r="C1633" t="s">
        <v>39</v>
      </c>
      <c r="D1633" t="s">
        <v>204</v>
      </c>
      <c r="E1633" t="s">
        <v>205</v>
      </c>
      <c r="F1633" t="s">
        <v>206</v>
      </c>
      <c r="G1633" t="s">
        <v>4696</v>
      </c>
      <c r="H1633" s="15">
        <v>108000</v>
      </c>
      <c r="I1633" s="15">
        <v>0</v>
      </c>
      <c r="J1633" t="s">
        <v>44</v>
      </c>
      <c r="K1633" t="s">
        <v>322</v>
      </c>
      <c r="L1633" s="2">
        <v>45323</v>
      </c>
      <c r="M1633" t="s">
        <v>4697</v>
      </c>
      <c r="N1633">
        <v>0</v>
      </c>
      <c r="O1633" t="s">
        <v>4903</v>
      </c>
      <c r="P1633">
        <v>0</v>
      </c>
      <c r="Q1633" t="s">
        <v>4903</v>
      </c>
      <c r="R1633" t="s">
        <v>4694</v>
      </c>
    </row>
    <row r="1634" spans="1:18" hidden="1" x14ac:dyDescent="0.25">
      <c r="A1634" t="s">
        <v>3524</v>
      </c>
      <c r="B1634" t="s">
        <v>47</v>
      </c>
      <c r="C1634" t="s">
        <v>48</v>
      </c>
      <c r="D1634" t="s">
        <v>204</v>
      </c>
      <c r="E1634" t="s">
        <v>205</v>
      </c>
      <c r="F1634" t="s">
        <v>206</v>
      </c>
      <c r="G1634" t="s">
        <v>3525</v>
      </c>
      <c r="H1634" s="15">
        <v>111386</v>
      </c>
      <c r="I1634" s="15">
        <v>0</v>
      </c>
      <c r="J1634" t="s">
        <v>44</v>
      </c>
      <c r="K1634" t="s">
        <v>322</v>
      </c>
      <c r="L1634" s="2">
        <v>45323</v>
      </c>
      <c r="M1634" t="s">
        <v>3526</v>
      </c>
      <c r="N1634">
        <v>0</v>
      </c>
      <c r="O1634" t="s">
        <v>4903</v>
      </c>
      <c r="P1634">
        <v>0</v>
      </c>
      <c r="Q1634" t="s">
        <v>4903</v>
      </c>
      <c r="R1634" t="s">
        <v>3524</v>
      </c>
    </row>
    <row r="1635" spans="1:18" hidden="1" x14ac:dyDescent="0.25">
      <c r="A1635" t="s">
        <v>3622</v>
      </c>
      <c r="B1635" t="s">
        <v>614</v>
      </c>
      <c r="C1635" t="s">
        <v>39</v>
      </c>
      <c r="D1635" t="s">
        <v>204</v>
      </c>
      <c r="E1635" t="s">
        <v>205</v>
      </c>
      <c r="F1635" t="s">
        <v>206</v>
      </c>
      <c r="G1635" t="s">
        <v>3623</v>
      </c>
      <c r="H1635" s="15">
        <v>149971</v>
      </c>
      <c r="I1635" s="15">
        <v>0</v>
      </c>
      <c r="J1635" t="s">
        <v>44</v>
      </c>
      <c r="K1635" t="s">
        <v>322</v>
      </c>
      <c r="L1635" s="2">
        <v>45323</v>
      </c>
      <c r="M1635" t="s">
        <v>3624</v>
      </c>
      <c r="N1635">
        <v>0</v>
      </c>
      <c r="O1635" t="s">
        <v>4903</v>
      </c>
      <c r="P1635">
        <v>0</v>
      </c>
      <c r="Q1635" t="s">
        <v>4903</v>
      </c>
      <c r="R1635" t="s">
        <v>3622</v>
      </c>
    </row>
    <row r="1636" spans="1:18" hidden="1" x14ac:dyDescent="0.25">
      <c r="A1636" t="s">
        <v>2210</v>
      </c>
      <c r="B1636" t="s">
        <v>31</v>
      </c>
      <c r="C1636" t="s">
        <v>15</v>
      </c>
      <c r="D1636" t="s">
        <v>204</v>
      </c>
      <c r="E1636" t="s">
        <v>205</v>
      </c>
      <c r="F1636" t="s">
        <v>206</v>
      </c>
      <c r="G1636" t="s">
        <v>2211</v>
      </c>
      <c r="H1636" s="15">
        <v>149115</v>
      </c>
      <c r="I1636" s="15">
        <v>0</v>
      </c>
      <c r="J1636" t="s">
        <v>44</v>
      </c>
      <c r="K1636" t="s">
        <v>322</v>
      </c>
      <c r="L1636" s="2">
        <v>45323</v>
      </c>
      <c r="M1636" t="s">
        <v>2212</v>
      </c>
      <c r="N1636">
        <v>0</v>
      </c>
      <c r="O1636" t="s">
        <v>4903</v>
      </c>
      <c r="P1636">
        <v>0</v>
      </c>
      <c r="Q1636" t="s">
        <v>4903</v>
      </c>
      <c r="R1636" t="s">
        <v>2210</v>
      </c>
    </row>
    <row r="1637" spans="1:18" hidden="1" x14ac:dyDescent="0.25">
      <c r="A1637" t="s">
        <v>2012</v>
      </c>
      <c r="B1637" t="s">
        <v>923</v>
      </c>
      <c r="C1637" t="s">
        <v>15</v>
      </c>
      <c r="D1637" t="s">
        <v>204</v>
      </c>
      <c r="E1637" t="s">
        <v>205</v>
      </c>
      <c r="F1637" t="s">
        <v>206</v>
      </c>
      <c r="G1637" t="s">
        <v>2013</v>
      </c>
      <c r="H1637" s="15">
        <v>150000</v>
      </c>
      <c r="I1637" s="15">
        <v>0</v>
      </c>
      <c r="J1637" t="s">
        <v>44</v>
      </c>
      <c r="K1637" t="s">
        <v>322</v>
      </c>
      <c r="L1637" s="2">
        <v>45323</v>
      </c>
      <c r="M1637" t="s">
        <v>2014</v>
      </c>
      <c r="N1637">
        <v>0</v>
      </c>
      <c r="O1637" t="s">
        <v>4903</v>
      </c>
      <c r="P1637">
        <v>0</v>
      </c>
      <c r="Q1637" t="s">
        <v>4903</v>
      </c>
      <c r="R1637" t="s">
        <v>2012</v>
      </c>
    </row>
    <row r="1638" spans="1:18" hidden="1" x14ac:dyDescent="0.25">
      <c r="A1638" t="s">
        <v>2646</v>
      </c>
      <c r="B1638" t="s">
        <v>119</v>
      </c>
      <c r="C1638" t="s">
        <v>39</v>
      </c>
      <c r="D1638" t="s">
        <v>204</v>
      </c>
      <c r="E1638" t="s">
        <v>205</v>
      </c>
      <c r="F1638" t="s">
        <v>206</v>
      </c>
      <c r="G1638" t="s">
        <v>2647</v>
      </c>
      <c r="H1638" s="15">
        <v>150000</v>
      </c>
      <c r="I1638" s="15">
        <v>0</v>
      </c>
      <c r="J1638" t="s">
        <v>44</v>
      </c>
      <c r="K1638" t="s">
        <v>28</v>
      </c>
      <c r="L1638" s="2">
        <v>45323</v>
      </c>
      <c r="M1638" t="s">
        <v>2648</v>
      </c>
      <c r="N1638">
        <v>0</v>
      </c>
      <c r="O1638" t="s">
        <v>4903</v>
      </c>
      <c r="P1638">
        <v>0</v>
      </c>
      <c r="Q1638" t="s">
        <v>4903</v>
      </c>
      <c r="R1638" t="s">
        <v>2646</v>
      </c>
    </row>
    <row r="1639" spans="1:18" hidden="1" x14ac:dyDescent="0.25">
      <c r="A1639" t="s">
        <v>729</v>
      </c>
      <c r="B1639" t="s">
        <v>730</v>
      </c>
      <c r="C1639" t="s">
        <v>48</v>
      </c>
      <c r="D1639" t="s">
        <v>204</v>
      </c>
      <c r="E1639" t="s">
        <v>205</v>
      </c>
      <c r="F1639" t="s">
        <v>206</v>
      </c>
      <c r="G1639" t="s">
        <v>731</v>
      </c>
      <c r="H1639" s="15">
        <v>149720</v>
      </c>
      <c r="I1639" s="15">
        <v>0</v>
      </c>
      <c r="J1639" t="s">
        <v>44</v>
      </c>
      <c r="K1639" t="s">
        <v>322</v>
      </c>
      <c r="L1639" s="2">
        <v>45323</v>
      </c>
      <c r="M1639" t="s">
        <v>732</v>
      </c>
      <c r="N1639">
        <v>0</v>
      </c>
      <c r="O1639" t="s">
        <v>4903</v>
      </c>
      <c r="P1639">
        <v>0</v>
      </c>
      <c r="Q1639" t="s">
        <v>4903</v>
      </c>
      <c r="R1639" t="s">
        <v>729</v>
      </c>
    </row>
    <row r="1640" spans="1:18" hidden="1" x14ac:dyDescent="0.25">
      <c r="A1640" t="s">
        <v>3529</v>
      </c>
      <c r="B1640" t="s">
        <v>103</v>
      </c>
      <c r="C1640" t="s">
        <v>15</v>
      </c>
      <c r="D1640" t="s">
        <v>204</v>
      </c>
      <c r="E1640" t="s">
        <v>205</v>
      </c>
      <c r="F1640" t="s">
        <v>206</v>
      </c>
      <c r="G1640" t="s">
        <v>3530</v>
      </c>
      <c r="H1640" s="15">
        <v>100000</v>
      </c>
      <c r="I1640" s="15">
        <v>0</v>
      </c>
      <c r="J1640" t="s">
        <v>44</v>
      </c>
      <c r="K1640" t="s">
        <v>322</v>
      </c>
      <c r="L1640" s="2">
        <v>45323</v>
      </c>
      <c r="M1640" t="s">
        <v>3531</v>
      </c>
      <c r="N1640">
        <v>0</v>
      </c>
      <c r="O1640" t="s">
        <v>4903</v>
      </c>
      <c r="P1640">
        <v>0</v>
      </c>
      <c r="Q1640" t="s">
        <v>4903</v>
      </c>
      <c r="R1640" t="s">
        <v>3529</v>
      </c>
    </row>
    <row r="1641" spans="1:18" hidden="1" x14ac:dyDescent="0.25">
      <c r="A1641" t="s">
        <v>4677</v>
      </c>
      <c r="B1641" t="s">
        <v>190</v>
      </c>
      <c r="C1641" t="s">
        <v>15</v>
      </c>
      <c r="D1641" t="s">
        <v>204</v>
      </c>
      <c r="E1641" t="s">
        <v>205</v>
      </c>
      <c r="F1641" t="s">
        <v>206</v>
      </c>
      <c r="G1641" t="s">
        <v>4678</v>
      </c>
      <c r="H1641" s="15">
        <v>150000</v>
      </c>
      <c r="I1641" s="15">
        <v>0</v>
      </c>
      <c r="J1641" t="s">
        <v>44</v>
      </c>
      <c r="K1641" t="s">
        <v>74</v>
      </c>
      <c r="L1641" s="2">
        <v>45323</v>
      </c>
      <c r="M1641" t="s">
        <v>4679</v>
      </c>
      <c r="N1641">
        <v>0</v>
      </c>
      <c r="O1641" t="s">
        <v>4903</v>
      </c>
      <c r="P1641">
        <v>0</v>
      </c>
      <c r="Q1641" t="s">
        <v>4903</v>
      </c>
      <c r="R1641" t="s">
        <v>4677</v>
      </c>
    </row>
    <row r="1642" spans="1:18" hidden="1" x14ac:dyDescent="0.25">
      <c r="A1642" t="s">
        <v>613</v>
      </c>
      <c r="B1642" t="s">
        <v>614</v>
      </c>
      <c r="C1642" t="s">
        <v>39</v>
      </c>
      <c r="D1642" t="s">
        <v>204</v>
      </c>
      <c r="E1642" t="s">
        <v>205</v>
      </c>
      <c r="F1642" t="s">
        <v>206</v>
      </c>
      <c r="G1642" t="s">
        <v>615</v>
      </c>
      <c r="H1642" s="15">
        <v>150000</v>
      </c>
      <c r="I1642" s="15">
        <v>0</v>
      </c>
      <c r="J1642" t="s">
        <v>44</v>
      </c>
      <c r="K1642" t="s">
        <v>28</v>
      </c>
      <c r="L1642" s="2">
        <v>45323</v>
      </c>
      <c r="M1642" t="s">
        <v>616</v>
      </c>
      <c r="N1642">
        <v>0</v>
      </c>
      <c r="O1642" t="s">
        <v>4903</v>
      </c>
      <c r="P1642">
        <v>0</v>
      </c>
      <c r="Q1642" t="s">
        <v>4903</v>
      </c>
      <c r="R1642" t="s">
        <v>613</v>
      </c>
    </row>
    <row r="1643" spans="1:18" hidden="1" x14ac:dyDescent="0.25">
      <c r="A1643" t="s">
        <v>1460</v>
      </c>
      <c r="B1643" t="s">
        <v>725</v>
      </c>
      <c r="C1643" t="s">
        <v>726</v>
      </c>
      <c r="D1643" t="s">
        <v>204</v>
      </c>
      <c r="E1643" t="s">
        <v>205</v>
      </c>
      <c r="F1643" t="s">
        <v>206</v>
      </c>
      <c r="G1643" t="s">
        <v>4668</v>
      </c>
      <c r="H1643" s="15">
        <v>150000</v>
      </c>
      <c r="I1643" s="15">
        <v>0</v>
      </c>
      <c r="J1643" t="s">
        <v>44</v>
      </c>
      <c r="K1643" t="s">
        <v>28</v>
      </c>
      <c r="L1643" s="2">
        <v>45323</v>
      </c>
      <c r="M1643" t="s">
        <v>4669</v>
      </c>
      <c r="N1643">
        <v>0</v>
      </c>
      <c r="O1643" t="s">
        <v>4903</v>
      </c>
      <c r="P1643">
        <v>0</v>
      </c>
      <c r="Q1643" t="s">
        <v>4903</v>
      </c>
      <c r="R1643" t="s">
        <v>1460</v>
      </c>
    </row>
    <row r="1644" spans="1:18" hidden="1" x14ac:dyDescent="0.25">
      <c r="A1644" t="s">
        <v>4207</v>
      </c>
      <c r="B1644" t="s">
        <v>84</v>
      </c>
      <c r="C1644" t="s">
        <v>15</v>
      </c>
      <c r="D1644" t="s">
        <v>16</v>
      </c>
      <c r="E1644" t="s">
        <v>17</v>
      </c>
      <c r="F1644" t="s">
        <v>26</v>
      </c>
      <c r="G1644" t="s">
        <v>4208</v>
      </c>
      <c r="H1644" s="15">
        <v>902700</v>
      </c>
      <c r="I1644" s="15">
        <v>0</v>
      </c>
      <c r="J1644" t="s">
        <v>20</v>
      </c>
      <c r="K1644" t="s">
        <v>28</v>
      </c>
      <c r="L1644" s="2">
        <v>45352</v>
      </c>
      <c r="M1644" t="s">
        <v>4209</v>
      </c>
      <c r="N1644">
        <v>0</v>
      </c>
      <c r="O1644" t="s">
        <v>4903</v>
      </c>
      <c r="P1644">
        <v>0</v>
      </c>
      <c r="Q1644" t="s">
        <v>4903</v>
      </c>
      <c r="R1644" t="s">
        <v>4207</v>
      </c>
    </row>
    <row r="1645" spans="1:18" hidden="1" x14ac:dyDescent="0.25">
      <c r="A1645" t="s">
        <v>436</v>
      </c>
      <c r="B1645" t="s">
        <v>244</v>
      </c>
      <c r="C1645" t="s">
        <v>39</v>
      </c>
      <c r="D1645" t="s">
        <v>439</v>
      </c>
      <c r="E1645" t="s">
        <v>440</v>
      </c>
      <c r="F1645" t="s">
        <v>42</v>
      </c>
      <c r="G1645" t="s">
        <v>437</v>
      </c>
      <c r="H1645" s="15">
        <v>100000</v>
      </c>
      <c r="I1645" s="15">
        <v>0</v>
      </c>
      <c r="J1645" t="s">
        <v>44</v>
      </c>
      <c r="K1645" t="s">
        <v>28</v>
      </c>
      <c r="L1645" s="2">
        <v>45352</v>
      </c>
      <c r="M1645" t="s">
        <v>438</v>
      </c>
      <c r="N1645">
        <v>0</v>
      </c>
      <c r="O1645" t="s">
        <v>4903</v>
      </c>
      <c r="P1645">
        <v>0</v>
      </c>
      <c r="Q1645" t="s">
        <v>4903</v>
      </c>
      <c r="R1645" t="s">
        <v>436</v>
      </c>
    </row>
    <row r="1646" spans="1:18" hidden="1" x14ac:dyDescent="0.25">
      <c r="A1646" t="s">
        <v>436</v>
      </c>
      <c r="B1646" t="s">
        <v>244</v>
      </c>
      <c r="C1646" t="s">
        <v>39</v>
      </c>
      <c r="D1646" t="s">
        <v>16</v>
      </c>
      <c r="E1646" t="s">
        <v>195</v>
      </c>
      <c r="F1646" t="s">
        <v>26</v>
      </c>
      <c r="G1646" t="s">
        <v>437</v>
      </c>
      <c r="H1646" s="15">
        <v>1510875</v>
      </c>
      <c r="I1646" s="15">
        <v>0</v>
      </c>
      <c r="J1646" t="s">
        <v>154</v>
      </c>
      <c r="K1646" t="s">
        <v>28</v>
      </c>
      <c r="L1646" s="2">
        <v>45352</v>
      </c>
      <c r="M1646" t="s">
        <v>438</v>
      </c>
      <c r="N1646">
        <v>0</v>
      </c>
      <c r="O1646" t="s">
        <v>4903</v>
      </c>
      <c r="P1646">
        <v>0</v>
      </c>
      <c r="Q1646" t="s">
        <v>4903</v>
      </c>
      <c r="R1646" t="s">
        <v>436</v>
      </c>
    </row>
    <row r="1647" spans="1:18" hidden="1" x14ac:dyDescent="0.25">
      <c r="A1647" t="s">
        <v>3686</v>
      </c>
      <c r="B1647" t="s">
        <v>24</v>
      </c>
      <c r="C1647" t="s">
        <v>15</v>
      </c>
      <c r="D1647" t="s">
        <v>394</v>
      </c>
      <c r="E1647" t="s">
        <v>395</v>
      </c>
      <c r="F1647" t="s">
        <v>34</v>
      </c>
      <c r="G1647" t="s">
        <v>3687</v>
      </c>
      <c r="H1647" s="15">
        <v>100000</v>
      </c>
      <c r="I1647" s="15">
        <v>0</v>
      </c>
      <c r="J1647" t="s">
        <v>44</v>
      </c>
      <c r="K1647" t="s">
        <v>28</v>
      </c>
      <c r="L1647" s="2">
        <v>45352</v>
      </c>
      <c r="M1647" t="s">
        <v>3688</v>
      </c>
      <c r="N1647">
        <v>0</v>
      </c>
      <c r="O1647" t="s">
        <v>4903</v>
      </c>
      <c r="P1647">
        <v>0</v>
      </c>
      <c r="Q1647" t="s">
        <v>4903</v>
      </c>
      <c r="R1647" t="s">
        <v>3686</v>
      </c>
    </row>
    <row r="1648" spans="1:18" hidden="1" x14ac:dyDescent="0.25">
      <c r="A1648" t="s">
        <v>4223</v>
      </c>
      <c r="B1648" t="s">
        <v>333</v>
      </c>
      <c r="C1648" t="s">
        <v>334</v>
      </c>
      <c r="D1648" t="s">
        <v>439</v>
      </c>
      <c r="E1648" t="s">
        <v>440</v>
      </c>
      <c r="F1648" t="s">
        <v>26</v>
      </c>
      <c r="G1648" t="s">
        <v>4224</v>
      </c>
      <c r="H1648" s="15">
        <v>100000</v>
      </c>
      <c r="I1648" s="15">
        <v>0</v>
      </c>
      <c r="J1648" t="s">
        <v>44</v>
      </c>
      <c r="K1648" t="s">
        <v>28</v>
      </c>
      <c r="L1648" s="2">
        <v>45352</v>
      </c>
      <c r="M1648" t="s">
        <v>4225</v>
      </c>
      <c r="N1648">
        <v>0</v>
      </c>
      <c r="O1648" t="s">
        <v>4903</v>
      </c>
      <c r="P1648">
        <v>0</v>
      </c>
      <c r="Q1648" t="s">
        <v>4903</v>
      </c>
      <c r="R1648" t="s">
        <v>4223</v>
      </c>
    </row>
    <row r="1649" spans="1:18" hidden="1" x14ac:dyDescent="0.25">
      <c r="A1649" t="s">
        <v>617</v>
      </c>
      <c r="B1649" t="s">
        <v>426</v>
      </c>
      <c r="C1649" t="s">
        <v>48</v>
      </c>
      <c r="D1649" t="s">
        <v>138</v>
      </c>
      <c r="E1649" t="s">
        <v>4116</v>
      </c>
      <c r="F1649" t="s">
        <v>26</v>
      </c>
      <c r="G1649" t="s">
        <v>4114</v>
      </c>
      <c r="H1649" s="15">
        <v>100000</v>
      </c>
      <c r="I1649" s="15">
        <v>0</v>
      </c>
      <c r="J1649" t="s">
        <v>44</v>
      </c>
      <c r="K1649" t="s">
        <v>28</v>
      </c>
      <c r="L1649" s="2">
        <v>45352</v>
      </c>
      <c r="M1649" t="s">
        <v>4115</v>
      </c>
      <c r="N1649">
        <v>0</v>
      </c>
      <c r="O1649" t="s">
        <v>4903</v>
      </c>
      <c r="P1649">
        <v>0</v>
      </c>
      <c r="Q1649" t="s">
        <v>4903</v>
      </c>
      <c r="R1649" t="s">
        <v>617</v>
      </c>
    </row>
    <row r="1650" spans="1:18" hidden="1" x14ac:dyDescent="0.25">
      <c r="A1650" t="s">
        <v>617</v>
      </c>
      <c r="B1650" t="s">
        <v>426</v>
      </c>
      <c r="C1650" t="s">
        <v>48</v>
      </c>
      <c r="D1650" t="s">
        <v>16</v>
      </c>
      <c r="E1650" t="s">
        <v>195</v>
      </c>
      <c r="F1650" t="s">
        <v>140</v>
      </c>
      <c r="G1650" t="s">
        <v>4114</v>
      </c>
      <c r="H1650" s="15">
        <v>994500</v>
      </c>
      <c r="I1650" s="15">
        <v>0</v>
      </c>
      <c r="J1650" t="s">
        <v>20</v>
      </c>
      <c r="K1650" t="s">
        <v>28</v>
      </c>
      <c r="L1650" s="2">
        <v>45352</v>
      </c>
      <c r="M1650" t="s">
        <v>4115</v>
      </c>
      <c r="N1650">
        <v>0</v>
      </c>
      <c r="O1650" t="s">
        <v>4903</v>
      </c>
      <c r="P1650">
        <v>0</v>
      </c>
      <c r="Q1650" t="s">
        <v>4903</v>
      </c>
      <c r="R1650" t="s">
        <v>617</v>
      </c>
    </row>
    <row r="1651" spans="1:18" hidden="1" x14ac:dyDescent="0.25">
      <c r="A1651" t="s">
        <v>3901</v>
      </c>
      <c r="B1651" t="s">
        <v>406</v>
      </c>
      <c r="C1651" t="s">
        <v>62</v>
      </c>
      <c r="D1651" t="s">
        <v>439</v>
      </c>
      <c r="E1651" t="s">
        <v>440</v>
      </c>
      <c r="F1651" t="s">
        <v>26</v>
      </c>
      <c r="G1651" t="s">
        <v>3902</v>
      </c>
      <c r="H1651" s="15">
        <v>100000</v>
      </c>
      <c r="I1651" s="15">
        <v>0</v>
      </c>
      <c r="J1651" t="s">
        <v>44</v>
      </c>
      <c r="K1651" t="s">
        <v>28</v>
      </c>
      <c r="L1651" s="2">
        <v>45352</v>
      </c>
      <c r="M1651" t="s">
        <v>3903</v>
      </c>
      <c r="N1651">
        <v>0</v>
      </c>
      <c r="O1651" t="s">
        <v>4903</v>
      </c>
      <c r="P1651">
        <v>0</v>
      </c>
      <c r="Q1651" t="s">
        <v>4903</v>
      </c>
      <c r="R1651" t="s">
        <v>3901</v>
      </c>
    </row>
    <row r="1652" spans="1:18" hidden="1" x14ac:dyDescent="0.25">
      <c r="A1652" t="s">
        <v>1867</v>
      </c>
      <c r="B1652" t="s">
        <v>489</v>
      </c>
      <c r="C1652" t="s">
        <v>39</v>
      </c>
      <c r="D1652" t="s">
        <v>210</v>
      </c>
      <c r="E1652" t="s">
        <v>2228</v>
      </c>
      <c r="F1652" t="s">
        <v>26</v>
      </c>
      <c r="G1652" t="s">
        <v>2229</v>
      </c>
      <c r="H1652" s="15">
        <v>100000</v>
      </c>
      <c r="I1652" s="15">
        <v>0</v>
      </c>
      <c r="J1652" t="s">
        <v>44</v>
      </c>
      <c r="K1652" t="s">
        <v>28</v>
      </c>
      <c r="L1652" s="2">
        <v>45352</v>
      </c>
      <c r="M1652" t="s">
        <v>2230</v>
      </c>
      <c r="N1652">
        <v>0</v>
      </c>
      <c r="O1652" t="s">
        <v>4903</v>
      </c>
      <c r="P1652">
        <v>0</v>
      </c>
      <c r="Q1652" t="s">
        <v>4903</v>
      </c>
      <c r="R1652" t="s">
        <v>1867</v>
      </c>
    </row>
    <row r="1653" spans="1:18" hidden="1" x14ac:dyDescent="0.25">
      <c r="A1653" t="s">
        <v>2555</v>
      </c>
      <c r="B1653" t="s">
        <v>923</v>
      </c>
      <c r="C1653" t="s">
        <v>15</v>
      </c>
      <c r="D1653" t="s">
        <v>439</v>
      </c>
      <c r="E1653" t="s">
        <v>440</v>
      </c>
      <c r="F1653" t="s">
        <v>26</v>
      </c>
      <c r="G1653" t="s">
        <v>4411</v>
      </c>
      <c r="H1653" s="15">
        <v>100000</v>
      </c>
      <c r="I1653" s="15">
        <v>0</v>
      </c>
      <c r="J1653" t="s">
        <v>44</v>
      </c>
      <c r="K1653" t="s">
        <v>28</v>
      </c>
      <c r="L1653" s="2">
        <v>45352</v>
      </c>
      <c r="M1653" t="s">
        <v>4412</v>
      </c>
      <c r="N1653">
        <v>0</v>
      </c>
      <c r="O1653" t="s">
        <v>4903</v>
      </c>
      <c r="P1653">
        <v>0</v>
      </c>
      <c r="Q1653" t="s">
        <v>4903</v>
      </c>
      <c r="R1653" t="s">
        <v>2555</v>
      </c>
    </row>
    <row r="1654" spans="1:18" hidden="1" x14ac:dyDescent="0.25">
      <c r="A1654" t="s">
        <v>2234</v>
      </c>
      <c r="B1654" t="s">
        <v>520</v>
      </c>
      <c r="C1654" t="s">
        <v>521</v>
      </c>
      <c r="D1654" t="s">
        <v>16</v>
      </c>
      <c r="E1654" t="s">
        <v>17</v>
      </c>
      <c r="F1654" t="s">
        <v>26</v>
      </c>
      <c r="G1654" t="s">
        <v>2235</v>
      </c>
      <c r="H1654" s="15">
        <v>983025</v>
      </c>
      <c r="I1654" s="15">
        <v>0</v>
      </c>
      <c r="J1654" t="s">
        <v>20</v>
      </c>
      <c r="K1654" t="s">
        <v>28</v>
      </c>
      <c r="L1654" s="2">
        <v>45352</v>
      </c>
      <c r="M1654" t="s">
        <v>2236</v>
      </c>
      <c r="N1654">
        <v>0</v>
      </c>
      <c r="O1654" t="s">
        <v>4903</v>
      </c>
      <c r="P1654">
        <v>0</v>
      </c>
      <c r="Q1654" t="s">
        <v>4903</v>
      </c>
      <c r="R1654" t="s">
        <v>2234</v>
      </c>
    </row>
    <row r="1655" spans="1:18" hidden="1" x14ac:dyDescent="0.25">
      <c r="A1655" t="s">
        <v>3773</v>
      </c>
      <c r="B1655" t="s">
        <v>3170</v>
      </c>
      <c r="C1655" t="s">
        <v>15</v>
      </c>
      <c r="D1655" t="s">
        <v>439</v>
      </c>
      <c r="E1655" t="s">
        <v>440</v>
      </c>
      <c r="F1655" t="s">
        <v>152</v>
      </c>
      <c r="G1655" t="s">
        <v>3774</v>
      </c>
      <c r="H1655" s="15">
        <v>100000</v>
      </c>
      <c r="I1655" s="15">
        <v>0</v>
      </c>
      <c r="J1655" t="s">
        <v>44</v>
      </c>
      <c r="K1655" t="s">
        <v>28</v>
      </c>
      <c r="L1655" s="2">
        <v>45352</v>
      </c>
      <c r="M1655" t="s">
        <v>3775</v>
      </c>
      <c r="N1655">
        <v>0</v>
      </c>
      <c r="O1655" t="s">
        <v>4903</v>
      </c>
      <c r="P1655">
        <v>0</v>
      </c>
      <c r="Q1655" t="s">
        <v>4903</v>
      </c>
      <c r="R1655" t="s">
        <v>3773</v>
      </c>
    </row>
    <row r="1656" spans="1:18" hidden="1" x14ac:dyDescent="0.25">
      <c r="A1656" t="s">
        <v>2030</v>
      </c>
      <c r="B1656" t="s">
        <v>47</v>
      </c>
      <c r="C1656" t="s">
        <v>48</v>
      </c>
      <c r="D1656" t="s">
        <v>394</v>
      </c>
      <c r="E1656" t="s">
        <v>395</v>
      </c>
      <c r="F1656" t="s">
        <v>42</v>
      </c>
      <c r="G1656" t="s">
        <v>2031</v>
      </c>
      <c r="H1656" s="15">
        <v>100000</v>
      </c>
      <c r="I1656" s="15">
        <v>0</v>
      </c>
      <c r="J1656" t="s">
        <v>44</v>
      </c>
      <c r="K1656" t="s">
        <v>28</v>
      </c>
      <c r="L1656" s="2">
        <v>45352</v>
      </c>
      <c r="M1656" t="s">
        <v>2032</v>
      </c>
      <c r="N1656">
        <v>0</v>
      </c>
      <c r="O1656" t="s">
        <v>4903</v>
      </c>
      <c r="P1656">
        <v>0</v>
      </c>
      <c r="Q1656" t="s">
        <v>4903</v>
      </c>
      <c r="R1656" t="s">
        <v>2030</v>
      </c>
    </row>
    <row r="1657" spans="1:18" hidden="1" x14ac:dyDescent="0.25">
      <c r="A1657" t="s">
        <v>2030</v>
      </c>
      <c r="B1657" t="s">
        <v>47</v>
      </c>
      <c r="C1657" t="s">
        <v>48</v>
      </c>
      <c r="D1657" t="s">
        <v>16</v>
      </c>
      <c r="E1657" t="s">
        <v>195</v>
      </c>
      <c r="F1657" t="s">
        <v>152</v>
      </c>
      <c r="G1657" t="s">
        <v>2031</v>
      </c>
      <c r="H1657" s="15">
        <v>918000</v>
      </c>
      <c r="I1657" s="15">
        <v>0</v>
      </c>
      <c r="J1657" t="s">
        <v>20</v>
      </c>
      <c r="K1657" t="s">
        <v>28</v>
      </c>
      <c r="L1657" s="2">
        <v>45352</v>
      </c>
      <c r="M1657" t="s">
        <v>2032</v>
      </c>
      <c r="N1657">
        <v>0</v>
      </c>
      <c r="O1657" t="s">
        <v>4903</v>
      </c>
      <c r="P1657">
        <v>0</v>
      </c>
      <c r="Q1657" t="s">
        <v>4903</v>
      </c>
      <c r="R1657" t="s">
        <v>2030</v>
      </c>
    </row>
    <row r="1658" spans="1:18" hidden="1" x14ac:dyDescent="0.25">
      <c r="A1658" t="s">
        <v>942</v>
      </c>
      <c r="B1658" t="s">
        <v>103</v>
      </c>
      <c r="C1658" t="s">
        <v>15</v>
      </c>
      <c r="D1658" t="s">
        <v>394</v>
      </c>
      <c r="E1658" t="s">
        <v>395</v>
      </c>
      <c r="F1658" t="s">
        <v>140</v>
      </c>
      <c r="G1658" t="s">
        <v>4121</v>
      </c>
      <c r="H1658" s="15">
        <v>100000</v>
      </c>
      <c r="I1658" s="15">
        <v>0</v>
      </c>
      <c r="J1658" t="s">
        <v>44</v>
      </c>
      <c r="K1658" t="s">
        <v>28</v>
      </c>
      <c r="L1658" s="2">
        <v>45352</v>
      </c>
      <c r="M1658" t="s">
        <v>4122</v>
      </c>
      <c r="N1658">
        <v>0</v>
      </c>
      <c r="O1658" t="s">
        <v>4903</v>
      </c>
      <c r="P1658">
        <v>0</v>
      </c>
      <c r="Q1658" t="s">
        <v>4903</v>
      </c>
      <c r="R1658" t="s">
        <v>942</v>
      </c>
    </row>
    <row r="1659" spans="1:18" hidden="1" x14ac:dyDescent="0.25">
      <c r="A1659" t="s">
        <v>874</v>
      </c>
      <c r="B1659" t="s">
        <v>47</v>
      </c>
      <c r="C1659" t="s">
        <v>48</v>
      </c>
      <c r="D1659" t="s">
        <v>439</v>
      </c>
      <c r="E1659" t="s">
        <v>440</v>
      </c>
      <c r="F1659" t="s">
        <v>26</v>
      </c>
      <c r="G1659" t="s">
        <v>879</v>
      </c>
      <c r="H1659" s="15">
        <v>100000</v>
      </c>
      <c r="I1659" s="15">
        <v>0</v>
      </c>
      <c r="J1659" t="s">
        <v>44</v>
      </c>
      <c r="K1659" t="s">
        <v>28</v>
      </c>
      <c r="L1659" s="2">
        <v>45352</v>
      </c>
      <c r="M1659" t="s">
        <v>876</v>
      </c>
      <c r="N1659">
        <v>0</v>
      </c>
      <c r="O1659" t="s">
        <v>4903</v>
      </c>
      <c r="P1659">
        <v>0</v>
      </c>
      <c r="Q1659" t="s">
        <v>4903</v>
      </c>
      <c r="R1659" t="s">
        <v>874</v>
      </c>
    </row>
    <row r="1660" spans="1:18" hidden="1" x14ac:dyDescent="0.25">
      <c r="A1660" t="s">
        <v>874</v>
      </c>
      <c r="B1660" t="s">
        <v>47</v>
      </c>
      <c r="C1660" t="s">
        <v>48</v>
      </c>
      <c r="D1660" t="s">
        <v>16</v>
      </c>
      <c r="E1660" t="s">
        <v>195</v>
      </c>
      <c r="F1660" t="s">
        <v>26</v>
      </c>
      <c r="G1660" t="s">
        <v>879</v>
      </c>
      <c r="H1660" s="15">
        <v>979200</v>
      </c>
      <c r="I1660" s="15">
        <v>0</v>
      </c>
      <c r="J1660" t="s">
        <v>20</v>
      </c>
      <c r="K1660" t="s">
        <v>28</v>
      </c>
      <c r="L1660" s="2">
        <v>45352</v>
      </c>
      <c r="M1660" t="s">
        <v>876</v>
      </c>
      <c r="N1660">
        <v>0</v>
      </c>
      <c r="O1660" t="s">
        <v>4903</v>
      </c>
      <c r="P1660">
        <v>0</v>
      </c>
      <c r="Q1660" t="s">
        <v>4903</v>
      </c>
      <c r="R1660" t="s">
        <v>874</v>
      </c>
    </row>
    <row r="1661" spans="1:18" hidden="1" x14ac:dyDescent="0.25">
      <c r="A1661" t="s">
        <v>393</v>
      </c>
      <c r="B1661" t="s">
        <v>47</v>
      </c>
      <c r="C1661" t="s">
        <v>48</v>
      </c>
      <c r="D1661" t="s">
        <v>394</v>
      </c>
      <c r="E1661" t="s">
        <v>395</v>
      </c>
      <c r="F1661" t="s">
        <v>34</v>
      </c>
      <c r="G1661" t="s">
        <v>396</v>
      </c>
      <c r="H1661" s="15">
        <v>100000</v>
      </c>
      <c r="I1661" s="15">
        <v>0</v>
      </c>
      <c r="J1661" t="s">
        <v>44</v>
      </c>
      <c r="K1661" t="s">
        <v>28</v>
      </c>
      <c r="L1661" s="2">
        <v>45352</v>
      </c>
      <c r="M1661" t="s">
        <v>397</v>
      </c>
      <c r="N1661">
        <v>0</v>
      </c>
      <c r="O1661" t="s">
        <v>4903</v>
      </c>
      <c r="P1661">
        <v>0</v>
      </c>
      <c r="Q1661" t="s">
        <v>4903</v>
      </c>
      <c r="R1661" t="s">
        <v>393</v>
      </c>
    </row>
    <row r="1662" spans="1:18" hidden="1" x14ac:dyDescent="0.25">
      <c r="A1662" t="s">
        <v>702</v>
      </c>
      <c r="B1662" t="s">
        <v>1900</v>
      </c>
      <c r="C1662" t="s">
        <v>15</v>
      </c>
      <c r="D1662" t="s">
        <v>16</v>
      </c>
      <c r="E1662" t="s">
        <v>17</v>
      </c>
      <c r="F1662" t="s">
        <v>18</v>
      </c>
      <c r="G1662" t="s">
        <v>1901</v>
      </c>
      <c r="H1662" s="15">
        <v>470475</v>
      </c>
      <c r="I1662" s="15">
        <v>0</v>
      </c>
      <c r="J1662" t="s">
        <v>89</v>
      </c>
      <c r="K1662" t="s">
        <v>65</v>
      </c>
      <c r="L1662" s="2">
        <v>45383</v>
      </c>
      <c r="M1662" t="s">
        <v>1902</v>
      </c>
      <c r="N1662">
        <v>0</v>
      </c>
      <c r="O1662" t="s">
        <v>4903</v>
      </c>
      <c r="P1662">
        <v>0</v>
      </c>
      <c r="Q1662" t="s">
        <v>4903</v>
      </c>
      <c r="R1662" t="s">
        <v>702</v>
      </c>
    </row>
    <row r="1663" spans="1:18" hidden="1" x14ac:dyDescent="0.25">
      <c r="A1663" t="s">
        <v>1132</v>
      </c>
      <c r="B1663" t="s">
        <v>471</v>
      </c>
      <c r="C1663" t="s">
        <v>15</v>
      </c>
      <c r="D1663" t="s">
        <v>16</v>
      </c>
      <c r="E1663" t="s">
        <v>17</v>
      </c>
      <c r="F1663" t="s">
        <v>42</v>
      </c>
      <c r="G1663" t="s">
        <v>1133</v>
      </c>
      <c r="H1663" s="15">
        <v>1086300</v>
      </c>
      <c r="I1663" s="15">
        <v>0</v>
      </c>
      <c r="J1663" t="s">
        <v>20</v>
      </c>
      <c r="K1663" t="s">
        <v>28</v>
      </c>
      <c r="L1663" s="2">
        <v>45383</v>
      </c>
      <c r="M1663" t="s">
        <v>1134</v>
      </c>
      <c r="N1663">
        <v>0</v>
      </c>
      <c r="O1663" t="s">
        <v>4903</v>
      </c>
      <c r="P1663">
        <v>0</v>
      </c>
      <c r="Q1663" t="s">
        <v>4903</v>
      </c>
      <c r="R1663" t="s">
        <v>1132</v>
      </c>
    </row>
    <row r="1664" spans="1:18" hidden="1" x14ac:dyDescent="0.25">
      <c r="A1664" t="s">
        <v>2462</v>
      </c>
      <c r="B1664" t="s">
        <v>113</v>
      </c>
      <c r="C1664" t="s">
        <v>15</v>
      </c>
      <c r="D1664" t="s">
        <v>16</v>
      </c>
      <c r="E1664" t="s">
        <v>17</v>
      </c>
      <c r="F1664" t="s">
        <v>34</v>
      </c>
      <c r="G1664" t="s">
        <v>3119</v>
      </c>
      <c r="H1664" s="15">
        <v>715275</v>
      </c>
      <c r="I1664" s="15">
        <v>0</v>
      </c>
      <c r="J1664" t="s">
        <v>20</v>
      </c>
      <c r="K1664" t="s">
        <v>100</v>
      </c>
      <c r="L1664" s="2">
        <v>45383</v>
      </c>
      <c r="M1664" t="s">
        <v>3120</v>
      </c>
      <c r="N1664">
        <v>0</v>
      </c>
      <c r="O1664" t="s">
        <v>4903</v>
      </c>
      <c r="P1664">
        <v>0</v>
      </c>
      <c r="Q1664" t="s">
        <v>4903</v>
      </c>
      <c r="R1664" t="s">
        <v>2462</v>
      </c>
    </row>
    <row r="1665" spans="1:18" hidden="1" x14ac:dyDescent="0.25">
      <c r="A1665" t="s">
        <v>2403</v>
      </c>
      <c r="B1665" t="s">
        <v>14</v>
      </c>
      <c r="C1665" t="s">
        <v>15</v>
      </c>
      <c r="D1665" t="s">
        <v>394</v>
      </c>
      <c r="E1665" t="s">
        <v>2406</v>
      </c>
      <c r="F1665" t="s">
        <v>140</v>
      </c>
      <c r="G1665" t="s">
        <v>2404</v>
      </c>
      <c r="H1665" s="15">
        <v>100000</v>
      </c>
      <c r="I1665" s="15">
        <v>0</v>
      </c>
      <c r="J1665" t="s">
        <v>44</v>
      </c>
      <c r="K1665" t="s">
        <v>28</v>
      </c>
      <c r="L1665" s="2">
        <v>45383</v>
      </c>
      <c r="M1665" t="s">
        <v>2405</v>
      </c>
      <c r="N1665">
        <v>0</v>
      </c>
      <c r="O1665" t="s">
        <v>4903</v>
      </c>
      <c r="P1665">
        <v>0</v>
      </c>
      <c r="Q1665" t="s">
        <v>4903</v>
      </c>
      <c r="R1665" t="s">
        <v>2403</v>
      </c>
    </row>
    <row r="1666" spans="1:18" hidden="1" x14ac:dyDescent="0.25">
      <c r="A1666" t="s">
        <v>2403</v>
      </c>
      <c r="B1666" t="s">
        <v>14</v>
      </c>
      <c r="C1666" t="s">
        <v>15</v>
      </c>
      <c r="D1666" t="s">
        <v>16</v>
      </c>
      <c r="E1666" t="s">
        <v>17</v>
      </c>
      <c r="F1666" t="s">
        <v>42</v>
      </c>
      <c r="G1666" t="s">
        <v>2404</v>
      </c>
      <c r="H1666" s="15">
        <v>409276</v>
      </c>
      <c r="I1666" s="15">
        <v>0</v>
      </c>
      <c r="J1666" t="s">
        <v>89</v>
      </c>
      <c r="K1666" t="s">
        <v>28</v>
      </c>
      <c r="L1666" s="2">
        <v>45383</v>
      </c>
      <c r="M1666" t="s">
        <v>2405</v>
      </c>
      <c r="N1666">
        <v>0</v>
      </c>
      <c r="O1666" t="s">
        <v>4903</v>
      </c>
      <c r="P1666">
        <v>0</v>
      </c>
      <c r="Q1666" t="s">
        <v>4903</v>
      </c>
      <c r="R1666" t="s">
        <v>2403</v>
      </c>
    </row>
    <row r="1667" spans="1:18" hidden="1" x14ac:dyDescent="0.25">
      <c r="A1667" t="s">
        <v>1861</v>
      </c>
      <c r="B1667" t="s">
        <v>1227</v>
      </c>
      <c r="C1667" t="s">
        <v>48</v>
      </c>
      <c r="D1667" t="s">
        <v>16</v>
      </c>
      <c r="E1667" t="s">
        <v>17</v>
      </c>
      <c r="F1667" t="s">
        <v>18</v>
      </c>
      <c r="G1667" t="s">
        <v>1862</v>
      </c>
      <c r="H1667" s="15">
        <v>612000</v>
      </c>
      <c r="I1667" s="15">
        <v>0</v>
      </c>
      <c r="J1667" t="s">
        <v>20</v>
      </c>
      <c r="K1667" t="s">
        <v>28</v>
      </c>
      <c r="L1667" s="2">
        <v>45383</v>
      </c>
      <c r="M1667" t="s">
        <v>1863</v>
      </c>
      <c r="N1667">
        <v>0</v>
      </c>
      <c r="O1667" t="s">
        <v>4903</v>
      </c>
      <c r="P1667">
        <v>0</v>
      </c>
      <c r="Q1667" t="s">
        <v>4903</v>
      </c>
      <c r="R1667" t="s">
        <v>1861</v>
      </c>
    </row>
    <row r="1668" spans="1:18" hidden="1" x14ac:dyDescent="0.25">
      <c r="A1668" t="s">
        <v>2643</v>
      </c>
      <c r="B1668" t="s">
        <v>84</v>
      </c>
      <c r="C1668" t="s">
        <v>15</v>
      </c>
      <c r="D1668" t="s">
        <v>16</v>
      </c>
      <c r="E1668" t="s">
        <v>17</v>
      </c>
      <c r="F1668" t="s">
        <v>59</v>
      </c>
      <c r="G1668" t="s">
        <v>2644</v>
      </c>
      <c r="H1668" s="15">
        <v>650250</v>
      </c>
      <c r="I1668" s="15">
        <v>0</v>
      </c>
      <c r="J1668" t="s">
        <v>20</v>
      </c>
      <c r="K1668" t="s">
        <v>28</v>
      </c>
      <c r="L1668" s="2">
        <v>45383</v>
      </c>
      <c r="M1668" t="s">
        <v>2645</v>
      </c>
      <c r="N1668">
        <v>0</v>
      </c>
      <c r="O1668" t="s">
        <v>4903</v>
      </c>
      <c r="P1668">
        <v>0</v>
      </c>
      <c r="Q1668" t="s">
        <v>4903</v>
      </c>
      <c r="R1668" t="s">
        <v>2643</v>
      </c>
    </row>
    <row r="1669" spans="1:18" hidden="1" x14ac:dyDescent="0.25">
      <c r="A1669" t="s">
        <v>2803</v>
      </c>
      <c r="B1669" t="s">
        <v>725</v>
      </c>
      <c r="C1669" t="s">
        <v>726</v>
      </c>
      <c r="D1669" t="s">
        <v>16</v>
      </c>
      <c r="E1669" t="s">
        <v>17</v>
      </c>
      <c r="F1669" t="s">
        <v>18</v>
      </c>
      <c r="G1669" t="s">
        <v>2804</v>
      </c>
      <c r="H1669" s="15">
        <v>918000</v>
      </c>
      <c r="I1669" s="15">
        <v>0</v>
      </c>
      <c r="J1669" t="s">
        <v>20</v>
      </c>
      <c r="K1669" t="s">
        <v>134</v>
      </c>
      <c r="L1669" s="2">
        <v>45383</v>
      </c>
      <c r="M1669" t="s">
        <v>2805</v>
      </c>
      <c r="N1669">
        <v>1</v>
      </c>
      <c r="O1669" t="s">
        <v>4903</v>
      </c>
      <c r="P1669">
        <v>0</v>
      </c>
      <c r="Q1669" t="s">
        <v>4903</v>
      </c>
      <c r="R1669" t="s">
        <v>2803</v>
      </c>
    </row>
    <row r="1670" spans="1:18" hidden="1" x14ac:dyDescent="0.25">
      <c r="A1670" t="s">
        <v>601</v>
      </c>
      <c r="B1670" t="s">
        <v>14</v>
      </c>
      <c r="C1670" t="s">
        <v>15</v>
      </c>
      <c r="D1670" t="s">
        <v>16</v>
      </c>
      <c r="E1670" t="s">
        <v>17</v>
      </c>
      <c r="F1670" t="s">
        <v>26</v>
      </c>
      <c r="G1670" t="s">
        <v>1092</v>
      </c>
      <c r="H1670" s="15">
        <v>761176</v>
      </c>
      <c r="I1670" s="15">
        <v>0</v>
      </c>
      <c r="J1670" t="s">
        <v>154</v>
      </c>
      <c r="K1670" t="s">
        <v>28</v>
      </c>
      <c r="L1670" s="2">
        <v>45383</v>
      </c>
      <c r="M1670" t="s">
        <v>1093</v>
      </c>
      <c r="N1670">
        <v>0</v>
      </c>
      <c r="O1670" t="s">
        <v>4903</v>
      </c>
      <c r="P1670">
        <v>0</v>
      </c>
      <c r="Q1670" t="s">
        <v>4903</v>
      </c>
      <c r="R1670" t="s">
        <v>601</v>
      </c>
    </row>
    <row r="1671" spans="1:18" hidden="1" x14ac:dyDescent="0.25">
      <c r="A1671" t="s">
        <v>2356</v>
      </c>
      <c r="B1671" t="s">
        <v>14</v>
      </c>
      <c r="C1671" t="s">
        <v>15</v>
      </c>
      <c r="D1671" t="s">
        <v>16</v>
      </c>
      <c r="E1671" t="s">
        <v>17</v>
      </c>
      <c r="F1671" t="s">
        <v>18</v>
      </c>
      <c r="G1671" t="s">
        <v>2357</v>
      </c>
      <c r="H1671" s="15">
        <v>623476</v>
      </c>
      <c r="I1671" s="15">
        <v>0</v>
      </c>
      <c r="J1671" t="s">
        <v>154</v>
      </c>
      <c r="K1671" t="s">
        <v>100</v>
      </c>
      <c r="L1671" s="2">
        <v>45383</v>
      </c>
      <c r="M1671" t="s">
        <v>2358</v>
      </c>
      <c r="N1671">
        <v>0</v>
      </c>
      <c r="O1671" t="s">
        <v>4903</v>
      </c>
      <c r="P1671">
        <v>0</v>
      </c>
      <c r="Q1671" t="s">
        <v>4903</v>
      </c>
      <c r="R1671" t="s">
        <v>2356</v>
      </c>
    </row>
    <row r="1672" spans="1:18" hidden="1" x14ac:dyDescent="0.25">
      <c r="A1672" t="s">
        <v>1827</v>
      </c>
      <c r="B1672" t="s">
        <v>84</v>
      </c>
      <c r="C1672" t="s">
        <v>15</v>
      </c>
      <c r="D1672" t="s">
        <v>16</v>
      </c>
      <c r="E1672" t="s">
        <v>17</v>
      </c>
      <c r="F1672" t="s">
        <v>18</v>
      </c>
      <c r="G1672" t="s">
        <v>1828</v>
      </c>
      <c r="H1672" s="15">
        <v>925650</v>
      </c>
      <c r="I1672" s="15">
        <v>0</v>
      </c>
      <c r="J1672" t="s">
        <v>20</v>
      </c>
      <c r="K1672" t="s">
        <v>65</v>
      </c>
      <c r="L1672" s="2">
        <v>45383</v>
      </c>
      <c r="M1672" t="s">
        <v>1829</v>
      </c>
      <c r="N1672">
        <v>0</v>
      </c>
      <c r="O1672" t="s">
        <v>4903</v>
      </c>
      <c r="P1672">
        <v>0</v>
      </c>
      <c r="Q1672" t="s">
        <v>4903</v>
      </c>
      <c r="R1672" t="s">
        <v>1827</v>
      </c>
    </row>
    <row r="1673" spans="1:18" hidden="1" x14ac:dyDescent="0.25">
      <c r="A1673" t="s">
        <v>125</v>
      </c>
      <c r="B1673" t="s">
        <v>126</v>
      </c>
      <c r="C1673" t="s">
        <v>39</v>
      </c>
      <c r="D1673" t="s">
        <v>16</v>
      </c>
      <c r="E1673" t="s">
        <v>17</v>
      </c>
      <c r="F1673" t="s">
        <v>18</v>
      </c>
      <c r="G1673" t="s">
        <v>127</v>
      </c>
      <c r="H1673" s="15">
        <v>864450</v>
      </c>
      <c r="I1673" s="15">
        <v>0</v>
      </c>
      <c r="J1673" t="s">
        <v>20</v>
      </c>
      <c r="K1673" t="s">
        <v>116</v>
      </c>
      <c r="L1673" s="2">
        <v>45383</v>
      </c>
      <c r="M1673" t="s">
        <v>128</v>
      </c>
      <c r="N1673">
        <v>0</v>
      </c>
      <c r="O1673" t="s">
        <v>4903</v>
      </c>
      <c r="P1673">
        <v>0</v>
      </c>
      <c r="Q1673" t="s">
        <v>4903</v>
      </c>
      <c r="R1673" t="s">
        <v>125</v>
      </c>
    </row>
    <row r="1674" spans="1:18" hidden="1" x14ac:dyDescent="0.25">
      <c r="A1674" t="s">
        <v>2690</v>
      </c>
      <c r="B1674" t="s">
        <v>2691</v>
      </c>
      <c r="C1674" t="s">
        <v>15</v>
      </c>
      <c r="D1674" t="s">
        <v>16</v>
      </c>
      <c r="E1674" t="s">
        <v>17</v>
      </c>
      <c r="F1674" t="s">
        <v>34</v>
      </c>
      <c r="G1674" t="s">
        <v>2692</v>
      </c>
      <c r="H1674" s="15">
        <v>673200</v>
      </c>
      <c r="I1674" s="15">
        <v>0</v>
      </c>
      <c r="J1674" t="s">
        <v>20</v>
      </c>
      <c r="K1674" t="s">
        <v>21</v>
      </c>
      <c r="L1674" s="2">
        <v>45383</v>
      </c>
      <c r="M1674" t="s">
        <v>2693</v>
      </c>
      <c r="N1674">
        <v>0</v>
      </c>
      <c r="O1674" t="s">
        <v>4903</v>
      </c>
      <c r="P1674">
        <v>0</v>
      </c>
      <c r="Q1674" t="s">
        <v>4903</v>
      </c>
      <c r="R1674" t="s">
        <v>2690</v>
      </c>
    </row>
    <row r="1675" spans="1:18" hidden="1" x14ac:dyDescent="0.25">
      <c r="A1675" t="s">
        <v>4507</v>
      </c>
      <c r="B1675" t="s">
        <v>315</v>
      </c>
      <c r="C1675" t="s">
        <v>39</v>
      </c>
      <c r="D1675" t="s">
        <v>16</v>
      </c>
      <c r="E1675" t="s">
        <v>17</v>
      </c>
      <c r="F1675" t="s">
        <v>59</v>
      </c>
      <c r="G1675" t="s">
        <v>4508</v>
      </c>
      <c r="H1675" s="15">
        <v>1051875</v>
      </c>
      <c r="I1675" s="15">
        <v>0</v>
      </c>
      <c r="J1675" t="s">
        <v>20</v>
      </c>
      <c r="K1675" t="s">
        <v>28</v>
      </c>
      <c r="L1675" s="2">
        <v>45383</v>
      </c>
      <c r="M1675" t="s">
        <v>4509</v>
      </c>
      <c r="N1675">
        <v>0</v>
      </c>
      <c r="O1675" t="s">
        <v>4903</v>
      </c>
      <c r="P1675">
        <v>0</v>
      </c>
      <c r="Q1675" t="s">
        <v>4903</v>
      </c>
      <c r="R1675" t="s">
        <v>4507</v>
      </c>
    </row>
    <row r="1676" spans="1:18" hidden="1" x14ac:dyDescent="0.25">
      <c r="A1676" t="s">
        <v>2478</v>
      </c>
      <c r="B1676" t="s">
        <v>61</v>
      </c>
      <c r="C1676" t="s">
        <v>62</v>
      </c>
      <c r="D1676" t="s">
        <v>16</v>
      </c>
      <c r="E1676" t="s">
        <v>17</v>
      </c>
      <c r="F1676" t="s">
        <v>42</v>
      </c>
      <c r="G1676" t="s">
        <v>2479</v>
      </c>
      <c r="H1676" s="15">
        <v>1013625</v>
      </c>
      <c r="I1676" s="15">
        <v>0</v>
      </c>
      <c r="J1676" t="s">
        <v>20</v>
      </c>
      <c r="K1676" t="s">
        <v>28</v>
      </c>
      <c r="L1676" s="2">
        <v>45383</v>
      </c>
      <c r="M1676" t="s">
        <v>2480</v>
      </c>
      <c r="N1676">
        <v>0</v>
      </c>
      <c r="O1676" t="s">
        <v>4903</v>
      </c>
      <c r="P1676">
        <v>0</v>
      </c>
      <c r="Q1676" t="s">
        <v>4903</v>
      </c>
      <c r="R1676" t="s">
        <v>2478</v>
      </c>
    </row>
    <row r="1677" spans="1:18" hidden="1" x14ac:dyDescent="0.25">
      <c r="A1677" t="s">
        <v>2791</v>
      </c>
      <c r="B1677" t="s">
        <v>1227</v>
      </c>
      <c r="C1677" t="s">
        <v>48</v>
      </c>
      <c r="D1677" t="s">
        <v>16</v>
      </c>
      <c r="E1677" t="s">
        <v>17</v>
      </c>
      <c r="F1677" t="s">
        <v>152</v>
      </c>
      <c r="G1677" t="s">
        <v>2792</v>
      </c>
      <c r="H1677" s="15">
        <v>1101600</v>
      </c>
      <c r="I1677" s="15">
        <v>0</v>
      </c>
      <c r="J1677" t="s">
        <v>20</v>
      </c>
      <c r="K1677" t="s">
        <v>28</v>
      </c>
      <c r="L1677" s="2">
        <v>45383</v>
      </c>
      <c r="M1677" t="s">
        <v>2793</v>
      </c>
      <c r="N1677">
        <v>0</v>
      </c>
      <c r="O1677" t="s">
        <v>4903</v>
      </c>
      <c r="P1677">
        <v>0</v>
      </c>
      <c r="Q1677" t="s">
        <v>4903</v>
      </c>
      <c r="R1677" t="s">
        <v>2791</v>
      </c>
    </row>
    <row r="1678" spans="1:18" hidden="1" x14ac:dyDescent="0.25">
      <c r="A1678" t="s">
        <v>1122</v>
      </c>
      <c r="B1678" t="s">
        <v>725</v>
      </c>
      <c r="C1678" t="s">
        <v>726</v>
      </c>
      <c r="D1678" t="s">
        <v>16</v>
      </c>
      <c r="E1678" t="s">
        <v>17</v>
      </c>
      <c r="F1678" t="s">
        <v>140</v>
      </c>
      <c r="G1678" t="s">
        <v>4117</v>
      </c>
      <c r="H1678" s="15">
        <v>1090125</v>
      </c>
      <c r="I1678" s="15">
        <v>0</v>
      </c>
      <c r="J1678" t="s">
        <v>20</v>
      </c>
      <c r="K1678" t="s">
        <v>28</v>
      </c>
      <c r="L1678" s="2">
        <v>45383</v>
      </c>
      <c r="M1678" t="s">
        <v>4118</v>
      </c>
      <c r="N1678">
        <v>1</v>
      </c>
      <c r="O1678" t="s">
        <v>4903</v>
      </c>
      <c r="P1678">
        <v>0</v>
      </c>
      <c r="Q1678" t="s">
        <v>4903</v>
      </c>
      <c r="R1678" t="s">
        <v>1122</v>
      </c>
    </row>
    <row r="1679" spans="1:18" hidden="1" x14ac:dyDescent="0.25">
      <c r="A1679" t="s">
        <v>2679</v>
      </c>
      <c r="B1679" t="s">
        <v>14</v>
      </c>
      <c r="C1679" t="s">
        <v>15</v>
      </c>
      <c r="D1679" t="s">
        <v>16</v>
      </c>
      <c r="E1679" t="s">
        <v>17</v>
      </c>
      <c r="F1679" t="s">
        <v>59</v>
      </c>
      <c r="G1679" t="s">
        <v>2680</v>
      </c>
      <c r="H1679" s="15">
        <v>1067175</v>
      </c>
      <c r="I1679" s="15">
        <v>0</v>
      </c>
      <c r="J1679" t="s">
        <v>20</v>
      </c>
      <c r="K1679" t="s">
        <v>134</v>
      </c>
      <c r="L1679" s="2">
        <v>45383</v>
      </c>
      <c r="M1679" t="s">
        <v>2681</v>
      </c>
      <c r="N1679">
        <v>0</v>
      </c>
      <c r="O1679" t="s">
        <v>4903</v>
      </c>
      <c r="P1679">
        <v>0</v>
      </c>
      <c r="Q1679" t="s">
        <v>4903</v>
      </c>
      <c r="R1679" t="s">
        <v>2679</v>
      </c>
    </row>
    <row r="1680" spans="1:18" hidden="1" x14ac:dyDescent="0.25">
      <c r="A1680" t="s">
        <v>894</v>
      </c>
      <c r="B1680" t="s">
        <v>315</v>
      </c>
      <c r="C1680" t="s">
        <v>39</v>
      </c>
      <c r="D1680" t="s">
        <v>439</v>
      </c>
      <c r="E1680" t="s">
        <v>1798</v>
      </c>
      <c r="F1680" t="s">
        <v>140</v>
      </c>
      <c r="G1680" t="s">
        <v>2237</v>
      </c>
      <c r="H1680" s="15">
        <v>100000</v>
      </c>
      <c r="I1680" s="15">
        <v>0</v>
      </c>
      <c r="J1680" t="s">
        <v>44</v>
      </c>
      <c r="K1680" t="s">
        <v>28</v>
      </c>
      <c r="L1680" s="2">
        <v>45383</v>
      </c>
      <c r="M1680" t="s">
        <v>2238</v>
      </c>
      <c r="N1680">
        <v>0</v>
      </c>
      <c r="O1680" t="s">
        <v>4903</v>
      </c>
      <c r="P1680">
        <v>0</v>
      </c>
      <c r="Q1680" t="s">
        <v>4903</v>
      </c>
      <c r="R1680" t="s">
        <v>894</v>
      </c>
    </row>
    <row r="1681" spans="1:18" hidden="1" x14ac:dyDescent="0.25">
      <c r="A1681" t="s">
        <v>1981</v>
      </c>
      <c r="B1681" t="s">
        <v>77</v>
      </c>
      <c r="C1681" t="s">
        <v>15</v>
      </c>
      <c r="D1681" t="s">
        <v>16</v>
      </c>
      <c r="E1681" t="s">
        <v>17</v>
      </c>
      <c r="F1681" t="s">
        <v>34</v>
      </c>
      <c r="G1681" t="s">
        <v>1982</v>
      </c>
      <c r="H1681" s="15">
        <v>1143675</v>
      </c>
      <c r="I1681" s="15">
        <v>0</v>
      </c>
      <c r="J1681" t="s">
        <v>20</v>
      </c>
      <c r="K1681" t="s">
        <v>28</v>
      </c>
      <c r="L1681" s="2">
        <v>45383</v>
      </c>
      <c r="M1681" t="s">
        <v>1983</v>
      </c>
      <c r="N1681">
        <v>0</v>
      </c>
      <c r="O1681" t="s">
        <v>4903</v>
      </c>
      <c r="P1681">
        <v>0</v>
      </c>
      <c r="Q1681" t="s">
        <v>4903</v>
      </c>
      <c r="R1681" t="s">
        <v>1981</v>
      </c>
    </row>
    <row r="1682" spans="1:18" hidden="1" x14ac:dyDescent="0.25">
      <c r="A1682" t="s">
        <v>2640</v>
      </c>
      <c r="B1682" t="s">
        <v>77</v>
      </c>
      <c r="C1682" t="s">
        <v>15</v>
      </c>
      <c r="D1682" t="s">
        <v>16</v>
      </c>
      <c r="E1682" t="s">
        <v>17</v>
      </c>
      <c r="F1682" t="s">
        <v>152</v>
      </c>
      <c r="G1682" t="s">
        <v>2641</v>
      </c>
      <c r="H1682" s="15">
        <v>979200</v>
      </c>
      <c r="I1682" s="15">
        <v>0</v>
      </c>
      <c r="J1682" t="s">
        <v>20</v>
      </c>
      <c r="K1682" t="s">
        <v>21</v>
      </c>
      <c r="L1682" s="2">
        <v>45383</v>
      </c>
      <c r="M1682" t="s">
        <v>2642</v>
      </c>
      <c r="N1682">
        <v>0</v>
      </c>
      <c r="O1682" t="s">
        <v>4903</v>
      </c>
      <c r="P1682">
        <v>0</v>
      </c>
      <c r="Q1682" t="s">
        <v>4903</v>
      </c>
      <c r="R1682" t="s">
        <v>2640</v>
      </c>
    </row>
    <row r="1683" spans="1:18" hidden="1" x14ac:dyDescent="0.25">
      <c r="A1683" t="s">
        <v>1618</v>
      </c>
      <c r="B1683" t="s">
        <v>898</v>
      </c>
      <c r="C1683" t="s">
        <v>39</v>
      </c>
      <c r="D1683" t="s">
        <v>16</v>
      </c>
      <c r="E1683" t="s">
        <v>17</v>
      </c>
      <c r="F1683" t="s">
        <v>34</v>
      </c>
      <c r="G1683" t="s">
        <v>1619</v>
      </c>
      <c r="H1683" s="15">
        <v>841500</v>
      </c>
      <c r="I1683" s="15">
        <v>0</v>
      </c>
      <c r="J1683" t="s">
        <v>20</v>
      </c>
      <c r="K1683" t="s">
        <v>21</v>
      </c>
      <c r="L1683" s="2">
        <v>45383</v>
      </c>
      <c r="M1683" t="s">
        <v>1620</v>
      </c>
      <c r="N1683">
        <v>0</v>
      </c>
      <c r="O1683" t="s">
        <v>4903</v>
      </c>
      <c r="P1683">
        <v>0</v>
      </c>
      <c r="Q1683" t="s">
        <v>4903</v>
      </c>
      <c r="R1683" t="s">
        <v>1618</v>
      </c>
    </row>
    <row r="1684" spans="1:18" hidden="1" x14ac:dyDescent="0.25">
      <c r="A1684" t="s">
        <v>37</v>
      </c>
      <c r="B1684" t="s">
        <v>38</v>
      </c>
      <c r="C1684" t="s">
        <v>39</v>
      </c>
      <c r="D1684" t="s">
        <v>16</v>
      </c>
      <c r="E1684" t="s">
        <v>17</v>
      </c>
      <c r="F1684" t="s">
        <v>152</v>
      </c>
      <c r="G1684" t="s">
        <v>1789</v>
      </c>
      <c r="H1684" s="15">
        <v>810900</v>
      </c>
      <c r="I1684" s="15">
        <v>0</v>
      </c>
      <c r="J1684" t="s">
        <v>20</v>
      </c>
      <c r="K1684" t="s">
        <v>28</v>
      </c>
      <c r="L1684" s="2">
        <v>45383</v>
      </c>
      <c r="M1684" t="s">
        <v>1790</v>
      </c>
      <c r="N1684">
        <v>0</v>
      </c>
      <c r="O1684" t="s">
        <v>4903</v>
      </c>
      <c r="P1684">
        <v>0</v>
      </c>
      <c r="Q1684" t="s">
        <v>4903</v>
      </c>
      <c r="R1684" t="s">
        <v>37</v>
      </c>
    </row>
    <row r="1685" spans="1:18" hidden="1" x14ac:dyDescent="0.25">
      <c r="A1685" t="s">
        <v>4164</v>
      </c>
      <c r="B1685" t="s">
        <v>635</v>
      </c>
      <c r="C1685" t="s">
        <v>39</v>
      </c>
      <c r="D1685" t="s">
        <v>16</v>
      </c>
      <c r="E1685" t="s">
        <v>17</v>
      </c>
      <c r="F1685" t="s">
        <v>152</v>
      </c>
      <c r="G1685" t="s">
        <v>4165</v>
      </c>
      <c r="H1685" s="15">
        <v>772650</v>
      </c>
      <c r="I1685" s="15">
        <v>0</v>
      </c>
      <c r="J1685" t="s">
        <v>20</v>
      </c>
      <c r="K1685" t="s">
        <v>28</v>
      </c>
      <c r="L1685" s="2">
        <v>45383</v>
      </c>
      <c r="M1685" t="s">
        <v>4166</v>
      </c>
      <c r="N1685">
        <v>0</v>
      </c>
      <c r="O1685" t="s">
        <v>4903</v>
      </c>
      <c r="P1685">
        <v>0</v>
      </c>
      <c r="Q1685" t="s">
        <v>4903</v>
      </c>
      <c r="R1685" t="s">
        <v>4164</v>
      </c>
    </row>
    <row r="1686" spans="1:18" hidden="1" x14ac:dyDescent="0.25">
      <c r="A1686" t="s">
        <v>13</v>
      </c>
      <c r="B1686" t="s">
        <v>14</v>
      </c>
      <c r="C1686" t="s">
        <v>15</v>
      </c>
      <c r="D1686" t="s">
        <v>16</v>
      </c>
      <c r="E1686" t="s">
        <v>17</v>
      </c>
      <c r="F1686" t="s">
        <v>18</v>
      </c>
      <c r="G1686" t="s">
        <v>19</v>
      </c>
      <c r="H1686" s="15">
        <v>692325</v>
      </c>
      <c r="I1686" s="15">
        <v>0</v>
      </c>
      <c r="J1686" t="s">
        <v>20</v>
      </c>
      <c r="K1686" t="s">
        <v>21</v>
      </c>
      <c r="L1686" s="2">
        <v>45383</v>
      </c>
      <c r="M1686" t="s">
        <v>22</v>
      </c>
      <c r="N1686">
        <v>0</v>
      </c>
      <c r="O1686" t="s">
        <v>4903</v>
      </c>
      <c r="P1686">
        <v>0</v>
      </c>
      <c r="Q1686" t="s">
        <v>4903</v>
      </c>
      <c r="R1686" t="s">
        <v>13</v>
      </c>
    </row>
    <row r="1687" spans="1:18" hidden="1" x14ac:dyDescent="0.25">
      <c r="A1687" t="s">
        <v>3304</v>
      </c>
      <c r="B1687" t="s">
        <v>47</v>
      </c>
      <c r="C1687" t="s">
        <v>48</v>
      </c>
      <c r="D1687" t="s">
        <v>16</v>
      </c>
      <c r="E1687" t="s">
        <v>17</v>
      </c>
      <c r="F1687" t="s">
        <v>59</v>
      </c>
      <c r="G1687" t="s">
        <v>3305</v>
      </c>
      <c r="H1687" s="15">
        <v>956250</v>
      </c>
      <c r="I1687" s="15">
        <v>0</v>
      </c>
      <c r="J1687" t="s">
        <v>20</v>
      </c>
      <c r="K1687" t="s">
        <v>116</v>
      </c>
      <c r="L1687" s="2">
        <v>45383</v>
      </c>
      <c r="M1687" t="s">
        <v>3306</v>
      </c>
      <c r="N1687">
        <v>1</v>
      </c>
      <c r="O1687" t="s">
        <v>4903</v>
      </c>
      <c r="P1687">
        <v>0</v>
      </c>
      <c r="Q1687" t="s">
        <v>4903</v>
      </c>
      <c r="R1687" t="s">
        <v>3304</v>
      </c>
    </row>
    <row r="1688" spans="1:18" hidden="1" x14ac:dyDescent="0.25">
      <c r="A1688" t="s">
        <v>3765</v>
      </c>
      <c r="B1688" t="s">
        <v>47</v>
      </c>
      <c r="C1688" t="s">
        <v>48</v>
      </c>
      <c r="D1688" t="s">
        <v>16</v>
      </c>
      <c r="E1688" t="s">
        <v>17</v>
      </c>
      <c r="F1688" t="s">
        <v>42</v>
      </c>
      <c r="G1688" t="s">
        <v>4176</v>
      </c>
      <c r="H1688" s="15">
        <v>956250</v>
      </c>
      <c r="I1688" s="15">
        <v>0</v>
      </c>
      <c r="J1688" t="s">
        <v>20</v>
      </c>
      <c r="K1688" t="s">
        <v>28</v>
      </c>
      <c r="L1688" s="2">
        <v>45383</v>
      </c>
      <c r="M1688" t="s">
        <v>4177</v>
      </c>
      <c r="N1688">
        <v>0</v>
      </c>
      <c r="O1688" t="s">
        <v>4903</v>
      </c>
      <c r="P1688">
        <v>0</v>
      </c>
      <c r="Q1688" t="s">
        <v>4903</v>
      </c>
      <c r="R1688" t="s">
        <v>3765</v>
      </c>
    </row>
    <row r="1689" spans="1:18" hidden="1" x14ac:dyDescent="0.25">
      <c r="A1689" t="s">
        <v>1102</v>
      </c>
      <c r="B1689" t="s">
        <v>635</v>
      </c>
      <c r="C1689" t="s">
        <v>39</v>
      </c>
      <c r="D1689" t="s">
        <v>16</v>
      </c>
      <c r="E1689" t="s">
        <v>17</v>
      </c>
      <c r="F1689" t="s">
        <v>152</v>
      </c>
      <c r="G1689" t="s">
        <v>1103</v>
      </c>
      <c r="H1689" s="15">
        <v>1013625</v>
      </c>
      <c r="I1689" s="15">
        <v>0</v>
      </c>
      <c r="J1689" t="s">
        <v>20</v>
      </c>
      <c r="K1689" t="s">
        <v>28</v>
      </c>
      <c r="L1689" s="2">
        <v>45383</v>
      </c>
      <c r="M1689" t="s">
        <v>1104</v>
      </c>
      <c r="N1689">
        <v>0</v>
      </c>
      <c r="O1689" t="s">
        <v>4903</v>
      </c>
      <c r="P1689">
        <v>0</v>
      </c>
      <c r="Q1689" t="s">
        <v>4903</v>
      </c>
      <c r="R1689" t="s">
        <v>1102</v>
      </c>
    </row>
    <row r="1690" spans="1:18" hidden="1" x14ac:dyDescent="0.25">
      <c r="A1690" t="s">
        <v>1976</v>
      </c>
      <c r="B1690" t="s">
        <v>14</v>
      </c>
      <c r="C1690" t="s">
        <v>15</v>
      </c>
      <c r="D1690" t="s">
        <v>16</v>
      </c>
      <c r="E1690" t="s">
        <v>17</v>
      </c>
      <c r="F1690" t="s">
        <v>34</v>
      </c>
      <c r="G1690" t="s">
        <v>1977</v>
      </c>
      <c r="H1690" s="15">
        <v>604352</v>
      </c>
      <c r="I1690" s="15">
        <v>0</v>
      </c>
      <c r="J1690" t="s">
        <v>154</v>
      </c>
      <c r="K1690" t="s">
        <v>28</v>
      </c>
      <c r="L1690" s="2">
        <v>45383</v>
      </c>
      <c r="M1690" t="s">
        <v>1978</v>
      </c>
      <c r="N1690">
        <v>0</v>
      </c>
      <c r="O1690" t="s">
        <v>4903</v>
      </c>
      <c r="P1690">
        <v>0</v>
      </c>
      <c r="Q1690" t="s">
        <v>4903</v>
      </c>
      <c r="R1690" t="s">
        <v>1976</v>
      </c>
    </row>
    <row r="1691" spans="1:18" hidden="1" x14ac:dyDescent="0.25">
      <c r="A1691" t="s">
        <v>715</v>
      </c>
      <c r="B1691" t="s">
        <v>24</v>
      </c>
      <c r="C1691" t="s">
        <v>15</v>
      </c>
      <c r="D1691" t="s">
        <v>16</v>
      </c>
      <c r="E1691" t="s">
        <v>17</v>
      </c>
      <c r="F1691" t="s">
        <v>34</v>
      </c>
      <c r="G1691" t="s">
        <v>2278</v>
      </c>
      <c r="H1691" s="15">
        <v>975375</v>
      </c>
      <c r="I1691" s="15">
        <v>0</v>
      </c>
      <c r="J1691" t="s">
        <v>20</v>
      </c>
      <c r="K1691" t="s">
        <v>116</v>
      </c>
      <c r="L1691" s="2">
        <v>45383</v>
      </c>
      <c r="M1691" t="s">
        <v>2279</v>
      </c>
      <c r="N1691">
        <v>0</v>
      </c>
      <c r="O1691" t="s">
        <v>4903</v>
      </c>
      <c r="P1691">
        <v>0</v>
      </c>
      <c r="Q1691" t="s">
        <v>4903</v>
      </c>
      <c r="R1691" t="s">
        <v>715</v>
      </c>
    </row>
    <row r="1692" spans="1:18" hidden="1" x14ac:dyDescent="0.25">
      <c r="A1692" t="s">
        <v>1079</v>
      </c>
      <c r="B1692" t="s">
        <v>47</v>
      </c>
      <c r="C1692" t="s">
        <v>48</v>
      </c>
      <c r="D1692" t="s">
        <v>16</v>
      </c>
      <c r="E1692" t="s">
        <v>17</v>
      </c>
      <c r="F1692" t="s">
        <v>140</v>
      </c>
      <c r="G1692" t="s">
        <v>1080</v>
      </c>
      <c r="H1692" s="15">
        <v>1048050</v>
      </c>
      <c r="I1692" s="15">
        <v>0</v>
      </c>
      <c r="J1692" t="s">
        <v>20</v>
      </c>
      <c r="K1692" t="s">
        <v>28</v>
      </c>
      <c r="L1692" s="2">
        <v>45383</v>
      </c>
      <c r="M1692" t="s">
        <v>1081</v>
      </c>
      <c r="N1692">
        <v>0</v>
      </c>
      <c r="O1692" t="s">
        <v>4903</v>
      </c>
      <c r="P1692">
        <v>0</v>
      </c>
      <c r="Q1692" t="s">
        <v>4903</v>
      </c>
      <c r="R1692" t="s">
        <v>1079</v>
      </c>
    </row>
    <row r="1693" spans="1:18" hidden="1" x14ac:dyDescent="0.25">
      <c r="A1693" t="s">
        <v>2207</v>
      </c>
      <c r="B1693" t="s">
        <v>1516</v>
      </c>
      <c r="C1693" t="s">
        <v>15</v>
      </c>
      <c r="D1693" t="s">
        <v>16</v>
      </c>
      <c r="E1693" t="s">
        <v>17</v>
      </c>
      <c r="F1693" t="s">
        <v>140</v>
      </c>
      <c r="G1693" t="s">
        <v>2208</v>
      </c>
      <c r="H1693" s="15">
        <v>979200</v>
      </c>
      <c r="I1693" s="15">
        <v>0</v>
      </c>
      <c r="J1693" t="s">
        <v>154</v>
      </c>
      <c r="K1693" t="s">
        <v>28</v>
      </c>
      <c r="L1693" s="2">
        <v>45383</v>
      </c>
      <c r="M1693" t="s">
        <v>2209</v>
      </c>
      <c r="N1693">
        <v>0</v>
      </c>
      <c r="O1693" t="s">
        <v>4903</v>
      </c>
      <c r="P1693">
        <v>0</v>
      </c>
      <c r="Q1693" t="s">
        <v>4903</v>
      </c>
      <c r="R1693" t="s">
        <v>2207</v>
      </c>
    </row>
    <row r="1694" spans="1:18" hidden="1" x14ac:dyDescent="0.25">
      <c r="A1694" t="s">
        <v>457</v>
      </c>
      <c r="B1694" t="s">
        <v>315</v>
      </c>
      <c r="C1694" t="s">
        <v>39</v>
      </c>
      <c r="D1694" t="s">
        <v>16</v>
      </c>
      <c r="E1694" t="s">
        <v>17</v>
      </c>
      <c r="F1694" t="s">
        <v>59</v>
      </c>
      <c r="G1694" t="s">
        <v>1701</v>
      </c>
      <c r="H1694" s="15">
        <v>1002150</v>
      </c>
      <c r="I1694" s="15">
        <v>0</v>
      </c>
      <c r="J1694" t="s">
        <v>20</v>
      </c>
      <c r="K1694" t="s">
        <v>28</v>
      </c>
      <c r="L1694" s="2">
        <v>45383</v>
      </c>
      <c r="M1694" t="s">
        <v>1702</v>
      </c>
      <c r="N1694">
        <v>0</v>
      </c>
      <c r="O1694" t="s">
        <v>4903</v>
      </c>
      <c r="P1694">
        <v>0</v>
      </c>
      <c r="Q1694" t="s">
        <v>4903</v>
      </c>
      <c r="R1694" t="s">
        <v>457</v>
      </c>
    </row>
    <row r="1695" spans="1:18" hidden="1" x14ac:dyDescent="0.25">
      <c r="A1695" t="s">
        <v>832</v>
      </c>
      <c r="B1695" t="s">
        <v>103</v>
      </c>
      <c r="C1695" t="s">
        <v>15</v>
      </c>
      <c r="D1695" t="s">
        <v>16</v>
      </c>
      <c r="E1695" t="s">
        <v>17</v>
      </c>
      <c r="F1695" t="s">
        <v>42</v>
      </c>
      <c r="G1695" t="s">
        <v>833</v>
      </c>
      <c r="H1695" s="15">
        <v>837675</v>
      </c>
      <c r="I1695" s="15">
        <v>0</v>
      </c>
      <c r="J1695" t="s">
        <v>20</v>
      </c>
      <c r="K1695" t="s">
        <v>28</v>
      </c>
      <c r="L1695" s="2">
        <v>45383</v>
      </c>
      <c r="M1695" t="s">
        <v>834</v>
      </c>
      <c r="N1695">
        <v>0</v>
      </c>
      <c r="O1695" t="s">
        <v>4903</v>
      </c>
      <c r="P1695">
        <v>0</v>
      </c>
      <c r="Q1695" t="s">
        <v>4903</v>
      </c>
      <c r="R1695" t="s">
        <v>832</v>
      </c>
    </row>
    <row r="1696" spans="1:18" hidden="1" x14ac:dyDescent="0.25">
      <c r="A1696" t="s">
        <v>1233</v>
      </c>
      <c r="B1696" t="s">
        <v>923</v>
      </c>
      <c r="C1696" t="s">
        <v>15</v>
      </c>
      <c r="D1696" t="s">
        <v>16</v>
      </c>
      <c r="E1696" t="s">
        <v>17</v>
      </c>
      <c r="F1696" t="s">
        <v>140</v>
      </c>
      <c r="G1696" t="s">
        <v>1234</v>
      </c>
      <c r="H1696" s="15">
        <v>1143675</v>
      </c>
      <c r="I1696" s="15">
        <v>0</v>
      </c>
      <c r="J1696" t="s">
        <v>20</v>
      </c>
      <c r="K1696" t="s">
        <v>28</v>
      </c>
      <c r="L1696" s="2">
        <v>45383</v>
      </c>
      <c r="M1696" t="s">
        <v>1235</v>
      </c>
      <c r="N1696">
        <v>0</v>
      </c>
      <c r="O1696" t="s">
        <v>4903</v>
      </c>
      <c r="P1696">
        <v>0</v>
      </c>
      <c r="Q1696" t="s">
        <v>4903</v>
      </c>
      <c r="R1696" t="s">
        <v>1233</v>
      </c>
    </row>
    <row r="1697" spans="1:18" hidden="1" x14ac:dyDescent="0.25">
      <c r="A1697" t="s">
        <v>988</v>
      </c>
      <c r="B1697" t="s">
        <v>315</v>
      </c>
      <c r="C1697" t="s">
        <v>39</v>
      </c>
      <c r="D1697" t="s">
        <v>16</v>
      </c>
      <c r="E1697" t="s">
        <v>17</v>
      </c>
      <c r="F1697" t="s">
        <v>152</v>
      </c>
      <c r="G1697" t="s">
        <v>1761</v>
      </c>
      <c r="H1697" s="15">
        <v>1109250</v>
      </c>
      <c r="I1697" s="15">
        <v>0</v>
      </c>
      <c r="J1697" t="s">
        <v>20</v>
      </c>
      <c r="K1697" t="s">
        <v>28</v>
      </c>
      <c r="L1697" s="2">
        <v>45383</v>
      </c>
      <c r="M1697" t="s">
        <v>1762</v>
      </c>
      <c r="N1697">
        <v>0</v>
      </c>
      <c r="O1697" t="s">
        <v>4903</v>
      </c>
      <c r="P1697">
        <v>0</v>
      </c>
      <c r="Q1697" t="s">
        <v>4903</v>
      </c>
      <c r="R1697" t="s">
        <v>988</v>
      </c>
    </row>
    <row r="1698" spans="1:18" hidden="1" x14ac:dyDescent="0.25">
      <c r="A1698" t="s">
        <v>3408</v>
      </c>
      <c r="B1698" t="s">
        <v>14</v>
      </c>
      <c r="C1698" t="s">
        <v>15</v>
      </c>
      <c r="D1698" t="s">
        <v>16</v>
      </c>
      <c r="E1698" t="s">
        <v>17</v>
      </c>
      <c r="F1698" t="s">
        <v>34</v>
      </c>
      <c r="G1698" t="s">
        <v>3691</v>
      </c>
      <c r="H1698" s="15">
        <v>619650</v>
      </c>
      <c r="I1698" s="15">
        <v>0</v>
      </c>
      <c r="J1698" t="s">
        <v>20</v>
      </c>
      <c r="K1698" t="s">
        <v>28</v>
      </c>
      <c r="L1698" s="2">
        <v>45383</v>
      </c>
      <c r="M1698" t="s">
        <v>3692</v>
      </c>
      <c r="N1698">
        <v>0</v>
      </c>
      <c r="O1698" t="s">
        <v>4903</v>
      </c>
      <c r="P1698">
        <v>0</v>
      </c>
      <c r="Q1698" t="s">
        <v>4903</v>
      </c>
      <c r="R1698" t="s">
        <v>3408</v>
      </c>
    </row>
    <row r="1699" spans="1:18" hidden="1" x14ac:dyDescent="0.25">
      <c r="A1699" t="s">
        <v>1572</v>
      </c>
      <c r="B1699" t="s">
        <v>14</v>
      </c>
      <c r="C1699" t="s">
        <v>15</v>
      </c>
      <c r="D1699" t="s">
        <v>16</v>
      </c>
      <c r="E1699" t="s">
        <v>373</v>
      </c>
      <c r="F1699" t="s">
        <v>152</v>
      </c>
      <c r="G1699" t="s">
        <v>1573</v>
      </c>
      <c r="H1699" s="15">
        <v>1040400</v>
      </c>
      <c r="I1699" s="15">
        <v>0</v>
      </c>
      <c r="J1699" t="s">
        <v>20</v>
      </c>
      <c r="K1699" t="s">
        <v>28</v>
      </c>
      <c r="L1699" s="2">
        <v>45413</v>
      </c>
      <c r="M1699" t="s">
        <v>1574</v>
      </c>
      <c r="N1699">
        <v>0</v>
      </c>
      <c r="O1699" t="s">
        <v>4903</v>
      </c>
      <c r="P1699">
        <v>0</v>
      </c>
      <c r="Q1699" t="s">
        <v>4903</v>
      </c>
      <c r="R1699" t="s">
        <v>1572</v>
      </c>
    </row>
    <row r="1700" spans="1:18" hidden="1" x14ac:dyDescent="0.25">
      <c r="A1700" t="s">
        <v>2079</v>
      </c>
      <c r="B1700" t="s">
        <v>406</v>
      </c>
      <c r="C1700" t="s">
        <v>62</v>
      </c>
      <c r="D1700" t="s">
        <v>69</v>
      </c>
      <c r="E1700" t="s">
        <v>70</v>
      </c>
      <c r="F1700" t="s">
        <v>71</v>
      </c>
      <c r="G1700" t="s">
        <v>2080</v>
      </c>
      <c r="H1700" s="15">
        <v>420000</v>
      </c>
      <c r="I1700" s="15">
        <v>0</v>
      </c>
      <c r="J1700" t="s">
        <v>73</v>
      </c>
      <c r="K1700" t="s">
        <v>322</v>
      </c>
      <c r="L1700" s="2">
        <v>45444</v>
      </c>
      <c r="M1700" t="s">
        <v>2081</v>
      </c>
      <c r="N1700">
        <v>0</v>
      </c>
      <c r="O1700" t="s">
        <v>4903</v>
      </c>
      <c r="P1700">
        <v>0</v>
      </c>
      <c r="Q1700" t="s">
        <v>4903</v>
      </c>
      <c r="R1700" t="s">
        <v>2079</v>
      </c>
    </row>
    <row r="1701" spans="1:18" hidden="1" x14ac:dyDescent="0.25">
      <c r="A1701" t="s">
        <v>2573</v>
      </c>
      <c r="B1701" t="s">
        <v>350</v>
      </c>
      <c r="C1701" t="s">
        <v>39</v>
      </c>
      <c r="D1701" t="s">
        <v>2574</v>
      </c>
      <c r="E1701" t="s">
        <v>2575</v>
      </c>
      <c r="F1701" t="s">
        <v>71</v>
      </c>
      <c r="G1701" t="s">
        <v>2576</v>
      </c>
      <c r="H1701" s="15">
        <v>599003</v>
      </c>
      <c r="I1701" s="15">
        <v>0</v>
      </c>
      <c r="J1701" t="s">
        <v>73</v>
      </c>
      <c r="K1701" t="s">
        <v>74</v>
      </c>
      <c r="L1701" s="2">
        <v>45444</v>
      </c>
      <c r="M1701" t="s">
        <v>2577</v>
      </c>
      <c r="N1701">
        <v>0</v>
      </c>
      <c r="O1701" t="s">
        <v>4903</v>
      </c>
      <c r="P1701">
        <v>0</v>
      </c>
      <c r="Q1701" t="s">
        <v>4903</v>
      </c>
      <c r="R1701" t="s">
        <v>2573</v>
      </c>
    </row>
    <row r="1702" spans="1:18" hidden="1" x14ac:dyDescent="0.25">
      <c r="A1702" t="s">
        <v>67</v>
      </c>
      <c r="B1702" t="s">
        <v>68</v>
      </c>
      <c r="C1702" t="s">
        <v>39</v>
      </c>
      <c r="D1702" t="s">
        <v>69</v>
      </c>
      <c r="E1702" t="s">
        <v>70</v>
      </c>
      <c r="F1702" t="s">
        <v>71</v>
      </c>
      <c r="G1702" t="s">
        <v>72</v>
      </c>
      <c r="H1702" s="15">
        <v>599500</v>
      </c>
      <c r="I1702" s="15">
        <v>0</v>
      </c>
      <c r="J1702" t="s">
        <v>73</v>
      </c>
      <c r="K1702" t="s">
        <v>74</v>
      </c>
      <c r="L1702" s="2">
        <v>45444</v>
      </c>
      <c r="M1702" t="s">
        <v>75</v>
      </c>
      <c r="N1702">
        <v>0</v>
      </c>
      <c r="O1702" t="s">
        <v>4903</v>
      </c>
      <c r="P1702">
        <v>0</v>
      </c>
      <c r="Q1702" t="s">
        <v>4903</v>
      </c>
      <c r="R1702" t="s">
        <v>67</v>
      </c>
    </row>
    <row r="1703" spans="1:18" hidden="1" x14ac:dyDescent="0.25">
      <c r="A1703" t="s">
        <v>2595</v>
      </c>
      <c r="B1703" t="s">
        <v>485</v>
      </c>
      <c r="C1703" t="s">
        <v>15</v>
      </c>
      <c r="D1703" t="s">
        <v>69</v>
      </c>
      <c r="E1703" t="s">
        <v>70</v>
      </c>
      <c r="F1703" t="s">
        <v>71</v>
      </c>
      <c r="G1703" t="s">
        <v>2596</v>
      </c>
      <c r="H1703" s="15">
        <v>594250</v>
      </c>
      <c r="I1703" s="15">
        <v>0</v>
      </c>
      <c r="J1703" t="s">
        <v>73</v>
      </c>
      <c r="K1703" t="s">
        <v>322</v>
      </c>
      <c r="L1703" s="2">
        <v>45444</v>
      </c>
      <c r="M1703" t="s">
        <v>2597</v>
      </c>
      <c r="N1703">
        <v>0</v>
      </c>
      <c r="O1703" t="s">
        <v>4903</v>
      </c>
      <c r="P1703">
        <v>0</v>
      </c>
      <c r="Q1703" t="s">
        <v>4903</v>
      </c>
      <c r="R1703" t="s">
        <v>2595</v>
      </c>
    </row>
    <row r="1704" spans="1:18" hidden="1" x14ac:dyDescent="0.25">
      <c r="A1704" t="s">
        <v>1340</v>
      </c>
      <c r="B1704" t="s">
        <v>103</v>
      </c>
      <c r="C1704" t="s">
        <v>15</v>
      </c>
      <c r="D1704" t="s">
        <v>69</v>
      </c>
      <c r="E1704" t="s">
        <v>70</v>
      </c>
      <c r="F1704" t="s">
        <v>71</v>
      </c>
      <c r="G1704" t="s">
        <v>1341</v>
      </c>
      <c r="H1704" s="15">
        <v>598183</v>
      </c>
      <c r="I1704" s="15">
        <v>0</v>
      </c>
      <c r="J1704" t="s">
        <v>73</v>
      </c>
      <c r="K1704" t="s">
        <v>322</v>
      </c>
      <c r="L1704" s="2">
        <v>45444</v>
      </c>
      <c r="M1704" t="s">
        <v>1342</v>
      </c>
      <c r="N1704">
        <v>0</v>
      </c>
      <c r="O1704" t="s">
        <v>4903</v>
      </c>
      <c r="P1704">
        <v>0</v>
      </c>
      <c r="Q1704" t="s">
        <v>4903</v>
      </c>
      <c r="R1704" t="s">
        <v>1340</v>
      </c>
    </row>
    <row r="1705" spans="1:18" hidden="1" x14ac:dyDescent="0.25">
      <c r="A1705" t="s">
        <v>1602</v>
      </c>
      <c r="B1705" t="s">
        <v>471</v>
      </c>
      <c r="C1705" t="s">
        <v>15</v>
      </c>
      <c r="D1705" t="s">
        <v>69</v>
      </c>
      <c r="E1705" t="s">
        <v>70</v>
      </c>
      <c r="F1705" t="s">
        <v>71</v>
      </c>
      <c r="G1705" t="s">
        <v>1603</v>
      </c>
      <c r="H1705" s="15">
        <v>600000</v>
      </c>
      <c r="I1705" s="15">
        <v>0</v>
      </c>
      <c r="J1705" t="s">
        <v>73</v>
      </c>
      <c r="K1705" t="s">
        <v>322</v>
      </c>
      <c r="L1705" s="2">
        <v>45444</v>
      </c>
      <c r="M1705" t="s">
        <v>1604</v>
      </c>
      <c r="N1705">
        <v>0</v>
      </c>
      <c r="O1705" t="s">
        <v>4903</v>
      </c>
      <c r="P1705">
        <v>0</v>
      </c>
      <c r="Q1705" t="s">
        <v>4903</v>
      </c>
      <c r="R1705" t="s">
        <v>1602</v>
      </c>
    </row>
    <row r="1706" spans="1:18" hidden="1" x14ac:dyDescent="0.25">
      <c r="A1706" t="s">
        <v>2567</v>
      </c>
      <c r="B1706" t="s">
        <v>350</v>
      </c>
      <c r="C1706" t="s">
        <v>39</v>
      </c>
      <c r="D1706" t="s">
        <v>69</v>
      </c>
      <c r="E1706" t="s">
        <v>70</v>
      </c>
      <c r="F1706" t="s">
        <v>71</v>
      </c>
      <c r="G1706" t="s">
        <v>2568</v>
      </c>
      <c r="H1706" s="15">
        <v>300000</v>
      </c>
      <c r="I1706" s="15">
        <v>0</v>
      </c>
      <c r="J1706" t="s">
        <v>455</v>
      </c>
      <c r="K1706" t="s">
        <v>28</v>
      </c>
      <c r="L1706" s="2">
        <v>45444</v>
      </c>
      <c r="M1706" t="s">
        <v>2569</v>
      </c>
      <c r="N1706">
        <v>0</v>
      </c>
      <c r="O1706" t="s">
        <v>4903</v>
      </c>
      <c r="P1706">
        <v>0</v>
      </c>
      <c r="Q1706" t="s">
        <v>4903</v>
      </c>
      <c r="R1706" t="s">
        <v>2567</v>
      </c>
    </row>
    <row r="1707" spans="1:18" hidden="1" x14ac:dyDescent="0.25">
      <c r="A1707" t="s">
        <v>4004</v>
      </c>
      <c r="B1707" t="s">
        <v>119</v>
      </c>
      <c r="C1707" t="s">
        <v>39</v>
      </c>
      <c r="D1707" t="s">
        <v>69</v>
      </c>
      <c r="E1707" t="s">
        <v>70</v>
      </c>
      <c r="F1707" t="s">
        <v>71</v>
      </c>
      <c r="G1707" t="s">
        <v>4005</v>
      </c>
      <c r="H1707" s="15">
        <v>600000</v>
      </c>
      <c r="I1707" s="15">
        <v>0</v>
      </c>
      <c r="J1707" t="s">
        <v>73</v>
      </c>
      <c r="K1707" t="s">
        <v>322</v>
      </c>
      <c r="L1707" s="2">
        <v>45444</v>
      </c>
      <c r="M1707" t="s">
        <v>4006</v>
      </c>
      <c r="N1707">
        <v>0</v>
      </c>
      <c r="O1707" t="s">
        <v>4903</v>
      </c>
      <c r="P1707">
        <v>0</v>
      </c>
      <c r="Q1707" t="s">
        <v>4903</v>
      </c>
      <c r="R1707" t="s">
        <v>4004</v>
      </c>
    </row>
    <row r="1708" spans="1:18" hidden="1" x14ac:dyDescent="0.25">
      <c r="A1708" t="s">
        <v>1846</v>
      </c>
      <c r="B1708" t="s">
        <v>190</v>
      </c>
      <c r="C1708" t="s">
        <v>15</v>
      </c>
      <c r="D1708" t="s">
        <v>69</v>
      </c>
      <c r="E1708" t="s">
        <v>70</v>
      </c>
      <c r="F1708" t="s">
        <v>71</v>
      </c>
      <c r="G1708" t="s">
        <v>1847</v>
      </c>
      <c r="H1708" s="15">
        <v>599086</v>
      </c>
      <c r="I1708" s="15">
        <v>0</v>
      </c>
      <c r="J1708" t="s">
        <v>73</v>
      </c>
      <c r="K1708" t="s">
        <v>322</v>
      </c>
      <c r="L1708" s="2">
        <v>45444</v>
      </c>
      <c r="M1708" t="s">
        <v>1848</v>
      </c>
      <c r="N1708">
        <v>0</v>
      </c>
      <c r="O1708" t="s">
        <v>4903</v>
      </c>
      <c r="P1708">
        <v>0</v>
      </c>
      <c r="Q1708" t="s">
        <v>4903</v>
      </c>
      <c r="R1708" t="s">
        <v>1846</v>
      </c>
    </row>
    <row r="1709" spans="1:18" hidden="1" x14ac:dyDescent="0.25">
      <c r="A1709" t="s">
        <v>3609</v>
      </c>
      <c r="B1709" t="s">
        <v>520</v>
      </c>
      <c r="C1709" t="s">
        <v>521</v>
      </c>
      <c r="D1709" t="s">
        <v>2574</v>
      </c>
      <c r="E1709" t="s">
        <v>2575</v>
      </c>
      <c r="F1709" t="s">
        <v>71</v>
      </c>
      <c r="G1709" t="s">
        <v>3610</v>
      </c>
      <c r="H1709" s="15">
        <v>600000</v>
      </c>
      <c r="I1709" s="15">
        <v>0</v>
      </c>
      <c r="J1709" t="s">
        <v>73</v>
      </c>
      <c r="K1709" t="s">
        <v>322</v>
      </c>
      <c r="L1709" s="2">
        <v>45444</v>
      </c>
      <c r="M1709" t="s">
        <v>3611</v>
      </c>
      <c r="N1709">
        <v>0</v>
      </c>
      <c r="O1709" t="s">
        <v>4903</v>
      </c>
      <c r="P1709">
        <v>0</v>
      </c>
      <c r="Q1709" t="s">
        <v>4903</v>
      </c>
      <c r="R1709" t="s">
        <v>3609</v>
      </c>
    </row>
    <row r="1710" spans="1:18" hidden="1" x14ac:dyDescent="0.25">
      <c r="A1710" t="s">
        <v>729</v>
      </c>
      <c r="B1710" t="s">
        <v>730</v>
      </c>
      <c r="C1710" t="s">
        <v>48</v>
      </c>
      <c r="D1710" t="s">
        <v>69</v>
      </c>
      <c r="E1710" t="s">
        <v>70</v>
      </c>
      <c r="F1710" t="s">
        <v>71</v>
      </c>
      <c r="G1710" t="s">
        <v>3618</v>
      </c>
      <c r="H1710" s="15">
        <v>599500</v>
      </c>
      <c r="I1710" s="15">
        <v>0</v>
      </c>
      <c r="J1710" t="s">
        <v>73</v>
      </c>
      <c r="K1710" t="s">
        <v>322</v>
      </c>
      <c r="L1710" s="2">
        <v>45444</v>
      </c>
      <c r="M1710" t="s">
        <v>3619</v>
      </c>
      <c r="N1710">
        <v>0</v>
      </c>
      <c r="O1710" t="s">
        <v>4903</v>
      </c>
      <c r="P1710">
        <v>0</v>
      </c>
      <c r="Q1710" t="s">
        <v>4903</v>
      </c>
      <c r="R1710" t="s">
        <v>729</v>
      </c>
    </row>
    <row r="1711" spans="1:18" hidden="1" x14ac:dyDescent="0.25">
      <c r="A1711" t="s">
        <v>1292</v>
      </c>
      <c r="B1711" t="s">
        <v>47</v>
      </c>
      <c r="C1711" t="s">
        <v>48</v>
      </c>
      <c r="D1711" t="s">
        <v>69</v>
      </c>
      <c r="E1711" t="s">
        <v>70</v>
      </c>
      <c r="F1711" t="s">
        <v>71</v>
      </c>
      <c r="G1711" t="s">
        <v>1293</v>
      </c>
      <c r="H1711" s="15">
        <v>495144</v>
      </c>
      <c r="I1711" s="15">
        <v>0</v>
      </c>
      <c r="J1711" t="s">
        <v>73</v>
      </c>
      <c r="K1711" t="s">
        <v>322</v>
      </c>
      <c r="L1711" s="2">
        <v>45444</v>
      </c>
      <c r="M1711" t="s">
        <v>1294</v>
      </c>
      <c r="N1711">
        <v>0</v>
      </c>
      <c r="O1711" t="s">
        <v>4903</v>
      </c>
      <c r="P1711">
        <v>0</v>
      </c>
      <c r="Q1711" t="s">
        <v>4903</v>
      </c>
      <c r="R1711" t="s">
        <v>1292</v>
      </c>
    </row>
    <row r="1712" spans="1:18" hidden="1" x14ac:dyDescent="0.25">
      <c r="A1712" t="s">
        <v>1343</v>
      </c>
      <c r="B1712" t="s">
        <v>103</v>
      </c>
      <c r="C1712" t="s">
        <v>15</v>
      </c>
      <c r="D1712" t="s">
        <v>69</v>
      </c>
      <c r="E1712" t="s">
        <v>70</v>
      </c>
      <c r="F1712" t="s">
        <v>71</v>
      </c>
      <c r="G1712" t="s">
        <v>1344</v>
      </c>
      <c r="H1712" s="15">
        <v>600000</v>
      </c>
      <c r="I1712" s="15">
        <v>0</v>
      </c>
      <c r="J1712" t="s">
        <v>73</v>
      </c>
      <c r="K1712" t="s">
        <v>28</v>
      </c>
      <c r="L1712" s="2">
        <v>45444</v>
      </c>
      <c r="M1712" t="s">
        <v>1345</v>
      </c>
      <c r="N1712">
        <v>0</v>
      </c>
      <c r="O1712" t="s">
        <v>4903</v>
      </c>
      <c r="P1712">
        <v>0</v>
      </c>
      <c r="Q1712" t="s">
        <v>4903</v>
      </c>
      <c r="R1712" t="s">
        <v>1343</v>
      </c>
    </row>
    <row r="1713" spans="1:18" hidden="1" x14ac:dyDescent="0.25">
      <c r="A1713" t="s">
        <v>2607</v>
      </c>
      <c r="B1713" t="s">
        <v>190</v>
      </c>
      <c r="C1713" t="s">
        <v>15</v>
      </c>
      <c r="D1713" t="s">
        <v>2574</v>
      </c>
      <c r="E1713" t="s">
        <v>2575</v>
      </c>
      <c r="F1713" t="s">
        <v>71</v>
      </c>
      <c r="G1713" t="s">
        <v>2608</v>
      </c>
      <c r="H1713" s="15">
        <v>600000</v>
      </c>
      <c r="I1713" s="15">
        <v>0</v>
      </c>
      <c r="J1713" t="s">
        <v>73</v>
      </c>
      <c r="K1713" t="s">
        <v>2609</v>
      </c>
      <c r="L1713" s="2">
        <v>45444</v>
      </c>
      <c r="M1713" t="s">
        <v>2610</v>
      </c>
      <c r="N1713">
        <v>0</v>
      </c>
      <c r="O1713" t="s">
        <v>4903</v>
      </c>
      <c r="P1713">
        <v>0</v>
      </c>
      <c r="Q1713" t="s">
        <v>4903</v>
      </c>
      <c r="R1713" t="s">
        <v>2607</v>
      </c>
    </row>
    <row r="1714" spans="1:18" hidden="1" x14ac:dyDescent="0.25">
      <c r="A1714" t="s">
        <v>1560</v>
      </c>
      <c r="B1714" t="s">
        <v>14</v>
      </c>
      <c r="C1714" t="s">
        <v>15</v>
      </c>
      <c r="D1714" t="s">
        <v>16</v>
      </c>
      <c r="E1714" t="s">
        <v>17</v>
      </c>
      <c r="F1714" t="s">
        <v>26</v>
      </c>
      <c r="G1714" t="s">
        <v>3392</v>
      </c>
      <c r="H1714" s="15">
        <v>1051875</v>
      </c>
      <c r="I1714" s="15">
        <v>0</v>
      </c>
      <c r="J1714" t="s">
        <v>20</v>
      </c>
      <c r="K1714" t="s">
        <v>28</v>
      </c>
      <c r="L1714" s="2">
        <v>45474</v>
      </c>
      <c r="M1714" t="s">
        <v>3393</v>
      </c>
      <c r="N1714">
        <v>1</v>
      </c>
      <c r="O1714" t="s">
        <v>4903</v>
      </c>
      <c r="P1714">
        <v>0</v>
      </c>
      <c r="Q1714" t="s">
        <v>4903</v>
      </c>
      <c r="R1714" t="s">
        <v>1560</v>
      </c>
    </row>
    <row r="1715" spans="1:18" hidden="1" x14ac:dyDescent="0.25">
      <c r="A1715" t="s">
        <v>484</v>
      </c>
      <c r="B1715" t="s">
        <v>485</v>
      </c>
      <c r="C1715" t="s">
        <v>15</v>
      </c>
      <c r="D1715" t="s">
        <v>16</v>
      </c>
      <c r="E1715" t="s">
        <v>17</v>
      </c>
      <c r="F1715" t="s">
        <v>140</v>
      </c>
      <c r="G1715" t="s">
        <v>486</v>
      </c>
      <c r="H1715" s="15">
        <v>765000</v>
      </c>
      <c r="I1715" s="15">
        <v>0</v>
      </c>
      <c r="J1715" t="s">
        <v>20</v>
      </c>
      <c r="K1715" t="s">
        <v>28</v>
      </c>
      <c r="L1715" s="2">
        <v>45474</v>
      </c>
      <c r="M1715" t="s">
        <v>487</v>
      </c>
      <c r="N1715">
        <v>0</v>
      </c>
      <c r="O1715" t="s">
        <v>4903</v>
      </c>
      <c r="P1715">
        <v>0</v>
      </c>
      <c r="Q1715" t="s">
        <v>4903</v>
      </c>
      <c r="R1715" t="s">
        <v>484</v>
      </c>
    </row>
    <row r="1716" spans="1:18" hidden="1" x14ac:dyDescent="0.25">
      <c r="A1716" t="s">
        <v>2339</v>
      </c>
      <c r="B1716" t="s">
        <v>14</v>
      </c>
      <c r="C1716" t="s">
        <v>15</v>
      </c>
      <c r="D1716" t="s">
        <v>16</v>
      </c>
      <c r="E1716" t="s">
        <v>219</v>
      </c>
      <c r="F1716" t="s">
        <v>140</v>
      </c>
      <c r="G1716" t="s">
        <v>4078</v>
      </c>
      <c r="H1716" s="15">
        <v>994500</v>
      </c>
      <c r="I1716" s="15">
        <v>0</v>
      </c>
      <c r="J1716" t="s">
        <v>20</v>
      </c>
      <c r="K1716" t="s">
        <v>28</v>
      </c>
      <c r="L1716" s="2">
        <v>45474</v>
      </c>
      <c r="M1716" t="s">
        <v>4079</v>
      </c>
      <c r="N1716">
        <v>0</v>
      </c>
      <c r="O1716" t="s">
        <v>4903</v>
      </c>
      <c r="P1716">
        <v>0</v>
      </c>
      <c r="Q1716" t="s">
        <v>4903</v>
      </c>
      <c r="R1716" t="s">
        <v>2339</v>
      </c>
    </row>
    <row r="1717" spans="1:18" hidden="1" x14ac:dyDescent="0.25">
      <c r="A1717" t="s">
        <v>570</v>
      </c>
      <c r="B1717" t="s">
        <v>47</v>
      </c>
      <c r="C1717" t="s">
        <v>48</v>
      </c>
      <c r="D1717" t="s">
        <v>16</v>
      </c>
      <c r="E1717" t="s">
        <v>195</v>
      </c>
      <c r="F1717" t="s">
        <v>34</v>
      </c>
      <c r="G1717" t="s">
        <v>571</v>
      </c>
      <c r="H1717" s="15">
        <v>845326</v>
      </c>
      <c r="I1717" s="15">
        <v>0</v>
      </c>
      <c r="J1717" t="s">
        <v>20</v>
      </c>
      <c r="K1717" t="s">
        <v>28</v>
      </c>
      <c r="L1717" s="2">
        <v>45566</v>
      </c>
      <c r="M1717" t="s">
        <v>572</v>
      </c>
      <c r="N1717">
        <v>0</v>
      </c>
      <c r="O1717" t="s">
        <v>4903</v>
      </c>
      <c r="P1717">
        <v>0</v>
      </c>
      <c r="Q1717" t="s">
        <v>4903</v>
      </c>
      <c r="R1717" t="s">
        <v>570</v>
      </c>
    </row>
    <row r="1718" spans="1:18" hidden="1" x14ac:dyDescent="0.25">
      <c r="A1718" t="s">
        <v>2578</v>
      </c>
      <c r="B1718" t="s">
        <v>126</v>
      </c>
      <c r="C1718" t="s">
        <v>39</v>
      </c>
      <c r="D1718" t="s">
        <v>4512</v>
      </c>
      <c r="E1718" t="s">
        <v>4700</v>
      </c>
      <c r="F1718" t="s">
        <v>59</v>
      </c>
      <c r="G1718" t="s">
        <v>4701</v>
      </c>
      <c r="H1718" s="15">
        <v>100000</v>
      </c>
      <c r="I1718" s="15">
        <v>0</v>
      </c>
      <c r="J1718" t="s">
        <v>44</v>
      </c>
      <c r="K1718" t="s">
        <v>322</v>
      </c>
      <c r="L1718" s="2">
        <v>45566</v>
      </c>
      <c r="M1718" t="s">
        <v>4702</v>
      </c>
      <c r="N1718">
        <v>0</v>
      </c>
      <c r="O1718" t="s">
        <v>4903</v>
      </c>
      <c r="P1718">
        <v>0</v>
      </c>
      <c r="Q1718" t="s">
        <v>4903</v>
      </c>
      <c r="R1718" t="s">
        <v>2578</v>
      </c>
    </row>
    <row r="1719" spans="1:18" hidden="1" x14ac:dyDescent="0.25">
      <c r="A1719" t="s">
        <v>194</v>
      </c>
      <c r="B1719" t="s">
        <v>84</v>
      </c>
      <c r="C1719" t="s">
        <v>15</v>
      </c>
      <c r="D1719" t="s">
        <v>16</v>
      </c>
      <c r="E1719" t="s">
        <v>195</v>
      </c>
      <c r="F1719" t="s">
        <v>18</v>
      </c>
      <c r="G1719" t="s">
        <v>196</v>
      </c>
      <c r="H1719" s="15">
        <v>875926</v>
      </c>
      <c r="I1719" s="15">
        <v>0</v>
      </c>
      <c r="J1719" t="s">
        <v>20</v>
      </c>
      <c r="K1719" t="s">
        <v>21</v>
      </c>
      <c r="L1719" s="2">
        <v>45566</v>
      </c>
      <c r="M1719" t="s">
        <v>197</v>
      </c>
      <c r="N1719">
        <v>0</v>
      </c>
      <c r="O1719" t="s">
        <v>4903</v>
      </c>
      <c r="P1719">
        <v>0</v>
      </c>
      <c r="Q1719" t="s">
        <v>4903</v>
      </c>
      <c r="R1719" t="s">
        <v>194</v>
      </c>
    </row>
    <row r="1720" spans="1:18" hidden="1" x14ac:dyDescent="0.25">
      <c r="A1720" t="s">
        <v>1569</v>
      </c>
      <c r="B1720" t="s">
        <v>14</v>
      </c>
      <c r="C1720" t="s">
        <v>15</v>
      </c>
      <c r="D1720" t="s">
        <v>16</v>
      </c>
      <c r="E1720" t="s">
        <v>195</v>
      </c>
      <c r="F1720" t="s">
        <v>152</v>
      </c>
      <c r="G1720" t="s">
        <v>1570</v>
      </c>
      <c r="H1720" s="15">
        <v>860626</v>
      </c>
      <c r="I1720" s="15">
        <v>0</v>
      </c>
      <c r="J1720" t="s">
        <v>20</v>
      </c>
      <c r="K1720" t="s">
        <v>28</v>
      </c>
      <c r="L1720" s="2">
        <v>45566</v>
      </c>
      <c r="M1720" t="s">
        <v>1571</v>
      </c>
      <c r="N1720">
        <v>0</v>
      </c>
      <c r="O1720" t="s">
        <v>4903</v>
      </c>
      <c r="P1720">
        <v>0</v>
      </c>
      <c r="Q1720" t="s">
        <v>4903</v>
      </c>
      <c r="R1720" t="s">
        <v>1569</v>
      </c>
    </row>
    <row r="1721" spans="1:18" hidden="1" x14ac:dyDescent="0.25">
      <c r="A1721" t="s">
        <v>1560</v>
      </c>
      <c r="B1721" t="s">
        <v>14</v>
      </c>
      <c r="C1721" t="s">
        <v>15</v>
      </c>
      <c r="D1721" t="s">
        <v>16</v>
      </c>
      <c r="E1721" t="s">
        <v>195</v>
      </c>
      <c r="F1721" t="s">
        <v>140</v>
      </c>
      <c r="G1721" t="s">
        <v>1561</v>
      </c>
      <c r="H1721" s="15">
        <v>1419942</v>
      </c>
      <c r="I1721" s="15">
        <v>0</v>
      </c>
      <c r="J1721" t="s">
        <v>20</v>
      </c>
      <c r="K1721" t="s">
        <v>28</v>
      </c>
      <c r="L1721" s="2">
        <v>45566</v>
      </c>
      <c r="M1721" t="s">
        <v>1562</v>
      </c>
      <c r="N1721">
        <v>0</v>
      </c>
      <c r="O1721" t="s">
        <v>4903</v>
      </c>
      <c r="P1721">
        <v>0</v>
      </c>
      <c r="Q1721" t="s">
        <v>4903</v>
      </c>
      <c r="R1721" t="s">
        <v>1560</v>
      </c>
    </row>
    <row r="1722" spans="1:18" hidden="1" x14ac:dyDescent="0.25">
      <c r="A1722" t="s">
        <v>1181</v>
      </c>
      <c r="B1722" t="s">
        <v>47</v>
      </c>
      <c r="C1722" t="s">
        <v>48</v>
      </c>
      <c r="D1722" t="s">
        <v>16</v>
      </c>
      <c r="E1722" t="s">
        <v>195</v>
      </c>
      <c r="F1722" t="s">
        <v>140</v>
      </c>
      <c r="G1722" t="s">
        <v>2603</v>
      </c>
      <c r="H1722" s="15">
        <v>967726</v>
      </c>
      <c r="I1722" s="15">
        <v>0</v>
      </c>
      <c r="J1722" t="s">
        <v>20</v>
      </c>
      <c r="K1722" t="s">
        <v>28</v>
      </c>
      <c r="L1722" s="2">
        <v>45566</v>
      </c>
      <c r="M1722" t="s">
        <v>2604</v>
      </c>
      <c r="N1722">
        <v>0</v>
      </c>
      <c r="O1722" t="s">
        <v>4903</v>
      </c>
      <c r="P1722">
        <v>0</v>
      </c>
      <c r="Q1722" t="s">
        <v>4903</v>
      </c>
      <c r="R1722" t="s">
        <v>1181</v>
      </c>
    </row>
    <row r="1723" spans="1:18" hidden="1" x14ac:dyDescent="0.25">
      <c r="A1723" t="s">
        <v>539</v>
      </c>
      <c r="B1723" t="s">
        <v>61</v>
      </c>
      <c r="C1723" t="s">
        <v>62</v>
      </c>
      <c r="D1723" t="s">
        <v>16</v>
      </c>
      <c r="E1723" t="s">
        <v>195</v>
      </c>
      <c r="F1723" t="s">
        <v>34</v>
      </c>
      <c r="G1723" t="s">
        <v>3132</v>
      </c>
      <c r="H1723" s="15">
        <v>979200</v>
      </c>
      <c r="I1723" s="15">
        <v>0</v>
      </c>
      <c r="J1723" t="s">
        <v>20</v>
      </c>
      <c r="K1723" t="s">
        <v>116</v>
      </c>
      <c r="L1723" s="2">
        <v>45566</v>
      </c>
      <c r="M1723" t="s">
        <v>3133</v>
      </c>
      <c r="N1723">
        <v>0</v>
      </c>
      <c r="O1723" t="s">
        <v>4903</v>
      </c>
      <c r="P1723">
        <v>0</v>
      </c>
      <c r="Q1723" t="s">
        <v>4903</v>
      </c>
      <c r="R1723" t="s">
        <v>539</v>
      </c>
    </row>
    <row r="1724" spans="1:18" hidden="1" x14ac:dyDescent="0.25">
      <c r="A1724" t="s">
        <v>420</v>
      </c>
      <c r="B1724" t="s">
        <v>84</v>
      </c>
      <c r="C1724" t="s">
        <v>15</v>
      </c>
      <c r="D1724" t="s">
        <v>16</v>
      </c>
      <c r="E1724" t="s">
        <v>195</v>
      </c>
      <c r="F1724" t="s">
        <v>18</v>
      </c>
      <c r="G1724" t="s">
        <v>421</v>
      </c>
      <c r="H1724" s="15">
        <v>879750</v>
      </c>
      <c r="I1724" s="15">
        <v>0</v>
      </c>
      <c r="J1724" t="s">
        <v>20</v>
      </c>
      <c r="K1724" t="s">
        <v>21</v>
      </c>
      <c r="L1724" s="2">
        <v>45566</v>
      </c>
      <c r="M1724" t="s">
        <v>422</v>
      </c>
      <c r="N1724">
        <v>0</v>
      </c>
      <c r="O1724" t="s">
        <v>4903</v>
      </c>
      <c r="P1724">
        <v>0</v>
      </c>
      <c r="Q1724" t="s">
        <v>4903</v>
      </c>
      <c r="R1724" t="s">
        <v>420</v>
      </c>
    </row>
    <row r="1725" spans="1:18" hidden="1" x14ac:dyDescent="0.25">
      <c r="A1725" t="s">
        <v>2088</v>
      </c>
      <c r="B1725" t="s">
        <v>2089</v>
      </c>
      <c r="C1725" t="s">
        <v>39</v>
      </c>
      <c r="D1725" t="s">
        <v>16</v>
      </c>
      <c r="E1725" t="s">
        <v>195</v>
      </c>
      <c r="F1725" t="s">
        <v>34</v>
      </c>
      <c r="G1725" t="s">
        <v>2090</v>
      </c>
      <c r="H1725" s="15">
        <v>799426</v>
      </c>
      <c r="I1725" s="15">
        <v>0</v>
      </c>
      <c r="J1725" t="s">
        <v>20</v>
      </c>
      <c r="K1725" t="s">
        <v>116</v>
      </c>
      <c r="L1725" s="2">
        <v>45566</v>
      </c>
      <c r="M1725" t="s">
        <v>2091</v>
      </c>
      <c r="N1725">
        <v>0</v>
      </c>
      <c r="O1725" t="s">
        <v>4903</v>
      </c>
      <c r="P1725">
        <v>0</v>
      </c>
      <c r="Q1725" t="s">
        <v>4903</v>
      </c>
      <c r="R1725" t="s">
        <v>2088</v>
      </c>
    </row>
    <row r="1726" spans="1:18" hidden="1" x14ac:dyDescent="0.25">
      <c r="A1726" t="s">
        <v>413</v>
      </c>
      <c r="B1726" t="s">
        <v>414</v>
      </c>
      <c r="C1726" t="s">
        <v>39</v>
      </c>
      <c r="D1726" t="s">
        <v>16</v>
      </c>
      <c r="E1726" t="s">
        <v>195</v>
      </c>
      <c r="F1726" t="s">
        <v>18</v>
      </c>
      <c r="G1726" t="s">
        <v>415</v>
      </c>
      <c r="H1726" s="15">
        <v>493426</v>
      </c>
      <c r="I1726" s="15">
        <v>0</v>
      </c>
      <c r="J1726" t="s">
        <v>20</v>
      </c>
      <c r="K1726" t="s">
        <v>116</v>
      </c>
      <c r="L1726" s="2">
        <v>45566</v>
      </c>
      <c r="M1726" t="s">
        <v>416</v>
      </c>
      <c r="N1726">
        <v>0</v>
      </c>
      <c r="O1726" t="s">
        <v>4903</v>
      </c>
      <c r="P1726">
        <v>0</v>
      </c>
      <c r="Q1726" t="s">
        <v>4903</v>
      </c>
      <c r="R1726" t="s">
        <v>413</v>
      </c>
    </row>
    <row r="1727" spans="1:18" hidden="1" x14ac:dyDescent="0.25">
      <c r="A1727" t="s">
        <v>1108</v>
      </c>
      <c r="B1727" t="s">
        <v>520</v>
      </c>
      <c r="C1727" t="s">
        <v>521</v>
      </c>
      <c r="D1727" t="s">
        <v>16</v>
      </c>
      <c r="E1727" t="s">
        <v>195</v>
      </c>
      <c r="F1727" t="s">
        <v>140</v>
      </c>
      <c r="G1727" t="s">
        <v>1109</v>
      </c>
      <c r="H1727" s="15">
        <v>1071000</v>
      </c>
      <c r="I1727" s="15">
        <v>0</v>
      </c>
      <c r="J1727" t="s">
        <v>20</v>
      </c>
      <c r="K1727" t="s">
        <v>28</v>
      </c>
      <c r="L1727" s="2">
        <v>45566</v>
      </c>
      <c r="M1727" t="s">
        <v>1110</v>
      </c>
      <c r="N1727">
        <v>0</v>
      </c>
      <c r="O1727" t="s">
        <v>4903</v>
      </c>
      <c r="P1727">
        <v>0</v>
      </c>
      <c r="Q1727" t="s">
        <v>4903</v>
      </c>
      <c r="R1727" t="s">
        <v>1108</v>
      </c>
    </row>
    <row r="1728" spans="1:18" hidden="1" x14ac:dyDescent="0.25">
      <c r="A1728" t="s">
        <v>324</v>
      </c>
      <c r="B1728" t="s">
        <v>113</v>
      </c>
      <c r="C1728" t="s">
        <v>15</v>
      </c>
      <c r="D1728" t="s">
        <v>16</v>
      </c>
      <c r="E1728" t="s">
        <v>195</v>
      </c>
      <c r="F1728" t="s">
        <v>18</v>
      </c>
      <c r="G1728" t="s">
        <v>325</v>
      </c>
      <c r="H1728" s="15">
        <v>757350</v>
      </c>
      <c r="I1728" s="15">
        <v>0</v>
      </c>
      <c r="J1728" t="s">
        <v>20</v>
      </c>
      <c r="K1728" t="s">
        <v>326</v>
      </c>
      <c r="L1728" s="2">
        <v>45566</v>
      </c>
      <c r="M1728" t="s">
        <v>327</v>
      </c>
      <c r="N1728">
        <v>0</v>
      </c>
      <c r="O1728" t="s">
        <v>4903</v>
      </c>
      <c r="P1728">
        <v>0</v>
      </c>
      <c r="Q1728" t="s">
        <v>4903</v>
      </c>
      <c r="R1728" t="s">
        <v>324</v>
      </c>
    </row>
    <row r="1729" spans="1:18" hidden="1" x14ac:dyDescent="0.25">
      <c r="A1729" t="s">
        <v>1611</v>
      </c>
      <c r="B1729" t="s">
        <v>315</v>
      </c>
      <c r="C1729" t="s">
        <v>39</v>
      </c>
      <c r="D1729" t="s">
        <v>16</v>
      </c>
      <c r="E1729" t="s">
        <v>195</v>
      </c>
      <c r="F1729" t="s">
        <v>26</v>
      </c>
      <c r="G1729" t="s">
        <v>3333</v>
      </c>
      <c r="H1729" s="15">
        <v>1116900</v>
      </c>
      <c r="I1729" s="15">
        <v>0</v>
      </c>
      <c r="J1729" t="s">
        <v>20</v>
      </c>
      <c r="K1729" t="s">
        <v>28</v>
      </c>
      <c r="L1729" s="2">
        <v>45566</v>
      </c>
      <c r="M1729" t="s">
        <v>3334</v>
      </c>
      <c r="N1729">
        <v>0</v>
      </c>
      <c r="O1729" t="s">
        <v>4903</v>
      </c>
      <c r="P1729">
        <v>0</v>
      </c>
      <c r="Q1729" t="s">
        <v>4903</v>
      </c>
      <c r="R1729" t="s">
        <v>1611</v>
      </c>
    </row>
    <row r="1730" spans="1:18" hidden="1" x14ac:dyDescent="0.25">
      <c r="A1730" t="s">
        <v>2138</v>
      </c>
      <c r="B1730" t="s">
        <v>119</v>
      </c>
      <c r="C1730" t="s">
        <v>39</v>
      </c>
      <c r="D1730" t="s">
        <v>16</v>
      </c>
      <c r="E1730" t="s">
        <v>195</v>
      </c>
      <c r="F1730" t="s">
        <v>26</v>
      </c>
      <c r="G1730" t="s">
        <v>4267</v>
      </c>
      <c r="H1730" s="15">
        <v>1269900</v>
      </c>
      <c r="I1730" s="15">
        <v>0</v>
      </c>
      <c r="J1730" t="s">
        <v>20</v>
      </c>
      <c r="K1730" t="s">
        <v>28</v>
      </c>
      <c r="L1730" s="2">
        <v>45566</v>
      </c>
      <c r="M1730" t="s">
        <v>4268</v>
      </c>
      <c r="N1730">
        <v>0</v>
      </c>
      <c r="O1730" t="s">
        <v>4903</v>
      </c>
      <c r="P1730">
        <v>0</v>
      </c>
      <c r="Q1730" t="s">
        <v>4903</v>
      </c>
      <c r="R1730" t="s">
        <v>2138</v>
      </c>
    </row>
    <row r="1731" spans="1:18" hidden="1" x14ac:dyDescent="0.25">
      <c r="A1731" t="s">
        <v>4037</v>
      </c>
      <c r="B1731" t="s">
        <v>47</v>
      </c>
      <c r="C1731" t="s">
        <v>48</v>
      </c>
      <c r="D1731" t="s">
        <v>16</v>
      </c>
      <c r="E1731" t="s">
        <v>195</v>
      </c>
      <c r="F1731" t="s">
        <v>140</v>
      </c>
      <c r="G1731" t="s">
        <v>4038</v>
      </c>
      <c r="H1731" s="15">
        <v>1166628</v>
      </c>
      <c r="I1731" s="15">
        <v>0</v>
      </c>
      <c r="J1731" t="s">
        <v>4039</v>
      </c>
      <c r="K1731" t="s">
        <v>28</v>
      </c>
      <c r="L1731" s="2">
        <v>45566</v>
      </c>
      <c r="M1731" t="s">
        <v>4040</v>
      </c>
      <c r="N1731">
        <v>0</v>
      </c>
      <c r="O1731" t="s">
        <v>4903</v>
      </c>
      <c r="P1731">
        <v>0</v>
      </c>
      <c r="Q1731" t="s">
        <v>4903</v>
      </c>
      <c r="R1731" t="s">
        <v>4037</v>
      </c>
    </row>
    <row r="1732" spans="1:18" hidden="1" x14ac:dyDescent="0.25">
      <c r="A1732" t="s">
        <v>2486</v>
      </c>
      <c r="B1732" t="s">
        <v>676</v>
      </c>
      <c r="C1732" t="s">
        <v>39</v>
      </c>
      <c r="D1732" t="s">
        <v>16</v>
      </c>
      <c r="E1732" t="s">
        <v>195</v>
      </c>
      <c r="F1732" t="s">
        <v>34</v>
      </c>
      <c r="G1732" t="s">
        <v>2487</v>
      </c>
      <c r="H1732" s="15">
        <v>983024</v>
      </c>
      <c r="I1732" s="15">
        <v>0</v>
      </c>
      <c r="J1732" t="s">
        <v>154</v>
      </c>
      <c r="K1732" t="s">
        <v>28</v>
      </c>
      <c r="L1732" s="2">
        <v>45566</v>
      </c>
      <c r="M1732" t="s">
        <v>2488</v>
      </c>
      <c r="N1732">
        <v>0</v>
      </c>
      <c r="O1732" t="s">
        <v>4903</v>
      </c>
      <c r="P1732">
        <v>0</v>
      </c>
      <c r="Q1732" t="s">
        <v>4903</v>
      </c>
      <c r="R1732" t="s">
        <v>2486</v>
      </c>
    </row>
    <row r="1733" spans="1:18" hidden="1" x14ac:dyDescent="0.25">
      <c r="A1733" t="s">
        <v>2861</v>
      </c>
      <c r="B1733" t="s">
        <v>47</v>
      </c>
      <c r="C1733" t="s">
        <v>48</v>
      </c>
      <c r="D1733" t="s">
        <v>16</v>
      </c>
      <c r="E1733" t="s">
        <v>195</v>
      </c>
      <c r="F1733" t="s">
        <v>59</v>
      </c>
      <c r="G1733" t="s">
        <v>4563</v>
      </c>
      <c r="H1733" s="15">
        <v>1013626</v>
      </c>
      <c r="I1733" s="15">
        <v>0</v>
      </c>
      <c r="J1733" t="s">
        <v>20</v>
      </c>
      <c r="K1733" t="s">
        <v>21</v>
      </c>
      <c r="L1733" s="2">
        <v>45566</v>
      </c>
      <c r="M1733" t="s">
        <v>4564</v>
      </c>
      <c r="N1733">
        <v>0</v>
      </c>
      <c r="O1733" t="s">
        <v>4903</v>
      </c>
      <c r="P1733">
        <v>0</v>
      </c>
      <c r="Q1733" t="s">
        <v>4903</v>
      </c>
      <c r="R1733" t="s">
        <v>2861</v>
      </c>
    </row>
    <row r="1734" spans="1:18" hidden="1" x14ac:dyDescent="0.25">
      <c r="A1734" t="s">
        <v>1870</v>
      </c>
      <c r="B1734" t="s">
        <v>190</v>
      </c>
      <c r="C1734" t="s">
        <v>15</v>
      </c>
      <c r="D1734" t="s">
        <v>16</v>
      </c>
      <c r="E1734" t="s">
        <v>195</v>
      </c>
      <c r="F1734" t="s">
        <v>26</v>
      </c>
      <c r="G1734" t="s">
        <v>4119</v>
      </c>
      <c r="H1734" s="15">
        <v>975376</v>
      </c>
      <c r="I1734" s="15">
        <v>0</v>
      </c>
      <c r="J1734" t="s">
        <v>20</v>
      </c>
      <c r="K1734" t="s">
        <v>28</v>
      </c>
      <c r="L1734" s="2">
        <v>45566</v>
      </c>
      <c r="M1734" t="s">
        <v>4120</v>
      </c>
      <c r="N1734">
        <v>0</v>
      </c>
      <c r="O1734" t="s">
        <v>4903</v>
      </c>
      <c r="P1734">
        <v>0</v>
      </c>
      <c r="Q1734" t="s">
        <v>4903</v>
      </c>
      <c r="R1734" t="s">
        <v>1870</v>
      </c>
    </row>
    <row r="1735" spans="1:18" hidden="1" x14ac:dyDescent="0.25">
      <c r="A1735" t="s">
        <v>1245</v>
      </c>
      <c r="B1735" t="s">
        <v>471</v>
      </c>
      <c r="C1735" t="s">
        <v>15</v>
      </c>
      <c r="D1735" t="s">
        <v>16</v>
      </c>
      <c r="E1735" t="s">
        <v>195</v>
      </c>
      <c r="F1735" t="s">
        <v>152</v>
      </c>
      <c r="G1735" t="s">
        <v>1246</v>
      </c>
      <c r="H1735" s="15">
        <v>1162800</v>
      </c>
      <c r="I1735" s="15">
        <v>0</v>
      </c>
      <c r="J1735" t="s">
        <v>20</v>
      </c>
      <c r="K1735" t="s">
        <v>28</v>
      </c>
      <c r="L1735" s="2">
        <v>45566</v>
      </c>
      <c r="M1735" t="s">
        <v>1247</v>
      </c>
      <c r="N1735">
        <v>0</v>
      </c>
      <c r="O1735" t="s">
        <v>4903</v>
      </c>
      <c r="P1735">
        <v>0</v>
      </c>
      <c r="Q1735" t="s">
        <v>4903</v>
      </c>
      <c r="R1735" t="s">
        <v>1245</v>
      </c>
    </row>
    <row r="1736" spans="1:18" hidden="1" x14ac:dyDescent="0.25">
      <c r="A1736" t="s">
        <v>3149</v>
      </c>
      <c r="B1736" t="s">
        <v>84</v>
      </c>
      <c r="C1736" t="s">
        <v>15</v>
      </c>
      <c r="D1736" t="s">
        <v>16</v>
      </c>
      <c r="E1736" t="s">
        <v>195</v>
      </c>
      <c r="F1736" t="s">
        <v>59</v>
      </c>
      <c r="G1736" t="s">
        <v>3150</v>
      </c>
      <c r="H1736" s="15">
        <v>1136026</v>
      </c>
      <c r="I1736" s="15">
        <v>0</v>
      </c>
      <c r="J1736" t="s">
        <v>20</v>
      </c>
      <c r="K1736" t="s">
        <v>57</v>
      </c>
      <c r="L1736" s="2">
        <v>45566</v>
      </c>
      <c r="M1736" t="s">
        <v>3151</v>
      </c>
      <c r="N1736">
        <v>0</v>
      </c>
      <c r="O1736" t="s">
        <v>4903</v>
      </c>
      <c r="P1736">
        <v>0</v>
      </c>
      <c r="Q1736" t="s">
        <v>4903</v>
      </c>
      <c r="R1736" t="s">
        <v>3149</v>
      </c>
    </row>
    <row r="1737" spans="1:18" hidden="1" x14ac:dyDescent="0.25">
      <c r="A1737" t="s">
        <v>2901</v>
      </c>
      <c r="B1737" t="s">
        <v>47</v>
      </c>
      <c r="C1737" t="s">
        <v>48</v>
      </c>
      <c r="D1737" t="s">
        <v>16</v>
      </c>
      <c r="E1737" t="s">
        <v>195</v>
      </c>
      <c r="F1737" t="s">
        <v>18</v>
      </c>
      <c r="G1737" t="s">
        <v>2935</v>
      </c>
      <c r="H1737" s="15">
        <v>722926</v>
      </c>
      <c r="I1737" s="15">
        <v>0</v>
      </c>
      <c r="J1737" t="s">
        <v>20</v>
      </c>
      <c r="K1737" t="s">
        <v>21</v>
      </c>
      <c r="L1737" s="2">
        <v>45566</v>
      </c>
      <c r="M1737" t="s">
        <v>2936</v>
      </c>
      <c r="N1737">
        <v>0</v>
      </c>
      <c r="O1737" t="s">
        <v>4903</v>
      </c>
      <c r="P1737">
        <v>0</v>
      </c>
      <c r="Q1737" t="s">
        <v>4903</v>
      </c>
      <c r="R1737" t="s">
        <v>2901</v>
      </c>
    </row>
    <row r="1738" spans="1:18" hidden="1" x14ac:dyDescent="0.25">
      <c r="A1738" t="s">
        <v>2943</v>
      </c>
      <c r="B1738" t="s">
        <v>315</v>
      </c>
      <c r="C1738" t="s">
        <v>39</v>
      </c>
      <c r="D1738" t="s">
        <v>16</v>
      </c>
      <c r="E1738" t="s">
        <v>195</v>
      </c>
      <c r="F1738" t="s">
        <v>59</v>
      </c>
      <c r="G1738" t="s">
        <v>2944</v>
      </c>
      <c r="H1738" s="15">
        <v>677026</v>
      </c>
      <c r="I1738" s="15">
        <v>0</v>
      </c>
      <c r="J1738" t="s">
        <v>20</v>
      </c>
      <c r="K1738" t="s">
        <v>28</v>
      </c>
      <c r="L1738" s="2">
        <v>45566</v>
      </c>
      <c r="M1738" t="s">
        <v>2945</v>
      </c>
      <c r="N1738">
        <v>0</v>
      </c>
      <c r="O1738" t="s">
        <v>4903</v>
      </c>
      <c r="P1738">
        <v>0</v>
      </c>
      <c r="Q1738" t="s">
        <v>4903</v>
      </c>
      <c r="R1738" t="s">
        <v>2943</v>
      </c>
    </row>
    <row r="1739" spans="1:18" hidden="1" x14ac:dyDescent="0.25">
      <c r="A1739" t="s">
        <v>2198</v>
      </c>
      <c r="B1739" t="s">
        <v>14</v>
      </c>
      <c r="C1739" t="s">
        <v>15</v>
      </c>
      <c r="D1739" t="s">
        <v>16</v>
      </c>
      <c r="E1739" t="s">
        <v>195</v>
      </c>
      <c r="F1739" t="s">
        <v>140</v>
      </c>
      <c r="G1739" t="s">
        <v>2199</v>
      </c>
      <c r="H1739" s="15">
        <v>1147500</v>
      </c>
      <c r="I1739" s="15">
        <v>0</v>
      </c>
      <c r="J1739" t="s">
        <v>20</v>
      </c>
      <c r="K1739" t="s">
        <v>28</v>
      </c>
      <c r="L1739" s="2">
        <v>45566</v>
      </c>
      <c r="M1739" t="s">
        <v>2200</v>
      </c>
      <c r="N1739">
        <v>0</v>
      </c>
      <c r="O1739" t="s">
        <v>4903</v>
      </c>
      <c r="P1739">
        <v>0</v>
      </c>
      <c r="Q1739" t="s">
        <v>4903</v>
      </c>
      <c r="R1739" t="s">
        <v>2198</v>
      </c>
    </row>
    <row r="1740" spans="1:18" hidden="1" x14ac:dyDescent="0.25">
      <c r="A1740" t="s">
        <v>1867</v>
      </c>
      <c r="B1740" t="s">
        <v>489</v>
      </c>
      <c r="C1740" t="s">
        <v>39</v>
      </c>
      <c r="D1740" t="s">
        <v>439</v>
      </c>
      <c r="E1740" t="s">
        <v>440</v>
      </c>
      <c r="F1740" t="s">
        <v>42</v>
      </c>
      <c r="G1740" t="s">
        <v>1868</v>
      </c>
      <c r="H1740" s="15">
        <v>100000</v>
      </c>
      <c r="I1740" s="15">
        <v>0</v>
      </c>
      <c r="J1740" t="s">
        <v>44</v>
      </c>
      <c r="K1740" t="s">
        <v>28</v>
      </c>
      <c r="L1740" s="2">
        <v>45566</v>
      </c>
      <c r="M1740" t="s">
        <v>1869</v>
      </c>
      <c r="N1740">
        <v>0</v>
      </c>
      <c r="O1740" t="s">
        <v>4903</v>
      </c>
      <c r="P1740">
        <v>0</v>
      </c>
      <c r="Q1740" t="s">
        <v>4903</v>
      </c>
      <c r="R1740" t="s">
        <v>1867</v>
      </c>
    </row>
    <row r="1741" spans="1:18" hidden="1" x14ac:dyDescent="0.25">
      <c r="A1741" t="s">
        <v>1867</v>
      </c>
      <c r="B1741" t="s">
        <v>489</v>
      </c>
      <c r="C1741" t="s">
        <v>39</v>
      </c>
      <c r="D1741" t="s">
        <v>16</v>
      </c>
      <c r="E1741" t="s">
        <v>195</v>
      </c>
      <c r="F1741" t="s">
        <v>152</v>
      </c>
      <c r="G1741" t="s">
        <v>1868</v>
      </c>
      <c r="H1741" s="15">
        <v>940950</v>
      </c>
      <c r="I1741" s="15">
        <v>0</v>
      </c>
      <c r="J1741" t="s">
        <v>20</v>
      </c>
      <c r="K1741" t="s">
        <v>28</v>
      </c>
      <c r="L1741" s="2">
        <v>45566</v>
      </c>
      <c r="M1741" t="s">
        <v>1869</v>
      </c>
      <c r="N1741">
        <v>0</v>
      </c>
      <c r="O1741" t="s">
        <v>4903</v>
      </c>
      <c r="P1741">
        <v>0</v>
      </c>
      <c r="Q1741" t="s">
        <v>4903</v>
      </c>
      <c r="R1741" t="s">
        <v>1867</v>
      </c>
    </row>
    <row r="1742" spans="1:18" hidden="1" x14ac:dyDescent="0.25">
      <c r="A1742" t="s">
        <v>1753</v>
      </c>
      <c r="B1742" t="s">
        <v>84</v>
      </c>
      <c r="C1742" t="s">
        <v>15</v>
      </c>
      <c r="D1742" t="s">
        <v>16</v>
      </c>
      <c r="E1742" t="s">
        <v>195</v>
      </c>
      <c r="F1742" t="s">
        <v>26</v>
      </c>
      <c r="G1742" t="s">
        <v>1754</v>
      </c>
      <c r="H1742" s="15">
        <v>753526</v>
      </c>
      <c r="I1742" s="15">
        <v>0</v>
      </c>
      <c r="J1742" t="s">
        <v>20</v>
      </c>
      <c r="K1742" t="s">
        <v>28</v>
      </c>
      <c r="L1742" s="2">
        <v>45566</v>
      </c>
      <c r="M1742" t="s">
        <v>1755</v>
      </c>
      <c r="N1742">
        <v>0</v>
      </c>
      <c r="O1742" t="s">
        <v>4903</v>
      </c>
      <c r="P1742">
        <v>0</v>
      </c>
      <c r="Q1742" t="s">
        <v>4903</v>
      </c>
      <c r="R1742" t="s">
        <v>1753</v>
      </c>
    </row>
    <row r="1743" spans="1:18" hidden="1" x14ac:dyDescent="0.25">
      <c r="A1743" t="s">
        <v>2336</v>
      </c>
      <c r="B1743" t="s">
        <v>84</v>
      </c>
      <c r="C1743" t="s">
        <v>15</v>
      </c>
      <c r="D1743" t="s">
        <v>16</v>
      </c>
      <c r="E1743" t="s">
        <v>195</v>
      </c>
      <c r="F1743" t="s">
        <v>59</v>
      </c>
      <c r="G1743" t="s">
        <v>2337</v>
      </c>
      <c r="H1743" s="15">
        <v>952424</v>
      </c>
      <c r="I1743" s="15">
        <v>0</v>
      </c>
      <c r="J1743" t="s">
        <v>154</v>
      </c>
      <c r="K1743" t="s">
        <v>134</v>
      </c>
      <c r="L1743" s="2">
        <v>45566</v>
      </c>
      <c r="M1743" t="s">
        <v>2338</v>
      </c>
      <c r="N1743">
        <v>0</v>
      </c>
      <c r="O1743" t="s">
        <v>4903</v>
      </c>
      <c r="P1743">
        <v>0</v>
      </c>
      <c r="Q1743" t="s">
        <v>4903</v>
      </c>
      <c r="R1743" t="s">
        <v>2336</v>
      </c>
    </row>
    <row r="1744" spans="1:18" hidden="1" x14ac:dyDescent="0.25">
      <c r="A1744" t="s">
        <v>2303</v>
      </c>
      <c r="B1744" t="s">
        <v>161</v>
      </c>
      <c r="C1744" t="s">
        <v>39</v>
      </c>
      <c r="D1744" t="s">
        <v>16</v>
      </c>
      <c r="E1744" t="s">
        <v>195</v>
      </c>
      <c r="F1744" t="s">
        <v>152</v>
      </c>
      <c r="G1744" t="s">
        <v>4603</v>
      </c>
      <c r="H1744" s="15">
        <v>1139850</v>
      </c>
      <c r="I1744" s="15">
        <v>0</v>
      </c>
      <c r="J1744" t="s">
        <v>20</v>
      </c>
      <c r="K1744" t="s">
        <v>28</v>
      </c>
      <c r="L1744" s="2">
        <v>45566</v>
      </c>
      <c r="M1744" t="s">
        <v>4604</v>
      </c>
      <c r="N1744">
        <v>0</v>
      </c>
      <c r="O1744" t="s">
        <v>4903</v>
      </c>
      <c r="P1744">
        <v>0</v>
      </c>
      <c r="Q1744" t="s">
        <v>4903</v>
      </c>
      <c r="R1744" t="s">
        <v>2303</v>
      </c>
    </row>
    <row r="1745" spans="1:18" hidden="1" x14ac:dyDescent="0.25">
      <c r="A1745" t="s">
        <v>1362</v>
      </c>
      <c r="B1745" t="s">
        <v>14</v>
      </c>
      <c r="C1745" t="s">
        <v>15</v>
      </c>
      <c r="D1745" t="s">
        <v>16</v>
      </c>
      <c r="E1745" t="s">
        <v>195</v>
      </c>
      <c r="F1745" t="s">
        <v>152</v>
      </c>
      <c r="G1745" t="s">
        <v>3147</v>
      </c>
      <c r="H1745" s="15">
        <v>956250</v>
      </c>
      <c r="I1745" s="15">
        <v>0</v>
      </c>
      <c r="J1745" t="s">
        <v>20</v>
      </c>
      <c r="K1745" t="s">
        <v>28</v>
      </c>
      <c r="L1745" s="2">
        <v>45566</v>
      </c>
      <c r="M1745" t="s">
        <v>3148</v>
      </c>
      <c r="N1745">
        <v>0</v>
      </c>
      <c r="O1745" t="s">
        <v>4903</v>
      </c>
      <c r="P1745">
        <v>0</v>
      </c>
      <c r="Q1745" t="s">
        <v>4903</v>
      </c>
      <c r="R1745" t="s">
        <v>1362</v>
      </c>
    </row>
    <row r="1746" spans="1:18" hidden="1" x14ac:dyDescent="0.25">
      <c r="A1746" t="s">
        <v>2141</v>
      </c>
      <c r="B1746" t="s">
        <v>84</v>
      </c>
      <c r="C1746" t="s">
        <v>15</v>
      </c>
      <c r="D1746" t="s">
        <v>16</v>
      </c>
      <c r="E1746" t="s">
        <v>195</v>
      </c>
      <c r="F1746" t="s">
        <v>140</v>
      </c>
      <c r="G1746" t="s">
        <v>4113</v>
      </c>
      <c r="H1746" s="15">
        <v>1071000</v>
      </c>
      <c r="I1746" s="15">
        <v>0</v>
      </c>
      <c r="J1746" t="s">
        <v>20</v>
      </c>
      <c r="K1746" t="s">
        <v>28</v>
      </c>
      <c r="L1746" s="2">
        <v>45566</v>
      </c>
      <c r="M1746" t="s">
        <v>2475</v>
      </c>
      <c r="N1746">
        <v>0</v>
      </c>
      <c r="O1746" t="s">
        <v>4903</v>
      </c>
      <c r="P1746">
        <v>0</v>
      </c>
      <c r="Q1746" t="s">
        <v>4903</v>
      </c>
      <c r="R1746" t="s">
        <v>2141</v>
      </c>
    </row>
    <row r="1747" spans="1:18" hidden="1" x14ac:dyDescent="0.25">
      <c r="A1747" t="s">
        <v>979</v>
      </c>
      <c r="B1747" t="s">
        <v>24</v>
      </c>
      <c r="C1747" t="s">
        <v>15</v>
      </c>
      <c r="D1747" t="s">
        <v>16</v>
      </c>
      <c r="E1747" t="s">
        <v>195</v>
      </c>
      <c r="F1747" t="s">
        <v>34</v>
      </c>
      <c r="G1747" t="s">
        <v>980</v>
      </c>
      <c r="H1747" s="15">
        <v>787950</v>
      </c>
      <c r="I1747" s="15">
        <v>0</v>
      </c>
      <c r="J1747" t="s">
        <v>20</v>
      </c>
      <c r="K1747" t="s">
        <v>28</v>
      </c>
      <c r="L1747" s="2">
        <v>45566</v>
      </c>
      <c r="M1747" t="s">
        <v>981</v>
      </c>
      <c r="N1747">
        <v>0</v>
      </c>
      <c r="O1747" t="s">
        <v>4903</v>
      </c>
      <c r="P1747">
        <v>0</v>
      </c>
      <c r="Q1747" t="s">
        <v>4903</v>
      </c>
      <c r="R1747" t="s">
        <v>979</v>
      </c>
    </row>
    <row r="1748" spans="1:18" hidden="1" x14ac:dyDescent="0.25">
      <c r="A1748" t="s">
        <v>1274</v>
      </c>
      <c r="B1748" t="s">
        <v>47</v>
      </c>
      <c r="C1748" t="s">
        <v>48</v>
      </c>
      <c r="D1748" t="s">
        <v>16</v>
      </c>
      <c r="E1748" t="s">
        <v>195</v>
      </c>
      <c r="F1748" t="s">
        <v>140</v>
      </c>
      <c r="G1748" t="s">
        <v>1275</v>
      </c>
      <c r="H1748" s="15">
        <v>1044226</v>
      </c>
      <c r="I1748" s="15">
        <v>0</v>
      </c>
      <c r="J1748" t="s">
        <v>20</v>
      </c>
      <c r="K1748" t="s">
        <v>28</v>
      </c>
      <c r="L1748" s="2">
        <v>45566</v>
      </c>
      <c r="M1748" t="s">
        <v>1276</v>
      </c>
      <c r="N1748">
        <v>0</v>
      </c>
      <c r="O1748" t="s">
        <v>4903</v>
      </c>
      <c r="P1748">
        <v>0</v>
      </c>
      <c r="Q1748" t="s">
        <v>4903</v>
      </c>
      <c r="R1748" t="s">
        <v>1274</v>
      </c>
    </row>
    <row r="1749" spans="1:18" hidden="1" x14ac:dyDescent="0.25">
      <c r="A1749" t="s">
        <v>3493</v>
      </c>
      <c r="B1749" t="s">
        <v>676</v>
      </c>
      <c r="C1749" t="s">
        <v>39</v>
      </c>
      <c r="D1749" t="s">
        <v>16</v>
      </c>
      <c r="E1749" t="s">
        <v>195</v>
      </c>
      <c r="F1749" t="s">
        <v>152</v>
      </c>
      <c r="G1749" t="s">
        <v>3494</v>
      </c>
      <c r="H1749" s="15">
        <v>814726</v>
      </c>
      <c r="I1749" s="15">
        <v>0</v>
      </c>
      <c r="J1749" t="s">
        <v>20</v>
      </c>
      <c r="K1749" t="s">
        <v>28</v>
      </c>
      <c r="L1749" s="2">
        <v>45566</v>
      </c>
      <c r="M1749" t="s">
        <v>3495</v>
      </c>
      <c r="N1749">
        <v>0</v>
      </c>
      <c r="O1749" t="s">
        <v>4903</v>
      </c>
      <c r="P1749">
        <v>0</v>
      </c>
      <c r="Q1749" t="s">
        <v>4903</v>
      </c>
      <c r="R1749" t="s">
        <v>3493</v>
      </c>
    </row>
    <row r="1750" spans="1:18" hidden="1" x14ac:dyDescent="0.25">
      <c r="A1750" t="s">
        <v>2268</v>
      </c>
      <c r="B1750" t="s">
        <v>406</v>
      </c>
      <c r="C1750" t="s">
        <v>62</v>
      </c>
      <c r="D1750" t="s">
        <v>16</v>
      </c>
      <c r="E1750" t="s">
        <v>195</v>
      </c>
      <c r="F1750" t="s">
        <v>34</v>
      </c>
      <c r="G1750" t="s">
        <v>2280</v>
      </c>
      <c r="H1750" s="15">
        <v>887400</v>
      </c>
      <c r="I1750" s="15">
        <v>0</v>
      </c>
      <c r="J1750" t="s">
        <v>20</v>
      </c>
      <c r="K1750" t="s">
        <v>21</v>
      </c>
      <c r="L1750" s="2">
        <v>45566</v>
      </c>
      <c r="M1750" t="s">
        <v>2281</v>
      </c>
      <c r="N1750">
        <v>0</v>
      </c>
      <c r="O1750" t="s">
        <v>4903</v>
      </c>
      <c r="P1750">
        <v>0</v>
      </c>
      <c r="Q1750" t="s">
        <v>4903</v>
      </c>
      <c r="R1750" t="s">
        <v>2268</v>
      </c>
    </row>
    <row r="1751" spans="1:18" hidden="1" x14ac:dyDescent="0.25">
      <c r="A1751" t="s">
        <v>1539</v>
      </c>
      <c r="B1751" t="s">
        <v>14</v>
      </c>
      <c r="C1751" t="s">
        <v>15</v>
      </c>
      <c r="D1751" t="s">
        <v>16</v>
      </c>
      <c r="E1751" t="s">
        <v>195</v>
      </c>
      <c r="F1751" t="s">
        <v>26</v>
      </c>
      <c r="G1751" t="s">
        <v>1540</v>
      </c>
      <c r="H1751" s="15">
        <v>1292850</v>
      </c>
      <c r="I1751" s="15">
        <v>0</v>
      </c>
      <c r="J1751" t="s">
        <v>20</v>
      </c>
      <c r="K1751" t="s">
        <v>28</v>
      </c>
      <c r="L1751" s="2">
        <v>45566</v>
      </c>
      <c r="M1751" t="s">
        <v>1541</v>
      </c>
      <c r="N1751">
        <v>0</v>
      </c>
      <c r="O1751" t="s">
        <v>4903</v>
      </c>
      <c r="P1751">
        <v>0</v>
      </c>
      <c r="Q1751" t="s">
        <v>4903</v>
      </c>
      <c r="R1751" t="s">
        <v>1539</v>
      </c>
    </row>
    <row r="1752" spans="1:18" hidden="1" x14ac:dyDescent="0.25">
      <c r="A1752" t="s">
        <v>988</v>
      </c>
      <c r="B1752" t="s">
        <v>315</v>
      </c>
      <c r="C1752" t="s">
        <v>39</v>
      </c>
      <c r="D1752" t="s">
        <v>16</v>
      </c>
      <c r="E1752" t="s">
        <v>195</v>
      </c>
      <c r="F1752" t="s">
        <v>26</v>
      </c>
      <c r="G1752" t="s">
        <v>989</v>
      </c>
      <c r="H1752" s="15">
        <v>1109250</v>
      </c>
      <c r="I1752" s="15">
        <v>0</v>
      </c>
      <c r="J1752" t="s">
        <v>20</v>
      </c>
      <c r="K1752" t="s">
        <v>28</v>
      </c>
      <c r="L1752" s="2">
        <v>45566</v>
      </c>
      <c r="M1752" t="s">
        <v>990</v>
      </c>
      <c r="N1752">
        <v>0</v>
      </c>
      <c r="O1752" t="s">
        <v>4903</v>
      </c>
      <c r="P1752">
        <v>0</v>
      </c>
      <c r="Q1752" t="s">
        <v>4903</v>
      </c>
      <c r="R1752" t="s">
        <v>988</v>
      </c>
    </row>
    <row r="1753" spans="1:18" hidden="1" x14ac:dyDescent="0.25">
      <c r="A1753" t="s">
        <v>2319</v>
      </c>
      <c r="B1753" t="s">
        <v>24</v>
      </c>
      <c r="C1753" t="s">
        <v>15</v>
      </c>
      <c r="D1753" t="s">
        <v>4028</v>
      </c>
      <c r="E1753" t="s">
        <v>4029</v>
      </c>
      <c r="F1753" t="s">
        <v>152</v>
      </c>
      <c r="G1753" t="s">
        <v>4030</v>
      </c>
      <c r="H1753" s="15">
        <v>100000</v>
      </c>
      <c r="I1753" s="15">
        <v>0</v>
      </c>
      <c r="J1753" t="s">
        <v>44</v>
      </c>
      <c r="K1753" t="s">
        <v>28</v>
      </c>
      <c r="L1753" s="2">
        <v>45566</v>
      </c>
      <c r="M1753" t="s">
        <v>4031</v>
      </c>
      <c r="N1753">
        <v>0</v>
      </c>
      <c r="O1753" t="s">
        <v>4903</v>
      </c>
      <c r="P1753">
        <v>0</v>
      </c>
      <c r="Q1753" t="s">
        <v>4903</v>
      </c>
      <c r="R1753" t="s">
        <v>2319</v>
      </c>
    </row>
    <row r="1754" spans="1:18" hidden="1" x14ac:dyDescent="0.25">
      <c r="A1754" t="s">
        <v>4092</v>
      </c>
      <c r="B1754" t="s">
        <v>47</v>
      </c>
      <c r="C1754" t="s">
        <v>48</v>
      </c>
      <c r="D1754" t="s">
        <v>16</v>
      </c>
      <c r="E1754" t="s">
        <v>195</v>
      </c>
      <c r="F1754" t="s">
        <v>152</v>
      </c>
      <c r="G1754" t="s">
        <v>4093</v>
      </c>
      <c r="H1754" s="15">
        <v>918000</v>
      </c>
      <c r="I1754" s="15">
        <v>0</v>
      </c>
      <c r="J1754" t="s">
        <v>20</v>
      </c>
      <c r="K1754" t="s">
        <v>134</v>
      </c>
      <c r="L1754" s="2">
        <v>45566</v>
      </c>
      <c r="M1754" t="s">
        <v>4094</v>
      </c>
      <c r="N1754">
        <v>0</v>
      </c>
      <c r="O1754" t="s">
        <v>4903</v>
      </c>
      <c r="P1754">
        <v>0</v>
      </c>
      <c r="Q1754" t="s">
        <v>4903</v>
      </c>
      <c r="R1754" t="s">
        <v>4092</v>
      </c>
    </row>
    <row r="1755" spans="1:18" hidden="1" x14ac:dyDescent="0.25">
      <c r="A1755" t="s">
        <v>1728</v>
      </c>
      <c r="B1755" t="s">
        <v>47</v>
      </c>
      <c r="C1755" t="s">
        <v>48</v>
      </c>
      <c r="D1755" t="s">
        <v>16</v>
      </c>
      <c r="E1755" t="s">
        <v>195</v>
      </c>
      <c r="F1755" t="s">
        <v>59</v>
      </c>
      <c r="G1755" t="s">
        <v>1964</v>
      </c>
      <c r="H1755" s="15">
        <v>1208700</v>
      </c>
      <c r="I1755" s="15">
        <v>0</v>
      </c>
      <c r="J1755" t="s">
        <v>20</v>
      </c>
      <c r="K1755" t="s">
        <v>57</v>
      </c>
      <c r="L1755" s="2">
        <v>45566</v>
      </c>
      <c r="M1755" t="s">
        <v>1965</v>
      </c>
      <c r="N1755">
        <v>0</v>
      </c>
      <c r="O1755" t="s">
        <v>4903</v>
      </c>
      <c r="P1755">
        <v>0</v>
      </c>
      <c r="Q1755" t="s">
        <v>4903</v>
      </c>
      <c r="R1755" t="s">
        <v>1728</v>
      </c>
    </row>
  </sheetData>
  <autoFilter ref="A1:R1755" xr:uid="{E15A351B-8643-4238-9317-2891B4DBB908}">
    <filterColumn colId="16">
      <filters>
        <filter val="C-suite"/>
      </filters>
    </filterColumn>
    <sortState xmlns:xlrd2="http://schemas.microsoft.com/office/spreadsheetml/2017/richdata2" ref="A30:R1566">
      <sortCondition ref="O2:O1755"/>
    </sortState>
  </autoFilter>
  <sortState xmlns:xlrd2="http://schemas.microsoft.com/office/spreadsheetml/2017/richdata2" ref="A1:R1755">
    <sortCondition ref="L2:L1755"/>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1B353-DC57-FD44-BBCB-B5063FC1A674}">
  <sheetPr codeName="Sheet3"/>
  <dimension ref="A1:AD37"/>
  <sheetViews>
    <sheetView tabSelected="1" topLeftCell="A4" zoomScale="110" zoomScaleNormal="110" workbookViewId="0">
      <selection activeCell="L17" sqref="L17"/>
    </sheetView>
  </sheetViews>
  <sheetFormatPr defaultColWidth="10.625" defaultRowHeight="15.75" x14ac:dyDescent="0.25"/>
  <cols>
    <col min="6" max="6" width="14.5" customWidth="1"/>
    <col min="8" max="8" width="12.625" customWidth="1"/>
    <col min="10" max="10" width="13.625" customWidth="1"/>
    <col min="12" max="12" width="14.375" customWidth="1"/>
    <col min="16" max="16" width="13.125" customWidth="1"/>
    <col min="18" max="18" width="14.125" customWidth="1"/>
    <col min="19" max="19" width="14.5" customWidth="1"/>
    <col min="20" max="20" width="14.5" style="24" customWidth="1"/>
    <col min="21" max="21" width="14.5" customWidth="1"/>
    <col min="26" max="26" width="12.625" bestFit="1" customWidth="1"/>
    <col min="27" max="27" width="12" customWidth="1"/>
  </cols>
  <sheetData>
    <row r="1" spans="1:30" x14ac:dyDescent="0.25">
      <c r="A1" s="18" t="s">
        <v>4836</v>
      </c>
      <c r="B1" s="18" t="s">
        <v>4837</v>
      </c>
      <c r="C1" s="18" t="s">
        <v>4807</v>
      </c>
      <c r="D1" s="18" t="s">
        <v>4838</v>
      </c>
      <c r="E1" s="18" t="s">
        <v>4839</v>
      </c>
      <c r="F1" s="18" t="s">
        <v>4840</v>
      </c>
      <c r="G1" s="18" t="s">
        <v>4841</v>
      </c>
      <c r="H1" s="18" t="s">
        <v>4842</v>
      </c>
      <c r="I1" s="18" t="s">
        <v>4843</v>
      </c>
      <c r="J1" s="18" t="s">
        <v>4844</v>
      </c>
      <c r="K1" s="18" t="s">
        <v>4845</v>
      </c>
      <c r="L1" s="18" t="s">
        <v>4846</v>
      </c>
      <c r="M1" s="18" t="s">
        <v>4847</v>
      </c>
      <c r="N1" s="18" t="s">
        <v>4848</v>
      </c>
      <c r="O1" s="18" t="s">
        <v>4849</v>
      </c>
      <c r="P1" s="18" t="s">
        <v>4850</v>
      </c>
      <c r="Q1" s="18" t="s">
        <v>4851</v>
      </c>
      <c r="R1" s="18" t="s">
        <v>4852</v>
      </c>
      <c r="S1" s="18" t="s">
        <v>4904</v>
      </c>
      <c r="T1" s="23" t="s">
        <v>4915</v>
      </c>
      <c r="U1" s="18" t="s">
        <v>4916</v>
      </c>
      <c r="V1" s="18" t="s">
        <v>4853</v>
      </c>
      <c r="W1" s="18" t="s">
        <v>4854</v>
      </c>
      <c r="X1" s="18" t="s">
        <v>4910</v>
      </c>
      <c r="Y1" s="18" t="s">
        <v>4838</v>
      </c>
      <c r="Z1" s="18" t="s">
        <v>4917</v>
      </c>
      <c r="AA1" s="18" t="s">
        <v>4805</v>
      </c>
      <c r="AB1" s="18" t="s">
        <v>4806</v>
      </c>
      <c r="AC1" s="18" t="s">
        <v>4807</v>
      </c>
      <c r="AD1" s="18" t="s">
        <v>0</v>
      </c>
    </row>
    <row r="2" spans="1:30" x14ac:dyDescent="0.25">
      <c r="A2" s="18">
        <v>578</v>
      </c>
      <c r="B2" s="18">
        <v>39</v>
      </c>
      <c r="C2" s="18" t="s">
        <v>4809</v>
      </c>
      <c r="D2" s="18" t="s">
        <v>4819</v>
      </c>
      <c r="E2" s="18" t="b">
        <v>0</v>
      </c>
      <c r="F2" s="19">
        <v>0</v>
      </c>
      <c r="G2" s="18" t="b">
        <v>0</v>
      </c>
      <c r="H2" s="19">
        <v>0</v>
      </c>
      <c r="I2" s="18" t="b">
        <v>0</v>
      </c>
      <c r="J2" s="19">
        <v>0</v>
      </c>
      <c r="K2" s="18" t="b">
        <v>0</v>
      </c>
      <c r="L2" s="19">
        <v>0</v>
      </c>
      <c r="M2" s="18" t="b">
        <v>0</v>
      </c>
      <c r="N2" s="19">
        <v>0</v>
      </c>
      <c r="O2" s="18" t="s">
        <v>4882</v>
      </c>
      <c r="P2" s="19">
        <v>6154552</v>
      </c>
      <c r="Q2" s="18" t="s">
        <v>4905</v>
      </c>
      <c r="R2" s="19">
        <v>1</v>
      </c>
      <c r="S2" s="19">
        <f t="shared" ref="S2:S32" si="0">F2+H2+J2+L2+N2+P2+R2</f>
        <v>6154553</v>
      </c>
      <c r="T2" s="23">
        <v>21.860509375586698</v>
      </c>
      <c r="U2" s="20">
        <v>1.3396602773039479</v>
      </c>
      <c r="V2" s="18"/>
      <c r="W2" s="18"/>
      <c r="X2" s="18" t="s">
        <v>4909</v>
      </c>
      <c r="Y2" s="18" t="s">
        <v>4819</v>
      </c>
      <c r="Z2" s="19">
        <v>388829</v>
      </c>
      <c r="AA2" s="18" t="s">
        <v>4819</v>
      </c>
      <c r="AB2" s="18">
        <v>1</v>
      </c>
      <c r="AC2" s="18" t="s">
        <v>4809</v>
      </c>
      <c r="AD2" s="18" t="s">
        <v>2716</v>
      </c>
    </row>
    <row r="3" spans="1:30" x14ac:dyDescent="0.25">
      <c r="A3" s="18">
        <v>74</v>
      </c>
      <c r="B3" s="18">
        <v>0</v>
      </c>
      <c r="C3" s="18" t="s">
        <v>4809</v>
      </c>
      <c r="D3" s="18" t="s">
        <v>4808</v>
      </c>
      <c r="E3" s="18" t="b">
        <v>1</v>
      </c>
      <c r="F3" s="19">
        <v>11300000</v>
      </c>
      <c r="G3" s="18" t="b">
        <v>1</v>
      </c>
      <c r="H3" s="19">
        <v>41400000</v>
      </c>
      <c r="I3" s="18" t="s">
        <v>4907</v>
      </c>
      <c r="J3" s="19">
        <v>0</v>
      </c>
      <c r="K3" s="18" t="b">
        <v>1</v>
      </c>
      <c r="L3" s="19">
        <v>80000000</v>
      </c>
      <c r="M3" s="18" t="b">
        <v>0</v>
      </c>
      <c r="N3" s="19">
        <v>0</v>
      </c>
      <c r="O3" s="18" t="s">
        <v>4906</v>
      </c>
      <c r="P3" s="19">
        <v>0</v>
      </c>
      <c r="Q3" s="18" t="s">
        <v>4855</v>
      </c>
      <c r="R3" s="19">
        <v>80000000</v>
      </c>
      <c r="S3" s="19">
        <f t="shared" si="0"/>
        <v>212700000</v>
      </c>
      <c r="T3" s="23">
        <v>118.61417157732311</v>
      </c>
      <c r="U3" s="20">
        <v>2.074136580007587</v>
      </c>
      <c r="V3" s="18" t="s">
        <v>4878</v>
      </c>
      <c r="W3" s="18" t="s">
        <v>4879</v>
      </c>
      <c r="X3" s="18" t="s">
        <v>4909</v>
      </c>
      <c r="Y3" s="18" t="s">
        <v>4808</v>
      </c>
      <c r="Z3" s="21">
        <v>1793209</v>
      </c>
      <c r="AA3" s="18" t="s">
        <v>4808</v>
      </c>
      <c r="AB3" s="18">
        <v>1</v>
      </c>
      <c r="AC3" s="18" t="s">
        <v>4809</v>
      </c>
      <c r="AD3" s="18" t="s">
        <v>4922</v>
      </c>
    </row>
    <row r="4" spans="1:30" x14ac:dyDescent="0.25">
      <c r="A4" s="18">
        <v>136</v>
      </c>
      <c r="B4" s="18">
        <v>12</v>
      </c>
      <c r="C4" s="18" t="s">
        <v>4809</v>
      </c>
      <c r="D4" s="18" t="s">
        <v>4817</v>
      </c>
      <c r="E4" s="18" t="b">
        <v>0</v>
      </c>
      <c r="F4" s="19">
        <v>0</v>
      </c>
      <c r="G4" s="18" t="b">
        <v>0</v>
      </c>
      <c r="H4" s="19">
        <v>0</v>
      </c>
      <c r="I4" s="18" t="b">
        <v>0</v>
      </c>
      <c r="J4" s="19">
        <v>0</v>
      </c>
      <c r="K4" s="18" t="b">
        <v>0</v>
      </c>
      <c r="L4" s="19">
        <v>0</v>
      </c>
      <c r="M4" s="18" t="b">
        <v>0</v>
      </c>
      <c r="N4" s="19">
        <v>0</v>
      </c>
      <c r="O4" s="18" t="b">
        <v>0</v>
      </c>
      <c r="P4" s="19">
        <v>0</v>
      </c>
      <c r="Q4" s="18" t="s">
        <v>4905</v>
      </c>
      <c r="R4" s="19">
        <v>1</v>
      </c>
      <c r="S4" s="19">
        <f t="shared" si="0"/>
        <v>1</v>
      </c>
      <c r="T4" s="23">
        <v>0</v>
      </c>
      <c r="U4" s="20" t="e">
        <v>#NUM!</v>
      </c>
      <c r="V4" s="18"/>
      <c r="W4" s="18"/>
      <c r="X4" s="18" t="s">
        <v>4909</v>
      </c>
      <c r="Y4" s="18" t="s">
        <v>4817</v>
      </c>
      <c r="Z4" s="21">
        <v>1019574</v>
      </c>
      <c r="AA4" s="18" t="s">
        <v>4817</v>
      </c>
      <c r="AB4" s="18">
        <v>1</v>
      </c>
      <c r="AC4" s="18" t="s">
        <v>4809</v>
      </c>
      <c r="AD4" s="18" t="s">
        <v>4921</v>
      </c>
    </row>
    <row r="5" spans="1:30" x14ac:dyDescent="0.25">
      <c r="A5" s="18">
        <v>198</v>
      </c>
      <c r="B5" s="18">
        <v>16</v>
      </c>
      <c r="C5" s="18" t="s">
        <v>4809</v>
      </c>
      <c r="D5" s="18" t="s">
        <v>4833</v>
      </c>
      <c r="E5" s="18" t="s">
        <v>4908</v>
      </c>
      <c r="F5" s="19">
        <v>1</v>
      </c>
      <c r="G5" s="18" t="b">
        <v>0</v>
      </c>
      <c r="H5" s="19">
        <v>0</v>
      </c>
      <c r="I5" s="18" t="b">
        <v>0</v>
      </c>
      <c r="J5" s="19">
        <v>0</v>
      </c>
      <c r="K5" s="18" t="b">
        <v>0</v>
      </c>
      <c r="L5" s="19">
        <v>0</v>
      </c>
      <c r="M5" s="18" t="b">
        <v>0</v>
      </c>
      <c r="N5" s="19">
        <v>0</v>
      </c>
      <c r="O5" s="18" t="b">
        <v>0</v>
      </c>
      <c r="P5" s="19">
        <v>0</v>
      </c>
      <c r="Q5" s="18" t="b">
        <v>0</v>
      </c>
      <c r="R5" s="19">
        <v>0</v>
      </c>
      <c r="S5" s="19">
        <f t="shared" si="0"/>
        <v>1</v>
      </c>
      <c r="T5" s="23">
        <v>0</v>
      </c>
      <c r="U5" s="20" t="e">
        <v>#NUM!</v>
      </c>
      <c r="V5" s="18"/>
      <c r="W5" s="18"/>
      <c r="X5" s="18" t="s">
        <v>4909</v>
      </c>
      <c r="Y5" s="18" t="s">
        <v>4833</v>
      </c>
      <c r="Z5" s="19">
        <v>1082476</v>
      </c>
      <c r="AA5" s="18" t="s">
        <v>4833</v>
      </c>
      <c r="AB5" s="18">
        <v>1</v>
      </c>
      <c r="AC5" s="18" t="s">
        <v>4809</v>
      </c>
      <c r="AD5" s="18" t="s">
        <v>1197</v>
      </c>
    </row>
    <row r="6" spans="1:30" x14ac:dyDescent="0.25">
      <c r="A6" s="18">
        <v>542</v>
      </c>
      <c r="B6" s="18">
        <v>24</v>
      </c>
      <c r="C6" s="18" t="s">
        <v>4809</v>
      </c>
      <c r="D6" s="18" t="s">
        <v>4813</v>
      </c>
      <c r="E6" s="18" t="s">
        <v>4907</v>
      </c>
      <c r="F6" s="19">
        <v>1</v>
      </c>
      <c r="G6" s="18" t="b">
        <v>0</v>
      </c>
      <c r="H6" s="19">
        <v>0</v>
      </c>
      <c r="I6" s="18" t="b">
        <v>0</v>
      </c>
      <c r="J6" s="19">
        <v>0</v>
      </c>
      <c r="K6" s="18" t="b">
        <v>0</v>
      </c>
      <c r="L6" s="19">
        <v>0</v>
      </c>
      <c r="M6" s="18" t="b">
        <v>0</v>
      </c>
      <c r="N6" s="19">
        <v>0</v>
      </c>
      <c r="O6" s="18" t="b">
        <v>0</v>
      </c>
      <c r="P6" s="19">
        <v>0</v>
      </c>
      <c r="Q6" s="18" t="b">
        <v>0</v>
      </c>
      <c r="R6" s="19">
        <v>0</v>
      </c>
      <c r="S6" s="19">
        <f t="shared" si="0"/>
        <v>1</v>
      </c>
      <c r="T6" s="23">
        <v>0</v>
      </c>
      <c r="U6" s="20" t="e">
        <v>#NUM!</v>
      </c>
      <c r="V6" s="18"/>
      <c r="W6" s="18"/>
      <c r="X6" s="18" t="s">
        <v>4909</v>
      </c>
      <c r="Y6" s="18" t="s">
        <v>4813</v>
      </c>
      <c r="Z6" s="19">
        <v>292815</v>
      </c>
      <c r="AA6" s="18" t="s">
        <v>4813</v>
      </c>
      <c r="AB6" s="18">
        <v>1</v>
      </c>
      <c r="AC6" s="18" t="s">
        <v>4809</v>
      </c>
      <c r="AD6" s="18" t="s">
        <v>265</v>
      </c>
    </row>
    <row r="7" spans="1:30" x14ac:dyDescent="0.25">
      <c r="A7" s="18">
        <v>681</v>
      </c>
      <c r="B7" s="18">
        <v>11</v>
      </c>
      <c r="C7" s="18" t="s">
        <v>4809</v>
      </c>
      <c r="D7" s="18" t="s">
        <v>4826</v>
      </c>
      <c r="E7" s="18" t="b">
        <v>0</v>
      </c>
      <c r="F7" s="19">
        <v>0</v>
      </c>
      <c r="G7" s="18" t="b">
        <v>0</v>
      </c>
      <c r="H7" s="19">
        <v>0</v>
      </c>
      <c r="I7" s="18" t="b">
        <v>0</v>
      </c>
      <c r="J7" s="19">
        <v>0</v>
      </c>
      <c r="K7" s="18" t="b">
        <v>0</v>
      </c>
      <c r="L7" s="19">
        <v>0</v>
      </c>
      <c r="M7" s="18" t="b">
        <v>0</v>
      </c>
      <c r="N7" s="19">
        <v>0</v>
      </c>
      <c r="O7" s="18" t="b">
        <v>0</v>
      </c>
      <c r="P7" s="19">
        <v>0</v>
      </c>
      <c r="Q7" s="18" t="s">
        <v>4905</v>
      </c>
      <c r="R7" s="19">
        <v>1</v>
      </c>
      <c r="S7" s="19">
        <f t="shared" si="0"/>
        <v>1</v>
      </c>
      <c r="T7" s="23">
        <v>0</v>
      </c>
      <c r="U7" s="20" t="e">
        <v>#NUM!</v>
      </c>
      <c r="V7" s="18"/>
      <c r="W7" s="18"/>
      <c r="X7" s="18" t="s">
        <v>4909</v>
      </c>
      <c r="Y7" s="18" t="s">
        <v>4826</v>
      </c>
      <c r="Z7" s="19">
        <v>623749</v>
      </c>
      <c r="AA7" s="18" t="s">
        <v>4826</v>
      </c>
      <c r="AB7" s="18">
        <v>1</v>
      </c>
      <c r="AC7" s="18" t="s">
        <v>4809</v>
      </c>
      <c r="AD7" s="18" t="s">
        <v>4746</v>
      </c>
    </row>
    <row r="8" spans="1:30" x14ac:dyDescent="0.25">
      <c r="A8" s="18">
        <v>367</v>
      </c>
      <c r="B8" s="18">
        <v>26</v>
      </c>
      <c r="C8" s="18" t="s">
        <v>4809</v>
      </c>
      <c r="D8" s="18" t="s">
        <v>4827</v>
      </c>
      <c r="E8" s="18" t="b">
        <v>0</v>
      </c>
      <c r="F8" s="19">
        <v>0</v>
      </c>
      <c r="G8" s="18" t="b">
        <v>0</v>
      </c>
      <c r="H8" s="19">
        <v>0</v>
      </c>
      <c r="I8" s="18" t="b">
        <v>0</v>
      </c>
      <c r="J8" s="19">
        <v>0</v>
      </c>
      <c r="K8" s="18" t="b">
        <v>0</v>
      </c>
      <c r="L8" s="19">
        <v>0</v>
      </c>
      <c r="M8" s="18" t="b">
        <v>0</v>
      </c>
      <c r="N8" s="19">
        <v>0</v>
      </c>
      <c r="O8" s="18" t="s">
        <v>4862</v>
      </c>
      <c r="P8" s="19">
        <v>267904</v>
      </c>
      <c r="Q8" s="18" t="b">
        <v>0</v>
      </c>
      <c r="R8" s="19">
        <v>0</v>
      </c>
      <c r="S8" s="19">
        <f t="shared" si="0"/>
        <v>267904</v>
      </c>
      <c r="T8" s="23">
        <v>0.56568349855368494</v>
      </c>
      <c r="U8" s="20">
        <v>-0.24742648979698367</v>
      </c>
      <c r="V8" s="18"/>
      <c r="W8" s="18"/>
      <c r="X8" s="18"/>
      <c r="Y8" s="18" t="s">
        <v>4827</v>
      </c>
      <c r="Z8" s="19">
        <v>654076</v>
      </c>
      <c r="AA8" s="18" t="s">
        <v>4827</v>
      </c>
      <c r="AB8" s="18">
        <v>1</v>
      </c>
      <c r="AC8" s="18" t="s">
        <v>4809</v>
      </c>
      <c r="AD8" s="18" t="s">
        <v>324</v>
      </c>
    </row>
    <row r="9" spans="1:30" x14ac:dyDescent="0.25">
      <c r="A9" s="18">
        <v>419</v>
      </c>
      <c r="B9" s="18">
        <v>32</v>
      </c>
      <c r="C9" s="18" t="s">
        <v>4809</v>
      </c>
      <c r="D9" s="18" t="s">
        <v>4859</v>
      </c>
      <c r="E9" s="18" t="b">
        <v>1</v>
      </c>
      <c r="F9" s="19">
        <v>434439</v>
      </c>
      <c r="G9" s="18" t="b">
        <v>0</v>
      </c>
      <c r="H9" s="19">
        <v>0</v>
      </c>
      <c r="I9" s="18" t="b">
        <v>0</v>
      </c>
      <c r="J9" s="19">
        <v>0</v>
      </c>
      <c r="K9" s="18" t="b">
        <v>0</v>
      </c>
      <c r="L9" s="19">
        <v>0</v>
      </c>
      <c r="M9" s="18" t="b">
        <v>0</v>
      </c>
      <c r="N9" s="19">
        <v>0</v>
      </c>
      <c r="O9" s="18" t="b">
        <v>0</v>
      </c>
      <c r="P9" s="19">
        <v>0</v>
      </c>
      <c r="Q9" s="18" t="b">
        <v>0</v>
      </c>
      <c r="R9" s="19">
        <v>0</v>
      </c>
      <c r="S9" s="19">
        <f t="shared" si="0"/>
        <v>434439</v>
      </c>
      <c r="T9" s="23">
        <v>1.2484186696850657</v>
      </c>
      <c r="U9" s="20">
        <v>9.636025477107088E-2</v>
      </c>
      <c r="V9" s="18"/>
      <c r="W9" s="18" t="s">
        <v>4860</v>
      </c>
      <c r="X9" s="18"/>
      <c r="Y9" s="18" t="s">
        <v>4859</v>
      </c>
      <c r="Z9" s="19">
        <v>480608</v>
      </c>
      <c r="AA9" s="18" t="s">
        <v>4859</v>
      </c>
      <c r="AB9" s="18">
        <v>1</v>
      </c>
      <c r="AC9" s="18" t="s">
        <v>4809</v>
      </c>
      <c r="AD9" s="18" t="s">
        <v>1263</v>
      </c>
    </row>
    <row r="10" spans="1:30" x14ac:dyDescent="0.25">
      <c r="A10" s="18">
        <v>419</v>
      </c>
      <c r="B10" s="18">
        <v>31</v>
      </c>
      <c r="C10" s="18" t="s">
        <v>4809</v>
      </c>
      <c r="D10" s="18" t="s">
        <v>4829</v>
      </c>
      <c r="E10" s="18" t="b">
        <v>0</v>
      </c>
      <c r="F10" s="19">
        <v>0</v>
      </c>
      <c r="G10" s="18" t="b">
        <v>1</v>
      </c>
      <c r="H10" s="19">
        <v>1513295</v>
      </c>
      <c r="I10" s="18" t="b">
        <v>0</v>
      </c>
      <c r="J10" s="19">
        <v>0</v>
      </c>
      <c r="K10" s="18" t="b">
        <v>0</v>
      </c>
      <c r="L10" s="19">
        <v>0</v>
      </c>
      <c r="M10" s="18" t="b">
        <v>0</v>
      </c>
      <c r="N10" s="19">
        <v>0</v>
      </c>
      <c r="O10" s="18" t="b">
        <v>0</v>
      </c>
      <c r="P10" s="19">
        <v>0</v>
      </c>
      <c r="Q10" s="18" t="b">
        <v>0</v>
      </c>
      <c r="R10" s="19">
        <v>0</v>
      </c>
      <c r="S10" s="19">
        <f t="shared" si="0"/>
        <v>1513295</v>
      </c>
      <c r="T10" s="23">
        <v>2.7866666666666662</v>
      </c>
      <c r="U10" s="20">
        <v>0.44508502271935391</v>
      </c>
      <c r="V10" s="18" t="s">
        <v>4861</v>
      </c>
      <c r="W10" s="18"/>
      <c r="X10" s="18"/>
      <c r="Y10" s="18" t="s">
        <v>4829</v>
      </c>
      <c r="Z10" s="19">
        <v>750000</v>
      </c>
      <c r="AA10" s="18" t="s">
        <v>4829</v>
      </c>
      <c r="AB10" s="18">
        <v>1</v>
      </c>
      <c r="AC10" s="18" t="s">
        <v>4809</v>
      </c>
      <c r="AD10" s="18" t="s">
        <v>1263</v>
      </c>
    </row>
    <row r="11" spans="1:30" x14ac:dyDescent="0.25">
      <c r="A11" s="18">
        <v>751</v>
      </c>
      <c r="B11" s="18">
        <v>8</v>
      </c>
      <c r="C11" s="18" t="s">
        <v>4809</v>
      </c>
      <c r="D11" s="18" t="s">
        <v>4823</v>
      </c>
      <c r="E11" s="18" t="b">
        <v>1</v>
      </c>
      <c r="F11" s="19">
        <v>1013691</v>
      </c>
      <c r="G11" s="18" t="b">
        <v>0</v>
      </c>
      <c r="H11" s="19">
        <v>0</v>
      </c>
      <c r="I11" s="18" t="b">
        <v>0</v>
      </c>
      <c r="J11" s="19">
        <v>0</v>
      </c>
      <c r="K11" s="18" t="b">
        <v>0</v>
      </c>
      <c r="L11" s="19">
        <v>0</v>
      </c>
      <c r="M11" s="18" t="b">
        <v>0</v>
      </c>
      <c r="N11" s="19">
        <v>0</v>
      </c>
      <c r="O11" s="18" t="b">
        <v>0</v>
      </c>
      <c r="P11" s="19">
        <v>0</v>
      </c>
      <c r="Q11" s="18" t="b">
        <v>0</v>
      </c>
      <c r="R11" s="19">
        <v>0</v>
      </c>
      <c r="S11" s="19">
        <f t="shared" si="0"/>
        <v>1013691</v>
      </c>
      <c r="T11" s="23">
        <v>5.163736553537805</v>
      </c>
      <c r="U11" s="20">
        <v>0.71296407707552889</v>
      </c>
      <c r="V11" s="18" t="s">
        <v>4871</v>
      </c>
      <c r="W11" s="18" t="s">
        <v>4856</v>
      </c>
      <c r="X11" s="18"/>
      <c r="Y11" s="18" t="s">
        <v>4823</v>
      </c>
      <c r="Z11" s="19">
        <v>271121.5</v>
      </c>
      <c r="AA11" s="18" t="s">
        <v>4835</v>
      </c>
      <c r="AB11" s="18">
        <v>2</v>
      </c>
      <c r="AC11" s="18" t="s">
        <v>4809</v>
      </c>
      <c r="AD11" s="18" t="s">
        <v>1722</v>
      </c>
    </row>
    <row r="12" spans="1:30" x14ac:dyDescent="0.25">
      <c r="A12" s="18"/>
      <c r="B12" s="18"/>
      <c r="C12" s="18" t="s">
        <v>4809</v>
      </c>
      <c r="D12" s="18" t="s">
        <v>4880</v>
      </c>
      <c r="E12" s="18" t="b">
        <v>1</v>
      </c>
      <c r="F12" s="19">
        <v>1404362</v>
      </c>
      <c r="G12" s="18" t="b">
        <v>0</v>
      </c>
      <c r="H12" s="19">
        <v>0</v>
      </c>
      <c r="I12" s="18" t="b">
        <v>0</v>
      </c>
      <c r="J12" s="19">
        <v>0</v>
      </c>
      <c r="K12" s="18" t="b">
        <v>0</v>
      </c>
      <c r="L12" s="19">
        <v>0</v>
      </c>
      <c r="M12" s="18" t="b">
        <v>0</v>
      </c>
      <c r="N12" s="19">
        <v>0</v>
      </c>
      <c r="O12" s="18" t="b">
        <v>0</v>
      </c>
      <c r="P12" s="19">
        <v>0</v>
      </c>
      <c r="Q12" s="18" t="b">
        <v>0</v>
      </c>
      <c r="R12" s="19">
        <v>0</v>
      </c>
      <c r="S12" s="19">
        <f t="shared" si="0"/>
        <v>1404362</v>
      </c>
      <c r="T12" s="23">
        <v>5.2407468064199145</v>
      </c>
      <c r="U12" s="20">
        <v>0.71939317835726291</v>
      </c>
      <c r="V12" s="18" t="s">
        <v>4881</v>
      </c>
      <c r="W12" s="18" t="s">
        <v>4860</v>
      </c>
      <c r="X12" s="18"/>
      <c r="Y12" s="18" t="s">
        <v>4880</v>
      </c>
      <c r="Z12" s="19">
        <v>228975</v>
      </c>
      <c r="AA12" s="18" t="s">
        <v>4880</v>
      </c>
      <c r="AB12" s="18">
        <v>1</v>
      </c>
      <c r="AC12" s="18" t="s">
        <v>4809</v>
      </c>
      <c r="AD12" s="18" t="s">
        <v>2730</v>
      </c>
    </row>
    <row r="13" spans="1:30" x14ac:dyDescent="0.25">
      <c r="A13" s="18">
        <v>30</v>
      </c>
      <c r="B13" s="18">
        <v>22</v>
      </c>
      <c r="C13" s="18" t="s">
        <v>4809</v>
      </c>
      <c r="D13" s="18" t="s">
        <v>4814</v>
      </c>
      <c r="E13" s="18" t="b">
        <v>0</v>
      </c>
      <c r="F13" s="19">
        <v>0</v>
      </c>
      <c r="G13" s="18" t="b">
        <v>0</v>
      </c>
      <c r="H13" s="19">
        <v>0</v>
      </c>
      <c r="I13" s="18" t="b">
        <v>0</v>
      </c>
      <c r="J13" s="19">
        <v>0</v>
      </c>
      <c r="K13" s="18" t="b">
        <v>0</v>
      </c>
      <c r="L13" s="19">
        <v>0</v>
      </c>
      <c r="M13" s="18" t="b">
        <v>0</v>
      </c>
      <c r="N13" s="19">
        <v>0</v>
      </c>
      <c r="O13" s="18" t="s">
        <v>4864</v>
      </c>
      <c r="P13" s="19">
        <v>1447969</v>
      </c>
      <c r="Q13" s="18" t="b">
        <v>0</v>
      </c>
      <c r="R13" s="19">
        <v>0</v>
      </c>
      <c r="S13" s="19">
        <f t="shared" si="0"/>
        <v>1447969</v>
      </c>
      <c r="T13" s="23">
        <v>6.684804770276684</v>
      </c>
      <c r="U13" s="20">
        <v>0.82508872821286738</v>
      </c>
      <c r="V13" s="18"/>
      <c r="W13" s="18"/>
      <c r="X13" s="18"/>
      <c r="Y13" s="18" t="s">
        <v>4814</v>
      </c>
      <c r="Z13" s="19">
        <v>299186</v>
      </c>
      <c r="AA13" s="18" t="s">
        <v>4814</v>
      </c>
      <c r="AB13" s="18">
        <v>1</v>
      </c>
      <c r="AC13" s="18" t="s">
        <v>4809</v>
      </c>
      <c r="AD13" s="18" t="s">
        <v>1843</v>
      </c>
    </row>
    <row r="14" spans="1:30" x14ac:dyDescent="0.25">
      <c r="A14" s="18">
        <v>251</v>
      </c>
      <c r="B14" s="18">
        <v>10</v>
      </c>
      <c r="C14" s="18" t="s">
        <v>4809</v>
      </c>
      <c r="D14" s="18" t="s">
        <v>4828</v>
      </c>
      <c r="E14" s="18" t="b">
        <v>1</v>
      </c>
      <c r="F14" s="19">
        <v>12400000</v>
      </c>
      <c r="G14" s="18" t="b">
        <v>0</v>
      </c>
      <c r="H14" s="19">
        <v>0</v>
      </c>
      <c r="I14" s="18" t="b">
        <v>0</v>
      </c>
      <c r="J14" s="19">
        <v>0</v>
      </c>
      <c r="K14" s="18" t="b">
        <v>0</v>
      </c>
      <c r="L14" s="19">
        <v>0</v>
      </c>
      <c r="M14" s="18" t="b">
        <v>0</v>
      </c>
      <c r="N14" s="19">
        <v>0</v>
      </c>
      <c r="O14" s="18" t="b">
        <v>0</v>
      </c>
      <c r="P14" s="19">
        <v>0</v>
      </c>
      <c r="Q14" s="18" t="b">
        <v>0</v>
      </c>
      <c r="R14" s="19">
        <v>0</v>
      </c>
      <c r="S14" s="19">
        <f t="shared" si="0"/>
        <v>12400000</v>
      </c>
      <c r="T14" s="23">
        <v>18.055325010410932</v>
      </c>
      <c r="U14" s="20">
        <v>1.2566053104841199</v>
      </c>
      <c r="V14" s="18" t="s">
        <v>4870</v>
      </c>
      <c r="W14" s="18" t="s">
        <v>4858</v>
      </c>
      <c r="X14" s="18"/>
      <c r="Y14" s="18" t="s">
        <v>4828</v>
      </c>
      <c r="Z14" s="19">
        <v>686778</v>
      </c>
      <c r="AA14" s="18" t="s">
        <v>4828</v>
      </c>
      <c r="AB14" s="18">
        <v>1</v>
      </c>
      <c r="AC14" s="18" t="s">
        <v>4809</v>
      </c>
      <c r="AD14" s="18" t="s">
        <v>3413</v>
      </c>
    </row>
    <row r="15" spans="1:30" x14ac:dyDescent="0.25">
      <c r="A15" s="18">
        <v>216</v>
      </c>
      <c r="B15" s="18">
        <v>19</v>
      </c>
      <c r="C15" s="18" t="s">
        <v>4809</v>
      </c>
      <c r="D15" s="18" t="s">
        <v>4832</v>
      </c>
      <c r="E15" s="18" t="b">
        <v>0</v>
      </c>
      <c r="F15" s="19">
        <v>0</v>
      </c>
      <c r="G15" s="18" t="b">
        <v>0</v>
      </c>
      <c r="H15" s="19">
        <v>0</v>
      </c>
      <c r="I15" s="18" t="b">
        <v>0</v>
      </c>
      <c r="J15" s="19">
        <v>0</v>
      </c>
      <c r="K15" s="18" t="b">
        <v>0</v>
      </c>
      <c r="L15" s="19">
        <v>0</v>
      </c>
      <c r="M15" s="18" t="b">
        <v>0</v>
      </c>
      <c r="N15" s="19">
        <v>0</v>
      </c>
      <c r="O15" s="18" t="b">
        <v>0</v>
      </c>
      <c r="P15" s="19">
        <v>0</v>
      </c>
      <c r="Q15" s="18" t="s">
        <v>4865</v>
      </c>
      <c r="R15" s="19">
        <v>48000000</v>
      </c>
      <c r="S15" s="19">
        <f t="shared" si="0"/>
        <v>48000000</v>
      </c>
      <c r="T15" s="23">
        <v>51.825443269494464</v>
      </c>
      <c r="U15" s="20">
        <v>1.7145430253567746</v>
      </c>
      <c r="V15" s="18" t="s">
        <v>4866</v>
      </c>
      <c r="W15" s="18" t="s">
        <v>4860</v>
      </c>
      <c r="X15" s="18"/>
      <c r="Y15" s="18" t="s">
        <v>4832</v>
      </c>
      <c r="Z15" s="19">
        <v>926186</v>
      </c>
      <c r="AA15" s="18" t="s">
        <v>4832</v>
      </c>
      <c r="AB15" s="18">
        <v>1</v>
      </c>
      <c r="AC15" s="18" t="s">
        <v>4809</v>
      </c>
      <c r="AD15" s="18" t="s">
        <v>1499</v>
      </c>
    </row>
    <row r="16" spans="1:30" x14ac:dyDescent="0.25">
      <c r="A16" s="18">
        <v>116</v>
      </c>
      <c r="B16" s="18">
        <v>37</v>
      </c>
      <c r="C16" s="18" t="s">
        <v>4809</v>
      </c>
      <c r="D16" s="18" t="s">
        <v>4831</v>
      </c>
      <c r="E16" s="18" t="b">
        <v>1</v>
      </c>
      <c r="F16" s="19">
        <v>108000000</v>
      </c>
      <c r="G16" s="18" t="b">
        <v>0</v>
      </c>
      <c r="H16" s="19">
        <v>0</v>
      </c>
      <c r="I16" s="18" t="b">
        <v>0</v>
      </c>
      <c r="J16" s="19">
        <v>0</v>
      </c>
      <c r="K16" s="18" t="b">
        <v>0</v>
      </c>
      <c r="L16" s="19">
        <v>0</v>
      </c>
      <c r="M16" s="18" t="b">
        <v>0</v>
      </c>
      <c r="N16" s="19">
        <v>0</v>
      </c>
      <c r="O16" s="18" t="b">
        <v>0</v>
      </c>
      <c r="P16" s="19">
        <v>0</v>
      </c>
      <c r="Q16" s="18" t="b">
        <v>0</v>
      </c>
      <c r="R16" s="19">
        <v>0</v>
      </c>
      <c r="S16" s="19">
        <f t="shared" si="0"/>
        <v>108000000</v>
      </c>
      <c r="T16" s="23">
        <v>57.954216169226314</v>
      </c>
      <c r="U16" s="20">
        <v>1.7630850363724944</v>
      </c>
      <c r="V16" s="18" t="s">
        <v>4857</v>
      </c>
      <c r="W16" s="18" t="s">
        <v>4858</v>
      </c>
      <c r="X16" s="18"/>
      <c r="Y16" s="18" t="s">
        <v>4831</v>
      </c>
      <c r="Z16" s="21">
        <v>1863540</v>
      </c>
      <c r="AA16" s="18" t="s">
        <v>4831</v>
      </c>
      <c r="AB16" s="18">
        <v>1</v>
      </c>
      <c r="AC16" s="18" t="s">
        <v>4809</v>
      </c>
      <c r="AD16" s="18" t="s">
        <v>4920</v>
      </c>
    </row>
    <row r="17" spans="1:30" x14ac:dyDescent="0.25">
      <c r="A17" s="18">
        <v>751</v>
      </c>
      <c r="B17" s="18">
        <v>8</v>
      </c>
      <c r="C17" s="18" t="s">
        <v>4809</v>
      </c>
      <c r="D17" s="18" t="s">
        <v>4875</v>
      </c>
      <c r="E17" s="18" t="b">
        <v>1</v>
      </c>
      <c r="F17" s="19">
        <v>21000000</v>
      </c>
      <c r="G17" s="18" t="b">
        <v>0</v>
      </c>
      <c r="H17" s="19">
        <v>0</v>
      </c>
      <c r="I17" s="18" t="b">
        <v>0</v>
      </c>
      <c r="J17" s="19">
        <v>0</v>
      </c>
      <c r="K17" s="18" t="b">
        <v>0</v>
      </c>
      <c r="L17" s="19">
        <v>0</v>
      </c>
      <c r="M17" s="18" t="b">
        <v>0</v>
      </c>
      <c r="N17" s="19">
        <v>0</v>
      </c>
      <c r="O17" s="18" t="b">
        <v>0</v>
      </c>
      <c r="P17" s="19">
        <v>0</v>
      </c>
      <c r="Q17" s="18" t="s">
        <v>4865</v>
      </c>
      <c r="R17" s="19">
        <v>2700000</v>
      </c>
      <c r="S17" s="19">
        <f t="shared" si="0"/>
        <v>23700000</v>
      </c>
      <c r="T17" s="23">
        <v>87.414683084889987</v>
      </c>
      <c r="U17" s="20">
        <v>1.9415843874073948</v>
      </c>
      <c r="V17" s="22" t="s">
        <v>4876</v>
      </c>
      <c r="W17" s="18" t="s">
        <v>4858</v>
      </c>
      <c r="X17" s="18"/>
      <c r="Y17" s="18" t="s">
        <v>4875</v>
      </c>
      <c r="Z17" s="19">
        <v>271121.5</v>
      </c>
      <c r="AA17" s="18" t="s">
        <v>4875</v>
      </c>
      <c r="AB17" s="18">
        <v>2</v>
      </c>
      <c r="AC17" s="18" t="s">
        <v>4809</v>
      </c>
      <c r="AD17" s="18" t="s">
        <v>1722</v>
      </c>
    </row>
    <row r="18" spans="1:30" x14ac:dyDescent="0.25">
      <c r="A18" s="18">
        <v>204</v>
      </c>
      <c r="B18" s="18">
        <v>17</v>
      </c>
      <c r="C18" s="18" t="s">
        <v>4809</v>
      </c>
      <c r="D18" s="18" t="s">
        <v>4867</v>
      </c>
      <c r="E18" s="18" t="b">
        <v>1</v>
      </c>
      <c r="F18" s="19">
        <v>4000000</v>
      </c>
      <c r="G18" s="18" t="b">
        <v>1</v>
      </c>
      <c r="H18" s="19">
        <v>5000000</v>
      </c>
      <c r="I18" s="18" t="b">
        <v>1</v>
      </c>
      <c r="J18" s="19">
        <v>11700000</v>
      </c>
      <c r="K18" s="18" t="b">
        <v>0</v>
      </c>
      <c r="L18" s="19">
        <v>0</v>
      </c>
      <c r="M18" s="18" t="b">
        <v>0</v>
      </c>
      <c r="N18" s="19">
        <v>0</v>
      </c>
      <c r="O18" s="18" t="s">
        <v>4864</v>
      </c>
      <c r="P18" s="19">
        <v>27500000</v>
      </c>
      <c r="Q18" s="18" t="b">
        <v>0</v>
      </c>
      <c r="R18" s="19">
        <v>0</v>
      </c>
      <c r="S18" s="19">
        <f t="shared" si="0"/>
        <v>48200000</v>
      </c>
      <c r="T18" s="23">
        <v>107.63180988917496</v>
      </c>
      <c r="U18" s="20">
        <v>2.0319406432419975</v>
      </c>
      <c r="V18" s="18" t="s">
        <v>4868</v>
      </c>
      <c r="W18" s="18" t="s">
        <v>4856</v>
      </c>
      <c r="X18" s="18"/>
      <c r="Y18" s="18" t="s">
        <v>4867</v>
      </c>
      <c r="Z18" s="19">
        <v>447823</v>
      </c>
      <c r="AA18" s="18" t="s">
        <v>4867</v>
      </c>
      <c r="AB18" s="18">
        <v>1</v>
      </c>
      <c r="AC18" s="18" t="s">
        <v>4809</v>
      </c>
      <c r="AD18" s="18" t="s">
        <v>1255</v>
      </c>
    </row>
    <row r="19" spans="1:30" x14ac:dyDescent="0.25">
      <c r="A19" s="18">
        <v>804</v>
      </c>
      <c r="B19" s="18">
        <v>28</v>
      </c>
      <c r="C19" s="18" t="s">
        <v>4809</v>
      </c>
      <c r="D19" s="18" t="s">
        <v>4818</v>
      </c>
      <c r="E19" s="18" t="b">
        <v>1</v>
      </c>
      <c r="F19" s="19">
        <v>1350000</v>
      </c>
      <c r="G19" s="18" t="b">
        <v>0</v>
      </c>
      <c r="H19" s="19">
        <v>0</v>
      </c>
      <c r="I19" s="18" t="b">
        <v>0</v>
      </c>
      <c r="J19" s="19">
        <v>0</v>
      </c>
      <c r="K19" s="18" t="b">
        <v>0</v>
      </c>
      <c r="L19" s="19">
        <v>0</v>
      </c>
      <c r="M19" s="18" t="b">
        <v>0</v>
      </c>
      <c r="N19" s="19">
        <v>0</v>
      </c>
      <c r="O19" s="18" t="s">
        <v>4862</v>
      </c>
      <c r="P19" s="19">
        <v>54000000</v>
      </c>
      <c r="Q19" s="18" t="b">
        <v>0</v>
      </c>
      <c r="R19" s="19">
        <v>0</v>
      </c>
      <c r="S19" s="19">
        <f t="shared" si="0"/>
        <v>55350000</v>
      </c>
      <c r="T19" s="23">
        <v>152.71156138259832</v>
      </c>
      <c r="U19" s="20">
        <v>2.1838719175711292</v>
      </c>
      <c r="V19" s="18" t="s">
        <v>4863</v>
      </c>
      <c r="W19" s="18" t="s">
        <v>4858</v>
      </c>
      <c r="X19" s="18"/>
      <c r="Y19" s="18" t="s">
        <v>4818</v>
      </c>
      <c r="Z19" s="19">
        <v>362448</v>
      </c>
      <c r="AA19" s="18" t="s">
        <v>4818</v>
      </c>
      <c r="AB19" s="18">
        <v>1</v>
      </c>
      <c r="AC19" s="18" t="s">
        <v>4809</v>
      </c>
      <c r="AD19" s="18" t="s">
        <v>848</v>
      </c>
    </row>
    <row r="20" spans="1:30" x14ac:dyDescent="0.25">
      <c r="A20" s="18">
        <v>115</v>
      </c>
      <c r="B20" s="18">
        <v>3</v>
      </c>
      <c r="C20" s="18" t="s">
        <v>4809</v>
      </c>
      <c r="D20" s="18" t="s">
        <v>4820</v>
      </c>
      <c r="E20" s="18" t="b">
        <v>1</v>
      </c>
      <c r="F20" s="19">
        <v>100000000</v>
      </c>
      <c r="G20" s="18" t="b">
        <v>0</v>
      </c>
      <c r="H20" s="19">
        <v>0</v>
      </c>
      <c r="I20" s="18" t="b">
        <v>0</v>
      </c>
      <c r="J20" s="19">
        <v>0</v>
      </c>
      <c r="K20" s="18" t="b">
        <v>0</v>
      </c>
      <c r="L20" s="19">
        <v>0</v>
      </c>
      <c r="M20" s="18" t="b">
        <v>0</v>
      </c>
      <c r="N20" s="19">
        <v>0</v>
      </c>
      <c r="O20" s="18" t="b">
        <v>0</v>
      </c>
      <c r="P20" s="19">
        <v>0</v>
      </c>
      <c r="Q20" s="18" t="b">
        <v>0</v>
      </c>
      <c r="R20" s="19">
        <v>0</v>
      </c>
      <c r="S20" s="19">
        <f t="shared" si="0"/>
        <v>100000000</v>
      </c>
      <c r="T20" s="23">
        <v>245.88450804657052</v>
      </c>
      <c r="U20" s="20">
        <v>2.3907311668768427</v>
      </c>
      <c r="V20" s="18" t="s">
        <v>4877</v>
      </c>
      <c r="W20" s="18" t="s">
        <v>4858</v>
      </c>
      <c r="X20" s="18"/>
      <c r="Y20" s="18" t="s">
        <v>4820</v>
      </c>
      <c r="Z20" s="19">
        <v>406695</v>
      </c>
      <c r="AA20" s="18" t="s">
        <v>4820</v>
      </c>
      <c r="AB20" s="18">
        <v>1</v>
      </c>
      <c r="AC20" s="18" t="s">
        <v>4809</v>
      </c>
      <c r="AD20" s="18" t="s">
        <v>780</v>
      </c>
    </row>
    <row r="21" spans="1:30" x14ac:dyDescent="0.25">
      <c r="A21" s="18">
        <v>252</v>
      </c>
      <c r="B21" s="18">
        <v>7</v>
      </c>
      <c r="C21" s="18" t="s">
        <v>4809</v>
      </c>
      <c r="D21" s="18" t="s">
        <v>4872</v>
      </c>
      <c r="E21" s="18" t="b">
        <v>1</v>
      </c>
      <c r="F21" s="19">
        <v>68000000</v>
      </c>
      <c r="G21" s="18" t="b">
        <v>1</v>
      </c>
      <c r="H21" s="19">
        <v>82500000</v>
      </c>
      <c r="I21" s="18" t="b">
        <v>0</v>
      </c>
      <c r="J21" s="19">
        <v>0</v>
      </c>
      <c r="K21" s="18" t="b">
        <v>0</v>
      </c>
      <c r="L21" s="19">
        <v>0</v>
      </c>
      <c r="M21" s="18" t="b">
        <v>0</v>
      </c>
      <c r="N21" s="19">
        <v>0</v>
      </c>
      <c r="O21" s="18" t="b">
        <v>0</v>
      </c>
      <c r="P21" s="19">
        <v>0</v>
      </c>
      <c r="Q21" s="18" t="s">
        <v>4855</v>
      </c>
      <c r="R21" s="19">
        <v>101200000</v>
      </c>
      <c r="S21" s="19">
        <f t="shared" si="0"/>
        <v>251700000</v>
      </c>
      <c r="T21" s="23">
        <v>257.15555510147783</v>
      </c>
      <c r="U21" s="20">
        <v>2.4101959104337372</v>
      </c>
      <c r="V21" s="18" t="s">
        <v>4873</v>
      </c>
      <c r="W21" s="18" t="s">
        <v>4858</v>
      </c>
      <c r="X21" s="18"/>
      <c r="Y21" s="18" t="s">
        <v>4872</v>
      </c>
      <c r="Z21" s="19">
        <v>978785</v>
      </c>
      <c r="AA21" s="18" t="s">
        <v>4872</v>
      </c>
      <c r="AB21" s="18">
        <v>1</v>
      </c>
      <c r="AC21" s="18" t="s">
        <v>4809</v>
      </c>
      <c r="AD21" s="18" t="s">
        <v>1944</v>
      </c>
    </row>
    <row r="22" spans="1:30" x14ac:dyDescent="0.25">
      <c r="A22" s="18">
        <v>436</v>
      </c>
      <c r="B22" s="18">
        <v>14</v>
      </c>
      <c r="C22" s="18" t="s">
        <v>4809</v>
      </c>
      <c r="D22" s="18" t="s">
        <v>4812</v>
      </c>
      <c r="E22" s="18" t="b">
        <v>1</v>
      </c>
      <c r="F22" s="19">
        <v>17000000</v>
      </c>
      <c r="G22" s="18" t="b">
        <v>1</v>
      </c>
      <c r="H22" s="19">
        <v>42000000</v>
      </c>
      <c r="I22" s="18" t="b">
        <v>0</v>
      </c>
      <c r="J22" s="19">
        <v>0</v>
      </c>
      <c r="K22" s="18" t="b">
        <v>0</v>
      </c>
      <c r="L22" s="19">
        <v>0</v>
      </c>
      <c r="M22" s="18" t="b">
        <v>0</v>
      </c>
      <c r="N22" s="19">
        <v>0</v>
      </c>
      <c r="O22" s="18" t="b">
        <v>0</v>
      </c>
      <c r="P22" s="19">
        <v>0</v>
      </c>
      <c r="Q22" s="18" t="b">
        <v>0</v>
      </c>
      <c r="R22" s="19">
        <v>0</v>
      </c>
      <c r="S22" s="19">
        <f t="shared" si="0"/>
        <v>59000000</v>
      </c>
      <c r="T22" s="23">
        <v>280.76520414961453</v>
      </c>
      <c r="U22" s="20">
        <v>2.4483432837206358</v>
      </c>
      <c r="V22" s="18" t="s">
        <v>4869</v>
      </c>
      <c r="W22" s="18" t="s">
        <v>4856</v>
      </c>
      <c r="X22" s="18"/>
      <c r="Y22" s="18" t="s">
        <v>4812</v>
      </c>
      <c r="Z22" s="19">
        <v>210140</v>
      </c>
      <c r="AA22" s="18" t="s">
        <v>4812</v>
      </c>
      <c r="AB22" s="18">
        <v>1</v>
      </c>
      <c r="AC22" s="18" t="s">
        <v>4809</v>
      </c>
      <c r="AD22" s="18" t="s">
        <v>733</v>
      </c>
    </row>
    <row r="23" spans="1:30" x14ac:dyDescent="0.25">
      <c r="A23" s="18">
        <v>550</v>
      </c>
      <c r="B23" s="18">
        <v>35</v>
      </c>
      <c r="C23" s="18" t="s">
        <v>4809</v>
      </c>
      <c r="D23" s="18" t="s">
        <v>4824</v>
      </c>
      <c r="E23" s="18" t="b">
        <v>1</v>
      </c>
      <c r="F23" s="19">
        <v>11000000</v>
      </c>
      <c r="G23" s="18" t="b">
        <v>1</v>
      </c>
      <c r="H23" s="19">
        <v>75000000</v>
      </c>
      <c r="I23" s="18" t="b">
        <v>1</v>
      </c>
      <c r="J23" s="19">
        <v>175000000</v>
      </c>
      <c r="K23" s="18" t="b">
        <v>0</v>
      </c>
      <c r="L23" s="19">
        <v>0</v>
      </c>
      <c r="M23" s="18" t="b">
        <v>0</v>
      </c>
      <c r="N23" s="19">
        <v>0</v>
      </c>
      <c r="O23" s="18" t="b">
        <v>0</v>
      </c>
      <c r="P23" s="19">
        <v>0</v>
      </c>
      <c r="Q23" s="18" t="b">
        <v>0</v>
      </c>
      <c r="R23" s="19">
        <v>0</v>
      </c>
      <c r="S23" s="19">
        <f t="shared" si="0"/>
        <v>261000000</v>
      </c>
      <c r="T23" s="23">
        <v>498.79600963192297</v>
      </c>
      <c r="U23" s="20">
        <v>2.6979229704645471</v>
      </c>
      <c r="V23" s="18" t="s">
        <v>4883</v>
      </c>
      <c r="W23" s="18" t="s">
        <v>4858</v>
      </c>
      <c r="X23" s="18"/>
      <c r="Y23" s="18" t="s">
        <v>4824</v>
      </c>
      <c r="Z23" s="19">
        <v>523260</v>
      </c>
      <c r="AA23" s="18" t="s">
        <v>4824</v>
      </c>
      <c r="AB23" s="18">
        <v>1</v>
      </c>
      <c r="AC23" s="18" t="s">
        <v>4809</v>
      </c>
      <c r="AD23" s="18" t="s">
        <v>3102</v>
      </c>
    </row>
    <row r="24" spans="1:30" x14ac:dyDescent="0.25">
      <c r="A24" s="18">
        <v>54</v>
      </c>
      <c r="B24" s="18">
        <v>15</v>
      </c>
      <c r="C24" s="18" t="s">
        <v>4809</v>
      </c>
      <c r="D24" s="18" t="s">
        <v>4821</v>
      </c>
      <c r="E24" s="18" t="b">
        <v>0</v>
      </c>
      <c r="F24" s="19">
        <v>0</v>
      </c>
      <c r="G24" s="18" t="b">
        <v>0</v>
      </c>
      <c r="H24" s="19">
        <v>0</v>
      </c>
      <c r="I24" s="18" t="b">
        <v>0</v>
      </c>
      <c r="J24" s="19">
        <v>0</v>
      </c>
      <c r="K24" s="18" t="b">
        <v>0</v>
      </c>
      <c r="L24" s="19">
        <v>0</v>
      </c>
      <c r="M24" s="18" t="b">
        <v>0</v>
      </c>
      <c r="N24" s="19">
        <v>0</v>
      </c>
      <c r="O24" s="18" t="b">
        <v>0</v>
      </c>
      <c r="P24" s="19">
        <v>0</v>
      </c>
      <c r="Q24" s="18" t="b">
        <v>0</v>
      </c>
      <c r="R24" s="19">
        <v>0</v>
      </c>
      <c r="S24" s="19">
        <f t="shared" si="0"/>
        <v>0</v>
      </c>
      <c r="T24" s="23">
        <v>0</v>
      </c>
      <c r="U24" s="20" t="e">
        <v>#NUM!</v>
      </c>
      <c r="V24" s="18"/>
      <c r="W24" s="18"/>
      <c r="X24" s="18"/>
      <c r="Y24" s="18" t="s">
        <v>4821</v>
      </c>
      <c r="Z24" s="19">
        <v>418000</v>
      </c>
      <c r="AA24" s="18" t="s">
        <v>4821</v>
      </c>
      <c r="AB24" s="18">
        <v>1</v>
      </c>
      <c r="AC24" s="18" t="s">
        <v>4809</v>
      </c>
      <c r="AD24" s="18" t="s">
        <v>916</v>
      </c>
    </row>
    <row r="25" spans="1:30" x14ac:dyDescent="0.25">
      <c r="A25" s="18">
        <v>126</v>
      </c>
      <c r="B25" s="18">
        <v>23</v>
      </c>
      <c r="C25" s="18" t="s">
        <v>4809</v>
      </c>
      <c r="D25" s="18" t="s">
        <v>4815</v>
      </c>
      <c r="E25" s="18" t="b">
        <v>0</v>
      </c>
      <c r="F25" s="19">
        <v>0</v>
      </c>
      <c r="G25" s="18" t="b">
        <v>0</v>
      </c>
      <c r="H25" s="19">
        <v>0</v>
      </c>
      <c r="I25" s="18" t="b">
        <v>0</v>
      </c>
      <c r="J25" s="19">
        <v>0</v>
      </c>
      <c r="K25" s="18" t="b">
        <v>0</v>
      </c>
      <c r="L25" s="19">
        <v>0</v>
      </c>
      <c r="M25" s="18" t="b">
        <v>0</v>
      </c>
      <c r="N25" s="19">
        <v>0</v>
      </c>
      <c r="O25" s="18" t="b">
        <v>0</v>
      </c>
      <c r="P25" s="19">
        <v>0</v>
      </c>
      <c r="Q25" s="18" t="b">
        <v>0</v>
      </c>
      <c r="R25" s="19">
        <v>0</v>
      </c>
      <c r="S25" s="19">
        <f t="shared" si="0"/>
        <v>0</v>
      </c>
      <c r="T25" s="23">
        <v>0</v>
      </c>
      <c r="U25" s="20" t="e">
        <v>#NUM!</v>
      </c>
      <c r="V25" s="18"/>
      <c r="W25" s="18"/>
      <c r="X25" s="18"/>
      <c r="Y25" s="18" t="s">
        <v>4815</v>
      </c>
      <c r="Z25" s="19">
        <v>322238</v>
      </c>
      <c r="AA25" s="18" t="s">
        <v>4815</v>
      </c>
      <c r="AB25" s="18">
        <v>1</v>
      </c>
      <c r="AC25" s="18" t="s">
        <v>4809</v>
      </c>
      <c r="AD25" s="18" t="s">
        <v>3349</v>
      </c>
    </row>
    <row r="26" spans="1:30" x14ac:dyDescent="0.25">
      <c r="A26" s="18">
        <v>204</v>
      </c>
      <c r="B26" s="18">
        <v>4</v>
      </c>
      <c r="C26" s="18" t="s">
        <v>4809</v>
      </c>
      <c r="D26" s="18" t="s">
        <v>4816</v>
      </c>
      <c r="E26" s="18" t="b">
        <v>0</v>
      </c>
      <c r="F26" s="19">
        <v>0</v>
      </c>
      <c r="G26" s="18" t="b">
        <v>0</v>
      </c>
      <c r="H26" s="19">
        <v>0</v>
      </c>
      <c r="I26" s="18" t="b">
        <v>0</v>
      </c>
      <c r="J26" s="19">
        <v>0</v>
      </c>
      <c r="K26" s="18" t="b">
        <v>0</v>
      </c>
      <c r="L26" s="19">
        <v>0</v>
      </c>
      <c r="M26" s="18" t="b">
        <v>0</v>
      </c>
      <c r="N26" s="19">
        <v>0</v>
      </c>
      <c r="O26" s="18" t="b">
        <v>0</v>
      </c>
      <c r="P26" s="19">
        <v>0</v>
      </c>
      <c r="Q26" s="18" t="b">
        <v>0</v>
      </c>
      <c r="R26" s="19">
        <v>0</v>
      </c>
      <c r="S26" s="19">
        <f t="shared" si="0"/>
        <v>0</v>
      </c>
      <c r="T26" s="23">
        <v>0</v>
      </c>
      <c r="U26" s="20" t="e">
        <v>#NUM!</v>
      </c>
      <c r="V26" s="18"/>
      <c r="W26" s="18"/>
      <c r="X26" s="18"/>
      <c r="Y26" s="18" t="s">
        <v>4816</v>
      </c>
      <c r="Z26" s="19">
        <v>333390</v>
      </c>
      <c r="AA26" s="18" t="s">
        <v>4816</v>
      </c>
      <c r="AB26" s="18">
        <v>1</v>
      </c>
      <c r="AC26" s="18" t="s">
        <v>4809</v>
      </c>
      <c r="AD26" s="18" t="s">
        <v>1255</v>
      </c>
    </row>
    <row r="27" spans="1:30" x14ac:dyDescent="0.25">
      <c r="A27" s="18">
        <v>314</v>
      </c>
      <c r="B27" s="18">
        <v>30</v>
      </c>
      <c r="C27" s="18" t="s">
        <v>4809</v>
      </c>
      <c r="D27" s="18" t="s">
        <v>4810</v>
      </c>
      <c r="E27" s="18" t="b">
        <v>0</v>
      </c>
      <c r="F27" s="19">
        <v>0</v>
      </c>
      <c r="G27" s="18" t="b">
        <v>0</v>
      </c>
      <c r="H27" s="19">
        <v>0</v>
      </c>
      <c r="I27" s="18" t="b">
        <v>0</v>
      </c>
      <c r="J27" s="19">
        <v>0</v>
      </c>
      <c r="K27" s="18" t="b">
        <v>0</v>
      </c>
      <c r="L27" s="19">
        <v>0</v>
      </c>
      <c r="M27" s="18" t="b">
        <v>0</v>
      </c>
      <c r="N27" s="19">
        <v>0</v>
      </c>
      <c r="O27" s="18" t="b">
        <v>0</v>
      </c>
      <c r="P27" s="19">
        <v>0</v>
      </c>
      <c r="Q27" s="18" t="b">
        <v>0</v>
      </c>
      <c r="R27" s="19">
        <v>0</v>
      </c>
      <c r="S27" s="19">
        <f t="shared" si="0"/>
        <v>0</v>
      </c>
      <c r="T27" s="23">
        <v>0</v>
      </c>
      <c r="U27" s="20" t="e">
        <v>#NUM!</v>
      </c>
      <c r="V27" s="18"/>
      <c r="W27" s="18"/>
      <c r="X27" s="18"/>
      <c r="Y27" s="18" t="s">
        <v>4810</v>
      </c>
      <c r="Z27" s="19">
        <v>100000</v>
      </c>
      <c r="AA27" s="18" t="s">
        <v>4810</v>
      </c>
      <c r="AB27" s="18">
        <v>1</v>
      </c>
      <c r="AC27" s="18" t="s">
        <v>4809</v>
      </c>
      <c r="AD27" s="18" t="s">
        <v>4103</v>
      </c>
    </row>
    <row r="28" spans="1:30" x14ac:dyDescent="0.25">
      <c r="A28" s="18">
        <v>534</v>
      </c>
      <c r="B28" s="18">
        <v>36</v>
      </c>
      <c r="C28" s="18" t="s">
        <v>4809</v>
      </c>
      <c r="D28" s="18" t="s">
        <v>4834</v>
      </c>
      <c r="E28" s="18" t="b">
        <v>0</v>
      </c>
      <c r="F28" s="19">
        <v>0</v>
      </c>
      <c r="G28" s="18" t="b">
        <v>0</v>
      </c>
      <c r="H28" s="19">
        <v>0</v>
      </c>
      <c r="I28" s="18" t="b">
        <v>0</v>
      </c>
      <c r="J28" s="19">
        <v>0</v>
      </c>
      <c r="K28" s="18" t="b">
        <v>0</v>
      </c>
      <c r="L28" s="19">
        <v>0</v>
      </c>
      <c r="M28" s="18" t="b">
        <v>0</v>
      </c>
      <c r="N28" s="19">
        <v>0</v>
      </c>
      <c r="O28" s="18" t="b">
        <v>0</v>
      </c>
      <c r="P28" s="19">
        <v>0</v>
      </c>
      <c r="Q28" s="18" t="b">
        <v>0</v>
      </c>
      <c r="R28" s="19">
        <v>0</v>
      </c>
      <c r="S28" s="19">
        <f t="shared" si="0"/>
        <v>0</v>
      </c>
      <c r="T28" s="23">
        <v>0</v>
      </c>
      <c r="U28" s="20" t="e">
        <v>#NUM!</v>
      </c>
      <c r="V28" s="18"/>
      <c r="W28" s="18"/>
      <c r="X28" s="18"/>
      <c r="Y28" s="18" t="s">
        <v>4834</v>
      </c>
      <c r="Z28" s="19">
        <v>4175000</v>
      </c>
      <c r="AA28" s="18" t="s">
        <v>4834</v>
      </c>
      <c r="AB28" s="18">
        <v>1</v>
      </c>
      <c r="AC28" s="18" t="s">
        <v>4809</v>
      </c>
      <c r="AD28" s="18" t="s">
        <v>3696</v>
      </c>
    </row>
    <row r="29" spans="1:30" x14ac:dyDescent="0.25">
      <c r="A29" s="18">
        <v>853</v>
      </c>
      <c r="B29" s="18">
        <v>29</v>
      </c>
      <c r="C29" s="18" t="s">
        <v>4809</v>
      </c>
      <c r="D29" s="18" t="s">
        <v>4825</v>
      </c>
      <c r="E29" s="18" t="b">
        <v>1</v>
      </c>
      <c r="F29" s="19">
        <v>0</v>
      </c>
      <c r="G29" s="18" t="b">
        <v>0</v>
      </c>
      <c r="H29" s="19">
        <v>0</v>
      </c>
      <c r="I29" s="18" t="b">
        <v>0</v>
      </c>
      <c r="J29" s="19">
        <v>0</v>
      </c>
      <c r="K29" s="18" t="b">
        <v>0</v>
      </c>
      <c r="L29" s="19">
        <v>0</v>
      </c>
      <c r="M29" s="18" t="b">
        <v>0</v>
      </c>
      <c r="N29" s="19">
        <v>0</v>
      </c>
      <c r="O29" s="18" t="b">
        <v>0</v>
      </c>
      <c r="P29" s="19">
        <v>0</v>
      </c>
      <c r="Q29" s="18" t="b">
        <v>0</v>
      </c>
      <c r="R29" s="19">
        <v>0</v>
      </c>
      <c r="S29" s="19">
        <f t="shared" si="0"/>
        <v>0</v>
      </c>
      <c r="T29" s="23">
        <v>0</v>
      </c>
      <c r="U29" s="20" t="e">
        <v>#NUM!</v>
      </c>
      <c r="V29" s="18"/>
      <c r="W29" s="18" t="s">
        <v>4860</v>
      </c>
      <c r="X29" s="18"/>
      <c r="Y29" s="18" t="s">
        <v>4825</v>
      </c>
      <c r="Z29" s="19">
        <v>623476</v>
      </c>
      <c r="AA29" s="18" t="s">
        <v>4825</v>
      </c>
      <c r="AB29" s="18">
        <v>1</v>
      </c>
      <c r="AC29" s="18" t="s">
        <v>4809</v>
      </c>
      <c r="AD29" s="18" t="s">
        <v>1747</v>
      </c>
    </row>
    <row r="30" spans="1:30" x14ac:dyDescent="0.25">
      <c r="A30" s="18">
        <v>939</v>
      </c>
      <c r="B30" s="18">
        <v>5</v>
      </c>
      <c r="C30" s="18" t="s">
        <v>4809</v>
      </c>
      <c r="D30" s="18" t="s">
        <v>4822</v>
      </c>
      <c r="E30" s="18" t="b">
        <v>0</v>
      </c>
      <c r="F30" s="19">
        <v>0</v>
      </c>
      <c r="G30" s="18" t="b">
        <v>0</v>
      </c>
      <c r="H30" s="19">
        <v>0</v>
      </c>
      <c r="I30" s="18" t="b">
        <v>0</v>
      </c>
      <c r="J30" s="19">
        <v>0</v>
      </c>
      <c r="K30" s="18" t="b">
        <v>0</v>
      </c>
      <c r="L30" s="19">
        <v>0</v>
      </c>
      <c r="M30" s="18" t="b">
        <v>0</v>
      </c>
      <c r="N30" s="19">
        <v>0</v>
      </c>
      <c r="O30" s="18" t="b">
        <v>0</v>
      </c>
      <c r="P30" s="19">
        <v>0</v>
      </c>
      <c r="Q30" s="18" t="b">
        <v>0</v>
      </c>
      <c r="R30" s="19">
        <v>0</v>
      </c>
      <c r="S30" s="19">
        <f t="shared" si="0"/>
        <v>0</v>
      </c>
      <c r="T30" s="23">
        <v>0</v>
      </c>
      <c r="U30" s="20" t="e">
        <v>#NUM!</v>
      </c>
      <c r="V30" s="18" t="s">
        <v>4874</v>
      </c>
      <c r="W30" s="18" t="s">
        <v>4858</v>
      </c>
      <c r="X30" s="18"/>
      <c r="Y30" s="18" t="s">
        <v>4822</v>
      </c>
      <c r="Z30" s="19">
        <v>597400</v>
      </c>
      <c r="AA30" s="18" t="s">
        <v>4822</v>
      </c>
      <c r="AB30" s="18">
        <v>1</v>
      </c>
      <c r="AC30" s="18" t="s">
        <v>4809</v>
      </c>
      <c r="AD30" s="18" t="s">
        <v>1205</v>
      </c>
    </row>
    <row r="31" spans="1:30" x14ac:dyDescent="0.25">
      <c r="A31" s="18">
        <v>966</v>
      </c>
      <c r="B31" s="18">
        <v>33</v>
      </c>
      <c r="C31" s="18" t="s">
        <v>4809</v>
      </c>
      <c r="D31" s="18" t="s">
        <v>4811</v>
      </c>
      <c r="E31" s="18" t="b">
        <v>0</v>
      </c>
      <c r="F31" s="19">
        <v>0</v>
      </c>
      <c r="G31" s="18" t="b">
        <v>0</v>
      </c>
      <c r="H31" s="19">
        <v>0</v>
      </c>
      <c r="I31" s="18" t="b">
        <v>0</v>
      </c>
      <c r="J31" s="19">
        <v>0</v>
      </c>
      <c r="K31" s="18" t="b">
        <v>0</v>
      </c>
      <c r="L31" s="19">
        <v>0</v>
      </c>
      <c r="M31" s="18" t="b">
        <v>0</v>
      </c>
      <c r="N31" s="19">
        <v>0</v>
      </c>
      <c r="O31" s="18" t="b">
        <v>0</v>
      </c>
      <c r="P31" s="19">
        <v>0</v>
      </c>
      <c r="Q31" s="18" t="b">
        <v>0</v>
      </c>
      <c r="R31" s="19">
        <v>0</v>
      </c>
      <c r="S31" s="19">
        <f t="shared" si="0"/>
        <v>0</v>
      </c>
      <c r="T31" s="23">
        <v>0</v>
      </c>
      <c r="U31" s="20" t="e">
        <v>#NUM!</v>
      </c>
      <c r="V31" s="18"/>
      <c r="W31" s="18"/>
      <c r="X31" s="18"/>
      <c r="Y31" s="18" t="s">
        <v>4811</v>
      </c>
      <c r="Z31" s="19">
        <v>200000</v>
      </c>
      <c r="AA31" s="18" t="s">
        <v>4811</v>
      </c>
      <c r="AB31" s="18">
        <v>1</v>
      </c>
      <c r="AC31" s="18" t="s">
        <v>4809</v>
      </c>
      <c r="AD31" s="18" t="s">
        <v>3811</v>
      </c>
    </row>
    <row r="32" spans="1:30" x14ac:dyDescent="0.25">
      <c r="A32" s="18">
        <v>991</v>
      </c>
      <c r="B32" s="18">
        <v>20</v>
      </c>
      <c r="C32" s="18" t="s">
        <v>4809</v>
      </c>
      <c r="D32" s="18" t="s">
        <v>4830</v>
      </c>
      <c r="E32" s="18" t="b">
        <v>0</v>
      </c>
      <c r="F32" s="19">
        <v>0</v>
      </c>
      <c r="G32" s="18" t="b">
        <v>0</v>
      </c>
      <c r="H32" s="19">
        <v>0</v>
      </c>
      <c r="I32" s="18" t="b">
        <v>0</v>
      </c>
      <c r="J32" s="19">
        <v>0</v>
      </c>
      <c r="K32" s="18" t="b">
        <v>0</v>
      </c>
      <c r="L32" s="19">
        <v>0</v>
      </c>
      <c r="M32" s="18" t="b">
        <v>0</v>
      </c>
      <c r="N32" s="19">
        <v>0</v>
      </c>
      <c r="O32" s="18" t="b">
        <v>0</v>
      </c>
      <c r="P32" s="19">
        <v>0</v>
      </c>
      <c r="Q32" s="18" t="b">
        <v>0</v>
      </c>
      <c r="R32" s="19">
        <v>0</v>
      </c>
      <c r="S32" s="19">
        <f t="shared" si="0"/>
        <v>0</v>
      </c>
      <c r="T32" s="23">
        <v>0</v>
      </c>
      <c r="U32" s="20" t="e">
        <v>#NUM!</v>
      </c>
      <c r="V32" s="18"/>
      <c r="W32" s="18"/>
      <c r="X32" s="18"/>
      <c r="Y32" s="18" t="s">
        <v>4830</v>
      </c>
      <c r="Z32" s="19">
        <v>791775</v>
      </c>
      <c r="AA32" s="18" t="s">
        <v>4830</v>
      </c>
      <c r="AB32" s="18">
        <v>1</v>
      </c>
      <c r="AC32" s="18" t="s">
        <v>4809</v>
      </c>
      <c r="AD32" s="18" t="s">
        <v>2649</v>
      </c>
    </row>
    <row r="37" spans="26:26" x14ac:dyDescent="0.25">
      <c r="Z37" s="17"/>
    </row>
  </sheetData>
  <sortState xmlns:xlrd2="http://schemas.microsoft.com/office/spreadsheetml/2017/richdata2" ref="A2:AD32">
    <sortCondition ref="X2:X32"/>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038DE-8852-F948-9020-9D2E56D511B4}">
  <sheetPr codeName="Sheet1"/>
  <dimension ref="A1:X1087"/>
  <sheetViews>
    <sheetView topLeftCell="P1" zoomScale="110" zoomScaleNormal="110" workbookViewId="0">
      <selection activeCell="R15" sqref="R15"/>
    </sheetView>
  </sheetViews>
  <sheetFormatPr defaultColWidth="10.625" defaultRowHeight="15.75" x14ac:dyDescent="0.25"/>
  <cols>
    <col min="1" max="1" width="31.125" bestFit="1" customWidth="1"/>
    <col min="2" max="2" width="13.625" bestFit="1" customWidth="1"/>
    <col min="3" max="3" width="14.5" customWidth="1"/>
    <col min="4" max="4" width="13.625" customWidth="1"/>
    <col min="5" max="5" width="32.625" customWidth="1"/>
    <col min="6" max="6" width="21.5" bestFit="1" customWidth="1"/>
    <col min="7" max="7" width="23" bestFit="1" customWidth="1"/>
    <col min="8" max="8" width="24.125" bestFit="1" customWidth="1"/>
    <col min="9" max="9" width="31.125" bestFit="1" customWidth="1"/>
    <col min="10" max="10" width="13.625" bestFit="1" customWidth="1"/>
    <col min="11" max="11" width="13" bestFit="1" customWidth="1"/>
    <col min="12" max="12" width="13.5" bestFit="1" customWidth="1"/>
    <col min="13" max="13" width="14" bestFit="1" customWidth="1"/>
    <col min="14" max="14" width="30.875" customWidth="1"/>
    <col min="15" max="15" width="13.5" bestFit="1" customWidth="1"/>
    <col min="16" max="16" width="27" bestFit="1" customWidth="1"/>
    <col min="17" max="17" width="32.125" bestFit="1" customWidth="1"/>
    <col min="19" max="19" width="12.5" customWidth="1"/>
    <col min="21" max="21" width="24" customWidth="1"/>
    <col min="22" max="22" width="21.125" customWidth="1"/>
    <col min="23" max="23" width="72.125" bestFit="1" customWidth="1"/>
    <col min="24" max="24" width="13.5" bestFit="1" customWidth="1"/>
  </cols>
  <sheetData>
    <row r="1" spans="1:24" ht="21" x14ac:dyDescent="0.35">
      <c r="A1" s="9" t="s">
        <v>4884</v>
      </c>
      <c r="Q1" s="9" t="s">
        <v>4911</v>
      </c>
    </row>
    <row r="2" spans="1:24" x14ac:dyDescent="0.25">
      <c r="A2" s="4" t="s">
        <v>4781</v>
      </c>
      <c r="B2" t="s">
        <v>4782</v>
      </c>
      <c r="C2" s="14" t="s">
        <v>4783</v>
      </c>
      <c r="D2" s="14"/>
      <c r="E2" s="4" t="s">
        <v>4781</v>
      </c>
      <c r="F2" t="s">
        <v>4784</v>
      </c>
      <c r="G2" t="s">
        <v>4785</v>
      </c>
      <c r="H2" t="s">
        <v>4886</v>
      </c>
      <c r="I2" t="s">
        <v>4783</v>
      </c>
      <c r="K2" s="4" t="s">
        <v>4781</v>
      </c>
      <c r="L2" t="s">
        <v>4782</v>
      </c>
      <c r="N2" s="4" t="s">
        <v>4781</v>
      </c>
      <c r="O2" t="s">
        <v>4782</v>
      </c>
      <c r="Q2" t="s">
        <v>4919</v>
      </c>
      <c r="S2">
        <v>1034</v>
      </c>
      <c r="W2" s="4" t="s">
        <v>4781</v>
      </c>
      <c r="X2" t="s">
        <v>4782</v>
      </c>
    </row>
    <row r="3" spans="1:24" x14ac:dyDescent="0.25">
      <c r="A3" s="3" t="s">
        <v>62</v>
      </c>
      <c r="B3">
        <v>133</v>
      </c>
      <c r="C3" s="5">
        <f>B3/$B$13</f>
        <v>7.5826681870011403E-2</v>
      </c>
      <c r="D3" s="5"/>
      <c r="E3" s="3" t="s">
        <v>62</v>
      </c>
      <c r="F3" s="7">
        <v>100371</v>
      </c>
      <c r="G3" s="7">
        <v>77282879</v>
      </c>
      <c r="H3" s="12">
        <f>SUM(F3:G3)/1000000</f>
        <v>77.383250000000004</v>
      </c>
      <c r="I3" s="5">
        <f t="shared" ref="I3:I13" si="0">H3/$H$13</f>
        <v>7.6591476345707607E-2</v>
      </c>
      <c r="J3" s="5"/>
      <c r="K3" s="3" t="s">
        <v>4788</v>
      </c>
      <c r="L3">
        <v>127</v>
      </c>
      <c r="N3" s="3" t="s">
        <v>1396</v>
      </c>
      <c r="O3">
        <v>3</v>
      </c>
      <c r="Q3" t="s">
        <v>4912</v>
      </c>
      <c r="S3">
        <v>24</v>
      </c>
      <c r="W3" s="3" t="s">
        <v>512</v>
      </c>
      <c r="X3">
        <v>12</v>
      </c>
    </row>
    <row r="4" spans="1:24" x14ac:dyDescent="0.25">
      <c r="A4" s="3" t="s">
        <v>48</v>
      </c>
      <c r="B4">
        <v>297</v>
      </c>
      <c r="C4" s="5">
        <f t="shared" ref="C4:C13" si="1">B4/$B$13</f>
        <v>0.16932725199543899</v>
      </c>
      <c r="D4" s="5"/>
      <c r="E4" s="3" t="s">
        <v>48</v>
      </c>
      <c r="F4" s="7">
        <v>249953</v>
      </c>
      <c r="G4" s="7">
        <v>160712624</v>
      </c>
      <c r="H4" s="12">
        <f t="shared" ref="H4:H13" si="2">SUM(F4:G4)/1000000</f>
        <v>160.96257700000001</v>
      </c>
      <c r="I4" s="5">
        <f t="shared" si="0"/>
        <v>0.15931563237315105</v>
      </c>
      <c r="J4" s="5"/>
      <c r="K4" s="3" t="s">
        <v>4789</v>
      </c>
      <c r="L4">
        <v>99</v>
      </c>
      <c r="N4" s="3" t="s">
        <v>18</v>
      </c>
      <c r="O4">
        <v>206</v>
      </c>
      <c r="Q4" t="s">
        <v>4913</v>
      </c>
      <c r="S4" s="13">
        <f>S3/S2</f>
        <v>2.321083172147002E-2</v>
      </c>
      <c r="W4" s="3" t="s">
        <v>144</v>
      </c>
      <c r="X4">
        <v>3</v>
      </c>
    </row>
    <row r="5" spans="1:24" x14ac:dyDescent="0.25">
      <c r="A5" s="3" t="s">
        <v>521</v>
      </c>
      <c r="B5">
        <v>20</v>
      </c>
      <c r="C5" s="5">
        <f t="shared" si="1"/>
        <v>1.1402508551881414E-2</v>
      </c>
      <c r="D5" s="5"/>
      <c r="E5" s="3" t="s">
        <v>521</v>
      </c>
      <c r="F5" s="7">
        <v>5232</v>
      </c>
      <c r="G5" s="7">
        <v>15197519</v>
      </c>
      <c r="H5" s="12">
        <f t="shared" si="2"/>
        <v>15.202750999999999</v>
      </c>
      <c r="I5" s="5">
        <f t="shared" si="0"/>
        <v>1.5047198762085885E-2</v>
      </c>
      <c r="J5" s="5"/>
      <c r="K5" s="3" t="s">
        <v>4790</v>
      </c>
      <c r="L5">
        <v>97</v>
      </c>
      <c r="N5" s="3" t="s">
        <v>59</v>
      </c>
      <c r="O5">
        <v>30</v>
      </c>
      <c r="Q5" t="s">
        <v>4914</v>
      </c>
      <c r="S5">
        <v>10</v>
      </c>
      <c r="W5" s="3" t="s">
        <v>166</v>
      </c>
      <c r="X5">
        <v>5</v>
      </c>
    </row>
    <row r="6" spans="1:24" x14ac:dyDescent="0.25">
      <c r="A6" s="3" t="s">
        <v>865</v>
      </c>
      <c r="B6">
        <v>3</v>
      </c>
      <c r="C6" s="5">
        <f t="shared" si="1"/>
        <v>1.7103762827822121E-3</v>
      </c>
      <c r="D6" s="5"/>
      <c r="E6" s="3" t="s">
        <v>865</v>
      </c>
      <c r="F6" s="7">
        <v>0</v>
      </c>
      <c r="G6" s="7">
        <v>695930</v>
      </c>
      <c r="H6" s="12">
        <f t="shared" si="2"/>
        <v>0.69593000000000005</v>
      </c>
      <c r="I6" s="5">
        <f t="shared" si="0"/>
        <v>6.8880934999845966E-4</v>
      </c>
      <c r="J6" s="5"/>
      <c r="K6" s="3" t="s">
        <v>4791</v>
      </c>
      <c r="L6">
        <v>101</v>
      </c>
      <c r="N6" s="3" t="s">
        <v>152</v>
      </c>
      <c r="O6">
        <v>263</v>
      </c>
      <c r="Q6" t="s">
        <v>4913</v>
      </c>
      <c r="S6" s="13">
        <f>S5/S2</f>
        <v>9.6711798839458421E-3</v>
      </c>
      <c r="W6" s="3" t="s">
        <v>130</v>
      </c>
      <c r="X6">
        <v>10</v>
      </c>
    </row>
    <row r="7" spans="1:24" x14ac:dyDescent="0.25">
      <c r="A7" s="3" t="s">
        <v>501</v>
      </c>
      <c r="B7">
        <v>3</v>
      </c>
      <c r="C7" s="5">
        <f t="shared" si="1"/>
        <v>1.7103762827822121E-3</v>
      </c>
      <c r="D7" s="5"/>
      <c r="E7" s="3" t="s">
        <v>501</v>
      </c>
      <c r="F7" s="7">
        <v>0</v>
      </c>
      <c r="G7" s="7">
        <v>367202</v>
      </c>
      <c r="H7" s="12">
        <f t="shared" si="2"/>
        <v>0.36720199999999997</v>
      </c>
      <c r="I7" s="13">
        <f t="shared" si="0"/>
        <v>3.6344484493862074E-4</v>
      </c>
      <c r="J7" s="5"/>
      <c r="K7" s="3" t="s">
        <v>4792</v>
      </c>
      <c r="L7">
        <v>141</v>
      </c>
      <c r="N7" s="3" t="s">
        <v>42</v>
      </c>
      <c r="O7">
        <v>85</v>
      </c>
      <c r="Q7" t="s">
        <v>4918</v>
      </c>
      <c r="S7" s="1">
        <f>AVERAGE('TECH Data Analysis'!S8:S32)</f>
        <v>38937266.399999999</v>
      </c>
      <c r="W7" s="3" t="s">
        <v>120</v>
      </c>
      <c r="X7">
        <v>17</v>
      </c>
    </row>
    <row r="8" spans="1:24" x14ac:dyDescent="0.25">
      <c r="A8" s="3" t="s">
        <v>726</v>
      </c>
      <c r="B8">
        <v>32</v>
      </c>
      <c r="C8" s="5">
        <f>B8/$B$13</f>
        <v>1.8244013683010263E-2</v>
      </c>
      <c r="D8" s="5"/>
      <c r="E8" s="3" t="s">
        <v>726</v>
      </c>
      <c r="F8" s="7">
        <v>31265</v>
      </c>
      <c r="G8" s="7">
        <v>17128203</v>
      </c>
      <c r="H8" s="12">
        <f t="shared" si="2"/>
        <v>17.159468</v>
      </c>
      <c r="I8" s="5">
        <f t="shared" si="0"/>
        <v>1.6983894931098482E-2</v>
      </c>
      <c r="J8" s="5"/>
      <c r="K8" s="3" t="s">
        <v>4793</v>
      </c>
      <c r="L8">
        <v>147</v>
      </c>
      <c r="N8" s="3" t="s">
        <v>140</v>
      </c>
      <c r="O8">
        <v>251</v>
      </c>
      <c r="W8" s="3" t="s">
        <v>204</v>
      </c>
      <c r="X8">
        <v>24</v>
      </c>
    </row>
    <row r="9" spans="1:24" x14ac:dyDescent="0.25">
      <c r="A9" s="3" t="s">
        <v>15</v>
      </c>
      <c r="B9">
        <v>799</v>
      </c>
      <c r="C9" s="5">
        <f t="shared" si="1"/>
        <v>0.45553021664766247</v>
      </c>
      <c r="D9" s="5"/>
      <c r="E9" s="3" t="s">
        <v>15</v>
      </c>
      <c r="F9" s="7">
        <v>597963</v>
      </c>
      <c r="G9" s="7">
        <v>470518382</v>
      </c>
      <c r="H9" s="12">
        <f>SUM(F9:G9)/1000000</f>
        <v>471.11634500000002</v>
      </c>
      <c r="I9" s="5">
        <f t="shared" si="0"/>
        <v>0.46629595415214181</v>
      </c>
      <c r="J9" s="5"/>
      <c r="K9" s="3" t="s">
        <v>4794</v>
      </c>
      <c r="L9">
        <v>88</v>
      </c>
      <c r="N9" s="3" t="s">
        <v>26</v>
      </c>
      <c r="O9">
        <v>184</v>
      </c>
      <c r="W9" s="3" t="s">
        <v>451</v>
      </c>
      <c r="X9">
        <v>13</v>
      </c>
    </row>
    <row r="10" spans="1:24" x14ac:dyDescent="0.25">
      <c r="A10" s="3" t="s">
        <v>1003</v>
      </c>
      <c r="B10">
        <v>1</v>
      </c>
      <c r="C10" s="5">
        <f t="shared" si="1"/>
        <v>5.7012542759407071E-4</v>
      </c>
      <c r="D10" s="5"/>
      <c r="E10" s="3" t="s">
        <v>1003</v>
      </c>
      <c r="F10" s="7">
        <v>0</v>
      </c>
      <c r="G10" s="7">
        <v>618797</v>
      </c>
      <c r="H10" s="12">
        <f t="shared" si="2"/>
        <v>0.61879700000000004</v>
      </c>
      <c r="I10" s="5">
        <f t="shared" si="0"/>
        <v>6.124655631327818E-4</v>
      </c>
      <c r="J10" s="5"/>
      <c r="K10" s="3" t="s">
        <v>4795</v>
      </c>
      <c r="L10">
        <v>40</v>
      </c>
      <c r="N10" s="3" t="s">
        <v>337</v>
      </c>
      <c r="O10">
        <v>11</v>
      </c>
      <c r="W10" s="3" t="s">
        <v>3223</v>
      </c>
      <c r="X10">
        <v>1</v>
      </c>
    </row>
    <row r="11" spans="1:24" x14ac:dyDescent="0.25">
      <c r="A11" s="3" t="s">
        <v>39</v>
      </c>
      <c r="B11">
        <v>450</v>
      </c>
      <c r="C11" s="5">
        <f t="shared" si="1"/>
        <v>0.25655644241733183</v>
      </c>
      <c r="D11" s="5"/>
      <c r="E11" s="3" t="s">
        <v>39</v>
      </c>
      <c r="F11" s="7">
        <v>502089</v>
      </c>
      <c r="G11" s="7">
        <v>258508132</v>
      </c>
      <c r="H11" s="12">
        <f t="shared" si="2"/>
        <v>259.010221</v>
      </c>
      <c r="I11" s="5">
        <f t="shared" si="0"/>
        <v>0.25636006777975856</v>
      </c>
      <c r="J11" s="5"/>
      <c r="K11" s="3" t="s">
        <v>4796</v>
      </c>
      <c r="L11">
        <v>45</v>
      </c>
      <c r="N11" s="3" t="s">
        <v>87</v>
      </c>
      <c r="O11">
        <v>240</v>
      </c>
      <c r="W11" s="3" t="s">
        <v>3254</v>
      </c>
      <c r="X11">
        <v>1</v>
      </c>
    </row>
    <row r="12" spans="1:24" x14ac:dyDescent="0.25">
      <c r="A12" s="3" t="s">
        <v>334</v>
      </c>
      <c r="B12">
        <v>16</v>
      </c>
      <c r="C12" s="5">
        <f t="shared" si="1"/>
        <v>9.1220068415051314E-3</v>
      </c>
      <c r="D12" s="5"/>
      <c r="E12" s="3" t="s">
        <v>334</v>
      </c>
      <c r="F12" s="7">
        <v>0</v>
      </c>
      <c r="G12" s="7">
        <v>7821080</v>
      </c>
      <c r="H12" s="12">
        <f t="shared" si="2"/>
        <v>7.8210800000000003</v>
      </c>
      <c r="I12" s="5">
        <f t="shared" si="0"/>
        <v>7.7410558979867979E-3</v>
      </c>
      <c r="J12" s="5"/>
      <c r="K12" s="3" t="s">
        <v>4797</v>
      </c>
      <c r="L12">
        <v>131</v>
      </c>
      <c r="N12" s="3" t="s">
        <v>80</v>
      </c>
      <c r="O12">
        <v>14</v>
      </c>
      <c r="W12" s="3" t="s">
        <v>85</v>
      </c>
      <c r="X12">
        <v>240</v>
      </c>
    </row>
    <row r="13" spans="1:24" x14ac:dyDescent="0.25">
      <c r="A13" s="3" t="s">
        <v>4786</v>
      </c>
      <c r="B13">
        <v>1754</v>
      </c>
      <c r="C13" s="5">
        <f t="shared" si="1"/>
        <v>1</v>
      </c>
      <c r="D13" s="5"/>
      <c r="E13" s="3" t="s">
        <v>4786</v>
      </c>
      <c r="F13" s="7">
        <v>1486873</v>
      </c>
      <c r="G13" s="7">
        <v>1008850748</v>
      </c>
      <c r="H13" s="12">
        <f t="shared" si="2"/>
        <v>1010.337621</v>
      </c>
      <c r="I13" s="5">
        <f t="shared" si="0"/>
        <v>1</v>
      </c>
      <c r="J13" s="5"/>
      <c r="K13" s="3" t="s">
        <v>4798</v>
      </c>
      <c r="L13">
        <v>117</v>
      </c>
      <c r="N13" s="3" t="s">
        <v>255</v>
      </c>
      <c r="O13">
        <v>28</v>
      </c>
      <c r="W13" s="3" t="s">
        <v>2574</v>
      </c>
      <c r="X13">
        <v>3</v>
      </c>
    </row>
    <row r="14" spans="1:24" x14ac:dyDescent="0.25">
      <c r="C14" s="5"/>
      <c r="D14" s="5"/>
      <c r="K14" s="3" t="s">
        <v>4799</v>
      </c>
      <c r="L14">
        <v>157</v>
      </c>
      <c r="N14" s="3" t="s">
        <v>844</v>
      </c>
      <c r="O14">
        <v>8</v>
      </c>
      <c r="W14" s="3" t="s">
        <v>69</v>
      </c>
      <c r="X14">
        <v>11</v>
      </c>
    </row>
    <row r="15" spans="1:24" x14ac:dyDescent="0.25">
      <c r="A15" s="4" t="s">
        <v>4781</v>
      </c>
      <c r="B15" t="s">
        <v>4782</v>
      </c>
      <c r="C15" s="14" t="s">
        <v>4783</v>
      </c>
      <c r="D15" s="14"/>
      <c r="E15" s="4" t="s">
        <v>4781</v>
      </c>
      <c r="F15" t="s">
        <v>4784</v>
      </c>
      <c r="G15" t="s">
        <v>4785</v>
      </c>
      <c r="H15" t="s">
        <v>4886</v>
      </c>
      <c r="I15" t="s">
        <v>4783</v>
      </c>
      <c r="K15" s="3" t="s">
        <v>4800</v>
      </c>
      <c r="L15">
        <v>87</v>
      </c>
      <c r="N15" s="3" t="s">
        <v>146</v>
      </c>
      <c r="O15">
        <v>15</v>
      </c>
      <c r="R15">
        <f>LOG10(2)/LOG10(1.5)</f>
        <v>1.7095112913514547</v>
      </c>
      <c r="W15" s="3" t="s">
        <v>3579</v>
      </c>
      <c r="X15">
        <v>2</v>
      </c>
    </row>
    <row r="16" spans="1:24" x14ac:dyDescent="0.25">
      <c r="A16" s="3" t="s">
        <v>100</v>
      </c>
      <c r="B16">
        <v>45</v>
      </c>
      <c r="C16" s="5">
        <f>B16/$B$29</f>
        <v>2.565564424173318E-2</v>
      </c>
      <c r="D16" s="5"/>
      <c r="E16" s="3" t="s">
        <v>100</v>
      </c>
      <c r="F16" s="7">
        <v>167225</v>
      </c>
      <c r="G16" s="7">
        <v>17958500</v>
      </c>
      <c r="H16" s="12">
        <f>SUM(F16:G16)/1000000</f>
        <v>18.125724999999999</v>
      </c>
      <c r="I16" s="5">
        <f t="shared" ref="I16:I29" si="3">H16/$H$13</f>
        <v>1.7940265336313752E-2</v>
      </c>
      <c r="J16" s="5"/>
      <c r="K16" s="3" t="s">
        <v>4801</v>
      </c>
      <c r="L16">
        <v>108</v>
      </c>
      <c r="N16" s="3" t="s">
        <v>3581</v>
      </c>
      <c r="O16">
        <v>2</v>
      </c>
      <c r="S16" s="16"/>
      <c r="W16" s="3" t="s">
        <v>32</v>
      </c>
      <c r="X16">
        <v>502</v>
      </c>
    </row>
    <row r="17" spans="1:24" x14ac:dyDescent="0.25">
      <c r="A17" s="3" t="s">
        <v>28</v>
      </c>
      <c r="B17">
        <v>977</v>
      </c>
      <c r="C17" s="5">
        <f t="shared" ref="C17:C29" si="4">B17/$B$29</f>
        <v>0.55701254275940704</v>
      </c>
      <c r="D17" s="5"/>
      <c r="E17" s="3" t="s">
        <v>28</v>
      </c>
      <c r="F17" s="7">
        <v>318441</v>
      </c>
      <c r="G17" s="7">
        <v>619869129</v>
      </c>
      <c r="H17" s="12">
        <f t="shared" ref="H17:H26" si="5">SUM(F17:G17)/1000000</f>
        <v>620.18757000000005</v>
      </c>
      <c r="I17" s="5">
        <f t="shared" si="3"/>
        <v>0.61384190503186264</v>
      </c>
      <c r="J17" s="5"/>
      <c r="K17" s="3" t="s">
        <v>4802</v>
      </c>
      <c r="L17">
        <v>134</v>
      </c>
      <c r="N17" s="3" t="s">
        <v>963</v>
      </c>
      <c r="O17">
        <v>4</v>
      </c>
      <c r="W17" s="3" t="s">
        <v>108</v>
      </c>
      <c r="X17">
        <v>20</v>
      </c>
    </row>
    <row r="18" spans="1:24" x14ac:dyDescent="0.25">
      <c r="A18" s="3" t="s">
        <v>21</v>
      </c>
      <c r="B18">
        <v>169</v>
      </c>
      <c r="C18" s="5">
        <f>B18/$B$29</f>
        <v>9.6351197263397942E-2</v>
      </c>
      <c r="D18" s="5"/>
      <c r="E18" s="3" t="s">
        <v>21</v>
      </c>
      <c r="F18" s="7">
        <v>374001</v>
      </c>
      <c r="G18" s="7">
        <v>95950198</v>
      </c>
      <c r="H18" s="12">
        <f t="shared" si="5"/>
        <v>96.324198999999993</v>
      </c>
      <c r="I18" s="5">
        <f t="shared" si="3"/>
        <v>9.5338624433940575E-2</v>
      </c>
      <c r="J18" s="5"/>
      <c r="K18" s="3" t="s">
        <v>4803</v>
      </c>
      <c r="L18">
        <v>135</v>
      </c>
      <c r="N18" s="3" t="s">
        <v>132</v>
      </c>
      <c r="O18">
        <v>10</v>
      </c>
      <c r="W18" s="3" t="s">
        <v>54</v>
      </c>
      <c r="X18">
        <v>2</v>
      </c>
    </row>
    <row r="19" spans="1:24" x14ac:dyDescent="0.25">
      <c r="A19" s="3" t="s">
        <v>322</v>
      </c>
      <c r="B19">
        <v>25</v>
      </c>
      <c r="C19" s="5">
        <f t="shared" si="4"/>
        <v>1.4253135689851768E-2</v>
      </c>
      <c r="D19" s="5"/>
      <c r="E19" s="3" t="s">
        <v>322</v>
      </c>
      <c r="F19" s="7">
        <v>0</v>
      </c>
      <c r="G19" s="7">
        <v>8183126</v>
      </c>
      <c r="H19" s="12">
        <f t="shared" si="5"/>
        <v>8.1831259999999997</v>
      </c>
      <c r="I19" s="5">
        <f t="shared" si="3"/>
        <v>8.0993974983338754E-3</v>
      </c>
      <c r="J19" s="5"/>
      <c r="K19" s="3" t="s">
        <v>4786</v>
      </c>
      <c r="L19">
        <v>1754</v>
      </c>
      <c r="N19" s="3" t="s">
        <v>168</v>
      </c>
      <c r="O19">
        <v>5</v>
      </c>
      <c r="W19" s="3" t="s">
        <v>1733</v>
      </c>
      <c r="X19">
        <v>2</v>
      </c>
    </row>
    <row r="20" spans="1:24" x14ac:dyDescent="0.25">
      <c r="A20" s="3" t="s">
        <v>57</v>
      </c>
      <c r="B20">
        <v>42</v>
      </c>
      <c r="C20" s="5">
        <f t="shared" si="4"/>
        <v>2.394526795895097E-2</v>
      </c>
      <c r="D20" s="5"/>
      <c r="E20" s="3" t="s">
        <v>57</v>
      </c>
      <c r="F20" s="7">
        <v>25000</v>
      </c>
      <c r="G20" s="7">
        <v>19979671</v>
      </c>
      <c r="H20" s="12">
        <f t="shared" si="5"/>
        <v>20.004670999999998</v>
      </c>
      <c r="I20" s="5">
        <f t="shared" si="3"/>
        <v>1.979998624637971E-2</v>
      </c>
      <c r="J20" s="5"/>
      <c r="N20" s="3" t="s">
        <v>98</v>
      </c>
      <c r="O20">
        <v>73</v>
      </c>
      <c r="W20" s="3" t="s">
        <v>1471</v>
      </c>
      <c r="X20">
        <v>1</v>
      </c>
    </row>
    <row r="21" spans="1:24" x14ac:dyDescent="0.25">
      <c r="A21" s="3" t="s">
        <v>148</v>
      </c>
      <c r="B21">
        <v>12</v>
      </c>
      <c r="C21" s="5">
        <f t="shared" si="4"/>
        <v>6.8415051311288486E-3</v>
      </c>
      <c r="D21" s="5"/>
      <c r="E21" s="3" t="s">
        <v>148</v>
      </c>
      <c r="F21" s="7">
        <v>19361</v>
      </c>
      <c r="G21" s="7">
        <v>2335936</v>
      </c>
      <c r="H21" s="12">
        <f>SUM(F21:G21)/1000000</f>
        <v>2.3552970000000002</v>
      </c>
      <c r="I21" s="5">
        <f t="shared" si="3"/>
        <v>2.3311979590236401E-3</v>
      </c>
      <c r="J21" s="5"/>
      <c r="N21" s="3" t="s">
        <v>122</v>
      </c>
      <c r="O21">
        <v>17</v>
      </c>
      <c r="W21" s="3" t="s">
        <v>1057</v>
      </c>
      <c r="X21">
        <v>3</v>
      </c>
    </row>
    <row r="22" spans="1:24" x14ac:dyDescent="0.25">
      <c r="A22" s="3" t="s">
        <v>74</v>
      </c>
      <c r="B22">
        <v>41</v>
      </c>
      <c r="C22" s="5">
        <f t="shared" si="4"/>
        <v>2.3375142531356898E-2</v>
      </c>
      <c r="D22" s="5"/>
      <c r="E22" s="3" t="s">
        <v>74</v>
      </c>
      <c r="F22" s="7">
        <v>205630</v>
      </c>
      <c r="G22" s="7">
        <v>19650965</v>
      </c>
      <c r="H22" s="12">
        <f t="shared" si="5"/>
        <v>19.856594999999999</v>
      </c>
      <c r="I22" s="5">
        <f t="shared" si="3"/>
        <v>1.9653425337509033E-2</v>
      </c>
      <c r="J22" s="5"/>
      <c r="N22" s="3" t="s">
        <v>34</v>
      </c>
      <c r="O22">
        <v>241</v>
      </c>
      <c r="W22" s="3" t="s">
        <v>647</v>
      </c>
      <c r="X22">
        <v>2</v>
      </c>
    </row>
    <row r="23" spans="1:24" x14ac:dyDescent="0.25">
      <c r="A23" s="3" t="s">
        <v>2609</v>
      </c>
      <c r="B23">
        <v>1</v>
      </c>
      <c r="C23" s="5">
        <f t="shared" si="4"/>
        <v>5.7012542759407071E-4</v>
      </c>
      <c r="D23" s="5"/>
      <c r="E23" s="3" t="s">
        <v>2609</v>
      </c>
      <c r="F23" s="7">
        <v>0</v>
      </c>
      <c r="G23" s="7">
        <v>600000</v>
      </c>
      <c r="H23" s="12">
        <f t="shared" si="5"/>
        <v>0.6</v>
      </c>
      <c r="I23" s="5">
        <f t="shared" si="3"/>
        <v>5.938608911802562E-4</v>
      </c>
      <c r="J23" s="5"/>
      <c r="N23" s="3" t="s">
        <v>1953</v>
      </c>
      <c r="O23">
        <v>6</v>
      </c>
      <c r="W23" s="3" t="s">
        <v>49</v>
      </c>
      <c r="X23">
        <v>3</v>
      </c>
    </row>
    <row r="24" spans="1:24" x14ac:dyDescent="0.25">
      <c r="A24" s="3" t="s">
        <v>134</v>
      </c>
      <c r="B24">
        <v>117</v>
      </c>
      <c r="C24" s="5">
        <f t="shared" si="4"/>
        <v>6.6704675028506272E-2</v>
      </c>
      <c r="D24" s="5"/>
      <c r="E24" s="3" t="s">
        <v>134</v>
      </c>
      <c r="F24" s="7">
        <v>66944</v>
      </c>
      <c r="G24" s="7">
        <v>66040657</v>
      </c>
      <c r="H24" s="12">
        <f t="shared" si="5"/>
        <v>66.107601000000003</v>
      </c>
      <c r="I24" s="5">
        <f t="shared" si="3"/>
        <v>6.5431198072747998E-2</v>
      </c>
      <c r="J24" s="5"/>
      <c r="N24" s="3" t="s">
        <v>353</v>
      </c>
      <c r="O24">
        <v>3</v>
      </c>
      <c r="W24" s="3" t="s">
        <v>710</v>
      </c>
      <c r="X24">
        <v>7</v>
      </c>
    </row>
    <row r="25" spans="1:24" x14ac:dyDescent="0.25">
      <c r="A25" s="3" t="s">
        <v>65</v>
      </c>
      <c r="B25">
        <v>145</v>
      </c>
      <c r="C25" s="5">
        <f t="shared" si="4"/>
        <v>8.2668187001140245E-2</v>
      </c>
      <c r="D25" s="5"/>
      <c r="E25" s="3" t="s">
        <v>65</v>
      </c>
      <c r="F25" s="7">
        <v>44223</v>
      </c>
      <c r="G25" s="7">
        <v>64557472</v>
      </c>
      <c r="H25" s="12">
        <f t="shared" si="5"/>
        <v>64.601695000000007</v>
      </c>
      <c r="I25" s="5">
        <f t="shared" si="3"/>
        <v>6.394070027409185E-2</v>
      </c>
      <c r="J25" s="5"/>
      <c r="N25" s="3" t="s">
        <v>71</v>
      </c>
      <c r="O25">
        <v>14</v>
      </c>
      <c r="W25" s="3" t="s">
        <v>502</v>
      </c>
      <c r="X25">
        <v>2</v>
      </c>
    </row>
    <row r="26" spans="1:24" x14ac:dyDescent="0.25">
      <c r="A26" s="3" t="s">
        <v>116</v>
      </c>
      <c r="B26">
        <v>133</v>
      </c>
      <c r="C26" s="5">
        <f t="shared" si="4"/>
        <v>7.5826681870011403E-2</v>
      </c>
      <c r="D26" s="5"/>
      <c r="E26" s="3" t="s">
        <v>116</v>
      </c>
      <c r="F26" s="7">
        <v>141425</v>
      </c>
      <c r="G26" s="7">
        <v>70616252</v>
      </c>
      <c r="H26" s="12">
        <f t="shared" si="5"/>
        <v>70.757677000000001</v>
      </c>
      <c r="I26" s="5">
        <f t="shared" si="3"/>
        <v>7.0033695201774535E-2</v>
      </c>
      <c r="J26" s="5"/>
      <c r="N26" s="3" t="s">
        <v>206</v>
      </c>
      <c r="O26">
        <v>24</v>
      </c>
      <c r="W26" s="3" t="s">
        <v>2928</v>
      </c>
      <c r="X26">
        <v>2</v>
      </c>
    </row>
    <row r="27" spans="1:24" x14ac:dyDescent="0.25">
      <c r="A27" s="3" t="s">
        <v>326</v>
      </c>
      <c r="B27">
        <v>36</v>
      </c>
      <c r="C27" s="5">
        <f t="shared" si="4"/>
        <v>2.0524515393386546E-2</v>
      </c>
      <c r="D27" s="5"/>
      <c r="E27" s="3" t="s">
        <v>326</v>
      </c>
      <c r="F27" s="7">
        <v>6303</v>
      </c>
      <c r="G27" s="7">
        <v>16929095</v>
      </c>
      <c r="H27" s="12">
        <f t="shared" ref="H27:H28" si="6">SUM(F27:G27)/1000000</f>
        <v>16.935397999999999</v>
      </c>
      <c r="I27" s="5">
        <f t="shared" si="3"/>
        <v>1.6762117581287216E-2</v>
      </c>
      <c r="J27" s="5"/>
      <c r="N27" s="3" t="s">
        <v>985</v>
      </c>
      <c r="O27">
        <v>3</v>
      </c>
      <c r="W27" s="3" t="s">
        <v>689</v>
      </c>
      <c r="X27">
        <v>9</v>
      </c>
    </row>
    <row r="28" spans="1:24" x14ac:dyDescent="0.25">
      <c r="A28" s="3" t="s">
        <v>201</v>
      </c>
      <c r="B28">
        <v>11</v>
      </c>
      <c r="C28" s="5">
        <f t="shared" si="4"/>
        <v>6.2713797035347778E-3</v>
      </c>
      <c r="D28" s="5"/>
      <c r="E28" s="3" t="s">
        <v>201</v>
      </c>
      <c r="F28" s="7">
        <v>118320</v>
      </c>
      <c r="G28" s="7">
        <v>6179747</v>
      </c>
      <c r="H28" s="12">
        <f t="shared" si="6"/>
        <v>6.2980669999999996</v>
      </c>
      <c r="I28" s="5">
        <f t="shared" si="3"/>
        <v>6.2336261355549379E-3</v>
      </c>
      <c r="J28" s="5"/>
      <c r="N28" s="3" t="s">
        <v>1371</v>
      </c>
      <c r="O28">
        <v>1</v>
      </c>
      <c r="W28" s="3" t="s">
        <v>4287</v>
      </c>
      <c r="X28">
        <v>1</v>
      </c>
    </row>
    <row r="29" spans="1:24" x14ac:dyDescent="0.25">
      <c r="A29" s="3" t="s">
        <v>4786</v>
      </c>
      <c r="B29">
        <v>1754</v>
      </c>
      <c r="C29" s="5">
        <f t="shared" si="4"/>
        <v>1</v>
      </c>
      <c r="D29" s="5"/>
      <c r="E29" s="3" t="s">
        <v>4786</v>
      </c>
      <c r="F29" s="7">
        <v>1486873</v>
      </c>
      <c r="G29" s="7">
        <v>1008850748</v>
      </c>
      <c r="H29" s="12">
        <f>SUM(F29:G29)/1000000</f>
        <v>1010.337621</v>
      </c>
      <c r="I29" s="5">
        <f t="shared" si="3"/>
        <v>1</v>
      </c>
      <c r="J29" s="5"/>
      <c r="N29" s="3" t="s">
        <v>453</v>
      </c>
      <c r="O29">
        <v>13</v>
      </c>
      <c r="W29" s="3" t="s">
        <v>983</v>
      </c>
      <c r="X29">
        <v>3</v>
      </c>
    </row>
    <row r="30" spans="1:24" x14ac:dyDescent="0.25">
      <c r="C30" s="5"/>
      <c r="D30" s="5"/>
      <c r="F30" s="1"/>
      <c r="G30" s="1"/>
      <c r="N30" s="3" t="s">
        <v>4786</v>
      </c>
      <c r="O30">
        <v>1754</v>
      </c>
      <c r="U30" s="6"/>
      <c r="W30" s="3" t="s">
        <v>1394</v>
      </c>
      <c r="X30">
        <v>3</v>
      </c>
    </row>
    <row r="31" spans="1:24" ht="21" x14ac:dyDescent="0.35">
      <c r="A31" s="11" t="s">
        <v>4885</v>
      </c>
      <c r="F31" s="1"/>
      <c r="G31" s="1"/>
      <c r="U31" s="6"/>
      <c r="W31" s="3" t="s">
        <v>78</v>
      </c>
      <c r="X31">
        <v>14</v>
      </c>
    </row>
    <row r="32" spans="1:24" x14ac:dyDescent="0.25">
      <c r="A32" s="4" t="s">
        <v>4781</v>
      </c>
      <c r="B32" t="s">
        <v>4787</v>
      </c>
      <c r="C32" s="14" t="s">
        <v>4783</v>
      </c>
      <c r="D32" s="14"/>
      <c r="E32" s="4" t="s">
        <v>4781</v>
      </c>
      <c r="F32" t="s">
        <v>4787</v>
      </c>
      <c r="G32" s="14" t="s">
        <v>4783</v>
      </c>
      <c r="I32" s="4" t="s">
        <v>4781</v>
      </c>
      <c r="J32" t="s">
        <v>4787</v>
      </c>
      <c r="U32" s="6"/>
      <c r="W32" s="3" t="s">
        <v>253</v>
      </c>
      <c r="X32">
        <v>28</v>
      </c>
    </row>
    <row r="33" spans="1:24" x14ac:dyDescent="0.25">
      <c r="A33" s="3" t="s">
        <v>62</v>
      </c>
      <c r="B33">
        <v>66</v>
      </c>
      <c r="C33" s="5">
        <f>B33/$B$43</f>
        <v>7.0437566702241189E-2</v>
      </c>
      <c r="D33" s="5"/>
      <c r="E33" s="3" t="s">
        <v>100</v>
      </c>
      <c r="F33">
        <v>31</v>
      </c>
      <c r="G33" s="5">
        <f t="shared" ref="G33:G46" si="7">F33/$F$46</f>
        <v>3.3084311632870865E-2</v>
      </c>
      <c r="I33" s="3" t="s">
        <v>4788</v>
      </c>
      <c r="J33">
        <v>138</v>
      </c>
      <c r="W33" s="3" t="s">
        <v>842</v>
      </c>
      <c r="X33">
        <v>8</v>
      </c>
    </row>
    <row r="34" spans="1:24" x14ac:dyDescent="0.25">
      <c r="A34" s="3" t="s">
        <v>48</v>
      </c>
      <c r="B34">
        <v>224</v>
      </c>
      <c r="C34" s="5">
        <f t="shared" ref="C34:C43" si="8">B34/$B$43</f>
        <v>0.23906083244397011</v>
      </c>
      <c r="D34" s="5"/>
      <c r="E34" s="3" t="s">
        <v>28</v>
      </c>
      <c r="F34">
        <v>474</v>
      </c>
      <c r="G34" s="5">
        <f t="shared" si="7"/>
        <v>0.50586979722518677</v>
      </c>
      <c r="I34" s="3" t="s">
        <v>4789</v>
      </c>
      <c r="J34">
        <v>33</v>
      </c>
      <c r="W34" s="3" t="s">
        <v>1075</v>
      </c>
      <c r="X34">
        <v>2</v>
      </c>
    </row>
    <row r="35" spans="1:24" x14ac:dyDescent="0.25">
      <c r="A35" s="3" t="s">
        <v>521</v>
      </c>
      <c r="B35">
        <v>14</v>
      </c>
      <c r="C35" s="5">
        <f t="shared" si="8"/>
        <v>1.4941302027748132E-2</v>
      </c>
      <c r="D35" s="5"/>
      <c r="E35" s="3" t="s">
        <v>21</v>
      </c>
      <c r="F35">
        <v>129</v>
      </c>
      <c r="G35" s="5">
        <f t="shared" si="7"/>
        <v>0.13767342582710779</v>
      </c>
      <c r="I35" s="3" t="s">
        <v>4790</v>
      </c>
      <c r="J35">
        <v>72</v>
      </c>
      <c r="W35" s="3" t="s">
        <v>96</v>
      </c>
      <c r="X35">
        <v>41</v>
      </c>
    </row>
    <row r="36" spans="1:24" x14ac:dyDescent="0.25">
      <c r="A36" s="3" t="s">
        <v>865</v>
      </c>
      <c r="B36">
        <v>0</v>
      </c>
      <c r="C36" s="5">
        <f t="shared" si="8"/>
        <v>0</v>
      </c>
      <c r="D36" s="5"/>
      <c r="E36" s="3" t="s">
        <v>322</v>
      </c>
      <c r="F36">
        <v>0</v>
      </c>
      <c r="G36" s="5">
        <f t="shared" si="7"/>
        <v>0</v>
      </c>
      <c r="I36" s="3" t="s">
        <v>4791</v>
      </c>
      <c r="J36">
        <v>108</v>
      </c>
      <c r="W36" s="3" t="s">
        <v>274</v>
      </c>
      <c r="X36">
        <v>14</v>
      </c>
    </row>
    <row r="37" spans="1:24" x14ac:dyDescent="0.25">
      <c r="A37" s="3" t="s">
        <v>501</v>
      </c>
      <c r="B37">
        <v>0</v>
      </c>
      <c r="C37" s="5">
        <f t="shared" si="8"/>
        <v>0</v>
      </c>
      <c r="D37" s="5"/>
      <c r="E37" s="3" t="s">
        <v>57</v>
      </c>
      <c r="F37">
        <v>40</v>
      </c>
      <c r="G37" s="5">
        <f t="shared" si="7"/>
        <v>4.2689434364994665E-2</v>
      </c>
      <c r="I37" s="3" t="s">
        <v>4792</v>
      </c>
      <c r="J37">
        <v>94</v>
      </c>
      <c r="W37" s="3" t="s">
        <v>581</v>
      </c>
      <c r="X37">
        <v>17</v>
      </c>
    </row>
    <row r="38" spans="1:24" x14ac:dyDescent="0.25">
      <c r="A38" s="3" t="s">
        <v>726</v>
      </c>
      <c r="B38">
        <v>10</v>
      </c>
      <c r="C38" s="5">
        <f t="shared" si="8"/>
        <v>1.0672358591248666E-2</v>
      </c>
      <c r="D38" s="5"/>
      <c r="E38" s="3" t="s">
        <v>148</v>
      </c>
      <c r="F38">
        <v>0</v>
      </c>
      <c r="G38" s="5">
        <f t="shared" si="7"/>
        <v>0</v>
      </c>
      <c r="I38" s="3" t="s">
        <v>4793</v>
      </c>
      <c r="J38">
        <v>135</v>
      </c>
      <c r="W38" s="3" t="s">
        <v>351</v>
      </c>
      <c r="X38">
        <v>3</v>
      </c>
    </row>
    <row r="39" spans="1:24" x14ac:dyDescent="0.25">
      <c r="A39" s="3" t="s">
        <v>15</v>
      </c>
      <c r="B39">
        <v>478</v>
      </c>
      <c r="C39" s="5">
        <f t="shared" si="8"/>
        <v>0.51013874066168619</v>
      </c>
      <c r="D39" s="5"/>
      <c r="E39" s="3" t="s">
        <v>74</v>
      </c>
      <c r="F39">
        <v>11</v>
      </c>
      <c r="G39" s="5">
        <f t="shared" si="7"/>
        <v>1.1739594450373533E-2</v>
      </c>
      <c r="I39" s="3" t="s">
        <v>4794</v>
      </c>
      <c r="J39">
        <v>59</v>
      </c>
      <c r="W39" s="3" t="s">
        <v>1369</v>
      </c>
      <c r="X39">
        <v>1</v>
      </c>
    </row>
    <row r="40" spans="1:24" x14ac:dyDescent="0.25">
      <c r="A40" s="3" t="s">
        <v>1003</v>
      </c>
      <c r="B40">
        <v>0</v>
      </c>
      <c r="C40" s="5">
        <f t="shared" si="8"/>
        <v>0</v>
      </c>
      <c r="D40" s="5"/>
      <c r="E40" s="3" t="s">
        <v>2609</v>
      </c>
      <c r="F40">
        <v>0</v>
      </c>
      <c r="G40" s="5">
        <f t="shared" si="7"/>
        <v>0</v>
      </c>
      <c r="I40" s="3" t="s">
        <v>4795</v>
      </c>
      <c r="J40">
        <v>34</v>
      </c>
      <c r="W40" s="3" t="s">
        <v>4024</v>
      </c>
      <c r="X40">
        <v>2</v>
      </c>
    </row>
    <row r="41" spans="1:24" x14ac:dyDescent="0.25">
      <c r="A41" s="3" t="s">
        <v>39</v>
      </c>
      <c r="B41">
        <v>143</v>
      </c>
      <c r="C41" s="5">
        <f t="shared" si="8"/>
        <v>0.15261472785485591</v>
      </c>
      <c r="D41" s="5"/>
      <c r="E41" s="3" t="s">
        <v>134</v>
      </c>
      <c r="F41">
        <v>112</v>
      </c>
      <c r="G41" s="5">
        <f t="shared" si="7"/>
        <v>0.11953041622198506</v>
      </c>
      <c r="I41" s="3" t="s">
        <v>4796</v>
      </c>
      <c r="J41">
        <v>34</v>
      </c>
      <c r="W41" s="3" t="s">
        <v>961</v>
      </c>
      <c r="X41">
        <v>4</v>
      </c>
    </row>
    <row r="42" spans="1:24" x14ac:dyDescent="0.25">
      <c r="A42" s="3" t="s">
        <v>334</v>
      </c>
      <c r="B42">
        <v>2</v>
      </c>
      <c r="C42" s="5">
        <f t="shared" si="8"/>
        <v>2.1344717182497333E-3</v>
      </c>
      <c r="D42" s="5"/>
      <c r="E42" s="3" t="s">
        <v>65</v>
      </c>
      <c r="F42">
        <v>61</v>
      </c>
      <c r="G42" s="5">
        <f t="shared" si="7"/>
        <v>6.5101387406616862E-2</v>
      </c>
      <c r="I42" s="3" t="s">
        <v>4797</v>
      </c>
      <c r="J42">
        <v>55</v>
      </c>
      <c r="W42" s="3" t="s">
        <v>1170</v>
      </c>
      <c r="X42">
        <v>1</v>
      </c>
    </row>
    <row r="43" spans="1:24" x14ac:dyDescent="0.25">
      <c r="A43" s="3" t="s">
        <v>4786</v>
      </c>
      <c r="B43">
        <v>937</v>
      </c>
      <c r="C43" s="5">
        <f t="shared" si="8"/>
        <v>1</v>
      </c>
      <c r="D43" s="5"/>
      <c r="E43" s="3" t="s">
        <v>116</v>
      </c>
      <c r="F43">
        <v>55</v>
      </c>
      <c r="G43" s="5">
        <f t="shared" si="7"/>
        <v>5.869797225186766E-2</v>
      </c>
      <c r="I43" s="3" t="s">
        <v>4798</v>
      </c>
      <c r="J43">
        <v>49</v>
      </c>
      <c r="W43" s="3" t="s">
        <v>3881</v>
      </c>
      <c r="X43">
        <v>1</v>
      </c>
    </row>
    <row r="44" spans="1:24" x14ac:dyDescent="0.25">
      <c r="E44" s="3" t="s">
        <v>326</v>
      </c>
      <c r="F44">
        <v>22</v>
      </c>
      <c r="G44" s="5">
        <f t="shared" si="7"/>
        <v>2.3479188900747065E-2</v>
      </c>
      <c r="I44" s="3" t="s">
        <v>4799</v>
      </c>
      <c r="J44">
        <v>66</v>
      </c>
      <c r="W44" s="3" t="s">
        <v>16</v>
      </c>
      <c r="X44">
        <v>630</v>
      </c>
    </row>
    <row r="45" spans="1:24" x14ac:dyDescent="0.25">
      <c r="E45" s="3" t="s">
        <v>201</v>
      </c>
      <c r="F45">
        <v>2</v>
      </c>
      <c r="G45" s="5">
        <f t="shared" si="7"/>
        <v>2.1344717182497333E-3</v>
      </c>
      <c r="I45" s="3" t="s">
        <v>4800</v>
      </c>
      <c r="J45">
        <v>19</v>
      </c>
      <c r="W45" s="3" t="s">
        <v>3394</v>
      </c>
      <c r="X45">
        <v>1</v>
      </c>
    </row>
    <row r="46" spans="1:24" x14ac:dyDescent="0.25">
      <c r="E46" s="3" t="s">
        <v>4786</v>
      </c>
      <c r="F46">
        <v>937</v>
      </c>
      <c r="G46" s="5">
        <f t="shared" si="7"/>
        <v>1</v>
      </c>
      <c r="I46" s="3" t="s">
        <v>4801</v>
      </c>
      <c r="J46">
        <v>18</v>
      </c>
      <c r="W46" s="3" t="s">
        <v>439</v>
      </c>
      <c r="X46">
        <v>23</v>
      </c>
    </row>
    <row r="47" spans="1:24" x14ac:dyDescent="0.25">
      <c r="I47" s="3" t="s">
        <v>4802</v>
      </c>
      <c r="J47">
        <v>19</v>
      </c>
      <c r="W47" s="3" t="s">
        <v>296</v>
      </c>
      <c r="X47">
        <v>2</v>
      </c>
    </row>
    <row r="48" spans="1:24" x14ac:dyDescent="0.25">
      <c r="I48" s="3" t="s">
        <v>4803</v>
      </c>
      <c r="J48">
        <v>4</v>
      </c>
      <c r="W48" s="3" t="s">
        <v>40</v>
      </c>
      <c r="X48">
        <v>3</v>
      </c>
    </row>
    <row r="49" spans="1:24" x14ac:dyDescent="0.25">
      <c r="I49" s="3" t="s">
        <v>4786</v>
      </c>
      <c r="J49">
        <v>937</v>
      </c>
      <c r="W49" s="3" t="s">
        <v>2675</v>
      </c>
      <c r="X49">
        <v>1</v>
      </c>
    </row>
    <row r="50" spans="1:24" x14ac:dyDescent="0.25">
      <c r="W50" s="3" t="s">
        <v>742</v>
      </c>
      <c r="X50">
        <v>2</v>
      </c>
    </row>
    <row r="51" spans="1:24" x14ac:dyDescent="0.25">
      <c r="A51" s="10" t="s">
        <v>4891</v>
      </c>
      <c r="E51" t="s">
        <v>4899</v>
      </c>
      <c r="F51" t="s">
        <v>4887</v>
      </c>
      <c r="I51" s="10" t="s">
        <v>4892</v>
      </c>
      <c r="L51" t="s">
        <v>4899</v>
      </c>
      <c r="M51" t="s">
        <v>4887</v>
      </c>
      <c r="P51" s="10" t="s">
        <v>4893</v>
      </c>
      <c r="S51" t="s">
        <v>4899</v>
      </c>
      <c r="T51" t="s">
        <v>4887</v>
      </c>
      <c r="W51" s="3" t="s">
        <v>2005</v>
      </c>
      <c r="X51">
        <v>1</v>
      </c>
    </row>
    <row r="52" spans="1:24" x14ac:dyDescent="0.25">
      <c r="A52" s="4" t="s">
        <v>4781</v>
      </c>
      <c r="B52" t="s">
        <v>4787</v>
      </c>
      <c r="C52" t="s">
        <v>4894</v>
      </c>
      <c r="E52">
        <f>SUM(F57:F66)</f>
        <v>299</v>
      </c>
      <c r="F52">
        <f>F56</f>
        <v>735</v>
      </c>
      <c r="I52" s="4" t="s">
        <v>2</v>
      </c>
      <c r="J52" t="s">
        <v>39</v>
      </c>
      <c r="L52">
        <f>SUM(M57:M66)</f>
        <v>65</v>
      </c>
      <c r="M52">
        <f>M56</f>
        <v>206</v>
      </c>
      <c r="P52" s="4" t="s">
        <v>9</v>
      </c>
      <c r="Q52" t="s">
        <v>21</v>
      </c>
      <c r="S52">
        <f>SUM(T57:T66)</f>
        <v>43</v>
      </c>
      <c r="T52">
        <f>T56</f>
        <v>77</v>
      </c>
      <c r="W52" s="3" t="s">
        <v>1270</v>
      </c>
      <c r="X52">
        <v>1</v>
      </c>
    </row>
    <row r="53" spans="1:24" x14ac:dyDescent="0.25">
      <c r="A53" s="3" t="s">
        <v>607</v>
      </c>
      <c r="B53">
        <v>3</v>
      </c>
      <c r="C53">
        <v>0</v>
      </c>
      <c r="E53" s="8">
        <f>E52/SUM(E52:F52)</f>
        <v>0.28916827852998067</v>
      </c>
      <c r="F53" s="8">
        <f>F52/SUM(E52:F52)</f>
        <v>0.71083172147001938</v>
      </c>
      <c r="L53" s="8">
        <f>L52/SUM(L52:M52)</f>
        <v>0.23985239852398524</v>
      </c>
      <c r="M53" s="8">
        <f>M52/SUM(L52:M52)</f>
        <v>0.76014760147601479</v>
      </c>
      <c r="S53" s="8">
        <f>S52/SUM(S52:T52)</f>
        <v>0.35833333333333334</v>
      </c>
      <c r="T53" s="8">
        <f>T52/SUM(S52:T52)</f>
        <v>0.64166666666666672</v>
      </c>
      <c r="W53" s="3" t="s">
        <v>239</v>
      </c>
      <c r="X53">
        <v>1</v>
      </c>
    </row>
    <row r="54" spans="1:24" x14ac:dyDescent="0.25">
      <c r="A54" s="3" t="s">
        <v>1653</v>
      </c>
      <c r="B54">
        <v>0</v>
      </c>
      <c r="C54">
        <v>0</v>
      </c>
      <c r="I54" s="4" t="s">
        <v>4781</v>
      </c>
      <c r="J54" t="s">
        <v>4787</v>
      </c>
      <c r="P54" s="4" t="s">
        <v>4781</v>
      </c>
      <c r="Q54" t="s">
        <v>4787</v>
      </c>
      <c r="W54" s="3" t="s">
        <v>2686</v>
      </c>
      <c r="X54">
        <v>2</v>
      </c>
    </row>
    <row r="55" spans="1:24" x14ac:dyDescent="0.25">
      <c r="A55" s="3" t="s">
        <v>1669</v>
      </c>
      <c r="B55">
        <v>0</v>
      </c>
      <c r="C55">
        <v>0</v>
      </c>
      <c r="E55" t="s">
        <v>4888</v>
      </c>
      <c r="F55" t="s">
        <v>4889</v>
      </c>
      <c r="G55" t="s">
        <v>4890</v>
      </c>
      <c r="I55" s="3" t="s">
        <v>2536</v>
      </c>
      <c r="J55">
        <v>0</v>
      </c>
      <c r="L55" t="s">
        <v>4888</v>
      </c>
      <c r="M55" t="s">
        <v>4889</v>
      </c>
      <c r="N55" t="s">
        <v>4890</v>
      </c>
      <c r="P55" s="3" t="s">
        <v>1843</v>
      </c>
      <c r="Q55">
        <v>1</v>
      </c>
      <c r="S55" t="s">
        <v>4888</v>
      </c>
      <c r="T55" t="s">
        <v>4889</v>
      </c>
      <c r="U55" t="s">
        <v>4890</v>
      </c>
      <c r="W55" s="3" t="s">
        <v>3930</v>
      </c>
      <c r="X55">
        <v>1</v>
      </c>
    </row>
    <row r="56" spans="1:24" x14ac:dyDescent="0.25">
      <c r="A56" s="3" t="s">
        <v>3240</v>
      </c>
      <c r="B56">
        <v>0</v>
      </c>
      <c r="C56">
        <v>0</v>
      </c>
      <c r="E56">
        <v>0</v>
      </c>
      <c r="F56">
        <f t="shared" ref="F56:F65" si="9">COUNTIF($B$53:$B$1086, E56)</f>
        <v>735</v>
      </c>
      <c r="G56" s="8">
        <f t="shared" ref="G56:G66" si="10">F56/SUM($F$56:$F$66)</f>
        <v>0.71083172147001938</v>
      </c>
      <c r="I56" s="3" t="s">
        <v>1818</v>
      </c>
      <c r="J56">
        <v>0</v>
      </c>
      <c r="L56">
        <v>0</v>
      </c>
      <c r="M56">
        <f t="shared" ref="M56:M65" si="11">COUNTIF($J$55:$J$325, L56)</f>
        <v>206</v>
      </c>
      <c r="N56" s="8">
        <f>M56/SUM($M$56:$M$66)</f>
        <v>0.76014760147601479</v>
      </c>
      <c r="P56" s="3" t="s">
        <v>252</v>
      </c>
      <c r="Q56">
        <v>0</v>
      </c>
      <c r="S56">
        <v>0</v>
      </c>
      <c r="T56">
        <f>COUNTIF($Q$55:$Q$174, S56)</f>
        <v>77</v>
      </c>
      <c r="U56" s="8">
        <f t="shared" ref="U56:U66" si="12">T56/SUM($T$56:$T$66)</f>
        <v>0.64166666666666672</v>
      </c>
      <c r="W56" s="3" t="s">
        <v>566</v>
      </c>
      <c r="X56">
        <v>1</v>
      </c>
    </row>
    <row r="57" spans="1:24" x14ac:dyDescent="0.25">
      <c r="A57" s="3" t="s">
        <v>939</v>
      </c>
      <c r="B57">
        <v>4</v>
      </c>
      <c r="C57">
        <v>0</v>
      </c>
      <c r="E57">
        <v>1</v>
      </c>
      <c r="F57">
        <f t="shared" si="9"/>
        <v>134</v>
      </c>
      <c r="G57" s="8">
        <f t="shared" si="10"/>
        <v>0.12959381044487428</v>
      </c>
      <c r="I57" s="3" t="s">
        <v>1641</v>
      </c>
      <c r="J57">
        <v>0</v>
      </c>
      <c r="L57">
        <v>1</v>
      </c>
      <c r="M57">
        <f t="shared" si="11"/>
        <v>34</v>
      </c>
      <c r="N57" s="8">
        <f t="shared" ref="N57:N66" si="13">M57/SUM($M$56:$M$66)</f>
        <v>0.12546125461254612</v>
      </c>
      <c r="P57" s="3" t="s">
        <v>1454</v>
      </c>
      <c r="Q57">
        <v>0</v>
      </c>
      <c r="S57">
        <v>1</v>
      </c>
      <c r="T57">
        <f t="shared" ref="T57:T65" si="14">COUNTIF($Q$55:$Q$174, S57)</f>
        <v>15</v>
      </c>
      <c r="U57" s="8">
        <f t="shared" si="12"/>
        <v>0.125</v>
      </c>
      <c r="W57" s="3" t="s">
        <v>4512</v>
      </c>
      <c r="X57">
        <v>2</v>
      </c>
    </row>
    <row r="58" spans="1:24" x14ac:dyDescent="0.25">
      <c r="A58" s="3" t="s">
        <v>758</v>
      </c>
      <c r="B58">
        <v>0</v>
      </c>
      <c r="C58">
        <v>0</v>
      </c>
      <c r="E58">
        <v>2</v>
      </c>
      <c r="F58">
        <f t="shared" si="9"/>
        <v>46</v>
      </c>
      <c r="G58" s="8">
        <f t="shared" si="10"/>
        <v>4.4487427466150871E-2</v>
      </c>
      <c r="I58" s="3" t="s">
        <v>3877</v>
      </c>
      <c r="J58">
        <v>1</v>
      </c>
      <c r="L58">
        <v>2</v>
      </c>
      <c r="M58">
        <f t="shared" si="11"/>
        <v>16</v>
      </c>
      <c r="N58" s="8">
        <f t="shared" si="13"/>
        <v>5.9040590405904057E-2</v>
      </c>
      <c r="P58" s="3" t="s">
        <v>1608</v>
      </c>
      <c r="Q58">
        <v>0</v>
      </c>
      <c r="S58">
        <v>2</v>
      </c>
      <c r="T58">
        <f t="shared" si="14"/>
        <v>10</v>
      </c>
      <c r="U58" s="8">
        <f t="shared" si="12"/>
        <v>8.3333333333333329E-2</v>
      </c>
      <c r="W58" s="3" t="s">
        <v>4028</v>
      </c>
      <c r="X58">
        <v>1</v>
      </c>
    </row>
    <row r="59" spans="1:24" x14ac:dyDescent="0.25">
      <c r="A59" s="3" t="s">
        <v>1029</v>
      </c>
      <c r="B59">
        <v>0</v>
      </c>
      <c r="C59">
        <v>0</v>
      </c>
      <c r="E59">
        <v>3</v>
      </c>
      <c r="F59">
        <f t="shared" si="9"/>
        <v>40</v>
      </c>
      <c r="G59" s="8">
        <f t="shared" si="10"/>
        <v>3.8684719535783368E-2</v>
      </c>
      <c r="I59" s="3" t="s">
        <v>1656</v>
      </c>
      <c r="J59">
        <v>0</v>
      </c>
      <c r="L59">
        <v>3</v>
      </c>
      <c r="M59">
        <f t="shared" si="11"/>
        <v>2</v>
      </c>
      <c r="N59" s="8">
        <f t="shared" si="13"/>
        <v>7.3800738007380072E-3</v>
      </c>
      <c r="P59" s="3" t="s">
        <v>3597</v>
      </c>
      <c r="Q59">
        <v>0</v>
      </c>
      <c r="S59">
        <v>3</v>
      </c>
      <c r="T59">
        <f t="shared" si="14"/>
        <v>7</v>
      </c>
      <c r="U59" s="8">
        <f t="shared" si="12"/>
        <v>5.8333333333333334E-2</v>
      </c>
      <c r="W59" s="3" t="s">
        <v>138</v>
      </c>
      <c r="X59">
        <v>8</v>
      </c>
    </row>
    <row r="60" spans="1:24" x14ac:dyDescent="0.25">
      <c r="A60" s="3" t="s">
        <v>2079</v>
      </c>
      <c r="B60">
        <v>0</v>
      </c>
      <c r="C60">
        <v>0</v>
      </c>
      <c r="E60">
        <v>4</v>
      </c>
      <c r="F60">
        <f t="shared" si="9"/>
        <v>22</v>
      </c>
      <c r="G60" s="8">
        <f t="shared" si="10"/>
        <v>2.1276595744680851E-2</v>
      </c>
      <c r="I60" s="3" t="s">
        <v>2581</v>
      </c>
      <c r="J60">
        <v>2</v>
      </c>
      <c r="L60">
        <v>4</v>
      </c>
      <c r="M60">
        <f t="shared" si="11"/>
        <v>4</v>
      </c>
      <c r="N60" s="8">
        <f t="shared" si="13"/>
        <v>1.4760147601476014E-2</v>
      </c>
      <c r="P60" s="3" t="s">
        <v>194</v>
      </c>
      <c r="Q60">
        <v>0</v>
      </c>
      <c r="S60">
        <v>4</v>
      </c>
      <c r="T60">
        <f t="shared" si="14"/>
        <v>4</v>
      </c>
      <c r="U60" s="8">
        <f t="shared" si="12"/>
        <v>3.3333333333333333E-2</v>
      </c>
      <c r="W60" s="3" t="s">
        <v>2750</v>
      </c>
      <c r="X60">
        <v>1</v>
      </c>
    </row>
    <row r="61" spans="1:24" x14ac:dyDescent="0.25">
      <c r="A61" s="3" t="s">
        <v>3573</v>
      </c>
      <c r="B61">
        <v>0</v>
      </c>
      <c r="C61">
        <v>0</v>
      </c>
      <c r="E61">
        <v>5</v>
      </c>
      <c r="F61">
        <f t="shared" si="9"/>
        <v>19</v>
      </c>
      <c r="G61" s="8">
        <f t="shared" si="10"/>
        <v>1.8375241779497099E-2</v>
      </c>
      <c r="I61" s="3" t="s">
        <v>2657</v>
      </c>
      <c r="J61">
        <v>0</v>
      </c>
      <c r="L61">
        <v>5</v>
      </c>
      <c r="M61">
        <f t="shared" si="11"/>
        <v>6</v>
      </c>
      <c r="N61" s="8">
        <f t="shared" si="13"/>
        <v>2.2140221402214021E-2</v>
      </c>
      <c r="P61" s="3" t="s">
        <v>1192</v>
      </c>
      <c r="Q61">
        <v>2</v>
      </c>
      <c r="S61">
        <v>5</v>
      </c>
      <c r="T61">
        <f t="shared" si="14"/>
        <v>2</v>
      </c>
      <c r="U61" s="8">
        <f t="shared" si="12"/>
        <v>1.6666666666666666E-2</v>
      </c>
      <c r="W61" s="3" t="s">
        <v>394</v>
      </c>
      <c r="X61">
        <v>7</v>
      </c>
    </row>
    <row r="62" spans="1:24" x14ac:dyDescent="0.25">
      <c r="A62" s="3" t="s">
        <v>2536</v>
      </c>
      <c r="B62">
        <v>0</v>
      </c>
      <c r="C62">
        <v>0</v>
      </c>
      <c r="E62">
        <v>6</v>
      </c>
      <c r="F62">
        <f t="shared" si="9"/>
        <v>9</v>
      </c>
      <c r="G62" s="8">
        <f t="shared" si="10"/>
        <v>8.7040618955512572E-3</v>
      </c>
      <c r="I62" s="3" t="s">
        <v>675</v>
      </c>
      <c r="J62">
        <v>0</v>
      </c>
      <c r="L62">
        <v>6</v>
      </c>
      <c r="M62">
        <f t="shared" si="11"/>
        <v>0</v>
      </c>
      <c r="N62" s="8">
        <f t="shared" si="13"/>
        <v>0</v>
      </c>
      <c r="P62" s="3" t="s">
        <v>822</v>
      </c>
      <c r="Q62">
        <v>2</v>
      </c>
      <c r="S62">
        <v>6</v>
      </c>
      <c r="T62">
        <f t="shared" si="14"/>
        <v>2</v>
      </c>
      <c r="U62" s="8">
        <f t="shared" si="12"/>
        <v>1.6666666666666666E-2</v>
      </c>
      <c r="W62" s="3" t="s">
        <v>1145</v>
      </c>
      <c r="X62">
        <v>1</v>
      </c>
    </row>
    <row r="63" spans="1:24" x14ac:dyDescent="0.25">
      <c r="A63" s="3" t="s">
        <v>2388</v>
      </c>
      <c r="B63">
        <v>0</v>
      </c>
      <c r="C63">
        <v>0</v>
      </c>
      <c r="E63">
        <v>7</v>
      </c>
      <c r="F63">
        <f t="shared" si="9"/>
        <v>6</v>
      </c>
      <c r="G63" s="8">
        <f t="shared" si="10"/>
        <v>5.8027079303675051E-3</v>
      </c>
      <c r="I63" s="3" t="s">
        <v>2499</v>
      </c>
      <c r="J63">
        <v>0</v>
      </c>
      <c r="L63">
        <v>7</v>
      </c>
      <c r="M63">
        <f t="shared" si="11"/>
        <v>1</v>
      </c>
      <c r="N63" s="8">
        <f t="shared" si="13"/>
        <v>3.6900369003690036E-3</v>
      </c>
      <c r="P63" s="3" t="s">
        <v>1692</v>
      </c>
      <c r="Q63">
        <v>0</v>
      </c>
      <c r="S63">
        <v>7</v>
      </c>
      <c r="T63">
        <f t="shared" si="14"/>
        <v>0</v>
      </c>
      <c r="U63" s="8">
        <f t="shared" si="12"/>
        <v>0</v>
      </c>
      <c r="W63" s="3" t="s">
        <v>3070</v>
      </c>
      <c r="X63">
        <v>1</v>
      </c>
    </row>
    <row r="64" spans="1:24" x14ac:dyDescent="0.25">
      <c r="A64" s="3" t="s">
        <v>883</v>
      </c>
      <c r="B64">
        <v>0</v>
      </c>
      <c r="C64">
        <v>0</v>
      </c>
      <c r="E64">
        <v>8</v>
      </c>
      <c r="F64">
        <f t="shared" si="9"/>
        <v>2</v>
      </c>
      <c r="G64" s="8">
        <f t="shared" si="10"/>
        <v>1.9342359767891683E-3</v>
      </c>
      <c r="I64" s="3" t="s">
        <v>618</v>
      </c>
      <c r="J64">
        <v>0</v>
      </c>
      <c r="L64">
        <v>8</v>
      </c>
      <c r="M64">
        <f t="shared" si="11"/>
        <v>1</v>
      </c>
      <c r="N64" s="8">
        <f t="shared" si="13"/>
        <v>3.6900369003690036E-3</v>
      </c>
      <c r="P64" s="3" t="s">
        <v>4569</v>
      </c>
      <c r="Q64">
        <v>0</v>
      </c>
      <c r="S64">
        <v>8</v>
      </c>
      <c r="T64">
        <f t="shared" si="14"/>
        <v>0</v>
      </c>
      <c r="U64" s="8">
        <f t="shared" si="12"/>
        <v>0</v>
      </c>
      <c r="W64" s="3" t="s">
        <v>210</v>
      </c>
      <c r="X64">
        <v>13</v>
      </c>
    </row>
    <row r="65" spans="1:24" x14ac:dyDescent="0.25">
      <c r="A65" s="3" t="s">
        <v>4344</v>
      </c>
      <c r="B65">
        <v>0</v>
      </c>
      <c r="C65">
        <v>0</v>
      </c>
      <c r="E65">
        <v>9</v>
      </c>
      <c r="F65">
        <f t="shared" si="9"/>
        <v>8</v>
      </c>
      <c r="G65" s="8">
        <f t="shared" si="10"/>
        <v>7.7369439071566732E-3</v>
      </c>
      <c r="I65" s="3" t="s">
        <v>436</v>
      </c>
      <c r="J65">
        <v>0</v>
      </c>
      <c r="L65">
        <v>9</v>
      </c>
      <c r="M65">
        <f t="shared" si="11"/>
        <v>0</v>
      </c>
      <c r="N65" s="8">
        <f t="shared" si="13"/>
        <v>0</v>
      </c>
      <c r="P65" s="3" t="s">
        <v>3485</v>
      </c>
      <c r="Q65">
        <v>3</v>
      </c>
      <c r="S65">
        <v>9</v>
      </c>
      <c r="T65">
        <f t="shared" si="14"/>
        <v>1</v>
      </c>
      <c r="U65" s="8">
        <f t="shared" si="12"/>
        <v>8.3333333333333332E-3</v>
      </c>
      <c r="W65" s="3" t="s">
        <v>335</v>
      </c>
      <c r="X65">
        <v>11</v>
      </c>
    </row>
    <row r="66" spans="1:24" x14ac:dyDescent="0.25">
      <c r="A66" s="3" t="s">
        <v>562</v>
      </c>
      <c r="B66">
        <v>0</v>
      </c>
      <c r="C66">
        <v>0</v>
      </c>
      <c r="E66" t="s">
        <v>4804</v>
      </c>
      <c r="F66">
        <f>SUM(F68:F76)</f>
        <v>13</v>
      </c>
      <c r="G66" s="8">
        <f t="shared" si="10"/>
        <v>1.2572533849129593E-2</v>
      </c>
      <c r="I66" s="3" t="s">
        <v>3207</v>
      </c>
      <c r="J66">
        <v>0</v>
      </c>
      <c r="L66" t="s">
        <v>4804</v>
      </c>
      <c r="M66">
        <f>SUM(M68:M76)</f>
        <v>1</v>
      </c>
      <c r="N66" s="8">
        <f t="shared" si="13"/>
        <v>3.6900369003690036E-3</v>
      </c>
      <c r="P66" s="3" t="s">
        <v>402</v>
      </c>
      <c r="Q66">
        <v>3</v>
      </c>
      <c r="S66" t="s">
        <v>4804</v>
      </c>
      <c r="T66">
        <f>SUM(T68:T76)</f>
        <v>2</v>
      </c>
      <c r="U66" s="8">
        <f t="shared" si="12"/>
        <v>1.6666666666666666E-2</v>
      </c>
      <c r="W66" s="3" t="s">
        <v>4786</v>
      </c>
      <c r="X66">
        <v>1754</v>
      </c>
    </row>
    <row r="67" spans="1:24" x14ac:dyDescent="0.25">
      <c r="A67" s="3" t="s">
        <v>1818</v>
      </c>
      <c r="B67">
        <v>0</v>
      </c>
      <c r="C67">
        <v>0</v>
      </c>
      <c r="G67" s="5"/>
      <c r="I67" s="3" t="s">
        <v>796</v>
      </c>
      <c r="J67">
        <v>0</v>
      </c>
      <c r="N67" s="5"/>
      <c r="P67" s="3" t="s">
        <v>3958</v>
      </c>
      <c r="Q67">
        <v>0</v>
      </c>
      <c r="U67" s="5"/>
    </row>
    <row r="68" spans="1:24" x14ac:dyDescent="0.25">
      <c r="A68" s="3" t="s">
        <v>4178</v>
      </c>
      <c r="B68">
        <v>1</v>
      </c>
      <c r="C68">
        <v>0</v>
      </c>
      <c r="E68">
        <v>10</v>
      </c>
      <c r="F68">
        <f t="shared" ref="F68:F76" si="15">COUNTIF($B$53:$B$1086, E68)</f>
        <v>3</v>
      </c>
      <c r="G68" s="5"/>
      <c r="I68" s="3" t="s">
        <v>464</v>
      </c>
      <c r="J68">
        <v>0</v>
      </c>
      <c r="L68">
        <v>10</v>
      </c>
      <c r="M68">
        <f t="shared" ref="M68:M76" si="16">COUNTIF($J$55:$J$325, L68)</f>
        <v>1</v>
      </c>
      <c r="N68" s="5"/>
      <c r="P68" s="3" t="s">
        <v>285</v>
      </c>
      <c r="Q68">
        <v>0</v>
      </c>
      <c r="S68">
        <v>10</v>
      </c>
      <c r="T68">
        <f t="shared" ref="T68:T76" si="17">COUNTIF($Q$55:$Q$174, S68)</f>
        <v>0</v>
      </c>
      <c r="U68" s="5"/>
    </row>
    <row r="69" spans="1:24" x14ac:dyDescent="0.25">
      <c r="A69" s="3" t="s">
        <v>1547</v>
      </c>
      <c r="B69">
        <v>0</v>
      </c>
      <c r="C69">
        <v>0</v>
      </c>
      <c r="E69">
        <v>12</v>
      </c>
      <c r="F69">
        <f t="shared" si="15"/>
        <v>1</v>
      </c>
      <c r="G69" s="5"/>
      <c r="I69" s="3" t="s">
        <v>1039</v>
      </c>
      <c r="J69">
        <v>0</v>
      </c>
      <c r="L69">
        <v>12</v>
      </c>
      <c r="M69">
        <f t="shared" si="16"/>
        <v>0</v>
      </c>
      <c r="N69" s="5"/>
      <c r="P69" s="3" t="s">
        <v>3831</v>
      </c>
      <c r="Q69">
        <v>2</v>
      </c>
      <c r="S69">
        <v>12</v>
      </c>
      <c r="T69">
        <f t="shared" si="17"/>
        <v>0</v>
      </c>
      <c r="U69" s="5"/>
    </row>
    <row r="70" spans="1:24" x14ac:dyDescent="0.25">
      <c r="A70" s="3" t="s">
        <v>4152</v>
      </c>
      <c r="B70">
        <v>0</v>
      </c>
      <c r="C70">
        <v>0</v>
      </c>
      <c r="E70">
        <v>13</v>
      </c>
      <c r="F70">
        <f t="shared" si="15"/>
        <v>2</v>
      </c>
      <c r="G70" s="5"/>
      <c r="I70" s="3" t="s">
        <v>4157</v>
      </c>
      <c r="J70">
        <v>0</v>
      </c>
      <c r="L70">
        <v>13</v>
      </c>
      <c r="M70">
        <f t="shared" si="16"/>
        <v>0</v>
      </c>
      <c r="N70" s="5"/>
      <c r="P70" s="3" t="s">
        <v>1542</v>
      </c>
      <c r="Q70">
        <v>0</v>
      </c>
      <c r="S70">
        <v>13</v>
      </c>
      <c r="T70">
        <f t="shared" si="17"/>
        <v>2</v>
      </c>
      <c r="U70" s="5"/>
    </row>
    <row r="71" spans="1:24" x14ac:dyDescent="0.25">
      <c r="A71" s="3" t="s">
        <v>1843</v>
      </c>
      <c r="B71">
        <v>1</v>
      </c>
      <c r="C71">
        <v>1</v>
      </c>
      <c r="E71">
        <v>15</v>
      </c>
      <c r="F71">
        <f t="shared" si="15"/>
        <v>1</v>
      </c>
      <c r="G71" s="5"/>
      <c r="I71" s="3" t="s">
        <v>1211</v>
      </c>
      <c r="J71">
        <v>0</v>
      </c>
      <c r="L71">
        <v>15</v>
      </c>
      <c r="M71">
        <f t="shared" si="16"/>
        <v>0</v>
      </c>
      <c r="N71" s="5"/>
      <c r="P71" s="3" t="s">
        <v>420</v>
      </c>
      <c r="Q71">
        <v>0</v>
      </c>
      <c r="S71">
        <v>15</v>
      </c>
      <c r="T71">
        <f t="shared" si="17"/>
        <v>0</v>
      </c>
      <c r="U71" s="5"/>
    </row>
    <row r="72" spans="1:24" x14ac:dyDescent="0.25">
      <c r="A72" s="3" t="s">
        <v>1641</v>
      </c>
      <c r="B72">
        <v>0</v>
      </c>
      <c r="C72">
        <v>0</v>
      </c>
      <c r="E72">
        <v>18</v>
      </c>
      <c r="F72">
        <f t="shared" si="15"/>
        <v>1</v>
      </c>
      <c r="G72" s="5"/>
      <c r="I72" s="3" t="s">
        <v>2654</v>
      </c>
      <c r="J72">
        <v>0</v>
      </c>
      <c r="L72">
        <v>18</v>
      </c>
      <c r="M72">
        <f t="shared" si="16"/>
        <v>0</v>
      </c>
      <c r="N72" s="5"/>
      <c r="P72" s="3" t="s">
        <v>2282</v>
      </c>
      <c r="Q72">
        <v>0</v>
      </c>
      <c r="S72">
        <v>18</v>
      </c>
      <c r="T72">
        <f t="shared" si="17"/>
        <v>0</v>
      </c>
      <c r="U72" s="5"/>
    </row>
    <row r="73" spans="1:24" x14ac:dyDescent="0.25">
      <c r="A73" s="3" t="s">
        <v>3877</v>
      </c>
      <c r="B73">
        <v>1</v>
      </c>
      <c r="C73">
        <v>0</v>
      </c>
      <c r="E73">
        <v>23</v>
      </c>
      <c r="F73">
        <f t="shared" si="15"/>
        <v>2</v>
      </c>
      <c r="G73" s="5"/>
      <c r="I73" s="3" t="s">
        <v>3365</v>
      </c>
      <c r="J73">
        <v>0</v>
      </c>
      <c r="L73">
        <v>23</v>
      </c>
      <c r="M73">
        <f t="shared" si="16"/>
        <v>0</v>
      </c>
      <c r="N73" s="5"/>
      <c r="P73" s="3" t="s">
        <v>1629</v>
      </c>
      <c r="Q73">
        <v>0</v>
      </c>
      <c r="S73">
        <v>23</v>
      </c>
      <c r="T73">
        <f t="shared" si="17"/>
        <v>0</v>
      </c>
      <c r="U73" s="5"/>
    </row>
    <row r="74" spans="1:24" x14ac:dyDescent="0.25">
      <c r="A74" s="3" t="s">
        <v>1656</v>
      </c>
      <c r="B74">
        <v>0</v>
      </c>
      <c r="C74">
        <v>0</v>
      </c>
      <c r="E74">
        <v>24</v>
      </c>
      <c r="F74">
        <f t="shared" si="15"/>
        <v>1</v>
      </c>
      <c r="G74" s="5"/>
      <c r="I74" s="3" t="s">
        <v>634</v>
      </c>
      <c r="J74">
        <v>0</v>
      </c>
      <c r="L74">
        <v>24</v>
      </c>
      <c r="M74">
        <f t="shared" si="16"/>
        <v>0</v>
      </c>
      <c r="N74" s="5"/>
      <c r="P74" s="3" t="s">
        <v>1763</v>
      </c>
      <c r="Q74">
        <v>1</v>
      </c>
      <c r="S74">
        <v>24</v>
      </c>
      <c r="T74">
        <f t="shared" si="17"/>
        <v>0</v>
      </c>
      <c r="U74" s="5"/>
    </row>
    <row r="75" spans="1:24" x14ac:dyDescent="0.25">
      <c r="A75" s="3" t="s">
        <v>2724</v>
      </c>
      <c r="B75">
        <v>0</v>
      </c>
      <c r="C75">
        <v>0</v>
      </c>
      <c r="E75">
        <v>26</v>
      </c>
      <c r="F75">
        <f t="shared" si="15"/>
        <v>1</v>
      </c>
      <c r="I75" s="3" t="s">
        <v>982</v>
      </c>
      <c r="J75">
        <v>0</v>
      </c>
      <c r="L75">
        <v>26</v>
      </c>
      <c r="M75">
        <f t="shared" si="16"/>
        <v>0</v>
      </c>
      <c r="P75" s="3" t="s">
        <v>2690</v>
      </c>
      <c r="Q75">
        <v>0</v>
      </c>
      <c r="S75">
        <v>26</v>
      </c>
      <c r="T75">
        <f t="shared" si="17"/>
        <v>0</v>
      </c>
    </row>
    <row r="76" spans="1:24" x14ac:dyDescent="0.25">
      <c r="A76" s="3" t="s">
        <v>2345</v>
      </c>
      <c r="B76">
        <v>0</v>
      </c>
      <c r="C76">
        <v>0</v>
      </c>
      <c r="E76">
        <v>27</v>
      </c>
      <c r="F76">
        <f t="shared" si="15"/>
        <v>1</v>
      </c>
      <c r="I76" s="3" t="s">
        <v>2670</v>
      </c>
      <c r="J76">
        <v>0</v>
      </c>
      <c r="L76">
        <v>27</v>
      </c>
      <c r="M76">
        <f t="shared" si="16"/>
        <v>0</v>
      </c>
      <c r="P76" s="3" t="s">
        <v>3540</v>
      </c>
      <c r="Q76">
        <v>0</v>
      </c>
      <c r="S76">
        <v>27</v>
      </c>
      <c r="T76">
        <f t="shared" si="17"/>
        <v>0</v>
      </c>
    </row>
    <row r="77" spans="1:24" x14ac:dyDescent="0.25">
      <c r="A77" s="3" t="s">
        <v>2581</v>
      </c>
      <c r="B77">
        <v>2</v>
      </c>
      <c r="C77">
        <v>0</v>
      </c>
      <c r="G77" s="8"/>
      <c r="I77" s="3" t="s">
        <v>3747</v>
      </c>
      <c r="J77">
        <v>0</v>
      </c>
      <c r="P77" s="3" t="s">
        <v>4615</v>
      </c>
      <c r="Q77">
        <v>0</v>
      </c>
    </row>
    <row r="78" spans="1:24" x14ac:dyDescent="0.25">
      <c r="A78" s="3" t="s">
        <v>3467</v>
      </c>
      <c r="B78">
        <v>0</v>
      </c>
      <c r="C78">
        <v>0</v>
      </c>
      <c r="E78" t="s">
        <v>4900</v>
      </c>
      <c r="F78" t="s">
        <v>4898</v>
      </c>
      <c r="G78" s="8"/>
      <c r="I78" s="3" t="s">
        <v>4057</v>
      </c>
      <c r="J78">
        <v>0</v>
      </c>
      <c r="P78" s="3" t="s">
        <v>4315</v>
      </c>
      <c r="Q78">
        <v>0</v>
      </c>
    </row>
    <row r="79" spans="1:24" x14ac:dyDescent="0.25">
      <c r="A79" s="3" t="s">
        <v>252</v>
      </c>
      <c r="B79">
        <v>0</v>
      </c>
      <c r="C79">
        <v>0</v>
      </c>
      <c r="E79">
        <v>32</v>
      </c>
      <c r="F79">
        <v>1002</v>
      </c>
      <c r="G79" s="8"/>
      <c r="I79" s="3" t="s">
        <v>2730</v>
      </c>
      <c r="J79">
        <v>10</v>
      </c>
      <c r="P79" s="3" t="s">
        <v>1680</v>
      </c>
      <c r="Q79">
        <v>0</v>
      </c>
    </row>
    <row r="80" spans="1:24" x14ac:dyDescent="0.25">
      <c r="A80" s="3" t="s">
        <v>2657</v>
      </c>
      <c r="B80">
        <v>0</v>
      </c>
      <c r="C80">
        <v>0</v>
      </c>
      <c r="E80" s="8">
        <f>E79/SUM(E79:F79)</f>
        <v>3.0947775628626693E-2</v>
      </c>
      <c r="F80" s="8">
        <f>F79/SUM(E79:F79)</f>
        <v>0.96905222437137328</v>
      </c>
      <c r="G80" s="8"/>
      <c r="I80" s="3" t="s">
        <v>2578</v>
      </c>
      <c r="J80">
        <v>0</v>
      </c>
      <c r="P80" s="3" t="s">
        <v>1897</v>
      </c>
      <c r="Q80">
        <v>1</v>
      </c>
    </row>
    <row r="81" spans="1:17" x14ac:dyDescent="0.25">
      <c r="A81" s="3" t="s">
        <v>4523</v>
      </c>
      <c r="B81">
        <v>0</v>
      </c>
      <c r="C81">
        <v>0</v>
      </c>
      <c r="G81" s="8"/>
      <c r="I81" s="3" t="s">
        <v>3858</v>
      </c>
      <c r="J81">
        <v>0</v>
      </c>
      <c r="P81" s="3" t="s">
        <v>2291</v>
      </c>
      <c r="Q81">
        <v>0</v>
      </c>
    </row>
    <row r="82" spans="1:17" x14ac:dyDescent="0.25">
      <c r="A82" s="3" t="s">
        <v>4730</v>
      </c>
      <c r="B82">
        <v>0</v>
      </c>
      <c r="C82">
        <v>0</v>
      </c>
      <c r="E82" t="s">
        <v>4895</v>
      </c>
      <c r="F82" t="s">
        <v>4896</v>
      </c>
      <c r="G82" s="8" t="s">
        <v>4897</v>
      </c>
      <c r="I82" s="3" t="s">
        <v>4517</v>
      </c>
      <c r="J82">
        <v>0</v>
      </c>
      <c r="P82" s="3" t="s">
        <v>258</v>
      </c>
      <c r="Q82">
        <v>0</v>
      </c>
    </row>
    <row r="83" spans="1:17" x14ac:dyDescent="0.25">
      <c r="A83" s="3" t="s">
        <v>3372</v>
      </c>
      <c r="B83">
        <v>1</v>
      </c>
      <c r="C83">
        <v>0</v>
      </c>
      <c r="E83">
        <v>0</v>
      </c>
      <c r="F83">
        <f>COUNTIF($C$53:$C$1086, E83)</f>
        <v>1002</v>
      </c>
      <c r="G83" s="8">
        <f>F83/SUM($F$83:$F$85)</f>
        <v>0.96905222437137328</v>
      </c>
      <c r="I83" s="3" t="s">
        <v>488</v>
      </c>
      <c r="J83">
        <v>0</v>
      </c>
      <c r="P83" s="3" t="s">
        <v>2251</v>
      </c>
      <c r="Q83">
        <v>0</v>
      </c>
    </row>
    <row r="84" spans="1:17" x14ac:dyDescent="0.25">
      <c r="A84" s="3" t="s">
        <v>675</v>
      </c>
      <c r="B84">
        <v>0</v>
      </c>
      <c r="C84">
        <v>0</v>
      </c>
      <c r="E84">
        <v>1</v>
      </c>
      <c r="F84">
        <f>COUNTIF($C$53:$C$1086, E84)</f>
        <v>29</v>
      </c>
      <c r="G84" s="8">
        <f>F84/SUM($F$83:$F$85)</f>
        <v>2.8046421663442941E-2</v>
      </c>
      <c r="I84" s="3" t="s">
        <v>1879</v>
      </c>
      <c r="J84">
        <v>1</v>
      </c>
      <c r="P84" s="3" t="s">
        <v>3286</v>
      </c>
      <c r="Q84">
        <v>0</v>
      </c>
    </row>
    <row r="85" spans="1:17" x14ac:dyDescent="0.25">
      <c r="A85" s="3" t="s">
        <v>749</v>
      </c>
      <c r="B85">
        <v>0</v>
      </c>
      <c r="C85">
        <v>0</v>
      </c>
      <c r="E85">
        <v>2</v>
      </c>
      <c r="F85">
        <f>COUNTIF($C$53:$C$1086, E85)</f>
        <v>3</v>
      </c>
      <c r="G85" s="8">
        <f>F85/SUM($F$83:$F$85)</f>
        <v>2.9013539651837525E-3</v>
      </c>
      <c r="I85" s="3" t="s">
        <v>3787</v>
      </c>
      <c r="J85">
        <v>1</v>
      </c>
      <c r="P85" s="3" t="s">
        <v>991</v>
      </c>
      <c r="Q85">
        <v>0</v>
      </c>
    </row>
    <row r="86" spans="1:17" x14ac:dyDescent="0.25">
      <c r="A86" s="3" t="s">
        <v>2499</v>
      </c>
      <c r="B86">
        <v>0</v>
      </c>
      <c r="C86">
        <v>0</v>
      </c>
      <c r="G86" s="8"/>
      <c r="I86" s="3" t="s">
        <v>2573</v>
      </c>
      <c r="J86">
        <v>0</v>
      </c>
      <c r="P86" s="3" t="s">
        <v>2861</v>
      </c>
      <c r="Q86">
        <v>4</v>
      </c>
    </row>
    <row r="87" spans="1:17" x14ac:dyDescent="0.25">
      <c r="A87" s="3" t="s">
        <v>891</v>
      </c>
      <c r="B87">
        <v>1</v>
      </c>
      <c r="C87">
        <v>0</v>
      </c>
      <c r="G87" s="8"/>
      <c r="I87" s="3" t="s">
        <v>2850</v>
      </c>
      <c r="J87">
        <v>0</v>
      </c>
      <c r="P87" s="3" t="s">
        <v>1677</v>
      </c>
      <c r="Q87">
        <v>0</v>
      </c>
    </row>
    <row r="88" spans="1:17" x14ac:dyDescent="0.25">
      <c r="A88" s="3" t="s">
        <v>2213</v>
      </c>
      <c r="B88">
        <v>0</v>
      </c>
      <c r="C88">
        <v>0</v>
      </c>
      <c r="I88" s="3" t="s">
        <v>897</v>
      </c>
      <c r="J88">
        <v>7</v>
      </c>
      <c r="P88" s="3" t="s">
        <v>3634</v>
      </c>
      <c r="Q88">
        <v>3</v>
      </c>
    </row>
    <row r="89" spans="1:17" x14ac:dyDescent="0.25">
      <c r="A89" s="3" t="s">
        <v>3919</v>
      </c>
      <c r="B89">
        <v>0</v>
      </c>
      <c r="C89">
        <v>0</v>
      </c>
      <c r="I89" s="3" t="s">
        <v>3797</v>
      </c>
      <c r="J89">
        <v>0</v>
      </c>
      <c r="P89" s="3" t="s">
        <v>2901</v>
      </c>
      <c r="Q89">
        <v>0</v>
      </c>
    </row>
    <row r="90" spans="1:17" x14ac:dyDescent="0.25">
      <c r="A90" s="3" t="s">
        <v>2489</v>
      </c>
      <c r="B90">
        <v>0</v>
      </c>
      <c r="C90">
        <v>0</v>
      </c>
      <c r="I90" s="3" t="s">
        <v>4640</v>
      </c>
      <c r="J90">
        <v>0</v>
      </c>
      <c r="P90" s="3" t="s">
        <v>672</v>
      </c>
      <c r="Q90">
        <v>0</v>
      </c>
    </row>
    <row r="91" spans="1:17" x14ac:dyDescent="0.25">
      <c r="A91" s="3" t="s">
        <v>916</v>
      </c>
      <c r="B91">
        <v>5</v>
      </c>
      <c r="C91">
        <v>1</v>
      </c>
      <c r="I91" s="3" t="s">
        <v>1854</v>
      </c>
      <c r="J91">
        <v>0</v>
      </c>
      <c r="P91" s="3" t="s">
        <v>76</v>
      </c>
      <c r="Q91">
        <v>0</v>
      </c>
    </row>
    <row r="92" spans="1:17" x14ac:dyDescent="0.25">
      <c r="A92" s="3" t="s">
        <v>1876</v>
      </c>
      <c r="B92">
        <v>0</v>
      </c>
      <c r="C92">
        <v>0</v>
      </c>
      <c r="I92" s="3" t="s">
        <v>4054</v>
      </c>
      <c r="J92">
        <v>0</v>
      </c>
      <c r="P92" s="3" t="s">
        <v>1835</v>
      </c>
      <c r="Q92">
        <v>0</v>
      </c>
    </row>
    <row r="93" spans="1:17" x14ac:dyDescent="0.25">
      <c r="A93" s="3" t="s">
        <v>2825</v>
      </c>
      <c r="B93">
        <v>0</v>
      </c>
      <c r="C93">
        <v>0</v>
      </c>
      <c r="I93" s="3" t="s">
        <v>3307</v>
      </c>
      <c r="J93">
        <v>0</v>
      </c>
      <c r="P93" s="3" t="s">
        <v>1251</v>
      </c>
      <c r="Q93">
        <v>6</v>
      </c>
    </row>
    <row r="94" spans="1:17" x14ac:dyDescent="0.25">
      <c r="A94" s="3" t="s">
        <v>618</v>
      </c>
      <c r="B94">
        <v>0</v>
      </c>
      <c r="C94">
        <v>0</v>
      </c>
      <c r="I94" s="3" t="s">
        <v>2045</v>
      </c>
      <c r="J94">
        <v>0</v>
      </c>
      <c r="P94" s="3" t="s">
        <v>638</v>
      </c>
      <c r="Q94">
        <v>0</v>
      </c>
    </row>
    <row r="95" spans="1:17" x14ac:dyDescent="0.25">
      <c r="A95" s="3" t="s">
        <v>4207</v>
      </c>
      <c r="B95">
        <v>0</v>
      </c>
      <c r="C95">
        <v>0</v>
      </c>
      <c r="I95" s="3" t="s">
        <v>67</v>
      </c>
      <c r="J95">
        <v>0</v>
      </c>
      <c r="P95" s="3" t="s">
        <v>379</v>
      </c>
      <c r="Q95">
        <v>0</v>
      </c>
    </row>
    <row r="96" spans="1:17" x14ac:dyDescent="0.25">
      <c r="A96" s="3" t="s">
        <v>2664</v>
      </c>
      <c r="B96">
        <v>0</v>
      </c>
      <c r="C96">
        <v>0</v>
      </c>
      <c r="I96" s="3" t="s">
        <v>1718</v>
      </c>
      <c r="J96">
        <v>0</v>
      </c>
      <c r="P96" s="3" t="s">
        <v>3578</v>
      </c>
      <c r="Q96">
        <v>0</v>
      </c>
    </row>
    <row r="97" spans="1:17" x14ac:dyDescent="0.25">
      <c r="A97" s="3" t="s">
        <v>436</v>
      </c>
      <c r="B97">
        <v>0</v>
      </c>
      <c r="C97">
        <v>0</v>
      </c>
      <c r="I97" s="3" t="s">
        <v>118</v>
      </c>
      <c r="J97">
        <v>0</v>
      </c>
      <c r="P97" s="3" t="s">
        <v>2932</v>
      </c>
      <c r="Q97">
        <v>0</v>
      </c>
    </row>
    <row r="98" spans="1:17" x14ac:dyDescent="0.25">
      <c r="A98" s="3" t="s">
        <v>3207</v>
      </c>
      <c r="B98">
        <v>0</v>
      </c>
      <c r="C98">
        <v>0</v>
      </c>
      <c r="I98" s="3" t="s">
        <v>793</v>
      </c>
      <c r="J98">
        <v>0</v>
      </c>
      <c r="P98" s="3" t="s">
        <v>4456</v>
      </c>
      <c r="Q98">
        <v>0</v>
      </c>
    </row>
    <row r="99" spans="1:17" x14ac:dyDescent="0.25">
      <c r="A99" s="3" t="s">
        <v>3033</v>
      </c>
      <c r="B99">
        <v>0</v>
      </c>
      <c r="C99">
        <v>0</v>
      </c>
      <c r="I99" s="3" t="s">
        <v>2231</v>
      </c>
      <c r="J99">
        <v>0</v>
      </c>
      <c r="P99" s="3" t="s">
        <v>3725</v>
      </c>
      <c r="Q99">
        <v>0</v>
      </c>
    </row>
    <row r="100" spans="1:17" x14ac:dyDescent="0.25">
      <c r="A100" s="3" t="s">
        <v>796</v>
      </c>
      <c r="B100">
        <v>0</v>
      </c>
      <c r="C100">
        <v>0</v>
      </c>
      <c r="G100" s="8"/>
      <c r="I100" s="3" t="s">
        <v>1192</v>
      </c>
      <c r="J100">
        <v>2</v>
      </c>
      <c r="P100" s="3" t="s">
        <v>1830</v>
      </c>
      <c r="Q100">
        <v>0</v>
      </c>
    </row>
    <row r="101" spans="1:17" x14ac:dyDescent="0.25">
      <c r="A101" s="3" t="s">
        <v>1454</v>
      </c>
      <c r="B101">
        <v>0</v>
      </c>
      <c r="C101">
        <v>0</v>
      </c>
      <c r="G101" s="8"/>
      <c r="I101" s="3" t="s">
        <v>3162</v>
      </c>
      <c r="J101">
        <v>0</v>
      </c>
      <c r="P101" s="3" t="s">
        <v>3384</v>
      </c>
      <c r="Q101">
        <v>0</v>
      </c>
    </row>
    <row r="102" spans="1:17" x14ac:dyDescent="0.25">
      <c r="A102" s="3" t="s">
        <v>464</v>
      </c>
      <c r="B102">
        <v>0</v>
      </c>
      <c r="C102">
        <v>0</v>
      </c>
      <c r="G102" s="8"/>
      <c r="I102" s="3" t="s">
        <v>328</v>
      </c>
      <c r="J102">
        <v>1</v>
      </c>
      <c r="P102" s="3" t="s">
        <v>4746</v>
      </c>
      <c r="Q102">
        <v>4</v>
      </c>
    </row>
    <row r="103" spans="1:17" x14ac:dyDescent="0.25">
      <c r="A103" s="3" t="s">
        <v>1039</v>
      </c>
      <c r="B103">
        <v>0</v>
      </c>
      <c r="C103">
        <v>0</v>
      </c>
      <c r="G103" s="8"/>
      <c r="I103" s="3" t="s">
        <v>2495</v>
      </c>
      <c r="J103">
        <v>0</v>
      </c>
      <c r="P103" s="3" t="s">
        <v>2109</v>
      </c>
      <c r="Q103">
        <v>0</v>
      </c>
    </row>
    <row r="104" spans="1:17" x14ac:dyDescent="0.25">
      <c r="A104" s="3" t="s">
        <v>1374</v>
      </c>
      <c r="B104">
        <v>18</v>
      </c>
      <c r="C104">
        <v>1</v>
      </c>
      <c r="G104" s="8"/>
      <c r="I104" s="3" t="s">
        <v>2400</v>
      </c>
      <c r="J104">
        <v>0</v>
      </c>
      <c r="P104" s="3" t="s">
        <v>2888</v>
      </c>
      <c r="Q104">
        <v>0</v>
      </c>
    </row>
    <row r="105" spans="1:17" x14ac:dyDescent="0.25">
      <c r="A105" s="3" t="s">
        <v>2451</v>
      </c>
      <c r="B105">
        <v>0</v>
      </c>
      <c r="C105">
        <v>0</v>
      </c>
      <c r="G105" s="8"/>
      <c r="I105" s="3" t="s">
        <v>1036</v>
      </c>
      <c r="J105">
        <v>1</v>
      </c>
      <c r="P105" s="3" t="s">
        <v>2778</v>
      </c>
      <c r="Q105">
        <v>4</v>
      </c>
    </row>
    <row r="106" spans="1:17" x14ac:dyDescent="0.25">
      <c r="A106" s="3" t="s">
        <v>2117</v>
      </c>
      <c r="B106">
        <v>0</v>
      </c>
      <c r="C106">
        <v>0</v>
      </c>
      <c r="G106" s="8"/>
      <c r="I106" s="3" t="s">
        <v>3784</v>
      </c>
      <c r="J106">
        <v>0</v>
      </c>
      <c r="P106" s="3" t="s">
        <v>2254</v>
      </c>
      <c r="Q106">
        <v>0</v>
      </c>
    </row>
    <row r="107" spans="1:17" x14ac:dyDescent="0.25">
      <c r="A107" s="3" t="s">
        <v>1132</v>
      </c>
      <c r="B107">
        <v>0</v>
      </c>
      <c r="C107">
        <v>0</v>
      </c>
      <c r="G107" s="8"/>
      <c r="I107" s="3" t="s">
        <v>349</v>
      </c>
      <c r="J107">
        <v>0</v>
      </c>
      <c r="P107" s="3" t="s">
        <v>2640</v>
      </c>
      <c r="Q107">
        <v>0</v>
      </c>
    </row>
    <row r="108" spans="1:17" x14ac:dyDescent="0.25">
      <c r="A108" s="3" t="s">
        <v>2225</v>
      </c>
      <c r="B108">
        <v>0</v>
      </c>
      <c r="C108">
        <v>0</v>
      </c>
      <c r="G108" s="8"/>
      <c r="I108" s="3" t="s">
        <v>1426</v>
      </c>
      <c r="J108">
        <v>0</v>
      </c>
      <c r="P108" s="3" t="s">
        <v>1618</v>
      </c>
      <c r="Q108">
        <v>2</v>
      </c>
    </row>
    <row r="109" spans="1:17" x14ac:dyDescent="0.25">
      <c r="A109" s="3" t="s">
        <v>4157</v>
      </c>
      <c r="B109">
        <v>0</v>
      </c>
      <c r="C109">
        <v>0</v>
      </c>
      <c r="G109" s="8"/>
      <c r="I109" s="3" t="s">
        <v>319</v>
      </c>
      <c r="J109">
        <v>0</v>
      </c>
      <c r="P109" s="3" t="s">
        <v>1722</v>
      </c>
      <c r="Q109">
        <v>13</v>
      </c>
    </row>
    <row r="110" spans="1:17" x14ac:dyDescent="0.25">
      <c r="A110" s="3" t="s">
        <v>1211</v>
      </c>
      <c r="B110">
        <v>0</v>
      </c>
      <c r="C110">
        <v>0</v>
      </c>
      <c r="G110" s="8"/>
      <c r="I110" s="3" t="s">
        <v>4271</v>
      </c>
      <c r="J110">
        <v>0</v>
      </c>
      <c r="P110" s="3" t="s">
        <v>3289</v>
      </c>
      <c r="Q110">
        <v>2</v>
      </c>
    </row>
    <row r="111" spans="1:17" x14ac:dyDescent="0.25">
      <c r="A111" s="3" t="s">
        <v>2654</v>
      </c>
      <c r="B111">
        <v>0</v>
      </c>
      <c r="C111">
        <v>0</v>
      </c>
      <c r="I111" s="3" t="s">
        <v>366</v>
      </c>
      <c r="J111">
        <v>0</v>
      </c>
      <c r="P111" s="3" t="s">
        <v>1623</v>
      </c>
      <c r="Q111">
        <v>0</v>
      </c>
    </row>
    <row r="112" spans="1:17" x14ac:dyDescent="0.25">
      <c r="A112" s="3" t="s">
        <v>3365</v>
      </c>
      <c r="B112">
        <v>0</v>
      </c>
      <c r="C112">
        <v>0</v>
      </c>
      <c r="I112" s="3" t="s">
        <v>2097</v>
      </c>
      <c r="J112">
        <v>4</v>
      </c>
      <c r="P112" s="3" t="s">
        <v>2085</v>
      </c>
      <c r="Q112">
        <v>0</v>
      </c>
    </row>
    <row r="113" spans="1:17" x14ac:dyDescent="0.25">
      <c r="A113" s="3" t="s">
        <v>634</v>
      </c>
      <c r="B113">
        <v>0</v>
      </c>
      <c r="C113">
        <v>0</v>
      </c>
      <c r="I113" s="3" t="s">
        <v>2190</v>
      </c>
      <c r="J113">
        <v>0</v>
      </c>
      <c r="P113" s="3" t="s">
        <v>1154</v>
      </c>
      <c r="Q113">
        <v>2</v>
      </c>
    </row>
    <row r="114" spans="1:17" x14ac:dyDescent="0.25">
      <c r="A114" s="3" t="s">
        <v>4106</v>
      </c>
      <c r="B114">
        <v>1</v>
      </c>
      <c r="C114">
        <v>0</v>
      </c>
      <c r="I114" s="3" t="s">
        <v>785</v>
      </c>
      <c r="J114">
        <v>0</v>
      </c>
      <c r="P114" s="3" t="s">
        <v>1929</v>
      </c>
      <c r="Q114">
        <v>0</v>
      </c>
    </row>
    <row r="115" spans="1:17" x14ac:dyDescent="0.25">
      <c r="A115" s="3" t="s">
        <v>1608</v>
      </c>
      <c r="B115">
        <v>0</v>
      </c>
      <c r="C115">
        <v>0</v>
      </c>
      <c r="I115" s="3" t="s">
        <v>2758</v>
      </c>
      <c r="J115">
        <v>0</v>
      </c>
      <c r="P115" s="3" t="s">
        <v>3447</v>
      </c>
      <c r="Q115">
        <v>9</v>
      </c>
    </row>
    <row r="116" spans="1:17" x14ac:dyDescent="0.25">
      <c r="A116" s="3" t="s">
        <v>982</v>
      </c>
      <c r="B116">
        <v>0</v>
      </c>
      <c r="C116">
        <v>0</v>
      </c>
      <c r="I116" s="3" t="s">
        <v>346</v>
      </c>
      <c r="J116">
        <v>0</v>
      </c>
      <c r="P116" s="3" t="s">
        <v>4283</v>
      </c>
      <c r="Q116">
        <v>0</v>
      </c>
    </row>
    <row r="117" spans="1:17" x14ac:dyDescent="0.25">
      <c r="A117" s="3" t="s">
        <v>2670</v>
      </c>
      <c r="B117">
        <v>0</v>
      </c>
      <c r="C117">
        <v>0</v>
      </c>
      <c r="I117" s="3" t="s">
        <v>828</v>
      </c>
      <c r="J117">
        <v>0</v>
      </c>
      <c r="P117" s="3" t="s">
        <v>2864</v>
      </c>
      <c r="Q117">
        <v>0</v>
      </c>
    </row>
    <row r="118" spans="1:17" x14ac:dyDescent="0.25">
      <c r="A118" s="3" t="s">
        <v>171</v>
      </c>
      <c r="B118">
        <v>0</v>
      </c>
      <c r="C118">
        <v>0</v>
      </c>
      <c r="I118" s="3" t="s">
        <v>1045</v>
      </c>
      <c r="J118">
        <v>0</v>
      </c>
      <c r="P118" s="3" t="s">
        <v>2872</v>
      </c>
      <c r="Q118">
        <v>0</v>
      </c>
    </row>
    <row r="119" spans="1:17" x14ac:dyDescent="0.25">
      <c r="A119" s="3" t="s">
        <v>1725</v>
      </c>
      <c r="B119">
        <v>0</v>
      </c>
      <c r="C119">
        <v>0</v>
      </c>
      <c r="I119" s="3" t="s">
        <v>2570</v>
      </c>
      <c r="J119">
        <v>0</v>
      </c>
      <c r="P119" s="3" t="s">
        <v>390</v>
      </c>
      <c r="Q119">
        <v>0</v>
      </c>
    </row>
    <row r="120" spans="1:17" x14ac:dyDescent="0.25">
      <c r="A120" s="3" t="s">
        <v>3747</v>
      </c>
      <c r="B120">
        <v>0</v>
      </c>
      <c r="C120">
        <v>0</v>
      </c>
      <c r="I120" s="3" t="s">
        <v>3283</v>
      </c>
      <c r="J120">
        <v>1</v>
      </c>
      <c r="P120" s="3" t="s">
        <v>699</v>
      </c>
      <c r="Q120">
        <v>4</v>
      </c>
    </row>
    <row r="121" spans="1:17" x14ac:dyDescent="0.25">
      <c r="A121" s="3" t="s">
        <v>1349</v>
      </c>
      <c r="B121">
        <v>0</v>
      </c>
      <c r="C121">
        <v>0</v>
      </c>
      <c r="I121" s="3" t="s">
        <v>1703</v>
      </c>
      <c r="J121">
        <v>0</v>
      </c>
      <c r="P121" s="3" t="s">
        <v>2983</v>
      </c>
      <c r="Q121">
        <v>1</v>
      </c>
    </row>
    <row r="122" spans="1:17" x14ac:dyDescent="0.25">
      <c r="A122" s="3" t="s">
        <v>4057</v>
      </c>
      <c r="B122">
        <v>0</v>
      </c>
      <c r="C122">
        <v>0</v>
      </c>
      <c r="I122" s="3" t="s">
        <v>1644</v>
      </c>
      <c r="J122">
        <v>0</v>
      </c>
      <c r="P122" s="3" t="s">
        <v>1686</v>
      </c>
      <c r="Q122">
        <v>2</v>
      </c>
    </row>
    <row r="123" spans="1:17" x14ac:dyDescent="0.25">
      <c r="A123" s="3" t="s">
        <v>2730</v>
      </c>
      <c r="B123">
        <v>10</v>
      </c>
      <c r="C123">
        <v>1</v>
      </c>
      <c r="I123" s="3" t="s">
        <v>278</v>
      </c>
      <c r="J123">
        <v>8</v>
      </c>
      <c r="P123" s="3" t="s">
        <v>1019</v>
      </c>
      <c r="Q123">
        <v>0</v>
      </c>
    </row>
    <row r="124" spans="1:17" x14ac:dyDescent="0.25">
      <c r="A124" s="3" t="s">
        <v>2578</v>
      </c>
      <c r="B124">
        <v>0</v>
      </c>
      <c r="C124">
        <v>0</v>
      </c>
      <c r="I124" s="3" t="s">
        <v>2993</v>
      </c>
      <c r="J124">
        <v>0</v>
      </c>
      <c r="P124" s="3" t="s">
        <v>457</v>
      </c>
      <c r="Q124">
        <v>0</v>
      </c>
    </row>
    <row r="125" spans="1:17" x14ac:dyDescent="0.25">
      <c r="A125" s="3" t="s">
        <v>3597</v>
      </c>
      <c r="B125">
        <v>0</v>
      </c>
      <c r="C125">
        <v>0</v>
      </c>
      <c r="I125" s="3" t="s">
        <v>1629</v>
      </c>
      <c r="J125">
        <v>0</v>
      </c>
      <c r="P125" s="3" t="s">
        <v>4479</v>
      </c>
      <c r="Q125">
        <v>5</v>
      </c>
    </row>
    <row r="126" spans="1:17" x14ac:dyDescent="0.25">
      <c r="A126" s="3" t="s">
        <v>3858</v>
      </c>
      <c r="B126">
        <v>0</v>
      </c>
      <c r="C126">
        <v>0</v>
      </c>
      <c r="I126" s="3" t="s">
        <v>1783</v>
      </c>
      <c r="J126">
        <v>0</v>
      </c>
      <c r="P126" s="3" t="s">
        <v>2268</v>
      </c>
      <c r="Q126">
        <v>1</v>
      </c>
    </row>
    <row r="127" spans="1:17" x14ac:dyDescent="0.25">
      <c r="A127" s="3" t="s">
        <v>976</v>
      </c>
      <c r="B127">
        <v>0</v>
      </c>
      <c r="C127">
        <v>0</v>
      </c>
      <c r="I127" s="3" t="s">
        <v>1488</v>
      </c>
      <c r="J127">
        <v>0</v>
      </c>
      <c r="P127" s="3" t="s">
        <v>2262</v>
      </c>
      <c r="Q127">
        <v>0</v>
      </c>
    </row>
    <row r="128" spans="1:17" x14ac:dyDescent="0.25">
      <c r="A128" s="3" t="s">
        <v>4517</v>
      </c>
      <c r="B128">
        <v>0</v>
      </c>
      <c r="C128">
        <v>0</v>
      </c>
      <c r="I128" s="3" t="s">
        <v>3752</v>
      </c>
      <c r="J128">
        <v>0</v>
      </c>
      <c r="P128" s="3" t="s">
        <v>2649</v>
      </c>
      <c r="Q128">
        <v>13</v>
      </c>
    </row>
    <row r="129" spans="1:17" x14ac:dyDescent="0.25">
      <c r="A129" s="3" t="s">
        <v>488</v>
      </c>
      <c r="B129">
        <v>0</v>
      </c>
      <c r="C129">
        <v>0</v>
      </c>
      <c r="I129" s="3" t="s">
        <v>1042</v>
      </c>
      <c r="J129">
        <v>0</v>
      </c>
      <c r="P129" s="3" t="s">
        <v>3261</v>
      </c>
      <c r="Q129">
        <v>3</v>
      </c>
    </row>
    <row r="130" spans="1:17" x14ac:dyDescent="0.25">
      <c r="A130" s="3" t="s">
        <v>4326</v>
      </c>
      <c r="B130">
        <v>6</v>
      </c>
      <c r="C130">
        <v>0</v>
      </c>
      <c r="I130" s="3" t="s">
        <v>1647</v>
      </c>
      <c r="J130">
        <v>0</v>
      </c>
      <c r="P130" s="3" t="s">
        <v>1728</v>
      </c>
      <c r="Q130">
        <v>0</v>
      </c>
    </row>
    <row r="131" spans="1:17" x14ac:dyDescent="0.25">
      <c r="A131" s="3" t="s">
        <v>1879</v>
      </c>
      <c r="B131">
        <v>1</v>
      </c>
      <c r="C131">
        <v>0</v>
      </c>
      <c r="I131" s="3" t="s">
        <v>3247</v>
      </c>
      <c r="J131">
        <v>0</v>
      </c>
      <c r="P131" s="3" t="s">
        <v>3479</v>
      </c>
      <c r="Q131">
        <v>6</v>
      </c>
    </row>
    <row r="132" spans="1:17" x14ac:dyDescent="0.25">
      <c r="A132" s="3" t="s">
        <v>60</v>
      </c>
      <c r="B132">
        <v>0</v>
      </c>
      <c r="C132">
        <v>0</v>
      </c>
      <c r="I132" s="3" t="s">
        <v>3863</v>
      </c>
      <c r="J132">
        <v>0</v>
      </c>
      <c r="P132" s="3" t="s">
        <v>13</v>
      </c>
      <c r="Q132">
        <v>1</v>
      </c>
    </row>
    <row r="133" spans="1:17" x14ac:dyDescent="0.25">
      <c r="A133" s="3" t="s">
        <v>780</v>
      </c>
      <c r="B133">
        <v>9</v>
      </c>
      <c r="C133">
        <v>1</v>
      </c>
      <c r="I133" s="3" t="s">
        <v>1167</v>
      </c>
      <c r="J133">
        <v>0</v>
      </c>
      <c r="P133" s="3" t="s">
        <v>248</v>
      </c>
      <c r="Q133">
        <v>0</v>
      </c>
    </row>
    <row r="134" spans="1:17" x14ac:dyDescent="0.25">
      <c r="A134" s="3" t="s">
        <v>3904</v>
      </c>
      <c r="B134">
        <v>0</v>
      </c>
      <c r="C134">
        <v>0</v>
      </c>
      <c r="I134" s="3" t="s">
        <v>2088</v>
      </c>
      <c r="J134">
        <v>0</v>
      </c>
      <c r="P134" s="3" t="s">
        <v>343</v>
      </c>
      <c r="Q134">
        <v>0</v>
      </c>
    </row>
    <row r="135" spans="1:17" x14ac:dyDescent="0.25">
      <c r="A135" s="3" t="s">
        <v>880</v>
      </c>
      <c r="B135">
        <v>0</v>
      </c>
      <c r="C135">
        <v>0</v>
      </c>
      <c r="I135" s="3" t="s">
        <v>3670</v>
      </c>
      <c r="J135">
        <v>2</v>
      </c>
      <c r="P135" s="3" t="s">
        <v>376</v>
      </c>
      <c r="Q135">
        <v>0</v>
      </c>
    </row>
    <row r="136" spans="1:17" x14ac:dyDescent="0.25">
      <c r="A136" s="3" t="s">
        <v>4173</v>
      </c>
      <c r="B136">
        <v>0</v>
      </c>
      <c r="C136">
        <v>0</v>
      </c>
      <c r="I136" s="3" t="s">
        <v>125</v>
      </c>
      <c r="J136">
        <v>0</v>
      </c>
      <c r="P136" s="3" t="s">
        <v>519</v>
      </c>
      <c r="Q136">
        <v>0</v>
      </c>
    </row>
    <row r="137" spans="1:17" x14ac:dyDescent="0.25">
      <c r="A137" s="3" t="s">
        <v>4023</v>
      </c>
      <c r="B137">
        <v>0</v>
      </c>
      <c r="C137">
        <v>0</v>
      </c>
      <c r="I137" s="3" t="s">
        <v>413</v>
      </c>
      <c r="J137">
        <v>0</v>
      </c>
      <c r="P137" s="3" t="s">
        <v>598</v>
      </c>
      <c r="Q137">
        <v>3</v>
      </c>
    </row>
    <row r="138" spans="1:17" x14ac:dyDescent="0.25">
      <c r="A138" s="3" t="s">
        <v>107</v>
      </c>
      <c r="B138">
        <v>0</v>
      </c>
      <c r="C138">
        <v>0</v>
      </c>
      <c r="I138" s="3" t="s">
        <v>444</v>
      </c>
      <c r="J138">
        <v>1</v>
      </c>
      <c r="P138" s="3" t="s">
        <v>604</v>
      </c>
      <c r="Q138">
        <v>0</v>
      </c>
    </row>
    <row r="139" spans="1:17" x14ac:dyDescent="0.25">
      <c r="A139" s="3" t="s">
        <v>3787</v>
      </c>
      <c r="B139">
        <v>1</v>
      </c>
      <c r="C139">
        <v>0</v>
      </c>
      <c r="I139" s="3" t="s">
        <v>3058</v>
      </c>
      <c r="J139">
        <v>0</v>
      </c>
      <c r="P139" s="3" t="s">
        <v>624</v>
      </c>
      <c r="Q139">
        <v>0</v>
      </c>
    </row>
    <row r="140" spans="1:17" x14ac:dyDescent="0.25">
      <c r="A140" s="3" t="s">
        <v>3488</v>
      </c>
      <c r="B140">
        <v>2</v>
      </c>
      <c r="C140">
        <v>0</v>
      </c>
      <c r="I140" s="3" t="s">
        <v>2528</v>
      </c>
      <c r="J140">
        <v>0</v>
      </c>
      <c r="P140" s="3" t="s">
        <v>667</v>
      </c>
      <c r="Q140">
        <v>0</v>
      </c>
    </row>
    <row r="141" spans="1:17" x14ac:dyDescent="0.25">
      <c r="A141" s="3" t="s">
        <v>3760</v>
      </c>
      <c r="B141">
        <v>0</v>
      </c>
      <c r="C141">
        <v>0</v>
      </c>
      <c r="I141" s="3" t="s">
        <v>398</v>
      </c>
      <c r="J141">
        <v>2</v>
      </c>
      <c r="P141" s="3" t="s">
        <v>769</v>
      </c>
      <c r="Q141">
        <v>0</v>
      </c>
    </row>
    <row r="142" spans="1:17" x14ac:dyDescent="0.25">
      <c r="A142" s="3" t="s">
        <v>3021</v>
      </c>
      <c r="B142">
        <v>0</v>
      </c>
      <c r="C142">
        <v>0</v>
      </c>
      <c r="I142" s="3" t="s">
        <v>4615</v>
      </c>
      <c r="J142">
        <v>0</v>
      </c>
      <c r="P142" s="3" t="s">
        <v>809</v>
      </c>
      <c r="Q142">
        <v>0</v>
      </c>
    </row>
    <row r="143" spans="1:17" x14ac:dyDescent="0.25">
      <c r="A143" s="3" t="s">
        <v>2573</v>
      </c>
      <c r="B143">
        <v>0</v>
      </c>
      <c r="C143">
        <v>0</v>
      </c>
      <c r="I143" s="3" t="s">
        <v>1149</v>
      </c>
      <c r="J143">
        <v>2</v>
      </c>
      <c r="P143" s="3" t="s">
        <v>838</v>
      </c>
      <c r="Q143">
        <v>0</v>
      </c>
    </row>
    <row r="144" spans="1:17" x14ac:dyDescent="0.25">
      <c r="A144" s="3" t="s">
        <v>2850</v>
      </c>
      <c r="B144">
        <v>0</v>
      </c>
      <c r="C144">
        <v>0</v>
      </c>
      <c r="I144" s="3" t="s">
        <v>1680</v>
      </c>
      <c r="J144">
        <v>1</v>
      </c>
      <c r="P144" s="3" t="s">
        <v>922</v>
      </c>
      <c r="Q144">
        <v>0</v>
      </c>
    </row>
    <row r="145" spans="1:17" x14ac:dyDescent="0.25">
      <c r="A145" s="3" t="s">
        <v>3476</v>
      </c>
      <c r="B145">
        <v>0</v>
      </c>
      <c r="C145">
        <v>0</v>
      </c>
      <c r="I145" s="3" t="s">
        <v>2974</v>
      </c>
      <c r="J145">
        <v>0</v>
      </c>
      <c r="P145" s="3" t="s">
        <v>948</v>
      </c>
      <c r="Q145">
        <v>2</v>
      </c>
    </row>
    <row r="146" spans="1:17" x14ac:dyDescent="0.25">
      <c r="A146" s="3" t="s">
        <v>340</v>
      </c>
      <c r="B146">
        <v>1</v>
      </c>
      <c r="C146">
        <v>0</v>
      </c>
      <c r="I146" s="3" t="s">
        <v>1611</v>
      </c>
      <c r="J146">
        <v>0</v>
      </c>
      <c r="P146" s="3" t="s">
        <v>957</v>
      </c>
      <c r="Q146">
        <v>0</v>
      </c>
    </row>
    <row r="147" spans="1:17" x14ac:dyDescent="0.25">
      <c r="A147" s="3" t="s">
        <v>3437</v>
      </c>
      <c r="B147">
        <v>0</v>
      </c>
      <c r="C147">
        <v>0</v>
      </c>
      <c r="I147" s="3" t="s">
        <v>4264</v>
      </c>
      <c r="J147">
        <v>0</v>
      </c>
      <c r="P147" s="3" t="s">
        <v>1048</v>
      </c>
      <c r="Q147">
        <v>0</v>
      </c>
    </row>
    <row r="148" spans="1:17" x14ac:dyDescent="0.25">
      <c r="A148" s="3" t="s">
        <v>897</v>
      </c>
      <c r="B148">
        <v>7</v>
      </c>
      <c r="C148">
        <v>1</v>
      </c>
      <c r="I148" s="3" t="s">
        <v>3880</v>
      </c>
      <c r="J148">
        <v>0</v>
      </c>
      <c r="P148" s="3" t="s">
        <v>1051</v>
      </c>
      <c r="Q148">
        <v>1</v>
      </c>
    </row>
    <row r="149" spans="1:17" x14ac:dyDescent="0.25">
      <c r="A149" s="3" t="s">
        <v>3797</v>
      </c>
      <c r="B149">
        <v>0</v>
      </c>
      <c r="C149">
        <v>0</v>
      </c>
      <c r="I149" s="3" t="s">
        <v>2138</v>
      </c>
      <c r="J149">
        <v>1</v>
      </c>
      <c r="P149" s="3" t="s">
        <v>1068</v>
      </c>
      <c r="Q149">
        <v>0</v>
      </c>
    </row>
    <row r="150" spans="1:17" x14ac:dyDescent="0.25">
      <c r="A150" s="3" t="s">
        <v>2457</v>
      </c>
      <c r="B150">
        <v>0</v>
      </c>
      <c r="C150">
        <v>0</v>
      </c>
      <c r="I150" s="3" t="s">
        <v>3316</v>
      </c>
      <c r="J150">
        <v>0</v>
      </c>
      <c r="P150" s="3" t="s">
        <v>1230</v>
      </c>
      <c r="Q150">
        <v>1</v>
      </c>
    </row>
    <row r="151" spans="1:17" x14ac:dyDescent="0.25">
      <c r="A151" s="3" t="s">
        <v>3253</v>
      </c>
      <c r="B151">
        <v>0</v>
      </c>
      <c r="C151">
        <v>0</v>
      </c>
      <c r="I151" s="3" t="s">
        <v>3292</v>
      </c>
      <c r="J151">
        <v>0</v>
      </c>
      <c r="P151" s="3" t="s">
        <v>1309</v>
      </c>
      <c r="Q151">
        <v>0</v>
      </c>
    </row>
    <row r="152" spans="1:17" x14ac:dyDescent="0.25">
      <c r="A152" s="3" t="s">
        <v>2465</v>
      </c>
      <c r="B152">
        <v>5</v>
      </c>
      <c r="C152">
        <v>0</v>
      </c>
      <c r="I152" s="3" t="s">
        <v>2291</v>
      </c>
      <c r="J152">
        <v>0</v>
      </c>
      <c r="P152" s="3" t="s">
        <v>1315</v>
      </c>
      <c r="Q152">
        <v>2</v>
      </c>
    </row>
    <row r="153" spans="1:17" x14ac:dyDescent="0.25">
      <c r="A153" s="3" t="s">
        <v>4640</v>
      </c>
      <c r="B153">
        <v>0</v>
      </c>
      <c r="C153">
        <v>0</v>
      </c>
      <c r="I153" s="3" t="s">
        <v>1575</v>
      </c>
      <c r="J153">
        <v>0</v>
      </c>
      <c r="P153" s="3" t="s">
        <v>1365</v>
      </c>
      <c r="Q153">
        <v>0</v>
      </c>
    </row>
    <row r="154" spans="1:17" x14ac:dyDescent="0.25">
      <c r="A154" s="3" t="s">
        <v>1354</v>
      </c>
      <c r="B154">
        <v>0</v>
      </c>
      <c r="C154">
        <v>0</v>
      </c>
      <c r="I154" s="3" t="s">
        <v>2483</v>
      </c>
      <c r="J154">
        <v>1</v>
      </c>
      <c r="P154" s="3" t="s">
        <v>1399</v>
      </c>
      <c r="Q154">
        <v>5</v>
      </c>
    </row>
    <row r="155" spans="1:17" x14ac:dyDescent="0.25">
      <c r="A155" s="3" t="s">
        <v>95</v>
      </c>
      <c r="B155">
        <v>15</v>
      </c>
      <c r="C155">
        <v>0</v>
      </c>
      <c r="I155" s="3" t="s">
        <v>733</v>
      </c>
      <c r="J155">
        <v>5</v>
      </c>
      <c r="P155" s="3" t="s">
        <v>1431</v>
      </c>
      <c r="Q155">
        <v>1</v>
      </c>
    </row>
    <row r="156" spans="1:17" x14ac:dyDescent="0.25">
      <c r="A156" s="3" t="s">
        <v>2148</v>
      </c>
      <c r="B156">
        <v>1</v>
      </c>
      <c r="C156">
        <v>0</v>
      </c>
      <c r="I156" s="3" t="s">
        <v>3755</v>
      </c>
      <c r="J156">
        <v>0</v>
      </c>
      <c r="P156" s="3" t="s">
        <v>1439</v>
      </c>
      <c r="Q156">
        <v>0</v>
      </c>
    </row>
    <row r="157" spans="1:17" x14ac:dyDescent="0.25">
      <c r="A157" s="3" t="s">
        <v>2519</v>
      </c>
      <c r="B157">
        <v>0</v>
      </c>
      <c r="C157">
        <v>0</v>
      </c>
      <c r="I157" s="3" t="s">
        <v>2251</v>
      </c>
      <c r="J157">
        <v>1</v>
      </c>
      <c r="P157" s="3" t="s">
        <v>1635</v>
      </c>
      <c r="Q157">
        <v>0</v>
      </c>
    </row>
    <row r="158" spans="1:17" x14ac:dyDescent="0.25">
      <c r="A158" s="3" t="s">
        <v>1854</v>
      </c>
      <c r="B158">
        <v>0</v>
      </c>
      <c r="C158">
        <v>0</v>
      </c>
      <c r="I158" s="3" t="s">
        <v>3286</v>
      </c>
      <c r="J158">
        <v>0</v>
      </c>
      <c r="P158" s="3" t="s">
        <v>1786</v>
      </c>
      <c r="Q158">
        <v>0</v>
      </c>
    </row>
    <row r="159" spans="1:17" x14ac:dyDescent="0.25">
      <c r="A159" s="3" t="s">
        <v>1557</v>
      </c>
      <c r="B159">
        <v>0</v>
      </c>
      <c r="C159">
        <v>0</v>
      </c>
      <c r="I159" s="3" t="s">
        <v>2316</v>
      </c>
      <c r="J159">
        <v>0</v>
      </c>
      <c r="P159" s="3" t="s">
        <v>1801</v>
      </c>
      <c r="Q159">
        <v>1</v>
      </c>
    </row>
    <row r="160" spans="1:17" x14ac:dyDescent="0.25">
      <c r="A160" s="3" t="s">
        <v>4054</v>
      </c>
      <c r="B160">
        <v>0</v>
      </c>
      <c r="C160">
        <v>0</v>
      </c>
      <c r="I160" s="3" t="s">
        <v>3067</v>
      </c>
      <c r="J160">
        <v>5</v>
      </c>
      <c r="P160" s="3" t="s">
        <v>2100</v>
      </c>
      <c r="Q160">
        <v>0</v>
      </c>
    </row>
    <row r="161" spans="1:17" x14ac:dyDescent="0.25">
      <c r="A161" s="3" t="s">
        <v>3307</v>
      </c>
      <c r="B161">
        <v>0</v>
      </c>
      <c r="C161">
        <v>0</v>
      </c>
      <c r="I161" s="3" t="s">
        <v>4507</v>
      </c>
      <c r="J161">
        <v>0</v>
      </c>
      <c r="P161" s="3" t="s">
        <v>2329</v>
      </c>
      <c r="Q161">
        <v>3</v>
      </c>
    </row>
    <row r="162" spans="1:17" x14ac:dyDescent="0.25">
      <c r="A162" s="3" t="s">
        <v>4388</v>
      </c>
      <c r="B162">
        <v>0</v>
      </c>
      <c r="C162">
        <v>0</v>
      </c>
      <c r="I162" s="3" t="s">
        <v>1368</v>
      </c>
      <c r="J162">
        <v>5</v>
      </c>
      <c r="P162" s="3" t="s">
        <v>2394</v>
      </c>
      <c r="Q162">
        <v>0</v>
      </c>
    </row>
    <row r="163" spans="1:17" x14ac:dyDescent="0.25">
      <c r="A163" s="3" t="s">
        <v>2403</v>
      </c>
      <c r="B163">
        <v>0</v>
      </c>
      <c r="C163">
        <v>0</v>
      </c>
      <c r="I163" s="3" t="s">
        <v>1984</v>
      </c>
      <c r="J163">
        <v>0</v>
      </c>
      <c r="P163" s="3" t="s">
        <v>2410</v>
      </c>
      <c r="Q163">
        <v>2</v>
      </c>
    </row>
    <row r="164" spans="1:17" x14ac:dyDescent="0.25">
      <c r="A164" s="3" t="s">
        <v>83</v>
      </c>
      <c r="B164">
        <v>3</v>
      </c>
      <c r="C164">
        <v>0</v>
      </c>
      <c r="I164" s="3" t="s">
        <v>951</v>
      </c>
      <c r="J164">
        <v>0</v>
      </c>
      <c r="P164" s="3" t="s">
        <v>2414</v>
      </c>
      <c r="Q164">
        <v>1</v>
      </c>
    </row>
    <row r="165" spans="1:17" x14ac:dyDescent="0.25">
      <c r="A165" s="3" t="s">
        <v>2045</v>
      </c>
      <c r="B165">
        <v>0</v>
      </c>
      <c r="C165">
        <v>0</v>
      </c>
      <c r="I165" s="3" t="s">
        <v>3109</v>
      </c>
      <c r="J165">
        <v>2</v>
      </c>
      <c r="P165" s="3" t="s">
        <v>3011</v>
      </c>
      <c r="Q165">
        <v>1</v>
      </c>
    </row>
    <row r="166" spans="1:17" x14ac:dyDescent="0.25">
      <c r="A166" s="3" t="s">
        <v>67</v>
      </c>
      <c r="B166">
        <v>0</v>
      </c>
      <c r="C166">
        <v>0</v>
      </c>
      <c r="I166" s="3" t="s">
        <v>2059</v>
      </c>
      <c r="J166">
        <v>0</v>
      </c>
      <c r="P166" s="3" t="s">
        <v>3055</v>
      </c>
      <c r="Q166">
        <v>1</v>
      </c>
    </row>
    <row r="167" spans="1:17" x14ac:dyDescent="0.25">
      <c r="A167" s="3" t="s">
        <v>1718</v>
      </c>
      <c r="B167">
        <v>0</v>
      </c>
      <c r="C167">
        <v>0</v>
      </c>
      <c r="I167" s="3" t="s">
        <v>493</v>
      </c>
      <c r="J167">
        <v>1</v>
      </c>
      <c r="P167" s="3" t="s">
        <v>3278</v>
      </c>
      <c r="Q167">
        <v>0</v>
      </c>
    </row>
    <row r="168" spans="1:17" x14ac:dyDescent="0.25">
      <c r="A168" s="3" t="s">
        <v>2684</v>
      </c>
      <c r="B168">
        <v>0</v>
      </c>
      <c r="C168">
        <v>0</v>
      </c>
      <c r="I168" s="3" t="s">
        <v>1415</v>
      </c>
      <c r="J168">
        <v>0</v>
      </c>
      <c r="P168" s="3" t="s">
        <v>3298</v>
      </c>
      <c r="Q168">
        <v>1</v>
      </c>
    </row>
    <row r="169" spans="1:17" x14ac:dyDescent="0.25">
      <c r="A169" s="3" t="s">
        <v>118</v>
      </c>
      <c r="B169">
        <v>0</v>
      </c>
      <c r="C169">
        <v>0</v>
      </c>
      <c r="I169" s="3" t="s">
        <v>1677</v>
      </c>
      <c r="J169">
        <v>0</v>
      </c>
      <c r="P169" s="3" t="s">
        <v>3421</v>
      </c>
      <c r="Q169">
        <v>0</v>
      </c>
    </row>
    <row r="170" spans="1:17" x14ac:dyDescent="0.25">
      <c r="A170" s="3" t="s">
        <v>2626</v>
      </c>
      <c r="B170">
        <v>0</v>
      </c>
      <c r="C170">
        <v>0</v>
      </c>
      <c r="I170" s="3" t="s">
        <v>555</v>
      </c>
      <c r="J170">
        <v>0</v>
      </c>
      <c r="P170" s="3" t="s">
        <v>3429</v>
      </c>
      <c r="Q170">
        <v>1</v>
      </c>
    </row>
    <row r="171" spans="1:17" x14ac:dyDescent="0.25">
      <c r="A171" s="3" t="s">
        <v>194</v>
      </c>
      <c r="B171">
        <v>0</v>
      </c>
      <c r="C171">
        <v>0</v>
      </c>
      <c r="I171" s="3" t="s">
        <v>3970</v>
      </c>
      <c r="J171">
        <v>0</v>
      </c>
      <c r="P171" s="3" t="s">
        <v>3816</v>
      </c>
      <c r="Q171">
        <v>3</v>
      </c>
    </row>
    <row r="172" spans="1:17" x14ac:dyDescent="0.25">
      <c r="A172" s="3" t="s">
        <v>4624</v>
      </c>
      <c r="B172">
        <v>0</v>
      </c>
      <c r="C172">
        <v>0</v>
      </c>
      <c r="I172" s="3" t="s">
        <v>3358</v>
      </c>
      <c r="J172">
        <v>0</v>
      </c>
      <c r="P172" s="3" t="s">
        <v>4305</v>
      </c>
      <c r="Q172">
        <v>0</v>
      </c>
    </row>
    <row r="173" spans="1:17" x14ac:dyDescent="0.25">
      <c r="A173" s="3" t="s">
        <v>1006</v>
      </c>
      <c r="B173">
        <v>2</v>
      </c>
      <c r="C173">
        <v>0</v>
      </c>
      <c r="I173" s="3" t="s">
        <v>672</v>
      </c>
      <c r="J173">
        <v>1</v>
      </c>
      <c r="P173" s="3" t="s">
        <v>4682</v>
      </c>
      <c r="Q173">
        <v>0</v>
      </c>
    </row>
    <row r="174" spans="1:17" x14ac:dyDescent="0.25">
      <c r="A174" s="3" t="s">
        <v>793</v>
      </c>
      <c r="B174">
        <v>0</v>
      </c>
      <c r="C174">
        <v>0</v>
      </c>
      <c r="I174" s="3" t="s">
        <v>4064</v>
      </c>
      <c r="J174">
        <v>1</v>
      </c>
      <c r="P174" s="3" t="s">
        <v>4715</v>
      </c>
      <c r="Q174">
        <v>0</v>
      </c>
    </row>
    <row r="175" spans="1:17" x14ac:dyDescent="0.25">
      <c r="A175" s="3" t="s">
        <v>3126</v>
      </c>
      <c r="B175">
        <v>0</v>
      </c>
      <c r="C175">
        <v>0</v>
      </c>
      <c r="I175" s="3" t="s">
        <v>1632</v>
      </c>
      <c r="J175">
        <v>0</v>
      </c>
      <c r="P175" s="3" t="s">
        <v>4786</v>
      </c>
      <c r="Q175">
        <v>129</v>
      </c>
    </row>
    <row r="176" spans="1:17" x14ac:dyDescent="0.25">
      <c r="A176" s="3" t="s">
        <v>3686</v>
      </c>
      <c r="B176">
        <v>0</v>
      </c>
      <c r="C176">
        <v>0</v>
      </c>
      <c r="I176" s="3" t="s">
        <v>3578</v>
      </c>
      <c r="J176">
        <v>0</v>
      </c>
    </row>
    <row r="177" spans="1:10" x14ac:dyDescent="0.25">
      <c r="A177" s="3" t="s">
        <v>1861</v>
      </c>
      <c r="B177">
        <v>0</v>
      </c>
      <c r="C177">
        <v>0</v>
      </c>
      <c r="I177" s="3" t="s">
        <v>1958</v>
      </c>
      <c r="J177">
        <v>0</v>
      </c>
    </row>
    <row r="178" spans="1:10" x14ac:dyDescent="0.25">
      <c r="A178" s="3" t="s">
        <v>2643</v>
      </c>
      <c r="B178">
        <v>0</v>
      </c>
      <c r="C178">
        <v>0</v>
      </c>
      <c r="I178" s="3" t="s">
        <v>2932</v>
      </c>
      <c r="J178">
        <v>0</v>
      </c>
    </row>
    <row r="179" spans="1:10" x14ac:dyDescent="0.25">
      <c r="A179" s="3" t="s">
        <v>4366</v>
      </c>
      <c r="B179">
        <v>0</v>
      </c>
      <c r="C179">
        <v>0</v>
      </c>
      <c r="I179" s="3" t="s">
        <v>3853</v>
      </c>
      <c r="J179">
        <v>0</v>
      </c>
    </row>
    <row r="180" spans="1:10" x14ac:dyDescent="0.25">
      <c r="A180" s="3" t="s">
        <v>936</v>
      </c>
      <c r="B180">
        <v>0</v>
      </c>
      <c r="C180">
        <v>0</v>
      </c>
      <c r="I180" s="3" t="s">
        <v>1582</v>
      </c>
      <c r="J180">
        <v>0</v>
      </c>
    </row>
    <row r="181" spans="1:10" x14ac:dyDescent="0.25">
      <c r="A181" s="3" t="s">
        <v>2231</v>
      </c>
      <c r="B181">
        <v>0</v>
      </c>
      <c r="C181">
        <v>0</v>
      </c>
      <c r="I181" s="3" t="s">
        <v>4694</v>
      </c>
      <c r="J181">
        <v>0</v>
      </c>
    </row>
    <row r="182" spans="1:10" x14ac:dyDescent="0.25">
      <c r="A182" s="3" t="s">
        <v>4391</v>
      </c>
      <c r="B182">
        <v>0</v>
      </c>
      <c r="C182">
        <v>0</v>
      </c>
      <c r="I182" s="3" t="s">
        <v>1882</v>
      </c>
      <c r="J182">
        <v>0</v>
      </c>
    </row>
    <row r="183" spans="1:10" x14ac:dyDescent="0.25">
      <c r="A183" s="3" t="s">
        <v>1192</v>
      </c>
      <c r="B183">
        <v>2</v>
      </c>
      <c r="C183">
        <v>0</v>
      </c>
      <c r="I183" s="3" t="s">
        <v>2391</v>
      </c>
      <c r="J183">
        <v>0</v>
      </c>
    </row>
    <row r="184" spans="1:10" x14ac:dyDescent="0.25">
      <c r="A184" s="3" t="s">
        <v>3052</v>
      </c>
      <c r="B184">
        <v>0</v>
      </c>
      <c r="C184">
        <v>0</v>
      </c>
      <c r="I184" s="3" t="s">
        <v>3622</v>
      </c>
      <c r="J184">
        <v>0</v>
      </c>
    </row>
    <row r="185" spans="1:10" x14ac:dyDescent="0.25">
      <c r="A185" s="3" t="s">
        <v>3346</v>
      </c>
      <c r="B185">
        <v>0</v>
      </c>
      <c r="C185">
        <v>0</v>
      </c>
      <c r="I185" s="3" t="s">
        <v>1605</v>
      </c>
      <c r="J185">
        <v>1</v>
      </c>
    </row>
    <row r="186" spans="1:10" x14ac:dyDescent="0.25">
      <c r="A186" s="3" t="s">
        <v>3162</v>
      </c>
      <c r="B186">
        <v>0</v>
      </c>
      <c r="C186">
        <v>0</v>
      </c>
      <c r="I186" s="3" t="s">
        <v>894</v>
      </c>
      <c r="J186">
        <v>0</v>
      </c>
    </row>
    <row r="187" spans="1:10" x14ac:dyDescent="0.25">
      <c r="A187" s="3" t="s">
        <v>4621</v>
      </c>
      <c r="B187">
        <v>0</v>
      </c>
      <c r="C187">
        <v>0</v>
      </c>
      <c r="I187" s="3" t="s">
        <v>3994</v>
      </c>
      <c r="J187">
        <v>1</v>
      </c>
    </row>
    <row r="188" spans="1:10" x14ac:dyDescent="0.25">
      <c r="A188" s="3" t="s">
        <v>328</v>
      </c>
      <c r="B188">
        <v>1</v>
      </c>
      <c r="C188">
        <v>0</v>
      </c>
      <c r="I188" s="3" t="s">
        <v>3038</v>
      </c>
      <c r="J188">
        <v>0</v>
      </c>
    </row>
    <row r="189" spans="1:10" x14ac:dyDescent="0.25">
      <c r="A189" s="3" t="s">
        <v>2434</v>
      </c>
      <c r="B189">
        <v>0</v>
      </c>
      <c r="C189">
        <v>0</v>
      </c>
      <c r="I189" s="3" t="s">
        <v>631</v>
      </c>
      <c r="J189">
        <v>1</v>
      </c>
    </row>
    <row r="190" spans="1:10" x14ac:dyDescent="0.25">
      <c r="A190" s="3" t="s">
        <v>4274</v>
      </c>
      <c r="B190">
        <v>0</v>
      </c>
      <c r="C190">
        <v>0</v>
      </c>
      <c r="I190" s="3" t="s">
        <v>3384</v>
      </c>
      <c r="J190">
        <v>0</v>
      </c>
    </row>
    <row r="191" spans="1:10" x14ac:dyDescent="0.25">
      <c r="A191" s="3" t="s">
        <v>203</v>
      </c>
      <c r="B191">
        <v>0</v>
      </c>
      <c r="C191">
        <v>0</v>
      </c>
      <c r="I191" s="3" t="s">
        <v>2567</v>
      </c>
      <c r="J191">
        <v>0</v>
      </c>
    </row>
    <row r="192" spans="1:10" x14ac:dyDescent="0.25">
      <c r="A192" s="3" t="s">
        <v>2300</v>
      </c>
      <c r="B192">
        <v>0</v>
      </c>
      <c r="C192">
        <v>0</v>
      </c>
      <c r="I192" s="3" t="s">
        <v>3512</v>
      </c>
      <c r="J192">
        <v>0</v>
      </c>
    </row>
    <row r="193" spans="1:10" x14ac:dyDescent="0.25">
      <c r="A193" s="3" t="s">
        <v>3909</v>
      </c>
      <c r="B193">
        <v>1</v>
      </c>
      <c r="C193">
        <v>0</v>
      </c>
      <c r="I193" s="3" t="s">
        <v>854</v>
      </c>
      <c r="J193">
        <v>0</v>
      </c>
    </row>
    <row r="194" spans="1:10" x14ac:dyDescent="0.25">
      <c r="A194" s="3" t="s">
        <v>2564</v>
      </c>
      <c r="B194">
        <v>0</v>
      </c>
      <c r="C194">
        <v>0</v>
      </c>
      <c r="I194" s="3" t="s">
        <v>2855</v>
      </c>
      <c r="J194">
        <v>2</v>
      </c>
    </row>
    <row r="195" spans="1:10" x14ac:dyDescent="0.25">
      <c r="A195" s="3" t="s">
        <v>1197</v>
      </c>
      <c r="B195">
        <v>26</v>
      </c>
      <c r="C195">
        <v>1</v>
      </c>
      <c r="I195" s="3" t="s">
        <v>209</v>
      </c>
      <c r="J195">
        <v>0</v>
      </c>
    </row>
    <row r="196" spans="1:10" x14ac:dyDescent="0.25">
      <c r="A196" s="3" t="s">
        <v>1140</v>
      </c>
      <c r="B196">
        <v>0</v>
      </c>
      <c r="C196">
        <v>0</v>
      </c>
      <c r="I196" s="3" t="s">
        <v>3848</v>
      </c>
      <c r="J196">
        <v>1</v>
      </c>
    </row>
    <row r="197" spans="1:10" x14ac:dyDescent="0.25">
      <c r="A197" s="3" t="s">
        <v>822</v>
      </c>
      <c r="B197">
        <v>2</v>
      </c>
      <c r="C197">
        <v>0</v>
      </c>
      <c r="I197" s="3" t="s">
        <v>4649</v>
      </c>
      <c r="J197">
        <v>0</v>
      </c>
    </row>
    <row r="198" spans="1:10" x14ac:dyDescent="0.25">
      <c r="A198" s="3" t="s">
        <v>1692</v>
      </c>
      <c r="B198">
        <v>2</v>
      </c>
      <c r="C198">
        <v>0</v>
      </c>
      <c r="I198" s="3" t="s">
        <v>1950</v>
      </c>
      <c r="J198">
        <v>0</v>
      </c>
    </row>
    <row r="199" spans="1:10" x14ac:dyDescent="0.25">
      <c r="A199" s="3" t="s">
        <v>3216</v>
      </c>
      <c r="B199">
        <v>3</v>
      </c>
      <c r="C199">
        <v>0</v>
      </c>
      <c r="I199" s="3" t="s">
        <v>4004</v>
      </c>
      <c r="J199">
        <v>0</v>
      </c>
    </row>
    <row r="200" spans="1:10" x14ac:dyDescent="0.25">
      <c r="A200" s="3" t="s">
        <v>1255</v>
      </c>
      <c r="B200">
        <v>24</v>
      </c>
      <c r="C200">
        <v>2</v>
      </c>
      <c r="I200" s="3" t="s">
        <v>359</v>
      </c>
      <c r="J200">
        <v>0</v>
      </c>
    </row>
    <row r="201" spans="1:10" x14ac:dyDescent="0.25">
      <c r="A201" s="3" t="s">
        <v>2446</v>
      </c>
      <c r="B201">
        <v>0</v>
      </c>
      <c r="C201">
        <v>0</v>
      </c>
      <c r="I201" s="3" t="s">
        <v>687</v>
      </c>
      <c r="J201">
        <v>0</v>
      </c>
    </row>
    <row r="202" spans="1:10" x14ac:dyDescent="0.25">
      <c r="A202" s="3" t="s">
        <v>2561</v>
      </c>
      <c r="B202">
        <v>0</v>
      </c>
      <c r="C202">
        <v>0</v>
      </c>
      <c r="I202" s="3" t="s">
        <v>3440</v>
      </c>
      <c r="J202">
        <v>0</v>
      </c>
    </row>
    <row r="203" spans="1:10" x14ac:dyDescent="0.25">
      <c r="A203" s="3" t="s">
        <v>4126</v>
      </c>
      <c r="B203">
        <v>0</v>
      </c>
      <c r="C203">
        <v>0</v>
      </c>
      <c r="I203" s="3" t="s">
        <v>1618</v>
      </c>
      <c r="J203">
        <v>2</v>
      </c>
    </row>
    <row r="204" spans="1:10" x14ac:dyDescent="0.25">
      <c r="A204" s="3" t="s">
        <v>2803</v>
      </c>
      <c r="B204">
        <v>1</v>
      </c>
      <c r="C204">
        <v>0</v>
      </c>
      <c r="I204" s="3" t="s">
        <v>2311</v>
      </c>
      <c r="J204">
        <v>0</v>
      </c>
    </row>
    <row r="205" spans="1:10" x14ac:dyDescent="0.25">
      <c r="A205" s="3" t="s">
        <v>3222</v>
      </c>
      <c r="B205">
        <v>0</v>
      </c>
      <c r="C205">
        <v>0</v>
      </c>
      <c r="I205" s="3" t="s">
        <v>2303</v>
      </c>
      <c r="J205">
        <v>1</v>
      </c>
    </row>
    <row r="206" spans="1:10" x14ac:dyDescent="0.25">
      <c r="A206" s="3" t="s">
        <v>3665</v>
      </c>
      <c r="B206">
        <v>0</v>
      </c>
      <c r="C206">
        <v>0</v>
      </c>
      <c r="I206" s="3" t="s">
        <v>954</v>
      </c>
      <c r="J206">
        <v>4</v>
      </c>
    </row>
    <row r="207" spans="1:10" x14ac:dyDescent="0.25">
      <c r="A207" s="3" t="s">
        <v>1569</v>
      </c>
      <c r="B207">
        <v>7</v>
      </c>
      <c r="C207">
        <v>1</v>
      </c>
      <c r="I207" s="3" t="s">
        <v>4394</v>
      </c>
      <c r="J207">
        <v>0</v>
      </c>
    </row>
    <row r="208" spans="1:10" x14ac:dyDescent="0.25">
      <c r="A208" s="3" t="s">
        <v>4569</v>
      </c>
      <c r="B208">
        <v>0</v>
      </c>
      <c r="C208">
        <v>0</v>
      </c>
      <c r="I208" s="3" t="s">
        <v>2646</v>
      </c>
      <c r="J208">
        <v>0</v>
      </c>
    </row>
    <row r="209" spans="1:10" x14ac:dyDescent="0.25">
      <c r="A209" s="3" t="s">
        <v>1300</v>
      </c>
      <c r="B209">
        <v>0</v>
      </c>
      <c r="C209">
        <v>0</v>
      </c>
      <c r="I209" s="3" t="s">
        <v>3185</v>
      </c>
      <c r="J209">
        <v>0</v>
      </c>
    </row>
    <row r="210" spans="1:10" x14ac:dyDescent="0.25">
      <c r="A210" s="3" t="s">
        <v>2495</v>
      </c>
      <c r="B210">
        <v>0</v>
      </c>
      <c r="C210">
        <v>0</v>
      </c>
      <c r="I210" s="3" t="s">
        <v>2761</v>
      </c>
      <c r="J210">
        <v>3</v>
      </c>
    </row>
    <row r="211" spans="1:10" x14ac:dyDescent="0.25">
      <c r="A211" s="3" t="s">
        <v>1499</v>
      </c>
      <c r="B211">
        <v>3</v>
      </c>
      <c r="C211">
        <v>1</v>
      </c>
      <c r="I211" s="3" t="s">
        <v>2876</v>
      </c>
      <c r="J211">
        <v>0</v>
      </c>
    </row>
    <row r="212" spans="1:10" x14ac:dyDescent="0.25">
      <c r="A212" s="3" t="s">
        <v>2400</v>
      </c>
      <c r="B212">
        <v>0</v>
      </c>
      <c r="C212">
        <v>0</v>
      </c>
      <c r="I212" s="3" t="s">
        <v>1824</v>
      </c>
      <c r="J212">
        <v>0</v>
      </c>
    </row>
    <row r="213" spans="1:10" x14ac:dyDescent="0.25">
      <c r="A213" s="3" t="s">
        <v>851</v>
      </c>
      <c r="B213">
        <v>0</v>
      </c>
      <c r="C213">
        <v>0</v>
      </c>
      <c r="I213" s="3" t="s">
        <v>3482</v>
      </c>
      <c r="J213">
        <v>1</v>
      </c>
    </row>
    <row r="214" spans="1:10" x14ac:dyDescent="0.25">
      <c r="A214" s="3" t="s">
        <v>2800</v>
      </c>
      <c r="B214">
        <v>0</v>
      </c>
      <c r="C214">
        <v>0</v>
      </c>
      <c r="I214" s="3" t="s">
        <v>4359</v>
      </c>
      <c r="J214">
        <v>0</v>
      </c>
    </row>
    <row r="215" spans="1:10" x14ac:dyDescent="0.25">
      <c r="A215" s="3" t="s">
        <v>3568</v>
      </c>
      <c r="B215">
        <v>0</v>
      </c>
      <c r="C215">
        <v>0</v>
      </c>
      <c r="I215" s="3" t="s">
        <v>4147</v>
      </c>
      <c r="J215">
        <v>0</v>
      </c>
    </row>
    <row r="216" spans="1:10" x14ac:dyDescent="0.25">
      <c r="A216" s="3" t="s">
        <v>3485</v>
      </c>
      <c r="B216">
        <v>3</v>
      </c>
      <c r="C216">
        <v>0</v>
      </c>
      <c r="I216" s="3" t="s">
        <v>845</v>
      </c>
      <c r="J216">
        <v>0</v>
      </c>
    </row>
    <row r="217" spans="1:10" x14ac:dyDescent="0.25">
      <c r="A217" s="3" t="s">
        <v>1036</v>
      </c>
      <c r="B217">
        <v>1</v>
      </c>
      <c r="C217">
        <v>0</v>
      </c>
      <c r="I217" s="3" t="s">
        <v>1650</v>
      </c>
      <c r="J217">
        <v>0</v>
      </c>
    </row>
    <row r="218" spans="1:10" x14ac:dyDescent="0.25">
      <c r="A218" s="3" t="s">
        <v>2595</v>
      </c>
      <c r="B218">
        <v>0</v>
      </c>
      <c r="C218">
        <v>0</v>
      </c>
      <c r="I218" s="3" t="s">
        <v>4164</v>
      </c>
      <c r="J218">
        <v>0</v>
      </c>
    </row>
    <row r="219" spans="1:10" x14ac:dyDescent="0.25">
      <c r="A219" s="3" t="s">
        <v>1506</v>
      </c>
      <c r="B219">
        <v>2</v>
      </c>
      <c r="C219">
        <v>0</v>
      </c>
      <c r="I219" s="3" t="s">
        <v>4688</v>
      </c>
      <c r="J219">
        <v>0</v>
      </c>
    </row>
    <row r="220" spans="1:10" x14ac:dyDescent="0.25">
      <c r="A220" s="3" t="s">
        <v>1992</v>
      </c>
      <c r="B220">
        <v>1</v>
      </c>
      <c r="C220">
        <v>0</v>
      </c>
      <c r="I220" s="3" t="s">
        <v>4549</v>
      </c>
      <c r="J220">
        <v>0</v>
      </c>
    </row>
    <row r="221" spans="1:10" x14ac:dyDescent="0.25">
      <c r="A221" s="3" t="s">
        <v>601</v>
      </c>
      <c r="B221">
        <v>0</v>
      </c>
      <c r="C221">
        <v>0</v>
      </c>
      <c r="I221" s="3" t="s">
        <v>1457</v>
      </c>
      <c r="J221">
        <v>0</v>
      </c>
    </row>
    <row r="222" spans="1:10" x14ac:dyDescent="0.25">
      <c r="A222" s="3" t="s">
        <v>1534</v>
      </c>
      <c r="B222">
        <v>0</v>
      </c>
      <c r="C222">
        <v>0</v>
      </c>
      <c r="I222" s="3" t="s">
        <v>2544</v>
      </c>
      <c r="J222">
        <v>0</v>
      </c>
    </row>
    <row r="223" spans="1:10" x14ac:dyDescent="0.25">
      <c r="A223" s="3" t="s">
        <v>1560</v>
      </c>
      <c r="B223">
        <v>1</v>
      </c>
      <c r="C223">
        <v>0</v>
      </c>
      <c r="I223" s="3" t="s">
        <v>524</v>
      </c>
      <c r="J223">
        <v>0</v>
      </c>
    </row>
    <row r="224" spans="1:10" x14ac:dyDescent="0.25">
      <c r="A224" s="3" t="s">
        <v>4246</v>
      </c>
      <c r="B224">
        <v>0</v>
      </c>
      <c r="C224">
        <v>0</v>
      </c>
      <c r="I224" s="3" t="s">
        <v>1421</v>
      </c>
      <c r="J224">
        <v>2</v>
      </c>
    </row>
    <row r="225" spans="1:10" x14ac:dyDescent="0.25">
      <c r="A225" s="3" t="s">
        <v>1214</v>
      </c>
      <c r="B225">
        <v>1</v>
      </c>
      <c r="C225">
        <v>0</v>
      </c>
      <c r="I225" s="3" t="s">
        <v>1520</v>
      </c>
      <c r="J225">
        <v>1</v>
      </c>
    </row>
    <row r="226" spans="1:10" x14ac:dyDescent="0.25">
      <c r="A226" s="3" t="s">
        <v>3080</v>
      </c>
      <c r="B226">
        <v>0</v>
      </c>
      <c r="C226">
        <v>0</v>
      </c>
      <c r="I226" s="3" t="s">
        <v>4424</v>
      </c>
      <c r="J226">
        <v>0</v>
      </c>
    </row>
    <row r="227" spans="1:10" x14ac:dyDescent="0.25">
      <c r="A227" s="3" t="s">
        <v>913</v>
      </c>
      <c r="B227">
        <v>0</v>
      </c>
      <c r="C227">
        <v>0</v>
      </c>
      <c r="I227" s="3" t="s">
        <v>4657</v>
      </c>
      <c r="J227">
        <v>0</v>
      </c>
    </row>
    <row r="228" spans="1:10" x14ac:dyDescent="0.25">
      <c r="A228" s="3" t="s">
        <v>1181</v>
      </c>
      <c r="B228">
        <v>0</v>
      </c>
      <c r="C228">
        <v>0</v>
      </c>
      <c r="I228" s="3" t="s">
        <v>644</v>
      </c>
      <c r="J228">
        <v>0</v>
      </c>
    </row>
    <row r="229" spans="1:10" x14ac:dyDescent="0.25">
      <c r="A229" s="3" t="s">
        <v>481</v>
      </c>
      <c r="B229">
        <v>2</v>
      </c>
      <c r="C229">
        <v>0</v>
      </c>
      <c r="I229" s="3" t="s">
        <v>1377</v>
      </c>
      <c r="J229">
        <v>1</v>
      </c>
    </row>
    <row r="230" spans="1:10" x14ac:dyDescent="0.25">
      <c r="A230" s="3" t="s">
        <v>402</v>
      </c>
      <c r="B230">
        <v>3</v>
      </c>
      <c r="C230">
        <v>0</v>
      </c>
      <c r="I230" s="3" t="s">
        <v>4283</v>
      </c>
      <c r="J230">
        <v>0</v>
      </c>
    </row>
    <row r="231" spans="1:10" x14ac:dyDescent="0.25">
      <c r="A231" s="3" t="s">
        <v>3460</v>
      </c>
      <c r="B231">
        <v>0</v>
      </c>
      <c r="C231">
        <v>0</v>
      </c>
      <c r="I231" s="3" t="s">
        <v>2956</v>
      </c>
      <c r="J231">
        <v>2</v>
      </c>
    </row>
    <row r="232" spans="1:10" x14ac:dyDescent="0.25">
      <c r="A232" s="3" t="s">
        <v>3784</v>
      </c>
      <c r="B232">
        <v>0</v>
      </c>
      <c r="C232">
        <v>0</v>
      </c>
      <c r="I232" s="3" t="s">
        <v>2872</v>
      </c>
      <c r="J232">
        <v>0</v>
      </c>
    </row>
    <row r="233" spans="1:10" x14ac:dyDescent="0.25">
      <c r="A233" s="3" t="s">
        <v>349</v>
      </c>
      <c r="B233">
        <v>0</v>
      </c>
      <c r="C233">
        <v>0</v>
      </c>
      <c r="I233" s="3" t="s">
        <v>3915</v>
      </c>
      <c r="J233">
        <v>0</v>
      </c>
    </row>
    <row r="234" spans="1:10" x14ac:dyDescent="0.25">
      <c r="A234" s="3" t="s">
        <v>1426</v>
      </c>
      <c r="B234">
        <v>0</v>
      </c>
      <c r="C234">
        <v>0</v>
      </c>
      <c r="I234" s="3" t="s">
        <v>919</v>
      </c>
      <c r="J234">
        <v>0</v>
      </c>
    </row>
    <row r="235" spans="1:10" x14ac:dyDescent="0.25">
      <c r="A235" s="3" t="s">
        <v>319</v>
      </c>
      <c r="B235">
        <v>0</v>
      </c>
      <c r="C235">
        <v>0</v>
      </c>
      <c r="I235" s="3" t="s">
        <v>2539</v>
      </c>
      <c r="J235">
        <v>0</v>
      </c>
    </row>
    <row r="236" spans="1:10" x14ac:dyDescent="0.25">
      <c r="A236" s="3" t="s">
        <v>539</v>
      </c>
      <c r="B236">
        <v>0</v>
      </c>
      <c r="C236">
        <v>0</v>
      </c>
      <c r="I236" s="3" t="s">
        <v>1686</v>
      </c>
      <c r="J236">
        <v>2</v>
      </c>
    </row>
    <row r="237" spans="1:10" x14ac:dyDescent="0.25">
      <c r="A237" s="3" t="s">
        <v>3413</v>
      </c>
      <c r="B237">
        <v>4</v>
      </c>
      <c r="C237">
        <v>1</v>
      </c>
      <c r="I237" s="3" t="s">
        <v>3887</v>
      </c>
      <c r="J237">
        <v>0</v>
      </c>
    </row>
    <row r="238" spans="1:10" x14ac:dyDescent="0.25">
      <c r="A238" s="3" t="s">
        <v>1944</v>
      </c>
      <c r="B238">
        <v>5</v>
      </c>
      <c r="C238">
        <v>1</v>
      </c>
      <c r="I238" s="3" t="s">
        <v>4437</v>
      </c>
      <c r="J238">
        <v>0</v>
      </c>
    </row>
    <row r="239" spans="1:10" x14ac:dyDescent="0.25">
      <c r="A239" s="3" t="s">
        <v>4271</v>
      </c>
      <c r="B239">
        <v>0</v>
      </c>
      <c r="C239">
        <v>0</v>
      </c>
      <c r="I239" s="3" t="s">
        <v>1102</v>
      </c>
      <c r="J239">
        <v>0</v>
      </c>
    </row>
    <row r="240" spans="1:10" x14ac:dyDescent="0.25">
      <c r="A240" s="3" t="s">
        <v>2706</v>
      </c>
      <c r="B240">
        <v>0</v>
      </c>
      <c r="C240">
        <v>0</v>
      </c>
      <c r="I240" s="3" t="s">
        <v>457</v>
      </c>
      <c r="J240">
        <v>1</v>
      </c>
    </row>
    <row r="241" spans="1:10" x14ac:dyDescent="0.25">
      <c r="A241" s="3" t="s">
        <v>366</v>
      </c>
      <c r="B241">
        <v>0</v>
      </c>
      <c r="C241">
        <v>0</v>
      </c>
      <c r="I241" s="3" t="s">
        <v>3493</v>
      </c>
      <c r="J241">
        <v>1</v>
      </c>
    </row>
    <row r="242" spans="1:10" x14ac:dyDescent="0.25">
      <c r="A242" s="3" t="s">
        <v>3958</v>
      </c>
      <c r="B242">
        <v>0</v>
      </c>
      <c r="C242">
        <v>0</v>
      </c>
      <c r="I242" s="3" t="s">
        <v>4255</v>
      </c>
      <c r="J242">
        <v>0</v>
      </c>
    </row>
    <row r="243" spans="1:10" x14ac:dyDescent="0.25">
      <c r="A243" s="3" t="s">
        <v>3631</v>
      </c>
      <c r="B243">
        <v>0</v>
      </c>
      <c r="C243">
        <v>0</v>
      </c>
      <c r="I243" s="3" t="s">
        <v>4479</v>
      </c>
      <c r="J243">
        <v>5</v>
      </c>
    </row>
    <row r="244" spans="1:10" x14ac:dyDescent="0.25">
      <c r="A244" s="3" t="s">
        <v>4232</v>
      </c>
      <c r="B244">
        <v>0</v>
      </c>
      <c r="C244">
        <v>0</v>
      </c>
      <c r="I244" s="3" t="s">
        <v>460</v>
      </c>
      <c r="J244">
        <v>0</v>
      </c>
    </row>
    <row r="245" spans="1:10" x14ac:dyDescent="0.25">
      <c r="A245" s="3" t="s">
        <v>4046</v>
      </c>
      <c r="B245">
        <v>0</v>
      </c>
      <c r="C245">
        <v>0</v>
      </c>
      <c r="I245" s="3" t="s">
        <v>4216</v>
      </c>
      <c r="J245">
        <v>0</v>
      </c>
    </row>
    <row r="246" spans="1:10" x14ac:dyDescent="0.25">
      <c r="A246" s="3" t="s">
        <v>2097</v>
      </c>
      <c r="B246">
        <v>4</v>
      </c>
      <c r="C246">
        <v>0</v>
      </c>
      <c r="I246" s="3" t="s">
        <v>165</v>
      </c>
      <c r="J246">
        <v>5</v>
      </c>
    </row>
    <row r="247" spans="1:10" x14ac:dyDescent="0.25">
      <c r="A247" s="3" t="s">
        <v>1795</v>
      </c>
      <c r="B247">
        <v>0</v>
      </c>
      <c r="C247">
        <v>0</v>
      </c>
      <c r="I247" s="3" t="s">
        <v>4374</v>
      </c>
      <c r="J247">
        <v>0</v>
      </c>
    </row>
    <row r="248" spans="1:10" x14ac:dyDescent="0.25">
      <c r="A248" s="3" t="s">
        <v>189</v>
      </c>
      <c r="B248">
        <v>0</v>
      </c>
      <c r="C248">
        <v>0</v>
      </c>
      <c r="I248" s="3" t="s">
        <v>777</v>
      </c>
      <c r="J248">
        <v>0</v>
      </c>
    </row>
    <row r="249" spans="1:10" x14ac:dyDescent="0.25">
      <c r="A249" s="3" t="s">
        <v>285</v>
      </c>
      <c r="B249">
        <v>0</v>
      </c>
      <c r="C249">
        <v>0</v>
      </c>
      <c r="I249" s="3" t="s">
        <v>613</v>
      </c>
      <c r="J249">
        <v>0</v>
      </c>
    </row>
    <row r="250" spans="1:10" x14ac:dyDescent="0.25">
      <c r="A250" s="3" t="s">
        <v>2190</v>
      </c>
      <c r="B250">
        <v>0</v>
      </c>
      <c r="C250">
        <v>0</v>
      </c>
      <c r="I250" s="3" t="s">
        <v>988</v>
      </c>
      <c r="J250">
        <v>0</v>
      </c>
    </row>
    <row r="251" spans="1:10" x14ac:dyDescent="0.25">
      <c r="A251" s="3" t="s">
        <v>785</v>
      </c>
      <c r="B251">
        <v>0</v>
      </c>
      <c r="C251">
        <v>0</v>
      </c>
      <c r="I251" s="3" t="s">
        <v>3811</v>
      </c>
      <c r="J251">
        <v>4</v>
      </c>
    </row>
    <row r="252" spans="1:10" x14ac:dyDescent="0.25">
      <c r="A252" s="3" t="s">
        <v>4308</v>
      </c>
      <c r="B252">
        <v>1</v>
      </c>
      <c r="C252">
        <v>0</v>
      </c>
      <c r="I252" s="3" t="s">
        <v>1117</v>
      </c>
      <c r="J252">
        <v>0</v>
      </c>
    </row>
    <row r="253" spans="1:10" x14ac:dyDescent="0.25">
      <c r="A253" s="3" t="s">
        <v>2598</v>
      </c>
      <c r="B253">
        <v>1</v>
      </c>
      <c r="C253">
        <v>0</v>
      </c>
      <c r="I253" s="3" t="s">
        <v>1894</v>
      </c>
      <c r="J253">
        <v>0</v>
      </c>
    </row>
    <row r="254" spans="1:10" x14ac:dyDescent="0.25">
      <c r="A254" s="3" t="s">
        <v>3831</v>
      </c>
      <c r="B254">
        <v>2</v>
      </c>
      <c r="C254">
        <v>0</v>
      </c>
      <c r="I254" s="3" t="s">
        <v>1774</v>
      </c>
      <c r="J254">
        <v>0</v>
      </c>
    </row>
    <row r="255" spans="1:10" x14ac:dyDescent="0.25">
      <c r="A255" s="3" t="s">
        <v>4736</v>
      </c>
      <c r="B255">
        <v>0</v>
      </c>
      <c r="C255">
        <v>0</v>
      </c>
      <c r="I255" s="3" t="s">
        <v>2879</v>
      </c>
      <c r="J255">
        <v>0</v>
      </c>
    </row>
    <row r="256" spans="1:10" x14ac:dyDescent="0.25">
      <c r="A256" s="3" t="s">
        <v>1542</v>
      </c>
      <c r="B256">
        <v>0</v>
      </c>
      <c r="C256">
        <v>0</v>
      </c>
      <c r="I256" s="3" t="s">
        <v>802</v>
      </c>
      <c r="J256">
        <v>0</v>
      </c>
    </row>
    <row r="257" spans="1:10" x14ac:dyDescent="0.25">
      <c r="A257" s="3" t="s">
        <v>30</v>
      </c>
      <c r="B257">
        <v>7</v>
      </c>
      <c r="C257">
        <v>0</v>
      </c>
      <c r="I257" s="3" t="s">
        <v>37</v>
      </c>
      <c r="J257">
        <v>0</v>
      </c>
    </row>
    <row r="258" spans="1:10" x14ac:dyDescent="0.25">
      <c r="A258" s="3" t="s">
        <v>2758</v>
      </c>
      <c r="B258">
        <v>0</v>
      </c>
      <c r="C258">
        <v>0</v>
      </c>
      <c r="I258" s="3" t="s">
        <v>160</v>
      </c>
      <c r="J258">
        <v>0</v>
      </c>
    </row>
    <row r="259" spans="1:10" x14ac:dyDescent="0.25">
      <c r="A259" s="3" t="s">
        <v>346</v>
      </c>
      <c r="B259">
        <v>0</v>
      </c>
      <c r="C259">
        <v>0</v>
      </c>
      <c r="I259" s="3" t="s">
        <v>243</v>
      </c>
      <c r="J259">
        <v>0</v>
      </c>
    </row>
    <row r="260" spans="1:10" x14ac:dyDescent="0.25">
      <c r="A260" s="3" t="s">
        <v>828</v>
      </c>
      <c r="B260">
        <v>0</v>
      </c>
      <c r="C260">
        <v>0</v>
      </c>
      <c r="I260" s="3" t="s">
        <v>314</v>
      </c>
      <c r="J260">
        <v>2</v>
      </c>
    </row>
    <row r="261" spans="1:10" x14ac:dyDescent="0.25">
      <c r="A261" s="3" t="s">
        <v>3018</v>
      </c>
      <c r="B261">
        <v>0</v>
      </c>
      <c r="C261">
        <v>0</v>
      </c>
      <c r="I261" s="3" t="s">
        <v>506</v>
      </c>
      <c r="J261">
        <v>0</v>
      </c>
    </row>
    <row r="262" spans="1:10" x14ac:dyDescent="0.25">
      <c r="A262" s="3" t="s">
        <v>1045</v>
      </c>
      <c r="B262">
        <v>0</v>
      </c>
      <c r="C262">
        <v>0</v>
      </c>
      <c r="I262" s="3" t="s">
        <v>509</v>
      </c>
      <c r="J262">
        <v>0</v>
      </c>
    </row>
    <row r="263" spans="1:10" x14ac:dyDescent="0.25">
      <c r="A263" s="3" t="s">
        <v>1697</v>
      </c>
      <c r="B263">
        <v>0</v>
      </c>
      <c r="C263">
        <v>0</v>
      </c>
      <c r="I263" s="3" t="s">
        <v>532</v>
      </c>
      <c r="J263">
        <v>1</v>
      </c>
    </row>
    <row r="264" spans="1:10" x14ac:dyDescent="0.25">
      <c r="A264" s="3" t="s">
        <v>1585</v>
      </c>
      <c r="B264">
        <v>0</v>
      </c>
      <c r="C264">
        <v>0</v>
      </c>
      <c r="I264" s="3" t="s">
        <v>552</v>
      </c>
      <c r="J264">
        <v>0</v>
      </c>
    </row>
    <row r="265" spans="1:10" x14ac:dyDescent="0.25">
      <c r="A265" s="3" t="s">
        <v>2570</v>
      </c>
      <c r="B265">
        <v>0</v>
      </c>
      <c r="C265">
        <v>0</v>
      </c>
      <c r="I265" s="3" t="s">
        <v>628</v>
      </c>
      <c r="J265">
        <v>4</v>
      </c>
    </row>
    <row r="266" spans="1:10" x14ac:dyDescent="0.25">
      <c r="A266" s="3" t="s">
        <v>1410</v>
      </c>
      <c r="B266">
        <v>0</v>
      </c>
      <c r="C266">
        <v>0</v>
      </c>
      <c r="I266" s="3" t="s">
        <v>661</v>
      </c>
      <c r="J266">
        <v>0</v>
      </c>
    </row>
    <row r="267" spans="1:10" x14ac:dyDescent="0.25">
      <c r="A267" s="3" t="s">
        <v>1436</v>
      </c>
      <c r="B267">
        <v>0</v>
      </c>
      <c r="C267">
        <v>0</v>
      </c>
      <c r="I267" s="3" t="s">
        <v>684</v>
      </c>
      <c r="J267">
        <v>0</v>
      </c>
    </row>
    <row r="268" spans="1:10" x14ac:dyDescent="0.25">
      <c r="A268" s="3" t="s">
        <v>3283</v>
      </c>
      <c r="B268">
        <v>1</v>
      </c>
      <c r="C268">
        <v>0</v>
      </c>
      <c r="I268" s="3" t="s">
        <v>712</v>
      </c>
      <c r="J268">
        <v>0</v>
      </c>
    </row>
    <row r="269" spans="1:10" x14ac:dyDescent="0.25">
      <c r="A269" s="3" t="s">
        <v>1703</v>
      </c>
      <c r="B269">
        <v>0</v>
      </c>
      <c r="C269">
        <v>0</v>
      </c>
      <c r="I269" s="3" t="s">
        <v>721</v>
      </c>
      <c r="J269">
        <v>1</v>
      </c>
    </row>
    <row r="270" spans="1:10" x14ac:dyDescent="0.25">
      <c r="A270" s="3" t="s">
        <v>966</v>
      </c>
      <c r="B270">
        <v>0</v>
      </c>
      <c r="C270">
        <v>0</v>
      </c>
      <c r="I270" s="3" t="s">
        <v>739</v>
      </c>
      <c r="J270">
        <v>0</v>
      </c>
    </row>
    <row r="271" spans="1:10" x14ac:dyDescent="0.25">
      <c r="A271" s="3" t="s">
        <v>420</v>
      </c>
      <c r="B271">
        <v>0</v>
      </c>
      <c r="C271">
        <v>0</v>
      </c>
      <c r="I271" s="3" t="s">
        <v>769</v>
      </c>
      <c r="J271">
        <v>0</v>
      </c>
    </row>
    <row r="272" spans="1:10" x14ac:dyDescent="0.25">
      <c r="A272" s="3" t="s">
        <v>2282</v>
      </c>
      <c r="B272">
        <v>0</v>
      </c>
      <c r="C272">
        <v>0</v>
      </c>
      <c r="I272" s="3" t="s">
        <v>812</v>
      </c>
      <c r="J272">
        <v>1</v>
      </c>
    </row>
    <row r="273" spans="1:10" x14ac:dyDescent="0.25">
      <c r="A273" s="3" t="s">
        <v>1644</v>
      </c>
      <c r="B273">
        <v>0</v>
      </c>
      <c r="C273">
        <v>0</v>
      </c>
      <c r="I273" s="3" t="s">
        <v>910</v>
      </c>
      <c r="J273">
        <v>0</v>
      </c>
    </row>
    <row r="274" spans="1:10" x14ac:dyDescent="0.25">
      <c r="A274" s="3" t="s">
        <v>1572</v>
      </c>
      <c r="B274">
        <v>0</v>
      </c>
      <c r="C274">
        <v>0</v>
      </c>
      <c r="I274" s="3" t="s">
        <v>933</v>
      </c>
      <c r="J274">
        <v>0</v>
      </c>
    </row>
    <row r="275" spans="1:10" x14ac:dyDescent="0.25">
      <c r="A275" s="3" t="s">
        <v>278</v>
      </c>
      <c r="B275">
        <v>8</v>
      </c>
      <c r="C275">
        <v>0</v>
      </c>
      <c r="I275" s="3" t="s">
        <v>1032</v>
      </c>
      <c r="J275">
        <v>0</v>
      </c>
    </row>
    <row r="276" spans="1:10" x14ac:dyDescent="0.25">
      <c r="A276" s="3" t="s">
        <v>3352</v>
      </c>
      <c r="B276">
        <v>0</v>
      </c>
      <c r="C276">
        <v>0</v>
      </c>
      <c r="I276" s="3" t="s">
        <v>1071</v>
      </c>
      <c r="J276">
        <v>0</v>
      </c>
    </row>
    <row r="277" spans="1:10" x14ac:dyDescent="0.25">
      <c r="A277" s="3" t="s">
        <v>3722</v>
      </c>
      <c r="B277">
        <v>0</v>
      </c>
      <c r="C277">
        <v>0</v>
      </c>
      <c r="I277" s="3" t="s">
        <v>1105</v>
      </c>
      <c r="J277">
        <v>0</v>
      </c>
    </row>
    <row r="278" spans="1:10" x14ac:dyDescent="0.25">
      <c r="A278" s="3" t="s">
        <v>774</v>
      </c>
      <c r="B278">
        <v>0</v>
      </c>
      <c r="C278">
        <v>0</v>
      </c>
      <c r="I278" s="3" t="s">
        <v>1114</v>
      </c>
      <c r="J278">
        <v>2</v>
      </c>
    </row>
    <row r="279" spans="1:10" x14ac:dyDescent="0.25">
      <c r="A279" s="3" t="s">
        <v>2993</v>
      </c>
      <c r="B279">
        <v>0</v>
      </c>
      <c r="C279">
        <v>0</v>
      </c>
      <c r="I279" s="3" t="s">
        <v>1239</v>
      </c>
      <c r="J279">
        <v>1</v>
      </c>
    </row>
    <row r="280" spans="1:10" x14ac:dyDescent="0.25">
      <c r="A280" s="3" t="s">
        <v>1629</v>
      </c>
      <c r="B280">
        <v>0</v>
      </c>
      <c r="C280">
        <v>0</v>
      </c>
      <c r="I280" s="3" t="s">
        <v>1277</v>
      </c>
      <c r="J280">
        <v>0</v>
      </c>
    </row>
    <row r="281" spans="1:10" x14ac:dyDescent="0.25">
      <c r="A281" s="3" t="s">
        <v>4103</v>
      </c>
      <c r="B281">
        <v>1</v>
      </c>
      <c r="C281">
        <v>1</v>
      </c>
      <c r="I281" s="3" t="s">
        <v>1286</v>
      </c>
      <c r="J281">
        <v>5</v>
      </c>
    </row>
    <row r="282" spans="1:10" x14ac:dyDescent="0.25">
      <c r="A282" s="3" t="s">
        <v>1089</v>
      </c>
      <c r="B282">
        <v>0</v>
      </c>
      <c r="C282">
        <v>0</v>
      </c>
      <c r="I282" s="3" t="s">
        <v>1321</v>
      </c>
      <c r="J282">
        <v>2</v>
      </c>
    </row>
    <row r="283" spans="1:10" x14ac:dyDescent="0.25">
      <c r="A283" s="3" t="s">
        <v>1783</v>
      </c>
      <c r="B283">
        <v>0</v>
      </c>
      <c r="C283">
        <v>0</v>
      </c>
      <c r="I283" s="3" t="s">
        <v>1334</v>
      </c>
      <c r="J283">
        <v>0</v>
      </c>
    </row>
    <row r="284" spans="1:10" x14ac:dyDescent="0.25">
      <c r="A284" s="3" t="s">
        <v>1989</v>
      </c>
      <c r="B284">
        <v>1</v>
      </c>
      <c r="C284">
        <v>0</v>
      </c>
      <c r="I284" s="3" t="s">
        <v>1418</v>
      </c>
      <c r="J284">
        <v>0</v>
      </c>
    </row>
    <row r="285" spans="1:10" x14ac:dyDescent="0.25">
      <c r="A285" s="3" t="s">
        <v>1488</v>
      </c>
      <c r="B285">
        <v>0</v>
      </c>
      <c r="C285">
        <v>0</v>
      </c>
      <c r="I285" s="3" t="s">
        <v>1467</v>
      </c>
      <c r="J285">
        <v>1</v>
      </c>
    </row>
    <row r="286" spans="1:10" x14ac:dyDescent="0.25">
      <c r="A286" s="3" t="s">
        <v>3752</v>
      </c>
      <c r="B286">
        <v>0</v>
      </c>
      <c r="C286">
        <v>0</v>
      </c>
      <c r="I286" s="3" t="s">
        <v>1525</v>
      </c>
      <c r="J286">
        <v>2</v>
      </c>
    </row>
    <row r="287" spans="1:10" x14ac:dyDescent="0.25">
      <c r="A287" s="3" t="s">
        <v>1042</v>
      </c>
      <c r="B287">
        <v>0</v>
      </c>
      <c r="C287">
        <v>0</v>
      </c>
      <c r="I287" s="3" t="s">
        <v>1531</v>
      </c>
      <c r="J287">
        <v>0</v>
      </c>
    </row>
    <row r="288" spans="1:10" x14ac:dyDescent="0.25">
      <c r="A288" s="3" t="s">
        <v>4413</v>
      </c>
      <c r="B288">
        <v>0</v>
      </c>
      <c r="C288">
        <v>0</v>
      </c>
      <c r="I288" s="3" t="s">
        <v>1591</v>
      </c>
      <c r="J288">
        <v>0</v>
      </c>
    </row>
    <row r="289" spans="1:10" x14ac:dyDescent="0.25">
      <c r="A289" s="3" t="s">
        <v>1269</v>
      </c>
      <c r="B289">
        <v>0</v>
      </c>
      <c r="C289">
        <v>0</v>
      </c>
      <c r="I289" s="3" t="s">
        <v>1635</v>
      </c>
      <c r="J289">
        <v>0</v>
      </c>
    </row>
    <row r="290" spans="1:10" x14ac:dyDescent="0.25">
      <c r="A290" s="3" t="s">
        <v>1827</v>
      </c>
      <c r="B290">
        <v>0</v>
      </c>
      <c r="C290">
        <v>0</v>
      </c>
      <c r="I290" s="3" t="s">
        <v>1638</v>
      </c>
      <c r="J290">
        <v>1</v>
      </c>
    </row>
    <row r="291" spans="1:10" x14ac:dyDescent="0.25">
      <c r="A291" s="3" t="s">
        <v>4769</v>
      </c>
      <c r="B291">
        <v>0</v>
      </c>
      <c r="C291">
        <v>0</v>
      </c>
      <c r="I291" s="3" t="s">
        <v>1683</v>
      </c>
      <c r="J291">
        <v>0</v>
      </c>
    </row>
    <row r="292" spans="1:10" x14ac:dyDescent="0.25">
      <c r="A292" s="3" t="s">
        <v>3845</v>
      </c>
      <c r="B292">
        <v>0</v>
      </c>
      <c r="C292">
        <v>0</v>
      </c>
      <c r="I292" s="3" t="s">
        <v>1821</v>
      </c>
      <c r="J292">
        <v>0</v>
      </c>
    </row>
    <row r="293" spans="1:10" x14ac:dyDescent="0.25">
      <c r="A293" s="3" t="s">
        <v>1763</v>
      </c>
      <c r="B293">
        <v>1</v>
      </c>
      <c r="C293">
        <v>0</v>
      </c>
      <c r="I293" s="3" t="s">
        <v>1867</v>
      </c>
      <c r="J293">
        <v>0</v>
      </c>
    </row>
    <row r="294" spans="1:10" x14ac:dyDescent="0.25">
      <c r="A294" s="3" t="s">
        <v>907</v>
      </c>
      <c r="B294">
        <v>0</v>
      </c>
      <c r="C294">
        <v>0</v>
      </c>
      <c r="I294" s="3" t="s">
        <v>2053</v>
      </c>
      <c r="J294">
        <v>0</v>
      </c>
    </row>
    <row r="295" spans="1:10" x14ac:dyDescent="0.25">
      <c r="A295" s="3" t="s">
        <v>858</v>
      </c>
      <c r="B295">
        <v>1</v>
      </c>
      <c r="C295">
        <v>0</v>
      </c>
      <c r="I295" s="3" t="s">
        <v>2154</v>
      </c>
      <c r="J295">
        <v>0</v>
      </c>
    </row>
    <row r="296" spans="1:10" x14ac:dyDescent="0.25">
      <c r="A296" s="3" t="s">
        <v>617</v>
      </c>
      <c r="B296">
        <v>0</v>
      </c>
      <c r="C296">
        <v>0</v>
      </c>
      <c r="I296" s="3" t="s">
        <v>2179</v>
      </c>
      <c r="J296">
        <v>1</v>
      </c>
    </row>
    <row r="297" spans="1:10" x14ac:dyDescent="0.25">
      <c r="A297" s="3" t="s">
        <v>1647</v>
      </c>
      <c r="B297">
        <v>0</v>
      </c>
      <c r="C297">
        <v>0</v>
      </c>
      <c r="I297" s="3" t="s">
        <v>2364</v>
      </c>
      <c r="J297">
        <v>1</v>
      </c>
    </row>
    <row r="298" spans="1:10" x14ac:dyDescent="0.25">
      <c r="A298" s="3" t="s">
        <v>2740</v>
      </c>
      <c r="B298">
        <v>0</v>
      </c>
      <c r="C298">
        <v>0</v>
      </c>
      <c r="I298" s="3" t="s">
        <v>2410</v>
      </c>
      <c r="J298">
        <v>2</v>
      </c>
    </row>
    <row r="299" spans="1:10" x14ac:dyDescent="0.25">
      <c r="A299" s="3" t="s">
        <v>2858</v>
      </c>
      <c r="B299">
        <v>0</v>
      </c>
      <c r="C299">
        <v>0</v>
      </c>
      <c r="I299" s="3" t="s">
        <v>2454</v>
      </c>
      <c r="J299">
        <v>0</v>
      </c>
    </row>
    <row r="300" spans="1:10" x14ac:dyDescent="0.25">
      <c r="A300" s="3" t="s">
        <v>3247</v>
      </c>
      <c r="B300">
        <v>0</v>
      </c>
      <c r="C300">
        <v>0</v>
      </c>
      <c r="I300" s="3" t="s">
        <v>2486</v>
      </c>
      <c r="J300">
        <v>0</v>
      </c>
    </row>
    <row r="301" spans="1:10" x14ac:dyDescent="0.25">
      <c r="A301" s="3" t="s">
        <v>841</v>
      </c>
      <c r="B301">
        <v>0</v>
      </c>
      <c r="C301">
        <v>0</v>
      </c>
      <c r="I301" s="3" t="s">
        <v>2587</v>
      </c>
      <c r="J301">
        <v>0</v>
      </c>
    </row>
    <row r="302" spans="1:10" x14ac:dyDescent="0.25">
      <c r="A302" s="3" t="s">
        <v>4520</v>
      </c>
      <c r="B302">
        <v>9</v>
      </c>
      <c r="C302">
        <v>0</v>
      </c>
      <c r="I302" s="3" t="s">
        <v>2623</v>
      </c>
      <c r="J302">
        <v>0</v>
      </c>
    </row>
    <row r="303" spans="1:10" x14ac:dyDescent="0.25">
      <c r="A303" s="3" t="s">
        <v>762</v>
      </c>
      <c r="B303">
        <v>0</v>
      </c>
      <c r="C303">
        <v>0</v>
      </c>
      <c r="I303" s="3" t="s">
        <v>2832</v>
      </c>
      <c r="J303">
        <v>0</v>
      </c>
    </row>
    <row r="304" spans="1:10" x14ac:dyDescent="0.25">
      <c r="A304" s="3" t="s">
        <v>3863</v>
      </c>
      <c r="B304">
        <v>0</v>
      </c>
      <c r="C304">
        <v>0</v>
      </c>
      <c r="I304" s="3" t="s">
        <v>2847</v>
      </c>
      <c r="J304">
        <v>0</v>
      </c>
    </row>
    <row r="305" spans="1:10" x14ac:dyDescent="0.25">
      <c r="A305" s="3" t="s">
        <v>1167</v>
      </c>
      <c r="B305">
        <v>0</v>
      </c>
      <c r="C305">
        <v>0</v>
      </c>
      <c r="I305" s="3" t="s">
        <v>2904</v>
      </c>
      <c r="J305">
        <v>0</v>
      </c>
    </row>
    <row r="306" spans="1:10" x14ac:dyDescent="0.25">
      <c r="A306" s="3" t="s">
        <v>2088</v>
      </c>
      <c r="B306">
        <v>0</v>
      </c>
      <c r="C306">
        <v>0</v>
      </c>
      <c r="I306" s="3" t="s">
        <v>2943</v>
      </c>
      <c r="J306">
        <v>1</v>
      </c>
    </row>
    <row r="307" spans="1:10" x14ac:dyDescent="0.25">
      <c r="A307" s="3" t="s">
        <v>3670</v>
      </c>
      <c r="B307">
        <v>2</v>
      </c>
      <c r="C307">
        <v>0</v>
      </c>
      <c r="I307" s="3" t="s">
        <v>3004</v>
      </c>
      <c r="J307">
        <v>0</v>
      </c>
    </row>
    <row r="308" spans="1:10" x14ac:dyDescent="0.25">
      <c r="A308" s="3" t="s">
        <v>125</v>
      </c>
      <c r="B308">
        <v>0</v>
      </c>
      <c r="C308">
        <v>0</v>
      </c>
      <c r="I308" s="3" t="s">
        <v>3025</v>
      </c>
      <c r="J308">
        <v>1</v>
      </c>
    </row>
    <row r="309" spans="1:10" x14ac:dyDescent="0.25">
      <c r="A309" s="3" t="s">
        <v>413</v>
      </c>
      <c r="B309">
        <v>0</v>
      </c>
      <c r="C309">
        <v>0</v>
      </c>
      <c r="I309" s="3" t="s">
        <v>3114</v>
      </c>
      <c r="J309">
        <v>0</v>
      </c>
    </row>
    <row r="310" spans="1:10" x14ac:dyDescent="0.25">
      <c r="A310" s="3" t="s">
        <v>1966</v>
      </c>
      <c r="B310">
        <v>0</v>
      </c>
      <c r="C310">
        <v>0</v>
      </c>
      <c r="I310" s="3" t="s">
        <v>3134</v>
      </c>
      <c r="J310">
        <v>0</v>
      </c>
    </row>
    <row r="311" spans="1:10" x14ac:dyDescent="0.25">
      <c r="A311" s="3" t="s">
        <v>2690</v>
      </c>
      <c r="B311">
        <v>0</v>
      </c>
      <c r="C311">
        <v>0</v>
      </c>
      <c r="I311" s="3" t="s">
        <v>3195</v>
      </c>
      <c r="J311">
        <v>0</v>
      </c>
    </row>
    <row r="312" spans="1:10" x14ac:dyDescent="0.25">
      <c r="A312" s="3" t="s">
        <v>724</v>
      </c>
      <c r="B312">
        <v>0</v>
      </c>
      <c r="C312">
        <v>0</v>
      </c>
      <c r="I312" s="3" t="s">
        <v>3335</v>
      </c>
      <c r="J312">
        <v>0</v>
      </c>
    </row>
    <row r="313" spans="1:10" x14ac:dyDescent="0.25">
      <c r="A313" s="3" t="s">
        <v>1023</v>
      </c>
      <c r="B313">
        <v>0</v>
      </c>
      <c r="C313">
        <v>0</v>
      </c>
      <c r="I313" s="3" t="s">
        <v>3548</v>
      </c>
      <c r="J313">
        <v>0</v>
      </c>
    </row>
    <row r="314" spans="1:10" x14ac:dyDescent="0.25">
      <c r="A314" s="3" t="s">
        <v>444</v>
      </c>
      <c r="B314">
        <v>1</v>
      </c>
      <c r="C314">
        <v>0</v>
      </c>
      <c r="I314" s="3" t="s">
        <v>3559</v>
      </c>
      <c r="J314">
        <v>3</v>
      </c>
    </row>
    <row r="315" spans="1:10" x14ac:dyDescent="0.25">
      <c r="A315" s="3" t="s">
        <v>1108</v>
      </c>
      <c r="B315">
        <v>0</v>
      </c>
      <c r="C315">
        <v>0</v>
      </c>
      <c r="I315" s="3" t="s">
        <v>3711</v>
      </c>
      <c r="J315">
        <v>0</v>
      </c>
    </row>
    <row r="316" spans="1:10" x14ac:dyDescent="0.25">
      <c r="A316" s="3" t="s">
        <v>324</v>
      </c>
      <c r="B316">
        <v>3</v>
      </c>
      <c r="C316">
        <v>1</v>
      </c>
      <c r="I316" s="3" t="s">
        <v>3794</v>
      </c>
      <c r="J316">
        <v>0</v>
      </c>
    </row>
    <row r="317" spans="1:10" x14ac:dyDescent="0.25">
      <c r="A317" s="3" t="s">
        <v>3175</v>
      </c>
      <c r="B317">
        <v>0</v>
      </c>
      <c r="C317">
        <v>0</v>
      </c>
      <c r="I317" s="3" t="s">
        <v>3963</v>
      </c>
      <c r="J317">
        <v>0</v>
      </c>
    </row>
    <row r="318" spans="1:10" x14ac:dyDescent="0.25">
      <c r="A318" s="3" t="s">
        <v>1442</v>
      </c>
      <c r="B318">
        <v>1</v>
      </c>
      <c r="C318">
        <v>0</v>
      </c>
      <c r="I318" s="3" t="s">
        <v>3991</v>
      </c>
      <c r="J318">
        <v>0</v>
      </c>
    </row>
    <row r="319" spans="1:10" x14ac:dyDescent="0.25">
      <c r="A319" s="3" t="s">
        <v>3058</v>
      </c>
      <c r="B319">
        <v>0</v>
      </c>
      <c r="C319">
        <v>0</v>
      </c>
      <c r="I319" s="3" t="s">
        <v>4129</v>
      </c>
      <c r="J319">
        <v>0</v>
      </c>
    </row>
    <row r="320" spans="1:10" x14ac:dyDescent="0.25">
      <c r="A320" s="3" t="s">
        <v>2806</v>
      </c>
      <c r="B320">
        <v>0</v>
      </c>
      <c r="C320">
        <v>0</v>
      </c>
      <c r="I320" s="3" t="s">
        <v>4452</v>
      </c>
      <c r="J320">
        <v>0</v>
      </c>
    </row>
    <row r="321" spans="1:10" x14ac:dyDescent="0.25">
      <c r="A321" s="3" t="s">
        <v>1528</v>
      </c>
      <c r="B321">
        <v>0</v>
      </c>
      <c r="C321">
        <v>0</v>
      </c>
      <c r="I321" s="3" t="s">
        <v>4541</v>
      </c>
      <c r="J321">
        <v>0</v>
      </c>
    </row>
    <row r="322" spans="1:10" x14ac:dyDescent="0.25">
      <c r="A322" s="3" t="s">
        <v>3673</v>
      </c>
      <c r="B322">
        <v>0</v>
      </c>
      <c r="C322">
        <v>0</v>
      </c>
      <c r="I322" s="3" t="s">
        <v>4631</v>
      </c>
      <c r="J322">
        <v>0</v>
      </c>
    </row>
    <row r="323" spans="1:10" x14ac:dyDescent="0.25">
      <c r="A323" s="3" t="s">
        <v>3628</v>
      </c>
      <c r="B323">
        <v>0</v>
      </c>
      <c r="C323">
        <v>0</v>
      </c>
      <c r="I323" s="3" t="s">
        <v>4654</v>
      </c>
      <c r="J323">
        <v>0</v>
      </c>
    </row>
    <row r="324" spans="1:10" x14ac:dyDescent="0.25">
      <c r="A324" s="3" t="s">
        <v>2528</v>
      </c>
      <c r="B324">
        <v>0</v>
      </c>
      <c r="C324">
        <v>0</v>
      </c>
      <c r="I324" s="3" t="s">
        <v>4670</v>
      </c>
      <c r="J324">
        <v>0</v>
      </c>
    </row>
    <row r="325" spans="1:10" x14ac:dyDescent="0.25">
      <c r="A325" s="3" t="s">
        <v>2075</v>
      </c>
      <c r="B325">
        <v>1</v>
      </c>
      <c r="C325">
        <v>0</v>
      </c>
      <c r="I325" s="3" t="s">
        <v>4691</v>
      </c>
      <c r="J325">
        <v>0</v>
      </c>
    </row>
    <row r="326" spans="1:10" x14ac:dyDescent="0.25">
      <c r="A326" s="3" t="s">
        <v>398</v>
      </c>
      <c r="B326">
        <v>2</v>
      </c>
      <c r="C326">
        <v>0</v>
      </c>
      <c r="I326" s="3" t="s">
        <v>4786</v>
      </c>
      <c r="J326">
        <v>143</v>
      </c>
    </row>
    <row r="327" spans="1:10" x14ac:dyDescent="0.25">
      <c r="A327" s="3" t="s">
        <v>2134</v>
      </c>
      <c r="B327">
        <v>0</v>
      </c>
      <c r="C327">
        <v>0</v>
      </c>
    </row>
    <row r="328" spans="1:10" x14ac:dyDescent="0.25">
      <c r="A328" s="3" t="s">
        <v>1137</v>
      </c>
      <c r="B328">
        <v>0</v>
      </c>
      <c r="C328">
        <v>0</v>
      </c>
    </row>
    <row r="329" spans="1:10" x14ac:dyDescent="0.25">
      <c r="A329" s="3" t="s">
        <v>1792</v>
      </c>
      <c r="B329">
        <v>1</v>
      </c>
      <c r="C329">
        <v>0</v>
      </c>
    </row>
    <row r="330" spans="1:10" x14ac:dyDescent="0.25">
      <c r="A330" s="3" t="s">
        <v>3540</v>
      </c>
      <c r="B330">
        <v>0</v>
      </c>
      <c r="C330">
        <v>0</v>
      </c>
    </row>
    <row r="331" spans="1:10" x14ac:dyDescent="0.25">
      <c r="A331" s="3" t="s">
        <v>2114</v>
      </c>
      <c r="B331">
        <v>0</v>
      </c>
      <c r="C331">
        <v>0</v>
      </c>
    </row>
    <row r="332" spans="1:10" x14ac:dyDescent="0.25">
      <c r="A332" s="3" t="s">
        <v>4615</v>
      </c>
      <c r="B332">
        <v>0</v>
      </c>
      <c r="C332">
        <v>0</v>
      </c>
    </row>
    <row r="333" spans="1:10" x14ac:dyDescent="0.25">
      <c r="A333" s="3" t="s">
        <v>4041</v>
      </c>
      <c r="B333">
        <v>0</v>
      </c>
      <c r="C333">
        <v>0</v>
      </c>
    </row>
    <row r="334" spans="1:10" x14ac:dyDescent="0.25">
      <c r="A334" s="3" t="s">
        <v>4315</v>
      </c>
      <c r="B334">
        <v>0</v>
      </c>
      <c r="C334">
        <v>0</v>
      </c>
    </row>
    <row r="335" spans="1:10" x14ac:dyDescent="0.25">
      <c r="A335" s="3" t="s">
        <v>904</v>
      </c>
      <c r="B335">
        <v>0</v>
      </c>
      <c r="C335">
        <v>0</v>
      </c>
    </row>
    <row r="336" spans="1:10" x14ac:dyDescent="0.25">
      <c r="A336" s="3" t="s">
        <v>1337</v>
      </c>
      <c r="B336">
        <v>4</v>
      </c>
      <c r="C336">
        <v>0</v>
      </c>
    </row>
    <row r="337" spans="1:3" x14ac:dyDescent="0.25">
      <c r="A337" s="3" t="s">
        <v>2721</v>
      </c>
      <c r="B337">
        <v>0</v>
      </c>
      <c r="C337">
        <v>0</v>
      </c>
    </row>
    <row r="338" spans="1:3" x14ac:dyDescent="0.25">
      <c r="A338" s="3" t="s">
        <v>1149</v>
      </c>
      <c r="B338">
        <v>2</v>
      </c>
      <c r="C338">
        <v>1</v>
      </c>
    </row>
    <row r="339" spans="1:3" x14ac:dyDescent="0.25">
      <c r="A339" s="3" t="s">
        <v>1680</v>
      </c>
      <c r="B339">
        <v>1</v>
      </c>
      <c r="C339">
        <v>0</v>
      </c>
    </row>
    <row r="340" spans="1:3" x14ac:dyDescent="0.25">
      <c r="A340" s="3" t="s">
        <v>2974</v>
      </c>
      <c r="B340">
        <v>0</v>
      </c>
      <c r="C340">
        <v>0</v>
      </c>
    </row>
    <row r="341" spans="1:3" x14ac:dyDescent="0.25">
      <c r="A341" s="3" t="s">
        <v>969</v>
      </c>
      <c r="B341">
        <v>1</v>
      </c>
      <c r="C341">
        <v>0</v>
      </c>
    </row>
    <row r="342" spans="1:3" x14ac:dyDescent="0.25">
      <c r="A342" s="3" t="s">
        <v>1744</v>
      </c>
      <c r="B342">
        <v>0</v>
      </c>
      <c r="C342">
        <v>0</v>
      </c>
    </row>
    <row r="343" spans="1:3" x14ac:dyDescent="0.25">
      <c r="A343" s="3" t="s">
        <v>886</v>
      </c>
      <c r="B343">
        <v>0</v>
      </c>
      <c r="C343">
        <v>0</v>
      </c>
    </row>
    <row r="344" spans="1:3" x14ac:dyDescent="0.25">
      <c r="A344" s="3" t="s">
        <v>1157</v>
      </c>
      <c r="B344">
        <v>2</v>
      </c>
      <c r="C344">
        <v>0</v>
      </c>
    </row>
    <row r="345" spans="1:3" x14ac:dyDescent="0.25">
      <c r="A345" s="3" t="s">
        <v>1611</v>
      </c>
      <c r="B345">
        <v>0</v>
      </c>
      <c r="C345">
        <v>0</v>
      </c>
    </row>
    <row r="346" spans="1:3" x14ac:dyDescent="0.25">
      <c r="A346" s="3" t="s">
        <v>4202</v>
      </c>
      <c r="B346">
        <v>0</v>
      </c>
      <c r="C346">
        <v>0</v>
      </c>
    </row>
    <row r="347" spans="1:3" x14ac:dyDescent="0.25">
      <c r="A347" s="3" t="s">
        <v>4264</v>
      </c>
      <c r="B347">
        <v>0</v>
      </c>
      <c r="C347">
        <v>0</v>
      </c>
    </row>
    <row r="348" spans="1:3" x14ac:dyDescent="0.25">
      <c r="A348" s="3" t="s">
        <v>928</v>
      </c>
      <c r="B348">
        <v>6</v>
      </c>
      <c r="C348">
        <v>0</v>
      </c>
    </row>
    <row r="349" spans="1:3" x14ac:dyDescent="0.25">
      <c r="A349" s="3" t="s">
        <v>1897</v>
      </c>
      <c r="B349">
        <v>10</v>
      </c>
      <c r="C349">
        <v>0</v>
      </c>
    </row>
    <row r="350" spans="1:3" x14ac:dyDescent="0.25">
      <c r="A350" s="3" t="s">
        <v>3880</v>
      </c>
      <c r="B350">
        <v>0</v>
      </c>
      <c r="C350">
        <v>0</v>
      </c>
    </row>
    <row r="351" spans="1:3" x14ac:dyDescent="0.25">
      <c r="A351" s="3" t="s">
        <v>2138</v>
      </c>
      <c r="B351">
        <v>1</v>
      </c>
      <c r="C351">
        <v>0</v>
      </c>
    </row>
    <row r="352" spans="1:3" x14ac:dyDescent="0.25">
      <c r="A352" s="3" t="s">
        <v>4140</v>
      </c>
      <c r="B352">
        <v>0</v>
      </c>
      <c r="C352">
        <v>0</v>
      </c>
    </row>
    <row r="353" spans="1:3" x14ac:dyDescent="0.25">
      <c r="A353" s="3" t="s">
        <v>1712</v>
      </c>
      <c r="B353">
        <v>1</v>
      </c>
      <c r="C353">
        <v>0</v>
      </c>
    </row>
    <row r="354" spans="1:3" x14ac:dyDescent="0.25">
      <c r="A354" s="3" t="s">
        <v>3316</v>
      </c>
      <c r="B354">
        <v>0</v>
      </c>
      <c r="C354">
        <v>0</v>
      </c>
    </row>
    <row r="355" spans="1:3" x14ac:dyDescent="0.25">
      <c r="A355" s="3" t="s">
        <v>3678</v>
      </c>
      <c r="B355">
        <v>0</v>
      </c>
      <c r="C355">
        <v>0</v>
      </c>
    </row>
    <row r="356" spans="1:3" x14ac:dyDescent="0.25">
      <c r="A356" s="3" t="s">
        <v>1263</v>
      </c>
      <c r="B356">
        <v>23</v>
      </c>
      <c r="C356">
        <v>2</v>
      </c>
    </row>
    <row r="357" spans="1:3" x14ac:dyDescent="0.25">
      <c r="A357" s="3" t="s">
        <v>185</v>
      </c>
      <c r="B357">
        <v>0</v>
      </c>
      <c r="C357">
        <v>0</v>
      </c>
    </row>
    <row r="358" spans="1:3" x14ac:dyDescent="0.25">
      <c r="A358" s="3" t="s">
        <v>1258</v>
      </c>
      <c r="B358">
        <v>0</v>
      </c>
      <c r="C358">
        <v>0</v>
      </c>
    </row>
    <row r="359" spans="1:3" x14ac:dyDescent="0.25">
      <c r="A359" s="3" t="s">
        <v>825</v>
      </c>
      <c r="B359">
        <v>0</v>
      </c>
      <c r="C359">
        <v>0</v>
      </c>
    </row>
    <row r="360" spans="1:3" x14ac:dyDescent="0.25">
      <c r="A360" s="3" t="s">
        <v>998</v>
      </c>
      <c r="B360">
        <v>1</v>
      </c>
      <c r="C360">
        <v>0</v>
      </c>
    </row>
    <row r="361" spans="1:3" x14ac:dyDescent="0.25">
      <c r="A361" s="3" t="s">
        <v>2727</v>
      </c>
      <c r="B361">
        <v>2</v>
      </c>
      <c r="C361">
        <v>0</v>
      </c>
    </row>
    <row r="362" spans="1:3" x14ac:dyDescent="0.25">
      <c r="A362" s="3" t="s">
        <v>3292</v>
      </c>
      <c r="B362">
        <v>0</v>
      </c>
      <c r="C362">
        <v>0</v>
      </c>
    </row>
    <row r="363" spans="1:3" x14ac:dyDescent="0.25">
      <c r="A363" s="3" t="s">
        <v>2291</v>
      </c>
      <c r="B363">
        <v>0</v>
      </c>
      <c r="C363">
        <v>0</v>
      </c>
    </row>
    <row r="364" spans="1:3" x14ac:dyDescent="0.25">
      <c r="A364" s="3" t="s">
        <v>1575</v>
      </c>
      <c r="B364">
        <v>0</v>
      </c>
      <c r="C364">
        <v>0</v>
      </c>
    </row>
    <row r="365" spans="1:3" x14ac:dyDescent="0.25">
      <c r="A365" s="3" t="s">
        <v>258</v>
      </c>
      <c r="B365">
        <v>0</v>
      </c>
      <c r="C365">
        <v>0</v>
      </c>
    </row>
    <row r="366" spans="1:3" x14ac:dyDescent="0.25">
      <c r="A366" s="3" t="s">
        <v>4762</v>
      </c>
      <c r="B366">
        <v>1</v>
      </c>
      <c r="C366">
        <v>0</v>
      </c>
    </row>
    <row r="367" spans="1:3" x14ac:dyDescent="0.25">
      <c r="A367" s="3" t="s">
        <v>818</v>
      </c>
      <c r="B367">
        <v>0</v>
      </c>
      <c r="C367">
        <v>0</v>
      </c>
    </row>
    <row r="368" spans="1:3" x14ac:dyDescent="0.25">
      <c r="A368" s="3" t="s">
        <v>2771</v>
      </c>
      <c r="B368">
        <v>0</v>
      </c>
      <c r="C368">
        <v>0</v>
      </c>
    </row>
    <row r="369" spans="1:3" x14ac:dyDescent="0.25">
      <c r="A369" s="3" t="s">
        <v>2483</v>
      </c>
      <c r="B369">
        <v>1</v>
      </c>
      <c r="C369">
        <v>0</v>
      </c>
    </row>
    <row r="370" spans="1:3" x14ac:dyDescent="0.25">
      <c r="A370" s="3" t="s">
        <v>2885</v>
      </c>
      <c r="B370">
        <v>0</v>
      </c>
      <c r="C370">
        <v>0</v>
      </c>
    </row>
    <row r="371" spans="1:3" x14ac:dyDescent="0.25">
      <c r="A371" s="3" t="s">
        <v>733</v>
      </c>
      <c r="B371">
        <v>5</v>
      </c>
      <c r="C371">
        <v>1</v>
      </c>
    </row>
    <row r="372" spans="1:3" x14ac:dyDescent="0.25">
      <c r="A372" s="3" t="s">
        <v>3755</v>
      </c>
      <c r="B372">
        <v>0</v>
      </c>
      <c r="C372">
        <v>0</v>
      </c>
    </row>
    <row r="373" spans="1:3" x14ac:dyDescent="0.25">
      <c r="A373" s="3" t="s">
        <v>2251</v>
      </c>
      <c r="B373">
        <v>1</v>
      </c>
      <c r="C373">
        <v>0</v>
      </c>
    </row>
    <row r="374" spans="1:3" x14ac:dyDescent="0.25">
      <c r="A374" s="3" t="s">
        <v>3286</v>
      </c>
      <c r="B374">
        <v>0</v>
      </c>
      <c r="C374">
        <v>0</v>
      </c>
    </row>
    <row r="375" spans="1:3" x14ac:dyDescent="0.25">
      <c r="A375" s="3" t="s">
        <v>1666</v>
      </c>
      <c r="B375">
        <v>0</v>
      </c>
      <c r="C375">
        <v>0</v>
      </c>
    </row>
    <row r="376" spans="1:3" x14ac:dyDescent="0.25">
      <c r="A376" s="3" t="s">
        <v>477</v>
      </c>
      <c r="B376">
        <v>2</v>
      </c>
      <c r="C376">
        <v>0</v>
      </c>
    </row>
    <row r="377" spans="1:3" x14ac:dyDescent="0.25">
      <c r="A377" s="3" t="s">
        <v>499</v>
      </c>
      <c r="B377">
        <v>0</v>
      </c>
      <c r="C377">
        <v>0</v>
      </c>
    </row>
    <row r="378" spans="1:3" x14ac:dyDescent="0.25">
      <c r="A378" s="3" t="s">
        <v>945</v>
      </c>
      <c r="B378">
        <v>0</v>
      </c>
      <c r="C378">
        <v>0</v>
      </c>
    </row>
    <row r="379" spans="1:3" x14ac:dyDescent="0.25">
      <c r="A379" s="3" t="s">
        <v>2316</v>
      </c>
      <c r="B379">
        <v>0</v>
      </c>
      <c r="C379">
        <v>0</v>
      </c>
    </row>
    <row r="380" spans="1:3" x14ac:dyDescent="0.25">
      <c r="A380" s="3" t="s">
        <v>585</v>
      </c>
      <c r="B380">
        <v>0</v>
      </c>
      <c r="C380">
        <v>0</v>
      </c>
    </row>
    <row r="381" spans="1:3" x14ac:dyDescent="0.25">
      <c r="A381" s="3" t="s">
        <v>129</v>
      </c>
      <c r="B381">
        <v>0</v>
      </c>
      <c r="C381">
        <v>0</v>
      </c>
    </row>
    <row r="382" spans="1:3" x14ac:dyDescent="0.25">
      <c r="A382" s="3" t="s">
        <v>3067</v>
      </c>
      <c r="B382">
        <v>5</v>
      </c>
      <c r="C382">
        <v>0</v>
      </c>
    </row>
    <row r="383" spans="1:3" x14ac:dyDescent="0.25">
      <c r="A383" s="3" t="s">
        <v>496</v>
      </c>
      <c r="B383">
        <v>7</v>
      </c>
      <c r="C383">
        <v>0</v>
      </c>
    </row>
    <row r="384" spans="1:3" x14ac:dyDescent="0.25">
      <c r="A384" s="3" t="s">
        <v>2131</v>
      </c>
      <c r="B384">
        <v>0</v>
      </c>
      <c r="C384">
        <v>0</v>
      </c>
    </row>
    <row r="385" spans="1:3" x14ac:dyDescent="0.25">
      <c r="A385" s="3" t="s">
        <v>2635</v>
      </c>
      <c r="B385">
        <v>0</v>
      </c>
      <c r="C385">
        <v>0</v>
      </c>
    </row>
    <row r="386" spans="1:3" x14ac:dyDescent="0.25">
      <c r="A386" s="3" t="s">
        <v>2674</v>
      </c>
      <c r="B386">
        <v>0</v>
      </c>
      <c r="C386">
        <v>0</v>
      </c>
    </row>
    <row r="387" spans="1:3" x14ac:dyDescent="0.25">
      <c r="A387" s="3" t="s">
        <v>1566</v>
      </c>
      <c r="B387">
        <v>0</v>
      </c>
      <c r="C387">
        <v>0</v>
      </c>
    </row>
    <row r="388" spans="1:3" x14ac:dyDescent="0.25">
      <c r="A388" s="3" t="s">
        <v>991</v>
      </c>
      <c r="B388">
        <v>0</v>
      </c>
      <c r="C388">
        <v>0</v>
      </c>
    </row>
    <row r="389" spans="1:3" x14ac:dyDescent="0.25">
      <c r="A389" s="3" t="s">
        <v>1780</v>
      </c>
      <c r="B389">
        <v>0</v>
      </c>
      <c r="C389">
        <v>0</v>
      </c>
    </row>
    <row r="390" spans="1:3" x14ac:dyDescent="0.25">
      <c r="A390" s="3" t="s">
        <v>2048</v>
      </c>
      <c r="B390">
        <v>0</v>
      </c>
      <c r="C390">
        <v>0</v>
      </c>
    </row>
    <row r="391" spans="1:3" x14ac:dyDescent="0.25">
      <c r="A391" s="3" t="s">
        <v>4507</v>
      </c>
      <c r="B391">
        <v>0</v>
      </c>
      <c r="C391">
        <v>0</v>
      </c>
    </row>
    <row r="392" spans="1:3" x14ac:dyDescent="0.25">
      <c r="A392" s="3" t="s">
        <v>175</v>
      </c>
      <c r="B392">
        <v>5</v>
      </c>
      <c r="C392">
        <v>0</v>
      </c>
    </row>
    <row r="393" spans="1:3" x14ac:dyDescent="0.25">
      <c r="A393" s="3" t="s">
        <v>2861</v>
      </c>
      <c r="B393">
        <v>5</v>
      </c>
      <c r="C393">
        <v>0</v>
      </c>
    </row>
    <row r="394" spans="1:3" x14ac:dyDescent="0.25">
      <c r="A394" s="3" t="s">
        <v>2017</v>
      </c>
      <c r="B394">
        <v>0</v>
      </c>
      <c r="C394">
        <v>0</v>
      </c>
    </row>
    <row r="395" spans="1:3" x14ac:dyDescent="0.25">
      <c r="A395" s="3" t="s">
        <v>1368</v>
      </c>
      <c r="B395">
        <v>5</v>
      </c>
      <c r="C395">
        <v>0</v>
      </c>
    </row>
    <row r="396" spans="1:3" x14ac:dyDescent="0.25">
      <c r="A396" s="3" t="s">
        <v>835</v>
      </c>
      <c r="B396">
        <v>0</v>
      </c>
      <c r="C396">
        <v>0</v>
      </c>
    </row>
    <row r="397" spans="1:3" x14ac:dyDescent="0.25">
      <c r="A397" s="3" t="s">
        <v>4739</v>
      </c>
      <c r="B397">
        <v>0</v>
      </c>
      <c r="C397">
        <v>0</v>
      </c>
    </row>
    <row r="398" spans="1:3" x14ac:dyDescent="0.25">
      <c r="A398" s="3" t="s">
        <v>3874</v>
      </c>
      <c r="B398">
        <v>0</v>
      </c>
      <c r="C398">
        <v>0</v>
      </c>
    </row>
    <row r="399" spans="1:3" x14ac:dyDescent="0.25">
      <c r="A399" s="3" t="s">
        <v>3730</v>
      </c>
      <c r="B399">
        <v>0</v>
      </c>
      <c r="C399">
        <v>0</v>
      </c>
    </row>
    <row r="400" spans="1:3" x14ac:dyDescent="0.25">
      <c r="A400" s="3" t="s">
        <v>972</v>
      </c>
      <c r="B400">
        <v>0</v>
      </c>
      <c r="C400">
        <v>0</v>
      </c>
    </row>
    <row r="401" spans="1:3" x14ac:dyDescent="0.25">
      <c r="A401" s="3" t="s">
        <v>2381</v>
      </c>
      <c r="B401">
        <v>0</v>
      </c>
      <c r="C401">
        <v>0</v>
      </c>
    </row>
    <row r="402" spans="1:3" x14ac:dyDescent="0.25">
      <c r="A402" s="3" t="s">
        <v>1870</v>
      </c>
      <c r="B402">
        <v>0</v>
      </c>
      <c r="C402">
        <v>0</v>
      </c>
    </row>
    <row r="403" spans="1:3" x14ac:dyDescent="0.25">
      <c r="A403" s="3" t="s">
        <v>4286</v>
      </c>
      <c r="B403">
        <v>0</v>
      </c>
      <c r="C403">
        <v>0</v>
      </c>
    </row>
    <row r="404" spans="1:3" x14ac:dyDescent="0.25">
      <c r="A404" s="3" t="s">
        <v>2990</v>
      </c>
      <c r="B404">
        <v>0</v>
      </c>
      <c r="C404">
        <v>0</v>
      </c>
    </row>
    <row r="405" spans="1:3" x14ac:dyDescent="0.25">
      <c r="A405" s="3" t="s">
        <v>1984</v>
      </c>
      <c r="B405">
        <v>0</v>
      </c>
      <c r="C405">
        <v>0</v>
      </c>
    </row>
    <row r="406" spans="1:3" x14ac:dyDescent="0.25">
      <c r="A406" s="3" t="s">
        <v>1001</v>
      </c>
      <c r="B406">
        <v>0</v>
      </c>
      <c r="C406">
        <v>0</v>
      </c>
    </row>
    <row r="407" spans="1:3" x14ac:dyDescent="0.25">
      <c r="A407" s="3" t="s">
        <v>951</v>
      </c>
      <c r="B407">
        <v>0</v>
      </c>
      <c r="C407">
        <v>0</v>
      </c>
    </row>
    <row r="408" spans="1:3" x14ac:dyDescent="0.25">
      <c r="A408" s="3" t="s">
        <v>2218</v>
      </c>
      <c r="B408">
        <v>0</v>
      </c>
      <c r="C408">
        <v>0</v>
      </c>
    </row>
    <row r="409" spans="1:3" x14ac:dyDescent="0.25">
      <c r="A409" s="3" t="s">
        <v>3109</v>
      </c>
      <c r="B409">
        <v>2</v>
      </c>
      <c r="C409">
        <v>0</v>
      </c>
    </row>
    <row r="410" spans="1:3" x14ac:dyDescent="0.25">
      <c r="A410" s="3" t="s">
        <v>2059</v>
      </c>
      <c r="B410">
        <v>0</v>
      </c>
      <c r="C410">
        <v>0</v>
      </c>
    </row>
    <row r="411" spans="1:3" x14ac:dyDescent="0.25">
      <c r="A411" s="3" t="s">
        <v>2431</v>
      </c>
      <c r="B411">
        <v>1</v>
      </c>
      <c r="C411">
        <v>0</v>
      </c>
    </row>
    <row r="412" spans="1:3" x14ac:dyDescent="0.25">
      <c r="A412" s="3" t="s">
        <v>2940</v>
      </c>
      <c r="B412">
        <v>1</v>
      </c>
      <c r="C412">
        <v>0</v>
      </c>
    </row>
    <row r="413" spans="1:3" x14ac:dyDescent="0.25">
      <c r="A413" s="3" t="s">
        <v>1674</v>
      </c>
      <c r="B413">
        <v>3</v>
      </c>
      <c r="C413">
        <v>0</v>
      </c>
    </row>
    <row r="414" spans="1:3" x14ac:dyDescent="0.25">
      <c r="A414" s="3" t="s">
        <v>4594</v>
      </c>
      <c r="B414">
        <v>0</v>
      </c>
      <c r="C414">
        <v>0</v>
      </c>
    </row>
    <row r="415" spans="1:3" x14ac:dyDescent="0.25">
      <c r="A415" s="3" t="s">
        <v>3545</v>
      </c>
      <c r="B415">
        <v>0</v>
      </c>
      <c r="C415">
        <v>0</v>
      </c>
    </row>
    <row r="416" spans="1:3" x14ac:dyDescent="0.25">
      <c r="A416" s="3" t="s">
        <v>493</v>
      </c>
      <c r="B416">
        <v>1</v>
      </c>
      <c r="C416">
        <v>0</v>
      </c>
    </row>
    <row r="417" spans="1:3" x14ac:dyDescent="0.25">
      <c r="A417" s="3" t="s">
        <v>2967</v>
      </c>
      <c r="B417">
        <v>0</v>
      </c>
      <c r="C417">
        <v>0</v>
      </c>
    </row>
    <row r="418" spans="1:3" x14ac:dyDescent="0.25">
      <c r="A418" s="3" t="s">
        <v>3028</v>
      </c>
      <c r="B418">
        <v>1</v>
      </c>
      <c r="C418">
        <v>0</v>
      </c>
    </row>
    <row r="419" spans="1:3" x14ac:dyDescent="0.25">
      <c r="A419" s="3" t="s">
        <v>736</v>
      </c>
      <c r="B419">
        <v>0</v>
      </c>
      <c r="C419">
        <v>0</v>
      </c>
    </row>
    <row r="420" spans="1:3" x14ac:dyDescent="0.25">
      <c r="A420" s="3" t="s">
        <v>1415</v>
      </c>
      <c r="B420">
        <v>0</v>
      </c>
      <c r="C420">
        <v>0</v>
      </c>
    </row>
    <row r="421" spans="1:3" x14ac:dyDescent="0.25">
      <c r="A421" s="3" t="s">
        <v>2733</v>
      </c>
      <c r="B421">
        <v>0</v>
      </c>
      <c r="C421">
        <v>0</v>
      </c>
    </row>
    <row r="422" spans="1:3" x14ac:dyDescent="0.25">
      <c r="A422" s="3" t="s">
        <v>1677</v>
      </c>
      <c r="B422">
        <v>0</v>
      </c>
      <c r="C422">
        <v>0</v>
      </c>
    </row>
    <row r="423" spans="1:3" x14ac:dyDescent="0.25">
      <c r="A423" s="3" t="s">
        <v>2478</v>
      </c>
      <c r="B423">
        <v>0</v>
      </c>
      <c r="C423">
        <v>0</v>
      </c>
    </row>
    <row r="424" spans="1:3" x14ac:dyDescent="0.25">
      <c r="A424" s="3" t="s">
        <v>2549</v>
      </c>
      <c r="B424">
        <v>0</v>
      </c>
      <c r="C424">
        <v>0</v>
      </c>
    </row>
    <row r="425" spans="1:3" x14ac:dyDescent="0.25">
      <c r="A425" s="3" t="s">
        <v>3201</v>
      </c>
      <c r="B425">
        <v>6</v>
      </c>
      <c r="C425">
        <v>0</v>
      </c>
    </row>
    <row r="426" spans="1:3" x14ac:dyDescent="0.25">
      <c r="A426" s="3" t="s">
        <v>1245</v>
      </c>
      <c r="B426">
        <v>0</v>
      </c>
      <c r="C426">
        <v>0</v>
      </c>
    </row>
    <row r="427" spans="1:3" x14ac:dyDescent="0.25">
      <c r="A427" s="3" t="s">
        <v>3634</v>
      </c>
      <c r="B427">
        <v>3</v>
      </c>
      <c r="C427">
        <v>0</v>
      </c>
    </row>
    <row r="428" spans="1:3" x14ac:dyDescent="0.25">
      <c r="A428" s="3" t="s">
        <v>3776</v>
      </c>
      <c r="B428">
        <v>0</v>
      </c>
      <c r="C428">
        <v>0</v>
      </c>
    </row>
    <row r="429" spans="1:3" x14ac:dyDescent="0.25">
      <c r="A429" s="3" t="s">
        <v>3295</v>
      </c>
      <c r="B429">
        <v>3</v>
      </c>
      <c r="C429">
        <v>0</v>
      </c>
    </row>
    <row r="430" spans="1:3" x14ac:dyDescent="0.25">
      <c r="A430" s="3" t="s">
        <v>3901</v>
      </c>
      <c r="B430">
        <v>0</v>
      </c>
      <c r="C430">
        <v>0</v>
      </c>
    </row>
    <row r="431" spans="1:3" x14ac:dyDescent="0.25">
      <c r="A431" s="3" t="s">
        <v>1340</v>
      </c>
      <c r="B431">
        <v>0</v>
      </c>
      <c r="C431">
        <v>0</v>
      </c>
    </row>
    <row r="432" spans="1:3" x14ac:dyDescent="0.25">
      <c r="A432" s="3" t="s">
        <v>23</v>
      </c>
      <c r="B432">
        <v>1</v>
      </c>
      <c r="C432">
        <v>0</v>
      </c>
    </row>
    <row r="433" spans="1:3" x14ac:dyDescent="0.25">
      <c r="A433" s="3" t="s">
        <v>555</v>
      </c>
      <c r="B433">
        <v>0</v>
      </c>
      <c r="C433">
        <v>0</v>
      </c>
    </row>
    <row r="434" spans="1:3" x14ac:dyDescent="0.25">
      <c r="A434" s="3" t="s">
        <v>1094</v>
      </c>
      <c r="B434">
        <v>0</v>
      </c>
      <c r="C434">
        <v>0</v>
      </c>
    </row>
    <row r="435" spans="1:3" x14ac:dyDescent="0.25">
      <c r="A435" s="3" t="s">
        <v>3717</v>
      </c>
      <c r="B435">
        <v>0</v>
      </c>
      <c r="C435">
        <v>0</v>
      </c>
    </row>
    <row r="436" spans="1:3" x14ac:dyDescent="0.25">
      <c r="A436" s="3" t="s">
        <v>3970</v>
      </c>
      <c r="B436">
        <v>0</v>
      </c>
      <c r="C436">
        <v>0</v>
      </c>
    </row>
    <row r="437" spans="1:3" x14ac:dyDescent="0.25">
      <c r="A437" s="3" t="s">
        <v>2187</v>
      </c>
      <c r="B437">
        <v>0</v>
      </c>
      <c r="C437">
        <v>0</v>
      </c>
    </row>
    <row r="438" spans="1:3" x14ac:dyDescent="0.25">
      <c r="A438" s="3" t="s">
        <v>3733</v>
      </c>
      <c r="B438">
        <v>3</v>
      </c>
      <c r="C438">
        <v>0</v>
      </c>
    </row>
    <row r="439" spans="1:3" x14ac:dyDescent="0.25">
      <c r="A439" s="3" t="s">
        <v>3696</v>
      </c>
      <c r="B439">
        <v>2</v>
      </c>
      <c r="C439">
        <v>1</v>
      </c>
    </row>
    <row r="440" spans="1:3" x14ac:dyDescent="0.25">
      <c r="A440" s="3" t="s">
        <v>3358</v>
      </c>
      <c r="B440">
        <v>0</v>
      </c>
      <c r="C440">
        <v>0</v>
      </c>
    </row>
    <row r="441" spans="1:3" x14ac:dyDescent="0.25">
      <c r="A441" s="3" t="s">
        <v>3149</v>
      </c>
      <c r="B441">
        <v>0</v>
      </c>
      <c r="C441">
        <v>0</v>
      </c>
    </row>
    <row r="442" spans="1:3" x14ac:dyDescent="0.25">
      <c r="A442" s="3" t="s">
        <v>4442</v>
      </c>
      <c r="B442">
        <v>0</v>
      </c>
      <c r="C442">
        <v>0</v>
      </c>
    </row>
    <row r="443" spans="1:3" x14ac:dyDescent="0.25">
      <c r="A443" s="3" t="s">
        <v>2901</v>
      </c>
      <c r="B443">
        <v>0</v>
      </c>
      <c r="C443">
        <v>0</v>
      </c>
    </row>
    <row r="444" spans="1:3" x14ac:dyDescent="0.25">
      <c r="A444" s="3" t="s">
        <v>672</v>
      </c>
      <c r="B444">
        <v>1</v>
      </c>
      <c r="C444">
        <v>0</v>
      </c>
    </row>
    <row r="445" spans="1:3" x14ac:dyDescent="0.25">
      <c r="A445" s="3" t="s">
        <v>450</v>
      </c>
      <c r="B445">
        <v>0</v>
      </c>
      <c r="C445">
        <v>0</v>
      </c>
    </row>
    <row r="446" spans="1:3" x14ac:dyDescent="0.25">
      <c r="A446" s="3" t="s">
        <v>3159</v>
      </c>
      <c r="B446">
        <v>0</v>
      </c>
      <c r="C446">
        <v>0</v>
      </c>
    </row>
    <row r="447" spans="1:3" x14ac:dyDescent="0.25">
      <c r="A447" s="3" t="s">
        <v>265</v>
      </c>
      <c r="B447">
        <v>23</v>
      </c>
      <c r="C447">
        <v>1</v>
      </c>
    </row>
    <row r="448" spans="1:3" x14ac:dyDescent="0.25">
      <c r="A448" s="3" t="s">
        <v>76</v>
      </c>
      <c r="B448">
        <v>0</v>
      </c>
      <c r="C448">
        <v>0</v>
      </c>
    </row>
    <row r="449" spans="1:3" x14ac:dyDescent="0.25">
      <c r="A449" s="3" t="s">
        <v>1217</v>
      </c>
      <c r="B449">
        <v>0</v>
      </c>
      <c r="C449">
        <v>0</v>
      </c>
    </row>
    <row r="450" spans="1:3" x14ac:dyDescent="0.25">
      <c r="A450" s="3" t="s">
        <v>755</v>
      </c>
      <c r="B450">
        <v>3</v>
      </c>
      <c r="C450">
        <v>0</v>
      </c>
    </row>
    <row r="451" spans="1:3" x14ac:dyDescent="0.25">
      <c r="A451" s="3" t="s">
        <v>1835</v>
      </c>
      <c r="B451">
        <v>0</v>
      </c>
      <c r="C451">
        <v>0</v>
      </c>
    </row>
    <row r="452" spans="1:3" x14ac:dyDescent="0.25">
      <c r="A452" s="3" t="s">
        <v>2617</v>
      </c>
      <c r="B452">
        <v>1</v>
      </c>
      <c r="C452">
        <v>0</v>
      </c>
    </row>
    <row r="453" spans="1:3" x14ac:dyDescent="0.25">
      <c r="A453" s="3" t="s">
        <v>3102</v>
      </c>
      <c r="B453">
        <v>4</v>
      </c>
      <c r="C453">
        <v>1</v>
      </c>
    </row>
    <row r="454" spans="1:3" x14ac:dyDescent="0.25">
      <c r="A454" s="3" t="s">
        <v>4064</v>
      </c>
      <c r="B454">
        <v>1</v>
      </c>
      <c r="C454">
        <v>0</v>
      </c>
    </row>
    <row r="455" spans="1:3" x14ac:dyDescent="0.25">
      <c r="A455" s="3" t="s">
        <v>295</v>
      </c>
      <c r="B455">
        <v>1</v>
      </c>
      <c r="C455">
        <v>0</v>
      </c>
    </row>
    <row r="456" spans="1:3" x14ac:dyDescent="0.25">
      <c r="A456" s="3" t="s">
        <v>1632</v>
      </c>
      <c r="B456">
        <v>0</v>
      </c>
      <c r="C456">
        <v>0</v>
      </c>
    </row>
    <row r="457" spans="1:3" x14ac:dyDescent="0.25">
      <c r="A457" s="3" t="s">
        <v>1550</v>
      </c>
      <c r="B457">
        <v>3</v>
      </c>
      <c r="C457">
        <v>0</v>
      </c>
    </row>
    <row r="458" spans="1:3" x14ac:dyDescent="0.25">
      <c r="A458" s="3" t="s">
        <v>3310</v>
      </c>
      <c r="B458">
        <v>0</v>
      </c>
      <c r="C458">
        <v>0</v>
      </c>
    </row>
    <row r="459" spans="1:3" x14ac:dyDescent="0.25">
      <c r="A459" s="3" t="s">
        <v>1481</v>
      </c>
      <c r="B459">
        <v>2</v>
      </c>
      <c r="C459">
        <v>0</v>
      </c>
    </row>
    <row r="460" spans="1:3" x14ac:dyDescent="0.25">
      <c r="A460" s="3" t="s">
        <v>1251</v>
      </c>
      <c r="B460">
        <v>6</v>
      </c>
      <c r="C460">
        <v>0</v>
      </c>
    </row>
    <row r="461" spans="1:3" x14ac:dyDescent="0.25">
      <c r="A461" s="3" t="s">
        <v>2629</v>
      </c>
      <c r="B461">
        <v>0</v>
      </c>
      <c r="C461">
        <v>0</v>
      </c>
    </row>
    <row r="462" spans="1:3" x14ac:dyDescent="0.25">
      <c r="A462" s="3" t="s">
        <v>3946</v>
      </c>
      <c r="B462">
        <v>0</v>
      </c>
      <c r="C462">
        <v>0</v>
      </c>
    </row>
    <row r="463" spans="1:3" x14ac:dyDescent="0.25">
      <c r="A463" s="3" t="s">
        <v>288</v>
      </c>
      <c r="B463">
        <v>0</v>
      </c>
      <c r="C463">
        <v>0</v>
      </c>
    </row>
    <row r="464" spans="1:3" x14ac:dyDescent="0.25">
      <c r="A464" s="3" t="s">
        <v>1464</v>
      </c>
      <c r="B464">
        <v>3</v>
      </c>
      <c r="C464">
        <v>0</v>
      </c>
    </row>
    <row r="465" spans="1:3" x14ac:dyDescent="0.25">
      <c r="A465" s="3" t="s">
        <v>4482</v>
      </c>
      <c r="B465">
        <v>0</v>
      </c>
      <c r="C465">
        <v>0</v>
      </c>
    </row>
    <row r="466" spans="1:3" x14ac:dyDescent="0.25">
      <c r="A466" s="3" t="s">
        <v>4297</v>
      </c>
      <c r="B466">
        <v>0</v>
      </c>
      <c r="C466">
        <v>0</v>
      </c>
    </row>
    <row r="467" spans="1:3" x14ac:dyDescent="0.25">
      <c r="A467" s="3" t="s">
        <v>2791</v>
      </c>
      <c r="B467">
        <v>1</v>
      </c>
      <c r="C467">
        <v>0</v>
      </c>
    </row>
    <row r="468" spans="1:3" x14ac:dyDescent="0.25">
      <c r="A468" s="3" t="s">
        <v>589</v>
      </c>
      <c r="B468">
        <v>1</v>
      </c>
      <c r="C468">
        <v>0</v>
      </c>
    </row>
    <row r="469" spans="1:3" x14ac:dyDescent="0.25">
      <c r="A469" s="3" t="s">
        <v>638</v>
      </c>
      <c r="B469">
        <v>0</v>
      </c>
      <c r="C469">
        <v>0</v>
      </c>
    </row>
    <row r="470" spans="1:3" x14ac:dyDescent="0.25">
      <c r="A470" s="3" t="s">
        <v>46</v>
      </c>
      <c r="B470">
        <v>4</v>
      </c>
      <c r="C470">
        <v>0</v>
      </c>
    </row>
    <row r="471" spans="1:3" x14ac:dyDescent="0.25">
      <c r="A471" s="3" t="s">
        <v>379</v>
      </c>
      <c r="B471">
        <v>0</v>
      </c>
      <c r="C471">
        <v>0</v>
      </c>
    </row>
    <row r="472" spans="1:3" x14ac:dyDescent="0.25">
      <c r="A472" s="3" t="s">
        <v>2241</v>
      </c>
      <c r="B472">
        <v>0</v>
      </c>
      <c r="C472">
        <v>0</v>
      </c>
    </row>
    <row r="473" spans="1:3" x14ac:dyDescent="0.25">
      <c r="A473" s="3" t="s">
        <v>4123</v>
      </c>
      <c r="B473">
        <v>0</v>
      </c>
      <c r="C473">
        <v>0</v>
      </c>
    </row>
    <row r="474" spans="1:3" x14ac:dyDescent="0.25">
      <c r="A474" s="3" t="s">
        <v>2768</v>
      </c>
      <c r="B474">
        <v>0</v>
      </c>
      <c r="C474">
        <v>0</v>
      </c>
    </row>
    <row r="475" spans="1:3" x14ac:dyDescent="0.25">
      <c r="A475" s="3" t="s">
        <v>2716</v>
      </c>
      <c r="B475">
        <v>6</v>
      </c>
      <c r="C475">
        <v>1</v>
      </c>
    </row>
    <row r="476" spans="1:3" x14ac:dyDescent="0.25">
      <c r="A476" s="3" t="s">
        <v>2198</v>
      </c>
      <c r="B476">
        <v>1</v>
      </c>
      <c r="C476">
        <v>0</v>
      </c>
    </row>
    <row r="477" spans="1:3" x14ac:dyDescent="0.25">
      <c r="A477" s="3" t="s">
        <v>1242</v>
      </c>
      <c r="B477">
        <v>0</v>
      </c>
      <c r="C477">
        <v>0</v>
      </c>
    </row>
    <row r="478" spans="1:3" x14ac:dyDescent="0.25">
      <c r="A478" s="3" t="s">
        <v>3578</v>
      </c>
      <c r="B478">
        <v>0</v>
      </c>
      <c r="C478">
        <v>0</v>
      </c>
    </row>
    <row r="479" spans="1:3" x14ac:dyDescent="0.25">
      <c r="A479" s="3" t="s">
        <v>1122</v>
      </c>
      <c r="B479">
        <v>1</v>
      </c>
      <c r="C479">
        <v>0</v>
      </c>
    </row>
    <row r="480" spans="1:3" x14ac:dyDescent="0.25">
      <c r="A480" s="3" t="s">
        <v>610</v>
      </c>
      <c r="B480">
        <v>1</v>
      </c>
      <c r="C480">
        <v>0</v>
      </c>
    </row>
    <row r="481" spans="1:3" x14ac:dyDescent="0.25">
      <c r="A481" s="3" t="s">
        <v>2022</v>
      </c>
      <c r="B481">
        <v>1</v>
      </c>
      <c r="C481">
        <v>0</v>
      </c>
    </row>
    <row r="482" spans="1:3" x14ac:dyDescent="0.25">
      <c r="A482" s="3" t="s">
        <v>1470</v>
      </c>
      <c r="B482">
        <v>0</v>
      </c>
      <c r="C482">
        <v>0</v>
      </c>
    </row>
    <row r="483" spans="1:3" x14ac:dyDescent="0.25">
      <c r="A483" s="3" t="s">
        <v>1958</v>
      </c>
      <c r="B483">
        <v>0</v>
      </c>
      <c r="C483">
        <v>0</v>
      </c>
    </row>
    <row r="484" spans="1:3" x14ac:dyDescent="0.25">
      <c r="A484" s="3" t="s">
        <v>4574</v>
      </c>
      <c r="B484">
        <v>0</v>
      </c>
      <c r="C484">
        <v>0</v>
      </c>
    </row>
    <row r="485" spans="1:3" x14ac:dyDescent="0.25">
      <c r="A485" s="3" t="s">
        <v>2932</v>
      </c>
      <c r="B485">
        <v>0</v>
      </c>
      <c r="C485">
        <v>0</v>
      </c>
    </row>
    <row r="486" spans="1:3" x14ac:dyDescent="0.25">
      <c r="A486" s="3" t="s">
        <v>3853</v>
      </c>
      <c r="B486">
        <v>0</v>
      </c>
      <c r="C486">
        <v>0</v>
      </c>
    </row>
    <row r="487" spans="1:3" x14ac:dyDescent="0.25">
      <c r="A487" s="3" t="s">
        <v>1393</v>
      </c>
      <c r="B487">
        <v>0</v>
      </c>
      <c r="C487">
        <v>0</v>
      </c>
    </row>
    <row r="488" spans="1:3" x14ac:dyDescent="0.25">
      <c r="A488" s="3" t="s">
        <v>1582</v>
      </c>
      <c r="B488">
        <v>0</v>
      </c>
      <c r="C488">
        <v>0</v>
      </c>
    </row>
    <row r="489" spans="1:3" x14ac:dyDescent="0.25">
      <c r="A489" s="3" t="s">
        <v>1220</v>
      </c>
      <c r="B489">
        <v>0</v>
      </c>
      <c r="C489">
        <v>0</v>
      </c>
    </row>
    <row r="490" spans="1:3" x14ac:dyDescent="0.25">
      <c r="A490" s="3" t="s">
        <v>1074</v>
      </c>
      <c r="B490">
        <v>0</v>
      </c>
      <c r="C490">
        <v>0</v>
      </c>
    </row>
    <row r="491" spans="1:3" x14ac:dyDescent="0.25">
      <c r="A491" s="3" t="s">
        <v>2775</v>
      </c>
      <c r="B491">
        <v>1</v>
      </c>
      <c r="C491">
        <v>0</v>
      </c>
    </row>
    <row r="492" spans="1:3" x14ac:dyDescent="0.25">
      <c r="A492" s="3" t="s">
        <v>4311</v>
      </c>
      <c r="B492">
        <v>0</v>
      </c>
      <c r="C492">
        <v>0</v>
      </c>
    </row>
    <row r="493" spans="1:3" x14ac:dyDescent="0.25">
      <c r="A493" s="3" t="s">
        <v>4456</v>
      </c>
      <c r="B493">
        <v>0</v>
      </c>
      <c r="C493">
        <v>0</v>
      </c>
    </row>
    <row r="494" spans="1:3" x14ac:dyDescent="0.25">
      <c r="A494" s="3" t="s">
        <v>2679</v>
      </c>
      <c r="B494">
        <v>0</v>
      </c>
      <c r="C494">
        <v>0</v>
      </c>
    </row>
    <row r="495" spans="1:3" x14ac:dyDescent="0.25">
      <c r="A495" s="3" t="s">
        <v>441</v>
      </c>
      <c r="B495">
        <v>0</v>
      </c>
      <c r="C495">
        <v>0</v>
      </c>
    </row>
    <row r="496" spans="1:3" x14ac:dyDescent="0.25">
      <c r="A496" s="3" t="s">
        <v>292</v>
      </c>
      <c r="B496">
        <v>0</v>
      </c>
      <c r="C496">
        <v>0</v>
      </c>
    </row>
    <row r="497" spans="1:3" x14ac:dyDescent="0.25">
      <c r="A497" s="3" t="s">
        <v>2106</v>
      </c>
      <c r="B497">
        <v>0</v>
      </c>
      <c r="C497">
        <v>0</v>
      </c>
    </row>
    <row r="498" spans="1:3" x14ac:dyDescent="0.25">
      <c r="A498" s="3" t="s">
        <v>238</v>
      </c>
      <c r="B498">
        <v>0</v>
      </c>
      <c r="C498">
        <v>0</v>
      </c>
    </row>
    <row r="499" spans="1:3" x14ac:dyDescent="0.25">
      <c r="A499" s="3" t="s">
        <v>3725</v>
      </c>
      <c r="B499">
        <v>0</v>
      </c>
      <c r="C499">
        <v>0</v>
      </c>
    </row>
    <row r="500" spans="1:3" x14ac:dyDescent="0.25">
      <c r="A500" s="3" t="s">
        <v>1602</v>
      </c>
      <c r="B500">
        <v>0</v>
      </c>
      <c r="C500">
        <v>0</v>
      </c>
    </row>
    <row r="501" spans="1:3" x14ac:dyDescent="0.25">
      <c r="A501" s="3" t="s">
        <v>1873</v>
      </c>
      <c r="B501">
        <v>0</v>
      </c>
      <c r="C501">
        <v>0</v>
      </c>
    </row>
    <row r="502" spans="1:3" x14ac:dyDescent="0.25">
      <c r="A502" s="3" t="s">
        <v>1382</v>
      </c>
      <c r="B502">
        <v>0</v>
      </c>
      <c r="C502">
        <v>0</v>
      </c>
    </row>
    <row r="503" spans="1:3" x14ac:dyDescent="0.25">
      <c r="A503" s="3" t="s">
        <v>4199</v>
      </c>
      <c r="B503">
        <v>2</v>
      </c>
      <c r="C503">
        <v>0</v>
      </c>
    </row>
    <row r="504" spans="1:3" x14ac:dyDescent="0.25">
      <c r="A504" s="3" t="s">
        <v>1553</v>
      </c>
      <c r="B504">
        <v>6</v>
      </c>
      <c r="C504">
        <v>0</v>
      </c>
    </row>
    <row r="505" spans="1:3" x14ac:dyDescent="0.25">
      <c r="A505" s="3" t="s">
        <v>652</v>
      </c>
      <c r="B505">
        <v>0</v>
      </c>
      <c r="C505">
        <v>0</v>
      </c>
    </row>
    <row r="506" spans="1:3" x14ac:dyDescent="0.25">
      <c r="A506" s="3" t="s">
        <v>4694</v>
      </c>
      <c r="B506">
        <v>0</v>
      </c>
      <c r="C506">
        <v>0</v>
      </c>
    </row>
    <row r="507" spans="1:3" x14ac:dyDescent="0.25">
      <c r="A507" s="3" t="s">
        <v>2367</v>
      </c>
      <c r="B507">
        <v>0</v>
      </c>
      <c r="C507">
        <v>0</v>
      </c>
    </row>
    <row r="508" spans="1:3" x14ac:dyDescent="0.25">
      <c r="A508" s="3" t="s">
        <v>1882</v>
      </c>
      <c r="B508">
        <v>0</v>
      </c>
      <c r="C508">
        <v>0</v>
      </c>
    </row>
    <row r="509" spans="1:3" x14ac:dyDescent="0.25">
      <c r="A509" s="3" t="s">
        <v>2391</v>
      </c>
      <c r="B509">
        <v>0</v>
      </c>
      <c r="C509">
        <v>0</v>
      </c>
    </row>
    <row r="510" spans="1:3" x14ac:dyDescent="0.25">
      <c r="A510" s="3" t="s">
        <v>4398</v>
      </c>
      <c r="B510">
        <v>0</v>
      </c>
      <c r="C510">
        <v>0</v>
      </c>
    </row>
    <row r="511" spans="1:3" x14ac:dyDescent="0.25">
      <c r="A511" s="3" t="s">
        <v>1906</v>
      </c>
      <c r="B511">
        <v>3</v>
      </c>
      <c r="C511">
        <v>0</v>
      </c>
    </row>
    <row r="512" spans="1:3" x14ac:dyDescent="0.25">
      <c r="A512" s="3" t="s">
        <v>1065</v>
      </c>
      <c r="B512">
        <v>2</v>
      </c>
      <c r="C512">
        <v>0</v>
      </c>
    </row>
    <row r="513" spans="1:3" x14ac:dyDescent="0.25">
      <c r="A513" s="3" t="s">
        <v>2204</v>
      </c>
      <c r="B513">
        <v>1</v>
      </c>
      <c r="C513">
        <v>0</v>
      </c>
    </row>
    <row r="514" spans="1:3" x14ac:dyDescent="0.25">
      <c r="A514" s="3" t="s">
        <v>3524</v>
      </c>
      <c r="B514">
        <v>0</v>
      </c>
      <c r="C514">
        <v>0</v>
      </c>
    </row>
    <row r="515" spans="1:3" x14ac:dyDescent="0.25">
      <c r="A515" s="3" t="s">
        <v>2036</v>
      </c>
      <c r="B515">
        <v>0</v>
      </c>
      <c r="C515">
        <v>0</v>
      </c>
    </row>
    <row r="516" spans="1:3" x14ac:dyDescent="0.25">
      <c r="A516" s="3" t="s">
        <v>2555</v>
      </c>
      <c r="B516">
        <v>0</v>
      </c>
      <c r="C516">
        <v>0</v>
      </c>
    </row>
    <row r="517" spans="1:3" x14ac:dyDescent="0.25">
      <c r="A517" s="3" t="s">
        <v>447</v>
      </c>
      <c r="B517">
        <v>0</v>
      </c>
      <c r="C517">
        <v>0</v>
      </c>
    </row>
    <row r="518" spans="1:3" x14ac:dyDescent="0.25">
      <c r="A518" s="3" t="s">
        <v>3273</v>
      </c>
      <c r="B518">
        <v>0</v>
      </c>
      <c r="C518">
        <v>0</v>
      </c>
    </row>
    <row r="519" spans="1:3" x14ac:dyDescent="0.25">
      <c r="A519" s="3" t="s">
        <v>3622</v>
      </c>
      <c r="B519">
        <v>0</v>
      </c>
      <c r="C519">
        <v>0</v>
      </c>
    </row>
    <row r="520" spans="1:3" x14ac:dyDescent="0.25">
      <c r="A520" s="3" t="s">
        <v>425</v>
      </c>
      <c r="B520">
        <v>2</v>
      </c>
      <c r="C520">
        <v>0</v>
      </c>
    </row>
    <row r="521" spans="1:3" x14ac:dyDescent="0.25">
      <c r="A521" s="3" t="s">
        <v>1605</v>
      </c>
      <c r="B521">
        <v>1</v>
      </c>
      <c r="C521">
        <v>0</v>
      </c>
    </row>
    <row r="522" spans="1:3" x14ac:dyDescent="0.25">
      <c r="A522" s="3" t="s">
        <v>1715</v>
      </c>
      <c r="B522">
        <v>1</v>
      </c>
      <c r="C522">
        <v>0</v>
      </c>
    </row>
    <row r="523" spans="1:3" x14ac:dyDescent="0.25">
      <c r="A523" s="3" t="s">
        <v>3999</v>
      </c>
      <c r="B523">
        <v>1</v>
      </c>
      <c r="C523">
        <v>0</v>
      </c>
    </row>
    <row r="524" spans="1:3" x14ac:dyDescent="0.25">
      <c r="A524" s="3" t="s">
        <v>894</v>
      </c>
      <c r="B524">
        <v>0</v>
      </c>
      <c r="C524">
        <v>0</v>
      </c>
    </row>
    <row r="525" spans="1:3" x14ac:dyDescent="0.25">
      <c r="A525" s="3" t="s">
        <v>2507</v>
      </c>
      <c r="B525">
        <v>0</v>
      </c>
      <c r="C525">
        <v>0</v>
      </c>
    </row>
    <row r="526" spans="1:3" x14ac:dyDescent="0.25">
      <c r="A526" s="3" t="s">
        <v>649</v>
      </c>
      <c r="B526">
        <v>1</v>
      </c>
      <c r="C526">
        <v>0</v>
      </c>
    </row>
    <row r="527" spans="1:3" x14ac:dyDescent="0.25">
      <c r="A527" s="3" t="s">
        <v>2471</v>
      </c>
      <c r="B527">
        <v>3</v>
      </c>
      <c r="C527">
        <v>0</v>
      </c>
    </row>
    <row r="528" spans="1:3" x14ac:dyDescent="0.25">
      <c r="A528" s="3" t="s">
        <v>3994</v>
      </c>
      <c r="B528">
        <v>1</v>
      </c>
      <c r="C528">
        <v>0</v>
      </c>
    </row>
    <row r="529" spans="1:3" x14ac:dyDescent="0.25">
      <c r="A529" s="3" t="s">
        <v>1830</v>
      </c>
      <c r="B529">
        <v>1</v>
      </c>
      <c r="C529">
        <v>0</v>
      </c>
    </row>
    <row r="530" spans="1:3" x14ac:dyDescent="0.25">
      <c r="A530" s="3" t="s">
        <v>3038</v>
      </c>
      <c r="B530">
        <v>0</v>
      </c>
      <c r="C530">
        <v>0</v>
      </c>
    </row>
    <row r="531" spans="1:3" x14ac:dyDescent="0.25">
      <c r="A531" s="3" t="s">
        <v>484</v>
      </c>
      <c r="B531">
        <v>0</v>
      </c>
      <c r="C531">
        <v>0</v>
      </c>
    </row>
    <row r="532" spans="1:3" x14ac:dyDescent="0.25">
      <c r="A532" s="3" t="s">
        <v>1016</v>
      </c>
      <c r="B532">
        <v>0</v>
      </c>
      <c r="C532">
        <v>0</v>
      </c>
    </row>
    <row r="533" spans="1:3" x14ac:dyDescent="0.25">
      <c r="A533" s="3" t="s">
        <v>799</v>
      </c>
      <c r="B533">
        <v>5</v>
      </c>
      <c r="C533">
        <v>0</v>
      </c>
    </row>
    <row r="534" spans="1:3" x14ac:dyDescent="0.25">
      <c r="A534" s="3" t="s">
        <v>1097</v>
      </c>
      <c r="B534">
        <v>9</v>
      </c>
      <c r="C534">
        <v>0</v>
      </c>
    </row>
    <row r="535" spans="1:3" x14ac:dyDescent="0.25">
      <c r="A535" s="3" t="s">
        <v>631</v>
      </c>
      <c r="B535">
        <v>1</v>
      </c>
      <c r="C535">
        <v>0</v>
      </c>
    </row>
    <row r="536" spans="1:3" x14ac:dyDescent="0.25">
      <c r="A536" s="3" t="s">
        <v>528</v>
      </c>
      <c r="B536">
        <v>0</v>
      </c>
      <c r="C536">
        <v>0</v>
      </c>
    </row>
    <row r="537" spans="1:3" x14ac:dyDescent="0.25">
      <c r="A537" s="3" t="s">
        <v>4075</v>
      </c>
      <c r="B537">
        <v>0</v>
      </c>
      <c r="C537">
        <v>0</v>
      </c>
    </row>
    <row r="538" spans="1:3" x14ac:dyDescent="0.25">
      <c r="A538" s="3" t="s">
        <v>1144</v>
      </c>
      <c r="B538">
        <v>3</v>
      </c>
      <c r="C538">
        <v>0</v>
      </c>
    </row>
    <row r="539" spans="1:3" x14ac:dyDescent="0.25">
      <c r="A539" s="3" t="s">
        <v>565</v>
      </c>
      <c r="B539">
        <v>0</v>
      </c>
      <c r="C539">
        <v>0</v>
      </c>
    </row>
    <row r="540" spans="1:3" x14ac:dyDescent="0.25">
      <c r="A540" s="3" t="s">
        <v>1062</v>
      </c>
      <c r="B540">
        <v>0</v>
      </c>
      <c r="C540">
        <v>0</v>
      </c>
    </row>
    <row r="541" spans="1:3" x14ac:dyDescent="0.25">
      <c r="A541" s="3" t="s">
        <v>1981</v>
      </c>
      <c r="B541">
        <v>0</v>
      </c>
      <c r="C541">
        <v>0</v>
      </c>
    </row>
    <row r="542" spans="1:3" x14ac:dyDescent="0.25">
      <c r="A542" s="3" t="s">
        <v>3384</v>
      </c>
      <c r="B542">
        <v>0</v>
      </c>
      <c r="C542">
        <v>0</v>
      </c>
    </row>
    <row r="543" spans="1:3" x14ac:dyDescent="0.25">
      <c r="A543" s="3" t="s">
        <v>2308</v>
      </c>
      <c r="B543">
        <v>0</v>
      </c>
      <c r="C543">
        <v>0</v>
      </c>
    </row>
    <row r="544" spans="1:3" x14ac:dyDescent="0.25">
      <c r="A544" s="3" t="s">
        <v>2407</v>
      </c>
      <c r="B544">
        <v>0</v>
      </c>
      <c r="C544">
        <v>0</v>
      </c>
    </row>
    <row r="545" spans="1:3" x14ac:dyDescent="0.25">
      <c r="A545" s="3" t="s">
        <v>4746</v>
      </c>
      <c r="B545">
        <v>4</v>
      </c>
      <c r="C545">
        <v>1</v>
      </c>
    </row>
    <row r="546" spans="1:3" x14ac:dyDescent="0.25">
      <c r="A546" s="3" t="s">
        <v>1804</v>
      </c>
      <c r="B546">
        <v>0</v>
      </c>
      <c r="C546">
        <v>0</v>
      </c>
    </row>
    <row r="547" spans="1:3" x14ac:dyDescent="0.25">
      <c r="A547" s="3" t="s">
        <v>2907</v>
      </c>
      <c r="B547">
        <v>0</v>
      </c>
      <c r="C547">
        <v>0</v>
      </c>
    </row>
    <row r="548" spans="1:3" x14ac:dyDescent="0.25">
      <c r="A548" s="3" t="s">
        <v>3912</v>
      </c>
      <c r="B548">
        <v>0</v>
      </c>
      <c r="C548">
        <v>0</v>
      </c>
    </row>
    <row r="549" spans="1:3" x14ac:dyDescent="0.25">
      <c r="A549" s="3" t="s">
        <v>4427</v>
      </c>
      <c r="B549">
        <v>0</v>
      </c>
      <c r="C549">
        <v>0</v>
      </c>
    </row>
    <row r="550" spans="1:3" x14ac:dyDescent="0.25">
      <c r="A550" s="3" t="s">
        <v>1777</v>
      </c>
      <c r="B550">
        <v>0</v>
      </c>
      <c r="C550">
        <v>0</v>
      </c>
    </row>
    <row r="551" spans="1:3" x14ac:dyDescent="0.25">
      <c r="A551" s="3" t="s">
        <v>1563</v>
      </c>
      <c r="B551">
        <v>3</v>
      </c>
      <c r="C551">
        <v>0</v>
      </c>
    </row>
    <row r="552" spans="1:3" x14ac:dyDescent="0.25">
      <c r="A552" s="3" t="s">
        <v>3452</v>
      </c>
      <c r="B552">
        <v>0</v>
      </c>
      <c r="C552">
        <v>0</v>
      </c>
    </row>
    <row r="553" spans="1:3" x14ac:dyDescent="0.25">
      <c r="A553" s="3" t="s">
        <v>705</v>
      </c>
      <c r="B553">
        <v>0</v>
      </c>
      <c r="C553">
        <v>0</v>
      </c>
    </row>
    <row r="554" spans="1:3" x14ac:dyDescent="0.25">
      <c r="A554" s="3" t="s">
        <v>2092</v>
      </c>
      <c r="B554">
        <v>0</v>
      </c>
      <c r="C554">
        <v>0</v>
      </c>
    </row>
    <row r="555" spans="1:3" x14ac:dyDescent="0.25">
      <c r="A555" s="3" t="s">
        <v>1515</v>
      </c>
      <c r="B555">
        <v>0</v>
      </c>
      <c r="C555">
        <v>0</v>
      </c>
    </row>
    <row r="556" spans="1:3" x14ac:dyDescent="0.25">
      <c r="A556" s="3" t="s">
        <v>2295</v>
      </c>
      <c r="B556">
        <v>0</v>
      </c>
      <c r="C556">
        <v>0</v>
      </c>
    </row>
    <row r="557" spans="1:3" x14ac:dyDescent="0.25">
      <c r="A557" s="3" t="s">
        <v>2567</v>
      </c>
      <c r="B557">
        <v>0</v>
      </c>
      <c r="C557">
        <v>0</v>
      </c>
    </row>
    <row r="558" spans="1:3" x14ac:dyDescent="0.25">
      <c r="A558" s="3" t="s">
        <v>2336</v>
      </c>
      <c r="B558">
        <v>0</v>
      </c>
      <c r="C558">
        <v>0</v>
      </c>
    </row>
    <row r="559" spans="1:3" x14ac:dyDescent="0.25">
      <c r="A559" s="3" t="s">
        <v>3512</v>
      </c>
      <c r="B559">
        <v>0</v>
      </c>
      <c r="C559">
        <v>0</v>
      </c>
    </row>
    <row r="560" spans="1:3" x14ac:dyDescent="0.25">
      <c r="A560" s="3" t="s">
        <v>2109</v>
      </c>
      <c r="B560">
        <v>0</v>
      </c>
      <c r="C560">
        <v>0</v>
      </c>
    </row>
    <row r="561" spans="1:3" x14ac:dyDescent="0.25">
      <c r="A561" s="3" t="s">
        <v>2888</v>
      </c>
      <c r="B561">
        <v>0</v>
      </c>
      <c r="C561">
        <v>0</v>
      </c>
    </row>
    <row r="562" spans="1:3" x14ac:dyDescent="0.25">
      <c r="A562" s="3" t="s">
        <v>854</v>
      </c>
      <c r="B562">
        <v>0</v>
      </c>
      <c r="C562">
        <v>0</v>
      </c>
    </row>
    <row r="563" spans="1:3" x14ac:dyDescent="0.25">
      <c r="A563" s="3" t="s">
        <v>2234</v>
      </c>
      <c r="B563">
        <v>0</v>
      </c>
      <c r="C563">
        <v>0</v>
      </c>
    </row>
    <row r="564" spans="1:3" x14ac:dyDescent="0.25">
      <c r="A564" s="3" t="s">
        <v>2855</v>
      </c>
      <c r="B564">
        <v>2</v>
      </c>
      <c r="C564">
        <v>0</v>
      </c>
    </row>
    <row r="565" spans="1:3" x14ac:dyDescent="0.25">
      <c r="A565" s="3" t="s">
        <v>3744</v>
      </c>
      <c r="B565">
        <v>0</v>
      </c>
      <c r="C565">
        <v>0</v>
      </c>
    </row>
    <row r="566" spans="1:3" x14ac:dyDescent="0.25">
      <c r="A566" s="3" t="s">
        <v>2778</v>
      </c>
      <c r="B566">
        <v>4</v>
      </c>
      <c r="C566">
        <v>0</v>
      </c>
    </row>
    <row r="567" spans="1:3" x14ac:dyDescent="0.25">
      <c r="A567" s="3" t="s">
        <v>4369</v>
      </c>
      <c r="B567">
        <v>0</v>
      </c>
      <c r="C567">
        <v>0</v>
      </c>
    </row>
    <row r="568" spans="1:3" x14ac:dyDescent="0.25">
      <c r="A568" s="3" t="s">
        <v>209</v>
      </c>
      <c r="B568">
        <v>0</v>
      </c>
      <c r="C568">
        <v>0</v>
      </c>
    </row>
    <row r="569" spans="1:3" x14ac:dyDescent="0.25">
      <c r="A569" s="3" t="s">
        <v>429</v>
      </c>
      <c r="B569">
        <v>6</v>
      </c>
      <c r="C569">
        <v>0</v>
      </c>
    </row>
    <row r="570" spans="1:3" x14ac:dyDescent="0.25">
      <c r="A570" s="3" t="s">
        <v>2254</v>
      </c>
      <c r="B570">
        <v>0</v>
      </c>
      <c r="C570">
        <v>0</v>
      </c>
    </row>
    <row r="571" spans="1:3" x14ac:dyDescent="0.25">
      <c r="A571" s="3" t="s">
        <v>4489</v>
      </c>
      <c r="B571">
        <v>0</v>
      </c>
      <c r="C571">
        <v>0</v>
      </c>
    </row>
    <row r="572" spans="1:3" x14ac:dyDescent="0.25">
      <c r="A572" s="3" t="s">
        <v>3848</v>
      </c>
      <c r="B572">
        <v>1</v>
      </c>
      <c r="C572">
        <v>0</v>
      </c>
    </row>
    <row r="573" spans="1:3" x14ac:dyDescent="0.25">
      <c r="A573" s="3" t="s">
        <v>4649</v>
      </c>
      <c r="B573">
        <v>0</v>
      </c>
      <c r="C573">
        <v>0</v>
      </c>
    </row>
    <row r="574" spans="1:3" x14ac:dyDescent="0.25">
      <c r="A574" s="3" t="s">
        <v>2620</v>
      </c>
      <c r="B574">
        <v>0</v>
      </c>
      <c r="C574">
        <v>0</v>
      </c>
    </row>
    <row r="575" spans="1:3" x14ac:dyDescent="0.25">
      <c r="A575" s="3" t="s">
        <v>1950</v>
      </c>
      <c r="B575">
        <v>0</v>
      </c>
      <c r="C575">
        <v>0</v>
      </c>
    </row>
    <row r="576" spans="1:3" x14ac:dyDescent="0.25">
      <c r="A576" s="3" t="s">
        <v>4004</v>
      </c>
      <c r="B576">
        <v>0</v>
      </c>
      <c r="C576">
        <v>0</v>
      </c>
    </row>
    <row r="577" spans="1:3" x14ac:dyDescent="0.25">
      <c r="A577" s="3" t="s">
        <v>1129</v>
      </c>
      <c r="B577">
        <v>0</v>
      </c>
      <c r="C577">
        <v>0</v>
      </c>
    </row>
    <row r="578" spans="1:3" x14ac:dyDescent="0.25">
      <c r="A578" s="3" t="s">
        <v>359</v>
      </c>
      <c r="B578">
        <v>0</v>
      </c>
      <c r="C578">
        <v>0</v>
      </c>
    </row>
    <row r="579" spans="1:3" x14ac:dyDescent="0.25">
      <c r="A579" s="3" t="s">
        <v>362</v>
      </c>
      <c r="B579">
        <v>0</v>
      </c>
      <c r="C579">
        <v>0</v>
      </c>
    </row>
    <row r="580" spans="1:3" x14ac:dyDescent="0.25">
      <c r="A580" s="3" t="s">
        <v>1327</v>
      </c>
      <c r="B580">
        <v>1</v>
      </c>
      <c r="C580">
        <v>0</v>
      </c>
    </row>
    <row r="581" spans="1:3" x14ac:dyDescent="0.25">
      <c r="A581" s="3" t="s">
        <v>687</v>
      </c>
      <c r="B581">
        <v>0</v>
      </c>
      <c r="C581">
        <v>0</v>
      </c>
    </row>
    <row r="582" spans="1:3" x14ac:dyDescent="0.25">
      <c r="A582" s="3" t="s">
        <v>2004</v>
      </c>
      <c r="B582">
        <v>0</v>
      </c>
      <c r="C582">
        <v>0</v>
      </c>
    </row>
    <row r="583" spans="1:3" x14ac:dyDescent="0.25">
      <c r="A583" s="3" t="s">
        <v>3440</v>
      </c>
      <c r="B583">
        <v>0</v>
      </c>
      <c r="C583">
        <v>0</v>
      </c>
    </row>
    <row r="584" spans="1:3" x14ac:dyDescent="0.25">
      <c r="A584" s="3" t="s">
        <v>3169</v>
      </c>
      <c r="B584">
        <v>4</v>
      </c>
      <c r="C584">
        <v>0</v>
      </c>
    </row>
    <row r="585" spans="1:3" x14ac:dyDescent="0.25">
      <c r="A585" s="3" t="s">
        <v>2640</v>
      </c>
      <c r="B585">
        <v>0</v>
      </c>
      <c r="C585">
        <v>0</v>
      </c>
    </row>
    <row r="586" spans="1:3" x14ac:dyDescent="0.25">
      <c r="A586" s="3" t="s">
        <v>3890</v>
      </c>
      <c r="B586">
        <v>1</v>
      </c>
      <c r="C586">
        <v>0</v>
      </c>
    </row>
    <row r="587" spans="1:3" x14ac:dyDescent="0.25">
      <c r="A587" s="3" t="s">
        <v>143</v>
      </c>
      <c r="B587">
        <v>0</v>
      </c>
      <c r="C587">
        <v>0</v>
      </c>
    </row>
    <row r="588" spans="1:3" x14ac:dyDescent="0.25">
      <c r="A588" s="3" t="s">
        <v>2210</v>
      </c>
      <c r="B588">
        <v>0</v>
      </c>
      <c r="C588">
        <v>0</v>
      </c>
    </row>
    <row r="589" spans="1:3" x14ac:dyDescent="0.25">
      <c r="A589" s="3" t="s">
        <v>1618</v>
      </c>
      <c r="B589">
        <v>2</v>
      </c>
      <c r="C589">
        <v>0</v>
      </c>
    </row>
    <row r="590" spans="1:3" x14ac:dyDescent="0.25">
      <c r="A590" s="3" t="s">
        <v>1846</v>
      </c>
      <c r="B590">
        <v>0</v>
      </c>
      <c r="C590">
        <v>0</v>
      </c>
    </row>
    <row r="591" spans="1:3" x14ac:dyDescent="0.25">
      <c r="A591" s="3" t="s">
        <v>2012</v>
      </c>
      <c r="B591">
        <v>0</v>
      </c>
      <c r="C591">
        <v>0</v>
      </c>
    </row>
    <row r="592" spans="1:3" x14ac:dyDescent="0.25">
      <c r="A592" s="3" t="s">
        <v>2311</v>
      </c>
      <c r="B592">
        <v>0</v>
      </c>
      <c r="C592">
        <v>0</v>
      </c>
    </row>
    <row r="593" spans="1:3" x14ac:dyDescent="0.25">
      <c r="A593" s="3" t="s">
        <v>2533</v>
      </c>
      <c r="B593">
        <v>0</v>
      </c>
      <c r="C593">
        <v>0</v>
      </c>
    </row>
    <row r="594" spans="1:3" x14ac:dyDescent="0.25">
      <c r="A594" s="3" t="s">
        <v>1722</v>
      </c>
      <c r="B594">
        <v>13</v>
      </c>
      <c r="C594">
        <v>2</v>
      </c>
    </row>
    <row r="595" spans="1:3" x14ac:dyDescent="0.25">
      <c r="A595" s="3" t="s">
        <v>2303</v>
      </c>
      <c r="B595">
        <v>1</v>
      </c>
      <c r="C595">
        <v>0</v>
      </c>
    </row>
    <row r="596" spans="1:3" x14ac:dyDescent="0.25">
      <c r="A596" s="3" t="s">
        <v>3773</v>
      </c>
      <c r="B596">
        <v>0</v>
      </c>
      <c r="C596">
        <v>0</v>
      </c>
    </row>
    <row r="597" spans="1:3" x14ac:dyDescent="0.25">
      <c r="A597" s="3" t="s">
        <v>2323</v>
      </c>
      <c r="B597">
        <v>0</v>
      </c>
      <c r="C597">
        <v>0</v>
      </c>
    </row>
    <row r="598" spans="1:3" x14ac:dyDescent="0.25">
      <c r="A598" s="3" t="s">
        <v>954</v>
      </c>
      <c r="B598">
        <v>4</v>
      </c>
      <c r="C598">
        <v>0</v>
      </c>
    </row>
    <row r="599" spans="1:3" x14ac:dyDescent="0.25">
      <c r="A599" s="3" t="s">
        <v>1086</v>
      </c>
      <c r="B599">
        <v>0</v>
      </c>
      <c r="C599">
        <v>0</v>
      </c>
    </row>
    <row r="600" spans="1:3" x14ac:dyDescent="0.25">
      <c r="A600" s="3" t="s">
        <v>1864</v>
      </c>
      <c r="B600">
        <v>0</v>
      </c>
      <c r="C600">
        <v>0</v>
      </c>
    </row>
    <row r="601" spans="1:3" x14ac:dyDescent="0.25">
      <c r="A601" s="3" t="s">
        <v>4394</v>
      </c>
      <c r="B601">
        <v>0</v>
      </c>
      <c r="C601">
        <v>0</v>
      </c>
    </row>
    <row r="602" spans="1:3" x14ac:dyDescent="0.25">
      <c r="A602" s="3" t="s">
        <v>1178</v>
      </c>
      <c r="B602">
        <v>0</v>
      </c>
      <c r="C602">
        <v>0</v>
      </c>
    </row>
    <row r="603" spans="1:3" x14ac:dyDescent="0.25">
      <c r="A603" s="3" t="s">
        <v>2275</v>
      </c>
      <c r="B603">
        <v>0</v>
      </c>
      <c r="C603">
        <v>0</v>
      </c>
    </row>
    <row r="604" spans="1:3" x14ac:dyDescent="0.25">
      <c r="A604" s="3" t="s">
        <v>3289</v>
      </c>
      <c r="B604">
        <v>2</v>
      </c>
      <c r="C604">
        <v>0</v>
      </c>
    </row>
    <row r="605" spans="1:3" x14ac:dyDescent="0.25">
      <c r="A605" s="3" t="s">
        <v>2176</v>
      </c>
      <c r="B605">
        <v>0</v>
      </c>
      <c r="C605">
        <v>0</v>
      </c>
    </row>
    <row r="606" spans="1:3" x14ac:dyDescent="0.25">
      <c r="A606" s="3" t="s">
        <v>2030</v>
      </c>
      <c r="B606">
        <v>0</v>
      </c>
      <c r="C606">
        <v>0</v>
      </c>
    </row>
    <row r="607" spans="1:3" x14ac:dyDescent="0.25">
      <c r="A607" s="3" t="s">
        <v>1623</v>
      </c>
      <c r="B607">
        <v>0</v>
      </c>
      <c r="C607">
        <v>0</v>
      </c>
    </row>
    <row r="608" spans="1:3" x14ac:dyDescent="0.25">
      <c r="A608" s="3" t="s">
        <v>433</v>
      </c>
      <c r="B608">
        <v>0</v>
      </c>
      <c r="C608">
        <v>0</v>
      </c>
    </row>
    <row r="609" spans="1:3" x14ac:dyDescent="0.25">
      <c r="A609" s="3" t="s">
        <v>2646</v>
      </c>
      <c r="B609">
        <v>0</v>
      </c>
      <c r="C609">
        <v>0</v>
      </c>
    </row>
    <row r="610" spans="1:3" x14ac:dyDescent="0.25">
      <c r="A610" s="3" t="s">
        <v>1324</v>
      </c>
      <c r="B610">
        <v>0</v>
      </c>
      <c r="C610">
        <v>0</v>
      </c>
    </row>
    <row r="611" spans="1:3" x14ac:dyDescent="0.25">
      <c r="A611" s="3" t="s">
        <v>304</v>
      </c>
      <c r="B611">
        <v>4</v>
      </c>
      <c r="C611">
        <v>0</v>
      </c>
    </row>
    <row r="612" spans="1:3" x14ac:dyDescent="0.25">
      <c r="A612" s="3" t="s">
        <v>3606</v>
      </c>
      <c r="B612">
        <v>0</v>
      </c>
      <c r="C612">
        <v>0</v>
      </c>
    </row>
    <row r="613" spans="1:3" x14ac:dyDescent="0.25">
      <c r="A613" s="3" t="s">
        <v>3779</v>
      </c>
      <c r="B613">
        <v>0</v>
      </c>
      <c r="C613">
        <v>0</v>
      </c>
    </row>
    <row r="614" spans="1:3" x14ac:dyDescent="0.25">
      <c r="A614" s="3" t="s">
        <v>1885</v>
      </c>
      <c r="B614">
        <v>0</v>
      </c>
      <c r="C614">
        <v>0</v>
      </c>
    </row>
    <row r="615" spans="1:3" x14ac:dyDescent="0.25">
      <c r="A615" s="3" t="s">
        <v>3185</v>
      </c>
      <c r="B615">
        <v>0</v>
      </c>
      <c r="C615">
        <v>0</v>
      </c>
    </row>
    <row r="616" spans="1:3" x14ac:dyDescent="0.25">
      <c r="A616" s="3" t="s">
        <v>1201</v>
      </c>
      <c r="B616">
        <v>0</v>
      </c>
      <c r="C616">
        <v>0</v>
      </c>
    </row>
    <row r="617" spans="1:3" x14ac:dyDescent="0.25">
      <c r="A617" s="3" t="s">
        <v>2761</v>
      </c>
      <c r="B617">
        <v>3</v>
      </c>
      <c r="C617">
        <v>0</v>
      </c>
    </row>
    <row r="618" spans="1:3" x14ac:dyDescent="0.25">
      <c r="A618" s="3" t="s">
        <v>2876</v>
      </c>
      <c r="B618">
        <v>0</v>
      </c>
      <c r="C618">
        <v>0</v>
      </c>
    </row>
    <row r="619" spans="1:3" x14ac:dyDescent="0.25">
      <c r="A619" s="3" t="s">
        <v>3659</v>
      </c>
      <c r="B619">
        <v>2</v>
      </c>
      <c r="C619">
        <v>0</v>
      </c>
    </row>
    <row r="620" spans="1:3" x14ac:dyDescent="0.25">
      <c r="A620" s="3" t="s">
        <v>1447</v>
      </c>
      <c r="B620">
        <v>0</v>
      </c>
      <c r="C620">
        <v>0</v>
      </c>
    </row>
    <row r="621" spans="1:3" x14ac:dyDescent="0.25">
      <c r="A621" s="3" t="s">
        <v>1824</v>
      </c>
      <c r="B621">
        <v>0</v>
      </c>
      <c r="C621">
        <v>0</v>
      </c>
    </row>
    <row r="622" spans="1:3" x14ac:dyDescent="0.25">
      <c r="A622" s="3" t="s">
        <v>2922</v>
      </c>
      <c r="B622">
        <v>0</v>
      </c>
      <c r="C622">
        <v>0</v>
      </c>
    </row>
    <row r="623" spans="1:3" x14ac:dyDescent="0.25">
      <c r="A623" s="3" t="s">
        <v>3496</v>
      </c>
      <c r="B623">
        <v>2</v>
      </c>
      <c r="C623">
        <v>0</v>
      </c>
    </row>
    <row r="624" spans="1:3" x14ac:dyDescent="0.25">
      <c r="A624" s="3" t="s">
        <v>4241</v>
      </c>
      <c r="B624">
        <v>0</v>
      </c>
      <c r="C624">
        <v>0</v>
      </c>
    </row>
    <row r="625" spans="1:3" x14ac:dyDescent="0.25">
      <c r="A625" s="3" t="s">
        <v>1362</v>
      </c>
      <c r="B625">
        <v>0</v>
      </c>
      <c r="C625">
        <v>0</v>
      </c>
    </row>
    <row r="626" spans="1:3" x14ac:dyDescent="0.25">
      <c r="A626" s="3" t="s">
        <v>3482</v>
      </c>
      <c r="B626">
        <v>1</v>
      </c>
      <c r="C626">
        <v>0</v>
      </c>
    </row>
    <row r="627" spans="1:3" x14ac:dyDescent="0.25">
      <c r="A627" s="3" t="s">
        <v>4359</v>
      </c>
      <c r="B627">
        <v>0</v>
      </c>
      <c r="C627">
        <v>0</v>
      </c>
    </row>
    <row r="628" spans="1:3" x14ac:dyDescent="0.25">
      <c r="A628" s="3" t="s">
        <v>4147</v>
      </c>
      <c r="B628">
        <v>0</v>
      </c>
      <c r="C628">
        <v>0</v>
      </c>
    </row>
    <row r="629" spans="1:3" x14ac:dyDescent="0.25">
      <c r="A629" s="3" t="s">
        <v>845</v>
      </c>
      <c r="B629">
        <v>0</v>
      </c>
      <c r="C629">
        <v>0</v>
      </c>
    </row>
    <row r="630" spans="1:3" x14ac:dyDescent="0.25">
      <c r="A630" s="3" t="s">
        <v>1650</v>
      </c>
      <c r="B630">
        <v>0</v>
      </c>
      <c r="C630">
        <v>0</v>
      </c>
    </row>
    <row r="631" spans="1:3" x14ac:dyDescent="0.25">
      <c r="A631" s="3" t="s">
        <v>4164</v>
      </c>
      <c r="B631">
        <v>0</v>
      </c>
      <c r="C631">
        <v>0</v>
      </c>
    </row>
    <row r="632" spans="1:3" x14ac:dyDescent="0.25">
      <c r="A632" s="3" t="s">
        <v>4688</v>
      </c>
      <c r="B632">
        <v>0</v>
      </c>
      <c r="C632">
        <v>0</v>
      </c>
    </row>
    <row r="633" spans="1:3" x14ac:dyDescent="0.25">
      <c r="A633" s="3" t="s">
        <v>2085</v>
      </c>
      <c r="B633">
        <v>0</v>
      </c>
      <c r="C633">
        <v>0</v>
      </c>
    </row>
    <row r="634" spans="1:3" x14ac:dyDescent="0.25">
      <c r="A634" s="3" t="s">
        <v>4549</v>
      </c>
      <c r="B634">
        <v>0</v>
      </c>
      <c r="C634">
        <v>0</v>
      </c>
    </row>
    <row r="635" spans="1:3" x14ac:dyDescent="0.25">
      <c r="A635" s="3" t="s">
        <v>1769</v>
      </c>
      <c r="B635">
        <v>0</v>
      </c>
      <c r="C635">
        <v>0</v>
      </c>
    </row>
    <row r="636" spans="1:3" x14ac:dyDescent="0.25">
      <c r="A636" s="3" t="s">
        <v>2980</v>
      </c>
      <c r="B636">
        <v>0</v>
      </c>
      <c r="C636">
        <v>0</v>
      </c>
    </row>
    <row r="637" spans="1:3" x14ac:dyDescent="0.25">
      <c r="A637" s="3" t="s">
        <v>4496</v>
      </c>
      <c r="B637">
        <v>0</v>
      </c>
      <c r="C637">
        <v>0</v>
      </c>
    </row>
    <row r="638" spans="1:3" x14ac:dyDescent="0.25">
      <c r="A638" s="3" t="s">
        <v>848</v>
      </c>
      <c r="B638">
        <v>27</v>
      </c>
      <c r="C638">
        <v>1</v>
      </c>
    </row>
    <row r="639" spans="1:3" x14ac:dyDescent="0.25">
      <c r="A639" s="3" t="s">
        <v>1457</v>
      </c>
      <c r="B639">
        <v>0</v>
      </c>
      <c r="C639">
        <v>0</v>
      </c>
    </row>
    <row r="640" spans="1:3" x14ac:dyDescent="0.25">
      <c r="A640" s="3" t="s">
        <v>2869</v>
      </c>
      <c r="B640">
        <v>0</v>
      </c>
      <c r="C640">
        <v>0</v>
      </c>
    </row>
    <row r="641" spans="1:3" x14ac:dyDescent="0.25">
      <c r="A641" s="3" t="s">
        <v>2141</v>
      </c>
      <c r="B641">
        <v>0</v>
      </c>
      <c r="C641">
        <v>0</v>
      </c>
    </row>
    <row r="642" spans="1:3" x14ac:dyDescent="0.25">
      <c r="A642" s="3" t="s">
        <v>2544</v>
      </c>
      <c r="B642">
        <v>0</v>
      </c>
      <c r="C642">
        <v>0</v>
      </c>
    </row>
    <row r="643" spans="1:3" x14ac:dyDescent="0.25">
      <c r="A643" s="3" t="s">
        <v>524</v>
      </c>
      <c r="B643">
        <v>0</v>
      </c>
      <c r="C643">
        <v>0</v>
      </c>
    </row>
    <row r="644" spans="1:3" x14ac:dyDescent="0.25">
      <c r="A644" s="3" t="s">
        <v>1154</v>
      </c>
      <c r="B644">
        <v>4</v>
      </c>
      <c r="C644">
        <v>0</v>
      </c>
    </row>
    <row r="645" spans="1:3" x14ac:dyDescent="0.25">
      <c r="A645" s="3" t="s">
        <v>1929</v>
      </c>
      <c r="B645">
        <v>0</v>
      </c>
      <c r="C645">
        <v>0</v>
      </c>
    </row>
    <row r="646" spans="1:3" x14ac:dyDescent="0.25">
      <c r="A646" s="3" t="s">
        <v>1421</v>
      </c>
      <c r="B646">
        <v>2</v>
      </c>
      <c r="C646">
        <v>0</v>
      </c>
    </row>
    <row r="647" spans="1:3" x14ac:dyDescent="0.25">
      <c r="A647" s="3" t="s">
        <v>1520</v>
      </c>
      <c r="B647">
        <v>1</v>
      </c>
      <c r="C647">
        <v>0</v>
      </c>
    </row>
    <row r="648" spans="1:3" x14ac:dyDescent="0.25">
      <c r="A648" s="3" t="s">
        <v>4424</v>
      </c>
      <c r="B648">
        <v>0</v>
      </c>
      <c r="C648">
        <v>0</v>
      </c>
    </row>
    <row r="649" spans="1:3" x14ac:dyDescent="0.25">
      <c r="A649" s="3" t="s">
        <v>4657</v>
      </c>
      <c r="B649">
        <v>0</v>
      </c>
      <c r="C649">
        <v>0</v>
      </c>
    </row>
    <row r="650" spans="1:3" x14ac:dyDescent="0.25">
      <c r="A650" s="3" t="s">
        <v>2159</v>
      </c>
      <c r="B650">
        <v>0</v>
      </c>
      <c r="C650">
        <v>0</v>
      </c>
    </row>
    <row r="651" spans="1:3" x14ac:dyDescent="0.25">
      <c r="A651" s="3" t="s">
        <v>805</v>
      </c>
      <c r="B651">
        <v>0</v>
      </c>
      <c r="C651">
        <v>0</v>
      </c>
    </row>
    <row r="652" spans="1:3" x14ac:dyDescent="0.25">
      <c r="A652" s="3" t="s">
        <v>2397</v>
      </c>
      <c r="B652">
        <v>2</v>
      </c>
      <c r="C652">
        <v>0</v>
      </c>
    </row>
    <row r="653" spans="1:3" x14ac:dyDescent="0.25">
      <c r="A653" s="3" t="s">
        <v>644</v>
      </c>
      <c r="B653">
        <v>0</v>
      </c>
      <c r="C653">
        <v>0</v>
      </c>
    </row>
    <row r="654" spans="1:3" x14ac:dyDescent="0.25">
      <c r="A654" s="3" t="s">
        <v>2201</v>
      </c>
      <c r="B654">
        <v>0</v>
      </c>
      <c r="C654">
        <v>0</v>
      </c>
    </row>
    <row r="655" spans="1:3" x14ac:dyDescent="0.25">
      <c r="A655" s="3" t="s">
        <v>409</v>
      </c>
      <c r="B655">
        <v>0</v>
      </c>
      <c r="C655">
        <v>0</v>
      </c>
    </row>
    <row r="656" spans="1:3" x14ac:dyDescent="0.25">
      <c r="A656" s="3" t="s">
        <v>693</v>
      </c>
      <c r="B656">
        <v>0</v>
      </c>
      <c r="C656">
        <v>0</v>
      </c>
    </row>
    <row r="657" spans="1:3" x14ac:dyDescent="0.25">
      <c r="A657" s="3" t="s">
        <v>3447</v>
      </c>
      <c r="B657">
        <v>9</v>
      </c>
      <c r="C657">
        <v>0</v>
      </c>
    </row>
    <row r="658" spans="1:3" x14ac:dyDescent="0.25">
      <c r="A658" s="3" t="s">
        <v>1377</v>
      </c>
      <c r="B658">
        <v>1</v>
      </c>
      <c r="C658">
        <v>0</v>
      </c>
    </row>
    <row r="659" spans="1:3" x14ac:dyDescent="0.25">
      <c r="A659" s="3" t="s">
        <v>4283</v>
      </c>
      <c r="B659">
        <v>0</v>
      </c>
      <c r="C659">
        <v>0</v>
      </c>
    </row>
    <row r="660" spans="1:3" x14ac:dyDescent="0.25">
      <c r="A660" s="3" t="s">
        <v>2864</v>
      </c>
      <c r="B660">
        <v>1</v>
      </c>
      <c r="C660">
        <v>0</v>
      </c>
    </row>
    <row r="661" spans="1:3" x14ac:dyDescent="0.25">
      <c r="A661" s="3" t="s">
        <v>573</v>
      </c>
      <c r="B661">
        <v>0</v>
      </c>
      <c r="C661">
        <v>0</v>
      </c>
    </row>
    <row r="662" spans="1:3" x14ac:dyDescent="0.25">
      <c r="A662" s="3" t="s">
        <v>2956</v>
      </c>
      <c r="B662">
        <v>2</v>
      </c>
      <c r="C662">
        <v>0</v>
      </c>
    </row>
    <row r="663" spans="1:3" x14ac:dyDescent="0.25">
      <c r="A663" s="3" t="s">
        <v>2872</v>
      </c>
      <c r="B663">
        <v>0</v>
      </c>
      <c r="C663">
        <v>0</v>
      </c>
    </row>
    <row r="664" spans="1:3" x14ac:dyDescent="0.25">
      <c r="A664" s="3" t="s">
        <v>390</v>
      </c>
      <c r="B664">
        <v>0</v>
      </c>
      <c r="C664">
        <v>0</v>
      </c>
    </row>
    <row r="665" spans="1:3" x14ac:dyDescent="0.25">
      <c r="A665" s="3" t="s">
        <v>3915</v>
      </c>
      <c r="B665">
        <v>0</v>
      </c>
      <c r="C665">
        <v>0</v>
      </c>
    </row>
    <row r="666" spans="1:3" x14ac:dyDescent="0.25">
      <c r="A666" s="3" t="s">
        <v>3304</v>
      </c>
      <c r="B666">
        <v>1</v>
      </c>
      <c r="C666">
        <v>0</v>
      </c>
    </row>
    <row r="667" spans="1:3" x14ac:dyDescent="0.25">
      <c r="A667" s="3" t="s">
        <v>4098</v>
      </c>
      <c r="B667">
        <v>0</v>
      </c>
      <c r="C667">
        <v>0</v>
      </c>
    </row>
    <row r="668" spans="1:3" x14ac:dyDescent="0.25">
      <c r="A668" s="3" t="s">
        <v>3432</v>
      </c>
      <c r="B668">
        <v>0</v>
      </c>
      <c r="C668">
        <v>0</v>
      </c>
    </row>
    <row r="669" spans="1:3" x14ac:dyDescent="0.25">
      <c r="A669" s="3" t="s">
        <v>102</v>
      </c>
      <c r="B669">
        <v>0</v>
      </c>
      <c r="C669">
        <v>0</v>
      </c>
    </row>
    <row r="670" spans="1:3" x14ac:dyDescent="0.25">
      <c r="A670" s="3" t="s">
        <v>3609</v>
      </c>
      <c r="B670">
        <v>0</v>
      </c>
      <c r="C670">
        <v>0</v>
      </c>
    </row>
    <row r="671" spans="1:3" x14ac:dyDescent="0.25">
      <c r="A671" s="3" t="s">
        <v>752</v>
      </c>
      <c r="B671">
        <v>7</v>
      </c>
      <c r="C671">
        <v>0</v>
      </c>
    </row>
    <row r="672" spans="1:3" x14ac:dyDescent="0.25">
      <c r="A672" s="3" t="s">
        <v>2492</v>
      </c>
      <c r="B672">
        <v>0</v>
      </c>
      <c r="C672">
        <v>0</v>
      </c>
    </row>
    <row r="673" spans="1:3" x14ac:dyDescent="0.25">
      <c r="A673" s="3" t="s">
        <v>729</v>
      </c>
      <c r="B673">
        <v>0</v>
      </c>
      <c r="C673">
        <v>0</v>
      </c>
    </row>
    <row r="674" spans="1:3" x14ac:dyDescent="0.25">
      <c r="A674" s="3" t="s">
        <v>2378</v>
      </c>
      <c r="B674">
        <v>0</v>
      </c>
      <c r="C674">
        <v>0</v>
      </c>
    </row>
    <row r="675" spans="1:3" x14ac:dyDescent="0.25">
      <c r="A675" s="3" t="s">
        <v>1747</v>
      </c>
      <c r="B675">
        <v>9</v>
      </c>
      <c r="C675">
        <v>1</v>
      </c>
    </row>
    <row r="676" spans="1:3" x14ac:dyDescent="0.25">
      <c r="A676" s="3" t="s">
        <v>919</v>
      </c>
      <c r="B676">
        <v>0</v>
      </c>
      <c r="C676">
        <v>0</v>
      </c>
    </row>
    <row r="677" spans="1:3" x14ac:dyDescent="0.25">
      <c r="A677" s="3" t="s">
        <v>699</v>
      </c>
      <c r="B677">
        <v>5</v>
      </c>
      <c r="C677">
        <v>0</v>
      </c>
    </row>
    <row r="678" spans="1:3" x14ac:dyDescent="0.25">
      <c r="A678" s="3" t="s">
        <v>942</v>
      </c>
      <c r="B678">
        <v>4</v>
      </c>
      <c r="C678">
        <v>0</v>
      </c>
    </row>
    <row r="679" spans="1:3" x14ac:dyDescent="0.25">
      <c r="A679" s="3" t="s">
        <v>2539</v>
      </c>
      <c r="B679">
        <v>0</v>
      </c>
      <c r="C679">
        <v>0</v>
      </c>
    </row>
    <row r="680" spans="1:3" x14ac:dyDescent="0.25">
      <c r="A680" s="3" t="s">
        <v>1911</v>
      </c>
      <c r="B680">
        <v>0</v>
      </c>
      <c r="C680">
        <v>0</v>
      </c>
    </row>
    <row r="681" spans="1:3" x14ac:dyDescent="0.25">
      <c r="A681" s="3" t="s">
        <v>382</v>
      </c>
      <c r="B681">
        <v>0</v>
      </c>
      <c r="C681">
        <v>0</v>
      </c>
    </row>
    <row r="682" spans="1:3" x14ac:dyDescent="0.25">
      <c r="A682" s="3" t="s">
        <v>3529</v>
      </c>
      <c r="B682">
        <v>0</v>
      </c>
      <c r="C682">
        <v>0</v>
      </c>
    </row>
    <row r="683" spans="1:3" x14ac:dyDescent="0.25">
      <c r="A683" s="3" t="s">
        <v>1939</v>
      </c>
      <c r="B683">
        <v>0</v>
      </c>
      <c r="C683">
        <v>0</v>
      </c>
    </row>
    <row r="684" spans="1:3" x14ac:dyDescent="0.25">
      <c r="A684" s="3" t="s">
        <v>2983</v>
      </c>
      <c r="B684">
        <v>1</v>
      </c>
      <c r="C684">
        <v>0</v>
      </c>
    </row>
    <row r="685" spans="1:3" x14ac:dyDescent="0.25">
      <c r="A685" s="3" t="s">
        <v>3154</v>
      </c>
      <c r="B685">
        <v>0</v>
      </c>
      <c r="C685">
        <v>0</v>
      </c>
    </row>
    <row r="686" spans="1:3" x14ac:dyDescent="0.25">
      <c r="A686" s="3" t="s">
        <v>3765</v>
      </c>
      <c r="B686">
        <v>0</v>
      </c>
      <c r="C686">
        <v>0</v>
      </c>
    </row>
    <row r="687" spans="1:3" x14ac:dyDescent="0.25">
      <c r="A687" s="3" t="s">
        <v>1686</v>
      </c>
      <c r="B687">
        <v>2</v>
      </c>
      <c r="C687">
        <v>0</v>
      </c>
    </row>
    <row r="688" spans="1:3" x14ac:dyDescent="0.25">
      <c r="A688" s="3" t="s">
        <v>2151</v>
      </c>
      <c r="B688">
        <v>1</v>
      </c>
      <c r="C688">
        <v>0</v>
      </c>
    </row>
    <row r="689" spans="1:3" x14ac:dyDescent="0.25">
      <c r="A689" s="3" t="s">
        <v>2342</v>
      </c>
      <c r="B689">
        <v>0</v>
      </c>
      <c r="C689">
        <v>0</v>
      </c>
    </row>
    <row r="690" spans="1:3" x14ac:dyDescent="0.25">
      <c r="A690" s="3" t="s">
        <v>3887</v>
      </c>
      <c r="B690">
        <v>0</v>
      </c>
      <c r="C690">
        <v>0</v>
      </c>
    </row>
    <row r="691" spans="1:3" x14ac:dyDescent="0.25">
      <c r="A691" s="3" t="s">
        <v>4437</v>
      </c>
      <c r="B691">
        <v>0</v>
      </c>
      <c r="C691">
        <v>0</v>
      </c>
    </row>
    <row r="692" spans="1:3" x14ac:dyDescent="0.25">
      <c r="A692" s="3" t="s">
        <v>1019</v>
      </c>
      <c r="B692">
        <v>0</v>
      </c>
      <c r="C692">
        <v>0</v>
      </c>
    </row>
    <row r="693" spans="1:3" x14ac:dyDescent="0.25">
      <c r="A693" s="3" t="s">
        <v>1102</v>
      </c>
      <c r="B693">
        <v>0</v>
      </c>
      <c r="C693">
        <v>0</v>
      </c>
    </row>
    <row r="694" spans="1:3" x14ac:dyDescent="0.25">
      <c r="A694" s="3" t="s">
        <v>1495</v>
      </c>
      <c r="B694">
        <v>3</v>
      </c>
      <c r="C694">
        <v>0</v>
      </c>
    </row>
    <row r="695" spans="1:3" x14ac:dyDescent="0.25">
      <c r="A695" s="3" t="s">
        <v>1935</v>
      </c>
      <c r="B695">
        <v>0</v>
      </c>
      <c r="C695">
        <v>0</v>
      </c>
    </row>
    <row r="696" spans="1:3" x14ac:dyDescent="0.25">
      <c r="A696" s="3" t="s">
        <v>979</v>
      </c>
      <c r="B696">
        <v>0</v>
      </c>
      <c r="C696">
        <v>0</v>
      </c>
    </row>
    <row r="697" spans="1:3" x14ac:dyDescent="0.25">
      <c r="A697" s="3" t="s">
        <v>715</v>
      </c>
      <c r="B697">
        <v>0</v>
      </c>
      <c r="C697">
        <v>0</v>
      </c>
    </row>
    <row r="698" spans="1:3" x14ac:dyDescent="0.25">
      <c r="A698" s="3" t="s">
        <v>1079</v>
      </c>
      <c r="B698">
        <v>2</v>
      </c>
      <c r="C698">
        <v>0</v>
      </c>
    </row>
    <row r="699" spans="1:3" x14ac:dyDescent="0.25">
      <c r="A699" s="3" t="s">
        <v>2207</v>
      </c>
      <c r="B699">
        <v>0</v>
      </c>
      <c r="C699">
        <v>0</v>
      </c>
    </row>
    <row r="700" spans="1:3" x14ac:dyDescent="0.25">
      <c r="A700" s="3" t="s">
        <v>4280</v>
      </c>
      <c r="B700">
        <v>0</v>
      </c>
      <c r="C700">
        <v>0</v>
      </c>
    </row>
    <row r="701" spans="1:3" x14ac:dyDescent="0.25">
      <c r="A701" s="3" t="s">
        <v>1274</v>
      </c>
      <c r="B701">
        <v>0</v>
      </c>
      <c r="C701">
        <v>0</v>
      </c>
    </row>
    <row r="702" spans="1:3" x14ac:dyDescent="0.25">
      <c r="A702" s="3" t="s">
        <v>3250</v>
      </c>
      <c r="B702">
        <v>7</v>
      </c>
      <c r="C702">
        <v>1</v>
      </c>
    </row>
    <row r="703" spans="1:3" x14ac:dyDescent="0.25">
      <c r="A703" s="3" t="s">
        <v>641</v>
      </c>
      <c r="B703">
        <v>0</v>
      </c>
      <c r="C703">
        <v>0</v>
      </c>
    </row>
    <row r="704" spans="1:3" x14ac:dyDescent="0.25">
      <c r="A704" s="3" t="s">
        <v>1961</v>
      </c>
      <c r="B704">
        <v>0</v>
      </c>
      <c r="C704">
        <v>0</v>
      </c>
    </row>
    <row r="705" spans="1:3" x14ac:dyDescent="0.25">
      <c r="A705" s="3" t="s">
        <v>679</v>
      </c>
      <c r="B705">
        <v>4</v>
      </c>
      <c r="C705">
        <v>0</v>
      </c>
    </row>
    <row r="706" spans="1:3" x14ac:dyDescent="0.25">
      <c r="A706" s="3" t="s">
        <v>457</v>
      </c>
      <c r="B706">
        <v>1</v>
      </c>
      <c r="C706">
        <v>0</v>
      </c>
    </row>
    <row r="707" spans="1:3" x14ac:dyDescent="0.25">
      <c r="A707" s="3" t="s">
        <v>4430</v>
      </c>
      <c r="B707">
        <v>4</v>
      </c>
      <c r="C707">
        <v>0</v>
      </c>
    </row>
    <row r="708" spans="1:3" x14ac:dyDescent="0.25">
      <c r="A708" s="3" t="s">
        <v>3493</v>
      </c>
      <c r="B708">
        <v>1</v>
      </c>
      <c r="C708">
        <v>0</v>
      </c>
    </row>
    <row r="709" spans="1:3" x14ac:dyDescent="0.25">
      <c r="A709" s="3" t="s">
        <v>2039</v>
      </c>
      <c r="B709">
        <v>0</v>
      </c>
      <c r="C709">
        <v>0</v>
      </c>
    </row>
    <row r="710" spans="1:3" x14ac:dyDescent="0.25">
      <c r="A710" s="3" t="s">
        <v>832</v>
      </c>
      <c r="B710">
        <v>0</v>
      </c>
      <c r="C710">
        <v>0</v>
      </c>
    </row>
    <row r="711" spans="1:3" x14ac:dyDescent="0.25">
      <c r="A711" s="3" t="s">
        <v>1588</v>
      </c>
      <c r="B711">
        <v>0</v>
      </c>
      <c r="C711">
        <v>0</v>
      </c>
    </row>
    <row r="712" spans="1:3" x14ac:dyDescent="0.25">
      <c r="A712" s="3" t="s">
        <v>4677</v>
      </c>
      <c r="B712">
        <v>0</v>
      </c>
      <c r="C712">
        <v>0</v>
      </c>
    </row>
    <row r="713" spans="1:3" x14ac:dyDescent="0.25">
      <c r="A713" s="3" t="s">
        <v>3866</v>
      </c>
      <c r="B713">
        <v>0</v>
      </c>
      <c r="C713">
        <v>0</v>
      </c>
    </row>
    <row r="714" spans="1:3" x14ac:dyDescent="0.25">
      <c r="A714" s="3" t="s">
        <v>4255</v>
      </c>
      <c r="B714">
        <v>0</v>
      </c>
      <c r="C714">
        <v>0</v>
      </c>
    </row>
    <row r="715" spans="1:3" x14ac:dyDescent="0.25">
      <c r="A715" s="3" t="s">
        <v>4479</v>
      </c>
      <c r="B715">
        <v>5</v>
      </c>
      <c r="C715">
        <v>0</v>
      </c>
    </row>
    <row r="716" spans="1:3" x14ac:dyDescent="0.25">
      <c r="A716" s="3" t="s">
        <v>2268</v>
      </c>
      <c r="B716">
        <v>2</v>
      </c>
      <c r="C716">
        <v>0</v>
      </c>
    </row>
    <row r="717" spans="1:3" x14ac:dyDescent="0.25">
      <c r="A717" s="3" t="s">
        <v>1082</v>
      </c>
      <c r="B717">
        <v>0</v>
      </c>
      <c r="C717">
        <v>0</v>
      </c>
    </row>
    <row r="718" spans="1:3" x14ac:dyDescent="0.25">
      <c r="A718" s="3" t="s">
        <v>2516</v>
      </c>
      <c r="B718">
        <v>0</v>
      </c>
      <c r="C718">
        <v>0</v>
      </c>
    </row>
    <row r="719" spans="1:3" x14ac:dyDescent="0.25">
      <c r="A719" s="3" t="s">
        <v>268</v>
      </c>
      <c r="B719">
        <v>1</v>
      </c>
      <c r="C719">
        <v>0</v>
      </c>
    </row>
    <row r="720" spans="1:3" x14ac:dyDescent="0.25">
      <c r="A720" s="3" t="s">
        <v>2168</v>
      </c>
      <c r="B720">
        <v>0</v>
      </c>
      <c r="C720">
        <v>0</v>
      </c>
    </row>
    <row r="721" spans="1:3" x14ac:dyDescent="0.25">
      <c r="A721" s="3" t="s">
        <v>4459</v>
      </c>
      <c r="B721">
        <v>0</v>
      </c>
      <c r="C721">
        <v>0</v>
      </c>
    </row>
    <row r="722" spans="1:3" x14ac:dyDescent="0.25">
      <c r="A722" s="3" t="s">
        <v>460</v>
      </c>
      <c r="B722">
        <v>0</v>
      </c>
      <c r="C722">
        <v>0</v>
      </c>
    </row>
    <row r="723" spans="1:3" x14ac:dyDescent="0.25">
      <c r="A723" s="3" t="s">
        <v>4384</v>
      </c>
      <c r="B723">
        <v>0</v>
      </c>
      <c r="C723">
        <v>0</v>
      </c>
    </row>
    <row r="724" spans="1:3" x14ac:dyDescent="0.25">
      <c r="A724" s="3" t="s">
        <v>4216</v>
      </c>
      <c r="B724">
        <v>0</v>
      </c>
      <c r="C724">
        <v>0</v>
      </c>
    </row>
    <row r="725" spans="1:3" x14ac:dyDescent="0.25">
      <c r="A725" s="3" t="s">
        <v>165</v>
      </c>
      <c r="B725">
        <v>5</v>
      </c>
      <c r="C725">
        <v>0</v>
      </c>
    </row>
    <row r="726" spans="1:3" x14ac:dyDescent="0.25">
      <c r="A726" s="3" t="s">
        <v>4374</v>
      </c>
      <c r="B726">
        <v>0</v>
      </c>
      <c r="C726">
        <v>0</v>
      </c>
    </row>
    <row r="727" spans="1:3" x14ac:dyDescent="0.25">
      <c r="A727" s="3" t="s">
        <v>4405</v>
      </c>
      <c r="B727">
        <v>0</v>
      </c>
      <c r="C727">
        <v>0</v>
      </c>
    </row>
    <row r="728" spans="1:3" x14ac:dyDescent="0.25">
      <c r="A728" s="3" t="s">
        <v>594</v>
      </c>
      <c r="B728">
        <v>0</v>
      </c>
      <c r="C728">
        <v>0</v>
      </c>
    </row>
    <row r="729" spans="1:3" x14ac:dyDescent="0.25">
      <c r="A729" s="3" t="s">
        <v>231</v>
      </c>
      <c r="B729">
        <v>0</v>
      </c>
      <c r="C729">
        <v>0</v>
      </c>
    </row>
    <row r="730" spans="1:3" x14ac:dyDescent="0.25">
      <c r="A730" s="3" t="s">
        <v>1539</v>
      </c>
      <c r="B730">
        <v>3</v>
      </c>
      <c r="C730">
        <v>0</v>
      </c>
    </row>
    <row r="731" spans="1:3" x14ac:dyDescent="0.25">
      <c r="A731" s="3" t="s">
        <v>863</v>
      </c>
      <c r="B731">
        <v>0</v>
      </c>
      <c r="C731">
        <v>0</v>
      </c>
    </row>
    <row r="732" spans="1:3" x14ac:dyDescent="0.25">
      <c r="A732" s="3" t="s">
        <v>3233</v>
      </c>
      <c r="B732">
        <v>0</v>
      </c>
      <c r="C732">
        <v>0</v>
      </c>
    </row>
    <row r="733" spans="1:3" x14ac:dyDescent="0.25">
      <c r="A733" s="3" t="s">
        <v>405</v>
      </c>
      <c r="B733">
        <v>3</v>
      </c>
      <c r="C733">
        <v>0</v>
      </c>
    </row>
    <row r="734" spans="1:3" x14ac:dyDescent="0.25">
      <c r="A734" s="3" t="s">
        <v>1205</v>
      </c>
      <c r="B734">
        <v>2</v>
      </c>
      <c r="C734">
        <v>1</v>
      </c>
    </row>
    <row r="735" spans="1:3" x14ac:dyDescent="0.25">
      <c r="A735" s="3" t="s">
        <v>1891</v>
      </c>
      <c r="B735">
        <v>0</v>
      </c>
      <c r="C735">
        <v>0</v>
      </c>
    </row>
    <row r="736" spans="1:3" x14ac:dyDescent="0.25">
      <c r="A736" s="3" t="s">
        <v>3301</v>
      </c>
      <c r="B736">
        <v>0</v>
      </c>
      <c r="C736">
        <v>0</v>
      </c>
    </row>
    <row r="737" spans="1:3" x14ac:dyDescent="0.25">
      <c r="A737" s="3" t="s">
        <v>1973</v>
      </c>
      <c r="B737">
        <v>1</v>
      </c>
      <c r="C737">
        <v>0</v>
      </c>
    </row>
    <row r="738" spans="1:3" x14ac:dyDescent="0.25">
      <c r="A738" s="3" t="s">
        <v>1164</v>
      </c>
      <c r="B738">
        <v>1</v>
      </c>
      <c r="C738">
        <v>0</v>
      </c>
    </row>
    <row r="739" spans="1:3" x14ac:dyDescent="0.25">
      <c r="A739" s="3" t="s">
        <v>777</v>
      </c>
      <c r="B739">
        <v>0</v>
      </c>
      <c r="C739">
        <v>0</v>
      </c>
    </row>
    <row r="740" spans="1:3" x14ac:dyDescent="0.25">
      <c r="A740" s="3" t="s">
        <v>1451</v>
      </c>
      <c r="B740">
        <v>0</v>
      </c>
      <c r="C740">
        <v>0</v>
      </c>
    </row>
    <row r="741" spans="1:3" x14ac:dyDescent="0.25">
      <c r="A741" s="3" t="s">
        <v>1292</v>
      </c>
      <c r="B741">
        <v>0</v>
      </c>
      <c r="C741">
        <v>0</v>
      </c>
    </row>
    <row r="742" spans="1:3" x14ac:dyDescent="0.25">
      <c r="A742" s="3" t="s">
        <v>613</v>
      </c>
      <c r="B742">
        <v>0</v>
      </c>
      <c r="C742">
        <v>0</v>
      </c>
    </row>
    <row r="743" spans="1:3" x14ac:dyDescent="0.25">
      <c r="A743" s="3" t="s">
        <v>1766</v>
      </c>
      <c r="B743">
        <v>0</v>
      </c>
      <c r="C743">
        <v>0</v>
      </c>
    </row>
    <row r="744" spans="1:3" x14ac:dyDescent="0.25">
      <c r="A744" s="3" t="s">
        <v>874</v>
      </c>
      <c r="B744">
        <v>0</v>
      </c>
      <c r="C744">
        <v>0</v>
      </c>
    </row>
    <row r="745" spans="1:3" x14ac:dyDescent="0.25">
      <c r="A745" s="3" t="s">
        <v>3955</v>
      </c>
      <c r="B745">
        <v>0</v>
      </c>
      <c r="C745">
        <v>0</v>
      </c>
    </row>
    <row r="746" spans="1:3" x14ac:dyDescent="0.25">
      <c r="A746" s="3" t="s">
        <v>3258</v>
      </c>
      <c r="B746">
        <v>0</v>
      </c>
      <c r="C746">
        <v>0</v>
      </c>
    </row>
    <row r="747" spans="1:3" x14ac:dyDescent="0.25">
      <c r="A747" s="3" t="s">
        <v>3976</v>
      </c>
      <c r="B747">
        <v>0</v>
      </c>
      <c r="C747">
        <v>0</v>
      </c>
    </row>
    <row r="748" spans="1:3" x14ac:dyDescent="0.25">
      <c r="A748" s="3" t="s">
        <v>1026</v>
      </c>
      <c r="B748">
        <v>1</v>
      </c>
      <c r="C748">
        <v>0</v>
      </c>
    </row>
    <row r="749" spans="1:3" x14ac:dyDescent="0.25">
      <c r="A749" s="3" t="s">
        <v>988</v>
      </c>
      <c r="B749">
        <v>0</v>
      </c>
      <c r="C749">
        <v>0</v>
      </c>
    </row>
    <row r="750" spans="1:3" x14ac:dyDescent="0.25">
      <c r="A750" s="3" t="s">
        <v>3471</v>
      </c>
      <c r="B750">
        <v>1</v>
      </c>
      <c r="C750">
        <v>1</v>
      </c>
    </row>
    <row r="751" spans="1:3" x14ac:dyDescent="0.25">
      <c r="A751" s="3" t="s">
        <v>1460</v>
      </c>
      <c r="B751">
        <v>0</v>
      </c>
      <c r="C751">
        <v>0</v>
      </c>
    </row>
    <row r="752" spans="1:3" x14ac:dyDescent="0.25">
      <c r="A752" s="3" t="s">
        <v>1343</v>
      </c>
      <c r="B752">
        <v>0</v>
      </c>
      <c r="C752">
        <v>0</v>
      </c>
    </row>
    <row r="753" spans="1:3" x14ac:dyDescent="0.25">
      <c r="A753" s="3" t="s">
        <v>1849</v>
      </c>
      <c r="B753">
        <v>0</v>
      </c>
      <c r="C753">
        <v>0</v>
      </c>
    </row>
    <row r="754" spans="1:3" x14ac:dyDescent="0.25">
      <c r="A754" s="3" t="s">
        <v>137</v>
      </c>
      <c r="B754">
        <v>5</v>
      </c>
      <c r="C754">
        <v>0</v>
      </c>
    </row>
    <row r="755" spans="1:3" x14ac:dyDescent="0.25">
      <c r="A755" s="3" t="s">
        <v>3811</v>
      </c>
      <c r="B755">
        <v>4</v>
      </c>
      <c r="C755">
        <v>1</v>
      </c>
    </row>
    <row r="756" spans="1:3" x14ac:dyDescent="0.25">
      <c r="A756" s="3" t="s">
        <v>1117</v>
      </c>
      <c r="B756">
        <v>0</v>
      </c>
      <c r="C756">
        <v>0</v>
      </c>
    </row>
    <row r="757" spans="1:3" x14ac:dyDescent="0.25">
      <c r="A757" s="3" t="s">
        <v>2359</v>
      </c>
      <c r="B757">
        <v>0</v>
      </c>
      <c r="C757">
        <v>0</v>
      </c>
    </row>
    <row r="758" spans="1:3" x14ac:dyDescent="0.25">
      <c r="A758" s="3" t="s">
        <v>3455</v>
      </c>
      <c r="B758">
        <v>3</v>
      </c>
      <c r="C758">
        <v>0</v>
      </c>
    </row>
    <row r="759" spans="1:3" x14ac:dyDescent="0.25">
      <c r="A759" s="3" t="s">
        <v>369</v>
      </c>
      <c r="B759">
        <v>0</v>
      </c>
      <c r="C759">
        <v>0</v>
      </c>
    </row>
    <row r="760" spans="1:3" x14ac:dyDescent="0.25">
      <c r="A760" s="3" t="s">
        <v>1932</v>
      </c>
      <c r="B760">
        <v>1</v>
      </c>
      <c r="C760">
        <v>0</v>
      </c>
    </row>
    <row r="761" spans="1:3" x14ac:dyDescent="0.25">
      <c r="A761" s="3" t="s">
        <v>1894</v>
      </c>
      <c r="B761">
        <v>0</v>
      </c>
      <c r="C761">
        <v>0</v>
      </c>
    </row>
    <row r="762" spans="1:3" x14ac:dyDescent="0.25">
      <c r="A762" s="3" t="s">
        <v>960</v>
      </c>
      <c r="B762">
        <v>0</v>
      </c>
      <c r="C762">
        <v>0</v>
      </c>
    </row>
    <row r="763" spans="1:3" x14ac:dyDescent="0.25">
      <c r="A763" s="3" t="s">
        <v>746</v>
      </c>
      <c r="B763">
        <v>1</v>
      </c>
      <c r="C763">
        <v>0</v>
      </c>
    </row>
    <row r="764" spans="1:3" x14ac:dyDescent="0.25">
      <c r="A764" s="3" t="s">
        <v>2262</v>
      </c>
      <c r="B764">
        <v>0</v>
      </c>
      <c r="C764">
        <v>0</v>
      </c>
    </row>
    <row r="765" spans="1:3" x14ac:dyDescent="0.25">
      <c r="A765" s="3" t="s">
        <v>1509</v>
      </c>
      <c r="B765">
        <v>2</v>
      </c>
      <c r="C765">
        <v>0</v>
      </c>
    </row>
    <row r="766" spans="1:3" x14ac:dyDescent="0.25">
      <c r="A766" s="3" t="s">
        <v>1774</v>
      </c>
      <c r="B766">
        <v>0</v>
      </c>
      <c r="C766">
        <v>0</v>
      </c>
    </row>
    <row r="767" spans="1:3" x14ac:dyDescent="0.25">
      <c r="A767" s="3" t="s">
        <v>2893</v>
      </c>
      <c r="B767">
        <v>0</v>
      </c>
      <c r="C767">
        <v>0</v>
      </c>
    </row>
    <row r="768" spans="1:3" x14ac:dyDescent="0.25">
      <c r="A768" s="3" t="s">
        <v>4685</v>
      </c>
      <c r="B768">
        <v>0</v>
      </c>
      <c r="C768">
        <v>0</v>
      </c>
    </row>
    <row r="769" spans="1:3" x14ac:dyDescent="0.25">
      <c r="A769" s="3" t="s">
        <v>356</v>
      </c>
      <c r="B769">
        <v>0</v>
      </c>
      <c r="C769">
        <v>0</v>
      </c>
    </row>
    <row r="770" spans="1:3" x14ac:dyDescent="0.25">
      <c r="A770" s="3" t="s">
        <v>2649</v>
      </c>
      <c r="B770">
        <v>13</v>
      </c>
      <c r="C770">
        <v>1</v>
      </c>
    </row>
    <row r="771" spans="1:3" x14ac:dyDescent="0.25">
      <c r="A771" s="3" t="s">
        <v>1750</v>
      </c>
      <c r="B771">
        <v>3</v>
      </c>
      <c r="C771">
        <v>0</v>
      </c>
    </row>
    <row r="772" spans="1:3" x14ac:dyDescent="0.25">
      <c r="A772" s="3" t="s">
        <v>2925</v>
      </c>
      <c r="B772">
        <v>0</v>
      </c>
      <c r="C772">
        <v>0</v>
      </c>
    </row>
    <row r="773" spans="1:3" x14ac:dyDescent="0.25">
      <c r="A773" s="3" t="s">
        <v>2879</v>
      </c>
      <c r="B773">
        <v>0</v>
      </c>
      <c r="C773">
        <v>0</v>
      </c>
    </row>
    <row r="774" spans="1:3" x14ac:dyDescent="0.25">
      <c r="A774" s="3" t="s">
        <v>1739</v>
      </c>
      <c r="B774">
        <v>0</v>
      </c>
      <c r="C774">
        <v>0</v>
      </c>
    </row>
    <row r="775" spans="1:3" x14ac:dyDescent="0.25">
      <c r="A775" s="3" t="s">
        <v>332</v>
      </c>
      <c r="B775">
        <v>0</v>
      </c>
      <c r="C775">
        <v>0</v>
      </c>
    </row>
    <row r="776" spans="1:3" x14ac:dyDescent="0.25">
      <c r="A776" s="3" t="s">
        <v>2937</v>
      </c>
      <c r="B776">
        <v>1</v>
      </c>
      <c r="C776">
        <v>0</v>
      </c>
    </row>
    <row r="777" spans="1:3" x14ac:dyDescent="0.25">
      <c r="A777" s="3" t="s">
        <v>3261</v>
      </c>
      <c r="B777">
        <v>5</v>
      </c>
      <c r="C777">
        <v>0</v>
      </c>
    </row>
    <row r="778" spans="1:3" x14ac:dyDescent="0.25">
      <c r="A778" s="3" t="s">
        <v>2504</v>
      </c>
      <c r="B778">
        <v>0</v>
      </c>
      <c r="C778">
        <v>0</v>
      </c>
    </row>
    <row r="779" spans="1:3" x14ac:dyDescent="0.25">
      <c r="A779" s="3" t="s">
        <v>2349</v>
      </c>
      <c r="B779">
        <v>1</v>
      </c>
      <c r="C779">
        <v>0</v>
      </c>
    </row>
    <row r="780" spans="1:3" x14ac:dyDescent="0.25">
      <c r="A780" s="3" t="s">
        <v>2607</v>
      </c>
      <c r="B780">
        <v>0</v>
      </c>
      <c r="C780">
        <v>0</v>
      </c>
    </row>
    <row r="781" spans="1:3" x14ac:dyDescent="0.25">
      <c r="A781" s="3" t="s">
        <v>4067</v>
      </c>
      <c r="B781">
        <v>0</v>
      </c>
      <c r="C781">
        <v>0</v>
      </c>
    </row>
    <row r="782" spans="1:3" x14ac:dyDescent="0.25">
      <c r="A782" s="3" t="s">
        <v>2842</v>
      </c>
      <c r="B782">
        <v>0</v>
      </c>
      <c r="C782">
        <v>0</v>
      </c>
    </row>
    <row r="783" spans="1:3" x14ac:dyDescent="0.25">
      <c r="A783" s="3" t="s">
        <v>4408</v>
      </c>
      <c r="B783">
        <v>1</v>
      </c>
      <c r="C783">
        <v>0</v>
      </c>
    </row>
    <row r="784" spans="1:3" x14ac:dyDescent="0.25">
      <c r="A784" s="3" t="s">
        <v>4703</v>
      </c>
      <c r="B784">
        <v>4</v>
      </c>
      <c r="C784">
        <v>0</v>
      </c>
    </row>
    <row r="785" spans="1:3" x14ac:dyDescent="0.25">
      <c r="A785" s="3" t="s">
        <v>4544</v>
      </c>
      <c r="B785">
        <v>0</v>
      </c>
      <c r="C785">
        <v>0</v>
      </c>
    </row>
    <row r="786" spans="1:3" x14ac:dyDescent="0.25">
      <c r="A786" s="3" t="s">
        <v>150</v>
      </c>
      <c r="B786">
        <v>0</v>
      </c>
      <c r="C786">
        <v>0</v>
      </c>
    </row>
    <row r="787" spans="1:3" x14ac:dyDescent="0.25">
      <c r="A787" s="3" t="s">
        <v>1808</v>
      </c>
      <c r="B787">
        <v>1</v>
      </c>
      <c r="C787">
        <v>0</v>
      </c>
    </row>
    <row r="788" spans="1:3" x14ac:dyDescent="0.25">
      <c r="A788" s="3" t="s">
        <v>1728</v>
      </c>
      <c r="B788">
        <v>5</v>
      </c>
      <c r="C788">
        <v>0</v>
      </c>
    </row>
    <row r="789" spans="1:3" x14ac:dyDescent="0.25">
      <c r="A789" s="3" t="s">
        <v>3768</v>
      </c>
      <c r="B789">
        <v>0</v>
      </c>
      <c r="C789">
        <v>0</v>
      </c>
    </row>
    <row r="790" spans="1:3" x14ac:dyDescent="0.25">
      <c r="A790" s="3" t="s">
        <v>3408</v>
      </c>
      <c r="B790">
        <v>1</v>
      </c>
      <c r="C790">
        <v>0</v>
      </c>
    </row>
    <row r="791" spans="1:3" x14ac:dyDescent="0.25">
      <c r="A791" s="3" t="s">
        <v>2882</v>
      </c>
      <c r="B791">
        <v>10</v>
      </c>
      <c r="C791">
        <v>0</v>
      </c>
    </row>
    <row r="792" spans="1:3" x14ac:dyDescent="0.25">
      <c r="A792" s="3" t="s">
        <v>3479</v>
      </c>
      <c r="B792">
        <v>6</v>
      </c>
      <c r="C792">
        <v>0</v>
      </c>
    </row>
    <row r="793" spans="1:3" x14ac:dyDescent="0.25">
      <c r="A793" s="3" t="s">
        <v>4049</v>
      </c>
      <c r="B793">
        <v>0</v>
      </c>
      <c r="C793">
        <v>0</v>
      </c>
    </row>
    <row r="794" spans="1:3" x14ac:dyDescent="0.25">
      <c r="A794" s="3" t="s">
        <v>1478</v>
      </c>
      <c r="B794">
        <v>8</v>
      </c>
      <c r="C794">
        <v>0</v>
      </c>
    </row>
    <row r="795" spans="1:3" x14ac:dyDescent="0.25">
      <c r="A795" s="3" t="s">
        <v>1385</v>
      </c>
      <c r="B795">
        <v>1</v>
      </c>
      <c r="C795">
        <v>0</v>
      </c>
    </row>
    <row r="796" spans="1:3" x14ac:dyDescent="0.25">
      <c r="A796" s="3" t="s">
        <v>3521</v>
      </c>
      <c r="B796">
        <v>0</v>
      </c>
      <c r="C796">
        <v>0</v>
      </c>
    </row>
    <row r="797" spans="1:3" x14ac:dyDescent="0.25">
      <c r="A797" s="3" t="s">
        <v>802</v>
      </c>
      <c r="B797">
        <v>0</v>
      </c>
      <c r="C797">
        <v>0</v>
      </c>
    </row>
    <row r="798" spans="1:3" x14ac:dyDescent="0.25">
      <c r="A798" s="3" t="s">
        <v>2339</v>
      </c>
      <c r="B798">
        <v>9</v>
      </c>
      <c r="C798">
        <v>0</v>
      </c>
    </row>
    <row r="799" spans="1:3" x14ac:dyDescent="0.25">
      <c r="A799" s="3" t="s">
        <v>311</v>
      </c>
      <c r="B799">
        <v>2</v>
      </c>
      <c r="C799">
        <v>0</v>
      </c>
    </row>
    <row r="800" spans="1:3" x14ac:dyDescent="0.25">
      <c r="A800" s="3" t="s">
        <v>1659</v>
      </c>
      <c r="B800">
        <v>0</v>
      </c>
      <c r="C800">
        <v>0</v>
      </c>
    </row>
    <row r="801" spans="1:3" x14ac:dyDescent="0.25">
      <c r="A801" s="3" t="s">
        <v>2082</v>
      </c>
      <c r="B801">
        <v>0</v>
      </c>
      <c r="C801">
        <v>0</v>
      </c>
    </row>
    <row r="802" spans="1:3" x14ac:dyDescent="0.25">
      <c r="A802" s="3" t="s">
        <v>13</v>
      </c>
      <c r="B802">
        <v>1</v>
      </c>
      <c r="C802">
        <v>0</v>
      </c>
    </row>
    <row r="803" spans="1:3" x14ac:dyDescent="0.25">
      <c r="A803" s="3" t="s">
        <v>37</v>
      </c>
      <c r="B803">
        <v>0</v>
      </c>
      <c r="C803">
        <v>0</v>
      </c>
    </row>
    <row r="804" spans="1:3" x14ac:dyDescent="0.25">
      <c r="A804" s="3" t="s">
        <v>53</v>
      </c>
      <c r="B804">
        <v>0</v>
      </c>
      <c r="C804">
        <v>0</v>
      </c>
    </row>
    <row r="805" spans="1:3" x14ac:dyDescent="0.25">
      <c r="A805" s="3" t="s">
        <v>91</v>
      </c>
      <c r="B805">
        <v>0</v>
      </c>
      <c r="C805">
        <v>0</v>
      </c>
    </row>
    <row r="806" spans="1:3" x14ac:dyDescent="0.25">
      <c r="A806" s="3" t="s">
        <v>112</v>
      </c>
      <c r="B806">
        <v>0</v>
      </c>
      <c r="C806">
        <v>0</v>
      </c>
    </row>
    <row r="807" spans="1:3" x14ac:dyDescent="0.25">
      <c r="A807" s="3" t="s">
        <v>156</v>
      </c>
      <c r="B807">
        <v>1</v>
      </c>
      <c r="C807">
        <v>0</v>
      </c>
    </row>
    <row r="808" spans="1:3" x14ac:dyDescent="0.25">
      <c r="A808" s="3" t="s">
        <v>160</v>
      </c>
      <c r="B808">
        <v>0</v>
      </c>
      <c r="C808">
        <v>0</v>
      </c>
    </row>
    <row r="809" spans="1:3" x14ac:dyDescent="0.25">
      <c r="A809" s="3" t="s">
        <v>178</v>
      </c>
      <c r="B809">
        <v>0</v>
      </c>
      <c r="C809">
        <v>0</v>
      </c>
    </row>
    <row r="810" spans="1:3" x14ac:dyDescent="0.25">
      <c r="A810" s="3" t="s">
        <v>182</v>
      </c>
      <c r="B810">
        <v>3</v>
      </c>
      <c r="C810">
        <v>0</v>
      </c>
    </row>
    <row r="811" spans="1:3" x14ac:dyDescent="0.25">
      <c r="A811" s="3" t="s">
        <v>198</v>
      </c>
      <c r="B811">
        <v>1</v>
      </c>
      <c r="C811">
        <v>0</v>
      </c>
    </row>
    <row r="812" spans="1:3" x14ac:dyDescent="0.25">
      <c r="A812" s="3" t="s">
        <v>218</v>
      </c>
      <c r="B812">
        <v>0</v>
      </c>
      <c r="C812">
        <v>0</v>
      </c>
    </row>
    <row r="813" spans="1:3" x14ac:dyDescent="0.25">
      <c r="A813" s="3" t="s">
        <v>222</v>
      </c>
      <c r="B813">
        <v>0</v>
      </c>
      <c r="C813">
        <v>0</v>
      </c>
    </row>
    <row r="814" spans="1:3" x14ac:dyDescent="0.25">
      <c r="A814" s="3" t="s">
        <v>226</v>
      </c>
      <c r="B814">
        <v>0</v>
      </c>
      <c r="C814">
        <v>0</v>
      </c>
    </row>
    <row r="815" spans="1:3" x14ac:dyDescent="0.25">
      <c r="A815" s="3" t="s">
        <v>235</v>
      </c>
      <c r="B815">
        <v>0</v>
      </c>
      <c r="C815">
        <v>0</v>
      </c>
    </row>
    <row r="816" spans="1:3" x14ac:dyDescent="0.25">
      <c r="A816" s="3" t="s">
        <v>243</v>
      </c>
      <c r="B816">
        <v>0</v>
      </c>
      <c r="C816">
        <v>0</v>
      </c>
    </row>
    <row r="817" spans="1:3" x14ac:dyDescent="0.25">
      <c r="A817" s="3" t="s">
        <v>248</v>
      </c>
      <c r="B817">
        <v>0</v>
      </c>
      <c r="C817">
        <v>0</v>
      </c>
    </row>
    <row r="818" spans="1:3" x14ac:dyDescent="0.25">
      <c r="A818" s="3" t="s">
        <v>262</v>
      </c>
      <c r="B818">
        <v>0</v>
      </c>
      <c r="C818">
        <v>0</v>
      </c>
    </row>
    <row r="819" spans="1:3" x14ac:dyDescent="0.25">
      <c r="A819" s="3" t="s">
        <v>272</v>
      </c>
      <c r="B819">
        <v>0</v>
      </c>
      <c r="C819">
        <v>0</v>
      </c>
    </row>
    <row r="820" spans="1:3" x14ac:dyDescent="0.25">
      <c r="A820" s="3" t="s">
        <v>300</v>
      </c>
      <c r="B820">
        <v>0</v>
      </c>
      <c r="C820">
        <v>0</v>
      </c>
    </row>
    <row r="821" spans="1:3" x14ac:dyDescent="0.25">
      <c r="A821" s="3" t="s">
        <v>308</v>
      </c>
      <c r="B821">
        <v>1</v>
      </c>
      <c r="C821">
        <v>0</v>
      </c>
    </row>
    <row r="822" spans="1:3" x14ac:dyDescent="0.25">
      <c r="A822" s="3" t="s">
        <v>314</v>
      </c>
      <c r="B822">
        <v>2</v>
      </c>
      <c r="C822">
        <v>0</v>
      </c>
    </row>
    <row r="823" spans="1:3" x14ac:dyDescent="0.25">
      <c r="A823" s="3" t="s">
        <v>343</v>
      </c>
      <c r="B823">
        <v>0</v>
      </c>
      <c r="C823">
        <v>0</v>
      </c>
    </row>
    <row r="824" spans="1:3" x14ac:dyDescent="0.25">
      <c r="A824" s="3" t="s">
        <v>376</v>
      </c>
      <c r="B824">
        <v>0</v>
      </c>
      <c r="C824">
        <v>0</v>
      </c>
    </row>
    <row r="825" spans="1:3" x14ac:dyDescent="0.25">
      <c r="A825" s="3" t="s">
        <v>387</v>
      </c>
      <c r="B825">
        <v>0</v>
      </c>
      <c r="C825">
        <v>0</v>
      </c>
    </row>
    <row r="826" spans="1:3" x14ac:dyDescent="0.25">
      <c r="A826" s="3" t="s">
        <v>393</v>
      </c>
      <c r="B826">
        <v>4</v>
      </c>
      <c r="C826">
        <v>0</v>
      </c>
    </row>
    <row r="827" spans="1:3" x14ac:dyDescent="0.25">
      <c r="A827" s="3" t="s">
        <v>417</v>
      </c>
      <c r="B827">
        <v>1</v>
      </c>
      <c r="C827">
        <v>0</v>
      </c>
    </row>
    <row r="828" spans="1:3" x14ac:dyDescent="0.25">
      <c r="A828" s="3" t="s">
        <v>467</v>
      </c>
      <c r="B828">
        <v>3</v>
      </c>
      <c r="C828">
        <v>0</v>
      </c>
    </row>
    <row r="829" spans="1:3" x14ac:dyDescent="0.25">
      <c r="A829" s="3" t="s">
        <v>470</v>
      </c>
      <c r="B829">
        <v>1</v>
      </c>
      <c r="C829">
        <v>0</v>
      </c>
    </row>
    <row r="830" spans="1:3" x14ac:dyDescent="0.25">
      <c r="A830" s="3" t="s">
        <v>474</v>
      </c>
      <c r="B830">
        <v>2</v>
      </c>
      <c r="C830">
        <v>0</v>
      </c>
    </row>
    <row r="831" spans="1:3" x14ac:dyDescent="0.25">
      <c r="A831" s="3" t="s">
        <v>506</v>
      </c>
      <c r="B831">
        <v>0</v>
      </c>
      <c r="C831">
        <v>0</v>
      </c>
    </row>
    <row r="832" spans="1:3" x14ac:dyDescent="0.25">
      <c r="A832" s="3" t="s">
        <v>509</v>
      </c>
      <c r="B832">
        <v>0</v>
      </c>
      <c r="C832">
        <v>0</v>
      </c>
    </row>
    <row r="833" spans="1:3" x14ac:dyDescent="0.25">
      <c r="A833" s="3" t="s">
        <v>516</v>
      </c>
      <c r="B833">
        <v>0</v>
      </c>
      <c r="C833">
        <v>0</v>
      </c>
    </row>
    <row r="834" spans="1:3" x14ac:dyDescent="0.25">
      <c r="A834" s="3" t="s">
        <v>519</v>
      </c>
      <c r="B834">
        <v>0</v>
      </c>
      <c r="C834">
        <v>0</v>
      </c>
    </row>
    <row r="835" spans="1:3" x14ac:dyDescent="0.25">
      <c r="A835" s="3" t="s">
        <v>532</v>
      </c>
      <c r="B835">
        <v>1</v>
      </c>
      <c r="C835">
        <v>0</v>
      </c>
    </row>
    <row r="836" spans="1:3" x14ac:dyDescent="0.25">
      <c r="A836" s="3" t="s">
        <v>549</v>
      </c>
      <c r="B836">
        <v>1</v>
      </c>
      <c r="C836">
        <v>0</v>
      </c>
    </row>
    <row r="837" spans="1:3" x14ac:dyDescent="0.25">
      <c r="A837" s="3" t="s">
        <v>552</v>
      </c>
      <c r="B837">
        <v>0</v>
      </c>
      <c r="C837">
        <v>0</v>
      </c>
    </row>
    <row r="838" spans="1:3" x14ac:dyDescent="0.25">
      <c r="A838" s="3" t="s">
        <v>559</v>
      </c>
      <c r="B838">
        <v>0</v>
      </c>
      <c r="C838">
        <v>0</v>
      </c>
    </row>
    <row r="839" spans="1:3" x14ac:dyDescent="0.25">
      <c r="A839" s="3" t="s">
        <v>570</v>
      </c>
      <c r="B839">
        <v>0</v>
      </c>
      <c r="C839">
        <v>0</v>
      </c>
    </row>
    <row r="840" spans="1:3" x14ac:dyDescent="0.25">
      <c r="A840" s="3" t="s">
        <v>579</v>
      </c>
      <c r="B840">
        <v>0</v>
      </c>
      <c r="C840">
        <v>0</v>
      </c>
    </row>
    <row r="841" spans="1:3" x14ac:dyDescent="0.25">
      <c r="A841" s="3" t="s">
        <v>598</v>
      </c>
      <c r="B841">
        <v>3</v>
      </c>
      <c r="C841">
        <v>0</v>
      </c>
    </row>
    <row r="842" spans="1:3" x14ac:dyDescent="0.25">
      <c r="A842" s="3" t="s">
        <v>604</v>
      </c>
      <c r="B842">
        <v>0</v>
      </c>
      <c r="C842">
        <v>0</v>
      </c>
    </row>
    <row r="843" spans="1:3" x14ac:dyDescent="0.25">
      <c r="A843" s="3" t="s">
        <v>621</v>
      </c>
      <c r="B843">
        <v>0</v>
      </c>
      <c r="C843">
        <v>0</v>
      </c>
    </row>
    <row r="844" spans="1:3" x14ac:dyDescent="0.25">
      <c r="A844" s="3" t="s">
        <v>624</v>
      </c>
      <c r="B844">
        <v>0</v>
      </c>
      <c r="C844">
        <v>0</v>
      </c>
    </row>
    <row r="845" spans="1:3" x14ac:dyDescent="0.25">
      <c r="A845" s="3" t="s">
        <v>628</v>
      </c>
      <c r="B845">
        <v>4</v>
      </c>
      <c r="C845">
        <v>0</v>
      </c>
    </row>
    <row r="846" spans="1:3" x14ac:dyDescent="0.25">
      <c r="A846" s="3" t="s">
        <v>655</v>
      </c>
      <c r="B846">
        <v>0</v>
      </c>
      <c r="C846">
        <v>0</v>
      </c>
    </row>
    <row r="847" spans="1:3" x14ac:dyDescent="0.25">
      <c r="A847" s="3" t="s">
        <v>658</v>
      </c>
      <c r="B847">
        <v>1</v>
      </c>
      <c r="C847">
        <v>0</v>
      </c>
    </row>
    <row r="848" spans="1:3" x14ac:dyDescent="0.25">
      <c r="A848" s="3" t="s">
        <v>661</v>
      </c>
      <c r="B848">
        <v>0</v>
      </c>
      <c r="C848">
        <v>0</v>
      </c>
    </row>
    <row r="849" spans="1:3" x14ac:dyDescent="0.25">
      <c r="A849" s="3" t="s">
        <v>664</v>
      </c>
      <c r="B849">
        <v>3</v>
      </c>
      <c r="C849">
        <v>0</v>
      </c>
    </row>
    <row r="850" spans="1:3" x14ac:dyDescent="0.25">
      <c r="A850" s="3" t="s">
        <v>667</v>
      </c>
      <c r="B850">
        <v>0</v>
      </c>
      <c r="C850">
        <v>0</v>
      </c>
    </row>
    <row r="851" spans="1:3" x14ac:dyDescent="0.25">
      <c r="A851" s="3" t="s">
        <v>684</v>
      </c>
      <c r="B851">
        <v>0</v>
      </c>
      <c r="C851">
        <v>0</v>
      </c>
    </row>
    <row r="852" spans="1:3" x14ac:dyDescent="0.25">
      <c r="A852" s="3" t="s">
        <v>702</v>
      </c>
      <c r="B852">
        <v>0</v>
      </c>
      <c r="C852">
        <v>0</v>
      </c>
    </row>
    <row r="853" spans="1:3" x14ac:dyDescent="0.25">
      <c r="A853" s="3" t="s">
        <v>712</v>
      </c>
      <c r="B853">
        <v>0</v>
      </c>
      <c r="C853">
        <v>0</v>
      </c>
    </row>
    <row r="854" spans="1:3" x14ac:dyDescent="0.25">
      <c r="A854" s="3" t="s">
        <v>718</v>
      </c>
      <c r="B854">
        <v>0</v>
      </c>
      <c r="C854">
        <v>0</v>
      </c>
    </row>
    <row r="855" spans="1:3" x14ac:dyDescent="0.25">
      <c r="A855" s="3" t="s">
        <v>721</v>
      </c>
      <c r="B855">
        <v>1</v>
      </c>
      <c r="C855">
        <v>0</v>
      </c>
    </row>
    <row r="856" spans="1:3" x14ac:dyDescent="0.25">
      <c r="A856" s="3" t="s">
        <v>739</v>
      </c>
      <c r="B856">
        <v>0</v>
      </c>
      <c r="C856">
        <v>0</v>
      </c>
    </row>
    <row r="857" spans="1:3" x14ac:dyDescent="0.25">
      <c r="A857" s="3" t="s">
        <v>765</v>
      </c>
      <c r="B857">
        <v>0</v>
      </c>
      <c r="C857">
        <v>0</v>
      </c>
    </row>
    <row r="858" spans="1:3" x14ac:dyDescent="0.25">
      <c r="A858" s="3" t="s">
        <v>769</v>
      </c>
      <c r="B858">
        <v>0</v>
      </c>
      <c r="C858">
        <v>0</v>
      </c>
    </row>
    <row r="859" spans="1:3" x14ac:dyDescent="0.25">
      <c r="A859" s="3" t="s">
        <v>788</v>
      </c>
      <c r="B859">
        <v>0</v>
      </c>
      <c r="C859">
        <v>0</v>
      </c>
    </row>
    <row r="860" spans="1:3" x14ac:dyDescent="0.25">
      <c r="A860" s="3" t="s">
        <v>809</v>
      </c>
      <c r="B860">
        <v>0</v>
      </c>
      <c r="C860">
        <v>0</v>
      </c>
    </row>
    <row r="861" spans="1:3" x14ac:dyDescent="0.25">
      <c r="A861" s="3" t="s">
        <v>812</v>
      </c>
      <c r="B861">
        <v>1</v>
      </c>
      <c r="C861">
        <v>0</v>
      </c>
    </row>
    <row r="862" spans="1:3" x14ac:dyDescent="0.25">
      <c r="A862" s="3" t="s">
        <v>815</v>
      </c>
      <c r="B862">
        <v>0</v>
      </c>
      <c r="C862">
        <v>0</v>
      </c>
    </row>
    <row r="863" spans="1:3" x14ac:dyDescent="0.25">
      <c r="A863" s="3" t="s">
        <v>838</v>
      </c>
      <c r="B863">
        <v>12</v>
      </c>
      <c r="C863">
        <v>0</v>
      </c>
    </row>
    <row r="864" spans="1:3" x14ac:dyDescent="0.25">
      <c r="A864" s="3" t="s">
        <v>870</v>
      </c>
      <c r="B864">
        <v>0</v>
      </c>
      <c r="C864">
        <v>0</v>
      </c>
    </row>
    <row r="865" spans="1:3" x14ac:dyDescent="0.25">
      <c r="A865" s="3" t="s">
        <v>910</v>
      </c>
      <c r="B865">
        <v>0</v>
      </c>
      <c r="C865">
        <v>0</v>
      </c>
    </row>
    <row r="866" spans="1:3" x14ac:dyDescent="0.25">
      <c r="A866" s="3" t="s">
        <v>922</v>
      </c>
      <c r="B866">
        <v>0</v>
      </c>
      <c r="C866">
        <v>0</v>
      </c>
    </row>
    <row r="867" spans="1:3" x14ac:dyDescent="0.25">
      <c r="A867" s="3" t="s">
        <v>933</v>
      </c>
      <c r="B867">
        <v>0</v>
      </c>
      <c r="C867">
        <v>0</v>
      </c>
    </row>
    <row r="868" spans="1:3" x14ac:dyDescent="0.25">
      <c r="A868" s="3" t="s">
        <v>948</v>
      </c>
      <c r="B868">
        <v>2</v>
      </c>
      <c r="C868">
        <v>0</v>
      </c>
    </row>
    <row r="869" spans="1:3" x14ac:dyDescent="0.25">
      <c r="A869" s="3" t="s">
        <v>957</v>
      </c>
      <c r="B869">
        <v>0</v>
      </c>
      <c r="C869">
        <v>0</v>
      </c>
    </row>
    <row r="870" spans="1:3" x14ac:dyDescent="0.25">
      <c r="A870" s="3" t="s">
        <v>994</v>
      </c>
      <c r="B870">
        <v>3</v>
      </c>
      <c r="C870">
        <v>0</v>
      </c>
    </row>
    <row r="871" spans="1:3" x14ac:dyDescent="0.25">
      <c r="A871" s="3" t="s">
        <v>1011</v>
      </c>
      <c r="B871">
        <v>0</v>
      </c>
      <c r="C871">
        <v>0</v>
      </c>
    </row>
    <row r="872" spans="1:3" x14ac:dyDescent="0.25">
      <c r="A872" s="3" t="s">
        <v>1032</v>
      </c>
      <c r="B872">
        <v>0</v>
      </c>
      <c r="C872">
        <v>0</v>
      </c>
    </row>
    <row r="873" spans="1:3" x14ac:dyDescent="0.25">
      <c r="A873" s="3" t="s">
        <v>1048</v>
      </c>
      <c r="B873">
        <v>0</v>
      </c>
      <c r="C873">
        <v>0</v>
      </c>
    </row>
    <row r="874" spans="1:3" x14ac:dyDescent="0.25">
      <c r="A874" s="3" t="s">
        <v>1051</v>
      </c>
      <c r="B874">
        <v>1</v>
      </c>
      <c r="C874">
        <v>0</v>
      </c>
    </row>
    <row r="875" spans="1:3" x14ac:dyDescent="0.25">
      <c r="A875" s="3" t="s">
        <v>1068</v>
      </c>
      <c r="B875">
        <v>0</v>
      </c>
      <c r="C875">
        <v>0</v>
      </c>
    </row>
    <row r="876" spans="1:3" x14ac:dyDescent="0.25">
      <c r="A876" s="3" t="s">
        <v>1071</v>
      </c>
      <c r="B876">
        <v>0</v>
      </c>
      <c r="C876">
        <v>0</v>
      </c>
    </row>
    <row r="877" spans="1:3" x14ac:dyDescent="0.25">
      <c r="A877" s="3" t="s">
        <v>1105</v>
      </c>
      <c r="B877">
        <v>0</v>
      </c>
      <c r="C877">
        <v>0</v>
      </c>
    </row>
    <row r="878" spans="1:3" x14ac:dyDescent="0.25">
      <c r="A878" s="3" t="s">
        <v>1111</v>
      </c>
      <c r="B878">
        <v>0</v>
      </c>
      <c r="C878">
        <v>0</v>
      </c>
    </row>
    <row r="879" spans="1:3" x14ac:dyDescent="0.25">
      <c r="A879" s="3" t="s">
        <v>1114</v>
      </c>
      <c r="B879">
        <v>2</v>
      </c>
      <c r="C879">
        <v>0</v>
      </c>
    </row>
    <row r="880" spans="1:3" x14ac:dyDescent="0.25">
      <c r="A880" s="3" t="s">
        <v>1174</v>
      </c>
      <c r="B880">
        <v>0</v>
      </c>
      <c r="C880">
        <v>0</v>
      </c>
    </row>
    <row r="881" spans="1:3" x14ac:dyDescent="0.25">
      <c r="A881" s="3" t="s">
        <v>1184</v>
      </c>
      <c r="B881">
        <v>0</v>
      </c>
      <c r="C881">
        <v>0</v>
      </c>
    </row>
    <row r="882" spans="1:3" x14ac:dyDescent="0.25">
      <c r="A882" s="3" t="s">
        <v>1187</v>
      </c>
      <c r="B882">
        <v>0</v>
      </c>
      <c r="C882">
        <v>0</v>
      </c>
    </row>
    <row r="883" spans="1:3" x14ac:dyDescent="0.25">
      <c r="A883" s="3" t="s">
        <v>1208</v>
      </c>
      <c r="B883">
        <v>3</v>
      </c>
      <c r="C883">
        <v>0</v>
      </c>
    </row>
    <row r="884" spans="1:3" x14ac:dyDescent="0.25">
      <c r="A884" s="3" t="s">
        <v>1223</v>
      </c>
      <c r="B884">
        <v>1</v>
      </c>
      <c r="C884">
        <v>0</v>
      </c>
    </row>
    <row r="885" spans="1:3" x14ac:dyDescent="0.25">
      <c r="A885" s="3" t="s">
        <v>1226</v>
      </c>
      <c r="B885">
        <v>0</v>
      </c>
      <c r="C885">
        <v>0</v>
      </c>
    </row>
    <row r="886" spans="1:3" x14ac:dyDescent="0.25">
      <c r="A886" s="3" t="s">
        <v>1230</v>
      </c>
      <c r="B886">
        <v>1</v>
      </c>
      <c r="C886">
        <v>0</v>
      </c>
    </row>
    <row r="887" spans="1:3" x14ac:dyDescent="0.25">
      <c r="A887" s="3" t="s">
        <v>1233</v>
      </c>
      <c r="B887">
        <v>0</v>
      </c>
      <c r="C887">
        <v>0</v>
      </c>
    </row>
    <row r="888" spans="1:3" x14ac:dyDescent="0.25">
      <c r="A888" s="3" t="s">
        <v>1236</v>
      </c>
      <c r="B888">
        <v>0</v>
      </c>
      <c r="C888">
        <v>0</v>
      </c>
    </row>
    <row r="889" spans="1:3" x14ac:dyDescent="0.25">
      <c r="A889" s="3" t="s">
        <v>1239</v>
      </c>
      <c r="B889">
        <v>1</v>
      </c>
      <c r="C889">
        <v>0</v>
      </c>
    </row>
    <row r="890" spans="1:3" x14ac:dyDescent="0.25">
      <c r="A890" s="3" t="s">
        <v>1248</v>
      </c>
      <c r="B890">
        <v>3</v>
      </c>
      <c r="C890">
        <v>0</v>
      </c>
    </row>
    <row r="891" spans="1:3" x14ac:dyDescent="0.25">
      <c r="A891" s="3" t="s">
        <v>1266</v>
      </c>
      <c r="B891">
        <v>4</v>
      </c>
      <c r="C891">
        <v>0</v>
      </c>
    </row>
    <row r="892" spans="1:3" x14ac:dyDescent="0.25">
      <c r="A892" s="3" t="s">
        <v>1277</v>
      </c>
      <c r="B892">
        <v>0</v>
      </c>
      <c r="C892">
        <v>0</v>
      </c>
    </row>
    <row r="893" spans="1:3" x14ac:dyDescent="0.25">
      <c r="A893" s="3" t="s">
        <v>1280</v>
      </c>
      <c r="B893">
        <v>2</v>
      </c>
      <c r="C893">
        <v>0</v>
      </c>
    </row>
    <row r="894" spans="1:3" x14ac:dyDescent="0.25">
      <c r="A894" s="3" t="s">
        <v>1283</v>
      </c>
      <c r="B894">
        <v>0</v>
      </c>
      <c r="C894">
        <v>0</v>
      </c>
    </row>
    <row r="895" spans="1:3" x14ac:dyDescent="0.25">
      <c r="A895" s="3" t="s">
        <v>1286</v>
      </c>
      <c r="B895">
        <v>5</v>
      </c>
      <c r="C895">
        <v>0</v>
      </c>
    </row>
    <row r="896" spans="1:3" x14ac:dyDescent="0.25">
      <c r="A896" s="3" t="s">
        <v>1289</v>
      </c>
      <c r="B896">
        <v>1</v>
      </c>
      <c r="C896">
        <v>0</v>
      </c>
    </row>
    <row r="897" spans="1:3" x14ac:dyDescent="0.25">
      <c r="A897" s="3" t="s">
        <v>1295</v>
      </c>
      <c r="B897">
        <v>0</v>
      </c>
      <c r="C897">
        <v>0</v>
      </c>
    </row>
    <row r="898" spans="1:3" x14ac:dyDescent="0.25">
      <c r="A898" s="3" t="s">
        <v>1303</v>
      </c>
      <c r="B898">
        <v>1</v>
      </c>
      <c r="C898">
        <v>0</v>
      </c>
    </row>
    <row r="899" spans="1:3" x14ac:dyDescent="0.25">
      <c r="A899" s="3" t="s">
        <v>1306</v>
      </c>
      <c r="B899">
        <v>0</v>
      </c>
      <c r="C899">
        <v>0</v>
      </c>
    </row>
    <row r="900" spans="1:3" x14ac:dyDescent="0.25">
      <c r="A900" s="3" t="s">
        <v>1309</v>
      </c>
      <c r="B900">
        <v>1</v>
      </c>
      <c r="C900">
        <v>0</v>
      </c>
    </row>
    <row r="901" spans="1:3" x14ac:dyDescent="0.25">
      <c r="A901" s="3" t="s">
        <v>1312</v>
      </c>
      <c r="B901">
        <v>0</v>
      </c>
      <c r="C901">
        <v>0</v>
      </c>
    </row>
    <row r="902" spans="1:3" x14ac:dyDescent="0.25">
      <c r="A902" s="3" t="s">
        <v>1315</v>
      </c>
      <c r="B902">
        <v>2</v>
      </c>
      <c r="C902">
        <v>0</v>
      </c>
    </row>
    <row r="903" spans="1:3" x14ac:dyDescent="0.25">
      <c r="A903" s="3" t="s">
        <v>1318</v>
      </c>
      <c r="B903">
        <v>0</v>
      </c>
      <c r="C903">
        <v>0</v>
      </c>
    </row>
    <row r="904" spans="1:3" x14ac:dyDescent="0.25">
      <c r="A904" s="3" t="s">
        <v>1321</v>
      </c>
      <c r="B904">
        <v>2</v>
      </c>
      <c r="C904">
        <v>0</v>
      </c>
    </row>
    <row r="905" spans="1:3" x14ac:dyDescent="0.25">
      <c r="A905" s="3" t="s">
        <v>1334</v>
      </c>
      <c r="B905">
        <v>0</v>
      </c>
      <c r="C905">
        <v>0</v>
      </c>
    </row>
    <row r="906" spans="1:3" x14ac:dyDescent="0.25">
      <c r="A906" s="3" t="s">
        <v>1346</v>
      </c>
      <c r="B906">
        <v>0</v>
      </c>
      <c r="C906">
        <v>0</v>
      </c>
    </row>
    <row r="907" spans="1:3" x14ac:dyDescent="0.25">
      <c r="A907" s="3" t="s">
        <v>1359</v>
      </c>
      <c r="B907">
        <v>2</v>
      </c>
      <c r="C907">
        <v>0</v>
      </c>
    </row>
    <row r="908" spans="1:3" x14ac:dyDescent="0.25">
      <c r="A908" s="3" t="s">
        <v>1365</v>
      </c>
      <c r="B908">
        <v>0</v>
      </c>
      <c r="C908">
        <v>0</v>
      </c>
    </row>
    <row r="909" spans="1:3" x14ac:dyDescent="0.25">
      <c r="A909" s="3" t="s">
        <v>1388</v>
      </c>
      <c r="B909">
        <v>0</v>
      </c>
      <c r="C909">
        <v>0</v>
      </c>
    </row>
    <row r="910" spans="1:3" x14ac:dyDescent="0.25">
      <c r="A910" s="3" t="s">
        <v>1399</v>
      </c>
      <c r="B910">
        <v>5</v>
      </c>
      <c r="C910">
        <v>0</v>
      </c>
    </row>
    <row r="911" spans="1:3" x14ac:dyDescent="0.25">
      <c r="A911" s="3" t="s">
        <v>1402</v>
      </c>
      <c r="B911">
        <v>0</v>
      </c>
      <c r="C911">
        <v>0</v>
      </c>
    </row>
    <row r="912" spans="1:3" x14ac:dyDescent="0.25">
      <c r="A912" s="3" t="s">
        <v>1405</v>
      </c>
      <c r="B912">
        <v>1</v>
      </c>
      <c r="C912">
        <v>0</v>
      </c>
    </row>
    <row r="913" spans="1:3" x14ac:dyDescent="0.25">
      <c r="A913" s="3" t="s">
        <v>1418</v>
      </c>
      <c r="B913">
        <v>0</v>
      </c>
      <c r="C913">
        <v>0</v>
      </c>
    </row>
    <row r="914" spans="1:3" x14ac:dyDescent="0.25">
      <c r="A914" s="3" t="s">
        <v>1431</v>
      </c>
      <c r="B914">
        <v>1</v>
      </c>
      <c r="C914">
        <v>0</v>
      </c>
    </row>
    <row r="915" spans="1:3" x14ac:dyDescent="0.25">
      <c r="A915" s="3" t="s">
        <v>1439</v>
      </c>
      <c r="B915">
        <v>0</v>
      </c>
      <c r="C915">
        <v>0</v>
      </c>
    </row>
    <row r="916" spans="1:3" x14ac:dyDescent="0.25">
      <c r="A916" s="3" t="s">
        <v>1467</v>
      </c>
      <c r="B916">
        <v>1</v>
      </c>
      <c r="C916">
        <v>0</v>
      </c>
    </row>
    <row r="917" spans="1:3" x14ac:dyDescent="0.25">
      <c r="A917" s="3" t="s">
        <v>1475</v>
      </c>
      <c r="B917">
        <v>0</v>
      </c>
      <c r="C917">
        <v>0</v>
      </c>
    </row>
    <row r="918" spans="1:3" x14ac:dyDescent="0.25">
      <c r="A918" s="3" t="s">
        <v>1484</v>
      </c>
      <c r="B918">
        <v>0</v>
      </c>
      <c r="C918">
        <v>0</v>
      </c>
    </row>
    <row r="919" spans="1:3" x14ac:dyDescent="0.25">
      <c r="A919" s="3" t="s">
        <v>1512</v>
      </c>
      <c r="B919">
        <v>0</v>
      </c>
      <c r="C919">
        <v>0</v>
      </c>
    </row>
    <row r="920" spans="1:3" x14ac:dyDescent="0.25">
      <c r="A920" s="3" t="s">
        <v>1525</v>
      </c>
      <c r="B920">
        <v>2</v>
      </c>
      <c r="C920">
        <v>0</v>
      </c>
    </row>
    <row r="921" spans="1:3" x14ac:dyDescent="0.25">
      <c r="A921" s="3" t="s">
        <v>1531</v>
      </c>
      <c r="B921">
        <v>0</v>
      </c>
      <c r="C921">
        <v>0</v>
      </c>
    </row>
    <row r="922" spans="1:3" x14ac:dyDescent="0.25">
      <c r="A922" s="3" t="s">
        <v>1591</v>
      </c>
      <c r="B922">
        <v>0</v>
      </c>
      <c r="C922">
        <v>0</v>
      </c>
    </row>
    <row r="923" spans="1:3" x14ac:dyDescent="0.25">
      <c r="A923" s="3" t="s">
        <v>1626</v>
      </c>
      <c r="B923">
        <v>0</v>
      </c>
      <c r="C923">
        <v>0</v>
      </c>
    </row>
    <row r="924" spans="1:3" x14ac:dyDescent="0.25">
      <c r="A924" s="3" t="s">
        <v>1635</v>
      </c>
      <c r="B924">
        <v>0</v>
      </c>
      <c r="C924">
        <v>0</v>
      </c>
    </row>
    <row r="925" spans="1:3" x14ac:dyDescent="0.25">
      <c r="A925" s="3" t="s">
        <v>1638</v>
      </c>
      <c r="B925">
        <v>1</v>
      </c>
      <c r="C925">
        <v>0</v>
      </c>
    </row>
    <row r="926" spans="1:3" x14ac:dyDescent="0.25">
      <c r="A926" s="3" t="s">
        <v>1683</v>
      </c>
      <c r="B926">
        <v>0</v>
      </c>
      <c r="C926">
        <v>0</v>
      </c>
    </row>
    <row r="927" spans="1:3" x14ac:dyDescent="0.25">
      <c r="A927" s="3" t="s">
        <v>1753</v>
      </c>
      <c r="B927">
        <v>0</v>
      </c>
      <c r="C927">
        <v>0</v>
      </c>
    </row>
    <row r="928" spans="1:3" x14ac:dyDescent="0.25">
      <c r="A928" s="3" t="s">
        <v>1756</v>
      </c>
      <c r="B928">
        <v>5</v>
      </c>
      <c r="C928">
        <v>0</v>
      </c>
    </row>
    <row r="929" spans="1:3" x14ac:dyDescent="0.25">
      <c r="A929" s="3" t="s">
        <v>1786</v>
      </c>
      <c r="B929">
        <v>0</v>
      </c>
      <c r="C929">
        <v>0</v>
      </c>
    </row>
    <row r="930" spans="1:3" x14ac:dyDescent="0.25">
      <c r="A930" s="3" t="s">
        <v>1801</v>
      </c>
      <c r="B930">
        <v>1</v>
      </c>
      <c r="C930">
        <v>0</v>
      </c>
    </row>
    <row r="931" spans="1:3" x14ac:dyDescent="0.25">
      <c r="A931" s="3" t="s">
        <v>1821</v>
      </c>
      <c r="B931">
        <v>0</v>
      </c>
      <c r="C931">
        <v>0</v>
      </c>
    </row>
    <row r="932" spans="1:3" x14ac:dyDescent="0.25">
      <c r="A932" s="3" t="s">
        <v>1867</v>
      </c>
      <c r="B932">
        <v>0</v>
      </c>
      <c r="C932">
        <v>0</v>
      </c>
    </row>
    <row r="933" spans="1:3" x14ac:dyDescent="0.25">
      <c r="A933" s="3" t="s">
        <v>1903</v>
      </c>
      <c r="B933">
        <v>0</v>
      </c>
      <c r="C933">
        <v>0</v>
      </c>
    </row>
    <row r="934" spans="1:3" x14ac:dyDescent="0.25">
      <c r="A934" s="3" t="s">
        <v>1947</v>
      </c>
      <c r="B934">
        <v>0</v>
      </c>
      <c r="C934">
        <v>0</v>
      </c>
    </row>
    <row r="935" spans="1:3" x14ac:dyDescent="0.25">
      <c r="A935" s="3" t="s">
        <v>1976</v>
      </c>
      <c r="B935">
        <v>0</v>
      </c>
      <c r="C935">
        <v>0</v>
      </c>
    </row>
    <row r="936" spans="1:3" x14ac:dyDescent="0.25">
      <c r="A936" s="3" t="s">
        <v>1995</v>
      </c>
      <c r="B936">
        <v>1</v>
      </c>
      <c r="C936">
        <v>0</v>
      </c>
    </row>
    <row r="937" spans="1:3" x14ac:dyDescent="0.25">
      <c r="A937" s="3" t="s">
        <v>1998</v>
      </c>
      <c r="B937">
        <v>4</v>
      </c>
      <c r="C937">
        <v>0</v>
      </c>
    </row>
    <row r="938" spans="1:3" x14ac:dyDescent="0.25">
      <c r="A938" s="3" t="s">
        <v>2001</v>
      </c>
      <c r="B938">
        <v>1</v>
      </c>
      <c r="C938">
        <v>0</v>
      </c>
    </row>
    <row r="939" spans="1:3" x14ac:dyDescent="0.25">
      <c r="A939" s="3" t="s">
        <v>2009</v>
      </c>
      <c r="B939">
        <v>6</v>
      </c>
      <c r="C939">
        <v>1</v>
      </c>
    </row>
    <row r="940" spans="1:3" x14ac:dyDescent="0.25">
      <c r="A940" s="3" t="s">
        <v>2025</v>
      </c>
      <c r="B940">
        <v>0</v>
      </c>
      <c r="C940">
        <v>0</v>
      </c>
    </row>
    <row r="941" spans="1:3" x14ac:dyDescent="0.25">
      <c r="A941" s="3" t="s">
        <v>2033</v>
      </c>
      <c r="B941">
        <v>2</v>
      </c>
      <c r="C941">
        <v>0</v>
      </c>
    </row>
    <row r="942" spans="1:3" x14ac:dyDescent="0.25">
      <c r="A942" s="3" t="s">
        <v>2042</v>
      </c>
      <c r="B942">
        <v>0</v>
      </c>
      <c r="C942">
        <v>0</v>
      </c>
    </row>
    <row r="943" spans="1:3" x14ac:dyDescent="0.25">
      <c r="A943" s="3" t="s">
        <v>2053</v>
      </c>
      <c r="B943">
        <v>0</v>
      </c>
      <c r="C943">
        <v>0</v>
      </c>
    </row>
    <row r="944" spans="1:3" x14ac:dyDescent="0.25">
      <c r="A944" s="3" t="s">
        <v>2062</v>
      </c>
      <c r="B944">
        <v>0</v>
      </c>
      <c r="C944">
        <v>0</v>
      </c>
    </row>
    <row r="945" spans="1:3" x14ac:dyDescent="0.25">
      <c r="A945" s="3" t="s">
        <v>2072</v>
      </c>
      <c r="B945">
        <v>0</v>
      </c>
      <c r="C945">
        <v>0</v>
      </c>
    </row>
    <row r="946" spans="1:3" x14ac:dyDescent="0.25">
      <c r="A946" s="3" t="s">
        <v>2100</v>
      </c>
      <c r="B946">
        <v>0</v>
      </c>
      <c r="C946">
        <v>0</v>
      </c>
    </row>
    <row r="947" spans="1:3" x14ac:dyDescent="0.25">
      <c r="A947" s="3" t="s">
        <v>2103</v>
      </c>
      <c r="B947">
        <v>1</v>
      </c>
      <c r="C947">
        <v>0</v>
      </c>
    </row>
    <row r="948" spans="1:3" x14ac:dyDescent="0.25">
      <c r="A948" s="3" t="s">
        <v>2124</v>
      </c>
      <c r="B948">
        <v>0</v>
      </c>
      <c r="C948">
        <v>0</v>
      </c>
    </row>
    <row r="949" spans="1:3" x14ac:dyDescent="0.25">
      <c r="A949" s="3" t="s">
        <v>2154</v>
      </c>
      <c r="B949">
        <v>0</v>
      </c>
      <c r="C949">
        <v>0</v>
      </c>
    </row>
    <row r="950" spans="1:3" x14ac:dyDescent="0.25">
      <c r="A950" s="3" t="s">
        <v>2163</v>
      </c>
      <c r="B950">
        <v>0</v>
      </c>
      <c r="C950">
        <v>0</v>
      </c>
    </row>
    <row r="951" spans="1:3" x14ac:dyDescent="0.25">
      <c r="A951" s="3" t="s">
        <v>2179</v>
      </c>
      <c r="B951">
        <v>1</v>
      </c>
      <c r="C951">
        <v>0</v>
      </c>
    </row>
    <row r="952" spans="1:3" x14ac:dyDescent="0.25">
      <c r="A952" s="3" t="s">
        <v>2182</v>
      </c>
      <c r="B952">
        <v>0</v>
      </c>
      <c r="C952">
        <v>0</v>
      </c>
    </row>
    <row r="953" spans="1:3" x14ac:dyDescent="0.25">
      <c r="A953" s="3" t="s">
        <v>2195</v>
      </c>
      <c r="B953">
        <v>0</v>
      </c>
      <c r="C953">
        <v>0</v>
      </c>
    </row>
    <row r="954" spans="1:3" x14ac:dyDescent="0.25">
      <c r="A954" s="3" t="s">
        <v>2244</v>
      </c>
      <c r="B954">
        <v>3</v>
      </c>
      <c r="C954">
        <v>0</v>
      </c>
    </row>
    <row r="955" spans="1:3" x14ac:dyDescent="0.25">
      <c r="A955" s="3" t="s">
        <v>2259</v>
      </c>
      <c r="B955">
        <v>0</v>
      </c>
      <c r="C955">
        <v>0</v>
      </c>
    </row>
    <row r="956" spans="1:3" x14ac:dyDescent="0.25">
      <c r="A956" s="3" t="s">
        <v>2265</v>
      </c>
      <c r="B956">
        <v>0</v>
      </c>
      <c r="C956">
        <v>0</v>
      </c>
    </row>
    <row r="957" spans="1:3" x14ac:dyDescent="0.25">
      <c r="A957" s="3" t="s">
        <v>2319</v>
      </c>
      <c r="B957">
        <v>1</v>
      </c>
      <c r="C957">
        <v>0</v>
      </c>
    </row>
    <row r="958" spans="1:3" x14ac:dyDescent="0.25">
      <c r="A958" s="3" t="s">
        <v>2326</v>
      </c>
      <c r="B958">
        <v>0</v>
      </c>
      <c r="C958">
        <v>0</v>
      </c>
    </row>
    <row r="959" spans="1:3" x14ac:dyDescent="0.25">
      <c r="A959" s="3" t="s">
        <v>2329</v>
      </c>
      <c r="B959">
        <v>3</v>
      </c>
      <c r="C959">
        <v>0</v>
      </c>
    </row>
    <row r="960" spans="1:3" x14ac:dyDescent="0.25">
      <c r="A960" s="3" t="s">
        <v>2356</v>
      </c>
      <c r="B960">
        <v>0</v>
      </c>
      <c r="C960">
        <v>0</v>
      </c>
    </row>
    <row r="961" spans="1:3" x14ac:dyDescent="0.25">
      <c r="A961" s="3" t="s">
        <v>2364</v>
      </c>
      <c r="B961">
        <v>1</v>
      </c>
      <c r="C961">
        <v>0</v>
      </c>
    </row>
    <row r="962" spans="1:3" x14ac:dyDescent="0.25">
      <c r="A962" s="3" t="s">
        <v>2394</v>
      </c>
      <c r="B962">
        <v>0</v>
      </c>
      <c r="C962">
        <v>0</v>
      </c>
    </row>
    <row r="963" spans="1:3" x14ac:dyDescent="0.25">
      <c r="A963" s="3" t="s">
        <v>2410</v>
      </c>
      <c r="B963">
        <v>2</v>
      </c>
      <c r="C963">
        <v>0</v>
      </c>
    </row>
    <row r="964" spans="1:3" x14ac:dyDescent="0.25">
      <c r="A964" s="3" t="s">
        <v>2414</v>
      </c>
      <c r="B964">
        <v>1</v>
      </c>
      <c r="C964">
        <v>0</v>
      </c>
    </row>
    <row r="965" spans="1:3" x14ac:dyDescent="0.25">
      <c r="A965" s="3" t="s">
        <v>2424</v>
      </c>
      <c r="B965">
        <v>0</v>
      </c>
      <c r="C965">
        <v>0</v>
      </c>
    </row>
    <row r="966" spans="1:3" x14ac:dyDescent="0.25">
      <c r="A966" s="3" t="s">
        <v>2441</v>
      </c>
      <c r="B966">
        <v>3</v>
      </c>
      <c r="C966">
        <v>0</v>
      </c>
    </row>
    <row r="967" spans="1:3" x14ac:dyDescent="0.25">
      <c r="A967" s="3" t="s">
        <v>2454</v>
      </c>
      <c r="B967">
        <v>0</v>
      </c>
      <c r="C967">
        <v>0</v>
      </c>
    </row>
    <row r="968" spans="1:3" x14ac:dyDescent="0.25">
      <c r="A968" s="3" t="s">
        <v>2462</v>
      </c>
      <c r="B968">
        <v>0</v>
      </c>
      <c r="C968">
        <v>0</v>
      </c>
    </row>
    <row r="969" spans="1:3" x14ac:dyDescent="0.25">
      <c r="A969" s="3" t="s">
        <v>2468</v>
      </c>
      <c r="B969">
        <v>0</v>
      </c>
      <c r="C969">
        <v>0</v>
      </c>
    </row>
    <row r="970" spans="1:3" x14ac:dyDescent="0.25">
      <c r="A970" s="3" t="s">
        <v>2486</v>
      </c>
      <c r="B970">
        <v>0</v>
      </c>
      <c r="C970">
        <v>0</v>
      </c>
    </row>
    <row r="971" spans="1:3" x14ac:dyDescent="0.25">
      <c r="A971" s="3" t="s">
        <v>2524</v>
      </c>
      <c r="B971">
        <v>3</v>
      </c>
      <c r="C971">
        <v>0</v>
      </c>
    </row>
    <row r="972" spans="1:3" x14ac:dyDescent="0.25">
      <c r="A972" s="3" t="s">
        <v>2552</v>
      </c>
      <c r="B972">
        <v>0</v>
      </c>
      <c r="C972">
        <v>0</v>
      </c>
    </row>
    <row r="973" spans="1:3" x14ac:dyDescent="0.25">
      <c r="A973" s="3" t="s">
        <v>2587</v>
      </c>
      <c r="B973">
        <v>0</v>
      </c>
      <c r="C973">
        <v>0</v>
      </c>
    </row>
    <row r="974" spans="1:3" x14ac:dyDescent="0.25">
      <c r="A974" s="3" t="s">
        <v>2590</v>
      </c>
      <c r="B974">
        <v>1</v>
      </c>
      <c r="C974">
        <v>0</v>
      </c>
    </row>
    <row r="975" spans="1:3" x14ac:dyDescent="0.25">
      <c r="A975" s="3" t="s">
        <v>2623</v>
      </c>
      <c r="B975">
        <v>0</v>
      </c>
      <c r="C975">
        <v>0</v>
      </c>
    </row>
    <row r="976" spans="1:3" x14ac:dyDescent="0.25">
      <c r="A976" s="3" t="s">
        <v>2632</v>
      </c>
      <c r="B976">
        <v>0</v>
      </c>
      <c r="C976">
        <v>0</v>
      </c>
    </row>
    <row r="977" spans="1:3" x14ac:dyDescent="0.25">
      <c r="A977" s="3" t="s">
        <v>2696</v>
      </c>
      <c r="B977">
        <v>0</v>
      </c>
      <c r="C977">
        <v>0</v>
      </c>
    </row>
    <row r="978" spans="1:3" x14ac:dyDescent="0.25">
      <c r="A978" s="3" t="s">
        <v>2699</v>
      </c>
      <c r="B978">
        <v>0</v>
      </c>
      <c r="C978">
        <v>0</v>
      </c>
    </row>
    <row r="979" spans="1:3" x14ac:dyDescent="0.25">
      <c r="A979" s="3" t="s">
        <v>2709</v>
      </c>
      <c r="B979">
        <v>1</v>
      </c>
      <c r="C979">
        <v>0</v>
      </c>
    </row>
    <row r="980" spans="1:3" x14ac:dyDescent="0.25">
      <c r="A980" s="3" t="s">
        <v>2781</v>
      </c>
      <c r="B980">
        <v>1</v>
      </c>
      <c r="C980">
        <v>0</v>
      </c>
    </row>
    <row r="981" spans="1:3" x14ac:dyDescent="0.25">
      <c r="A981" s="3" t="s">
        <v>2788</v>
      </c>
      <c r="B981">
        <v>0</v>
      </c>
      <c r="C981">
        <v>0</v>
      </c>
    </row>
    <row r="982" spans="1:3" x14ac:dyDescent="0.25">
      <c r="A982" s="3" t="s">
        <v>2818</v>
      </c>
      <c r="B982">
        <v>3</v>
      </c>
      <c r="C982">
        <v>0</v>
      </c>
    </row>
    <row r="983" spans="1:3" x14ac:dyDescent="0.25">
      <c r="A983" s="3" t="s">
        <v>2832</v>
      </c>
      <c r="B983">
        <v>0</v>
      </c>
      <c r="C983">
        <v>0</v>
      </c>
    </row>
    <row r="984" spans="1:3" x14ac:dyDescent="0.25">
      <c r="A984" s="3" t="s">
        <v>2839</v>
      </c>
      <c r="B984">
        <v>9</v>
      </c>
      <c r="C984">
        <v>0</v>
      </c>
    </row>
    <row r="985" spans="1:3" x14ac:dyDescent="0.25">
      <c r="A985" s="3" t="s">
        <v>2847</v>
      </c>
      <c r="B985">
        <v>0</v>
      </c>
      <c r="C985">
        <v>0</v>
      </c>
    </row>
    <row r="986" spans="1:3" x14ac:dyDescent="0.25">
      <c r="A986" s="3" t="s">
        <v>2904</v>
      </c>
      <c r="B986">
        <v>0</v>
      </c>
      <c r="C986">
        <v>0</v>
      </c>
    </row>
    <row r="987" spans="1:3" x14ac:dyDescent="0.25">
      <c r="A987" s="3" t="s">
        <v>2943</v>
      </c>
      <c r="B987">
        <v>1</v>
      </c>
      <c r="C987">
        <v>0</v>
      </c>
    </row>
    <row r="988" spans="1:3" x14ac:dyDescent="0.25">
      <c r="A988" s="3" t="s">
        <v>3004</v>
      </c>
      <c r="B988">
        <v>0</v>
      </c>
      <c r="C988">
        <v>0</v>
      </c>
    </row>
    <row r="989" spans="1:3" x14ac:dyDescent="0.25">
      <c r="A989" s="3" t="s">
        <v>3011</v>
      </c>
      <c r="B989">
        <v>1</v>
      </c>
      <c r="C989">
        <v>0</v>
      </c>
    </row>
    <row r="990" spans="1:3" x14ac:dyDescent="0.25">
      <c r="A990" s="3" t="s">
        <v>3025</v>
      </c>
      <c r="B990">
        <v>1</v>
      </c>
      <c r="C990">
        <v>0</v>
      </c>
    </row>
    <row r="991" spans="1:3" x14ac:dyDescent="0.25">
      <c r="A991" s="3" t="s">
        <v>3041</v>
      </c>
      <c r="B991">
        <v>0</v>
      </c>
      <c r="C991">
        <v>0</v>
      </c>
    </row>
    <row r="992" spans="1:3" x14ac:dyDescent="0.25">
      <c r="A992" s="3" t="s">
        <v>3055</v>
      </c>
      <c r="B992">
        <v>1</v>
      </c>
      <c r="C992">
        <v>0</v>
      </c>
    </row>
    <row r="993" spans="1:3" x14ac:dyDescent="0.25">
      <c r="A993" s="3" t="s">
        <v>3099</v>
      </c>
      <c r="B993">
        <v>0</v>
      </c>
      <c r="C993">
        <v>0</v>
      </c>
    </row>
    <row r="994" spans="1:3" x14ac:dyDescent="0.25">
      <c r="A994" s="3" t="s">
        <v>3114</v>
      </c>
      <c r="B994">
        <v>0</v>
      </c>
      <c r="C994">
        <v>0</v>
      </c>
    </row>
    <row r="995" spans="1:3" x14ac:dyDescent="0.25">
      <c r="A995" s="3" t="s">
        <v>3121</v>
      </c>
      <c r="B995">
        <v>0</v>
      </c>
      <c r="C995">
        <v>0</v>
      </c>
    </row>
    <row r="996" spans="1:3" x14ac:dyDescent="0.25">
      <c r="A996" s="3" t="s">
        <v>3129</v>
      </c>
      <c r="B996">
        <v>0</v>
      </c>
      <c r="C996">
        <v>0</v>
      </c>
    </row>
    <row r="997" spans="1:3" x14ac:dyDescent="0.25">
      <c r="A997" s="3" t="s">
        <v>3134</v>
      </c>
      <c r="B997">
        <v>0</v>
      </c>
      <c r="C997">
        <v>0</v>
      </c>
    </row>
    <row r="998" spans="1:3" x14ac:dyDescent="0.25">
      <c r="A998" s="3" t="s">
        <v>3137</v>
      </c>
      <c r="B998">
        <v>0</v>
      </c>
      <c r="C998">
        <v>0</v>
      </c>
    </row>
    <row r="999" spans="1:3" x14ac:dyDescent="0.25">
      <c r="A999" s="3" t="s">
        <v>3144</v>
      </c>
      <c r="B999">
        <v>1</v>
      </c>
      <c r="C999">
        <v>0</v>
      </c>
    </row>
    <row r="1000" spans="1:3" x14ac:dyDescent="0.25">
      <c r="A1000" s="3" t="s">
        <v>3182</v>
      </c>
      <c r="B1000">
        <v>1</v>
      </c>
      <c r="C1000">
        <v>0</v>
      </c>
    </row>
    <row r="1001" spans="1:3" x14ac:dyDescent="0.25">
      <c r="A1001" s="3" t="s">
        <v>3195</v>
      </c>
      <c r="B1001">
        <v>0</v>
      </c>
      <c r="C1001">
        <v>0</v>
      </c>
    </row>
    <row r="1002" spans="1:3" x14ac:dyDescent="0.25">
      <c r="A1002" s="3" t="s">
        <v>3198</v>
      </c>
      <c r="B1002">
        <v>0</v>
      </c>
      <c r="C1002">
        <v>0</v>
      </c>
    </row>
    <row r="1003" spans="1:3" x14ac:dyDescent="0.25">
      <c r="A1003" s="3" t="s">
        <v>3204</v>
      </c>
      <c r="B1003">
        <v>1</v>
      </c>
      <c r="C1003">
        <v>0</v>
      </c>
    </row>
    <row r="1004" spans="1:3" x14ac:dyDescent="0.25">
      <c r="A1004" s="3" t="s">
        <v>3219</v>
      </c>
      <c r="B1004">
        <v>3</v>
      </c>
      <c r="C1004">
        <v>0</v>
      </c>
    </row>
    <row r="1005" spans="1:3" x14ac:dyDescent="0.25">
      <c r="A1005" s="3" t="s">
        <v>3227</v>
      </c>
      <c r="B1005">
        <v>0</v>
      </c>
      <c r="C1005">
        <v>0</v>
      </c>
    </row>
    <row r="1006" spans="1:3" x14ac:dyDescent="0.25">
      <c r="A1006" s="3" t="s">
        <v>3230</v>
      </c>
      <c r="B1006">
        <v>1</v>
      </c>
      <c r="C1006">
        <v>0</v>
      </c>
    </row>
    <row r="1007" spans="1:3" x14ac:dyDescent="0.25">
      <c r="A1007" s="3" t="s">
        <v>3237</v>
      </c>
      <c r="B1007">
        <v>0</v>
      </c>
      <c r="C1007">
        <v>0</v>
      </c>
    </row>
    <row r="1008" spans="1:3" x14ac:dyDescent="0.25">
      <c r="A1008" s="3" t="s">
        <v>3268</v>
      </c>
      <c r="B1008">
        <v>5</v>
      </c>
      <c r="C1008">
        <v>0</v>
      </c>
    </row>
    <row r="1009" spans="1:3" x14ac:dyDescent="0.25">
      <c r="A1009" s="3" t="s">
        <v>3278</v>
      </c>
      <c r="B1009">
        <v>0</v>
      </c>
      <c r="C1009">
        <v>0</v>
      </c>
    </row>
    <row r="1010" spans="1:3" x14ac:dyDescent="0.25">
      <c r="A1010" s="3" t="s">
        <v>3298</v>
      </c>
      <c r="B1010">
        <v>1</v>
      </c>
      <c r="C1010">
        <v>0</v>
      </c>
    </row>
    <row r="1011" spans="1:3" x14ac:dyDescent="0.25">
      <c r="A1011" s="3" t="s">
        <v>3313</v>
      </c>
      <c r="B1011">
        <v>0</v>
      </c>
      <c r="C1011">
        <v>0</v>
      </c>
    </row>
    <row r="1012" spans="1:3" x14ac:dyDescent="0.25">
      <c r="A1012" s="3" t="s">
        <v>3319</v>
      </c>
      <c r="B1012">
        <v>0</v>
      </c>
      <c r="C1012">
        <v>0</v>
      </c>
    </row>
    <row r="1013" spans="1:3" x14ac:dyDescent="0.25">
      <c r="A1013" s="3" t="s">
        <v>3335</v>
      </c>
      <c r="B1013">
        <v>0</v>
      </c>
      <c r="C1013">
        <v>0</v>
      </c>
    </row>
    <row r="1014" spans="1:3" x14ac:dyDescent="0.25">
      <c r="A1014" s="3" t="s">
        <v>3349</v>
      </c>
      <c r="B1014">
        <v>9</v>
      </c>
      <c r="C1014">
        <v>1</v>
      </c>
    </row>
    <row r="1015" spans="1:3" x14ac:dyDescent="0.25">
      <c r="A1015" s="3" t="s">
        <v>3355</v>
      </c>
      <c r="B1015">
        <v>4</v>
      </c>
      <c r="C1015">
        <v>0</v>
      </c>
    </row>
    <row r="1016" spans="1:3" x14ac:dyDescent="0.25">
      <c r="A1016" s="3" t="s">
        <v>3379</v>
      </c>
      <c r="B1016">
        <v>0</v>
      </c>
      <c r="C1016">
        <v>0</v>
      </c>
    </row>
    <row r="1017" spans="1:3" x14ac:dyDescent="0.25">
      <c r="A1017" s="3" t="s">
        <v>3416</v>
      </c>
      <c r="B1017">
        <v>0</v>
      </c>
      <c r="C1017">
        <v>0</v>
      </c>
    </row>
    <row r="1018" spans="1:3" x14ac:dyDescent="0.25">
      <c r="A1018" s="3" t="s">
        <v>3421</v>
      </c>
      <c r="B1018">
        <v>0</v>
      </c>
      <c r="C1018">
        <v>0</v>
      </c>
    </row>
    <row r="1019" spans="1:3" x14ac:dyDescent="0.25">
      <c r="A1019" s="3" t="s">
        <v>3426</v>
      </c>
      <c r="B1019">
        <v>0</v>
      </c>
      <c r="C1019">
        <v>0</v>
      </c>
    </row>
    <row r="1020" spans="1:3" x14ac:dyDescent="0.25">
      <c r="A1020" s="3" t="s">
        <v>3429</v>
      </c>
      <c r="B1020">
        <v>1</v>
      </c>
      <c r="C1020">
        <v>0</v>
      </c>
    </row>
    <row r="1021" spans="1:3" x14ac:dyDescent="0.25">
      <c r="A1021" s="3" t="s">
        <v>3507</v>
      </c>
      <c r="B1021">
        <v>0</v>
      </c>
      <c r="C1021">
        <v>0</v>
      </c>
    </row>
    <row r="1022" spans="1:3" x14ac:dyDescent="0.25">
      <c r="A1022" s="3" t="s">
        <v>3534</v>
      </c>
      <c r="B1022">
        <v>0</v>
      </c>
      <c r="C1022">
        <v>0</v>
      </c>
    </row>
    <row r="1023" spans="1:3" x14ac:dyDescent="0.25">
      <c r="A1023" s="3" t="s">
        <v>3537</v>
      </c>
      <c r="B1023">
        <v>0</v>
      </c>
      <c r="C1023">
        <v>0</v>
      </c>
    </row>
    <row r="1024" spans="1:3" x14ac:dyDescent="0.25">
      <c r="A1024" s="3" t="s">
        <v>3548</v>
      </c>
      <c r="B1024">
        <v>0</v>
      </c>
      <c r="C1024">
        <v>0</v>
      </c>
    </row>
    <row r="1025" spans="1:3" x14ac:dyDescent="0.25">
      <c r="A1025" s="3" t="s">
        <v>3559</v>
      </c>
      <c r="B1025">
        <v>3</v>
      </c>
      <c r="C1025">
        <v>0</v>
      </c>
    </row>
    <row r="1026" spans="1:3" x14ac:dyDescent="0.25">
      <c r="A1026" s="3" t="s">
        <v>3584</v>
      </c>
      <c r="B1026">
        <v>0</v>
      </c>
      <c r="C1026">
        <v>0</v>
      </c>
    </row>
    <row r="1027" spans="1:3" x14ac:dyDescent="0.25">
      <c r="A1027" s="3" t="s">
        <v>3594</v>
      </c>
      <c r="B1027">
        <v>0</v>
      </c>
      <c r="C1027">
        <v>0</v>
      </c>
    </row>
    <row r="1028" spans="1:3" x14ac:dyDescent="0.25">
      <c r="A1028" s="3" t="s">
        <v>3625</v>
      </c>
      <c r="B1028">
        <v>0</v>
      </c>
      <c r="C1028">
        <v>0</v>
      </c>
    </row>
    <row r="1029" spans="1:3" x14ac:dyDescent="0.25">
      <c r="A1029" s="3" t="s">
        <v>3637</v>
      </c>
      <c r="B1029">
        <v>0</v>
      </c>
      <c r="C1029">
        <v>0</v>
      </c>
    </row>
    <row r="1030" spans="1:3" x14ac:dyDescent="0.25">
      <c r="A1030" s="3" t="s">
        <v>3662</v>
      </c>
      <c r="B1030">
        <v>1</v>
      </c>
      <c r="C1030">
        <v>0</v>
      </c>
    </row>
    <row r="1031" spans="1:3" x14ac:dyDescent="0.25">
      <c r="A1031" s="3" t="s">
        <v>3681</v>
      </c>
      <c r="B1031">
        <v>0</v>
      </c>
      <c r="C1031">
        <v>0</v>
      </c>
    </row>
    <row r="1032" spans="1:3" x14ac:dyDescent="0.25">
      <c r="A1032" s="3" t="s">
        <v>3693</v>
      </c>
      <c r="B1032">
        <v>0</v>
      </c>
      <c r="C1032">
        <v>0</v>
      </c>
    </row>
    <row r="1033" spans="1:3" x14ac:dyDescent="0.25">
      <c r="A1033" s="3" t="s">
        <v>3711</v>
      </c>
      <c r="B1033">
        <v>0</v>
      </c>
      <c r="C1033">
        <v>0</v>
      </c>
    </row>
    <row r="1034" spans="1:3" x14ac:dyDescent="0.25">
      <c r="A1034" s="3" t="s">
        <v>3714</v>
      </c>
      <c r="B1034">
        <v>0</v>
      </c>
      <c r="C1034">
        <v>0</v>
      </c>
    </row>
    <row r="1035" spans="1:3" x14ac:dyDescent="0.25">
      <c r="A1035" s="3" t="s">
        <v>3736</v>
      </c>
      <c r="B1035">
        <v>0</v>
      </c>
      <c r="C1035">
        <v>0</v>
      </c>
    </row>
    <row r="1036" spans="1:3" x14ac:dyDescent="0.25">
      <c r="A1036" s="3" t="s">
        <v>3739</v>
      </c>
      <c r="B1036">
        <v>0</v>
      </c>
      <c r="C1036">
        <v>0</v>
      </c>
    </row>
    <row r="1037" spans="1:3" x14ac:dyDescent="0.25">
      <c r="A1037" s="3" t="s">
        <v>3794</v>
      </c>
      <c r="B1037">
        <v>0</v>
      </c>
      <c r="C1037">
        <v>0</v>
      </c>
    </row>
    <row r="1038" spans="1:3" x14ac:dyDescent="0.25">
      <c r="A1038" s="3" t="s">
        <v>3806</v>
      </c>
      <c r="B1038">
        <v>0</v>
      </c>
      <c r="C1038">
        <v>0</v>
      </c>
    </row>
    <row r="1039" spans="1:3" x14ac:dyDescent="0.25">
      <c r="A1039" s="3" t="s">
        <v>3816</v>
      </c>
      <c r="B1039">
        <v>3</v>
      </c>
      <c r="C1039">
        <v>0</v>
      </c>
    </row>
    <row r="1040" spans="1:3" x14ac:dyDescent="0.25">
      <c r="A1040" s="3" t="s">
        <v>3834</v>
      </c>
      <c r="B1040">
        <v>0</v>
      </c>
      <c r="C1040">
        <v>0</v>
      </c>
    </row>
    <row r="1041" spans="1:3" x14ac:dyDescent="0.25">
      <c r="A1041" s="3" t="s">
        <v>3925</v>
      </c>
      <c r="B1041">
        <v>0</v>
      </c>
      <c r="C1041">
        <v>0</v>
      </c>
    </row>
    <row r="1042" spans="1:3" x14ac:dyDescent="0.25">
      <c r="A1042" s="3" t="s">
        <v>3936</v>
      </c>
      <c r="B1042">
        <v>0</v>
      </c>
      <c r="C1042">
        <v>0</v>
      </c>
    </row>
    <row r="1043" spans="1:3" x14ac:dyDescent="0.25">
      <c r="A1043" s="3" t="s">
        <v>3939</v>
      </c>
      <c r="B1043">
        <v>0</v>
      </c>
      <c r="C1043">
        <v>0</v>
      </c>
    </row>
    <row r="1044" spans="1:3" x14ac:dyDescent="0.25">
      <c r="A1044" s="3" t="s">
        <v>3963</v>
      </c>
      <c r="B1044">
        <v>0</v>
      </c>
      <c r="C1044">
        <v>0</v>
      </c>
    </row>
    <row r="1045" spans="1:3" x14ac:dyDescent="0.25">
      <c r="A1045" s="3" t="s">
        <v>3973</v>
      </c>
      <c r="B1045">
        <v>0</v>
      </c>
      <c r="C1045">
        <v>0</v>
      </c>
    </row>
    <row r="1046" spans="1:3" x14ac:dyDescent="0.25">
      <c r="A1046" s="3" t="s">
        <v>3979</v>
      </c>
      <c r="B1046">
        <v>0</v>
      </c>
      <c r="C1046">
        <v>0</v>
      </c>
    </row>
    <row r="1047" spans="1:3" x14ac:dyDescent="0.25">
      <c r="A1047" s="3" t="s">
        <v>3988</v>
      </c>
      <c r="B1047">
        <v>1</v>
      </c>
      <c r="C1047">
        <v>0</v>
      </c>
    </row>
    <row r="1048" spans="1:3" x14ac:dyDescent="0.25">
      <c r="A1048" s="3" t="s">
        <v>3991</v>
      </c>
      <c r="B1048">
        <v>0</v>
      </c>
      <c r="C1048">
        <v>0</v>
      </c>
    </row>
    <row r="1049" spans="1:3" x14ac:dyDescent="0.25">
      <c r="A1049" s="3" t="s">
        <v>4015</v>
      </c>
      <c r="B1049">
        <v>1</v>
      </c>
      <c r="C1049">
        <v>0</v>
      </c>
    </row>
    <row r="1050" spans="1:3" x14ac:dyDescent="0.25">
      <c r="A1050" s="3" t="s">
        <v>4018</v>
      </c>
      <c r="B1050">
        <v>0</v>
      </c>
      <c r="C1050">
        <v>0</v>
      </c>
    </row>
    <row r="1051" spans="1:3" x14ac:dyDescent="0.25">
      <c r="A1051" s="3" t="s">
        <v>4037</v>
      </c>
      <c r="B1051">
        <v>0</v>
      </c>
      <c r="C1051">
        <v>0</v>
      </c>
    </row>
    <row r="1052" spans="1:3" x14ac:dyDescent="0.25">
      <c r="A1052" s="3" t="s">
        <v>4072</v>
      </c>
      <c r="B1052">
        <v>0</v>
      </c>
      <c r="C1052">
        <v>0</v>
      </c>
    </row>
    <row r="1053" spans="1:3" x14ac:dyDescent="0.25">
      <c r="A1053" s="3" t="s">
        <v>4082</v>
      </c>
      <c r="B1053">
        <v>3</v>
      </c>
      <c r="C1053">
        <v>0</v>
      </c>
    </row>
    <row r="1054" spans="1:3" x14ac:dyDescent="0.25">
      <c r="A1054" s="3" t="s">
        <v>4085</v>
      </c>
      <c r="B1054">
        <v>1</v>
      </c>
      <c r="C1054">
        <v>0</v>
      </c>
    </row>
    <row r="1055" spans="1:3" x14ac:dyDescent="0.25">
      <c r="A1055" s="3" t="s">
        <v>4092</v>
      </c>
      <c r="B1055">
        <v>0</v>
      </c>
      <c r="C1055">
        <v>0</v>
      </c>
    </row>
    <row r="1056" spans="1:3" x14ac:dyDescent="0.25">
      <c r="A1056" s="3" t="s">
        <v>4095</v>
      </c>
      <c r="B1056">
        <v>0</v>
      </c>
      <c r="C1056">
        <v>0</v>
      </c>
    </row>
    <row r="1057" spans="1:3" x14ac:dyDescent="0.25">
      <c r="A1057" s="3" t="s">
        <v>4129</v>
      </c>
      <c r="B1057">
        <v>0</v>
      </c>
      <c r="C1057">
        <v>0</v>
      </c>
    </row>
    <row r="1058" spans="1:3" x14ac:dyDescent="0.25">
      <c r="A1058" s="3" t="s">
        <v>4184</v>
      </c>
      <c r="B1058">
        <v>0</v>
      </c>
      <c r="C1058">
        <v>0</v>
      </c>
    </row>
    <row r="1059" spans="1:3" x14ac:dyDescent="0.25">
      <c r="A1059" s="3" t="s">
        <v>4223</v>
      </c>
      <c r="B1059">
        <v>0</v>
      </c>
      <c r="C1059">
        <v>0</v>
      </c>
    </row>
    <row r="1060" spans="1:3" x14ac:dyDescent="0.25">
      <c r="A1060" s="3" t="s">
        <v>4277</v>
      </c>
      <c r="B1060">
        <v>0</v>
      </c>
      <c r="C1060">
        <v>0</v>
      </c>
    </row>
    <row r="1061" spans="1:3" x14ac:dyDescent="0.25">
      <c r="A1061" s="3" t="s">
        <v>4302</v>
      </c>
      <c r="B1061">
        <v>1</v>
      </c>
      <c r="C1061">
        <v>0</v>
      </c>
    </row>
    <row r="1062" spans="1:3" x14ac:dyDescent="0.25">
      <c r="A1062" s="3" t="s">
        <v>4305</v>
      </c>
      <c r="B1062">
        <v>0</v>
      </c>
      <c r="C1062">
        <v>0</v>
      </c>
    </row>
    <row r="1063" spans="1:3" x14ac:dyDescent="0.25">
      <c r="A1063" s="3" t="s">
        <v>4379</v>
      </c>
      <c r="B1063">
        <v>0</v>
      </c>
      <c r="C1063">
        <v>0</v>
      </c>
    </row>
    <row r="1064" spans="1:3" x14ac:dyDescent="0.25">
      <c r="A1064" s="3" t="s">
        <v>4449</v>
      </c>
      <c r="B1064">
        <v>0</v>
      </c>
      <c r="C1064">
        <v>0</v>
      </c>
    </row>
    <row r="1065" spans="1:3" x14ac:dyDescent="0.25">
      <c r="A1065" s="3" t="s">
        <v>4452</v>
      </c>
      <c r="B1065">
        <v>0</v>
      </c>
      <c r="C1065">
        <v>0</v>
      </c>
    </row>
    <row r="1066" spans="1:3" x14ac:dyDescent="0.25">
      <c r="A1066" s="3" t="s">
        <v>4463</v>
      </c>
      <c r="B1066">
        <v>0</v>
      </c>
      <c r="C1066">
        <v>0</v>
      </c>
    </row>
    <row r="1067" spans="1:3" x14ac:dyDescent="0.25">
      <c r="A1067" s="3" t="s">
        <v>4468</v>
      </c>
      <c r="B1067">
        <v>0</v>
      </c>
      <c r="C1067">
        <v>0</v>
      </c>
    </row>
    <row r="1068" spans="1:3" x14ac:dyDescent="0.25">
      <c r="A1068" s="3" t="s">
        <v>4473</v>
      </c>
      <c r="B1068">
        <v>0</v>
      </c>
      <c r="C1068">
        <v>0</v>
      </c>
    </row>
    <row r="1069" spans="1:3" x14ac:dyDescent="0.25">
      <c r="A1069" s="3" t="s">
        <v>4476</v>
      </c>
      <c r="B1069">
        <v>0</v>
      </c>
      <c r="C1069">
        <v>0</v>
      </c>
    </row>
    <row r="1070" spans="1:3" x14ac:dyDescent="0.25">
      <c r="A1070" s="3" t="s">
        <v>4514</v>
      </c>
      <c r="B1070">
        <v>0</v>
      </c>
      <c r="C1070">
        <v>0</v>
      </c>
    </row>
    <row r="1071" spans="1:3" x14ac:dyDescent="0.25">
      <c r="A1071" s="3" t="s">
        <v>4536</v>
      </c>
      <c r="B1071">
        <v>0</v>
      </c>
      <c r="C1071">
        <v>0</v>
      </c>
    </row>
    <row r="1072" spans="1:3" x14ac:dyDescent="0.25">
      <c r="A1072" s="3" t="s">
        <v>4541</v>
      </c>
      <c r="B1072">
        <v>0</v>
      </c>
      <c r="C1072">
        <v>0</v>
      </c>
    </row>
    <row r="1073" spans="1:3" x14ac:dyDescent="0.25">
      <c r="A1073" s="3" t="s">
        <v>4554</v>
      </c>
      <c r="B1073">
        <v>0</v>
      </c>
      <c r="C1073">
        <v>0</v>
      </c>
    </row>
    <row r="1074" spans="1:3" x14ac:dyDescent="0.25">
      <c r="A1074" s="3" t="s">
        <v>4587</v>
      </c>
      <c r="B1074">
        <v>0</v>
      </c>
      <c r="C1074">
        <v>0</v>
      </c>
    </row>
    <row r="1075" spans="1:3" x14ac:dyDescent="0.25">
      <c r="A1075" s="3" t="s">
        <v>4631</v>
      </c>
      <c r="B1075">
        <v>0</v>
      </c>
      <c r="C1075">
        <v>0</v>
      </c>
    </row>
    <row r="1076" spans="1:3" x14ac:dyDescent="0.25">
      <c r="A1076" s="3" t="s">
        <v>4654</v>
      </c>
      <c r="B1076">
        <v>0</v>
      </c>
      <c r="C1076">
        <v>0</v>
      </c>
    </row>
    <row r="1077" spans="1:3" x14ac:dyDescent="0.25">
      <c r="A1077" s="3" t="s">
        <v>4670</v>
      </c>
      <c r="B1077">
        <v>0</v>
      </c>
      <c r="C1077">
        <v>0</v>
      </c>
    </row>
    <row r="1078" spans="1:3" x14ac:dyDescent="0.25">
      <c r="A1078" s="3" t="s">
        <v>4682</v>
      </c>
      <c r="B1078">
        <v>0</v>
      </c>
      <c r="C1078">
        <v>0</v>
      </c>
    </row>
    <row r="1079" spans="1:3" x14ac:dyDescent="0.25">
      <c r="A1079" s="3" t="s">
        <v>4691</v>
      </c>
      <c r="B1079">
        <v>0</v>
      </c>
      <c r="C1079">
        <v>0</v>
      </c>
    </row>
    <row r="1080" spans="1:3" x14ac:dyDescent="0.25">
      <c r="A1080" s="3" t="s">
        <v>4708</v>
      </c>
      <c r="B1080">
        <v>0</v>
      </c>
      <c r="C1080">
        <v>0</v>
      </c>
    </row>
    <row r="1081" spans="1:3" x14ac:dyDescent="0.25">
      <c r="A1081" s="3" t="s">
        <v>4715</v>
      </c>
      <c r="B1081">
        <v>0</v>
      </c>
      <c r="C1081">
        <v>0</v>
      </c>
    </row>
    <row r="1082" spans="1:3" x14ac:dyDescent="0.25">
      <c r="A1082" s="3" t="s">
        <v>4724</v>
      </c>
      <c r="B1082">
        <v>0</v>
      </c>
      <c r="C1082">
        <v>0</v>
      </c>
    </row>
    <row r="1083" spans="1:3" x14ac:dyDescent="0.25">
      <c r="A1083" s="3" t="s">
        <v>4727</v>
      </c>
      <c r="B1083">
        <v>0</v>
      </c>
      <c r="C1083">
        <v>0</v>
      </c>
    </row>
    <row r="1084" spans="1:3" x14ac:dyDescent="0.25">
      <c r="A1084" s="3" t="s">
        <v>4733</v>
      </c>
      <c r="B1084">
        <v>0</v>
      </c>
      <c r="C1084">
        <v>0</v>
      </c>
    </row>
    <row r="1085" spans="1:3" x14ac:dyDescent="0.25">
      <c r="A1085" s="3" t="s">
        <v>4755</v>
      </c>
      <c r="B1085">
        <v>0</v>
      </c>
      <c r="C1085">
        <v>0</v>
      </c>
    </row>
    <row r="1086" spans="1:3" x14ac:dyDescent="0.25">
      <c r="A1086" s="3" t="s">
        <v>4774</v>
      </c>
      <c r="B1086">
        <v>0</v>
      </c>
      <c r="C1086">
        <v>0</v>
      </c>
    </row>
    <row r="1087" spans="1:3" x14ac:dyDescent="0.25">
      <c r="A1087" s="3" t="s">
        <v>4786</v>
      </c>
      <c r="B1087">
        <v>937</v>
      </c>
      <c r="C1087">
        <v>35</v>
      </c>
    </row>
  </sheetData>
  <sortState xmlns:xlrd2="http://schemas.microsoft.com/office/spreadsheetml/2017/richdata2" ref="E57:E1090">
    <sortCondition ref="E57:E1090"/>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F7FD2BC003D584BB21DD38425BC03A1" ma:contentTypeVersion="3" ma:contentTypeDescription="Create a new document." ma:contentTypeScope="" ma:versionID="a13558884cf16fe63c45b09ba0b177fe">
  <xsd:schema xmlns:xsd="http://www.w3.org/2001/XMLSchema" xmlns:xs="http://www.w3.org/2001/XMLSchema" xmlns:p="http://schemas.microsoft.com/office/2006/metadata/properties" xmlns:ns2="f9abba5c-c6ac-40f6-9bce-df6fe0d5849d" targetNamespace="http://schemas.microsoft.com/office/2006/metadata/properties" ma:root="true" ma:fieldsID="024070713647e44e29b9722142610afe" ns2:_="">
    <xsd:import namespace="f9abba5c-c6ac-40f6-9bce-df6fe0d5849d"/>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9abba5c-c6ac-40f6-9bce-df6fe0d5849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F91047A-C02A-4E84-871D-D7225EF89E2B}">
  <ds:schemaRefs/>
</ds:datastoreItem>
</file>

<file path=customXml/itemProps2.xml><?xml version="1.0" encoding="utf-8"?>
<ds:datastoreItem xmlns:ds="http://schemas.openxmlformats.org/officeDocument/2006/customXml" ds:itemID="{35F2AAEB-79B0-4B2F-B6DE-12DDC1AE69E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9abba5c-c6ac-40f6-9bce-df6fe0d5849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77A8A78-9D36-4B8B-A4A9-1F8C5EEAC9B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TECH</vt:lpstr>
      <vt:lpstr>TECH Data Analysis</vt:lpstr>
      <vt:lpstr>TECH - Data Analysis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Noah Kornberg</dc:creator>
  <cp:keywords/>
  <dc:description/>
  <cp:lastModifiedBy>Noah Kornberg</cp:lastModifiedBy>
  <cp:revision/>
  <dcterms:created xsi:type="dcterms:W3CDTF">2025-06-27T18:01:58Z</dcterms:created>
  <dcterms:modified xsi:type="dcterms:W3CDTF">2025-08-15T16:55:43Z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0x0101005F7FD2BC003D584BB21DD38425BC03A1</vt:lpwstr>
  </property>
</Properties>
</file>